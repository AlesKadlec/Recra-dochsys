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72263D4C-EB49-48BF-BF76-11E3CF33EE59}" xr6:coauthVersionLast="47" xr6:coauthVersionMax="47" xr10:uidLastSave="{00000000-0000-0000-0000-000000000000}"/>
  <bookViews>
    <workbookView xWindow="28680" yWindow="-120" windowWidth="29040" windowHeight="15840" tabRatio="227" activeTab="1" xr2:uid="{00000000-000D-0000-FFFF-FFFF00000000}"/>
  </bookViews>
  <sheets>
    <sheet name="zastavky" sheetId="2" r:id="rId1"/>
    <sheet name="zamestnanci" sheetId="1" r:id="rId2"/>
  </sheet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2" i="1"/>
  <c r="G3" i="1"/>
  <c r="G4" i="1"/>
  <c r="G5" i="1"/>
  <c r="G6" i="1"/>
  <c r="G7" i="1"/>
  <c r="G8" i="1"/>
  <c r="G9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99" i="1"/>
  <c r="G100" i="1"/>
  <c r="G101" i="1"/>
  <c r="G102" i="1"/>
  <c r="G103" i="1"/>
  <c r="G104" i="1"/>
  <c r="G105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2" i="2"/>
</calcChain>
</file>

<file path=xl/sharedStrings.xml><?xml version="1.0" encoding="utf-8"?>
<sst xmlns="http://schemas.openxmlformats.org/spreadsheetml/2006/main" count="4391" uniqueCount="2720">
  <si>
    <t>id</t>
  </si>
  <si>
    <t>os_cislo</t>
  </si>
  <si>
    <t>prijmeni</t>
  </si>
  <si>
    <t>jmeno</t>
  </si>
  <si>
    <t>rfid</t>
  </si>
  <si>
    <t>nastup</t>
  </si>
  <si>
    <t>telefon</t>
  </si>
  <si>
    <t>adresa</t>
  </si>
  <si>
    <t>firma</t>
  </si>
  <si>
    <t>smena</t>
  </si>
  <si>
    <t>nepritomnost</t>
  </si>
  <si>
    <t>aktivni</t>
  </si>
  <si>
    <t>4984</t>
  </si>
  <si>
    <t>Koblanski</t>
  </si>
  <si>
    <t>Daniel Roman</t>
  </si>
  <si>
    <t>0001932486</t>
  </si>
  <si>
    <t>48661131885</t>
  </si>
  <si>
    <t>Rzemieslnicza 16, Marklowice, 44-321</t>
  </si>
  <si>
    <t>R</t>
  </si>
  <si>
    <t>4832</t>
  </si>
  <si>
    <t>Plusa</t>
  </si>
  <si>
    <t>Jolanta Anastazja</t>
  </si>
  <si>
    <t>0001812666</t>
  </si>
  <si>
    <t>48579875413</t>
  </si>
  <si>
    <t>Wolnosci 106, Wodzislaw Slaski, 44-300</t>
  </si>
  <si>
    <t>4821</t>
  </si>
  <si>
    <t>Lapczyk</t>
  </si>
  <si>
    <t>Wiktoria Monika</t>
  </si>
  <si>
    <t>0001203587</t>
  </si>
  <si>
    <t>48570354807</t>
  </si>
  <si>
    <t>Stanislawa Moniuszki 24/57, Cieszyn, 43-400</t>
  </si>
  <si>
    <t>4824</t>
  </si>
  <si>
    <t>Siemieniec</t>
  </si>
  <si>
    <t>Mirela Malgorzata</t>
  </si>
  <si>
    <t>0001319249</t>
  </si>
  <si>
    <t>48534420008</t>
  </si>
  <si>
    <t>Generala Sikorskiego 10, Gorzyce, 44-350</t>
  </si>
  <si>
    <t>4816</t>
  </si>
  <si>
    <t>Tkocz</t>
  </si>
  <si>
    <t>Grazyna</t>
  </si>
  <si>
    <t>0001348553</t>
  </si>
  <si>
    <t>48780473033</t>
  </si>
  <si>
    <t>Rynek 19/4, Wodzislaw Slaski, 44-300</t>
  </si>
  <si>
    <t>4823</t>
  </si>
  <si>
    <t>Tomala</t>
  </si>
  <si>
    <t>Sabina Agata</t>
  </si>
  <si>
    <t>0001213514</t>
  </si>
  <si>
    <t>48731071831</t>
  </si>
  <si>
    <t>Truchana 36/12, Chorzow, 41-500</t>
  </si>
  <si>
    <t>5139</t>
  </si>
  <si>
    <t>Wisniewski</t>
  </si>
  <si>
    <t>Andrzej Jaroslaw</t>
  </si>
  <si>
    <t>0001815983</t>
  </si>
  <si>
    <t>48577599086</t>
  </si>
  <si>
    <t>Jana Kilinskiego 6, Marklowice, 44-321</t>
  </si>
  <si>
    <t>4820</t>
  </si>
  <si>
    <t>Zdunek</t>
  </si>
  <si>
    <t>Patrycja</t>
  </si>
  <si>
    <t>0003356249</t>
  </si>
  <si>
    <t>48535337339</t>
  </si>
  <si>
    <t>5178</t>
  </si>
  <si>
    <t>Birka</t>
  </si>
  <si>
    <t>Jan</t>
  </si>
  <si>
    <t>0012951123</t>
  </si>
  <si>
    <t>735 826 676</t>
  </si>
  <si>
    <t>Masarykovo nám. 1/1, Nový Jičín, 741 01, CZ</t>
  </si>
  <si>
    <t>5234</t>
  </si>
  <si>
    <t>Bogdanska</t>
  </si>
  <si>
    <t>Malgorzata Beata</t>
  </si>
  <si>
    <t>0013073154</t>
  </si>
  <si>
    <t>+48 503 935 531</t>
  </si>
  <si>
    <t>26 Marca 42/47, Wodzislaw Slaski, 44-300, PL</t>
  </si>
  <si>
    <t>3415</t>
  </si>
  <si>
    <t>Boruszka</t>
  </si>
  <si>
    <t>Aneta Barbara</t>
  </si>
  <si>
    <t>0012989719</t>
  </si>
  <si>
    <t>+48 605 522 989</t>
  </si>
  <si>
    <t>os. 1000-lecia 15a/11, Jastrzebie-Zdroj, 44-268, PL</t>
  </si>
  <si>
    <t>3428</t>
  </si>
  <si>
    <t>Cieslak</t>
  </si>
  <si>
    <t>Bogdan Cezary</t>
  </si>
  <si>
    <t>0012037325</t>
  </si>
  <si>
    <t>+48 883 115 857</t>
  </si>
  <si>
    <t>Polna 22C m.10, Pawlowice, 43-251, PL</t>
  </si>
  <si>
    <t>4525</t>
  </si>
  <si>
    <t>Czapla</t>
  </si>
  <si>
    <t>Jakub Wiktor</t>
  </si>
  <si>
    <t>0013392110</t>
  </si>
  <si>
    <t>+48 502 625 791</t>
  </si>
  <si>
    <t>Karola Miarki 1/17, Jastrzebie-Zdrój, 44-330, PL</t>
  </si>
  <si>
    <t>3413</t>
  </si>
  <si>
    <t>Durmowicz</t>
  </si>
  <si>
    <t>Dorota Teresa</t>
  </si>
  <si>
    <t>0013316527</t>
  </si>
  <si>
    <t>+48 782 589 483</t>
  </si>
  <si>
    <t>26 Marca 29/24, Wodzisław Śląski, 44-300, PL</t>
  </si>
  <si>
    <t>5027</t>
  </si>
  <si>
    <t>Goszyc</t>
  </si>
  <si>
    <t>Wiktoria Weronika</t>
  </si>
  <si>
    <t>0013309361</t>
  </si>
  <si>
    <t>+48 661 453 582</t>
  </si>
  <si>
    <t>Lesmiana 2, Jastrzebie Zdroj, 44-335, PL</t>
  </si>
  <si>
    <t>3529</t>
  </si>
  <si>
    <t>Huptys</t>
  </si>
  <si>
    <t>Wieslawa</t>
  </si>
  <si>
    <t>0011982290</t>
  </si>
  <si>
    <t>+48 667 800 222</t>
  </si>
  <si>
    <t>Radlinskie Chalupki 123, Wodzislaw Slaski, 44-313, PL</t>
  </si>
  <si>
    <t>4507</t>
  </si>
  <si>
    <t>Jordan</t>
  </si>
  <si>
    <t>Bozena Barbara</t>
  </si>
  <si>
    <t>0011974874</t>
  </si>
  <si>
    <t>+48 515 661 447</t>
  </si>
  <si>
    <t>Osiedle Orlowiec 65m3, Rydultowy, 44-280, PL</t>
  </si>
  <si>
    <t>5079</t>
  </si>
  <si>
    <t>Jureczko</t>
  </si>
  <si>
    <t>Katarzyna Wanda</t>
  </si>
  <si>
    <t>0013378406</t>
  </si>
  <si>
    <t>+48 690 854 053</t>
  </si>
  <si>
    <t>Radlinskie Chalupki 123, Wodzislaw Slaski, 44-300, PL</t>
  </si>
  <si>
    <t>4681</t>
  </si>
  <si>
    <t>Juřicová</t>
  </si>
  <si>
    <t>Dana</t>
  </si>
  <si>
    <t>0013338505</t>
  </si>
  <si>
    <t>+420 731 881 10</t>
  </si>
  <si>
    <t>Jeseník nad Odrou 256, Jeseník nad Odrou, 742 33, CZ</t>
  </si>
  <si>
    <t>5078</t>
  </si>
  <si>
    <t>Kuś</t>
  </si>
  <si>
    <t>Adrian Daniel</t>
  </si>
  <si>
    <t>0013321754</t>
  </si>
  <si>
    <t>+48 730 107 362</t>
  </si>
  <si>
    <t>Świerklańska 37, Jastrzebie Zdroj, 44-268, PL</t>
  </si>
  <si>
    <t>4833</t>
  </si>
  <si>
    <t>Mamala</t>
  </si>
  <si>
    <t>Szymon Piotr</t>
  </si>
  <si>
    <t>0012013869</t>
  </si>
  <si>
    <t>+48 515 835 416</t>
  </si>
  <si>
    <t>Ruchu Oporu 18/9, Jastrzębie-Zdrój, 44-335, PL</t>
  </si>
  <si>
    <t>4564</t>
  </si>
  <si>
    <t>Politowicz</t>
  </si>
  <si>
    <t>Karina Maria</t>
  </si>
  <si>
    <t>0011990175</t>
  </si>
  <si>
    <t>+48 506 137 800</t>
  </si>
  <si>
    <t>Turska 20B, Wodzislaw Slaski, 44-300, PL</t>
  </si>
  <si>
    <t>4866</t>
  </si>
  <si>
    <t>Skulska</t>
  </si>
  <si>
    <t>Katarzyna</t>
  </si>
  <si>
    <t>0013366007</t>
  </si>
  <si>
    <t>+48 666 388 386</t>
  </si>
  <si>
    <t>Piastów 12/7, Jastrzębie-Zdrój, 44-335, PL</t>
  </si>
  <si>
    <t>5076</t>
  </si>
  <si>
    <t>Slaninová</t>
  </si>
  <si>
    <t>Tereza</t>
  </si>
  <si>
    <t>0013371367</t>
  </si>
  <si>
    <t>703 970 455</t>
  </si>
  <si>
    <t>Hukovice 24, Bartošovice - Hukovice, 742 13, CZ</t>
  </si>
  <si>
    <t>4310</t>
  </si>
  <si>
    <t>Szymala</t>
  </si>
  <si>
    <t>Estera Maria</t>
  </si>
  <si>
    <t>0013374163</t>
  </si>
  <si>
    <t>+48 663 754 640</t>
  </si>
  <si>
    <t>Przytulna 2, Wodzislaw Slaski, 44-300, PL</t>
  </si>
  <si>
    <t>4274</t>
  </si>
  <si>
    <t>Wegrzyn</t>
  </si>
  <si>
    <t>Aleksandra</t>
  </si>
  <si>
    <t>0013351534</t>
  </si>
  <si>
    <t>+48 515 340 616</t>
  </si>
  <si>
    <t>26 Marca 170/14, Wodzislaw Slaski, 44-286, PL</t>
  </si>
  <si>
    <t>5025</t>
  </si>
  <si>
    <t>Weissová</t>
  </si>
  <si>
    <t>Pavlína</t>
  </si>
  <si>
    <t>0013324311</t>
  </si>
  <si>
    <t>735 207 222</t>
  </si>
  <si>
    <t>Štursova 187, Nový Jičín - Žilina, 741 01, CZ</t>
  </si>
  <si>
    <t>4617</t>
  </si>
  <si>
    <t>Karkoszka</t>
  </si>
  <si>
    <t>Justyna Agnieszka</t>
  </si>
  <si>
    <t>0328432914</t>
  </si>
  <si>
    <t>48 576 673 042</t>
  </si>
  <si>
    <t>Tysiaclecia 18/7, Wodzislaw Slaski, 44-300</t>
  </si>
  <si>
    <t>5260</t>
  </si>
  <si>
    <t>Malec</t>
  </si>
  <si>
    <t>Julia Aleksandra</t>
  </si>
  <si>
    <t>0328454862</t>
  </si>
  <si>
    <t>48 572 902 549</t>
  </si>
  <si>
    <t>Malopolska 93/4, Jastrzebie-Zdrój, 44-335</t>
  </si>
  <si>
    <t>5129</t>
  </si>
  <si>
    <t>Buza</t>
  </si>
  <si>
    <t>Grazyna Aniela</t>
  </si>
  <si>
    <t>0328432941</t>
  </si>
  <si>
    <t>48 788 217 740</t>
  </si>
  <si>
    <t>Cicha 10, Gogolowa , 44-323</t>
  </si>
  <si>
    <t>5275</t>
  </si>
  <si>
    <t>Pogoda</t>
  </si>
  <si>
    <t>Beata Anita</t>
  </si>
  <si>
    <t>0348334221</t>
  </si>
  <si>
    <t>48 606 252 415</t>
  </si>
  <si>
    <t>Rymera 247, Radlin, 44-310</t>
  </si>
  <si>
    <t>5191</t>
  </si>
  <si>
    <t>Porebny</t>
  </si>
  <si>
    <t>Martyna Anna</t>
  </si>
  <si>
    <t>0370049130</t>
  </si>
  <si>
    <t>48 539 981 158</t>
  </si>
  <si>
    <t>Katowicka 7/5, Jastrzebie Zdroj, 44-335</t>
  </si>
  <si>
    <t>5005</t>
  </si>
  <si>
    <t>Surma</t>
  </si>
  <si>
    <t>Natalia Aurelia</t>
  </si>
  <si>
    <t>0370042869</t>
  </si>
  <si>
    <t>48 533 136 616</t>
  </si>
  <si>
    <t>Gagarina 108/3, Jastrzebie Zdroj, 44-268</t>
  </si>
  <si>
    <t>4163</t>
  </si>
  <si>
    <t>Smietana</t>
  </si>
  <si>
    <t>Mirela Barbara</t>
  </si>
  <si>
    <t>0301162261</t>
  </si>
  <si>
    <t>48 665 142 024</t>
  </si>
  <si>
    <t>Os. Alojzego Biernackiego 48, Pszow, 44-370</t>
  </si>
  <si>
    <t>4501</t>
  </si>
  <si>
    <t>Cyrzyk</t>
  </si>
  <si>
    <t>Grazyna Barbara</t>
  </si>
  <si>
    <t>0315325883</t>
  </si>
  <si>
    <t>48 507 397 115</t>
  </si>
  <si>
    <t>Folwarczna 19, Kończyce Małe, 43-410</t>
  </si>
  <si>
    <t>5270</t>
  </si>
  <si>
    <t>Warminska</t>
  </si>
  <si>
    <t>Katarzyna Barbara</t>
  </si>
  <si>
    <t>0301172878</t>
  </si>
  <si>
    <t>48 883 558 504</t>
  </si>
  <si>
    <t>Wielkopolska 65/15, Jastrzebie-Zdrój, 44-335</t>
  </si>
  <si>
    <t>4835</t>
  </si>
  <si>
    <t>Jerchewicz</t>
  </si>
  <si>
    <t>Iwona Beata</t>
  </si>
  <si>
    <t>0348342408</t>
  </si>
  <si>
    <t>48 517 946 990</t>
  </si>
  <si>
    <t>osiedle 1000-lecia 15/21, Jastrzębie-Zdrój, 44-268</t>
  </si>
  <si>
    <t>4105</t>
  </si>
  <si>
    <t>Monika Bernadeta</t>
  </si>
  <si>
    <t>0301180636</t>
  </si>
  <si>
    <t>48 503 350 812</t>
  </si>
  <si>
    <t>1000-lecia 38/7, Wodzislaw Slaski, 44-300</t>
  </si>
  <si>
    <t>4718</t>
  </si>
  <si>
    <t>Torzewska</t>
  </si>
  <si>
    <t>Ewelina Boguslawa</t>
  </si>
  <si>
    <t>0301162243</t>
  </si>
  <si>
    <t>48 573 476 005</t>
  </si>
  <si>
    <t>Osiedle Księcia Władysława 10F/5, Zory, 44-241</t>
  </si>
  <si>
    <t>4632</t>
  </si>
  <si>
    <t>Witos</t>
  </si>
  <si>
    <t>Katarzyna Daria</t>
  </si>
  <si>
    <t>0328454857</t>
  </si>
  <si>
    <t>48 733 004 956</t>
  </si>
  <si>
    <t>Malchera 5/2, Jastrzebie-Zdrój, 44-335</t>
  </si>
  <si>
    <t>5249</t>
  </si>
  <si>
    <t>Koniecny</t>
  </si>
  <si>
    <t>Joanna Elzbieta</t>
  </si>
  <si>
    <t>0328443823</t>
  </si>
  <si>
    <t>48 452 375 689</t>
  </si>
  <si>
    <t>Czyzowicka 131A/208 , Wodzislaw Slaski, 44-300</t>
  </si>
  <si>
    <t>3040</t>
  </si>
  <si>
    <t>Osiewala</t>
  </si>
  <si>
    <t>Artur Grzegorz</t>
  </si>
  <si>
    <t>0301166901</t>
  </si>
  <si>
    <t>48 736 848 324</t>
  </si>
  <si>
    <t>Ofiar Faszyzmu 14/11, Jastrzebie-Zdrój , 44-335</t>
  </si>
  <si>
    <t>4955</t>
  </si>
  <si>
    <t>Dalemula</t>
  </si>
  <si>
    <t>Krysztof Grzegorz</t>
  </si>
  <si>
    <t>0370035234</t>
  </si>
  <si>
    <t>48 691 339 886</t>
  </si>
  <si>
    <t>26 marca 26/2, Wodzislaw Slaski, 44-300</t>
  </si>
  <si>
    <t>4834</t>
  </si>
  <si>
    <t>Blonski</t>
  </si>
  <si>
    <t>Marcin Ireneusz</t>
  </si>
  <si>
    <t>0328432923</t>
  </si>
  <si>
    <t>48 451 203 184</t>
  </si>
  <si>
    <t>Pomorska 23/2, Jastrzębie-Zdrój, 44-335</t>
  </si>
  <si>
    <t>4971</t>
  </si>
  <si>
    <t>Adranowicz</t>
  </si>
  <si>
    <t>Karolina Jadwiga</t>
  </si>
  <si>
    <t>0289896686</t>
  </si>
  <si>
    <t>48 570 460 356</t>
  </si>
  <si>
    <t>Jagodowa 1 , Zebrzydowice, 43-410</t>
  </si>
  <si>
    <t>4990</t>
  </si>
  <si>
    <t>Szatylo</t>
  </si>
  <si>
    <t>Heroním Jan</t>
  </si>
  <si>
    <t>0328608644</t>
  </si>
  <si>
    <t>48 517 651 935</t>
  </si>
  <si>
    <t>XXX-Lecia 83/1, Wodzislaw Slaski , 44-286</t>
  </si>
  <si>
    <t>4155</t>
  </si>
  <si>
    <t>Suchy</t>
  </si>
  <si>
    <t>Anna Katarzyna</t>
  </si>
  <si>
    <t>0328608658</t>
  </si>
  <si>
    <t>48 575 850 403</t>
  </si>
  <si>
    <t>1 Maja 153A, Mszana, 44-325</t>
  </si>
  <si>
    <t>4720</t>
  </si>
  <si>
    <t>Marczak</t>
  </si>
  <si>
    <t>Maria Katarzyna</t>
  </si>
  <si>
    <t>0348342948</t>
  </si>
  <si>
    <t>48 669 565 741</t>
  </si>
  <si>
    <t>Cieszyńska 202B, Jastrzebie-Zdrój, 44-335</t>
  </si>
  <si>
    <t>4987</t>
  </si>
  <si>
    <t>Skrzypiec</t>
  </si>
  <si>
    <t>Agnieszka Katarzyna</t>
  </si>
  <si>
    <t>0370037121</t>
  </si>
  <si>
    <t>48 793 987 575</t>
  </si>
  <si>
    <t>Tysiaclecia 62/5 , Wodzislaw Slaski , 44-30</t>
  </si>
  <si>
    <t>5250</t>
  </si>
  <si>
    <t>Chudala</t>
  </si>
  <si>
    <t>Kamila Katarzyna</t>
  </si>
  <si>
    <t>0301162065</t>
  </si>
  <si>
    <t>48 733 622 020</t>
  </si>
  <si>
    <t>Mlodziezowa 67B/2 , Wodzislaw Slaski, 44-373</t>
  </si>
  <si>
    <t>5251</t>
  </si>
  <si>
    <t>Skrobol</t>
  </si>
  <si>
    <t>Jolanta Kazimiera</t>
  </si>
  <si>
    <t>0315325884</t>
  </si>
  <si>
    <t>48 661 821 712</t>
  </si>
  <si>
    <t>Młodzieżowa 67B/3 , Wodzislaw Slaski , 44-373</t>
  </si>
  <si>
    <t>4075</t>
  </si>
  <si>
    <t>Czerwik</t>
  </si>
  <si>
    <t>Maksymilian Konrad</t>
  </si>
  <si>
    <t>0328608651</t>
  </si>
  <si>
    <t>48 728 262 157</t>
  </si>
  <si>
    <t>Gustawa Morcinka 5/3, Jastrzebie-Zdroj, 44-335</t>
  </si>
  <si>
    <t>3474</t>
  </si>
  <si>
    <t>Niznik</t>
  </si>
  <si>
    <t>Mariola Krystyna</t>
  </si>
  <si>
    <t>0328443809</t>
  </si>
  <si>
    <t>48 534 280 476</t>
  </si>
  <si>
    <t>Adolfa Dygasińskiego 33, Pszów, 44-370</t>
  </si>
  <si>
    <t>3937</t>
  </si>
  <si>
    <t>Tyminska</t>
  </si>
  <si>
    <t>Sylvia Malgorzata</t>
  </si>
  <si>
    <t>0272698648</t>
  </si>
  <si>
    <t>48 602 294 398</t>
  </si>
  <si>
    <t>Zielona 20/7, Jastrzebie-Zdroj, 44-335</t>
  </si>
  <si>
    <t>4828</t>
  </si>
  <si>
    <t>Stryjska</t>
  </si>
  <si>
    <t>Beata Malgorzata</t>
  </si>
  <si>
    <t>0348338812</t>
  </si>
  <si>
    <t>48 607 421 757</t>
  </si>
  <si>
    <t>Alojzego Milaty 1B/5, Cieszyn, 43-400</t>
  </si>
  <si>
    <t>2109</t>
  </si>
  <si>
    <t>Lesniak</t>
  </si>
  <si>
    <t>Robert Marek</t>
  </si>
  <si>
    <t>0289821104</t>
  </si>
  <si>
    <t>48 08 856 147</t>
  </si>
  <si>
    <t>Turystyczna 5/14, Jastrzebie-Zdrój, 44-335</t>
  </si>
  <si>
    <t>3396</t>
  </si>
  <si>
    <t>Matusiak</t>
  </si>
  <si>
    <t>Orfeusz Marek</t>
  </si>
  <si>
    <t>0370042379</t>
  </si>
  <si>
    <t>48 537 065 617</t>
  </si>
  <si>
    <t>osiedle 1000-lecia 18/7, Jasrtzebie-zdroj, 44-268</t>
  </si>
  <si>
    <t>4775</t>
  </si>
  <si>
    <t>Kotowski</t>
  </si>
  <si>
    <t>Zbigniew Marek</t>
  </si>
  <si>
    <t>0301166922</t>
  </si>
  <si>
    <t>48 539 242 677</t>
  </si>
  <si>
    <t>Śrutarska 28/1, Cieszyn, 43-400</t>
  </si>
  <si>
    <t>4092</t>
  </si>
  <si>
    <t>Sitek</t>
  </si>
  <si>
    <t>Karolina Maria</t>
  </si>
  <si>
    <t>0301166883</t>
  </si>
  <si>
    <t>48 726 113 843</t>
  </si>
  <si>
    <t>Dworcowa 49, Laziska, 44-340</t>
  </si>
  <si>
    <t>5224</t>
  </si>
  <si>
    <t>Gora</t>
  </si>
  <si>
    <t>Renata Maria</t>
  </si>
  <si>
    <t>0328443824</t>
  </si>
  <si>
    <t>48 887 691 372</t>
  </si>
  <si>
    <t>Chmielna 13, Konczyce Male, 43-410</t>
  </si>
  <si>
    <t>5257</t>
  </si>
  <si>
    <t>Kaminska</t>
  </si>
  <si>
    <t>Wioletta Maria</t>
  </si>
  <si>
    <t>0348314735</t>
  </si>
  <si>
    <t>48 513 775 887</t>
  </si>
  <si>
    <t>Slaska 31/12, Jastrzebie Zdroj, 44-335</t>
  </si>
  <si>
    <t>5259</t>
  </si>
  <si>
    <t>Izabela Maria</t>
  </si>
  <si>
    <t>0301165671</t>
  </si>
  <si>
    <t>48 791 042 779</t>
  </si>
  <si>
    <t>Ulica Wiejska 96/5, Jastrzebie-Zdroj , 44-338</t>
  </si>
  <si>
    <t>4773</t>
  </si>
  <si>
    <t>Pszonak</t>
  </si>
  <si>
    <t>Monika Marta</t>
  </si>
  <si>
    <t>0348333056</t>
  </si>
  <si>
    <t>48 728 349 041</t>
  </si>
  <si>
    <t>Tęczowa 20, Świerklany , 44-266</t>
  </si>
  <si>
    <t>3273</t>
  </si>
  <si>
    <t>Gawlok</t>
  </si>
  <si>
    <t>Maria Marzena</t>
  </si>
  <si>
    <t>0227604194</t>
  </si>
  <si>
    <t>48 609 564 610</t>
  </si>
  <si>
    <t>Powstancow Slaskich 244, Skrzyszow, 44-348</t>
  </si>
  <si>
    <t>4912</t>
  </si>
  <si>
    <t>Szymura</t>
  </si>
  <si>
    <t>Edyta Marzena</t>
  </si>
  <si>
    <t>0301165651</t>
  </si>
  <si>
    <t>48 514 925 449</t>
  </si>
  <si>
    <t>Cieszynska 221, Jastrzebie Zdroj, 44-337</t>
  </si>
  <si>
    <t>5065</t>
  </si>
  <si>
    <t>Olbrys</t>
  </si>
  <si>
    <t>Justyna Marzena</t>
  </si>
  <si>
    <t>0301173036</t>
  </si>
  <si>
    <t>48 721 988 899</t>
  </si>
  <si>
    <t>Wroclawska 21/22, Jastrzebie Zdroj , 44-335</t>
  </si>
  <si>
    <t>4514</t>
  </si>
  <si>
    <t>Sikora</t>
  </si>
  <si>
    <t>Teresa Michalina</t>
  </si>
  <si>
    <t>0315321893</t>
  </si>
  <si>
    <t>48 731 406 172</t>
  </si>
  <si>
    <t>Leśna 5/8, Gorzyczki, 44-350</t>
  </si>
  <si>
    <t>4515</t>
  </si>
  <si>
    <t>Karina Monika</t>
  </si>
  <si>
    <t>0301180379</t>
  </si>
  <si>
    <t>48 733 032 650</t>
  </si>
  <si>
    <t>Bolesława Prusa 12/3, Wodzislaw Slaski, 44-300</t>
  </si>
  <si>
    <t>0328443816</t>
  </si>
  <si>
    <t>48 510 087 467</t>
  </si>
  <si>
    <t>Tysiąclecia 38/7, Wodzisław Śląski, 44-300</t>
  </si>
  <si>
    <t>5271</t>
  </si>
  <si>
    <t>Kielkowska</t>
  </si>
  <si>
    <t>Agnieszka Monika</t>
  </si>
  <si>
    <t>0348325352</t>
  </si>
  <si>
    <t>48 519 481 259</t>
  </si>
  <si>
    <t>Mlynska 29A, Jastrzebie Zdroj, 44-335</t>
  </si>
  <si>
    <t>5246</t>
  </si>
  <si>
    <t>Mozuch</t>
  </si>
  <si>
    <t>Damian Slawomir</t>
  </si>
  <si>
    <t>0301162047</t>
  </si>
  <si>
    <t>48 530 808 260</t>
  </si>
  <si>
    <t>Krakowska 3/10, Jastrzebie-Zdrój, 44-335</t>
  </si>
  <si>
    <t>4602</t>
  </si>
  <si>
    <t>Watroba</t>
  </si>
  <si>
    <t>Leszek Stanislaw</t>
  </si>
  <si>
    <t>0289896649</t>
  </si>
  <si>
    <t>48 796 408 373</t>
  </si>
  <si>
    <t>Zielona 33/9, Jastrzebie-Zdroj, 44-335</t>
  </si>
  <si>
    <t>5204</t>
  </si>
  <si>
    <t>Pozarowszczyk</t>
  </si>
  <si>
    <t>Alicja Stefania</t>
  </si>
  <si>
    <t>0301173029</t>
  </si>
  <si>
    <t>48 884 680 482</t>
  </si>
  <si>
    <t>Osiedle Tysiac-lecia 26/8, Wodzislaw Slaski, 44-300</t>
  </si>
  <si>
    <t>5273</t>
  </si>
  <si>
    <t>Daniel Sylweste</t>
  </si>
  <si>
    <t>0301172955</t>
  </si>
  <si>
    <t>48 733 080 489</t>
  </si>
  <si>
    <t>3394</t>
  </si>
  <si>
    <t>Stawowski</t>
  </si>
  <si>
    <t>Patryk Tomasz</t>
  </si>
  <si>
    <t>0301180452</t>
  </si>
  <si>
    <t>48 513 278 184</t>
  </si>
  <si>
    <t>osiedle 1000-lecia 19, Jastrzebie-Zdroj, 44-268</t>
  </si>
  <si>
    <t>4972</t>
  </si>
  <si>
    <t>Pajor</t>
  </si>
  <si>
    <t>Jolanta Wanda</t>
  </si>
  <si>
    <t>0328432680</t>
  </si>
  <si>
    <t>48 516 690 472</t>
  </si>
  <si>
    <t>Towarowa 7/15, Cieszyn, 43-400</t>
  </si>
  <si>
    <t>3648</t>
  </si>
  <si>
    <t>Urbas</t>
  </si>
  <si>
    <t>Monika Weronika</t>
  </si>
  <si>
    <t>0301166942</t>
  </si>
  <si>
    <t>48 536 396 825</t>
  </si>
  <si>
    <t>Zielona 37/22, Jastrzebie-Zdroj, 44-335</t>
  </si>
  <si>
    <t>4510</t>
  </si>
  <si>
    <t>Weczerek</t>
  </si>
  <si>
    <t>Adriana Weronika</t>
  </si>
  <si>
    <t>0328604588</t>
  </si>
  <si>
    <t>48 665 142 622</t>
  </si>
  <si>
    <t>5009</t>
  </si>
  <si>
    <t>Ostafin</t>
  </si>
  <si>
    <t>Andrzej Zbigniew</t>
  </si>
  <si>
    <t>0370026717</t>
  </si>
  <si>
    <t>48 575 565 409</t>
  </si>
  <si>
    <t>Os. 1000-Lecia 15D/4 , Jastrzebie Zdroj, 44-268</t>
  </si>
  <si>
    <t>5194</t>
  </si>
  <si>
    <t>Moc</t>
  </si>
  <si>
    <t>Malgorzata Zofia</t>
  </si>
  <si>
    <t>0301173069</t>
  </si>
  <si>
    <t>48 519 399 747</t>
  </si>
  <si>
    <t>Harcerska 4/1, Jastrzebie Zdroj, 44-335</t>
  </si>
  <si>
    <t>4722</t>
  </si>
  <si>
    <t>Klimkowska</t>
  </si>
  <si>
    <t>Janina Žaneta</t>
  </si>
  <si>
    <t>0348323412</t>
  </si>
  <si>
    <t>48 534 868 808</t>
  </si>
  <si>
    <t>Jurija Gagarina 46, Jastrzębie-Zdrój, 44-268</t>
  </si>
  <si>
    <t>2738</t>
  </si>
  <si>
    <t>Olejniczak</t>
  </si>
  <si>
    <t>Danuta</t>
  </si>
  <si>
    <t>0315321954</t>
  </si>
  <si>
    <t>48 730 766 849</t>
  </si>
  <si>
    <t>Slaska 11/13, Jastrzebie-Zdrój, 44-335</t>
  </si>
  <si>
    <t>2069</t>
  </si>
  <si>
    <t>Debner</t>
  </si>
  <si>
    <t>Karolina</t>
  </si>
  <si>
    <t>0301165689</t>
  </si>
  <si>
    <t>48 739 218 695</t>
  </si>
  <si>
    <t>Promienna 5/201, Zory, 44-240</t>
  </si>
  <si>
    <t>2230</t>
  </si>
  <si>
    <t>Piechaczek</t>
  </si>
  <si>
    <t>Agnieszka</t>
  </si>
  <si>
    <t>0272698616</t>
  </si>
  <si>
    <t>Wiejska 21, Jastrzebie-Zdroj, 44-338</t>
  </si>
  <si>
    <t>2945</t>
  </si>
  <si>
    <t>Francová</t>
  </si>
  <si>
    <t>Karolína</t>
  </si>
  <si>
    <t>0289821261</t>
  </si>
  <si>
    <t>770 664 657</t>
  </si>
  <si>
    <t>Hrnčířská 2003, Rožnov pod Radhoštěm, 756 61</t>
  </si>
  <si>
    <t>5175</t>
  </si>
  <si>
    <t>Wywiol</t>
  </si>
  <si>
    <t>Romeusz</t>
  </si>
  <si>
    <t>0315321918</t>
  </si>
  <si>
    <t>48 574 677 081</t>
  </si>
  <si>
    <t>Turystyczna 1, Jastrzebie-Zdrój, 44-335</t>
  </si>
  <si>
    <t>3257</t>
  </si>
  <si>
    <t>Starzyczny</t>
  </si>
  <si>
    <t>Joanna</t>
  </si>
  <si>
    <t>0272698647</t>
  </si>
  <si>
    <t>48 693 474 209</t>
  </si>
  <si>
    <t>Wiejska 9 A m.1, Jastrzebie-Zdrój, 44-338</t>
  </si>
  <si>
    <t>3369</t>
  </si>
  <si>
    <t>Mottlová</t>
  </si>
  <si>
    <t>Markéta</t>
  </si>
  <si>
    <t>0315321940</t>
  </si>
  <si>
    <t>720 578 148</t>
  </si>
  <si>
    <t>Závodní 409/53, Ostrava - Hrabůvka, 700 30</t>
  </si>
  <si>
    <t>3078</t>
  </si>
  <si>
    <t>Boguslaw</t>
  </si>
  <si>
    <t>0315321941</t>
  </si>
  <si>
    <t>Dygasinskiego 33, Pszów, 44-370</t>
  </si>
  <si>
    <t>3721</t>
  </si>
  <si>
    <t>Fitrzyková</t>
  </si>
  <si>
    <t>Jana</t>
  </si>
  <si>
    <t>0328604658</t>
  </si>
  <si>
    <t>704 188 141</t>
  </si>
  <si>
    <t>Těšínská 87/281, Ostrava - Radvanice, 716 00</t>
  </si>
  <si>
    <t>3729</t>
  </si>
  <si>
    <t>Chodinský</t>
  </si>
  <si>
    <t>Jakub</t>
  </si>
  <si>
    <t>0328608672</t>
  </si>
  <si>
    <t>735 997 947</t>
  </si>
  <si>
    <t>Vyškovická 447/153 , Ostrava - Výškovice, 700 30</t>
  </si>
  <si>
    <t>3728</t>
  </si>
  <si>
    <t>Rostislav</t>
  </si>
  <si>
    <t>0301165667</t>
  </si>
  <si>
    <t>735 883 940</t>
  </si>
  <si>
    <t>4365</t>
  </si>
  <si>
    <t>Šostá</t>
  </si>
  <si>
    <t>Ivana</t>
  </si>
  <si>
    <t>0315325893</t>
  </si>
  <si>
    <t>702 897 627</t>
  </si>
  <si>
    <t>Hulvácká 1399/11a, Ostrava-Zábřeh , 700 30</t>
  </si>
  <si>
    <t>3284</t>
  </si>
  <si>
    <t>Matuszczyk</t>
  </si>
  <si>
    <t>Beata</t>
  </si>
  <si>
    <t>0328608668</t>
  </si>
  <si>
    <t>48 692 755 081</t>
  </si>
  <si>
    <t>Górnicza 38/23, Jastrzebie-Zdroj, 44-335</t>
  </si>
  <si>
    <t>4326</t>
  </si>
  <si>
    <t>Lázoková</t>
  </si>
  <si>
    <t>Darina</t>
  </si>
  <si>
    <t>0328608677</t>
  </si>
  <si>
    <t>705 926 915</t>
  </si>
  <si>
    <t>Lidická 539, Třinec - Lyžbice, 739 61</t>
  </si>
  <si>
    <t>4442</t>
  </si>
  <si>
    <t>Artur</t>
  </si>
  <si>
    <t>0301165649</t>
  </si>
  <si>
    <t>48 731 773 661</t>
  </si>
  <si>
    <t>Gustawa Morcinka 8/6, Jastrzebie-Zdroj, 44-335</t>
  </si>
  <si>
    <t>3871</t>
  </si>
  <si>
    <t>Neudert</t>
  </si>
  <si>
    <t>Pavel</t>
  </si>
  <si>
    <t>0370053055</t>
  </si>
  <si>
    <t>704 717 533</t>
  </si>
  <si>
    <t>Horní 791/3, Ostrava - Hrabůvka, 700 30</t>
  </si>
  <si>
    <t>3920</t>
  </si>
  <si>
    <t>Krzenek</t>
  </si>
  <si>
    <t>Ryszarda</t>
  </si>
  <si>
    <t>0315325856</t>
  </si>
  <si>
    <t>48 725 009 441</t>
  </si>
  <si>
    <t>Skrajna 4 m.6, Cieszyn, 43-400</t>
  </si>
  <si>
    <t>4622</t>
  </si>
  <si>
    <t>Starosta</t>
  </si>
  <si>
    <t>Barbara</t>
  </si>
  <si>
    <t>0328443818</t>
  </si>
  <si>
    <t>48 735 049 358</t>
  </si>
  <si>
    <t>Radlinska 147, Wodzislaw Slaski, 44-300</t>
  </si>
  <si>
    <t>4719</t>
  </si>
  <si>
    <t>Michal</t>
  </si>
  <si>
    <t>0328611446</t>
  </si>
  <si>
    <t>48 535 384 403</t>
  </si>
  <si>
    <t>Turnawiec 9,Turnawiec, 28-506</t>
  </si>
  <si>
    <t>2463</t>
  </si>
  <si>
    <t>Krensel</t>
  </si>
  <si>
    <t>Maria</t>
  </si>
  <si>
    <t>0289910254</t>
  </si>
  <si>
    <t>48 888 278 520</t>
  </si>
  <si>
    <t>Poprzeczna 16/8, Jastrzebie-Zdrój, 44-330</t>
  </si>
  <si>
    <t>4599</t>
  </si>
  <si>
    <t>Belej</t>
  </si>
  <si>
    <t>Karina</t>
  </si>
  <si>
    <t>0348342254</t>
  </si>
  <si>
    <t>48 723 005 113</t>
  </si>
  <si>
    <t>Miarki 2m.22, Jastrzebie-Zdroj , 44-330</t>
  </si>
  <si>
    <t>4132</t>
  </si>
  <si>
    <t>Adamiec</t>
  </si>
  <si>
    <t>Mariola</t>
  </si>
  <si>
    <t>0370025477</t>
  </si>
  <si>
    <t>48 514 328 225</t>
  </si>
  <si>
    <t>Marusarzowny 2/26, Jastrzebie-Zdroj, 44-330</t>
  </si>
  <si>
    <t>4838</t>
  </si>
  <si>
    <t>Bartoň</t>
  </si>
  <si>
    <t>Edyta</t>
  </si>
  <si>
    <t>0328608648</t>
  </si>
  <si>
    <t>48 793 386 811</t>
  </si>
  <si>
    <t>Cieszyńska 218/4, Jastrzębie-Zdrój, 44-337</t>
  </si>
  <si>
    <t>4928</t>
  </si>
  <si>
    <t>Zjadewicz</t>
  </si>
  <si>
    <t>Robert</t>
  </si>
  <si>
    <t>0301162227</t>
  </si>
  <si>
    <t>48 783 448 031</t>
  </si>
  <si>
    <t>Jasna 19/10, Jastrzebie Zdroj , 44-335</t>
  </si>
  <si>
    <t>4963</t>
  </si>
  <si>
    <t>Krzemiński</t>
  </si>
  <si>
    <t>Zbigniew</t>
  </si>
  <si>
    <t>0348330448</t>
  </si>
  <si>
    <t>48 510 280 238</t>
  </si>
  <si>
    <t>Gustawa Morcinka 17b/3 , Rybnik, 44-273</t>
  </si>
  <si>
    <t>5014</t>
  </si>
  <si>
    <t>Michalec</t>
  </si>
  <si>
    <t>Regina</t>
  </si>
  <si>
    <t>0370041446</t>
  </si>
  <si>
    <t>48 794 475 219</t>
  </si>
  <si>
    <t>Rynek 5/1, Strumien, 43-246</t>
  </si>
  <si>
    <t>5024</t>
  </si>
  <si>
    <t>Marinska</t>
  </si>
  <si>
    <t>Natalia</t>
  </si>
  <si>
    <t>0301172992</t>
  </si>
  <si>
    <t>48 602 506 260</t>
  </si>
  <si>
    <t>Lipowa 16, Hazlach , 43-419</t>
  </si>
  <si>
    <t>5155</t>
  </si>
  <si>
    <t>Vrlíková</t>
  </si>
  <si>
    <t>Monika</t>
  </si>
  <si>
    <t>0370059270</t>
  </si>
  <si>
    <t>48 792 058 912</t>
  </si>
  <si>
    <t>Beskidzka 30/2, Jastrzebie Zdroj, 44-335</t>
  </si>
  <si>
    <t>5180</t>
  </si>
  <si>
    <t>Motyl</t>
  </si>
  <si>
    <t>Slawomir</t>
  </si>
  <si>
    <t>0301172956</t>
  </si>
  <si>
    <t>48 512 640 222</t>
  </si>
  <si>
    <t>Pszczynska 189A, Jastrzebie Zdroj, 44-335</t>
  </si>
  <si>
    <t>5179</t>
  </si>
  <si>
    <t>Szymiczek</t>
  </si>
  <si>
    <t>Ewa</t>
  </si>
  <si>
    <t>0370026025</t>
  </si>
  <si>
    <t>48 534 483 104</t>
  </si>
  <si>
    <t>Marusarzowny 12/28, Jastrzebie-Zdrój, 44-335</t>
  </si>
  <si>
    <t>5176</t>
  </si>
  <si>
    <t>Skolarus</t>
  </si>
  <si>
    <t>Sebastian</t>
  </si>
  <si>
    <t>0301172958</t>
  </si>
  <si>
    <t>48 577 727 649</t>
  </si>
  <si>
    <t>Wiejska 20, Gorzyczki , 44-350</t>
  </si>
  <si>
    <t>5177</t>
  </si>
  <si>
    <t>Ogórek</t>
  </si>
  <si>
    <t>Bogdan</t>
  </si>
  <si>
    <t>0301162049</t>
  </si>
  <si>
    <t>48 531 467 802</t>
  </si>
  <si>
    <t>Wyszynskiego 67/11, Wodzislaw Slaski, 44-300</t>
  </si>
  <si>
    <t>Tomasz</t>
  </si>
  <si>
    <t>5209</t>
  </si>
  <si>
    <t>Klosek</t>
  </si>
  <si>
    <t>Andrzej</t>
  </si>
  <si>
    <t>0301162320</t>
  </si>
  <si>
    <t>48 667 542 463</t>
  </si>
  <si>
    <t>Orzeszkowej 12/18, Wodzislaw Slaski, 44-300</t>
  </si>
  <si>
    <t>5208</t>
  </si>
  <si>
    <t>0370023455</t>
  </si>
  <si>
    <t>48 789 625 101</t>
  </si>
  <si>
    <t>Plebiscytowa 20, Orzesze , 43-180</t>
  </si>
  <si>
    <t>5226</t>
  </si>
  <si>
    <t>Goralska</t>
  </si>
  <si>
    <t>Magdalena</t>
  </si>
  <si>
    <t>0370041265</t>
  </si>
  <si>
    <t>48 790 463 268</t>
  </si>
  <si>
    <t>Katowicka 111/2, Cieszyn, 43-400</t>
  </si>
  <si>
    <t>4568</t>
  </si>
  <si>
    <t>Bartoszewska</t>
  </si>
  <si>
    <t>Justyna Anna</t>
  </si>
  <si>
    <t>0011601691</t>
  </si>
  <si>
    <t>+48603109477</t>
  </si>
  <si>
    <t>Generala Okulickiego, 51N, Rybnik, 44-274, PL</t>
  </si>
  <si>
    <t>5074</t>
  </si>
  <si>
    <t>Bason</t>
  </si>
  <si>
    <t>Bartosz Pawel</t>
  </si>
  <si>
    <t>0011642700</t>
  </si>
  <si>
    <t>+48 881 513 086</t>
  </si>
  <si>
    <t>Modrzewiowa, 20, Kleszczowka, 44-240, PL</t>
  </si>
  <si>
    <t>5126</t>
  </si>
  <si>
    <t>Biezunski</t>
  </si>
  <si>
    <t>Janusz Leszek</t>
  </si>
  <si>
    <t>0012955543</t>
  </si>
  <si>
    <t>+48 692 565 321</t>
  </si>
  <si>
    <t>Os. Pawlikowskiego, 3G/2, Zory, 44-240, PL</t>
  </si>
  <si>
    <t>5112</t>
  </si>
  <si>
    <t>Bogucka</t>
  </si>
  <si>
    <t>Marta Monika</t>
  </si>
  <si>
    <t>0011686343</t>
  </si>
  <si>
    <t>+48 665 874 506</t>
  </si>
  <si>
    <t>Ludwika Warynskiego, 4/11, Wodzislaw Slaski, 44-300, PL</t>
  </si>
  <si>
    <t>5073</t>
  </si>
  <si>
    <t>Cieslar</t>
  </si>
  <si>
    <t>Daniel</t>
  </si>
  <si>
    <t>0011675122</t>
  </si>
  <si>
    <t>+48 731 712 224</t>
  </si>
  <si>
    <t>Szarych Szeregow, 18/8, Jastrzebie Zdroj, 44-330, PL</t>
  </si>
  <si>
    <t>5072</t>
  </si>
  <si>
    <t>0012985653</t>
  </si>
  <si>
    <t>+48 533 913 980</t>
  </si>
  <si>
    <t>4988</t>
  </si>
  <si>
    <t>Cygon</t>
  </si>
  <si>
    <t>Adam Marek</t>
  </si>
  <si>
    <t>0013067733</t>
  </si>
  <si>
    <t>+48 690 822 113</t>
  </si>
  <si>
    <t>ks. Henryka Joski, 27b/2, Rybnik, 44-217, PL</t>
  </si>
  <si>
    <t>5023</t>
  </si>
  <si>
    <t>Gozdur</t>
  </si>
  <si>
    <t>Oliwia Katarzyna</t>
  </si>
  <si>
    <t>0013058765</t>
  </si>
  <si>
    <t>+48 791 369 259</t>
  </si>
  <si>
    <t>Wroclawska, 15/33, Jastrzebie Zdroj, 44-335, PL</t>
  </si>
  <si>
    <t>4808</t>
  </si>
  <si>
    <t>Grabiec</t>
  </si>
  <si>
    <t>Joanna Ewelina</t>
  </si>
  <si>
    <t>0012991063</t>
  </si>
  <si>
    <t>+48 792 586 210</t>
  </si>
  <si>
    <t>Zorska, 83, Orzesze, 43-180, PL</t>
  </si>
  <si>
    <t>5068</t>
  </si>
  <si>
    <t>Guzowska</t>
  </si>
  <si>
    <t>Danuta Maria</t>
  </si>
  <si>
    <t>0011598583</t>
  </si>
  <si>
    <t>+48 693 063 451</t>
  </si>
  <si>
    <t>Prusa, 3/1, Wodzislaw Slaski, 44-300, PL</t>
  </si>
  <si>
    <t>4639</t>
  </si>
  <si>
    <t>Herman</t>
  </si>
  <si>
    <t>Zaneta Katarzyna</t>
  </si>
  <si>
    <t>0012971953</t>
  </si>
  <si>
    <t>661 051 789</t>
  </si>
  <si>
    <t>Irysowa, 13 B m.9, Radlin, 44-310, PL</t>
  </si>
  <si>
    <t>4691</t>
  </si>
  <si>
    <t>Hyla</t>
  </si>
  <si>
    <t>Mariola Weronika</t>
  </si>
  <si>
    <t>0012946852</t>
  </si>
  <si>
    <t>+48 697 411 499</t>
  </si>
  <si>
    <t>Gronowa, 9I, Rybnik, 44-251, PL</t>
  </si>
  <si>
    <t>4712</t>
  </si>
  <si>
    <t>Chrobok</t>
  </si>
  <si>
    <t>Aldona Paulina</t>
  </si>
  <si>
    <t>0013083707</t>
  </si>
  <si>
    <t>+48 797 351 014</t>
  </si>
  <si>
    <t>Gen. Leopolda Okulickiego, 51Y, Rybnik, 44-274, PL</t>
  </si>
  <si>
    <t>4417</t>
  </si>
  <si>
    <t>Kamený</t>
  </si>
  <si>
    <t>Ivo</t>
  </si>
  <si>
    <t>0013076933</t>
  </si>
  <si>
    <t>702 644 247</t>
  </si>
  <si>
    <t>Václava Košaře, 123/3, Ostrava - Dubina, 700 30, CZ</t>
  </si>
  <si>
    <t>4567</t>
  </si>
  <si>
    <t>Kastelik</t>
  </si>
  <si>
    <t>Malgorzata Barbara</t>
  </si>
  <si>
    <t>0011609291</t>
  </si>
  <si>
    <t>+48 888 830 956</t>
  </si>
  <si>
    <t>Katowicka, 22/35, Jastrzebie Zdroj, 44-335, PL</t>
  </si>
  <si>
    <t>4651</t>
  </si>
  <si>
    <t>Kolanowski</t>
  </si>
  <si>
    <t>Dawid Piotr</t>
  </si>
  <si>
    <t>0011675538</t>
  </si>
  <si>
    <t>+48 510 141 501</t>
  </si>
  <si>
    <t>Ruchu Oporu, 35 m.6, Jastrzebie-Zdrój, 44-335, PL</t>
  </si>
  <si>
    <t>4648</t>
  </si>
  <si>
    <t>Kolodziejczak</t>
  </si>
  <si>
    <t>Bartosz Szymon</t>
  </si>
  <si>
    <t>0011704646</t>
  </si>
  <si>
    <t>+48 506 338 175</t>
  </si>
  <si>
    <t>Dębowa, 9, Marklowice, 44-321, PL</t>
  </si>
  <si>
    <t>5032</t>
  </si>
  <si>
    <t>Kosak</t>
  </si>
  <si>
    <t>Dawid Wieslaw</t>
  </si>
  <si>
    <t>0013013030</t>
  </si>
  <si>
    <t>+48 660 645 044</t>
  </si>
  <si>
    <t>Zamkowa, 33, Tworkow, 47-451, PL</t>
  </si>
  <si>
    <t>4572</t>
  </si>
  <si>
    <t>Krzeminska</t>
  </si>
  <si>
    <t>Justyna Sylwia</t>
  </si>
  <si>
    <t>0011642035</t>
  </si>
  <si>
    <t>+48 726 770 619</t>
  </si>
  <si>
    <t>Stefana Batorego, 19/1, Wodzislaw Slaski, 44-300, PL</t>
  </si>
  <si>
    <t>5060</t>
  </si>
  <si>
    <t>Leszczynska</t>
  </si>
  <si>
    <t>Ewa Stefania</t>
  </si>
  <si>
    <t>0011766449</t>
  </si>
  <si>
    <t>+48 697 524 225</t>
  </si>
  <si>
    <t>Gustawa Morcinka, 13A/2, Rybnik, 44-273, PL</t>
  </si>
  <si>
    <t>4693</t>
  </si>
  <si>
    <t>Malina</t>
  </si>
  <si>
    <t>Kinga Laura</t>
  </si>
  <si>
    <t>0011765266</t>
  </si>
  <si>
    <t>+48 728 715 619</t>
  </si>
  <si>
    <t>Gronowa, 9K, Rybnik, 44-251, PL</t>
  </si>
  <si>
    <t>5067</t>
  </si>
  <si>
    <t>Merta</t>
  </si>
  <si>
    <t>Nikola Dorota</t>
  </si>
  <si>
    <t>0013050746</t>
  </si>
  <si>
    <t>+48 782 786 694</t>
  </si>
  <si>
    <t>Dabrowki, 15E/30, Rybnik, 44-210, PL</t>
  </si>
  <si>
    <t>5115</t>
  </si>
  <si>
    <t>Michalik</t>
  </si>
  <si>
    <t>Maryla Irena</t>
  </si>
  <si>
    <t>0013049688</t>
  </si>
  <si>
    <t>+48 691 900 888</t>
  </si>
  <si>
    <t>Wielkopolska, 49, Jastrzebie Zdroj, 44-335, PL</t>
  </si>
  <si>
    <t>3582</t>
  </si>
  <si>
    <t>Moch</t>
  </si>
  <si>
    <t>Roman</t>
  </si>
  <si>
    <t>0012001867</t>
  </si>
  <si>
    <t>604 577 499</t>
  </si>
  <si>
    <t>Těšínská, 87/281, Ostrava - Radvanice, 716 00, CZ</t>
  </si>
  <si>
    <t>5022</t>
  </si>
  <si>
    <t>Ogon</t>
  </si>
  <si>
    <t>Agata</t>
  </si>
  <si>
    <t>0013390528</t>
  </si>
  <si>
    <t>+48 532 571 498</t>
  </si>
  <si>
    <t>Osiedle Pawlikowskiego, 5E/3, Zory, 44-240, PL</t>
  </si>
  <si>
    <t>5016</t>
  </si>
  <si>
    <t>Paszek</t>
  </si>
  <si>
    <t>Marta Agnieszka</t>
  </si>
  <si>
    <t>0011962568</t>
  </si>
  <si>
    <t>+48 514 186 557</t>
  </si>
  <si>
    <t>Jozefa Pukowca, 10/3, Rybnik, 44-206, PL</t>
  </si>
  <si>
    <t>4909</t>
  </si>
  <si>
    <t>Pawliczek</t>
  </si>
  <si>
    <t>Malgorzata Anna</t>
  </si>
  <si>
    <t>0013390743</t>
  </si>
  <si>
    <t>+48 504 160 397</t>
  </si>
  <si>
    <t>Piaskowa, 12, Jankowice, 44-264, PL</t>
  </si>
  <si>
    <t>Piecha</t>
  </si>
  <si>
    <t>0013384755</t>
  </si>
  <si>
    <t>+48 661 732 025</t>
  </si>
  <si>
    <t>Jastrzebia, 2/1, Zory, 44-240, PL</t>
  </si>
  <si>
    <t>4989</t>
  </si>
  <si>
    <t>Wieslaw Jan</t>
  </si>
  <si>
    <t>0013308933</t>
  </si>
  <si>
    <t>+48 668 428 354</t>
  </si>
  <si>
    <t>Chrobrego, 15, Wodzislaw Slaski, 44-313, PL</t>
  </si>
  <si>
    <t>5031</t>
  </si>
  <si>
    <t>Pietrasz</t>
  </si>
  <si>
    <t>Wiktoria Grazyna</t>
  </si>
  <si>
    <t>0011995107</t>
  </si>
  <si>
    <t>+48 501 148 289</t>
  </si>
  <si>
    <t>Raciborska, 21, Tworkow, 47-451, PL</t>
  </si>
  <si>
    <t>5116</t>
  </si>
  <si>
    <t>Pírková</t>
  </si>
  <si>
    <t>Šárka</t>
  </si>
  <si>
    <t>0013373156</t>
  </si>
  <si>
    <t>+420 702 974 15</t>
  </si>
  <si>
    <t>Šimáčkova, 1011/25, Ostrava - Mariánské Hory, 709 00, CZ</t>
  </si>
  <si>
    <t>5019</t>
  </si>
  <si>
    <t>Poterala</t>
  </si>
  <si>
    <t>Anna Ewa</t>
  </si>
  <si>
    <t>0013335643</t>
  </si>
  <si>
    <t>+48 576 090 507</t>
  </si>
  <si>
    <t>Osiedle 700-Lecia, 4B/2, Zory, 44-240, PL</t>
  </si>
  <si>
    <t>4973</t>
  </si>
  <si>
    <t>Puchalska</t>
  </si>
  <si>
    <t>Monika Maria</t>
  </si>
  <si>
    <t>0011842666</t>
  </si>
  <si>
    <t>+48 798 789 269</t>
  </si>
  <si>
    <t>Os. Pawlikowskiego, 20A/22, Zory, 44-240, PL</t>
  </si>
  <si>
    <t>4900</t>
  </si>
  <si>
    <t>Rowinski</t>
  </si>
  <si>
    <t>Rafal Jacek</t>
  </si>
  <si>
    <t>0013055194</t>
  </si>
  <si>
    <t>+48 791 363 746</t>
  </si>
  <si>
    <t>Przemyslawa, 18E/6, Wodzislaw Slaski, 44-300, PL</t>
  </si>
  <si>
    <t>4969</t>
  </si>
  <si>
    <t>Szulik</t>
  </si>
  <si>
    <t>Aleksandra Beata</t>
  </si>
  <si>
    <t>0013069516</t>
  </si>
  <si>
    <t>+48 503 065 201</t>
  </si>
  <si>
    <t>Orzepowicka, 33, Rybnik, 44-217, PL</t>
  </si>
  <si>
    <t>4711</t>
  </si>
  <si>
    <t>Szymanska</t>
  </si>
  <si>
    <t>Alina Barbara</t>
  </si>
  <si>
    <t>0013068368</t>
  </si>
  <si>
    <t>+48 793 385 840</t>
  </si>
  <si>
    <t>Rericha, 38, Rybnik, 44-274, PL</t>
  </si>
  <si>
    <t>4538</t>
  </si>
  <si>
    <t>Šlehoferová</t>
  </si>
  <si>
    <t>Veronika</t>
  </si>
  <si>
    <t>0013122215</t>
  </si>
  <si>
    <t>+420 721 012 37</t>
  </si>
  <si>
    <t>Žižice, 31, Žižice, 273 21, CZ</t>
  </si>
  <si>
    <t>4999</t>
  </si>
  <si>
    <t>Tychowski</t>
  </si>
  <si>
    <t>Lukasz Tadeusz</t>
  </si>
  <si>
    <t>0013027539</t>
  </si>
  <si>
    <t>+31 623 247 402</t>
  </si>
  <si>
    <t>Gustawa Morcinka, 37/37, Rybnik, 44-273, PL</t>
  </si>
  <si>
    <t>4884</t>
  </si>
  <si>
    <t>Wezka</t>
  </si>
  <si>
    <t>Iwona</t>
  </si>
  <si>
    <t>0011613672</t>
  </si>
  <si>
    <t>+48 726 855 893</t>
  </si>
  <si>
    <t>Slaska, 17/60, Jastrzebie Zdroj, 44-335, PL</t>
  </si>
  <si>
    <t>5048</t>
  </si>
  <si>
    <t>Wojak</t>
  </si>
  <si>
    <t>0012017941</t>
  </si>
  <si>
    <t>+48 788 892 082</t>
  </si>
  <si>
    <t>Gornicza, 46/8, Wodzislaw Slaski, 44-307, PL</t>
  </si>
  <si>
    <t>5205</t>
  </si>
  <si>
    <t>Bach</t>
  </si>
  <si>
    <t>Michalina Wiktoria</t>
  </si>
  <si>
    <t>+48 664 128 463</t>
  </si>
  <si>
    <t>Zgodna 7, Pniowek, 43-251</t>
  </si>
  <si>
    <t>5188</t>
  </si>
  <si>
    <t>Belica</t>
  </si>
  <si>
    <t>Bartosz Piotr</t>
  </si>
  <si>
    <t>+48 721 505 226</t>
  </si>
  <si>
    <t>Wroclawska 35/4, Jastrzebie Zdroj, 44-335</t>
  </si>
  <si>
    <t>3951</t>
  </si>
  <si>
    <t>Brachman</t>
  </si>
  <si>
    <t>Piotr Leszek</t>
  </si>
  <si>
    <t>+48 516 350 901</t>
  </si>
  <si>
    <t>Bojownikow 128, Wodzislaw Slaski, 44-313</t>
  </si>
  <si>
    <t>4894</t>
  </si>
  <si>
    <t>Bujak</t>
  </si>
  <si>
    <t>Beniamin Salamon</t>
  </si>
  <si>
    <t>+48 534 066 058</t>
  </si>
  <si>
    <t>Blogocka 30c/8, Cieszyn, 43-400</t>
  </si>
  <si>
    <t>3359</t>
  </si>
  <si>
    <t>Radoslaw Jakub</t>
  </si>
  <si>
    <t>+48 721 009447</t>
  </si>
  <si>
    <t>Adama Mickiewicza 6 m.4, Rydultowy, 44-280</t>
  </si>
  <si>
    <t>5267</t>
  </si>
  <si>
    <t>Deren</t>
  </si>
  <si>
    <t>Przemyslaw Marcin</t>
  </si>
  <si>
    <t>+48 698 346 757</t>
  </si>
  <si>
    <t>Malopolska 75/1, Jastrzebie Zdroj, 44-335</t>
  </si>
  <si>
    <t>5237</t>
  </si>
  <si>
    <t>Kaminski</t>
  </si>
  <si>
    <t>Seweryn Jan</t>
  </si>
  <si>
    <t>+48 507 781 005</t>
  </si>
  <si>
    <t>Aleja Armii Krajowej 31A/1, Zory, 44-240</t>
  </si>
  <si>
    <t>5164</t>
  </si>
  <si>
    <t>Koscianska</t>
  </si>
  <si>
    <t>+48 784 402 775</t>
  </si>
  <si>
    <t>Gornicza 15/3, Wodzislaw Slaski, 44-300</t>
  </si>
  <si>
    <t>5030</t>
  </si>
  <si>
    <t>Kowalska</t>
  </si>
  <si>
    <t>Klaudia Maria</t>
  </si>
  <si>
    <t>+48 503 120 538</t>
  </si>
  <si>
    <t>Gleboka 17/3, Cieszyn, 43-400</t>
  </si>
  <si>
    <t>3262</t>
  </si>
  <si>
    <t>Lorenc</t>
  </si>
  <si>
    <t>Pawel Jan</t>
  </si>
  <si>
    <t>+48 663 474 887</t>
  </si>
  <si>
    <t>Osiedle Księcia Władysława 6B/22, Zory, 44-241</t>
  </si>
  <si>
    <t>Magiera</t>
  </si>
  <si>
    <t>Dorota Maria</t>
  </si>
  <si>
    <t>+48 600 583 590</t>
  </si>
  <si>
    <t>Lipowa 11, Zamarski, 43-419</t>
  </si>
  <si>
    <t>5138</t>
  </si>
  <si>
    <t>Maslowski</t>
  </si>
  <si>
    <t>Dominik Marek</t>
  </si>
  <si>
    <t>+48 724 602 137</t>
  </si>
  <si>
    <t>Osiedle Wojciecha Korfantego 6A/23, Zory, 44-240</t>
  </si>
  <si>
    <t>5240</t>
  </si>
  <si>
    <t>Michon</t>
  </si>
  <si>
    <t>Adam Antoni</t>
  </si>
  <si>
    <t>+48 789 720 605</t>
  </si>
  <si>
    <t>Kusocinskiego 37/8, Jastrzebie Zdroj, 44-335</t>
  </si>
  <si>
    <t>4392</t>
  </si>
  <si>
    <t>Milek</t>
  </si>
  <si>
    <t>Michal Jerzy</t>
  </si>
  <si>
    <t>+48 730 393 595</t>
  </si>
  <si>
    <t>Krzyzkowicka 76, Rydultowy, 44280</t>
  </si>
  <si>
    <t>4482</t>
  </si>
  <si>
    <t>Mochnacz</t>
  </si>
  <si>
    <t>Lukasz Teodor</t>
  </si>
  <si>
    <t>+48 534 996 548</t>
  </si>
  <si>
    <t>Budowlanych 45B/24, Rybnik, 44-217</t>
  </si>
  <si>
    <t>5225</t>
  </si>
  <si>
    <t>Nagi</t>
  </si>
  <si>
    <t>Daniel Kamil</t>
  </si>
  <si>
    <t>+48 786 100 892</t>
  </si>
  <si>
    <t>Gornicza 19C/4, Rybnik, 44-206</t>
  </si>
  <si>
    <t>5137</t>
  </si>
  <si>
    <t>Nalik</t>
  </si>
  <si>
    <t>Dawid Jozef</t>
  </si>
  <si>
    <t>+48 504 764 435</t>
  </si>
  <si>
    <t>Sportowa 136, Rybnik, 44-273</t>
  </si>
  <si>
    <t>5266</t>
  </si>
  <si>
    <t>Nicinski</t>
  </si>
  <si>
    <t>Dawid Jerzy</t>
  </si>
  <si>
    <t>+48 667 152 330</t>
  </si>
  <si>
    <t>Plebiscytowa 36/38, Rydultowy, 44-280</t>
  </si>
  <si>
    <t>4895</t>
  </si>
  <si>
    <t>Osowski</t>
  </si>
  <si>
    <t>Piotr Kondrad</t>
  </si>
  <si>
    <t>+48 502 022 311</t>
  </si>
  <si>
    <t>Sikorskiego 3/15, Cieszyn, 43-400</t>
  </si>
  <si>
    <t>5169</t>
  </si>
  <si>
    <t>Paczkowska</t>
  </si>
  <si>
    <t>Sylwia Renata</t>
  </si>
  <si>
    <t>+48 780 086 560</t>
  </si>
  <si>
    <t>Gorna 30/27, Cieszyn, 43-400</t>
  </si>
  <si>
    <t>3063</t>
  </si>
  <si>
    <t>Poloczek</t>
  </si>
  <si>
    <t>Jadwiga Barbara</t>
  </si>
  <si>
    <t>+48502399526</t>
  </si>
  <si>
    <t>Gagarina 110/34, Jastrzebie-Zdroj, 44268</t>
  </si>
  <si>
    <t>5242</t>
  </si>
  <si>
    <t>Przewoznik</t>
  </si>
  <si>
    <t>Piotr Andrzej</t>
  </si>
  <si>
    <t>+48 571 252 886</t>
  </si>
  <si>
    <t>Wolnosci 4/25, Radlin, 44-310</t>
  </si>
  <si>
    <t>2600</t>
  </si>
  <si>
    <t>Stanisz</t>
  </si>
  <si>
    <t>Pawel Piotr</t>
  </si>
  <si>
    <t>+48 577 657 367</t>
  </si>
  <si>
    <t>Kusocinskiego Janusza 37/7, Jastrzebie-Zdrój, 44335</t>
  </si>
  <si>
    <t>Surowiec</t>
  </si>
  <si>
    <t>Dominik Szymon</t>
  </si>
  <si>
    <t>+48 604 727 847</t>
  </si>
  <si>
    <t>Wiejska 29c/1, Jastrzebie Zdroj, 44-338</t>
  </si>
  <si>
    <t>5263</t>
  </si>
  <si>
    <t>Wiktorowicz</t>
  </si>
  <si>
    <t>Daniel Marek</t>
  </si>
  <si>
    <t>+48 607 048 785</t>
  </si>
  <si>
    <t>Os. Powstancow Slaskich 7C/23, Zory, 44-240</t>
  </si>
  <si>
    <t>5241</t>
  </si>
  <si>
    <t>Wilczynski</t>
  </si>
  <si>
    <t>Kamil Adrian</t>
  </si>
  <si>
    <t>+48 667 104 348</t>
  </si>
  <si>
    <t>Ofiar Terroru 97/20, Rydultowy, 44-280</t>
  </si>
  <si>
    <t>5264</t>
  </si>
  <si>
    <t>Wisiorek</t>
  </si>
  <si>
    <t>Lukasz Jakub</t>
  </si>
  <si>
    <t>+48 574 144 290</t>
  </si>
  <si>
    <t>Kwiatowa 9, Osiek, 32-608</t>
  </si>
  <si>
    <t>4800</t>
  </si>
  <si>
    <t>Wójt</t>
  </si>
  <si>
    <t>Sebastian Slawomir</t>
  </si>
  <si>
    <t>+48 518 569 970</t>
  </si>
  <si>
    <t>Alfonsa Zgrzebnioka 2B/1, Rybnik, 44-200</t>
  </si>
  <si>
    <t>4810</t>
  </si>
  <si>
    <t>Wrona</t>
  </si>
  <si>
    <t>Dawid Sebastian</t>
  </si>
  <si>
    <t>+48 792 303 447</t>
  </si>
  <si>
    <t>Cieszyńska 65, Bażanowice, 43-440</t>
  </si>
  <si>
    <t>5207</t>
  </si>
  <si>
    <t>Zydek</t>
  </si>
  <si>
    <t>Joanna Monika</t>
  </si>
  <si>
    <t>+48 692 317 326</t>
  </si>
  <si>
    <t>Spacerowa 104, Radlin, 44-310</t>
  </si>
  <si>
    <t>4933</t>
  </si>
  <si>
    <t>Balcerak</t>
  </si>
  <si>
    <t>Julia Sabina</t>
  </si>
  <si>
    <t>0001867369</t>
  </si>
  <si>
    <t>+48 519 681 362</t>
  </si>
  <si>
    <t>Krucza 10A/9, Pawłowice, 43-251</t>
  </si>
  <si>
    <t>4673</t>
  </si>
  <si>
    <t>Balwierz</t>
  </si>
  <si>
    <t>Piotr Marian</t>
  </si>
  <si>
    <t>0001325821</t>
  </si>
  <si>
    <t>+48 785 949 500</t>
  </si>
  <si>
    <t>Wrzosowa 23/2, Jastrzebie-Zdroj, 44-335</t>
  </si>
  <si>
    <t>4869</t>
  </si>
  <si>
    <t>Bassler</t>
  </si>
  <si>
    <t>Lukáš</t>
  </si>
  <si>
    <t>0001833613</t>
  </si>
  <si>
    <t>+420 722 755 97</t>
  </si>
  <si>
    <t>Dukelská 765, Třinec - Lyžbice, 739 61</t>
  </si>
  <si>
    <t>30</t>
  </si>
  <si>
    <t>Baszczynski</t>
  </si>
  <si>
    <t>Bogdan Adolf</t>
  </si>
  <si>
    <t>00013283478</t>
  </si>
  <si>
    <t>+48 792 742 229</t>
  </si>
  <si>
    <t>Pawla Bobka 5/10, Cieszyn, 43-400</t>
  </si>
  <si>
    <t>5136</t>
  </si>
  <si>
    <t>Bedla</t>
  </si>
  <si>
    <t>Pawel Roman</t>
  </si>
  <si>
    <t>0001985246</t>
  </si>
  <si>
    <t>+48 501 214 878</t>
  </si>
  <si>
    <t>Siedmiu Zrodel 33A, Kielce, 25-821</t>
  </si>
  <si>
    <t>4950</t>
  </si>
  <si>
    <t>Sebastian Maciej</t>
  </si>
  <si>
    <t>0001930126</t>
  </si>
  <si>
    <t>+48 696 473 540</t>
  </si>
  <si>
    <t>Sikorskiego 5/17, Cieszyn, 43-400</t>
  </si>
  <si>
    <t>5047</t>
  </si>
  <si>
    <t>Bialozyt</t>
  </si>
  <si>
    <t>0001988772</t>
  </si>
  <si>
    <t>+48 510 238 811</t>
  </si>
  <si>
    <t>Jasminowa 10, Ustron, 43-450</t>
  </si>
  <si>
    <t>5153</t>
  </si>
  <si>
    <t>Biniek</t>
  </si>
  <si>
    <t>0001937065</t>
  </si>
  <si>
    <t>+48 792 972 144</t>
  </si>
  <si>
    <t>Os. Sikorskiego 20J/2, Zory, 44-240</t>
  </si>
  <si>
    <t>5157</t>
  </si>
  <si>
    <t>Blahut</t>
  </si>
  <si>
    <t>Mateusz Pawel</t>
  </si>
  <si>
    <t>0001257912</t>
  </si>
  <si>
    <t>+48 516 918 197</t>
  </si>
  <si>
    <t>Lipowa 12A, Pruchna, 43-523</t>
  </si>
  <si>
    <t>4961</t>
  </si>
  <si>
    <t>Bochenek</t>
  </si>
  <si>
    <t>Adam Piotr</t>
  </si>
  <si>
    <t>0001928484</t>
  </si>
  <si>
    <t>+48 790 550 612</t>
  </si>
  <si>
    <t>Skrzypka 4/2, Cieszyn, 43-400</t>
  </si>
  <si>
    <t>4616</t>
  </si>
  <si>
    <t>Damian Krzysztof</t>
  </si>
  <si>
    <t>0001405843</t>
  </si>
  <si>
    <t>+48 600 636 889</t>
  </si>
  <si>
    <t>Cedrowa 5, Kiczyce, 43-430</t>
  </si>
  <si>
    <t>5061</t>
  </si>
  <si>
    <t>Borek</t>
  </si>
  <si>
    <t>Zuzanna Wladyslawa</t>
  </si>
  <si>
    <t>0001988512</t>
  </si>
  <si>
    <t>+48 572 845 201</t>
  </si>
  <si>
    <t>1 Maja 35/15, Wodzislaw Slaski, 44-304</t>
  </si>
  <si>
    <t>4721</t>
  </si>
  <si>
    <t>Borska</t>
  </si>
  <si>
    <t>0003370037</t>
  </si>
  <si>
    <t>+48 882 717 094</t>
  </si>
  <si>
    <t>Borynska 1, Warszowice, 43-254</t>
  </si>
  <si>
    <t>5008</t>
  </si>
  <si>
    <t>Borzecki</t>
  </si>
  <si>
    <t>Adam Stefan</t>
  </si>
  <si>
    <t>0002005358</t>
  </si>
  <si>
    <t>+48 609 177 888</t>
  </si>
  <si>
    <t>Zwirki i Wigury 14, Wodzislaw Slaski, 44-300</t>
  </si>
  <si>
    <t>4845</t>
  </si>
  <si>
    <t>Leszek Sylwester</t>
  </si>
  <si>
    <t>000291517620</t>
  </si>
  <si>
    <t>+48 799 082 871</t>
  </si>
  <si>
    <t>4898</t>
  </si>
  <si>
    <t>Cuber</t>
  </si>
  <si>
    <t>Sonia Katarzyna</t>
  </si>
  <si>
    <t>0003375097</t>
  </si>
  <si>
    <t>+48 783 193 669</t>
  </si>
  <si>
    <t>Wiejska 29a, Gorzyce, 44-350</t>
  </si>
  <si>
    <t>47</t>
  </si>
  <si>
    <t>Cwiklinska</t>
  </si>
  <si>
    <t>Alicja Katarzyna</t>
  </si>
  <si>
    <t>0013123141</t>
  </si>
  <si>
    <t>+48 573 239 948</t>
  </si>
  <si>
    <t>Wrebowa 14B m.20, Rybnik, 44-270</t>
  </si>
  <si>
    <t>5168</t>
  </si>
  <si>
    <t>Czerwinska</t>
  </si>
  <si>
    <t>Kinga Karolina</t>
  </si>
  <si>
    <t>0004489951</t>
  </si>
  <si>
    <t>+48 786 981 086</t>
  </si>
  <si>
    <t>Bobka 8/4, Cieszyn, 43-400</t>
  </si>
  <si>
    <t>Czyź</t>
  </si>
  <si>
    <t>Natalia Dominika</t>
  </si>
  <si>
    <t>0001867350</t>
  </si>
  <si>
    <t>+48 795 756 172</t>
  </si>
  <si>
    <t>Wyższa Brama 17, Cieszyn, 43-400</t>
  </si>
  <si>
    <t>49</t>
  </si>
  <si>
    <t>Damis</t>
  </si>
  <si>
    <t>Malgorzata Maria</t>
  </si>
  <si>
    <t>0009531966</t>
  </si>
  <si>
    <t>Jutrzenki 10, Zebrzydowice, 43-410</t>
  </si>
  <si>
    <t>286</t>
  </si>
  <si>
    <t>Dormowicz</t>
  </si>
  <si>
    <t>Marta Ewelina</t>
  </si>
  <si>
    <t>0005160737</t>
  </si>
  <si>
    <t>+48 518 679 641</t>
  </si>
  <si>
    <t>Czecha 4/1, Radlin, 44-310</t>
  </si>
  <si>
    <t>4865</t>
  </si>
  <si>
    <t>Wiktoria Marta</t>
  </si>
  <si>
    <t>0003514629</t>
  </si>
  <si>
    <t>+48 784 009 068</t>
  </si>
  <si>
    <t>Bronislawa Czecha 4/1, Radlin, 44-310</t>
  </si>
  <si>
    <t>4610</t>
  </si>
  <si>
    <t>Druzbanska</t>
  </si>
  <si>
    <t>Dorota Barbara</t>
  </si>
  <si>
    <t>0001303232</t>
  </si>
  <si>
    <t>+48 530 626 255</t>
  </si>
  <si>
    <t>Rybnicka 31, Szczerbice, 44-293</t>
  </si>
  <si>
    <t>5162</t>
  </si>
  <si>
    <t>Dziacko</t>
  </si>
  <si>
    <t>Marta Magdalena</t>
  </si>
  <si>
    <t>0004941641</t>
  </si>
  <si>
    <t>+48 731 070 755</t>
  </si>
  <si>
    <t>3 Maja 37, Jastrzebie Zdroj, 44-335</t>
  </si>
  <si>
    <t>Elišer</t>
  </si>
  <si>
    <t>Václav</t>
  </si>
  <si>
    <t>0005010380</t>
  </si>
  <si>
    <t>+420 704 495 69</t>
  </si>
  <si>
    <t>Československé armády 487, Frýdek-Místek, Místek, 738 01</t>
  </si>
  <si>
    <t>62</t>
  </si>
  <si>
    <t>Ferfecki</t>
  </si>
  <si>
    <t>Lukasz Wiktor</t>
  </si>
  <si>
    <t>0004222254</t>
  </si>
  <si>
    <t>+48 799 074 575</t>
  </si>
  <si>
    <t>Sw. Marcina 85, Ochaby Wielkie, 43430</t>
  </si>
  <si>
    <t>4886</t>
  </si>
  <si>
    <t>Filipiak</t>
  </si>
  <si>
    <t>Karolina Paulina</t>
  </si>
  <si>
    <t>0004688704</t>
  </si>
  <si>
    <t>+48 502 063 042</t>
  </si>
  <si>
    <t>1 Maja 43/4, Rybnik, 44-206</t>
  </si>
  <si>
    <t>5124</t>
  </si>
  <si>
    <t>Gabčo</t>
  </si>
  <si>
    <t>0001988791</t>
  </si>
  <si>
    <t>702806209</t>
  </si>
  <si>
    <t>Jablunkovská 407, Třinec - Lyžbice, 739 61</t>
  </si>
  <si>
    <t>114</t>
  </si>
  <si>
    <t>Gatner</t>
  </si>
  <si>
    <t>Dominika Weronika</t>
  </si>
  <si>
    <t>0008337713</t>
  </si>
  <si>
    <t>+48 501 971 657</t>
  </si>
  <si>
    <t>Jana Kochanowskiego 11, Zebrzydowice, 43-410</t>
  </si>
  <si>
    <t>5071</t>
  </si>
  <si>
    <t>Gawenda</t>
  </si>
  <si>
    <t>Ewa Maria</t>
  </si>
  <si>
    <t>0001988752</t>
  </si>
  <si>
    <t>+48 515 347 421</t>
  </si>
  <si>
    <t>Lanowa 67, Pszow, 44-370</t>
  </si>
  <si>
    <t>4879</t>
  </si>
  <si>
    <t>Golyszna</t>
  </si>
  <si>
    <t>Daria Anna</t>
  </si>
  <si>
    <t>0004521242</t>
  </si>
  <si>
    <t>+48 535 973 692</t>
  </si>
  <si>
    <t>Wroclawska 17/11, Jastrzebie Zdroj, 44-335</t>
  </si>
  <si>
    <t>4489</t>
  </si>
  <si>
    <t>Graczewski</t>
  </si>
  <si>
    <t>Piotr</t>
  </si>
  <si>
    <t>0002003331</t>
  </si>
  <si>
    <t>+48 577 121 655</t>
  </si>
  <si>
    <t>os 1.Mája 18/2/1, Wodzislaw - Slaski, 44-304</t>
  </si>
  <si>
    <t>117</t>
  </si>
  <si>
    <t>0009567977</t>
  </si>
  <si>
    <t>+48 536 114 106</t>
  </si>
  <si>
    <t>1 Maja 18/2, Wodzislaw Slaski, 44-304</t>
  </si>
  <si>
    <t>5143</t>
  </si>
  <si>
    <t>Groborz</t>
  </si>
  <si>
    <t>Paulina Dominika</t>
  </si>
  <si>
    <t>0002036733</t>
  </si>
  <si>
    <t>+48 537 603 885</t>
  </si>
  <si>
    <t>Lompy 11d/9, Rybnik, 44-253</t>
  </si>
  <si>
    <t>118</t>
  </si>
  <si>
    <t>Gromotka</t>
  </si>
  <si>
    <t>Pawel Artur</t>
  </si>
  <si>
    <t>0004234930</t>
  </si>
  <si>
    <t>+48 696 289 479</t>
  </si>
  <si>
    <t>Gustawa Morcinka 55/11, Rybnik, 44-273</t>
  </si>
  <si>
    <t>4842</t>
  </si>
  <si>
    <t>Habierska</t>
  </si>
  <si>
    <t>Anna Agnieszka</t>
  </si>
  <si>
    <t>0004689675</t>
  </si>
  <si>
    <t>+48 608 717 392</t>
  </si>
  <si>
    <t>Slaska 29/12, Jastrzebie Zdroj, 44-335</t>
  </si>
  <si>
    <t>4985</t>
  </si>
  <si>
    <t>Wiktoria Anna</t>
  </si>
  <si>
    <t>0002005366</t>
  </si>
  <si>
    <t>+48 668 310 575</t>
  </si>
  <si>
    <t>120</t>
  </si>
  <si>
    <t>Hanke</t>
  </si>
  <si>
    <t>Ewelina Magdalena</t>
  </si>
  <si>
    <t>0004507174</t>
  </si>
  <si>
    <t>+48 515 303 091</t>
  </si>
  <si>
    <t>Ks.K. Boleslawa Kominka 145, Radlin, 44-310</t>
  </si>
  <si>
    <t>4620</t>
  </si>
  <si>
    <t>Hase</t>
  </si>
  <si>
    <t>Karina Danuta</t>
  </si>
  <si>
    <t>0001406423</t>
  </si>
  <si>
    <t>+48 512 546 336</t>
  </si>
  <si>
    <t>Karsibór 2/1, Karsibór, 78-609</t>
  </si>
  <si>
    <t>5125</t>
  </si>
  <si>
    <t>Herok</t>
  </si>
  <si>
    <t>Natalia Magdalena</t>
  </si>
  <si>
    <t>0001218561</t>
  </si>
  <si>
    <t>+48 512 171 549</t>
  </si>
  <si>
    <t>Gminna 6A, Cieszyn, 43-400</t>
  </si>
  <si>
    <t>5041</t>
  </si>
  <si>
    <t>Hojka</t>
  </si>
  <si>
    <t>Dariusz Zygfryd</t>
  </si>
  <si>
    <t>0008791985</t>
  </si>
  <si>
    <t>+48 516 107 433</t>
  </si>
  <si>
    <t>Lipowa 44D, Pszow, 44-370</t>
  </si>
  <si>
    <t>4981</t>
  </si>
  <si>
    <t>Justyna Katarzyna</t>
  </si>
  <si>
    <t>0001974139</t>
  </si>
  <si>
    <t>+48 503 767 760</t>
  </si>
  <si>
    <t>4997</t>
  </si>
  <si>
    <t>Homa</t>
  </si>
  <si>
    <t>Dorota Helena</t>
  </si>
  <si>
    <t>0001928492</t>
  </si>
  <si>
    <t>+48 697 481 819</t>
  </si>
  <si>
    <t>Mysliwska 66, Ustron, 43-450</t>
  </si>
  <si>
    <t>4871</t>
  </si>
  <si>
    <t>Chlebek</t>
  </si>
  <si>
    <t>Aleksandra Ewa</t>
  </si>
  <si>
    <t>0004569962</t>
  </si>
  <si>
    <t>+48 668 506 467</t>
  </si>
  <si>
    <t>Pawia 30A, Wisla-Mala, 43-243</t>
  </si>
  <si>
    <t>4755</t>
  </si>
  <si>
    <t>Chodorowska</t>
  </si>
  <si>
    <t>Barbara Miroslawa</t>
  </si>
  <si>
    <t>0001045792</t>
  </si>
  <si>
    <t>+48 606 929 590</t>
  </si>
  <si>
    <t>Śląska 15/36, Jastrzebie-Zdroj, 44-335</t>
  </si>
  <si>
    <t>4728</t>
  </si>
  <si>
    <t>Chojna</t>
  </si>
  <si>
    <t>Karolina Teresa</t>
  </si>
  <si>
    <t>0001372880</t>
  </si>
  <si>
    <t>+48 533 961 505</t>
  </si>
  <si>
    <t>Wincentego Styczyńskiego 6/1, Wodzislaw Slaski, 44-300</t>
  </si>
  <si>
    <t>4918</t>
  </si>
  <si>
    <t>Chrupcala</t>
  </si>
  <si>
    <t>Karolina Edyta</t>
  </si>
  <si>
    <t>00013280140</t>
  </si>
  <si>
    <t>+48 794 043 205</t>
  </si>
  <si>
    <t>Slaska 51d, Pszow, 44-370</t>
  </si>
  <si>
    <t>4960</t>
  </si>
  <si>
    <t>Jakubiec</t>
  </si>
  <si>
    <t>Krzysztof Grzegorz</t>
  </si>
  <si>
    <t>0001985501</t>
  </si>
  <si>
    <t>+48 538 332 346</t>
  </si>
  <si>
    <t>Ofiar Terroru 14/1, Rydultowy, 44-280</t>
  </si>
  <si>
    <t>4600</t>
  </si>
  <si>
    <t>Jamry</t>
  </si>
  <si>
    <t>Kamil</t>
  </si>
  <si>
    <t>0005757754</t>
  </si>
  <si>
    <t>+48 570 470 732</t>
  </si>
  <si>
    <t>Zrodlana 2, Konczyce Male, 43-410</t>
  </si>
  <si>
    <t>123</t>
  </si>
  <si>
    <t>Janczuk</t>
  </si>
  <si>
    <t>Mariola Anna</t>
  </si>
  <si>
    <t>0007815411</t>
  </si>
  <si>
    <t>+48 791 781 568</t>
  </si>
  <si>
    <t>Elizy Oreszkowej 16/4, Wodzislaw Slaski, 44-300</t>
  </si>
  <si>
    <t>4978</t>
  </si>
  <si>
    <t>Joschko</t>
  </si>
  <si>
    <t>Edyta Elzbieta</t>
  </si>
  <si>
    <t>0004488158</t>
  </si>
  <si>
    <t>+48 724 490 466</t>
  </si>
  <si>
    <t>26-Marca 74/8, Wodzislaw Slaski, 44-300</t>
  </si>
  <si>
    <t>4475</t>
  </si>
  <si>
    <t>Kaluza-Mendroch</t>
  </si>
  <si>
    <t>Zyta Barbara</t>
  </si>
  <si>
    <t>0009082992</t>
  </si>
  <si>
    <t>+48 604 884 044</t>
  </si>
  <si>
    <t>Stolarska 12, Gorki Wielkie, 43-436</t>
  </si>
  <si>
    <t>5140</t>
  </si>
  <si>
    <t>Kamyczek</t>
  </si>
  <si>
    <t>Slawomir Krzysztof</t>
  </si>
  <si>
    <t>0003368361</t>
  </si>
  <si>
    <t>+48 600 217 909</t>
  </si>
  <si>
    <t>Budowlana 16, Jastrzebie Zdroj, 44-336</t>
  </si>
  <si>
    <t>4977</t>
  </si>
  <si>
    <t>Kasprzak</t>
  </si>
  <si>
    <t>Kamila Agnieszka</t>
  </si>
  <si>
    <t>0001989091</t>
  </si>
  <si>
    <t>+48 501 850 675</t>
  </si>
  <si>
    <t>Szotkowicka 25 J, Jastrzebie Zdroj, 44-338</t>
  </si>
  <si>
    <t>4968</t>
  </si>
  <si>
    <t>Kissová</t>
  </si>
  <si>
    <t>Andrea</t>
  </si>
  <si>
    <t>0005179390</t>
  </si>
  <si>
    <t>+420 602 812 41</t>
  </si>
  <si>
    <t>Vedlejší 282/3, Havířov - Šumbark, 736 01</t>
  </si>
  <si>
    <t>4591</t>
  </si>
  <si>
    <t>Klimek</t>
  </si>
  <si>
    <t>Beata Anna</t>
  </si>
  <si>
    <t>0002036536</t>
  </si>
  <si>
    <t>+48 451 618 607</t>
  </si>
  <si>
    <t>Piastów 16/8, Jastrzębie-Zdrój, 44-335</t>
  </si>
  <si>
    <t>Koczwara</t>
  </si>
  <si>
    <t>Sabina Beata</t>
  </si>
  <si>
    <t>0001415256</t>
  </si>
  <si>
    <t>+48 510 562 489</t>
  </si>
  <si>
    <t>Boleslawa Prusa 13/4, Wodzislaw Slaski, 44-300</t>
  </si>
  <si>
    <t>5038</t>
  </si>
  <si>
    <t>Koch</t>
  </si>
  <si>
    <t>Lukasz Adam</t>
  </si>
  <si>
    <t>0001938460</t>
  </si>
  <si>
    <t>+48 503 976 242</t>
  </si>
  <si>
    <t>Hoza 39, Rybnik, 44-200</t>
  </si>
  <si>
    <t>4836</t>
  </si>
  <si>
    <t>Kopera</t>
  </si>
  <si>
    <t>Agnieszka Renata</t>
  </si>
  <si>
    <t>0001406893</t>
  </si>
  <si>
    <t>+48 516 775 436</t>
  </si>
  <si>
    <t>Katowicka 25/1, Jastrzebie Zdroj, 44-335</t>
  </si>
  <si>
    <t>4664</t>
  </si>
  <si>
    <t>Kopinska</t>
  </si>
  <si>
    <t>0001354214</t>
  </si>
  <si>
    <t>+48 600 254 863</t>
  </si>
  <si>
    <t>osiedle 1000-lecia 15/17, Jastrzebie-Zdroj, 44-268</t>
  </si>
  <si>
    <t>126</t>
  </si>
  <si>
    <t>Korab</t>
  </si>
  <si>
    <t>Karina Weronika</t>
  </si>
  <si>
    <t>0002705732</t>
  </si>
  <si>
    <t>+48 785 912 038</t>
  </si>
  <si>
    <t>Orzechowa 19/25, Wroclaw, 50-540</t>
  </si>
  <si>
    <t>Koscik</t>
  </si>
  <si>
    <t>0002005474</t>
  </si>
  <si>
    <t>+48 576 751 608</t>
  </si>
  <si>
    <t>Katowicka 15/35, Jastrzebie Zdroj, 44-335</t>
  </si>
  <si>
    <t>127</t>
  </si>
  <si>
    <t>Kotas</t>
  </si>
  <si>
    <t>Barbara Mariola</t>
  </si>
  <si>
    <t>0009534092</t>
  </si>
  <si>
    <t>+48 531 077 296</t>
  </si>
  <si>
    <t>Moniuszki 20 m.1, Jastrzebie-Zdroj, 44-335</t>
  </si>
  <si>
    <t>4847</t>
  </si>
  <si>
    <t>Kowaczik</t>
  </si>
  <si>
    <t>Bozena Jadwiga</t>
  </si>
  <si>
    <t>0008651978</t>
  </si>
  <si>
    <t>+48 787 286 512</t>
  </si>
  <si>
    <t>Kochanowskiego 3, Cieszyn, 43-400</t>
  </si>
  <si>
    <t>4777</t>
  </si>
  <si>
    <t>Krajewska</t>
  </si>
  <si>
    <t>Karina Wanda</t>
  </si>
  <si>
    <t>0001260827</t>
  </si>
  <si>
    <t>+48 606 883 863</t>
  </si>
  <si>
    <t>Osiedle Księcia Władysława 14H/9, Zory, 44-244</t>
  </si>
  <si>
    <t>4970</t>
  </si>
  <si>
    <t>Krypczyk</t>
  </si>
  <si>
    <t>Barbara Bronislawa</t>
  </si>
  <si>
    <t>0001964381</t>
  </si>
  <si>
    <t>+48 795 113 939</t>
  </si>
  <si>
    <t>Karola Miarki 6/12, Jastrzebie Zdroj, 44-335</t>
  </si>
  <si>
    <t>4897</t>
  </si>
  <si>
    <t>Krzaczek</t>
  </si>
  <si>
    <t>Dominika Bogumila</t>
  </si>
  <si>
    <t>0003536341</t>
  </si>
  <si>
    <t>+48 603 458 236</t>
  </si>
  <si>
    <t>Irysowa 5a/6, Radlin, 44-310</t>
  </si>
  <si>
    <t>5154</t>
  </si>
  <si>
    <t>Krzystala</t>
  </si>
  <si>
    <t>Wioletta Aldona</t>
  </si>
  <si>
    <t>0005701504</t>
  </si>
  <si>
    <t>+48 666 692 315</t>
  </si>
  <si>
    <t>Szotkowicka 62L, Jastrzebie Zdroj, 44-338</t>
  </si>
  <si>
    <t>4607</t>
  </si>
  <si>
    <t>Kubica</t>
  </si>
  <si>
    <t>Elzbieta</t>
  </si>
  <si>
    <t>0004942265</t>
  </si>
  <si>
    <t>+48 881 328 424</t>
  </si>
  <si>
    <t>Jastrzebia 4, Bielsko-Biala, 43-300</t>
  </si>
  <si>
    <t>4778</t>
  </si>
  <si>
    <t>Kucab</t>
  </si>
  <si>
    <t>Marzena Irena</t>
  </si>
  <si>
    <t>0001265052</t>
  </si>
  <si>
    <t>+48 663 466 790</t>
  </si>
  <si>
    <t>Osiedle Księcia Władysława 16E/6, Zory, 44-244</t>
  </si>
  <si>
    <t>4736</t>
  </si>
  <si>
    <t>Kuczynska</t>
  </si>
  <si>
    <t>Roksana Magdalena</t>
  </si>
  <si>
    <t>0008770469</t>
  </si>
  <si>
    <t>+48 883 789 908</t>
  </si>
  <si>
    <t>Orla 3/15, Zory, 44-240</t>
  </si>
  <si>
    <t>4939</t>
  </si>
  <si>
    <t>Kuklinski</t>
  </si>
  <si>
    <t>Patryk Szymon</t>
  </si>
  <si>
    <t>0001867372</t>
  </si>
  <si>
    <t>+48 538 389 272</t>
  </si>
  <si>
    <t>Raciborska 47, Jankowice, 47-430</t>
  </si>
  <si>
    <t>5051</t>
  </si>
  <si>
    <t>Kultys</t>
  </si>
  <si>
    <t>Dawid Albert</t>
  </si>
  <si>
    <t>0001938445</t>
  </si>
  <si>
    <t>+48 530 061 768</t>
  </si>
  <si>
    <t>os. Wladyslawa Sikorskiego 9M/7, Zory, 44-240</t>
  </si>
  <si>
    <t>4663</t>
  </si>
  <si>
    <t>Kurasik</t>
  </si>
  <si>
    <t>Monika Dorota</t>
  </si>
  <si>
    <t>0001089809</t>
  </si>
  <si>
    <t>+48 603 702 376</t>
  </si>
  <si>
    <t>Kurpiowska 17/12, Jastrzebie-Zdroj, 44-335</t>
  </si>
  <si>
    <t>5122</t>
  </si>
  <si>
    <t>Kurzydlo</t>
  </si>
  <si>
    <t>Jaroslaw Grzegorz</t>
  </si>
  <si>
    <t>0002028989</t>
  </si>
  <si>
    <t>+48 884 830 743</t>
  </si>
  <si>
    <t>Aleja Armii Krajowej 31F/4, Zory, 44-240</t>
  </si>
  <si>
    <t>4752</t>
  </si>
  <si>
    <t>Kwasniewska</t>
  </si>
  <si>
    <t>Aleksandra Krystyna</t>
  </si>
  <si>
    <t>0001332377</t>
  </si>
  <si>
    <t>+48 577 338 985</t>
  </si>
  <si>
    <t>osiedle Gwarków 24b/13, Zory, 44-240</t>
  </si>
  <si>
    <t>5134</t>
  </si>
  <si>
    <t>Kwiatkowski</t>
  </si>
  <si>
    <t>Mateusz Jaroslaw</t>
  </si>
  <si>
    <t>0001085245</t>
  </si>
  <si>
    <t>+48 535 029 058</t>
  </si>
  <si>
    <t>Cicha 1/27, Gdansk, 83-000</t>
  </si>
  <si>
    <t>57</t>
  </si>
  <si>
    <t>Kwitek</t>
  </si>
  <si>
    <t>Halina Agnieszka</t>
  </si>
  <si>
    <t>0008310028</t>
  </si>
  <si>
    <t>+48 691 453 631</t>
  </si>
  <si>
    <t>Ligonia 5b/3, Czerwoinka-Leszczyny, 44238</t>
  </si>
  <si>
    <t>4853</t>
  </si>
  <si>
    <t>Laszczak</t>
  </si>
  <si>
    <t>Jakub Patryk</t>
  </si>
  <si>
    <t>0001210284</t>
  </si>
  <si>
    <t>+48 796 125 231</t>
  </si>
  <si>
    <t>Zrodlana 3, Konczyce Male, 43-410</t>
  </si>
  <si>
    <t>131</t>
  </si>
  <si>
    <t>Latka</t>
  </si>
  <si>
    <t>Ewelina Ewa</t>
  </si>
  <si>
    <t>0013264228</t>
  </si>
  <si>
    <t>+48 514 082 204</t>
  </si>
  <si>
    <t>Adolfa Wodeckiego 2/11, Jastrzebie-Zdroj, 44-335</t>
  </si>
  <si>
    <t>4956</t>
  </si>
  <si>
    <t>Lewandowski</t>
  </si>
  <si>
    <t>Klaudiusz</t>
  </si>
  <si>
    <t>0001928241</t>
  </si>
  <si>
    <t>+48 605 447 215</t>
  </si>
  <si>
    <t>Gorny Bor 46, Skoczow, 43-430</t>
  </si>
  <si>
    <t>5002</t>
  </si>
  <si>
    <t>Lubinska</t>
  </si>
  <si>
    <t>Malgorzata Monika</t>
  </si>
  <si>
    <t>0003535138</t>
  </si>
  <si>
    <t>+48 664 195 773</t>
  </si>
  <si>
    <t>Dworcowa 3A/2, Ustron, 43-450</t>
  </si>
  <si>
    <t>5150</t>
  </si>
  <si>
    <t>Luczak</t>
  </si>
  <si>
    <t>Jessica Katarzyna</t>
  </si>
  <si>
    <t>0001208734</t>
  </si>
  <si>
    <t>+48 721 168 370</t>
  </si>
  <si>
    <t>Malopolska 29/6, Jastrzebie Zdroj, 44-335</t>
  </si>
  <si>
    <t>Macura</t>
  </si>
  <si>
    <t>Dorota</t>
  </si>
  <si>
    <t>0001313338</t>
  </si>
  <si>
    <t>+48 530 059 563</t>
  </si>
  <si>
    <t>Katowicka 23/33, Jastrzebie Zdroj, 44-335</t>
  </si>
  <si>
    <t>4868</t>
  </si>
  <si>
    <t>Kamil Damian</t>
  </si>
  <si>
    <t>0003315873</t>
  </si>
  <si>
    <t>+48 696 165 354</t>
  </si>
  <si>
    <t>Lesna 8, Pogwizdow, 43-418</t>
  </si>
  <si>
    <t>5026</t>
  </si>
  <si>
    <t>Machej</t>
  </si>
  <si>
    <t>Adrian</t>
  </si>
  <si>
    <t>0001829340</t>
  </si>
  <si>
    <t>+48 532 151 110</t>
  </si>
  <si>
    <t>Glowna 49, Hazlach, 43-419</t>
  </si>
  <si>
    <t>5142</t>
  </si>
  <si>
    <t>Malczyk</t>
  </si>
  <si>
    <t>Dominika</t>
  </si>
  <si>
    <t>0003359710</t>
  </si>
  <si>
    <t>+48 790 821 494</t>
  </si>
  <si>
    <t>Hallera 25, Cieszyn, 43-400</t>
  </si>
  <si>
    <t>5117</t>
  </si>
  <si>
    <t>Marciniak</t>
  </si>
  <si>
    <t>Michał Zbigniew</t>
  </si>
  <si>
    <t>0001985619</t>
  </si>
  <si>
    <t>+48 665 680 833</t>
  </si>
  <si>
    <t>Os. Sikorskiego Wladyslawa 20I/7, Zory, 44-240</t>
  </si>
  <si>
    <t>Marosz</t>
  </si>
  <si>
    <t>Damian Daniel</t>
  </si>
  <si>
    <t>0002036718</t>
  </si>
  <si>
    <t>+48 536 830 322</t>
  </si>
  <si>
    <t>Borny Bor 4/3, Skoczow, 43-430</t>
  </si>
  <si>
    <t>4937</t>
  </si>
  <si>
    <t>Matuszczak</t>
  </si>
  <si>
    <t>Weronika Izabela</t>
  </si>
  <si>
    <t>0001983879</t>
  </si>
  <si>
    <t>+48 576 730 229</t>
  </si>
  <si>
    <t>Jana Kochanowskiego 14, Zebrzydowice, 43-410</t>
  </si>
  <si>
    <t>5156</t>
  </si>
  <si>
    <t>Matuszek</t>
  </si>
  <si>
    <t>Tomasz Piotr</t>
  </si>
  <si>
    <t>0004942260</t>
  </si>
  <si>
    <t>+48 571 990 332</t>
  </si>
  <si>
    <t>Os. Orlowiec 27/2, Rydultowy, 44-280</t>
  </si>
  <si>
    <t>5004</t>
  </si>
  <si>
    <t>Meller</t>
  </si>
  <si>
    <t>Michal Stanislaw</t>
  </si>
  <si>
    <t>0002029090</t>
  </si>
  <si>
    <t>+48 667 194 610</t>
  </si>
  <si>
    <t>Dworcowa 12B/4, Radostowo, 83-120</t>
  </si>
  <si>
    <t>134</t>
  </si>
  <si>
    <t>Meyer</t>
  </si>
  <si>
    <t>Beata Katarzyna</t>
  </si>
  <si>
    <t>0291536371</t>
  </si>
  <si>
    <t>+48 791 884 399</t>
  </si>
  <si>
    <t>Osiedle Pawlikowskiego 5F m.3, Zory, 44-240</t>
  </si>
  <si>
    <t>136</t>
  </si>
  <si>
    <t>Mienkowska</t>
  </si>
  <si>
    <t>Edyta Ewa</t>
  </si>
  <si>
    <t>0013247004</t>
  </si>
  <si>
    <t>+48 514 226 388</t>
  </si>
  <si>
    <t>Janusza Kusocinskiego 30/3, Jastrzebie-Zdroj, 44-335</t>
  </si>
  <si>
    <t>4480</t>
  </si>
  <si>
    <t>Michalak</t>
  </si>
  <si>
    <t>Dominika Ilona</t>
  </si>
  <si>
    <t>0352190627322</t>
  </si>
  <si>
    <t>+48 731 521 972</t>
  </si>
  <si>
    <t>Karola Miarki 2/23, Jastrzębie-Zdrój, 44-330</t>
  </si>
  <si>
    <t>19</t>
  </si>
  <si>
    <t>Mikus</t>
  </si>
  <si>
    <t>0008777013</t>
  </si>
  <si>
    <t>739 908 169</t>
  </si>
  <si>
    <t>Jablunkovská 160, Třinec - Staré Město, 739 61</t>
  </si>
  <si>
    <t>5055</t>
  </si>
  <si>
    <t>Myszak</t>
  </si>
  <si>
    <t>Marek Jakub</t>
  </si>
  <si>
    <t>0001828445</t>
  </si>
  <si>
    <t>+48 531 975 169</t>
  </si>
  <si>
    <t>Sportowa 30, Piece, 44-293</t>
  </si>
  <si>
    <t>140</t>
  </si>
  <si>
    <t>Niedziela</t>
  </si>
  <si>
    <t>Patrycja Barbara</t>
  </si>
  <si>
    <t>0009093072</t>
  </si>
  <si>
    <t>+48 518 661 191</t>
  </si>
  <si>
    <t>Tadeusza Kosciuszki 61C, Rybnik, 44-200</t>
  </si>
  <si>
    <t>4791</t>
  </si>
  <si>
    <t>Niemczyk</t>
  </si>
  <si>
    <t>Daniel Marcin</t>
  </si>
  <si>
    <t>0003520045</t>
  </si>
  <si>
    <t>+48 698 762 534</t>
  </si>
  <si>
    <t>Bażanowicka 18, Ogrodzona, 43-426</t>
  </si>
  <si>
    <t>5121</t>
  </si>
  <si>
    <t>Niepsuj</t>
  </si>
  <si>
    <t>Karolina Magdalena</t>
  </si>
  <si>
    <t>0002028995</t>
  </si>
  <si>
    <t>+48 573 180 361</t>
  </si>
  <si>
    <t>Rynek 10/3, Orzesze, 43-180</t>
  </si>
  <si>
    <t>147</t>
  </si>
  <si>
    <t>Nowak</t>
  </si>
  <si>
    <t>Zaneta Barbara</t>
  </si>
  <si>
    <t>0003845781</t>
  </si>
  <si>
    <t>+48 796 929 819</t>
  </si>
  <si>
    <t>Kardynala S. Wyszynskiego 42/9, Wodzislaw Slaski, 44-300</t>
  </si>
  <si>
    <t>4416</t>
  </si>
  <si>
    <t>Nowak-Plucińska</t>
  </si>
  <si>
    <t>Beata Renata</t>
  </si>
  <si>
    <t>0008317624</t>
  </si>
  <si>
    <t>+48 791 998 879</t>
  </si>
  <si>
    <t>Wielkopolska 59/27, Jastrzebie-Zdroj, 44-335</t>
  </si>
  <si>
    <t>4557</t>
  </si>
  <si>
    <t>Nowicki</t>
  </si>
  <si>
    <t>Marek Grzegorz</t>
  </si>
  <si>
    <t>0001221376</t>
  </si>
  <si>
    <t>+48 534 026 451</t>
  </si>
  <si>
    <t>Czuchowska 25, Hazlach, 43-419</t>
  </si>
  <si>
    <t>5028</t>
  </si>
  <si>
    <t>Obodzinska-Blazicek</t>
  </si>
  <si>
    <t>Agnieszka Izabela</t>
  </si>
  <si>
    <t>0001343778</t>
  </si>
  <si>
    <t>+48 576 660 646</t>
  </si>
  <si>
    <t>Armii Krajowej 31F/2, Zory, 44-240</t>
  </si>
  <si>
    <t>146</t>
  </si>
  <si>
    <t>Olszanecka</t>
  </si>
  <si>
    <t>Beata Magdalena</t>
  </si>
  <si>
    <t>0004744103</t>
  </si>
  <si>
    <t>+48 784 624 084</t>
  </si>
  <si>
    <t>Slaska 34/18, Jastrzebie-Zdroj, 44-335</t>
  </si>
  <si>
    <t>4851</t>
  </si>
  <si>
    <t>Osak</t>
  </si>
  <si>
    <t>Pawel Michal</t>
  </si>
  <si>
    <t>0003363838</t>
  </si>
  <si>
    <t>+48 515561544</t>
  </si>
  <si>
    <t>Pikiety 12, Cieszyn, 43-400</t>
  </si>
  <si>
    <t>4951</t>
  </si>
  <si>
    <t>Pachula</t>
  </si>
  <si>
    <t>Wieslaw Marek</t>
  </si>
  <si>
    <t>0001928538</t>
  </si>
  <si>
    <t>+48 795 110 905</t>
  </si>
  <si>
    <t>Gustawa Morcinka 13/17, Skoczow, 43-430</t>
  </si>
  <si>
    <t>4967</t>
  </si>
  <si>
    <t>Palczewski</t>
  </si>
  <si>
    <t>Piotr Pawel</t>
  </si>
  <si>
    <t>0001932289</t>
  </si>
  <si>
    <t>+48 600 162 991</t>
  </si>
  <si>
    <t>Polna 25B/10, Pawlowice, 43-251</t>
  </si>
  <si>
    <t>4745</t>
  </si>
  <si>
    <t>Paprota</t>
  </si>
  <si>
    <t>Dominik Patryk</t>
  </si>
  <si>
    <t>0001279913</t>
  </si>
  <si>
    <t>+48 510 692 186</t>
  </si>
  <si>
    <t>Ul. Pikiety 43, Cieszyn, 43-400</t>
  </si>
  <si>
    <t>5029</t>
  </si>
  <si>
    <t>Pasinska</t>
  </si>
  <si>
    <t>Barbara Beata</t>
  </si>
  <si>
    <t>0001815974</t>
  </si>
  <si>
    <t>+48 518 208 211</t>
  </si>
  <si>
    <t>Sobieskiego 50, Kaczyce, 43-417</t>
  </si>
  <si>
    <t>4790</t>
  </si>
  <si>
    <t>Pawlak</t>
  </si>
  <si>
    <t>Lidia Marzena</t>
  </si>
  <si>
    <t>0004503829</t>
  </si>
  <si>
    <t>+48 690 933 757</t>
  </si>
  <si>
    <t>Wrocławska 39/12, Jastrzębie-Zdrój, 44-335</t>
  </si>
  <si>
    <t>4661</t>
  </si>
  <si>
    <t>Tomasz Andrzej</t>
  </si>
  <si>
    <t>0001932079</t>
  </si>
  <si>
    <t>+48 669 581 089</t>
  </si>
  <si>
    <t>Osiedle Księcia Władysława 6C/33, Zory, 44-241</t>
  </si>
  <si>
    <t>4727</t>
  </si>
  <si>
    <t>Pawlas</t>
  </si>
  <si>
    <t>Klaudia Paulina</t>
  </si>
  <si>
    <t>0001221871</t>
  </si>
  <si>
    <t>+48 663 410 408</t>
  </si>
  <si>
    <t>Sportowa 24, Piece, 44-293</t>
  </si>
  <si>
    <t>4976</t>
  </si>
  <si>
    <t>Perek</t>
  </si>
  <si>
    <t>Patrycja Maria</t>
  </si>
  <si>
    <t>0001985496</t>
  </si>
  <si>
    <t>+48 795 375 369</t>
  </si>
  <si>
    <t>Moniuszki 8/59, Cieszyn, 43-400</t>
  </si>
  <si>
    <t>4893</t>
  </si>
  <si>
    <t>Piatek</t>
  </si>
  <si>
    <t>Joanna Barbara</t>
  </si>
  <si>
    <t>0001275790</t>
  </si>
  <si>
    <t>+48 661 766 217</t>
  </si>
  <si>
    <t>Katowicka 3/37, Jastrzebie Zdroj, 44-335</t>
  </si>
  <si>
    <t>5161</t>
  </si>
  <si>
    <t>Pietrek</t>
  </si>
  <si>
    <t>Grzegorz Piotr</t>
  </si>
  <si>
    <t>0001219223</t>
  </si>
  <si>
    <t>+48 519 456 499</t>
  </si>
  <si>
    <t>Wrebowa 4c/24, Rybnik, 44-270</t>
  </si>
  <si>
    <t>4867</t>
  </si>
  <si>
    <t>Piwowarska</t>
  </si>
  <si>
    <t>Roksana Maria</t>
  </si>
  <si>
    <t>0001343425</t>
  </si>
  <si>
    <t>+48 791 690 795</t>
  </si>
  <si>
    <t>Strazacka 24A/13, Zory, 44-240</t>
  </si>
  <si>
    <t>5144</t>
  </si>
  <si>
    <t>Plichta</t>
  </si>
  <si>
    <t>Lukasz</t>
  </si>
  <si>
    <t>0003628225</t>
  </si>
  <si>
    <t>+48 883 643 539</t>
  </si>
  <si>
    <t>Rostka 2c/10, Rybnik, 44-253</t>
  </si>
  <si>
    <t>148</t>
  </si>
  <si>
    <t>0291550143</t>
  </si>
  <si>
    <t>+48 572 316 095</t>
  </si>
  <si>
    <t>Gagarina 110m.34, Jastrzebie-Zdroj, 44-268</t>
  </si>
  <si>
    <t>4756</t>
  </si>
  <si>
    <t>0001226162</t>
  </si>
  <si>
    <t>+48 793 344 282</t>
  </si>
  <si>
    <t>Gagarina 110 m.34, Jastrzebie-Zdrój, 44-268</t>
  </si>
  <si>
    <t>5050</t>
  </si>
  <si>
    <t>Pompa</t>
  </si>
  <si>
    <t>Aleksandra Jadwiga</t>
  </si>
  <si>
    <t>0002036712</t>
  </si>
  <si>
    <t>+48 732 836 617</t>
  </si>
  <si>
    <t>Skowronkow 23, Rybnik, 44-207</t>
  </si>
  <si>
    <t>5151</t>
  </si>
  <si>
    <t>Portka</t>
  </si>
  <si>
    <t>Oskar</t>
  </si>
  <si>
    <t>0001260558</t>
  </si>
  <si>
    <t>+48 605 060 655</t>
  </si>
  <si>
    <t>Zielona 76E/5, Jastrzebie Zdroj, 44-335</t>
  </si>
  <si>
    <t>4861</t>
  </si>
  <si>
    <t>Porwolik</t>
  </si>
  <si>
    <t>Anna Malgorzata</t>
  </si>
  <si>
    <t>0001220221</t>
  </si>
  <si>
    <t>+48 510 809 585</t>
  </si>
  <si>
    <t>Os. Pawlikowskiego 12H/7, Zory, 44-240</t>
  </si>
  <si>
    <t>150</t>
  </si>
  <si>
    <t>Przybyla</t>
  </si>
  <si>
    <t>Danuta Anna</t>
  </si>
  <si>
    <t>0002036505</t>
  </si>
  <si>
    <t>+48 781935611</t>
  </si>
  <si>
    <t>Rynek 29/2, Wodzislaw Slaski, 44-300</t>
  </si>
  <si>
    <t>5114</t>
  </si>
  <si>
    <t>Ptak</t>
  </si>
  <si>
    <t>Monika Aleksandra</t>
  </si>
  <si>
    <t>0002029084</t>
  </si>
  <si>
    <t>+48 570 761 473</t>
  </si>
  <si>
    <t>Polna 19G/7, Pawlowice, 43-251</t>
  </si>
  <si>
    <t>5001</t>
  </si>
  <si>
    <t>Pustelnik</t>
  </si>
  <si>
    <t>Damian Jozef</t>
  </si>
  <si>
    <t>0003299932</t>
  </si>
  <si>
    <t>+48 511 663 644</t>
  </si>
  <si>
    <t>Zielona 9/30, Jastrzebie Zdroj, 44-335</t>
  </si>
  <si>
    <t>Puwel</t>
  </si>
  <si>
    <t>Miroslaw Stefan</t>
  </si>
  <si>
    <t>0001092313</t>
  </si>
  <si>
    <t>+48 731 001 788</t>
  </si>
  <si>
    <t>os. Korfantego 10D/10, Zory, 44-240</t>
  </si>
  <si>
    <t>5054</t>
  </si>
  <si>
    <t>Ratajczak</t>
  </si>
  <si>
    <t>Monika Anna</t>
  </si>
  <si>
    <t>0001953401</t>
  </si>
  <si>
    <t>+48 720 864 984</t>
  </si>
  <si>
    <t>Piastowska 5/5, Wodzislaw Slaski, 44-300</t>
  </si>
  <si>
    <t>5120</t>
  </si>
  <si>
    <t>Ratajczyk</t>
  </si>
  <si>
    <t>Patrycja Joanna</t>
  </si>
  <si>
    <t>0001985251</t>
  </si>
  <si>
    <t>+48 515 040 064</t>
  </si>
  <si>
    <t>Wyzwolenia 47B, Chybie, 43-520</t>
  </si>
  <si>
    <t>4713</t>
  </si>
  <si>
    <t>Rduch</t>
  </si>
  <si>
    <t>0004504028</t>
  </si>
  <si>
    <t>+48 732 665 221</t>
  </si>
  <si>
    <t>Mickiewicza 124, Mszana, 44-325</t>
  </si>
  <si>
    <t>261</t>
  </si>
  <si>
    <t>Rembielak</t>
  </si>
  <si>
    <t>Ewa Klaudia</t>
  </si>
  <si>
    <t>0352188369058</t>
  </si>
  <si>
    <t>+48 668 954 871</t>
  </si>
  <si>
    <t>plac Józefa Poniatowskiego 9/4, Cieszyn, 43-400</t>
  </si>
  <si>
    <t>5063</t>
  </si>
  <si>
    <t>Rubys</t>
  </si>
  <si>
    <t>Stanislaw Dominik</t>
  </si>
  <si>
    <t>0002028835</t>
  </si>
  <si>
    <t>+48 533 059 362</t>
  </si>
  <si>
    <t>Czarnieckiego 47, Wodzislaw Slaski, 44-304</t>
  </si>
  <si>
    <t>4763</t>
  </si>
  <si>
    <t>Rusiński</t>
  </si>
  <si>
    <t>Mateusz Kamil</t>
  </si>
  <si>
    <t>0352188629581</t>
  </si>
  <si>
    <t>+48 538 210 175</t>
  </si>
  <si>
    <t>Cieszyńska 192, Jastrzębie-Zdrój, 44-335</t>
  </si>
  <si>
    <t>Sadlo</t>
  </si>
  <si>
    <t>0001402179</t>
  </si>
  <si>
    <t>+48 798 205 702</t>
  </si>
  <si>
    <t>Powstancow 1A, Sosnicowice, 44-153</t>
  </si>
  <si>
    <t>4793</t>
  </si>
  <si>
    <t>Saganová</t>
  </si>
  <si>
    <t>Marie</t>
  </si>
  <si>
    <t>0003535704</t>
  </si>
  <si>
    <t>702 053 866</t>
  </si>
  <si>
    <t>Tř.17.listopadu 2351/7, Karviná - Mizerov, 734 01</t>
  </si>
  <si>
    <t>4744</t>
  </si>
  <si>
    <t>Satlawa</t>
  </si>
  <si>
    <t>Iwona Maria</t>
  </si>
  <si>
    <t>0001279904</t>
  </si>
  <si>
    <t>+48 503 387 054</t>
  </si>
  <si>
    <t>Janusza Korczaka 56, Konczyce Male, 43-410</t>
  </si>
  <si>
    <t>5147</t>
  </si>
  <si>
    <t>Sawicki</t>
  </si>
  <si>
    <t>Adam Grzegorz</t>
  </si>
  <si>
    <t>0001931855</t>
  </si>
  <si>
    <t>+48 572 495 864</t>
  </si>
  <si>
    <t>Partyzantow 46A, Rybnik, 44-203</t>
  </si>
  <si>
    <t>5006</t>
  </si>
  <si>
    <t>Setla</t>
  </si>
  <si>
    <t>Jakub Dominik</t>
  </si>
  <si>
    <t>0002028817</t>
  </si>
  <si>
    <t>+48 794 226 241</t>
  </si>
  <si>
    <t>Rydultowska 85, Gaszowice, 44-293</t>
  </si>
  <si>
    <t>4643</t>
  </si>
  <si>
    <t>Agnieszka Maria</t>
  </si>
  <si>
    <t>0003534880</t>
  </si>
  <si>
    <t>+48 603 221 451</t>
  </si>
  <si>
    <t>Fiołków 10, Cieszyn, 43-400</t>
  </si>
  <si>
    <t>4555</t>
  </si>
  <si>
    <t>Aleksandra Barbara</t>
  </si>
  <si>
    <t>0001337753</t>
  </si>
  <si>
    <t>+48 508 210 457</t>
  </si>
  <si>
    <t>Górnicza 40/5, Jastrzebie-Zdroj, 44-335</t>
  </si>
  <si>
    <t>153</t>
  </si>
  <si>
    <t>Piotr Robert</t>
  </si>
  <si>
    <t>0015501372</t>
  </si>
  <si>
    <t>+48 576 893 853</t>
  </si>
  <si>
    <t>Wieczorka 16m.4, Jastrzebie-Zdroj, 44-330</t>
  </si>
  <si>
    <t>4787</t>
  </si>
  <si>
    <t>Sikorski</t>
  </si>
  <si>
    <t>Maciej</t>
  </si>
  <si>
    <t>0001319636</t>
  </si>
  <si>
    <t>+48 698 725 476</t>
  </si>
  <si>
    <t>Katowicka 94, Cieszyn, 43-400</t>
  </si>
  <si>
    <t>154</t>
  </si>
  <si>
    <t>Siwonia</t>
  </si>
  <si>
    <t>Jedrzej Leszek</t>
  </si>
  <si>
    <t>0014964119</t>
  </si>
  <si>
    <t>+48 537 738 640</t>
  </si>
  <si>
    <t>Gornicza 4Bm.8, Pawlowice, 43-251</t>
  </si>
  <si>
    <t>155</t>
  </si>
  <si>
    <t>Skawinska</t>
  </si>
  <si>
    <t>Dorota Bernadeta</t>
  </si>
  <si>
    <t>000263873803</t>
  </si>
  <si>
    <t>+48 662 952 690</t>
  </si>
  <si>
    <t>Elizy Orzeszkowej 12/7, Wodzislaw Slaski, 44-300</t>
  </si>
  <si>
    <t>Slowiok</t>
  </si>
  <si>
    <t>0001932294</t>
  </si>
  <si>
    <t>+48 791 906 688</t>
  </si>
  <si>
    <t>Centralna 66/6, Ogrodzona, 43-426</t>
  </si>
  <si>
    <t>Slupik</t>
  </si>
  <si>
    <t>Anna</t>
  </si>
  <si>
    <t>0001310269</t>
  </si>
  <si>
    <t>+48 514 369 392</t>
  </si>
  <si>
    <t>Os. Powstancow Slaskich 6D/7, Zory, 43-254</t>
  </si>
  <si>
    <t>4920</t>
  </si>
  <si>
    <t>Soboczynska</t>
  </si>
  <si>
    <t>0001327728</t>
  </si>
  <si>
    <t>+48 733 209 427</t>
  </si>
  <si>
    <t>Korfantego 32b/2, Radlin, 44-310</t>
  </si>
  <si>
    <t>4797</t>
  </si>
  <si>
    <t>Sojka</t>
  </si>
  <si>
    <t>Janusz</t>
  </si>
  <si>
    <t>0003326894</t>
  </si>
  <si>
    <t>+48 577 916 565</t>
  </si>
  <si>
    <t>Srebrna 8, Zebrzydowice, 43-410</t>
  </si>
  <si>
    <t>Sosna</t>
  </si>
  <si>
    <t>0001985586</t>
  </si>
  <si>
    <t>+48 798 972 720</t>
  </si>
  <si>
    <t>Szotkowicka 58B, Jastrzebie Zdroj, 44-338</t>
  </si>
  <si>
    <t>5152</t>
  </si>
  <si>
    <t>Stafiej</t>
  </si>
  <si>
    <t>Lucyna Justyna</t>
  </si>
  <si>
    <t>0003371764</t>
  </si>
  <si>
    <t>+48 578 210 628</t>
  </si>
  <si>
    <t>Zawisle 21/5, Skoczow, 43-430</t>
  </si>
  <si>
    <t>176</t>
  </si>
  <si>
    <t>Stanek</t>
  </si>
  <si>
    <t>Martyna Katarzyna</t>
  </si>
  <si>
    <t>0005555530</t>
  </si>
  <si>
    <t>+48 733 480 284</t>
  </si>
  <si>
    <t>Osiedle 700 - Lecia Zor 20m.25, Zory, 44-240</t>
  </si>
  <si>
    <t>Stepien</t>
  </si>
  <si>
    <t>Damian</t>
  </si>
  <si>
    <t>0008777567</t>
  </si>
  <si>
    <t>+48 791 550 906</t>
  </si>
  <si>
    <t>Fabryczna 10C/11, Zory, 44-240</t>
  </si>
  <si>
    <t>5163</t>
  </si>
  <si>
    <t>Suwinski</t>
  </si>
  <si>
    <t>Jakub Joachim</t>
  </si>
  <si>
    <t>0001032304</t>
  </si>
  <si>
    <t>+48 663 626 222</t>
  </si>
  <si>
    <t>Malopolska 27/6, Jastrzebie Zdroj, 44-335</t>
  </si>
  <si>
    <t>4826</t>
  </si>
  <si>
    <t>Swiercz</t>
  </si>
  <si>
    <t>Lucyna Krystyna</t>
  </si>
  <si>
    <t>0003365841</t>
  </si>
  <si>
    <t>+48 604 534 713</t>
  </si>
  <si>
    <t>Frysztacka 161/206, Cieszyn, 43-400</t>
  </si>
  <si>
    <t>Świerczyński</t>
  </si>
  <si>
    <t>Rafal Tomasz</t>
  </si>
  <si>
    <t>0001254597</t>
  </si>
  <si>
    <t>+48 519 867 568</t>
  </si>
  <si>
    <t>Bolesława Prusa 16A/2, Malbork, 82-200</t>
  </si>
  <si>
    <t>4877</t>
  </si>
  <si>
    <t>Swiety</t>
  </si>
  <si>
    <t>Mateusz Czeslaw</t>
  </si>
  <si>
    <t>0001408958</t>
  </si>
  <si>
    <t>+48 600 946 633</t>
  </si>
  <si>
    <t>Mickiewicza 147, Mszana, 44-325</t>
  </si>
  <si>
    <t>4899</t>
  </si>
  <si>
    <t>Swoboda</t>
  </si>
  <si>
    <t>Martyna Alicja</t>
  </si>
  <si>
    <t>0003408083</t>
  </si>
  <si>
    <t>+48 519 720 150</t>
  </si>
  <si>
    <t>Wolnosci 1/11, Radlin, 44-310</t>
  </si>
  <si>
    <t>177</t>
  </si>
  <si>
    <t>Szczesny</t>
  </si>
  <si>
    <t>Agnieszka Joanna</t>
  </si>
  <si>
    <t>0009551583</t>
  </si>
  <si>
    <t>+48 509 182 239</t>
  </si>
  <si>
    <t>Marusarzowny 39m.7, Jastrzebie-Zdroj, 44-330</t>
  </si>
  <si>
    <t>4930</t>
  </si>
  <si>
    <t>Szeluga</t>
  </si>
  <si>
    <t>Magdalena Klaudia</t>
  </si>
  <si>
    <t>0352188403565</t>
  </si>
  <si>
    <t>+48 793 405 340</t>
  </si>
  <si>
    <t>Kaszubska 3/20, Jastrzębie-Zdrój, 44-335</t>
  </si>
  <si>
    <t>4822</t>
  </si>
  <si>
    <t>Szmul</t>
  </si>
  <si>
    <t>Alicja Malgorzata</t>
  </si>
  <si>
    <t>0001220227</t>
  </si>
  <si>
    <t>+48 784 975 111</t>
  </si>
  <si>
    <t>Gosciejow 51, Wisla, 43-460</t>
  </si>
  <si>
    <t>4957</t>
  </si>
  <si>
    <t>Szydlik</t>
  </si>
  <si>
    <t>Anna Krystyna</t>
  </si>
  <si>
    <t>0001931023</t>
  </si>
  <si>
    <t>+48 881 641 991</t>
  </si>
  <si>
    <t>26 Marca 78/1, Wodzislaw Slaski, 44-300</t>
  </si>
  <si>
    <t>276</t>
  </si>
  <si>
    <t>Tolwinski</t>
  </si>
  <si>
    <t>Patryk Artur</t>
  </si>
  <si>
    <t>0008736436</t>
  </si>
  <si>
    <t>+48 728 703 509</t>
  </si>
  <si>
    <t>Osiedle Księcia Władysława 5A/24, Zory, 44-241</t>
  </si>
  <si>
    <t>4959</t>
  </si>
  <si>
    <t>Tomica</t>
  </si>
  <si>
    <t>Janusz Franciszek</t>
  </si>
  <si>
    <t>0002013831</t>
  </si>
  <si>
    <t>+48 608 142 897</t>
  </si>
  <si>
    <t>Katowicka 44, Cieszyn, 43-419</t>
  </si>
  <si>
    <t>4724</t>
  </si>
  <si>
    <t>Tomiczek</t>
  </si>
  <si>
    <t>Sara Beata</t>
  </si>
  <si>
    <t>0001343515</t>
  </si>
  <si>
    <t>+48 516 631 702</t>
  </si>
  <si>
    <t>Reymonta 43, Cieszyn, 43-400</t>
  </si>
  <si>
    <t>4772</t>
  </si>
  <si>
    <t>Trebacz</t>
  </si>
  <si>
    <t>Mateusz Piotr</t>
  </si>
  <si>
    <t>0001255808</t>
  </si>
  <si>
    <t>+48 695 152 026</t>
  </si>
  <si>
    <t>Gminna 5/2, Kiczyce, 43-430</t>
  </si>
  <si>
    <t>4919</t>
  </si>
  <si>
    <t>Tuna</t>
  </si>
  <si>
    <t>0003785106</t>
  </si>
  <si>
    <t>+420 770 671 91</t>
  </si>
  <si>
    <t>Okružní 1764/20, Český Těšín, 737 01</t>
  </si>
  <si>
    <t>183</t>
  </si>
  <si>
    <t>Tytko</t>
  </si>
  <si>
    <t>Aleksandra Irmina</t>
  </si>
  <si>
    <t>0004468410</t>
  </si>
  <si>
    <t>+48 510 142 785</t>
  </si>
  <si>
    <t>Bronislawa Czecha 2/4, Radlin, 44-310</t>
  </si>
  <si>
    <t>4698</t>
  </si>
  <si>
    <t>Veselý</t>
  </si>
  <si>
    <t>Stanislav</t>
  </si>
  <si>
    <t>0004058686</t>
  </si>
  <si>
    <t>+420 774 071 86</t>
  </si>
  <si>
    <t>Bažantnice 452, Albrechtice, 735 43</t>
  </si>
  <si>
    <t>4611</t>
  </si>
  <si>
    <t>Waclawczyk</t>
  </si>
  <si>
    <t>Adam Krzysztof</t>
  </si>
  <si>
    <t>0001259068</t>
  </si>
  <si>
    <t>+48 532 484 452</t>
  </si>
  <si>
    <t>Kar. Stefana Wyszyńskiego 8/12, Wodzislaw Slaski, 44-300</t>
  </si>
  <si>
    <t>5069</t>
  </si>
  <si>
    <t>Wagner</t>
  </si>
  <si>
    <t>Irena Agnieszka</t>
  </si>
  <si>
    <t>0001985625</t>
  </si>
  <si>
    <t>+48 697 653 898</t>
  </si>
  <si>
    <t>Grabowa 36, Ustron, 43-450</t>
  </si>
  <si>
    <t>5160</t>
  </si>
  <si>
    <t>Walesa</t>
  </si>
  <si>
    <t>0001275384</t>
  </si>
  <si>
    <t>+48 511 123 230</t>
  </si>
  <si>
    <t>Sw. Maksymiliana 7a/5, Rybnik, 44-207</t>
  </si>
  <si>
    <t>4883</t>
  </si>
  <si>
    <t>Wasilewska</t>
  </si>
  <si>
    <t>Oliwia</t>
  </si>
  <si>
    <t>0352188709496</t>
  </si>
  <si>
    <t>+48 511 144 530</t>
  </si>
  <si>
    <t>Chabrowa 28a/41, Rybnik, 44-210</t>
  </si>
  <si>
    <t>185</t>
  </si>
  <si>
    <t>Wawrzyczny</t>
  </si>
  <si>
    <t>Leszek Adam</t>
  </si>
  <si>
    <t>0004741996</t>
  </si>
  <si>
    <t>+48 795 273 630</t>
  </si>
  <si>
    <t>Szkolna 3, Wodzislaw Slaski, 44-300</t>
  </si>
  <si>
    <t>4782</t>
  </si>
  <si>
    <t>Witak</t>
  </si>
  <si>
    <t>Danuta Dorota</t>
  </si>
  <si>
    <t>0001374770</t>
  </si>
  <si>
    <t>+48 888 962 901</t>
  </si>
  <si>
    <t>Os. Ksiecia Wladyslawa 8C/M38, Zory, 44-240</t>
  </si>
  <si>
    <t>4941</t>
  </si>
  <si>
    <t>Wiktoria Kinga</t>
  </si>
  <si>
    <t>0001863534</t>
  </si>
  <si>
    <t>+48 797 392 849</t>
  </si>
  <si>
    <t>Borynska 23, Zory, 44-240</t>
  </si>
  <si>
    <t>4780</t>
  </si>
  <si>
    <t>Wodecka</t>
  </si>
  <si>
    <t>Agnieszka Irena</t>
  </si>
  <si>
    <t>0001317903</t>
  </si>
  <si>
    <t>+48 784 354 219</t>
  </si>
  <si>
    <t>Wielkopolska 41/33, Jastrzebie-Zdroj, 44-335</t>
  </si>
  <si>
    <t>4638</t>
  </si>
  <si>
    <t>Wodyk</t>
  </si>
  <si>
    <t>Piotr Zbigniew</t>
  </si>
  <si>
    <t>0003351251</t>
  </si>
  <si>
    <t>+48 662 967 022</t>
  </si>
  <si>
    <t>Wiślańska 21/25, Cieszyn, 43-400</t>
  </si>
  <si>
    <t>5015</t>
  </si>
  <si>
    <t>Wojaczek</t>
  </si>
  <si>
    <t>Kornel Szymon</t>
  </si>
  <si>
    <t>0001815065</t>
  </si>
  <si>
    <t>+48 510 315 755</t>
  </si>
  <si>
    <t>Targoniny 19, Dziegielow, 43-445</t>
  </si>
  <si>
    <t>5141</t>
  </si>
  <si>
    <t>Zajac</t>
  </si>
  <si>
    <t>Mariusz Tomasz</t>
  </si>
  <si>
    <t>0001932034</t>
  </si>
  <si>
    <t>+48 791 423 037</t>
  </si>
  <si>
    <t>Os. Pawlikowskiego 14D/1, Zory, 44-240</t>
  </si>
  <si>
    <t>4704</t>
  </si>
  <si>
    <t>Zaleska</t>
  </si>
  <si>
    <t>Malgorzata Aneta</t>
  </si>
  <si>
    <t>0004833110</t>
  </si>
  <si>
    <t>+48 570 123 632</t>
  </si>
  <si>
    <t>Os. Pawlikowskiego 19C/34, Zory, 44-240</t>
  </si>
  <si>
    <t>4802</t>
  </si>
  <si>
    <t>Zamojc</t>
  </si>
  <si>
    <t>Rafal Grzegorz</t>
  </si>
  <si>
    <t>0001284272</t>
  </si>
  <si>
    <t>+48 535 118 036</t>
  </si>
  <si>
    <t>Wyspianskiego 28/1, Cieszyn, 43-400</t>
  </si>
  <si>
    <t>5017</t>
  </si>
  <si>
    <t>Zlik</t>
  </si>
  <si>
    <t>Kamil Michał</t>
  </si>
  <si>
    <t>0002010931</t>
  </si>
  <si>
    <t>+48 451 083 210</t>
  </si>
  <si>
    <t>Strazacka 10 , Konczyce Wielkie, 43-419</t>
  </si>
  <si>
    <t>4423</t>
  </si>
  <si>
    <t>Zmarzly</t>
  </si>
  <si>
    <t>Roksana Marzena</t>
  </si>
  <si>
    <t>0009057133</t>
  </si>
  <si>
    <t>+48 690 020 314</t>
  </si>
  <si>
    <t>Jana Kilińskiego 28a/16, Rybnik , 44-200</t>
  </si>
  <si>
    <t>188</t>
  </si>
  <si>
    <t>Zobek</t>
  </si>
  <si>
    <t>Izabela Jadwiga</t>
  </si>
  <si>
    <t>0009572218</t>
  </si>
  <si>
    <t>+48 519 795 644</t>
  </si>
  <si>
    <t>Turystyczna 12/11, Jastrzebie-Zdroj, 44-335</t>
  </si>
  <si>
    <t>5036</t>
  </si>
  <si>
    <t>Zubrzycka</t>
  </si>
  <si>
    <t>0001932033</t>
  </si>
  <si>
    <t>+48 889 168 210</t>
  </si>
  <si>
    <t>Jaworzynka 499, Jaworzynka, 43-476</t>
  </si>
  <si>
    <t>190</t>
  </si>
  <si>
    <t>Zytynski</t>
  </si>
  <si>
    <t>Lukasz Szymon</t>
  </si>
  <si>
    <t>0004193673</t>
  </si>
  <si>
    <t>+48 785 198 037</t>
  </si>
  <si>
    <t>Marusarzowny 4/1, Jastrzebie-Zdroj, 44-330</t>
  </si>
  <si>
    <t>2771</t>
  </si>
  <si>
    <t>Bugla</t>
  </si>
  <si>
    <t>0327017936</t>
  </si>
  <si>
    <t>605 973 646</t>
  </si>
  <si>
    <t>Jílová 210/28, Ostrava - Moravská, 702 00</t>
  </si>
  <si>
    <t>5217</t>
  </si>
  <si>
    <t>Dziedzic</t>
  </si>
  <si>
    <t>Grzegorz Tomasz</t>
  </si>
  <si>
    <t>0295414032</t>
  </si>
  <si>
    <t>+48 505 538 093</t>
  </si>
  <si>
    <t>Ogrodowa 3, Cieszyn, 43-400</t>
  </si>
  <si>
    <t>5110</t>
  </si>
  <si>
    <t>Gordienko</t>
  </si>
  <si>
    <t>Adam</t>
  </si>
  <si>
    <t>0295413742</t>
  </si>
  <si>
    <t>+48 793 946 629</t>
  </si>
  <si>
    <t>Osiedle Pawlikowskiego 2A/2, Zory, 44-240</t>
  </si>
  <si>
    <t>5216</t>
  </si>
  <si>
    <t>Gutan</t>
  </si>
  <si>
    <t>Slawomir Piotr</t>
  </si>
  <si>
    <t>0327017993</t>
  </si>
  <si>
    <t>Brozka 2/13, Cieszyn, 43-400</t>
  </si>
  <si>
    <t>5218</t>
  </si>
  <si>
    <t>0295413887</t>
  </si>
  <si>
    <t>5219</t>
  </si>
  <si>
    <t>Kamil Adam</t>
  </si>
  <si>
    <t>0261608424</t>
  </si>
  <si>
    <t>+48 881 345 224</t>
  </si>
  <si>
    <t>Zielona 33/10, Jastrzebie Zdroj, 44-335</t>
  </si>
  <si>
    <t>Szyszko</t>
  </si>
  <si>
    <t>Dawid Pawel</t>
  </si>
  <si>
    <t>0334327151</t>
  </si>
  <si>
    <t>+48 789 289 048</t>
  </si>
  <si>
    <t>Wspolna 5B, Jastrzebie Zdroj, 44-336</t>
  </si>
  <si>
    <t>3708</t>
  </si>
  <si>
    <t>Birtus</t>
  </si>
  <si>
    <t>Jozef</t>
  </si>
  <si>
    <t>0013100492</t>
  </si>
  <si>
    <t>737541900</t>
  </si>
  <si>
    <t>Skalité 337, Skalité, 023 14</t>
  </si>
  <si>
    <t>Boloch</t>
  </si>
  <si>
    <t>Marek Wladyslaw</t>
  </si>
  <si>
    <t>0369962441</t>
  </si>
  <si>
    <t>+48 692 199 209</t>
  </si>
  <si>
    <t>Zebrzydowicka 10/6, Rybnik, 44-200</t>
  </si>
  <si>
    <t>4817</t>
  </si>
  <si>
    <t>Büdi</t>
  </si>
  <si>
    <t>Alexander</t>
  </si>
  <si>
    <t>0013100865</t>
  </si>
  <si>
    <t>728 423 957</t>
  </si>
  <si>
    <t>Cestice 32, Cestice, 044 71</t>
  </si>
  <si>
    <t>4979</t>
  </si>
  <si>
    <t>Bykowski</t>
  </si>
  <si>
    <t>Marcin Ryszard</t>
  </si>
  <si>
    <t>0002998028</t>
  </si>
  <si>
    <t>+48 571 914 180</t>
  </si>
  <si>
    <t>Pomorska 49/2, Jastrzebie Zdroj, 44-335</t>
  </si>
  <si>
    <t>4785</t>
  </si>
  <si>
    <t>Cisiński</t>
  </si>
  <si>
    <t>Sebastian Tadeusz</t>
  </si>
  <si>
    <t>0378770295</t>
  </si>
  <si>
    <t>+48 508 565 205</t>
  </si>
  <si>
    <t>Turystyczna 13/27, Jastrzębie-Zdrój, 44-335</t>
  </si>
  <si>
    <t>5198</t>
  </si>
  <si>
    <t>Czuba</t>
  </si>
  <si>
    <t>Grzegorz</t>
  </si>
  <si>
    <t>0348404103</t>
  </si>
  <si>
    <t>+48 574 655 211</t>
  </si>
  <si>
    <t>Zeromskiego 7/1, Wodzislaw Slaski, 44-300</t>
  </si>
  <si>
    <t>5003</t>
  </si>
  <si>
    <t>Czurylo</t>
  </si>
  <si>
    <t>0369977072</t>
  </si>
  <si>
    <t>+48 884 642 785</t>
  </si>
  <si>
    <t>Gornicza 18C/7, Rybnik, 44-206</t>
  </si>
  <si>
    <t>5199</t>
  </si>
  <si>
    <t>Daga</t>
  </si>
  <si>
    <t>Daniel Krzysztof</t>
  </si>
  <si>
    <t>0348392541</t>
  </si>
  <si>
    <t>+48 798 498 277</t>
  </si>
  <si>
    <t>Zagloby 24, Rybnik, 44-270</t>
  </si>
  <si>
    <t>5276</t>
  </si>
  <si>
    <t>Frackiewicz</t>
  </si>
  <si>
    <t>Mateusz Dawid</t>
  </si>
  <si>
    <t>0348387302</t>
  </si>
  <si>
    <t>+48 570 980 131</t>
  </si>
  <si>
    <t>Os. Generala Sikorskiego 22 I/1, Zory, 44-240</t>
  </si>
  <si>
    <t>5228</t>
  </si>
  <si>
    <t>Galus</t>
  </si>
  <si>
    <t>Wojciech Jan</t>
  </si>
  <si>
    <t>0357229219</t>
  </si>
  <si>
    <t>+48 784 259 034</t>
  </si>
  <si>
    <t>Kaszubska 10/9, Jastrzebie Zdroj, 44-335</t>
  </si>
  <si>
    <t>Chmielewski</t>
  </si>
  <si>
    <t>Arkadiusz Antoni</t>
  </si>
  <si>
    <t>0369911673</t>
  </si>
  <si>
    <t>+48 574 635 493</t>
  </si>
  <si>
    <t>26 Marca 29/24, Wodzislaw Slaski, 44-300</t>
  </si>
  <si>
    <t>4768</t>
  </si>
  <si>
    <t>Jacewicz</t>
  </si>
  <si>
    <t>Jakub Jacek</t>
  </si>
  <si>
    <t>0369947420</t>
  </si>
  <si>
    <t>+48 500 754 433</t>
  </si>
  <si>
    <t>Mikołaja Witczaka 4c/7, Jastrzębie-Zdrój, 44-335</t>
  </si>
  <si>
    <t>5113</t>
  </si>
  <si>
    <t>Janiczek</t>
  </si>
  <si>
    <t>Kamil Patryk</t>
  </si>
  <si>
    <t>0369978365</t>
  </si>
  <si>
    <t>+48 884 337 008</t>
  </si>
  <si>
    <t>os. 1000-lecia 8/25, Jastrzebie Zdroj, 44-268</t>
  </si>
  <si>
    <t>5227</t>
  </si>
  <si>
    <t>Jazdzewski</t>
  </si>
  <si>
    <t>Robert Lukasz</t>
  </si>
  <si>
    <t>0357221234</t>
  </si>
  <si>
    <t>+48 789 769 471</t>
  </si>
  <si>
    <t>Os. 1000-Lecia 7/57, Jastrzebie Zdroj, 44-268</t>
  </si>
  <si>
    <t>4680</t>
  </si>
  <si>
    <t>Kala</t>
  </si>
  <si>
    <t>Janusz Eryk</t>
  </si>
  <si>
    <t>0000916535</t>
  </si>
  <si>
    <t>+48 537 097 454</t>
  </si>
  <si>
    <t>Boryńska 23, Zory, 44-244</t>
  </si>
  <si>
    <t>4998</t>
  </si>
  <si>
    <t>Michal Ireneusz</t>
  </si>
  <si>
    <t>+48 609 723 587</t>
  </si>
  <si>
    <t>1000-lecia 18/7, Wodzislaw Slaski, 44-300</t>
  </si>
  <si>
    <t>3695</t>
  </si>
  <si>
    <t>Kovařčik</t>
  </si>
  <si>
    <t>Tomáš</t>
  </si>
  <si>
    <t>739764081</t>
  </si>
  <si>
    <t>Lázky 1319, Vsetín, 755 01</t>
  </si>
  <si>
    <t>5034</t>
  </si>
  <si>
    <t>Kowalczyk</t>
  </si>
  <si>
    <t>Przemyslaw Krzysztof</t>
  </si>
  <si>
    <t>0369919018</t>
  </si>
  <si>
    <t>+48 537 100 679</t>
  </si>
  <si>
    <t>Aleja Wojska Polskiego 21/21, Zory, 44-240</t>
  </si>
  <si>
    <t>5149</t>
  </si>
  <si>
    <t>Lata</t>
  </si>
  <si>
    <t>Stanislaw</t>
  </si>
  <si>
    <t>+48 789 787 147</t>
  </si>
  <si>
    <t>Boleslawa Prusa 2/1, Wodzislaw Slaski, 44-300</t>
  </si>
  <si>
    <t>4850</t>
  </si>
  <si>
    <t>Loter</t>
  </si>
  <si>
    <t>Dawid Seweryn</t>
  </si>
  <si>
    <t>0009644271</t>
  </si>
  <si>
    <t>+48 794 581 733</t>
  </si>
  <si>
    <t>Rynek 27/7, Wodzisław Śląski, 44-300</t>
  </si>
  <si>
    <t>Lysejko</t>
  </si>
  <si>
    <t>Jaroslaw</t>
  </si>
  <si>
    <t>0009580102</t>
  </si>
  <si>
    <t>+48 797 697 888</t>
  </si>
  <si>
    <t>26 Marca 19/1, Wodzisław Śląski, 44-300</t>
  </si>
  <si>
    <t>4237</t>
  </si>
  <si>
    <t>Marczewski</t>
  </si>
  <si>
    <t>Robert Wieslaw</t>
  </si>
  <si>
    <t>0000904527</t>
  </si>
  <si>
    <t>+48 606 131 964</t>
  </si>
  <si>
    <t>Malchera 29/9, Jastrzebie-Zdroj, 44335</t>
  </si>
  <si>
    <t>1993</t>
  </si>
  <si>
    <t>Moravec</t>
  </si>
  <si>
    <t>0013055947</t>
  </si>
  <si>
    <t>736 120 949</t>
  </si>
  <si>
    <t>Čujkovova 1738/34, Ostrava-Zábřeh, 70030</t>
  </si>
  <si>
    <t>3379</t>
  </si>
  <si>
    <t>Nawara</t>
  </si>
  <si>
    <t>0009586730</t>
  </si>
  <si>
    <t>+48 507 556 613</t>
  </si>
  <si>
    <t>Krakowska 1/16, Jastrzebie-Zdrój, 44-335</t>
  </si>
  <si>
    <t>Wojciech Roman</t>
  </si>
  <si>
    <t>0000920818</t>
  </si>
  <si>
    <t>+48 510 626 854</t>
  </si>
  <si>
    <t>Jana Onufrego Zagłoby 24, Rybnik, 44-270</t>
  </si>
  <si>
    <t>4044</t>
  </si>
  <si>
    <t>Pitel</t>
  </si>
  <si>
    <t>Jiří</t>
  </si>
  <si>
    <t>0011818564</t>
  </si>
  <si>
    <t>731907245</t>
  </si>
  <si>
    <t>Dr.Čejky 1518, Příbor, 742 58</t>
  </si>
  <si>
    <t>5111</t>
  </si>
  <si>
    <t>Porczyk</t>
  </si>
  <si>
    <t>0369965510</t>
  </si>
  <si>
    <t>+48 792 561 006</t>
  </si>
  <si>
    <t>Patriotow 8B/7, Rybnik, 44-253</t>
  </si>
  <si>
    <t>5039</t>
  </si>
  <si>
    <t>Prudel</t>
  </si>
  <si>
    <t>Mateusz Stanislaw</t>
  </si>
  <si>
    <t>0369972253</t>
  </si>
  <si>
    <t>+48 694 806 434</t>
  </si>
  <si>
    <t>Kreta 1G/4, Pawlowice, 43-251</t>
  </si>
  <si>
    <t>5210</t>
  </si>
  <si>
    <t>Rost</t>
  </si>
  <si>
    <t>Szymon Mariusz</t>
  </si>
  <si>
    <t>0357225412</t>
  </si>
  <si>
    <t>+48 572 303 066</t>
  </si>
  <si>
    <t>Kurpiowska 11/5, Jastrzebie Zdroj, 44-335</t>
  </si>
  <si>
    <t>5087</t>
  </si>
  <si>
    <t>Rozy</t>
  </si>
  <si>
    <t>0369951690</t>
  </si>
  <si>
    <t>+48 787 366 585</t>
  </si>
  <si>
    <t>osiedle 1000-lecia 15B/34, Jastrzębie-Zdrój, 44-268</t>
  </si>
  <si>
    <t>Salapa</t>
  </si>
  <si>
    <t>0369916310</t>
  </si>
  <si>
    <t>+48 512 157 227</t>
  </si>
  <si>
    <t>Wielkopolska 11/19, Jastrzebie Zdroj, 44-335</t>
  </si>
  <si>
    <t>Smyczek</t>
  </si>
  <si>
    <t>Wojciech Tomasz</t>
  </si>
  <si>
    <t>0369924834</t>
  </si>
  <si>
    <t>+48 535 200 182</t>
  </si>
  <si>
    <t>Slawikow 19A/46, Rybnik, 44-200</t>
  </si>
  <si>
    <t>5095</t>
  </si>
  <si>
    <t>Sokol</t>
  </si>
  <si>
    <t>Dariusz</t>
  </si>
  <si>
    <t>0369971566</t>
  </si>
  <si>
    <t>+48 501 771 551</t>
  </si>
  <si>
    <t>Dabrowki 7B/1, Rybnik, 44-210</t>
  </si>
  <si>
    <t>Stoszko</t>
  </si>
  <si>
    <t>Mateusz</t>
  </si>
  <si>
    <t>0369916468</t>
  </si>
  <si>
    <t>+48 666 148 450</t>
  </si>
  <si>
    <t>Boguszowicka 14B, Jankowice, 44-264</t>
  </si>
  <si>
    <t>5220</t>
  </si>
  <si>
    <t>Weinreich</t>
  </si>
  <si>
    <t>Piotr Grzegorz</t>
  </si>
  <si>
    <t>0348370747</t>
  </si>
  <si>
    <t>+48 531 385 792</t>
  </si>
  <si>
    <t>Swietego Jozefa 18/19, Rybnik, 44-200</t>
  </si>
  <si>
    <t>5258</t>
  </si>
  <si>
    <t>Kamil Piotr</t>
  </si>
  <si>
    <t>+48 579 292 424</t>
  </si>
  <si>
    <t>Wankowicza 44D, Wodzislaw Slaski, 44-313</t>
  </si>
  <si>
    <t>4095</t>
  </si>
  <si>
    <t>Zmudzinski</t>
  </si>
  <si>
    <t>Marek</t>
  </si>
  <si>
    <t>0347606277</t>
  </si>
  <si>
    <t>+48 880 075 790</t>
  </si>
  <si>
    <t>Osiedle 30-Lecia 133/5, Wodzislaw Slaski, 44-286</t>
  </si>
  <si>
    <t>Zynda</t>
  </si>
  <si>
    <t>Wieslaw Józef</t>
  </si>
  <si>
    <t>0369912861</t>
  </si>
  <si>
    <t>Wielkopolska 5/4, Jastrzebie-Zdrój, 44335</t>
  </si>
  <si>
    <t>4748</t>
  </si>
  <si>
    <t>Kuklińska</t>
  </si>
  <si>
    <t>Malgorzata</t>
  </si>
  <si>
    <t>48 782 905 236</t>
  </si>
  <si>
    <t>Janusza Kusocińskiego 33/10, Jastrzebie-Zdrój , 44-335</t>
  </si>
  <si>
    <t>5082</t>
  </si>
  <si>
    <t>Piotr Jozef</t>
  </si>
  <si>
    <t>48 691 417 127</t>
  </si>
  <si>
    <t>Opolska 10/7, Jastrzebie Zdroj , 44-335</t>
  </si>
  <si>
    <t>5093</t>
  </si>
  <si>
    <t>Szybiak</t>
  </si>
  <si>
    <t>Zofia Grazyna</t>
  </si>
  <si>
    <t>48 579 710 722</t>
  </si>
  <si>
    <t>Slaska 19/6 , Jastrzebie Zdroj , 44-335</t>
  </si>
  <si>
    <t>5269</t>
  </si>
  <si>
    <t>Zawada</t>
  </si>
  <si>
    <t>Krystian Kamil</t>
  </si>
  <si>
    <t>48 694 861 466</t>
  </si>
  <si>
    <t>Os. Powstancow Slaskich 8G/9, Zory , 44-240</t>
  </si>
  <si>
    <t>Jan Ireneusz</t>
  </si>
  <si>
    <t>48 531 216 62</t>
  </si>
  <si>
    <t>Cicha 10, Gogolowa, 44-323</t>
  </si>
  <si>
    <t>4922</t>
  </si>
  <si>
    <t>Wawrzyczek</t>
  </si>
  <si>
    <t>Mateusz Arkadiusz</t>
  </si>
  <si>
    <t>48 452 513 149</t>
  </si>
  <si>
    <t>Chmielna 8A, Konczyce Male, 43-410</t>
  </si>
  <si>
    <t>4940</t>
  </si>
  <si>
    <t>Wutzke</t>
  </si>
  <si>
    <t>Ewa Sabina</t>
  </si>
  <si>
    <t>48 604 950 674</t>
  </si>
  <si>
    <t>Slaska 59/10, Jastrzebie Zdroj, 44-335</t>
  </si>
  <si>
    <t>4936</t>
  </si>
  <si>
    <t>Cwiklak</t>
  </si>
  <si>
    <t>48 661 575 386</t>
  </si>
  <si>
    <t>Grodzisko 35, Wodzislaw Slaski , 44-300</t>
  </si>
  <si>
    <t>Buza Bartosz Marcin</t>
  </si>
  <si>
    <t>48 694 126 379</t>
  </si>
  <si>
    <t>Kozielski</t>
  </si>
  <si>
    <t>Kozielski Andrzej Jozef</t>
  </si>
  <si>
    <t>48 698 656 111</t>
  </si>
  <si>
    <t>Chabrowa 10, Wodzislaw Slaski, 44-300</t>
  </si>
  <si>
    <t>5044</t>
  </si>
  <si>
    <t>Wesoly</t>
  </si>
  <si>
    <t>Rafal Pawel</t>
  </si>
  <si>
    <t>48 459 450 547</t>
  </si>
  <si>
    <t>Widokowa 21, Marklowice , 44-321</t>
  </si>
  <si>
    <t>5096</t>
  </si>
  <si>
    <t>Zrabkowski</t>
  </si>
  <si>
    <t>Robert Sebastian</t>
  </si>
  <si>
    <t>48 666 169 788</t>
  </si>
  <si>
    <t>Dojazdowa 7/6, Cieszyn , 43-400</t>
  </si>
  <si>
    <t>Patryk</t>
  </si>
  <si>
    <t>48 661 899 771</t>
  </si>
  <si>
    <t>Boguminska 36B, Turza Slaska, 44-351</t>
  </si>
  <si>
    <t>5272</t>
  </si>
  <si>
    <t>Jedrysek</t>
  </si>
  <si>
    <t>Dorian</t>
  </si>
  <si>
    <t>48 786 249 216</t>
  </si>
  <si>
    <t>Staszica 8/3, Jastrzebie Zdroj , 44-335</t>
  </si>
  <si>
    <t>5282</t>
  </si>
  <si>
    <t>Buko</t>
  </si>
  <si>
    <t>Adrian Dawid</t>
  </si>
  <si>
    <t>48 514 269 190</t>
  </si>
  <si>
    <t>Jozefa Wieczorka 14/3, Radlin , 44-310</t>
  </si>
  <si>
    <t>5284</t>
  </si>
  <si>
    <t>Oslowski</t>
  </si>
  <si>
    <t>Arkadiusz Marek</t>
  </si>
  <si>
    <t>48 661 799 661</t>
  </si>
  <si>
    <t>Szeroka 77, Ustron , 43-450</t>
  </si>
  <si>
    <t>spz</t>
  </si>
  <si>
    <t>oznaceni</t>
  </si>
  <si>
    <t>zastavka</t>
  </si>
  <si>
    <t>SK822SC SCANIA</t>
  </si>
  <si>
    <t>BATZ - Szeroka / Jastrzębie Zdrój / Wodzislaw Sl.</t>
  </si>
  <si>
    <t>1 Szeroka ul. Rybnicka</t>
  </si>
  <si>
    <t>2 Szeroka - Biedronka</t>
  </si>
  <si>
    <t>3 Szeroka - Wasbruck</t>
  </si>
  <si>
    <t>4 Jastr.Zd. - Pszczyńska/Rybnicka</t>
  </si>
  <si>
    <t>SPRINTER / OPEL</t>
  </si>
  <si>
    <t>BATZ - Źory / Cieszyn</t>
  </si>
  <si>
    <t>Źory - Sąd Rejonowy</t>
  </si>
  <si>
    <t>Źory - Bajerowka</t>
  </si>
  <si>
    <t>Ruptawa - Cisówka</t>
  </si>
  <si>
    <t>Zebrzydowice Ośrodek Zdrowia</t>
  </si>
  <si>
    <t>Zebrzydowice Rondo</t>
  </si>
  <si>
    <t>Kończyce Małe</t>
  </si>
  <si>
    <t>Hażlach za rondo Crab</t>
  </si>
  <si>
    <t>Hażlach obok GASTROMANIA</t>
  </si>
  <si>
    <t>Cieszyn McDonalds</t>
  </si>
  <si>
    <t>Cieszyn Liburnia</t>
  </si>
  <si>
    <t>5 Jastr.Zd. - Al. Piłsudskiego - Os. Morcinka / Urząd Miasta</t>
  </si>
  <si>
    <t>6 Jastr.Zd. - Aleje Piłsudskiego SUPERSAM</t>
  </si>
  <si>
    <t>7 Jastr.Zd. - Hala Sportowa</t>
  </si>
  <si>
    <t>8 Jastr.Zd. - Armii Krajowej</t>
  </si>
  <si>
    <t>9 Mszana</t>
  </si>
  <si>
    <t>10 Wodzisław Śląski stacja paliw Circle K/McDonalds</t>
  </si>
  <si>
    <t>11 Wodzisław Śląski Dworzec Autobus. Galeria Karuzela</t>
  </si>
  <si>
    <t>12 Wodzisław Śląski ul. Bogumińska - Cmentarz, działki</t>
  </si>
  <si>
    <t>13 Turza Śląska Turzyczka Skrzyżowanie</t>
  </si>
  <si>
    <t>14 Gorzyce Urząd Gminy</t>
  </si>
  <si>
    <t>15 UNIWAR</t>
  </si>
  <si>
    <t>16 Ostrava Dřevoprodej</t>
  </si>
  <si>
    <t>17 Frýdek - Místek autobusová zastávka Benzina - KMJ</t>
  </si>
  <si>
    <t>Pielasa</t>
  </si>
  <si>
    <t>TATRA 1</t>
  </si>
  <si>
    <t>Żory - Sąd</t>
  </si>
  <si>
    <t>Żory - Bajerówka</t>
  </si>
  <si>
    <t>Jastrzębie Zdroj - Szeroka</t>
  </si>
  <si>
    <t>Jastrzębie Zdroj - Aldi</t>
  </si>
  <si>
    <t>Jastrzębie Zdroj - Małopolska</t>
  </si>
  <si>
    <t>TATRA 2</t>
  </si>
  <si>
    <t>Spandel</t>
  </si>
  <si>
    <t>TATRA 3</t>
  </si>
  <si>
    <t>Jankowice Świerklańska 81 - DINO</t>
  </si>
  <si>
    <t>Chwałowice Rybnik Maja 95b - Biedronka</t>
  </si>
  <si>
    <t>Rybnik - Dworek</t>
  </si>
  <si>
    <t>Lauko</t>
  </si>
  <si>
    <t>HANON</t>
  </si>
  <si>
    <t>Szpital Wodzislaw Sl.</t>
  </si>
  <si>
    <t>Źory Bajerowka</t>
  </si>
  <si>
    <t>Szkola Wodzislaw Sl.</t>
  </si>
  <si>
    <t>Szeroka Biedronka</t>
  </si>
  <si>
    <t>PKP Wodzislaw Sl.</t>
  </si>
  <si>
    <t>HILITE 1</t>
  </si>
  <si>
    <t>Zastávka 1</t>
  </si>
  <si>
    <t>Zastávka 2</t>
  </si>
  <si>
    <t>Zastávka 3</t>
  </si>
  <si>
    <t>Zastávka 4</t>
  </si>
  <si>
    <t>Zastávka 5</t>
  </si>
  <si>
    <t>Gawelek</t>
  </si>
  <si>
    <t>HILITE 2</t>
  </si>
  <si>
    <t>Stare Boguszowice ul Stanisława Małachowskiego</t>
  </si>
  <si>
    <t>Jastrzębie Zdroj - Dubielec</t>
  </si>
  <si>
    <t>Źory - Netto ul. Dworcowa</t>
  </si>
  <si>
    <t>Źory - McDonalds al. Zjednoczonej Europy 43</t>
  </si>
  <si>
    <t>Źory - Sąd</t>
  </si>
  <si>
    <t>Oles</t>
  </si>
  <si>
    <t>DSC</t>
  </si>
  <si>
    <t>Rybnik - Paryź</t>
  </si>
  <si>
    <t>Rybnik, Raciborska 121 - BP</t>
  </si>
  <si>
    <t>Rybnik - Niewiadom</t>
  </si>
  <si>
    <t>Rydułtowy - Rynek</t>
  </si>
  <si>
    <t>Radlin - centrum</t>
  </si>
  <si>
    <t>Reserva 2</t>
  </si>
  <si>
    <t>Kontny</t>
  </si>
  <si>
    <t>Reserva 1</t>
  </si>
  <si>
    <t>SR7721J TURISMO</t>
  </si>
  <si>
    <t>Zastávka 6</t>
  </si>
  <si>
    <t>Zastávka 7</t>
  </si>
  <si>
    <t>DSC - Rybnik / Wodzislaw</t>
  </si>
  <si>
    <t>DSC - Źory / Jastrzębie Zdrój</t>
  </si>
  <si>
    <t>Janíček</t>
  </si>
  <si>
    <t>Reserva 3</t>
  </si>
  <si>
    <t>Vlastní auto</t>
  </si>
  <si>
    <t>Zaměstnanci, co jezdí vlastní dopravou</t>
  </si>
  <si>
    <t>Jastrzębie Zdroj - Urząd miasta</t>
  </si>
  <si>
    <t>Jastrzębie Zdroj - McDonalds</t>
  </si>
  <si>
    <t>Jastrzębie Zdroj - Supersam</t>
  </si>
  <si>
    <t>Jastrzębie Zdroj - Zdrój</t>
  </si>
  <si>
    <t>Borymia Jastr. Zd.</t>
  </si>
  <si>
    <t>Rondo Jastr. Zd.</t>
  </si>
  <si>
    <t>UNIWAR</t>
  </si>
  <si>
    <t>Cyganek Wodzislaw Sl.</t>
  </si>
  <si>
    <t>Dubielec Jastr. Zd.</t>
  </si>
  <si>
    <t>Leśmina Jastr. Zd.</t>
  </si>
  <si>
    <t>Polomska Wiadukt Jastr. Zd.</t>
  </si>
  <si>
    <t>Mszana</t>
  </si>
  <si>
    <t>Jastrzębie Zdroj - Czarny Rycerz</t>
  </si>
  <si>
    <t>Rybnik - Smolna</t>
  </si>
  <si>
    <t>Niedobczyce - PKP</t>
  </si>
  <si>
    <t>Radlin - Kościół</t>
  </si>
  <si>
    <t>Wodzisław Śląski, Rybnicka 15 - SHELL</t>
  </si>
  <si>
    <t>Wodzisław Śląski - PKP</t>
  </si>
  <si>
    <t>Radlin Ujejskiego - kopalnia Marcel</t>
  </si>
  <si>
    <t>Wodzisław Śl. - Szpital</t>
  </si>
  <si>
    <t>Wodzisław Śl. - PKP</t>
  </si>
  <si>
    <t>Wodzisław Śl. - Karuzela</t>
  </si>
  <si>
    <t>Wodzisław Śl. - Wilchwy</t>
  </si>
  <si>
    <t>Jastrzębie-Zdrój - 1 maja</t>
  </si>
  <si>
    <t>Skrzyszów</t>
  </si>
  <si>
    <t>Jastrzębie-Zdrój - Zofiówka</t>
  </si>
  <si>
    <t>Jastrzębie-Zd. Wodzisławska 1 - BP</t>
  </si>
  <si>
    <t>Jastrzębie-Zd. - POLO</t>
  </si>
  <si>
    <t>Jastrzębie-Zd. - Supersam</t>
  </si>
  <si>
    <t>Jastrzębie-Zd. - McDonalds</t>
  </si>
  <si>
    <t>Jastrzębie-Zd. - Dworzec Arki Bożka</t>
  </si>
  <si>
    <t>Male Kończyce - Skrzyź</t>
  </si>
  <si>
    <t>Rybnik Zamysłów</t>
  </si>
  <si>
    <t>Rybnik - Chabrowa</t>
  </si>
  <si>
    <t>Szeroka - Kaplica</t>
  </si>
  <si>
    <t>Szeroka - Gagarina Norwida</t>
  </si>
  <si>
    <t>Rydułtowy - Generała Józefa Bema</t>
  </si>
  <si>
    <t>Male Kończyce - Szkola</t>
  </si>
  <si>
    <t>Jastrzębie-Zd. - Wodociągi</t>
  </si>
  <si>
    <t>Zebrzydowice</t>
  </si>
  <si>
    <t>Kończyce Wielkie - Statek</t>
  </si>
  <si>
    <t>Źory - Zegar, aleja Niepodległości</t>
  </si>
  <si>
    <t>vyber</t>
  </si>
  <si>
    <t>0013126893</t>
  </si>
  <si>
    <t>SK822SC SCANIA BATZ - Szeroka / Jastrzębie Zdrój / Wodzislaw Sl. 2 Szeroka - Biedronka</t>
  </si>
  <si>
    <t>SK822SC SCANIA BATZ - Szeroka / Jastrzębie Zdrój / Wodzislaw Sl. 10 Wodzisław Śląski stacja paliw Circle K/McDonalds</t>
  </si>
  <si>
    <t>SK822SC SCANIA BATZ - Szeroka / Jastrzębie Zdrój / Wodzislaw Sl. 15 UNIWAR</t>
  </si>
  <si>
    <t>SK822SC SCANIA BATZ - Szeroka / Jastrzębie Zdrój / Wodzislaw Sl. 11 Wodzisław Śląski Dworzec Autobus. Galeria Karuzela</t>
  </si>
  <si>
    <t>SK822SC SCANIA BATZ - Szeroka / Jastrzębie Zdrój / Wodzislaw Sl. 6 Jastr.Zd. - Aleje Piłsudskiego SUPERSAM</t>
  </si>
  <si>
    <t>Vlastní auto Zaměstnanci, co jezdí vlastní dopravou Vlastní auto</t>
  </si>
  <si>
    <t>SK822SC SCANIA BATZ - Szeroka / Jastrzębie Zdrój / Wodzislaw Sl. 1 Szeroka ul. Rybnicka</t>
  </si>
  <si>
    <t>SK822SC SCANIA BATZ - Szeroka / Jastrzębie Zdrój / Wodzislaw Sl. 5 Jastr.Zd. - Al. Piłsudskiego - Os. Morcinka / Urząd Miasta</t>
  </si>
  <si>
    <t>SPRINTER / OPEL BATZ - Źory / Cieszyn Kończyce Małe</t>
  </si>
  <si>
    <t>SK822SC SCANIA BATZ - Szeroka / Jastrzębie Zdrój / Wodzislaw Sl. 7 Jastr.Zd. - Hala Sportowa</t>
  </si>
  <si>
    <t>SPRINTER / OPEL BATZ - Źory / Cieszyn Źory - Sąd Rejonowy</t>
  </si>
  <si>
    <t>SK822SC SCANIA BATZ - Szeroka / Jastrzębie Zdrój / Wodzislaw Sl. 3 Szeroka - Wasbruck</t>
  </si>
  <si>
    <t>SPRINTER / OPEL BATZ - Źory / Cieszyn Zebrzydowice Rondo</t>
  </si>
  <si>
    <t>SK822SC SCANIA BATZ - Szeroka / Jastrzębie Zdrój / Wodzislaw Sl. 9 Mszana</t>
  </si>
  <si>
    <t>SPRINTER / OPEL BATZ - Źory / Cieszyn Ruptawa - Cisówka</t>
  </si>
  <si>
    <t>SK822SC SCANIA BATZ - Szeroka / Jastrzębie Zdrój / Wodzislaw Sl. 14 Gorzyce Urząd Gminy</t>
  </si>
  <si>
    <t>SPRINTER / OPEL BATZ - Źory / Cieszyn Cieszyn Liburnia</t>
  </si>
  <si>
    <t>SPRINTER / OPEL BATZ - Źory / Cieszyn Zebrzydowice Ośrodek Zdrowia</t>
  </si>
  <si>
    <t>SK822SC SCANIA BATZ - Szeroka / Jastrzębie Zdrój / Wodzislaw Sl. 8 Jastr.Zd. - Armii Krajowej</t>
  </si>
  <si>
    <t>SK822SC SCANIA BATZ - Szeroka / Jastrzębie Zdrój / Wodzislaw Sl. 16 Ostrava Dřevoprodej</t>
  </si>
  <si>
    <t>SK822SC SCANIA BATZ - Szeroka / Jastrzębie Zdrój / Wodzislaw Sl. 17 Frýdek - Místek autobusová zastávka Benzina - KMJ</t>
  </si>
  <si>
    <t>SPRINTER / OPEL BATZ - Źory / Cieszyn Cieszyn McDonalds</t>
  </si>
  <si>
    <t>Paczowski</t>
  </si>
  <si>
    <t>SPRINTER / OPEL BATZ - Źory / Cieszyn Hażlach za rondo Crab</t>
  </si>
  <si>
    <t>SK822SC SCANIA BATZ - Szeroka / Jastrzębie Zdrój / Wodzislaw Sl. 4 Jastr.Zd. - Pszczyńska/Rybnicka</t>
  </si>
  <si>
    <t>SK822SC SCANIA BATZ - Szeroka / Jastrzębie Zdrój / Wodzislaw Sl. 12 Wodzisław Śląski ul. Bogumińska - Cmentarz, działki</t>
  </si>
  <si>
    <t>SK822SC SCANIA BATZ - Szeroka / Jastrzębie Zdrój / Wodzislaw Sl. 13 Turza Śląska Turzyczka Skrzyżowanie</t>
  </si>
  <si>
    <t>SPRINTER / OPEL BATZ - Źory / Cieszyn Źory - Bajerowka</t>
  </si>
  <si>
    <t>Lauko HANON Szeroka Biedronka</t>
  </si>
  <si>
    <t>Lauko HANON Szkola Wodzislaw Sl.</t>
  </si>
  <si>
    <t>Lauko HANON PKP Wodzislaw Sl.</t>
  </si>
  <si>
    <t>Lauko HANON Szpital Wodzislaw Sl.</t>
  </si>
  <si>
    <t>Lauko HANON UNIWAR</t>
  </si>
  <si>
    <t>Lauko HANON Borymia Jastr. Zd.</t>
  </si>
  <si>
    <t>Lauko HANON Cyganek Wodzislaw Sl.</t>
  </si>
  <si>
    <t>Lauko HANON Polomska Wiadukt Jastr. Zd.</t>
  </si>
  <si>
    <t>Lauko HANON Mszana</t>
  </si>
  <si>
    <t>Lauko HANON Dubielec Jastr. Zd.</t>
  </si>
  <si>
    <t>Lauko HANON Leśmina Jastr. Zd.</t>
  </si>
  <si>
    <t>Lauko HANON Rondo Jastr. Zd.</t>
  </si>
  <si>
    <t>Gawelek HILITE 2 Stare Boguszowice ul Stanisława Małachowskiego</t>
  </si>
  <si>
    <t>Gawelek HILITE 2 Źory - McDonalds al. Zjednoczonej Europy 43</t>
  </si>
  <si>
    <t>Gawelek HILITE 2 Jastrzębie Zdroj - McDonalds</t>
  </si>
  <si>
    <t>Gawelek HILITE 2 Jastrzębie Zdroj - Zdrój</t>
  </si>
  <si>
    <t>Gawelek HILITE 2 Źory - Netto ul. Dworcowa</t>
  </si>
  <si>
    <t>Gawelek HILITE 2 Jastrzębie Zdroj - Urząd miasta</t>
  </si>
  <si>
    <t>Gawelek HILITE 2 Jastrzębie Zdroj - Supersam</t>
  </si>
  <si>
    <t>Gawelek HILITE 2 Jastrzębie Zdroj - Dubielec</t>
  </si>
  <si>
    <t>Pielasa TATRA 1 Rybnik - Dworek</t>
  </si>
  <si>
    <t>Pielasa TATRA 1 Jastrzębie Zdroj - Małopolska</t>
  </si>
  <si>
    <t>Pielasa TATRA 1 Jastrzębie Zdroj - Aldi</t>
  </si>
  <si>
    <t>Pielasa TATRA 1 Wodzisław Śląski - PKP</t>
  </si>
  <si>
    <t>Pielasa TATRA 1 Chwałowice Rybnik Maja 95b - Biedronka</t>
  </si>
  <si>
    <t>Pielasa TATRA 1 Niedobczyce - PKP</t>
  </si>
  <si>
    <t>Pielasa TATRA 1 Jastrzębie Zdroj - Czarny Rycerz</t>
  </si>
  <si>
    <t>Pielasa TATRA 1 Żory - Sąd</t>
  </si>
  <si>
    <t>Pielasa TATRA 1 Jastrzębie Zdroj - Szeroka</t>
  </si>
  <si>
    <t>Pielasa TATRA 1 Jankowice Świerklańska 81 - DINO</t>
  </si>
  <si>
    <t>Pielasa TATRA 1 Rybnik - Smolna</t>
  </si>
  <si>
    <t>Pielasa TATRA 1 Wodzisław Śląski, Rybnicka 15 - SHELL</t>
  </si>
  <si>
    <t>Oles DSC Jastrzębie-Zd. - Supersam</t>
  </si>
  <si>
    <t>Oles DSC Rydułtowy - Generała Józefa Bema</t>
  </si>
  <si>
    <t>Oles DSC Żory - Sąd</t>
  </si>
  <si>
    <t>Oles DSC Wodzisław Śl. - Szpital</t>
  </si>
  <si>
    <t>Oles DSC Jastrzębie-Zd. - POLO</t>
  </si>
  <si>
    <t>Oles DSC Rydułtowy - Rynek</t>
  </si>
  <si>
    <t>Oles DSC Rybnik, Raciborska 121 - BP</t>
  </si>
  <si>
    <t>Oles DSC Rybnik - Paryź</t>
  </si>
  <si>
    <t>Oles DSC Radlin - centrum</t>
  </si>
  <si>
    <t>Oles DSC Szeroka - Gagarina Norwida</t>
  </si>
  <si>
    <t>Oles DSC Jastrzębie-Zd. - Dworzec Arki Bożka</t>
  </si>
  <si>
    <t>Oles DSC Szeroka - Kaplica</t>
  </si>
  <si>
    <t>Oles DSC Rybnik - Chabrowa</t>
  </si>
  <si>
    <t>Oles DSC Jastrzębie-Zdrój - Zofiówka</t>
  </si>
  <si>
    <t>Oles DSC Źory - Bajerowka</t>
  </si>
  <si>
    <t>Oles DSC Wodzisław Śl. - Wilchwy</t>
  </si>
  <si>
    <t>Oles DSC Zebrzydowice</t>
  </si>
  <si>
    <t>Oles DSC Radlin Ujejskiego - kopalnia Marcel</t>
  </si>
  <si>
    <t>Oles DSC Rybnik Zamysłów</t>
  </si>
  <si>
    <t>Oles DSC Wodzisław Śl. - PKP</t>
  </si>
  <si>
    <t>Oles DSC Wodzisław Śl. - Karuzela</t>
  </si>
  <si>
    <t>Oles DSC Rybnik - Smolna</t>
  </si>
  <si>
    <t>Oles DSC Kończyce Wielkie - Statek</t>
  </si>
  <si>
    <t>Oles DSC Jastrzębie-Zd. - McDonalds</t>
  </si>
  <si>
    <t>Oles DSC Male Kończyce - Skrzyź</t>
  </si>
  <si>
    <t>Oles DSC Jastrzębie-Zd. Wodzisławska 1 - BP</t>
  </si>
  <si>
    <t>Oles DSC Skrzyszów</t>
  </si>
  <si>
    <t>Oles DSC Male Kończyce - Szkola</t>
  </si>
  <si>
    <t>Oles DSC Źory - Zegar, aleja Niepodległości</t>
  </si>
  <si>
    <t>Oles DSC Rybnik - Niewiadom</t>
  </si>
  <si>
    <t>cílová stanice</t>
  </si>
  <si>
    <t>os.cislo 2</t>
  </si>
  <si>
    <t>BATZ</t>
  </si>
  <si>
    <t>THERMA</t>
  </si>
  <si>
    <t>KMJ</t>
  </si>
  <si>
    <t>TATRA</t>
  </si>
  <si>
    <t>HILITE</t>
  </si>
  <si>
    <t>DONGHEE</t>
  </si>
  <si>
    <t>0301165702</t>
  </si>
  <si>
    <t>0348347824</t>
  </si>
  <si>
    <t>0328443819</t>
  </si>
  <si>
    <t>0301172995</t>
  </si>
  <si>
    <t>0328443812</t>
  </si>
  <si>
    <t>0301180266</t>
  </si>
  <si>
    <t>0301162124</t>
  </si>
  <si>
    <t>0370049042</t>
  </si>
  <si>
    <t>0301161919</t>
  </si>
  <si>
    <t>0301173035</t>
  </si>
  <si>
    <t>0348319987</t>
  </si>
  <si>
    <t>0348326520</t>
  </si>
  <si>
    <t>0289896646</t>
  </si>
  <si>
    <t>0328611457</t>
  </si>
  <si>
    <t>0301165654</t>
  </si>
  <si>
    <t>0065287216</t>
  </si>
  <si>
    <t>0013332948</t>
  </si>
  <si>
    <t>0013371457</t>
  </si>
  <si>
    <t>0013392876</t>
  </si>
  <si>
    <t>0011966825</t>
  </si>
  <si>
    <t>0011727280</t>
  </si>
  <si>
    <t>0011739808</t>
  </si>
  <si>
    <t>0013389158</t>
  </si>
  <si>
    <t>0013245983</t>
  </si>
  <si>
    <t>0013065701</t>
  </si>
  <si>
    <t>0011767781</t>
  </si>
  <si>
    <t>0011706778</t>
  </si>
  <si>
    <t>0013062387</t>
  </si>
  <si>
    <t>0011756656</t>
  </si>
  <si>
    <t>0013103649</t>
  </si>
  <si>
    <t>0013116795</t>
  </si>
  <si>
    <t>0013101656</t>
  </si>
  <si>
    <t>0011746761</t>
  </si>
  <si>
    <t>0013067149</t>
  </si>
  <si>
    <t>0013071630</t>
  </si>
  <si>
    <t>0011640887</t>
  </si>
  <si>
    <t>0012984388</t>
  </si>
  <si>
    <t>0011621835</t>
  </si>
  <si>
    <t>0012985727</t>
  </si>
  <si>
    <t>0011651233</t>
  </si>
  <si>
    <t>0011614768</t>
  </si>
  <si>
    <t>0013091855</t>
  </si>
  <si>
    <t>0013210313</t>
  </si>
  <si>
    <t>0013109811</t>
  </si>
  <si>
    <t>0013103014</t>
  </si>
  <si>
    <t>0011748975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</si>
</sst>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left"/>
    </xf>
    <xf numFmtId="0" fontId="0" fillId="34" borderId="0" xfId="0" applyFill="1"/>
    <xf numFmtId="0" fontId="0" fillId="0" borderId="0" xfId="0" applyAlignment="1">
      <alignment horizontal="left" vertical="center"/>
    </xf>
    <xf numFmtId="49" fontId="0" fillId="0" borderId="0" xfId="0" applyNumberFormat="1"/>
    <xf numFmtId="49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opLeftCell="A151" workbookViewId="0">
      <selection activeCell="C26" sqref="A26:XFD26"/>
    </sheetView>
  </sheetViews>
  <sheetFormatPr defaultRowHeight="15" x14ac:dyDescent="0.25"/>
  <cols>
    <col min="1" max="1" width="4" bestFit="1" customWidth="1"/>
    <col min="2" max="2" width="16.5703125" bestFit="1" customWidth="1"/>
    <col min="3" max="3" width="44.28515625" bestFit="1" customWidth="1"/>
    <col min="4" max="4" width="52.7109375" bestFit="1" customWidth="1"/>
    <col min="5" max="5" width="112.140625" bestFit="1" customWidth="1"/>
  </cols>
  <sheetData>
    <row r="1" spans="1:6" x14ac:dyDescent="0.25">
      <c r="A1" t="s">
        <v>0</v>
      </c>
      <c r="B1" t="s">
        <v>2446</v>
      </c>
      <c r="C1" t="s">
        <v>2447</v>
      </c>
      <c r="D1" t="s">
        <v>2448</v>
      </c>
      <c r="E1" t="s">
        <v>2574</v>
      </c>
    </row>
    <row r="2" spans="1:6" x14ac:dyDescent="0.25">
      <c r="A2">
        <v>1</v>
      </c>
      <c r="B2" t="s">
        <v>2449</v>
      </c>
      <c r="C2" t="s">
        <v>2450</v>
      </c>
      <c r="D2" t="s">
        <v>2451</v>
      </c>
      <c r="E2" t="str">
        <f>B2 &amp; " " &amp; C2 &amp; " " &amp; D2</f>
        <v>SK822SC SCANIA BATZ - Szeroka / Jastrzębie Zdrój / Wodzislaw Sl. 1 Szeroka ul. Rybnicka</v>
      </c>
      <c r="F2">
        <f>A2</f>
        <v>1</v>
      </c>
    </row>
    <row r="3" spans="1:6" x14ac:dyDescent="0.25">
      <c r="A3">
        <v>2</v>
      </c>
      <c r="B3" t="s">
        <v>2449</v>
      </c>
      <c r="C3" t="s">
        <v>2450</v>
      </c>
      <c r="D3" t="s">
        <v>2452</v>
      </c>
      <c r="E3" t="str">
        <f t="shared" ref="E3:E66" si="0">B3 &amp; " " &amp; C3 &amp; " " &amp; D3</f>
        <v>SK822SC SCANIA BATZ - Szeroka / Jastrzębie Zdrój / Wodzislaw Sl. 2 Szeroka - Biedronka</v>
      </c>
      <c r="F3">
        <f t="shared" ref="F3:F66" si="1">A3</f>
        <v>2</v>
      </c>
    </row>
    <row r="4" spans="1:6" x14ac:dyDescent="0.25">
      <c r="A4">
        <v>3</v>
      </c>
      <c r="B4" t="s">
        <v>2449</v>
      </c>
      <c r="C4" t="s">
        <v>2450</v>
      </c>
      <c r="D4" t="s">
        <v>2453</v>
      </c>
      <c r="E4" t="str">
        <f t="shared" si="0"/>
        <v>SK822SC SCANIA BATZ - Szeroka / Jastrzębie Zdrój / Wodzislaw Sl. 3 Szeroka - Wasbruck</v>
      </c>
      <c r="F4">
        <f t="shared" si="1"/>
        <v>3</v>
      </c>
    </row>
    <row r="5" spans="1:6" x14ac:dyDescent="0.25">
      <c r="A5">
        <v>4</v>
      </c>
      <c r="B5" t="s">
        <v>2449</v>
      </c>
      <c r="C5" t="s">
        <v>2450</v>
      </c>
      <c r="D5" t="s">
        <v>2454</v>
      </c>
      <c r="E5" t="str">
        <f t="shared" si="0"/>
        <v>SK822SC SCANIA BATZ - Szeroka / Jastrzębie Zdrój / Wodzislaw Sl. 4 Jastr.Zd. - Pszczyńska/Rybnicka</v>
      </c>
      <c r="F5">
        <f t="shared" si="1"/>
        <v>4</v>
      </c>
    </row>
    <row r="6" spans="1:6" x14ac:dyDescent="0.25">
      <c r="A6">
        <v>5</v>
      </c>
      <c r="B6" t="s">
        <v>2455</v>
      </c>
      <c r="C6" t="s">
        <v>2456</v>
      </c>
      <c r="D6" t="s">
        <v>2457</v>
      </c>
      <c r="E6" t="str">
        <f t="shared" si="0"/>
        <v>SPRINTER / OPEL BATZ - Źory / Cieszyn Źory - Sąd Rejonowy</v>
      </c>
      <c r="F6">
        <f t="shared" si="1"/>
        <v>5</v>
      </c>
    </row>
    <row r="7" spans="1:6" x14ac:dyDescent="0.25">
      <c r="A7">
        <v>6</v>
      </c>
      <c r="B7" t="s">
        <v>2455</v>
      </c>
      <c r="C7" t="s">
        <v>2456</v>
      </c>
      <c r="D7" t="s">
        <v>2458</v>
      </c>
      <c r="E7" t="str">
        <f t="shared" si="0"/>
        <v>SPRINTER / OPEL BATZ - Źory / Cieszyn Źory - Bajerowka</v>
      </c>
      <c r="F7">
        <f t="shared" si="1"/>
        <v>6</v>
      </c>
    </row>
    <row r="8" spans="1:6" x14ac:dyDescent="0.25">
      <c r="A8">
        <v>7</v>
      </c>
      <c r="B8" t="s">
        <v>2455</v>
      </c>
      <c r="C8" t="s">
        <v>2456</v>
      </c>
      <c r="D8" t="s">
        <v>2459</v>
      </c>
      <c r="E8" t="str">
        <f t="shared" si="0"/>
        <v>SPRINTER / OPEL BATZ - Źory / Cieszyn Ruptawa - Cisówka</v>
      </c>
      <c r="F8">
        <f t="shared" si="1"/>
        <v>7</v>
      </c>
    </row>
    <row r="9" spans="1:6" x14ac:dyDescent="0.25">
      <c r="A9">
        <v>9</v>
      </c>
      <c r="B9" t="s">
        <v>2455</v>
      </c>
      <c r="C9" t="s">
        <v>2456</v>
      </c>
      <c r="D9" t="s">
        <v>2460</v>
      </c>
      <c r="E9" t="str">
        <f t="shared" si="0"/>
        <v>SPRINTER / OPEL BATZ - Źory / Cieszyn Zebrzydowice Ośrodek Zdrowia</v>
      </c>
      <c r="F9">
        <f t="shared" si="1"/>
        <v>9</v>
      </c>
    </row>
    <row r="10" spans="1:6" x14ac:dyDescent="0.25">
      <c r="A10">
        <v>10</v>
      </c>
      <c r="B10" t="s">
        <v>2455</v>
      </c>
      <c r="C10" t="s">
        <v>2456</v>
      </c>
      <c r="D10" t="s">
        <v>2461</v>
      </c>
      <c r="E10" t="str">
        <f t="shared" si="0"/>
        <v>SPRINTER / OPEL BATZ - Źory / Cieszyn Zebrzydowice Rondo</v>
      </c>
      <c r="F10">
        <f t="shared" si="1"/>
        <v>10</v>
      </c>
    </row>
    <row r="11" spans="1:6" x14ac:dyDescent="0.25">
      <c r="A11">
        <v>11</v>
      </c>
      <c r="B11" t="s">
        <v>2455</v>
      </c>
      <c r="C11" t="s">
        <v>2456</v>
      </c>
      <c r="D11" t="s">
        <v>2462</v>
      </c>
      <c r="E11" t="str">
        <f t="shared" si="0"/>
        <v>SPRINTER / OPEL BATZ - Źory / Cieszyn Kończyce Małe</v>
      </c>
      <c r="F11">
        <f t="shared" si="1"/>
        <v>11</v>
      </c>
    </row>
    <row r="12" spans="1:6" x14ac:dyDescent="0.25">
      <c r="A12">
        <v>12</v>
      </c>
      <c r="B12" t="s">
        <v>2455</v>
      </c>
      <c r="C12" t="s">
        <v>2456</v>
      </c>
      <c r="D12" t="s">
        <v>2463</v>
      </c>
      <c r="E12" t="str">
        <f t="shared" si="0"/>
        <v>SPRINTER / OPEL BATZ - Źory / Cieszyn Hażlach za rondo Crab</v>
      </c>
      <c r="F12">
        <f t="shared" si="1"/>
        <v>12</v>
      </c>
    </row>
    <row r="13" spans="1:6" x14ac:dyDescent="0.25">
      <c r="A13">
        <v>13</v>
      </c>
      <c r="B13" t="s">
        <v>2455</v>
      </c>
      <c r="C13" t="s">
        <v>2456</v>
      </c>
      <c r="D13" t="s">
        <v>2464</v>
      </c>
      <c r="E13" t="str">
        <f t="shared" si="0"/>
        <v>SPRINTER / OPEL BATZ - Źory / Cieszyn Hażlach obok GASTROMANIA</v>
      </c>
      <c r="F13">
        <f t="shared" si="1"/>
        <v>13</v>
      </c>
    </row>
    <row r="14" spans="1:6" x14ac:dyDescent="0.25">
      <c r="A14">
        <v>14</v>
      </c>
      <c r="B14" t="s">
        <v>2455</v>
      </c>
      <c r="C14" t="s">
        <v>2456</v>
      </c>
      <c r="D14" t="s">
        <v>2465</v>
      </c>
      <c r="E14" t="str">
        <f t="shared" si="0"/>
        <v>SPRINTER / OPEL BATZ - Źory / Cieszyn Cieszyn McDonalds</v>
      </c>
      <c r="F14">
        <f t="shared" si="1"/>
        <v>14</v>
      </c>
    </row>
    <row r="15" spans="1:6" x14ac:dyDescent="0.25">
      <c r="A15">
        <v>15</v>
      </c>
      <c r="B15" t="s">
        <v>2455</v>
      </c>
      <c r="C15" t="s">
        <v>2456</v>
      </c>
      <c r="D15" t="s">
        <v>2466</v>
      </c>
      <c r="E15" t="str">
        <f t="shared" si="0"/>
        <v>SPRINTER / OPEL BATZ - Źory / Cieszyn Cieszyn Liburnia</v>
      </c>
      <c r="F15">
        <f t="shared" si="1"/>
        <v>15</v>
      </c>
    </row>
    <row r="16" spans="1:6" x14ac:dyDescent="0.25">
      <c r="A16">
        <v>16</v>
      </c>
      <c r="B16" t="s">
        <v>2449</v>
      </c>
      <c r="C16" t="s">
        <v>2450</v>
      </c>
      <c r="D16" t="s">
        <v>2467</v>
      </c>
      <c r="E16" t="str">
        <f t="shared" si="0"/>
        <v>SK822SC SCANIA BATZ - Szeroka / Jastrzębie Zdrój / Wodzislaw Sl. 5 Jastr.Zd. - Al. Piłsudskiego - Os. Morcinka / Urząd Miasta</v>
      </c>
      <c r="F16">
        <f t="shared" si="1"/>
        <v>16</v>
      </c>
    </row>
    <row r="17" spans="1:6" x14ac:dyDescent="0.25">
      <c r="A17">
        <v>17</v>
      </c>
      <c r="B17" t="s">
        <v>2449</v>
      </c>
      <c r="C17" t="s">
        <v>2450</v>
      </c>
      <c r="D17" t="s">
        <v>2468</v>
      </c>
      <c r="E17" t="str">
        <f t="shared" si="0"/>
        <v>SK822SC SCANIA BATZ - Szeroka / Jastrzębie Zdrój / Wodzislaw Sl. 6 Jastr.Zd. - Aleje Piłsudskiego SUPERSAM</v>
      </c>
      <c r="F17">
        <f t="shared" si="1"/>
        <v>17</v>
      </c>
    </row>
    <row r="18" spans="1:6" x14ac:dyDescent="0.25">
      <c r="A18">
        <v>18</v>
      </c>
      <c r="B18" t="s">
        <v>2449</v>
      </c>
      <c r="C18" t="s">
        <v>2450</v>
      </c>
      <c r="D18" t="s">
        <v>2469</v>
      </c>
      <c r="E18" t="str">
        <f t="shared" si="0"/>
        <v>SK822SC SCANIA BATZ - Szeroka / Jastrzębie Zdrój / Wodzislaw Sl. 7 Jastr.Zd. - Hala Sportowa</v>
      </c>
      <c r="F18">
        <f t="shared" si="1"/>
        <v>18</v>
      </c>
    </row>
    <row r="19" spans="1:6" x14ac:dyDescent="0.25">
      <c r="A19">
        <v>19</v>
      </c>
      <c r="B19" t="s">
        <v>2449</v>
      </c>
      <c r="C19" t="s">
        <v>2450</v>
      </c>
      <c r="D19" t="s">
        <v>2470</v>
      </c>
      <c r="E19" t="str">
        <f t="shared" si="0"/>
        <v>SK822SC SCANIA BATZ - Szeroka / Jastrzębie Zdrój / Wodzislaw Sl. 8 Jastr.Zd. - Armii Krajowej</v>
      </c>
      <c r="F19">
        <f t="shared" si="1"/>
        <v>19</v>
      </c>
    </row>
    <row r="20" spans="1:6" x14ac:dyDescent="0.25">
      <c r="A20">
        <v>20</v>
      </c>
      <c r="B20" t="s">
        <v>2449</v>
      </c>
      <c r="C20" t="s">
        <v>2450</v>
      </c>
      <c r="D20" t="s">
        <v>2471</v>
      </c>
      <c r="E20" t="str">
        <f t="shared" si="0"/>
        <v>SK822SC SCANIA BATZ - Szeroka / Jastrzębie Zdrój / Wodzislaw Sl. 9 Mszana</v>
      </c>
      <c r="F20">
        <f t="shared" si="1"/>
        <v>20</v>
      </c>
    </row>
    <row r="21" spans="1:6" x14ac:dyDescent="0.25">
      <c r="A21">
        <v>21</v>
      </c>
      <c r="B21" t="s">
        <v>2449</v>
      </c>
      <c r="C21" t="s">
        <v>2450</v>
      </c>
      <c r="D21" t="s">
        <v>2472</v>
      </c>
      <c r="E21" t="str">
        <f t="shared" si="0"/>
        <v>SK822SC SCANIA BATZ - Szeroka / Jastrzębie Zdrój / Wodzislaw Sl. 10 Wodzisław Śląski stacja paliw Circle K/McDonalds</v>
      </c>
      <c r="F21">
        <f t="shared" si="1"/>
        <v>21</v>
      </c>
    </row>
    <row r="22" spans="1:6" x14ac:dyDescent="0.25">
      <c r="A22">
        <v>22</v>
      </c>
      <c r="B22" t="s">
        <v>2449</v>
      </c>
      <c r="C22" t="s">
        <v>2450</v>
      </c>
      <c r="D22" t="s">
        <v>2473</v>
      </c>
      <c r="E22" t="str">
        <f t="shared" si="0"/>
        <v>SK822SC SCANIA BATZ - Szeroka / Jastrzębie Zdrój / Wodzislaw Sl. 11 Wodzisław Śląski Dworzec Autobus. Galeria Karuzela</v>
      </c>
      <c r="F22">
        <f t="shared" si="1"/>
        <v>22</v>
      </c>
    </row>
    <row r="23" spans="1:6" x14ac:dyDescent="0.25">
      <c r="A23">
        <v>23</v>
      </c>
      <c r="B23" t="s">
        <v>2449</v>
      </c>
      <c r="C23" t="s">
        <v>2450</v>
      </c>
      <c r="D23" t="s">
        <v>2474</v>
      </c>
      <c r="E23" t="str">
        <f t="shared" si="0"/>
        <v>SK822SC SCANIA BATZ - Szeroka / Jastrzębie Zdrój / Wodzislaw Sl. 12 Wodzisław Śląski ul. Bogumińska - Cmentarz, działki</v>
      </c>
      <c r="F23">
        <f t="shared" si="1"/>
        <v>23</v>
      </c>
    </row>
    <row r="24" spans="1:6" x14ac:dyDescent="0.25">
      <c r="A24">
        <v>24</v>
      </c>
      <c r="B24" t="s">
        <v>2449</v>
      </c>
      <c r="C24" t="s">
        <v>2450</v>
      </c>
      <c r="D24" t="s">
        <v>2475</v>
      </c>
      <c r="E24" t="str">
        <f t="shared" si="0"/>
        <v>SK822SC SCANIA BATZ - Szeroka / Jastrzębie Zdrój / Wodzislaw Sl. 13 Turza Śląska Turzyczka Skrzyżowanie</v>
      </c>
      <c r="F24">
        <f t="shared" si="1"/>
        <v>24</v>
      </c>
    </row>
    <row r="25" spans="1:6" x14ac:dyDescent="0.25">
      <c r="A25">
        <v>25</v>
      </c>
      <c r="B25" t="s">
        <v>2449</v>
      </c>
      <c r="C25" t="s">
        <v>2450</v>
      </c>
      <c r="D25" t="s">
        <v>2476</v>
      </c>
      <c r="E25" t="str">
        <f t="shared" si="0"/>
        <v>SK822SC SCANIA BATZ - Szeroka / Jastrzębie Zdrój / Wodzislaw Sl. 14 Gorzyce Urząd Gminy</v>
      </c>
      <c r="F25">
        <f t="shared" si="1"/>
        <v>25</v>
      </c>
    </row>
    <row r="26" spans="1:6" x14ac:dyDescent="0.25">
      <c r="A26">
        <v>26</v>
      </c>
      <c r="B26" t="s">
        <v>2449</v>
      </c>
      <c r="C26" t="s">
        <v>2450</v>
      </c>
      <c r="D26" t="s">
        <v>2477</v>
      </c>
      <c r="E26" t="str">
        <f t="shared" si="0"/>
        <v>SK822SC SCANIA BATZ - Szeroka / Jastrzębie Zdrój / Wodzislaw Sl. 15 UNIWAR</v>
      </c>
      <c r="F26">
        <f t="shared" si="1"/>
        <v>26</v>
      </c>
    </row>
    <row r="27" spans="1:6" x14ac:dyDescent="0.25">
      <c r="A27">
        <v>27</v>
      </c>
      <c r="B27" t="s">
        <v>2449</v>
      </c>
      <c r="C27" t="s">
        <v>2450</v>
      </c>
      <c r="D27" t="s">
        <v>2478</v>
      </c>
      <c r="E27" t="str">
        <f t="shared" si="0"/>
        <v>SK822SC SCANIA BATZ - Szeroka / Jastrzębie Zdrój / Wodzislaw Sl. 16 Ostrava Dřevoprodej</v>
      </c>
      <c r="F27">
        <f t="shared" si="1"/>
        <v>27</v>
      </c>
    </row>
    <row r="28" spans="1:6" x14ac:dyDescent="0.25">
      <c r="A28">
        <v>28</v>
      </c>
      <c r="B28" t="s">
        <v>2449</v>
      </c>
      <c r="C28" t="s">
        <v>2450</v>
      </c>
      <c r="D28" t="s">
        <v>2479</v>
      </c>
      <c r="E28" t="str">
        <f t="shared" si="0"/>
        <v>SK822SC SCANIA BATZ - Szeroka / Jastrzębie Zdrój / Wodzislaw Sl. 17 Frýdek - Místek autobusová zastávka Benzina - KMJ</v>
      </c>
      <c r="F28">
        <f t="shared" si="1"/>
        <v>28</v>
      </c>
    </row>
    <row r="29" spans="1:6" x14ac:dyDescent="0.25">
      <c r="A29">
        <v>29</v>
      </c>
      <c r="B29" t="s">
        <v>2480</v>
      </c>
      <c r="C29" t="s">
        <v>2481</v>
      </c>
      <c r="D29" t="s">
        <v>2482</v>
      </c>
      <c r="E29" t="str">
        <f t="shared" si="0"/>
        <v>Pielasa TATRA 1 Żory - Sąd</v>
      </c>
      <c r="F29">
        <f t="shared" si="1"/>
        <v>29</v>
      </c>
    </row>
    <row r="30" spans="1:6" x14ac:dyDescent="0.25">
      <c r="A30">
        <v>30</v>
      </c>
      <c r="B30" t="s">
        <v>2480</v>
      </c>
      <c r="C30" t="s">
        <v>2481</v>
      </c>
      <c r="D30" t="s">
        <v>2483</v>
      </c>
      <c r="E30" t="str">
        <f t="shared" si="0"/>
        <v>Pielasa TATRA 1 Żory - Bajerówka</v>
      </c>
      <c r="F30">
        <f t="shared" si="1"/>
        <v>30</v>
      </c>
    </row>
    <row r="31" spans="1:6" x14ac:dyDescent="0.25">
      <c r="A31">
        <v>31</v>
      </c>
      <c r="B31" t="s">
        <v>2480</v>
      </c>
      <c r="C31" t="s">
        <v>2481</v>
      </c>
      <c r="D31" t="s">
        <v>2484</v>
      </c>
      <c r="E31" t="str">
        <f t="shared" si="0"/>
        <v>Pielasa TATRA 1 Jastrzębie Zdroj - Szeroka</v>
      </c>
      <c r="F31">
        <f t="shared" si="1"/>
        <v>31</v>
      </c>
    </row>
    <row r="32" spans="1:6" x14ac:dyDescent="0.25">
      <c r="A32">
        <v>32</v>
      </c>
      <c r="B32" t="s">
        <v>2480</v>
      </c>
      <c r="C32" t="s">
        <v>2481</v>
      </c>
      <c r="D32" t="s">
        <v>2485</v>
      </c>
      <c r="E32" t="str">
        <f t="shared" si="0"/>
        <v>Pielasa TATRA 1 Jastrzębie Zdroj - Aldi</v>
      </c>
      <c r="F32">
        <f t="shared" si="1"/>
        <v>32</v>
      </c>
    </row>
    <row r="33" spans="1:6" x14ac:dyDescent="0.25">
      <c r="A33">
        <v>33</v>
      </c>
      <c r="B33" t="s">
        <v>2480</v>
      </c>
      <c r="C33" t="s">
        <v>2481</v>
      </c>
      <c r="D33" t="s">
        <v>2486</v>
      </c>
      <c r="E33" t="str">
        <f t="shared" si="0"/>
        <v>Pielasa TATRA 1 Jastrzębie Zdroj - Małopolska</v>
      </c>
      <c r="F33">
        <f t="shared" si="1"/>
        <v>33</v>
      </c>
    </row>
    <row r="34" spans="1:6" x14ac:dyDescent="0.25">
      <c r="A34">
        <v>34</v>
      </c>
      <c r="B34" t="s">
        <v>1457</v>
      </c>
      <c r="C34" t="s">
        <v>2487</v>
      </c>
      <c r="D34" t="s">
        <v>2482</v>
      </c>
      <c r="E34" t="str">
        <f t="shared" si="0"/>
        <v>Kubica TATRA 2 Żory - Sąd</v>
      </c>
      <c r="F34">
        <f t="shared" si="1"/>
        <v>34</v>
      </c>
    </row>
    <row r="35" spans="1:6" x14ac:dyDescent="0.25">
      <c r="A35">
        <v>35</v>
      </c>
      <c r="B35" t="s">
        <v>1457</v>
      </c>
      <c r="C35" t="s">
        <v>2487</v>
      </c>
      <c r="D35" t="s">
        <v>2483</v>
      </c>
      <c r="E35" t="str">
        <f t="shared" si="0"/>
        <v>Kubica TATRA 2 Żory - Bajerówka</v>
      </c>
      <c r="F35">
        <f t="shared" si="1"/>
        <v>35</v>
      </c>
    </row>
    <row r="36" spans="1:6" x14ac:dyDescent="0.25">
      <c r="A36">
        <v>36</v>
      </c>
      <c r="B36" t="s">
        <v>1457</v>
      </c>
      <c r="C36" t="s">
        <v>2487</v>
      </c>
      <c r="D36" t="s">
        <v>2484</v>
      </c>
      <c r="E36" t="str">
        <f t="shared" si="0"/>
        <v>Kubica TATRA 2 Jastrzębie Zdroj - Szeroka</v>
      </c>
      <c r="F36">
        <f t="shared" si="1"/>
        <v>36</v>
      </c>
    </row>
    <row r="37" spans="1:6" x14ac:dyDescent="0.25">
      <c r="A37">
        <v>37</v>
      </c>
      <c r="B37" t="s">
        <v>1457</v>
      </c>
      <c r="C37" t="s">
        <v>2487</v>
      </c>
      <c r="D37" t="s">
        <v>2485</v>
      </c>
      <c r="E37" t="str">
        <f t="shared" si="0"/>
        <v>Kubica TATRA 2 Jastrzębie Zdroj - Aldi</v>
      </c>
      <c r="F37">
        <f t="shared" si="1"/>
        <v>37</v>
      </c>
    </row>
    <row r="38" spans="1:6" x14ac:dyDescent="0.25">
      <c r="A38">
        <v>38</v>
      </c>
      <c r="B38" t="s">
        <v>1457</v>
      </c>
      <c r="C38" t="s">
        <v>2487</v>
      </c>
      <c r="D38" t="s">
        <v>2486</v>
      </c>
      <c r="E38" t="str">
        <f t="shared" si="0"/>
        <v>Kubica TATRA 2 Jastrzębie Zdroj - Małopolska</v>
      </c>
      <c r="F38">
        <f t="shared" si="1"/>
        <v>38</v>
      </c>
    </row>
    <row r="39" spans="1:6" x14ac:dyDescent="0.25">
      <c r="A39">
        <v>39</v>
      </c>
      <c r="B39" t="s">
        <v>2488</v>
      </c>
      <c r="C39" t="s">
        <v>2489</v>
      </c>
      <c r="D39" t="s">
        <v>2490</v>
      </c>
      <c r="E39" t="str">
        <f t="shared" si="0"/>
        <v>Spandel TATRA 3 Jankowice Świerklańska 81 - DINO</v>
      </c>
      <c r="F39">
        <f t="shared" si="1"/>
        <v>39</v>
      </c>
    </row>
    <row r="40" spans="1:6" x14ac:dyDescent="0.25">
      <c r="A40">
        <v>40</v>
      </c>
      <c r="B40" t="s">
        <v>2488</v>
      </c>
      <c r="C40" t="s">
        <v>2489</v>
      </c>
      <c r="D40" t="s">
        <v>2482</v>
      </c>
      <c r="E40" t="str">
        <f t="shared" si="0"/>
        <v>Spandel TATRA 3 Żory - Sąd</v>
      </c>
      <c r="F40">
        <f t="shared" si="1"/>
        <v>40</v>
      </c>
    </row>
    <row r="41" spans="1:6" x14ac:dyDescent="0.25">
      <c r="A41">
        <v>41</v>
      </c>
      <c r="B41" t="s">
        <v>2488</v>
      </c>
      <c r="C41" t="s">
        <v>2489</v>
      </c>
      <c r="D41" t="s">
        <v>2491</v>
      </c>
      <c r="E41" t="str">
        <f t="shared" si="0"/>
        <v>Spandel TATRA 3 Chwałowice Rybnik Maja 95b - Biedronka</v>
      </c>
      <c r="F41">
        <f t="shared" si="1"/>
        <v>41</v>
      </c>
    </row>
    <row r="42" spans="1:6" x14ac:dyDescent="0.25">
      <c r="A42">
        <v>42</v>
      </c>
      <c r="B42" t="s">
        <v>2488</v>
      </c>
      <c r="C42" t="s">
        <v>2489</v>
      </c>
      <c r="D42" t="s">
        <v>2492</v>
      </c>
      <c r="E42" t="str">
        <f t="shared" si="0"/>
        <v>Spandel TATRA 3 Rybnik - Dworek</v>
      </c>
      <c r="F42">
        <f t="shared" si="1"/>
        <v>42</v>
      </c>
    </row>
    <row r="43" spans="1:6" x14ac:dyDescent="0.25">
      <c r="A43">
        <v>43</v>
      </c>
      <c r="B43" t="s">
        <v>2488</v>
      </c>
      <c r="C43" t="s">
        <v>2489</v>
      </c>
      <c r="D43" t="s">
        <v>2483</v>
      </c>
      <c r="E43" t="str">
        <f t="shared" si="0"/>
        <v>Spandel TATRA 3 Żory - Bajerówka</v>
      </c>
      <c r="F43">
        <f t="shared" si="1"/>
        <v>43</v>
      </c>
    </row>
    <row r="44" spans="1:6" x14ac:dyDescent="0.25">
      <c r="A44">
        <v>44</v>
      </c>
      <c r="B44" t="s">
        <v>2493</v>
      </c>
      <c r="C44" t="s">
        <v>2494</v>
      </c>
      <c r="D44" t="s">
        <v>2495</v>
      </c>
      <c r="E44" t="str">
        <f t="shared" si="0"/>
        <v>Lauko HANON Szpital Wodzislaw Sl.</v>
      </c>
      <c r="F44">
        <f t="shared" si="1"/>
        <v>44</v>
      </c>
    </row>
    <row r="45" spans="1:6" x14ac:dyDescent="0.25">
      <c r="A45">
        <v>45</v>
      </c>
      <c r="B45" t="s">
        <v>2493</v>
      </c>
      <c r="C45" t="s">
        <v>2494</v>
      </c>
      <c r="D45" t="s">
        <v>2496</v>
      </c>
      <c r="E45" t="str">
        <f t="shared" si="0"/>
        <v>Lauko HANON Źory Bajerowka</v>
      </c>
      <c r="F45">
        <f t="shared" si="1"/>
        <v>45</v>
      </c>
    </row>
    <row r="46" spans="1:6" x14ac:dyDescent="0.25">
      <c r="A46">
        <v>46</v>
      </c>
      <c r="B46" t="s">
        <v>2493</v>
      </c>
      <c r="C46" t="s">
        <v>2494</v>
      </c>
      <c r="D46" t="s">
        <v>2497</v>
      </c>
      <c r="E46" t="str">
        <f t="shared" si="0"/>
        <v>Lauko HANON Szkola Wodzislaw Sl.</v>
      </c>
      <c r="F46">
        <f t="shared" si="1"/>
        <v>46</v>
      </c>
    </row>
    <row r="47" spans="1:6" x14ac:dyDescent="0.25">
      <c r="A47">
        <v>47</v>
      </c>
      <c r="B47" t="s">
        <v>2493</v>
      </c>
      <c r="C47" t="s">
        <v>2494</v>
      </c>
      <c r="D47" t="s">
        <v>2498</v>
      </c>
      <c r="E47" t="str">
        <f t="shared" si="0"/>
        <v>Lauko HANON Szeroka Biedronka</v>
      </c>
      <c r="F47">
        <f t="shared" si="1"/>
        <v>47</v>
      </c>
    </row>
    <row r="48" spans="1:6" x14ac:dyDescent="0.25">
      <c r="A48">
        <v>48</v>
      </c>
      <c r="B48" t="s">
        <v>2493</v>
      </c>
      <c r="C48" t="s">
        <v>2494</v>
      </c>
      <c r="D48" t="s">
        <v>2499</v>
      </c>
      <c r="E48" t="str">
        <f t="shared" si="0"/>
        <v>Lauko HANON PKP Wodzislaw Sl.</v>
      </c>
      <c r="F48">
        <f t="shared" si="1"/>
        <v>48</v>
      </c>
    </row>
    <row r="49" spans="1:6" x14ac:dyDescent="0.25">
      <c r="A49">
        <v>49</v>
      </c>
      <c r="B49" t="s">
        <v>761</v>
      </c>
      <c r="C49" t="s">
        <v>2500</v>
      </c>
      <c r="D49" t="s">
        <v>2501</v>
      </c>
      <c r="E49" t="str">
        <f t="shared" si="0"/>
        <v>Chrobok HILITE 1 Zastávka 1</v>
      </c>
      <c r="F49">
        <f t="shared" si="1"/>
        <v>49</v>
      </c>
    </row>
    <row r="50" spans="1:6" x14ac:dyDescent="0.25">
      <c r="A50">
        <v>50</v>
      </c>
      <c r="B50" t="s">
        <v>761</v>
      </c>
      <c r="C50" t="s">
        <v>2500</v>
      </c>
      <c r="D50" t="s">
        <v>2502</v>
      </c>
      <c r="E50" t="str">
        <f t="shared" si="0"/>
        <v>Chrobok HILITE 1 Zastávka 2</v>
      </c>
      <c r="F50">
        <f t="shared" si="1"/>
        <v>50</v>
      </c>
    </row>
    <row r="51" spans="1:6" x14ac:dyDescent="0.25">
      <c r="A51">
        <v>51</v>
      </c>
      <c r="B51" t="s">
        <v>761</v>
      </c>
      <c r="C51" t="s">
        <v>2500</v>
      </c>
      <c r="D51" t="s">
        <v>2503</v>
      </c>
      <c r="E51" t="str">
        <f t="shared" si="0"/>
        <v>Chrobok HILITE 1 Zastávka 3</v>
      </c>
      <c r="F51">
        <f t="shared" si="1"/>
        <v>51</v>
      </c>
    </row>
    <row r="52" spans="1:6" x14ac:dyDescent="0.25">
      <c r="A52">
        <v>52</v>
      </c>
      <c r="B52" t="s">
        <v>761</v>
      </c>
      <c r="C52" t="s">
        <v>2500</v>
      </c>
      <c r="D52" t="s">
        <v>2504</v>
      </c>
      <c r="E52" t="str">
        <f t="shared" si="0"/>
        <v>Chrobok HILITE 1 Zastávka 4</v>
      </c>
      <c r="F52">
        <f t="shared" si="1"/>
        <v>52</v>
      </c>
    </row>
    <row r="53" spans="1:6" x14ac:dyDescent="0.25">
      <c r="A53">
        <v>53</v>
      </c>
      <c r="B53" t="s">
        <v>761</v>
      </c>
      <c r="C53" t="s">
        <v>2500</v>
      </c>
      <c r="D53" t="s">
        <v>2505</v>
      </c>
      <c r="E53" t="str">
        <f t="shared" si="0"/>
        <v>Chrobok HILITE 1 Zastávka 5</v>
      </c>
      <c r="F53">
        <f t="shared" si="1"/>
        <v>53</v>
      </c>
    </row>
    <row r="54" spans="1:6" x14ac:dyDescent="0.25">
      <c r="A54">
        <v>54</v>
      </c>
      <c r="B54" t="s">
        <v>2506</v>
      </c>
      <c r="C54" t="s">
        <v>2507</v>
      </c>
      <c r="D54" t="s">
        <v>2508</v>
      </c>
      <c r="E54" t="str">
        <f t="shared" si="0"/>
        <v>Gawelek HILITE 2 Stare Boguszowice ul Stanisława Małachowskiego</v>
      </c>
      <c r="F54">
        <f t="shared" si="1"/>
        <v>54</v>
      </c>
    </row>
    <row r="55" spans="1:6" x14ac:dyDescent="0.25">
      <c r="A55">
        <v>55</v>
      </c>
      <c r="B55" t="s">
        <v>2506</v>
      </c>
      <c r="C55" t="s">
        <v>2507</v>
      </c>
      <c r="D55" t="s">
        <v>2509</v>
      </c>
      <c r="E55" t="str">
        <f t="shared" si="0"/>
        <v>Gawelek HILITE 2 Jastrzębie Zdroj - Dubielec</v>
      </c>
      <c r="F55">
        <f t="shared" si="1"/>
        <v>55</v>
      </c>
    </row>
    <row r="56" spans="1:6" x14ac:dyDescent="0.25">
      <c r="A56">
        <v>56</v>
      </c>
      <c r="B56" t="s">
        <v>2506</v>
      </c>
      <c r="C56" t="s">
        <v>2507</v>
      </c>
      <c r="D56" t="s">
        <v>2510</v>
      </c>
      <c r="E56" t="str">
        <f t="shared" si="0"/>
        <v>Gawelek HILITE 2 Źory - Netto ul. Dworcowa</v>
      </c>
      <c r="F56">
        <f t="shared" si="1"/>
        <v>56</v>
      </c>
    </row>
    <row r="57" spans="1:6" x14ac:dyDescent="0.25">
      <c r="A57">
        <v>57</v>
      </c>
      <c r="B57" t="s">
        <v>2506</v>
      </c>
      <c r="C57" t="s">
        <v>2507</v>
      </c>
      <c r="D57" t="s">
        <v>2511</v>
      </c>
      <c r="E57" t="str">
        <f t="shared" si="0"/>
        <v>Gawelek HILITE 2 Źory - McDonalds al. Zjednoczonej Europy 43</v>
      </c>
      <c r="F57">
        <f t="shared" si="1"/>
        <v>57</v>
      </c>
    </row>
    <row r="58" spans="1:6" x14ac:dyDescent="0.25">
      <c r="A58">
        <v>58</v>
      </c>
      <c r="B58" t="s">
        <v>2506</v>
      </c>
      <c r="C58" t="s">
        <v>2507</v>
      </c>
      <c r="D58" t="s">
        <v>2512</v>
      </c>
      <c r="E58" t="str">
        <f t="shared" si="0"/>
        <v>Gawelek HILITE 2 Źory - Sąd</v>
      </c>
      <c r="F58">
        <f t="shared" si="1"/>
        <v>58</v>
      </c>
    </row>
    <row r="59" spans="1:6" x14ac:dyDescent="0.25">
      <c r="A59">
        <v>59</v>
      </c>
      <c r="B59" t="s">
        <v>2513</v>
      </c>
      <c r="C59" t="s">
        <v>2514</v>
      </c>
      <c r="D59" t="s">
        <v>2515</v>
      </c>
      <c r="E59" t="str">
        <f t="shared" si="0"/>
        <v>Oles DSC Rybnik - Paryź</v>
      </c>
      <c r="F59">
        <f t="shared" si="1"/>
        <v>59</v>
      </c>
    </row>
    <row r="60" spans="1:6" x14ac:dyDescent="0.25">
      <c r="A60">
        <v>60</v>
      </c>
      <c r="B60" t="s">
        <v>2513</v>
      </c>
      <c r="C60" t="s">
        <v>2514</v>
      </c>
      <c r="D60" t="s">
        <v>2516</v>
      </c>
      <c r="E60" t="str">
        <f t="shared" si="0"/>
        <v>Oles DSC Rybnik, Raciborska 121 - BP</v>
      </c>
      <c r="F60">
        <f t="shared" si="1"/>
        <v>60</v>
      </c>
    </row>
    <row r="61" spans="1:6" x14ac:dyDescent="0.25">
      <c r="A61">
        <v>61</v>
      </c>
      <c r="B61" t="s">
        <v>2513</v>
      </c>
      <c r="C61" t="s">
        <v>2514</v>
      </c>
      <c r="D61" t="s">
        <v>2517</v>
      </c>
      <c r="E61" t="str">
        <f t="shared" si="0"/>
        <v>Oles DSC Rybnik - Niewiadom</v>
      </c>
      <c r="F61">
        <f t="shared" si="1"/>
        <v>61</v>
      </c>
    </row>
    <row r="62" spans="1:6" x14ac:dyDescent="0.25">
      <c r="A62">
        <v>62</v>
      </c>
      <c r="B62" t="s">
        <v>2513</v>
      </c>
      <c r="C62" t="s">
        <v>2514</v>
      </c>
      <c r="D62" t="s">
        <v>2518</v>
      </c>
      <c r="E62" t="str">
        <f t="shared" si="0"/>
        <v>Oles DSC Rydułtowy - Rynek</v>
      </c>
      <c r="F62">
        <f t="shared" si="1"/>
        <v>62</v>
      </c>
    </row>
    <row r="63" spans="1:6" x14ac:dyDescent="0.25">
      <c r="A63">
        <v>63</v>
      </c>
      <c r="B63" t="s">
        <v>2513</v>
      </c>
      <c r="C63" t="s">
        <v>2514</v>
      </c>
      <c r="D63" t="s">
        <v>2519</v>
      </c>
      <c r="E63" t="str">
        <f t="shared" si="0"/>
        <v>Oles DSC Radlin - centrum</v>
      </c>
      <c r="F63">
        <f t="shared" si="1"/>
        <v>63</v>
      </c>
    </row>
    <row r="64" spans="1:6" x14ac:dyDescent="0.25">
      <c r="A64">
        <v>64</v>
      </c>
      <c r="B64" t="s">
        <v>1371</v>
      </c>
      <c r="C64" t="s">
        <v>2520</v>
      </c>
      <c r="D64" t="s">
        <v>2501</v>
      </c>
      <c r="E64" t="str">
        <f t="shared" si="0"/>
        <v>Kasprzak Reserva 2 Zastávka 1</v>
      </c>
      <c r="F64">
        <f t="shared" si="1"/>
        <v>64</v>
      </c>
    </row>
    <row r="65" spans="1:6" x14ac:dyDescent="0.25">
      <c r="A65">
        <v>65</v>
      </c>
      <c r="B65" t="s">
        <v>1371</v>
      </c>
      <c r="C65" t="s">
        <v>2520</v>
      </c>
      <c r="D65" t="s">
        <v>2502</v>
      </c>
      <c r="E65" t="str">
        <f t="shared" si="0"/>
        <v>Kasprzak Reserva 2 Zastávka 2</v>
      </c>
      <c r="F65">
        <f t="shared" si="1"/>
        <v>65</v>
      </c>
    </row>
    <row r="66" spans="1:6" x14ac:dyDescent="0.25">
      <c r="A66">
        <v>66</v>
      </c>
      <c r="B66" t="s">
        <v>1371</v>
      </c>
      <c r="C66" t="s">
        <v>2520</v>
      </c>
      <c r="D66" t="s">
        <v>2503</v>
      </c>
      <c r="E66" t="str">
        <f t="shared" si="0"/>
        <v>Kasprzak Reserva 2 Zastávka 3</v>
      </c>
      <c r="F66">
        <f t="shared" si="1"/>
        <v>66</v>
      </c>
    </row>
    <row r="67" spans="1:6" x14ac:dyDescent="0.25">
      <c r="A67">
        <v>67</v>
      </c>
      <c r="B67" t="s">
        <v>1371</v>
      </c>
      <c r="C67" t="s">
        <v>2520</v>
      </c>
      <c r="D67" t="s">
        <v>2504</v>
      </c>
      <c r="E67" t="str">
        <f t="shared" ref="E67:E130" si="2">B67 &amp; " " &amp; C67 &amp; " " &amp; D67</f>
        <v>Kasprzak Reserva 2 Zastávka 4</v>
      </c>
      <c r="F67">
        <f t="shared" ref="F67:F130" si="3">A67</f>
        <v>67</v>
      </c>
    </row>
    <row r="68" spans="1:6" x14ac:dyDescent="0.25">
      <c r="A68">
        <v>68</v>
      </c>
      <c r="B68" t="s">
        <v>1371</v>
      </c>
      <c r="C68" t="s">
        <v>2520</v>
      </c>
      <c r="D68" t="s">
        <v>2505</v>
      </c>
      <c r="E68" t="str">
        <f t="shared" si="2"/>
        <v>Kasprzak Reserva 2 Zastávka 5</v>
      </c>
      <c r="F68">
        <f t="shared" si="3"/>
        <v>68</v>
      </c>
    </row>
    <row r="69" spans="1:6" x14ac:dyDescent="0.25">
      <c r="A69">
        <v>69</v>
      </c>
      <c r="B69" t="s">
        <v>2521</v>
      </c>
      <c r="C69" t="s">
        <v>2522</v>
      </c>
      <c r="D69" t="s">
        <v>2508</v>
      </c>
      <c r="E69" t="str">
        <f t="shared" si="2"/>
        <v>Kontny Reserva 1 Stare Boguszowice ul Stanisława Małachowskiego</v>
      </c>
      <c r="F69">
        <f t="shared" si="3"/>
        <v>69</v>
      </c>
    </row>
    <row r="70" spans="1:6" x14ac:dyDescent="0.25">
      <c r="A70">
        <v>70</v>
      </c>
      <c r="B70" t="s">
        <v>2521</v>
      </c>
      <c r="C70" t="s">
        <v>2522</v>
      </c>
      <c r="D70" t="s">
        <v>2510</v>
      </c>
      <c r="E70" t="str">
        <f t="shared" si="2"/>
        <v>Kontny Reserva 1 Źory - Netto ul. Dworcowa</v>
      </c>
      <c r="F70">
        <f t="shared" si="3"/>
        <v>70</v>
      </c>
    </row>
    <row r="71" spans="1:6" x14ac:dyDescent="0.25">
      <c r="A71">
        <v>71</v>
      </c>
      <c r="B71" t="s">
        <v>2521</v>
      </c>
      <c r="C71" t="s">
        <v>2522</v>
      </c>
      <c r="D71" t="s">
        <v>2512</v>
      </c>
      <c r="E71" t="str">
        <f t="shared" si="2"/>
        <v>Kontny Reserva 1 Źory - Sąd</v>
      </c>
      <c r="F71">
        <f t="shared" si="3"/>
        <v>71</v>
      </c>
    </row>
    <row r="72" spans="1:6" x14ac:dyDescent="0.25">
      <c r="A72">
        <v>72</v>
      </c>
      <c r="B72" t="s">
        <v>2521</v>
      </c>
      <c r="C72" t="s">
        <v>2522</v>
      </c>
      <c r="D72" t="s">
        <v>2511</v>
      </c>
      <c r="E72" t="str">
        <f t="shared" si="2"/>
        <v>Kontny Reserva 1 Źory - McDonalds al. Zjednoczonej Europy 43</v>
      </c>
      <c r="F72">
        <f t="shared" si="3"/>
        <v>72</v>
      </c>
    </row>
    <row r="73" spans="1:6" x14ac:dyDescent="0.25">
      <c r="A73">
        <v>73</v>
      </c>
      <c r="B73" t="s">
        <v>2521</v>
      </c>
      <c r="C73" t="s">
        <v>2522</v>
      </c>
      <c r="D73" t="s">
        <v>2509</v>
      </c>
      <c r="E73" t="str">
        <f t="shared" si="2"/>
        <v>Kontny Reserva 1 Jastrzębie Zdroj - Dubielec</v>
      </c>
      <c r="F73">
        <f t="shared" si="3"/>
        <v>73</v>
      </c>
    </row>
    <row r="74" spans="1:6" x14ac:dyDescent="0.25">
      <c r="A74">
        <v>74</v>
      </c>
      <c r="B74" t="s">
        <v>2523</v>
      </c>
      <c r="C74" t="s">
        <v>2514</v>
      </c>
      <c r="D74" t="s">
        <v>2501</v>
      </c>
      <c r="E74" t="str">
        <f t="shared" si="2"/>
        <v>SR7721J TURISMO DSC Zastávka 1</v>
      </c>
      <c r="F74">
        <f t="shared" si="3"/>
        <v>74</v>
      </c>
    </row>
    <row r="75" spans="1:6" x14ac:dyDescent="0.25">
      <c r="A75">
        <v>75</v>
      </c>
      <c r="B75" t="s">
        <v>2523</v>
      </c>
      <c r="C75" t="s">
        <v>2514</v>
      </c>
      <c r="D75" t="s">
        <v>2502</v>
      </c>
      <c r="E75" t="str">
        <f t="shared" si="2"/>
        <v>SR7721J TURISMO DSC Zastávka 2</v>
      </c>
      <c r="F75">
        <f t="shared" si="3"/>
        <v>75</v>
      </c>
    </row>
    <row r="76" spans="1:6" x14ac:dyDescent="0.25">
      <c r="A76">
        <v>76</v>
      </c>
      <c r="B76" t="s">
        <v>2523</v>
      </c>
      <c r="C76" t="s">
        <v>2514</v>
      </c>
      <c r="D76" t="s">
        <v>2503</v>
      </c>
      <c r="E76" t="str">
        <f t="shared" si="2"/>
        <v>SR7721J TURISMO DSC Zastávka 3</v>
      </c>
      <c r="F76">
        <f t="shared" si="3"/>
        <v>76</v>
      </c>
    </row>
    <row r="77" spans="1:6" x14ac:dyDescent="0.25">
      <c r="A77">
        <v>77</v>
      </c>
      <c r="B77" t="s">
        <v>2523</v>
      </c>
      <c r="C77" t="s">
        <v>2514</v>
      </c>
      <c r="D77" t="s">
        <v>2504</v>
      </c>
      <c r="E77" t="str">
        <f t="shared" si="2"/>
        <v>SR7721J TURISMO DSC Zastávka 4</v>
      </c>
      <c r="F77">
        <f t="shared" si="3"/>
        <v>77</v>
      </c>
    </row>
    <row r="78" spans="1:6" x14ac:dyDescent="0.25">
      <c r="A78">
        <v>78</v>
      </c>
      <c r="B78" t="s">
        <v>2523</v>
      </c>
      <c r="C78" t="s">
        <v>2514</v>
      </c>
      <c r="D78" t="s">
        <v>2505</v>
      </c>
      <c r="E78" t="str">
        <f t="shared" si="2"/>
        <v>SR7721J TURISMO DSC Zastávka 5</v>
      </c>
      <c r="F78">
        <f t="shared" si="3"/>
        <v>78</v>
      </c>
    </row>
    <row r="79" spans="1:6" x14ac:dyDescent="0.25">
      <c r="A79">
        <v>79</v>
      </c>
      <c r="B79" t="s">
        <v>2523</v>
      </c>
      <c r="C79" t="s">
        <v>2514</v>
      </c>
      <c r="D79" t="s">
        <v>2524</v>
      </c>
      <c r="E79" t="str">
        <f t="shared" si="2"/>
        <v>SR7721J TURISMO DSC Zastávka 6</v>
      </c>
      <c r="F79">
        <f t="shared" si="3"/>
        <v>79</v>
      </c>
    </row>
    <row r="80" spans="1:6" x14ac:dyDescent="0.25">
      <c r="A80">
        <v>80</v>
      </c>
      <c r="B80" t="s">
        <v>2523</v>
      </c>
      <c r="C80" t="s">
        <v>2514</v>
      </c>
      <c r="D80" t="s">
        <v>2525</v>
      </c>
      <c r="E80" t="str">
        <f t="shared" si="2"/>
        <v>SR7721J TURISMO DSC Zastávka 7</v>
      </c>
      <c r="F80">
        <f t="shared" si="3"/>
        <v>80</v>
      </c>
    </row>
    <row r="81" spans="1:6" x14ac:dyDescent="0.25">
      <c r="A81">
        <v>81</v>
      </c>
      <c r="B81" t="s">
        <v>2455</v>
      </c>
      <c r="C81" t="s">
        <v>2526</v>
      </c>
      <c r="D81" t="s">
        <v>2501</v>
      </c>
      <c r="E81" t="str">
        <f t="shared" si="2"/>
        <v>SPRINTER / OPEL DSC - Rybnik / Wodzislaw Zastávka 1</v>
      </c>
      <c r="F81">
        <f t="shared" si="3"/>
        <v>81</v>
      </c>
    </row>
    <row r="82" spans="1:6" x14ac:dyDescent="0.25">
      <c r="A82">
        <v>82</v>
      </c>
      <c r="B82" t="s">
        <v>2455</v>
      </c>
      <c r="C82" t="s">
        <v>2526</v>
      </c>
      <c r="D82" t="s">
        <v>2502</v>
      </c>
      <c r="E82" t="str">
        <f t="shared" si="2"/>
        <v>SPRINTER / OPEL DSC - Rybnik / Wodzislaw Zastávka 2</v>
      </c>
      <c r="F82">
        <f t="shared" si="3"/>
        <v>82</v>
      </c>
    </row>
    <row r="83" spans="1:6" x14ac:dyDescent="0.25">
      <c r="A83">
        <v>83</v>
      </c>
      <c r="B83" t="s">
        <v>2455</v>
      </c>
      <c r="C83" t="s">
        <v>2526</v>
      </c>
      <c r="D83" t="s">
        <v>2503</v>
      </c>
      <c r="E83" t="str">
        <f t="shared" si="2"/>
        <v>SPRINTER / OPEL DSC - Rybnik / Wodzislaw Zastávka 3</v>
      </c>
      <c r="F83">
        <f t="shared" si="3"/>
        <v>83</v>
      </c>
    </row>
    <row r="84" spans="1:6" x14ac:dyDescent="0.25">
      <c r="A84">
        <v>84</v>
      </c>
      <c r="B84" t="s">
        <v>2455</v>
      </c>
      <c r="C84" t="s">
        <v>2526</v>
      </c>
      <c r="D84" t="s">
        <v>2504</v>
      </c>
      <c r="E84" t="str">
        <f t="shared" si="2"/>
        <v>SPRINTER / OPEL DSC - Rybnik / Wodzislaw Zastávka 4</v>
      </c>
      <c r="F84">
        <f t="shared" si="3"/>
        <v>84</v>
      </c>
    </row>
    <row r="85" spans="1:6" x14ac:dyDescent="0.25">
      <c r="A85">
        <v>85</v>
      </c>
      <c r="B85" t="s">
        <v>2455</v>
      </c>
      <c r="C85" t="s">
        <v>2526</v>
      </c>
      <c r="D85" t="s">
        <v>2505</v>
      </c>
      <c r="E85" t="str">
        <f t="shared" si="2"/>
        <v>SPRINTER / OPEL DSC - Rybnik / Wodzislaw Zastávka 5</v>
      </c>
      <c r="F85">
        <f t="shared" si="3"/>
        <v>85</v>
      </c>
    </row>
    <row r="86" spans="1:6" x14ac:dyDescent="0.25">
      <c r="A86">
        <v>86</v>
      </c>
      <c r="B86" t="s">
        <v>2455</v>
      </c>
      <c r="C86" t="s">
        <v>2526</v>
      </c>
      <c r="D86" t="s">
        <v>2524</v>
      </c>
      <c r="E86" t="str">
        <f t="shared" si="2"/>
        <v>SPRINTER / OPEL DSC - Rybnik / Wodzislaw Zastávka 6</v>
      </c>
      <c r="F86">
        <f t="shared" si="3"/>
        <v>86</v>
      </c>
    </row>
    <row r="87" spans="1:6" x14ac:dyDescent="0.25">
      <c r="A87">
        <v>87</v>
      </c>
      <c r="B87" t="s">
        <v>2455</v>
      </c>
      <c r="C87" t="s">
        <v>2526</v>
      </c>
      <c r="D87" t="s">
        <v>2525</v>
      </c>
      <c r="E87" t="str">
        <f t="shared" si="2"/>
        <v>SPRINTER / OPEL DSC - Rybnik / Wodzislaw Zastávka 7</v>
      </c>
      <c r="F87">
        <f t="shared" si="3"/>
        <v>87</v>
      </c>
    </row>
    <row r="88" spans="1:6" x14ac:dyDescent="0.25">
      <c r="A88">
        <v>88</v>
      </c>
      <c r="B88" t="s">
        <v>2455</v>
      </c>
      <c r="C88" t="s">
        <v>2527</v>
      </c>
      <c r="D88" t="s">
        <v>2501</v>
      </c>
      <c r="E88" t="str">
        <f t="shared" si="2"/>
        <v>SPRINTER / OPEL DSC - Źory / Jastrzębie Zdrój Zastávka 1</v>
      </c>
      <c r="F88">
        <f t="shared" si="3"/>
        <v>88</v>
      </c>
    </row>
    <row r="89" spans="1:6" x14ac:dyDescent="0.25">
      <c r="A89">
        <v>89</v>
      </c>
      <c r="B89" t="s">
        <v>2455</v>
      </c>
      <c r="C89" t="s">
        <v>2527</v>
      </c>
      <c r="D89" t="s">
        <v>2502</v>
      </c>
      <c r="E89" t="str">
        <f t="shared" si="2"/>
        <v>SPRINTER / OPEL DSC - Źory / Jastrzębie Zdrój Zastávka 2</v>
      </c>
      <c r="F89">
        <f t="shared" si="3"/>
        <v>89</v>
      </c>
    </row>
    <row r="90" spans="1:6" x14ac:dyDescent="0.25">
      <c r="A90">
        <v>90</v>
      </c>
      <c r="B90" t="s">
        <v>2455</v>
      </c>
      <c r="C90" t="s">
        <v>2527</v>
      </c>
      <c r="D90" t="s">
        <v>2503</v>
      </c>
      <c r="E90" t="str">
        <f t="shared" si="2"/>
        <v>SPRINTER / OPEL DSC - Źory / Jastrzębie Zdrój Zastávka 3</v>
      </c>
      <c r="F90">
        <f t="shared" si="3"/>
        <v>90</v>
      </c>
    </row>
    <row r="91" spans="1:6" x14ac:dyDescent="0.25">
      <c r="A91">
        <v>91</v>
      </c>
      <c r="B91" t="s">
        <v>2455</v>
      </c>
      <c r="C91" t="s">
        <v>2527</v>
      </c>
      <c r="D91" t="s">
        <v>2505</v>
      </c>
      <c r="E91" t="str">
        <f t="shared" si="2"/>
        <v>SPRINTER / OPEL DSC - Źory / Jastrzębie Zdrój Zastávka 5</v>
      </c>
      <c r="F91">
        <f t="shared" si="3"/>
        <v>91</v>
      </c>
    </row>
    <row r="92" spans="1:6" x14ac:dyDescent="0.25">
      <c r="A92">
        <v>92</v>
      </c>
      <c r="B92" t="s">
        <v>2455</v>
      </c>
      <c r="C92" t="s">
        <v>2527</v>
      </c>
      <c r="D92" t="s">
        <v>2504</v>
      </c>
      <c r="E92" t="str">
        <f t="shared" si="2"/>
        <v>SPRINTER / OPEL DSC - Źory / Jastrzębie Zdrój Zastávka 4</v>
      </c>
      <c r="F92">
        <f t="shared" si="3"/>
        <v>92</v>
      </c>
    </row>
    <row r="93" spans="1:6" x14ac:dyDescent="0.25">
      <c r="A93">
        <v>93</v>
      </c>
      <c r="B93" t="s">
        <v>2455</v>
      </c>
      <c r="C93" t="s">
        <v>2527</v>
      </c>
      <c r="D93" t="s">
        <v>2524</v>
      </c>
      <c r="E93" t="str">
        <f t="shared" si="2"/>
        <v>SPRINTER / OPEL DSC - Źory / Jastrzębie Zdrój Zastávka 6</v>
      </c>
      <c r="F93">
        <f t="shared" si="3"/>
        <v>93</v>
      </c>
    </row>
    <row r="94" spans="1:6" x14ac:dyDescent="0.25">
      <c r="A94">
        <v>94</v>
      </c>
      <c r="B94" t="s">
        <v>2455</v>
      </c>
      <c r="C94" t="s">
        <v>2527</v>
      </c>
      <c r="D94" t="s">
        <v>2525</v>
      </c>
      <c r="E94" t="str">
        <f t="shared" si="2"/>
        <v>SPRINTER / OPEL DSC - Źory / Jastrzębie Zdrój Zastávka 7</v>
      </c>
      <c r="F94">
        <f t="shared" si="3"/>
        <v>94</v>
      </c>
    </row>
    <row r="95" spans="1:6" x14ac:dyDescent="0.25">
      <c r="A95">
        <v>95</v>
      </c>
      <c r="B95" t="s">
        <v>2528</v>
      </c>
      <c r="C95" t="s">
        <v>2529</v>
      </c>
      <c r="D95" t="s">
        <v>2501</v>
      </c>
      <c r="E95" t="str">
        <f t="shared" si="2"/>
        <v>Janíček Reserva 3 Zastávka 1</v>
      </c>
      <c r="F95">
        <f t="shared" si="3"/>
        <v>95</v>
      </c>
    </row>
    <row r="96" spans="1:6" x14ac:dyDescent="0.25">
      <c r="A96">
        <v>96</v>
      </c>
      <c r="B96" t="s">
        <v>2528</v>
      </c>
      <c r="C96" t="s">
        <v>2529</v>
      </c>
      <c r="D96" t="s">
        <v>2502</v>
      </c>
      <c r="E96" t="str">
        <f t="shared" si="2"/>
        <v>Janíček Reserva 3 Zastávka 2</v>
      </c>
      <c r="F96">
        <f t="shared" si="3"/>
        <v>96</v>
      </c>
    </row>
    <row r="97" spans="1:6" x14ac:dyDescent="0.25">
      <c r="A97">
        <v>97</v>
      </c>
      <c r="B97" t="s">
        <v>2528</v>
      </c>
      <c r="C97" t="s">
        <v>2529</v>
      </c>
      <c r="D97" t="s">
        <v>2503</v>
      </c>
      <c r="E97" t="str">
        <f t="shared" si="2"/>
        <v>Janíček Reserva 3 Zastávka 3</v>
      </c>
      <c r="F97">
        <f t="shared" si="3"/>
        <v>97</v>
      </c>
    </row>
    <row r="98" spans="1:6" x14ac:dyDescent="0.25">
      <c r="A98">
        <v>98</v>
      </c>
      <c r="B98" t="s">
        <v>2528</v>
      </c>
      <c r="C98" t="s">
        <v>2529</v>
      </c>
      <c r="D98" t="s">
        <v>2504</v>
      </c>
      <c r="E98" t="str">
        <f t="shared" si="2"/>
        <v>Janíček Reserva 3 Zastávka 4</v>
      </c>
      <c r="F98">
        <f t="shared" si="3"/>
        <v>98</v>
      </c>
    </row>
    <row r="99" spans="1:6" x14ac:dyDescent="0.25">
      <c r="A99">
        <v>99</v>
      </c>
      <c r="B99" t="s">
        <v>2528</v>
      </c>
      <c r="C99" t="s">
        <v>2529</v>
      </c>
      <c r="D99" t="s">
        <v>2505</v>
      </c>
      <c r="E99" t="str">
        <f t="shared" si="2"/>
        <v>Janíček Reserva 3 Zastávka 5</v>
      </c>
      <c r="F99">
        <f t="shared" si="3"/>
        <v>99</v>
      </c>
    </row>
    <row r="100" spans="1:6" x14ac:dyDescent="0.25">
      <c r="A100">
        <v>100</v>
      </c>
      <c r="B100" t="s">
        <v>2530</v>
      </c>
      <c r="C100" t="s">
        <v>2531</v>
      </c>
      <c r="D100" t="s">
        <v>2530</v>
      </c>
      <c r="E100" t="str">
        <f t="shared" si="2"/>
        <v>Vlastní auto Zaměstnanci, co jezdí vlastní dopravou Vlastní auto</v>
      </c>
      <c r="F100">
        <f t="shared" si="3"/>
        <v>100</v>
      </c>
    </row>
    <row r="101" spans="1:6" x14ac:dyDescent="0.25">
      <c r="A101">
        <v>101</v>
      </c>
      <c r="B101" t="s">
        <v>2506</v>
      </c>
      <c r="C101" t="s">
        <v>2507</v>
      </c>
      <c r="D101" t="s">
        <v>2532</v>
      </c>
      <c r="E101" t="str">
        <f t="shared" si="2"/>
        <v>Gawelek HILITE 2 Jastrzębie Zdroj - Urząd miasta</v>
      </c>
      <c r="F101">
        <f t="shared" si="3"/>
        <v>101</v>
      </c>
    </row>
    <row r="102" spans="1:6" x14ac:dyDescent="0.25">
      <c r="A102">
        <v>102</v>
      </c>
      <c r="B102" t="s">
        <v>2506</v>
      </c>
      <c r="C102" t="s">
        <v>2507</v>
      </c>
      <c r="D102" t="s">
        <v>2533</v>
      </c>
      <c r="E102" t="str">
        <f t="shared" si="2"/>
        <v>Gawelek HILITE 2 Jastrzębie Zdroj - McDonalds</v>
      </c>
      <c r="F102">
        <f t="shared" si="3"/>
        <v>102</v>
      </c>
    </row>
    <row r="103" spans="1:6" x14ac:dyDescent="0.25">
      <c r="A103">
        <v>103</v>
      </c>
      <c r="B103" t="s">
        <v>2506</v>
      </c>
      <c r="C103" t="s">
        <v>2507</v>
      </c>
      <c r="D103" t="s">
        <v>2534</v>
      </c>
      <c r="E103" t="str">
        <f t="shared" si="2"/>
        <v>Gawelek HILITE 2 Jastrzębie Zdroj - Supersam</v>
      </c>
      <c r="F103">
        <f t="shared" si="3"/>
        <v>103</v>
      </c>
    </row>
    <row r="104" spans="1:6" x14ac:dyDescent="0.25">
      <c r="A104">
        <v>104</v>
      </c>
      <c r="B104" t="s">
        <v>2506</v>
      </c>
      <c r="C104" t="s">
        <v>2507</v>
      </c>
      <c r="D104" t="s">
        <v>2535</v>
      </c>
      <c r="E104" t="str">
        <f t="shared" si="2"/>
        <v>Gawelek HILITE 2 Jastrzębie Zdroj - Zdrój</v>
      </c>
      <c r="F104">
        <f t="shared" si="3"/>
        <v>104</v>
      </c>
    </row>
    <row r="105" spans="1:6" x14ac:dyDescent="0.25">
      <c r="A105">
        <v>105</v>
      </c>
      <c r="B105" t="s">
        <v>2493</v>
      </c>
      <c r="C105" t="s">
        <v>2494</v>
      </c>
      <c r="D105" t="s">
        <v>2536</v>
      </c>
      <c r="E105" t="str">
        <f t="shared" si="2"/>
        <v>Lauko HANON Borymia Jastr. Zd.</v>
      </c>
      <c r="F105">
        <f t="shared" si="3"/>
        <v>105</v>
      </c>
    </row>
    <row r="106" spans="1:6" x14ac:dyDescent="0.25">
      <c r="A106">
        <v>106</v>
      </c>
      <c r="B106" t="s">
        <v>2493</v>
      </c>
      <c r="C106" t="s">
        <v>2494</v>
      </c>
      <c r="D106" t="s">
        <v>2537</v>
      </c>
      <c r="E106" t="str">
        <f t="shared" si="2"/>
        <v>Lauko HANON Rondo Jastr. Zd.</v>
      </c>
      <c r="F106">
        <f t="shared" si="3"/>
        <v>106</v>
      </c>
    </row>
    <row r="107" spans="1:6" x14ac:dyDescent="0.25">
      <c r="A107">
        <v>107</v>
      </c>
      <c r="B107" t="s">
        <v>2493</v>
      </c>
      <c r="C107" t="s">
        <v>2494</v>
      </c>
      <c r="D107" t="s">
        <v>2538</v>
      </c>
      <c r="E107" t="str">
        <f t="shared" si="2"/>
        <v>Lauko HANON UNIWAR</v>
      </c>
      <c r="F107">
        <f t="shared" si="3"/>
        <v>107</v>
      </c>
    </row>
    <row r="108" spans="1:6" x14ac:dyDescent="0.25">
      <c r="A108">
        <v>108</v>
      </c>
      <c r="B108" t="s">
        <v>2493</v>
      </c>
      <c r="C108" t="s">
        <v>2494</v>
      </c>
      <c r="D108" t="s">
        <v>2539</v>
      </c>
      <c r="E108" t="str">
        <f t="shared" si="2"/>
        <v>Lauko HANON Cyganek Wodzislaw Sl.</v>
      </c>
      <c r="F108">
        <f t="shared" si="3"/>
        <v>108</v>
      </c>
    </row>
    <row r="109" spans="1:6" x14ac:dyDescent="0.25">
      <c r="A109">
        <v>109</v>
      </c>
      <c r="B109" t="s">
        <v>2493</v>
      </c>
      <c r="C109" t="s">
        <v>2494</v>
      </c>
      <c r="D109" t="s">
        <v>2540</v>
      </c>
      <c r="E109" t="str">
        <f t="shared" si="2"/>
        <v>Lauko HANON Dubielec Jastr. Zd.</v>
      </c>
      <c r="F109">
        <f t="shared" si="3"/>
        <v>109</v>
      </c>
    </row>
    <row r="110" spans="1:6" x14ac:dyDescent="0.25">
      <c r="A110">
        <v>110</v>
      </c>
      <c r="B110" t="s">
        <v>2493</v>
      </c>
      <c r="C110" t="s">
        <v>2494</v>
      </c>
      <c r="D110" t="s">
        <v>2541</v>
      </c>
      <c r="E110" t="str">
        <f t="shared" si="2"/>
        <v>Lauko HANON Leśmina Jastr. Zd.</v>
      </c>
      <c r="F110">
        <f t="shared" si="3"/>
        <v>110</v>
      </c>
    </row>
    <row r="111" spans="1:6" x14ac:dyDescent="0.25">
      <c r="A111">
        <v>111</v>
      </c>
      <c r="B111" t="s">
        <v>2493</v>
      </c>
      <c r="C111" t="s">
        <v>2494</v>
      </c>
      <c r="D111" t="s">
        <v>2542</v>
      </c>
      <c r="E111" t="str">
        <f t="shared" si="2"/>
        <v>Lauko HANON Polomska Wiadukt Jastr. Zd.</v>
      </c>
      <c r="F111">
        <f t="shared" si="3"/>
        <v>111</v>
      </c>
    </row>
    <row r="112" spans="1:6" x14ac:dyDescent="0.25">
      <c r="A112">
        <v>112</v>
      </c>
      <c r="B112" t="s">
        <v>2493</v>
      </c>
      <c r="C112" t="s">
        <v>2494</v>
      </c>
      <c r="D112" t="s">
        <v>2543</v>
      </c>
      <c r="E112" t="str">
        <f t="shared" si="2"/>
        <v>Lauko HANON Mszana</v>
      </c>
      <c r="F112">
        <f t="shared" si="3"/>
        <v>112</v>
      </c>
    </row>
    <row r="113" spans="1:6" x14ac:dyDescent="0.25">
      <c r="A113">
        <v>113</v>
      </c>
      <c r="B113" t="s">
        <v>2480</v>
      </c>
      <c r="C113" t="s">
        <v>2481</v>
      </c>
      <c r="D113" t="s">
        <v>2544</v>
      </c>
      <c r="E113" t="str">
        <f t="shared" si="2"/>
        <v>Pielasa TATRA 1 Jastrzębie Zdroj - Czarny Rycerz</v>
      </c>
      <c r="F113">
        <f t="shared" si="3"/>
        <v>113</v>
      </c>
    </row>
    <row r="114" spans="1:6" x14ac:dyDescent="0.25">
      <c r="A114">
        <v>114</v>
      </c>
      <c r="B114" t="s">
        <v>2521</v>
      </c>
      <c r="C114" t="s">
        <v>2522</v>
      </c>
      <c r="D114" t="s">
        <v>2532</v>
      </c>
      <c r="E114" t="str">
        <f t="shared" si="2"/>
        <v>Kontny Reserva 1 Jastrzębie Zdroj - Urząd miasta</v>
      </c>
      <c r="F114">
        <f t="shared" si="3"/>
        <v>114</v>
      </c>
    </row>
    <row r="115" spans="1:6" x14ac:dyDescent="0.25">
      <c r="A115">
        <v>115</v>
      </c>
      <c r="B115" t="s">
        <v>2521</v>
      </c>
      <c r="C115" t="s">
        <v>2522</v>
      </c>
      <c r="D115" t="s">
        <v>2533</v>
      </c>
      <c r="E115" t="str">
        <f t="shared" si="2"/>
        <v>Kontny Reserva 1 Jastrzębie Zdroj - McDonalds</v>
      </c>
      <c r="F115">
        <f t="shared" si="3"/>
        <v>115</v>
      </c>
    </row>
    <row r="116" spans="1:6" x14ac:dyDescent="0.25">
      <c r="A116">
        <v>116</v>
      </c>
      <c r="B116" t="s">
        <v>2521</v>
      </c>
      <c r="C116" t="s">
        <v>2522</v>
      </c>
      <c r="D116" t="s">
        <v>2534</v>
      </c>
      <c r="E116" t="str">
        <f t="shared" si="2"/>
        <v>Kontny Reserva 1 Jastrzębie Zdroj - Supersam</v>
      </c>
      <c r="F116">
        <f t="shared" si="3"/>
        <v>116</v>
      </c>
    </row>
    <row r="117" spans="1:6" x14ac:dyDescent="0.25">
      <c r="A117">
        <v>117</v>
      </c>
      <c r="B117" t="s">
        <v>2521</v>
      </c>
      <c r="C117" t="s">
        <v>2522</v>
      </c>
      <c r="D117" t="s">
        <v>2535</v>
      </c>
      <c r="E117" t="str">
        <f t="shared" si="2"/>
        <v>Kontny Reserva 1 Jastrzębie Zdroj - Zdrój</v>
      </c>
      <c r="F117">
        <f t="shared" si="3"/>
        <v>117</v>
      </c>
    </row>
    <row r="118" spans="1:6" x14ac:dyDescent="0.25">
      <c r="A118">
        <v>118</v>
      </c>
      <c r="B118" t="s">
        <v>1457</v>
      </c>
      <c r="C118" t="s">
        <v>2487</v>
      </c>
      <c r="D118" t="s">
        <v>2544</v>
      </c>
      <c r="E118" t="str">
        <f t="shared" si="2"/>
        <v>Kubica TATRA 2 Jastrzębie Zdroj - Czarny Rycerz</v>
      </c>
      <c r="F118">
        <f t="shared" si="3"/>
        <v>118</v>
      </c>
    </row>
    <row r="119" spans="1:6" x14ac:dyDescent="0.25">
      <c r="A119">
        <v>119</v>
      </c>
      <c r="B119" t="s">
        <v>2480</v>
      </c>
      <c r="C119" t="s">
        <v>2481</v>
      </c>
      <c r="D119" t="s">
        <v>2490</v>
      </c>
      <c r="E119" t="str">
        <f t="shared" si="2"/>
        <v>Pielasa TATRA 1 Jankowice Świerklańska 81 - DINO</v>
      </c>
      <c r="F119">
        <f t="shared" si="3"/>
        <v>119</v>
      </c>
    </row>
    <row r="120" spans="1:6" x14ac:dyDescent="0.25">
      <c r="A120">
        <v>120</v>
      </c>
      <c r="B120" t="s">
        <v>1457</v>
      </c>
      <c r="C120" t="s">
        <v>2487</v>
      </c>
      <c r="D120" t="s">
        <v>2490</v>
      </c>
      <c r="E120" t="str">
        <f t="shared" si="2"/>
        <v>Kubica TATRA 2 Jankowice Świerklańska 81 - DINO</v>
      </c>
      <c r="F120">
        <f t="shared" si="3"/>
        <v>120</v>
      </c>
    </row>
    <row r="121" spans="1:6" x14ac:dyDescent="0.25">
      <c r="A121">
        <v>121</v>
      </c>
      <c r="B121" t="s">
        <v>2480</v>
      </c>
      <c r="C121" t="s">
        <v>2481</v>
      </c>
      <c r="D121" t="s">
        <v>2491</v>
      </c>
      <c r="E121" t="str">
        <f t="shared" si="2"/>
        <v>Pielasa TATRA 1 Chwałowice Rybnik Maja 95b - Biedronka</v>
      </c>
      <c r="F121">
        <f t="shared" si="3"/>
        <v>121</v>
      </c>
    </row>
    <row r="122" spans="1:6" x14ac:dyDescent="0.25">
      <c r="A122">
        <v>122</v>
      </c>
      <c r="B122" t="s">
        <v>1457</v>
      </c>
      <c r="C122" t="s">
        <v>2487</v>
      </c>
      <c r="D122" t="s">
        <v>2491</v>
      </c>
      <c r="E122" t="str">
        <f t="shared" si="2"/>
        <v>Kubica TATRA 2 Chwałowice Rybnik Maja 95b - Biedronka</v>
      </c>
      <c r="F122">
        <f t="shared" si="3"/>
        <v>122</v>
      </c>
    </row>
    <row r="123" spans="1:6" x14ac:dyDescent="0.25">
      <c r="A123">
        <v>123</v>
      </c>
      <c r="B123" t="s">
        <v>2480</v>
      </c>
      <c r="C123" t="s">
        <v>2481</v>
      </c>
      <c r="D123" t="s">
        <v>2492</v>
      </c>
      <c r="E123" t="str">
        <f t="shared" si="2"/>
        <v>Pielasa TATRA 1 Rybnik - Dworek</v>
      </c>
      <c r="F123">
        <f t="shared" si="3"/>
        <v>123</v>
      </c>
    </row>
    <row r="124" spans="1:6" x14ac:dyDescent="0.25">
      <c r="A124">
        <v>124</v>
      </c>
      <c r="B124" t="s">
        <v>1457</v>
      </c>
      <c r="C124" t="s">
        <v>2487</v>
      </c>
      <c r="D124" t="s">
        <v>2492</v>
      </c>
      <c r="E124" t="str">
        <f t="shared" si="2"/>
        <v>Kubica TATRA 2 Rybnik - Dworek</v>
      </c>
      <c r="F124">
        <f t="shared" si="3"/>
        <v>124</v>
      </c>
    </row>
    <row r="125" spans="1:6" x14ac:dyDescent="0.25">
      <c r="A125">
        <v>125</v>
      </c>
      <c r="B125" t="s">
        <v>2480</v>
      </c>
      <c r="C125" t="s">
        <v>2481</v>
      </c>
      <c r="D125" t="s">
        <v>2545</v>
      </c>
      <c r="E125" t="str">
        <f t="shared" si="2"/>
        <v>Pielasa TATRA 1 Rybnik - Smolna</v>
      </c>
      <c r="F125">
        <f t="shared" si="3"/>
        <v>125</v>
      </c>
    </row>
    <row r="126" spans="1:6" x14ac:dyDescent="0.25">
      <c r="A126">
        <v>126</v>
      </c>
      <c r="B126" t="s">
        <v>1457</v>
      </c>
      <c r="C126" t="s">
        <v>2487</v>
      </c>
      <c r="D126" t="s">
        <v>2545</v>
      </c>
      <c r="E126" t="str">
        <f t="shared" si="2"/>
        <v>Kubica TATRA 2 Rybnik - Smolna</v>
      </c>
      <c r="F126">
        <f t="shared" si="3"/>
        <v>126</v>
      </c>
    </row>
    <row r="127" spans="1:6" x14ac:dyDescent="0.25">
      <c r="A127">
        <v>127</v>
      </c>
      <c r="B127" t="s">
        <v>2480</v>
      </c>
      <c r="C127" t="s">
        <v>2481</v>
      </c>
      <c r="D127" t="s">
        <v>2546</v>
      </c>
      <c r="E127" t="str">
        <f t="shared" si="2"/>
        <v>Pielasa TATRA 1 Niedobczyce - PKP</v>
      </c>
      <c r="F127">
        <f t="shared" si="3"/>
        <v>127</v>
      </c>
    </row>
    <row r="128" spans="1:6" x14ac:dyDescent="0.25">
      <c r="A128">
        <v>128</v>
      </c>
      <c r="B128" t="s">
        <v>1457</v>
      </c>
      <c r="C128" t="s">
        <v>2487</v>
      </c>
      <c r="D128" t="s">
        <v>2546</v>
      </c>
      <c r="E128" t="str">
        <f t="shared" si="2"/>
        <v>Kubica TATRA 2 Niedobczyce - PKP</v>
      </c>
      <c r="F128">
        <f t="shared" si="3"/>
        <v>128</v>
      </c>
    </row>
    <row r="129" spans="1:6" x14ac:dyDescent="0.25">
      <c r="A129">
        <v>129</v>
      </c>
      <c r="B129" t="s">
        <v>2480</v>
      </c>
      <c r="C129" t="s">
        <v>2481</v>
      </c>
      <c r="D129" t="s">
        <v>2547</v>
      </c>
      <c r="E129" t="str">
        <f t="shared" si="2"/>
        <v>Pielasa TATRA 1 Radlin - Kościół</v>
      </c>
      <c r="F129">
        <f t="shared" si="3"/>
        <v>129</v>
      </c>
    </row>
    <row r="130" spans="1:6" x14ac:dyDescent="0.25">
      <c r="A130">
        <v>130</v>
      </c>
      <c r="B130" t="s">
        <v>1457</v>
      </c>
      <c r="C130" t="s">
        <v>2487</v>
      </c>
      <c r="D130" t="s">
        <v>2547</v>
      </c>
      <c r="E130" t="str">
        <f t="shared" si="2"/>
        <v>Kubica TATRA 2 Radlin - Kościół</v>
      </c>
      <c r="F130">
        <f t="shared" si="3"/>
        <v>130</v>
      </c>
    </row>
    <row r="131" spans="1:6" x14ac:dyDescent="0.25">
      <c r="A131">
        <v>131</v>
      </c>
      <c r="B131" t="s">
        <v>2480</v>
      </c>
      <c r="C131" t="s">
        <v>2481</v>
      </c>
      <c r="D131" t="s">
        <v>2548</v>
      </c>
      <c r="E131" t="str">
        <f t="shared" ref="E131:E171" si="4">B131 &amp; " " &amp; C131 &amp; " " &amp; D131</f>
        <v>Pielasa TATRA 1 Wodzisław Śląski, Rybnicka 15 - SHELL</v>
      </c>
      <c r="F131">
        <f t="shared" ref="F131:F171" si="5">A131</f>
        <v>131</v>
      </c>
    </row>
    <row r="132" spans="1:6" x14ac:dyDescent="0.25">
      <c r="A132">
        <v>132</v>
      </c>
      <c r="B132" t="s">
        <v>1457</v>
      </c>
      <c r="C132" t="s">
        <v>2487</v>
      </c>
      <c r="D132" t="s">
        <v>2548</v>
      </c>
      <c r="E132" t="str">
        <f t="shared" si="4"/>
        <v>Kubica TATRA 2 Wodzisław Śląski, Rybnicka 15 - SHELL</v>
      </c>
      <c r="F132">
        <f t="shared" si="5"/>
        <v>132</v>
      </c>
    </row>
    <row r="133" spans="1:6" x14ac:dyDescent="0.25">
      <c r="A133">
        <v>133</v>
      </c>
      <c r="B133" t="s">
        <v>2480</v>
      </c>
      <c r="C133" t="s">
        <v>2481</v>
      </c>
      <c r="D133" t="s">
        <v>2549</v>
      </c>
      <c r="E133" t="str">
        <f t="shared" si="4"/>
        <v>Pielasa TATRA 1 Wodzisław Śląski - PKP</v>
      </c>
      <c r="F133">
        <f t="shared" si="5"/>
        <v>133</v>
      </c>
    </row>
    <row r="134" spans="1:6" x14ac:dyDescent="0.25">
      <c r="A134">
        <v>134</v>
      </c>
      <c r="B134" t="s">
        <v>1457</v>
      </c>
      <c r="C134" t="s">
        <v>2487</v>
      </c>
      <c r="D134" t="s">
        <v>2549</v>
      </c>
      <c r="E134" t="str">
        <f t="shared" si="4"/>
        <v>Kubica TATRA 2 Wodzisław Śląski - PKP</v>
      </c>
      <c r="F134">
        <f t="shared" si="5"/>
        <v>134</v>
      </c>
    </row>
    <row r="135" spans="1:6" x14ac:dyDescent="0.25">
      <c r="A135">
        <v>135</v>
      </c>
      <c r="B135" t="s">
        <v>2488</v>
      </c>
      <c r="C135" t="s">
        <v>2489</v>
      </c>
      <c r="D135" t="s">
        <v>2484</v>
      </c>
      <c r="E135" t="str">
        <f t="shared" si="4"/>
        <v>Spandel TATRA 3 Jastrzębie Zdroj - Szeroka</v>
      </c>
      <c r="F135">
        <f t="shared" si="5"/>
        <v>135</v>
      </c>
    </row>
    <row r="136" spans="1:6" x14ac:dyDescent="0.25">
      <c r="A136">
        <v>136</v>
      </c>
      <c r="B136" t="s">
        <v>2488</v>
      </c>
      <c r="C136" t="s">
        <v>2489</v>
      </c>
      <c r="D136" t="s">
        <v>2545</v>
      </c>
      <c r="E136" t="str">
        <f t="shared" si="4"/>
        <v>Spandel TATRA 3 Rybnik - Smolna</v>
      </c>
      <c r="F136">
        <f t="shared" si="5"/>
        <v>136</v>
      </c>
    </row>
    <row r="137" spans="1:6" x14ac:dyDescent="0.25">
      <c r="A137">
        <v>137</v>
      </c>
      <c r="B137" t="s">
        <v>2488</v>
      </c>
      <c r="C137" t="s">
        <v>2489</v>
      </c>
      <c r="D137" t="s">
        <v>2546</v>
      </c>
      <c r="E137" t="str">
        <f t="shared" si="4"/>
        <v>Spandel TATRA 3 Niedobczyce - PKP</v>
      </c>
      <c r="F137">
        <f t="shared" si="5"/>
        <v>137</v>
      </c>
    </row>
    <row r="138" spans="1:6" x14ac:dyDescent="0.25">
      <c r="A138">
        <v>138</v>
      </c>
      <c r="B138" t="s">
        <v>2488</v>
      </c>
      <c r="C138" t="s">
        <v>2489</v>
      </c>
      <c r="D138" t="s">
        <v>2547</v>
      </c>
      <c r="E138" t="str">
        <f t="shared" si="4"/>
        <v>Spandel TATRA 3 Radlin - Kościół</v>
      </c>
      <c r="F138">
        <f t="shared" si="5"/>
        <v>138</v>
      </c>
    </row>
    <row r="139" spans="1:6" x14ac:dyDescent="0.25">
      <c r="A139">
        <v>139</v>
      </c>
      <c r="B139" t="s">
        <v>2488</v>
      </c>
      <c r="C139" t="s">
        <v>2489</v>
      </c>
      <c r="D139" t="s">
        <v>2548</v>
      </c>
      <c r="E139" t="str">
        <f t="shared" si="4"/>
        <v>Spandel TATRA 3 Wodzisław Śląski, Rybnicka 15 - SHELL</v>
      </c>
      <c r="F139">
        <f t="shared" si="5"/>
        <v>139</v>
      </c>
    </row>
    <row r="140" spans="1:6" x14ac:dyDescent="0.25">
      <c r="A140">
        <v>140</v>
      </c>
      <c r="B140" t="s">
        <v>2488</v>
      </c>
      <c r="C140" t="s">
        <v>2489</v>
      </c>
      <c r="D140" t="s">
        <v>2485</v>
      </c>
      <c r="E140" t="str">
        <f t="shared" si="4"/>
        <v>Spandel TATRA 3 Jastrzębie Zdroj - Aldi</v>
      </c>
      <c r="F140">
        <f t="shared" si="5"/>
        <v>140</v>
      </c>
    </row>
    <row r="141" spans="1:6" x14ac:dyDescent="0.25">
      <c r="A141">
        <v>141</v>
      </c>
      <c r="B141" t="s">
        <v>2488</v>
      </c>
      <c r="C141" t="s">
        <v>2489</v>
      </c>
      <c r="D141" t="s">
        <v>2486</v>
      </c>
      <c r="E141" t="str">
        <f t="shared" si="4"/>
        <v>Spandel TATRA 3 Jastrzębie Zdroj - Małopolska</v>
      </c>
      <c r="F141">
        <f t="shared" si="5"/>
        <v>141</v>
      </c>
    </row>
    <row r="142" spans="1:6" x14ac:dyDescent="0.25">
      <c r="A142">
        <v>142</v>
      </c>
      <c r="B142" t="s">
        <v>2488</v>
      </c>
      <c r="C142" t="s">
        <v>2489</v>
      </c>
      <c r="D142" t="s">
        <v>2549</v>
      </c>
      <c r="E142" t="str">
        <f t="shared" si="4"/>
        <v>Spandel TATRA 3 Wodzisław Śląski - PKP</v>
      </c>
      <c r="F142">
        <f t="shared" si="5"/>
        <v>142</v>
      </c>
    </row>
    <row r="143" spans="1:6" x14ac:dyDescent="0.25">
      <c r="A143">
        <v>143</v>
      </c>
      <c r="B143" t="s">
        <v>2488</v>
      </c>
      <c r="C143" t="s">
        <v>2489</v>
      </c>
      <c r="D143" t="s">
        <v>2544</v>
      </c>
      <c r="E143" t="str">
        <f t="shared" si="4"/>
        <v>Spandel TATRA 3 Jastrzębie Zdroj - Czarny Rycerz</v>
      </c>
      <c r="F143">
        <f t="shared" si="5"/>
        <v>143</v>
      </c>
    </row>
    <row r="144" spans="1:6" x14ac:dyDescent="0.25">
      <c r="A144">
        <v>144</v>
      </c>
      <c r="B144" t="s">
        <v>2513</v>
      </c>
      <c r="C144" t="s">
        <v>2514</v>
      </c>
      <c r="D144" t="s">
        <v>2550</v>
      </c>
      <c r="E144" t="str">
        <f t="shared" si="4"/>
        <v>Oles DSC Radlin Ujejskiego - kopalnia Marcel</v>
      </c>
      <c r="F144">
        <f t="shared" si="5"/>
        <v>144</v>
      </c>
    </row>
    <row r="145" spans="1:6" x14ac:dyDescent="0.25">
      <c r="A145">
        <v>145</v>
      </c>
      <c r="B145" t="s">
        <v>2513</v>
      </c>
      <c r="C145" t="s">
        <v>2514</v>
      </c>
      <c r="D145" t="s">
        <v>2551</v>
      </c>
      <c r="E145" t="str">
        <f t="shared" si="4"/>
        <v>Oles DSC Wodzisław Śl. - Szpital</v>
      </c>
      <c r="F145">
        <f t="shared" si="5"/>
        <v>145</v>
      </c>
    </row>
    <row r="146" spans="1:6" x14ac:dyDescent="0.25">
      <c r="A146">
        <v>146</v>
      </c>
      <c r="B146" t="s">
        <v>2513</v>
      </c>
      <c r="C146" t="s">
        <v>2514</v>
      </c>
      <c r="D146" t="s">
        <v>2552</v>
      </c>
      <c r="E146" t="str">
        <f t="shared" si="4"/>
        <v>Oles DSC Wodzisław Śl. - PKP</v>
      </c>
      <c r="F146">
        <f t="shared" si="5"/>
        <v>146</v>
      </c>
    </row>
    <row r="147" spans="1:6" x14ac:dyDescent="0.25">
      <c r="A147">
        <v>147</v>
      </c>
      <c r="B147" t="s">
        <v>2513</v>
      </c>
      <c r="C147" t="s">
        <v>2514</v>
      </c>
      <c r="D147" t="s">
        <v>2553</v>
      </c>
      <c r="E147" t="str">
        <f t="shared" si="4"/>
        <v>Oles DSC Wodzisław Śl. - Karuzela</v>
      </c>
      <c r="F147">
        <f t="shared" si="5"/>
        <v>147</v>
      </c>
    </row>
    <row r="148" spans="1:6" x14ac:dyDescent="0.25">
      <c r="A148">
        <v>148</v>
      </c>
      <c r="B148" t="s">
        <v>2513</v>
      </c>
      <c r="C148" t="s">
        <v>2514</v>
      </c>
      <c r="D148" t="s">
        <v>2554</v>
      </c>
      <c r="E148" t="str">
        <f t="shared" si="4"/>
        <v>Oles DSC Wodzisław Śl. - Wilchwy</v>
      </c>
      <c r="F148">
        <f t="shared" si="5"/>
        <v>148</v>
      </c>
    </row>
    <row r="149" spans="1:6" x14ac:dyDescent="0.25">
      <c r="A149">
        <v>149</v>
      </c>
      <c r="B149" t="s">
        <v>2513</v>
      </c>
      <c r="C149" t="s">
        <v>2514</v>
      </c>
      <c r="D149" t="s">
        <v>2555</v>
      </c>
      <c r="E149" t="str">
        <f t="shared" si="4"/>
        <v>Oles DSC Jastrzębie-Zdrój - 1 maja</v>
      </c>
      <c r="F149">
        <f t="shared" si="5"/>
        <v>149</v>
      </c>
    </row>
    <row r="150" spans="1:6" x14ac:dyDescent="0.25">
      <c r="A150">
        <v>150</v>
      </c>
      <c r="B150" t="s">
        <v>2513</v>
      </c>
      <c r="C150" t="s">
        <v>2514</v>
      </c>
      <c r="D150" t="s">
        <v>2556</v>
      </c>
      <c r="E150" t="str">
        <f t="shared" si="4"/>
        <v>Oles DSC Skrzyszów</v>
      </c>
      <c r="F150">
        <f t="shared" si="5"/>
        <v>150</v>
      </c>
    </row>
    <row r="151" spans="1:6" x14ac:dyDescent="0.25">
      <c r="A151">
        <v>151</v>
      </c>
      <c r="B151" t="s">
        <v>2513</v>
      </c>
      <c r="C151" t="s">
        <v>2514</v>
      </c>
      <c r="D151" t="s">
        <v>2482</v>
      </c>
      <c r="E151" t="str">
        <f t="shared" si="4"/>
        <v>Oles DSC Żory - Sąd</v>
      </c>
      <c r="F151">
        <f t="shared" si="5"/>
        <v>151</v>
      </c>
    </row>
    <row r="152" spans="1:6" x14ac:dyDescent="0.25">
      <c r="A152">
        <v>152</v>
      </c>
      <c r="B152" t="s">
        <v>2513</v>
      </c>
      <c r="C152" t="s">
        <v>2514</v>
      </c>
      <c r="D152" t="s">
        <v>2458</v>
      </c>
      <c r="E152" t="str">
        <f t="shared" si="4"/>
        <v>Oles DSC Źory - Bajerowka</v>
      </c>
      <c r="F152">
        <f t="shared" si="5"/>
        <v>152</v>
      </c>
    </row>
    <row r="153" spans="1:6" x14ac:dyDescent="0.25">
      <c r="A153">
        <v>153</v>
      </c>
      <c r="B153" t="s">
        <v>2513</v>
      </c>
      <c r="C153" t="s">
        <v>2514</v>
      </c>
      <c r="D153" t="s">
        <v>2557</v>
      </c>
      <c r="E153" t="str">
        <f t="shared" si="4"/>
        <v>Oles DSC Jastrzębie-Zdrój - Zofiówka</v>
      </c>
      <c r="F153">
        <f t="shared" si="5"/>
        <v>153</v>
      </c>
    </row>
    <row r="154" spans="1:6" x14ac:dyDescent="0.25">
      <c r="A154">
        <v>154</v>
      </c>
      <c r="B154" t="s">
        <v>2513</v>
      </c>
      <c r="C154" t="s">
        <v>2514</v>
      </c>
      <c r="D154" t="s">
        <v>2558</v>
      </c>
      <c r="E154" t="str">
        <f t="shared" si="4"/>
        <v>Oles DSC Jastrzębie-Zd. Wodzisławska 1 - BP</v>
      </c>
      <c r="F154">
        <f t="shared" si="5"/>
        <v>154</v>
      </c>
    </row>
    <row r="155" spans="1:6" x14ac:dyDescent="0.25">
      <c r="A155">
        <v>155</v>
      </c>
      <c r="B155" t="s">
        <v>2513</v>
      </c>
      <c r="C155" t="s">
        <v>2514</v>
      </c>
      <c r="D155" t="s">
        <v>2559</v>
      </c>
      <c r="E155" t="str">
        <f t="shared" si="4"/>
        <v>Oles DSC Jastrzębie-Zd. - POLO</v>
      </c>
      <c r="F155">
        <f t="shared" si="5"/>
        <v>155</v>
      </c>
    </row>
    <row r="156" spans="1:6" x14ac:dyDescent="0.25">
      <c r="A156">
        <v>156</v>
      </c>
      <c r="B156" t="s">
        <v>2513</v>
      </c>
      <c r="C156" t="s">
        <v>2514</v>
      </c>
      <c r="D156" t="s">
        <v>2560</v>
      </c>
      <c r="E156" t="str">
        <f t="shared" si="4"/>
        <v>Oles DSC Jastrzębie-Zd. - Supersam</v>
      </c>
      <c r="F156">
        <f t="shared" si="5"/>
        <v>156</v>
      </c>
    </row>
    <row r="157" spans="1:6" x14ac:dyDescent="0.25">
      <c r="A157">
        <v>157</v>
      </c>
      <c r="B157" t="s">
        <v>2513</v>
      </c>
      <c r="C157" t="s">
        <v>2514</v>
      </c>
      <c r="D157" t="s">
        <v>2561</v>
      </c>
      <c r="E157" t="str">
        <f t="shared" si="4"/>
        <v>Oles DSC Jastrzębie-Zd. - McDonalds</v>
      </c>
      <c r="F157">
        <f t="shared" si="5"/>
        <v>157</v>
      </c>
    </row>
    <row r="158" spans="1:6" x14ac:dyDescent="0.25">
      <c r="A158">
        <v>158</v>
      </c>
      <c r="B158" t="s">
        <v>2513</v>
      </c>
      <c r="C158" t="s">
        <v>2514</v>
      </c>
      <c r="D158" t="s">
        <v>2562</v>
      </c>
      <c r="E158" t="str">
        <f t="shared" si="4"/>
        <v>Oles DSC Jastrzębie-Zd. - Dworzec Arki Bożka</v>
      </c>
      <c r="F158">
        <f t="shared" si="5"/>
        <v>158</v>
      </c>
    </row>
    <row r="159" spans="1:6" x14ac:dyDescent="0.25">
      <c r="A159">
        <v>159</v>
      </c>
      <c r="B159" t="s">
        <v>2513</v>
      </c>
      <c r="C159" t="s">
        <v>2514</v>
      </c>
      <c r="D159" t="s">
        <v>2563</v>
      </c>
      <c r="E159" t="str">
        <f t="shared" si="4"/>
        <v>Oles DSC Male Kończyce - Skrzyź</v>
      </c>
      <c r="F159">
        <f t="shared" si="5"/>
        <v>159</v>
      </c>
    </row>
    <row r="160" spans="1:6" x14ac:dyDescent="0.25">
      <c r="A160">
        <v>160</v>
      </c>
      <c r="B160" t="s">
        <v>2513</v>
      </c>
      <c r="C160" t="s">
        <v>2514</v>
      </c>
      <c r="D160" t="s">
        <v>2564</v>
      </c>
      <c r="E160" t="str">
        <f t="shared" si="4"/>
        <v>Oles DSC Rybnik Zamysłów</v>
      </c>
      <c r="F160">
        <f t="shared" si="5"/>
        <v>160</v>
      </c>
    </row>
    <row r="161" spans="1:6" x14ac:dyDescent="0.25">
      <c r="A161">
        <v>161</v>
      </c>
      <c r="B161" t="s">
        <v>2513</v>
      </c>
      <c r="C161" t="s">
        <v>2514</v>
      </c>
      <c r="D161" t="s">
        <v>2565</v>
      </c>
      <c r="E161" t="str">
        <f t="shared" si="4"/>
        <v>Oles DSC Rybnik - Chabrowa</v>
      </c>
      <c r="F161">
        <f t="shared" si="5"/>
        <v>161</v>
      </c>
    </row>
    <row r="162" spans="1:6" x14ac:dyDescent="0.25">
      <c r="A162">
        <v>162</v>
      </c>
      <c r="B162" t="s">
        <v>2513</v>
      </c>
      <c r="C162" t="s">
        <v>2514</v>
      </c>
      <c r="D162" t="s">
        <v>2566</v>
      </c>
      <c r="E162" t="str">
        <f t="shared" si="4"/>
        <v>Oles DSC Szeroka - Kaplica</v>
      </c>
      <c r="F162">
        <f t="shared" si="5"/>
        <v>162</v>
      </c>
    </row>
    <row r="163" spans="1:6" x14ac:dyDescent="0.25">
      <c r="A163">
        <v>163</v>
      </c>
      <c r="B163" t="s">
        <v>2513</v>
      </c>
      <c r="C163" t="s">
        <v>2514</v>
      </c>
      <c r="D163" t="s">
        <v>2567</v>
      </c>
      <c r="E163" t="str">
        <f t="shared" si="4"/>
        <v>Oles DSC Szeroka - Gagarina Norwida</v>
      </c>
      <c r="F163">
        <f t="shared" si="5"/>
        <v>163</v>
      </c>
    </row>
    <row r="164" spans="1:6" x14ac:dyDescent="0.25">
      <c r="A164">
        <v>164</v>
      </c>
      <c r="B164" t="s">
        <v>2513</v>
      </c>
      <c r="C164" t="s">
        <v>2514</v>
      </c>
      <c r="D164" t="s">
        <v>2568</v>
      </c>
      <c r="E164" t="str">
        <f t="shared" si="4"/>
        <v>Oles DSC Rydułtowy - Generała Józefa Bema</v>
      </c>
      <c r="F164">
        <f t="shared" si="5"/>
        <v>164</v>
      </c>
    </row>
    <row r="165" spans="1:6" x14ac:dyDescent="0.25">
      <c r="A165">
        <v>165</v>
      </c>
      <c r="B165" t="s">
        <v>2513</v>
      </c>
      <c r="C165" t="s">
        <v>2514</v>
      </c>
      <c r="D165" t="s">
        <v>2569</v>
      </c>
      <c r="E165" t="str">
        <f t="shared" si="4"/>
        <v>Oles DSC Male Kończyce - Szkola</v>
      </c>
      <c r="F165">
        <f t="shared" si="5"/>
        <v>165</v>
      </c>
    </row>
    <row r="166" spans="1:6" x14ac:dyDescent="0.25">
      <c r="A166">
        <v>166</v>
      </c>
      <c r="B166" t="s">
        <v>2513</v>
      </c>
      <c r="C166" t="s">
        <v>2514</v>
      </c>
      <c r="D166" t="s">
        <v>2570</v>
      </c>
      <c r="E166" t="str">
        <f t="shared" si="4"/>
        <v>Oles DSC Jastrzębie-Zd. - Wodociągi</v>
      </c>
      <c r="F166">
        <f t="shared" si="5"/>
        <v>166</v>
      </c>
    </row>
    <row r="167" spans="1:6" x14ac:dyDescent="0.25">
      <c r="A167">
        <v>167</v>
      </c>
      <c r="B167" t="s">
        <v>2513</v>
      </c>
      <c r="C167" t="s">
        <v>2514</v>
      </c>
      <c r="D167" t="s">
        <v>2571</v>
      </c>
      <c r="E167" t="str">
        <f t="shared" si="4"/>
        <v>Oles DSC Zebrzydowice</v>
      </c>
      <c r="F167">
        <f t="shared" si="5"/>
        <v>167</v>
      </c>
    </row>
    <row r="168" spans="1:6" x14ac:dyDescent="0.25">
      <c r="A168">
        <v>168</v>
      </c>
      <c r="B168" t="s">
        <v>2513</v>
      </c>
      <c r="C168" t="s">
        <v>2514</v>
      </c>
      <c r="D168" t="s">
        <v>2572</v>
      </c>
      <c r="E168" t="str">
        <f t="shared" si="4"/>
        <v>Oles DSC Kończyce Wielkie - Statek</v>
      </c>
      <c r="F168">
        <f t="shared" si="5"/>
        <v>168</v>
      </c>
    </row>
    <row r="169" spans="1:6" x14ac:dyDescent="0.25">
      <c r="A169">
        <v>169</v>
      </c>
      <c r="B169" t="s">
        <v>2513</v>
      </c>
      <c r="C169" t="s">
        <v>2514</v>
      </c>
      <c r="D169" t="s">
        <v>2565</v>
      </c>
      <c r="E169" t="str">
        <f t="shared" si="4"/>
        <v>Oles DSC Rybnik - Chabrowa</v>
      </c>
      <c r="F169">
        <f t="shared" si="5"/>
        <v>169</v>
      </c>
    </row>
    <row r="170" spans="1:6" x14ac:dyDescent="0.25">
      <c r="A170">
        <v>170</v>
      </c>
      <c r="B170" t="s">
        <v>2513</v>
      </c>
      <c r="C170" t="s">
        <v>2514</v>
      </c>
      <c r="D170" t="s">
        <v>2545</v>
      </c>
      <c r="E170" t="str">
        <f t="shared" si="4"/>
        <v>Oles DSC Rybnik - Smolna</v>
      </c>
      <c r="F170">
        <f t="shared" si="5"/>
        <v>170</v>
      </c>
    </row>
    <row r="171" spans="1:6" x14ac:dyDescent="0.25">
      <c r="A171">
        <v>171</v>
      </c>
      <c r="B171" t="s">
        <v>2513</v>
      </c>
      <c r="C171" t="s">
        <v>2514</v>
      </c>
      <c r="D171" t="s">
        <v>2573</v>
      </c>
      <c r="E171" t="str">
        <f t="shared" si="4"/>
        <v>Oles DSC Źory - Zegar, aleja Niepodległości</v>
      </c>
      <c r="F171">
        <f t="shared" si="5"/>
        <v>171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4"/>
  <sheetViews>
    <sheetView tabSelected="1" topLeftCell="G1" zoomScale="70" zoomScaleNormal="70" workbookViewId="0">
      <selection activeCell="P2" sqref="P2:P434"/>
    </sheetView>
  </sheetViews>
  <sheetFormatPr defaultRowHeight="15" x14ac:dyDescent="0.25"/>
  <cols>
    <col min="1" max="1" width="4" bestFit="1" customWidth="1"/>
    <col min="2" max="3" width="16" customWidth="1"/>
    <col min="4" max="4" width="19.42578125" bestFit="1" customWidth="1"/>
    <col min="5" max="5" width="21.5703125" bestFit="1" customWidth="1"/>
    <col min="6" max="6" width="14.140625" bestFit="1" customWidth="1"/>
    <col min="7" max="7" width="8.7109375" customWidth="1"/>
    <col min="8" max="8" width="14.42578125" bestFit="1" customWidth="1"/>
    <col min="9" max="9" width="52.28515625" bestFit="1" customWidth="1"/>
    <col min="10" max="10" width="5.7109375" bestFit="1" customWidth="1"/>
    <col min="11" max="11" width="6.85546875" bestFit="1" customWidth="1"/>
    <col min="12" max="12" width="13.28515625" bestFit="1" customWidth="1"/>
    <col min="13" max="13" width="7" bestFit="1" customWidth="1"/>
    <col min="14" max="14" width="127.5703125" style="1" customWidth="1"/>
    <col min="15" max="15" width="19.5703125" customWidth="1"/>
  </cols>
  <sheetData>
    <row r="1" spans="1:16" x14ac:dyDescent="0.25">
      <c r="A1" t="s">
        <v>0</v>
      </c>
      <c r="B1" t="s">
        <v>1</v>
      </c>
      <c r="C1" t="s">
        <v>2667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2448</v>
      </c>
      <c r="O1" t="s">
        <v>2666</v>
      </c>
    </row>
    <row r="2" spans="1:16" x14ac:dyDescent="0.25">
      <c r="A2">
        <v>1</v>
      </c>
      <c r="B2" t="s">
        <v>12</v>
      </c>
      <c r="C2" s="4">
        <v>1</v>
      </c>
      <c r="D2" t="s">
        <v>13</v>
      </c>
      <c r="E2" t="s">
        <v>14</v>
      </c>
      <c r="F2" t="s">
        <v>15</v>
      </c>
      <c r="G2">
        <f>IF(N2&lt;&gt;"",VLOOKUP(N2,zastavky!E:F,2,FALSE),"")</f>
        <v>21</v>
      </c>
      <c r="H2" t="s">
        <v>16</v>
      </c>
      <c r="I2" t="s">
        <v>17</v>
      </c>
      <c r="J2">
        <v>1</v>
      </c>
      <c r="K2" t="s">
        <v>18</v>
      </c>
      <c r="M2">
        <v>1</v>
      </c>
      <c r="N2" s="1" t="s">
        <v>2577</v>
      </c>
      <c r="O2" t="s">
        <v>2670</v>
      </c>
      <c r="P2" t="str">
        <f>"update zamestnanci set os_cislo='" &amp; C2 &amp; "', rfid='" &amp; F2 &amp; "',cilova='" &amp; O2 &amp; "',nastup='" &amp; G2 &amp; "' where os_cislo='" &amp; C2 &amp; "';"</f>
        <v>update zamestnanci set os_cislo='1', rfid='0001932486',cilova='KMJ',nastup='21' where os_cislo='1';</v>
      </c>
    </row>
    <row r="3" spans="1:16" x14ac:dyDescent="0.25">
      <c r="A3">
        <v>2</v>
      </c>
      <c r="B3" t="s">
        <v>19</v>
      </c>
      <c r="C3" s="4">
        <v>2</v>
      </c>
      <c r="D3" t="s">
        <v>20</v>
      </c>
      <c r="E3" t="s">
        <v>21</v>
      </c>
      <c r="F3" t="s">
        <v>22</v>
      </c>
      <c r="G3">
        <f>IF(N3&lt;&gt;"",VLOOKUP(N3,zastavky!E:F,2,FALSE),"")</f>
        <v>23</v>
      </c>
      <c r="H3" t="s">
        <v>23</v>
      </c>
      <c r="I3" t="s">
        <v>24</v>
      </c>
      <c r="J3">
        <v>1</v>
      </c>
      <c r="K3" t="s">
        <v>18</v>
      </c>
      <c r="M3">
        <v>1</v>
      </c>
      <c r="N3" s="1" t="s">
        <v>2601</v>
      </c>
      <c r="O3" t="s">
        <v>2670</v>
      </c>
      <c r="P3" t="str">
        <f t="shared" ref="P3:P66" si="0">"update zamestnanci set os_cislo='" &amp; C3 &amp; "', rfid='" &amp; F3 &amp; "',cilova='" &amp; O3 &amp; "',nastup='" &amp; G3 &amp; "' where os_cislo='" &amp; C3 &amp; "';"</f>
        <v>update zamestnanci set os_cislo='2', rfid='0001812666',cilova='KMJ',nastup='23' where os_cislo='2';</v>
      </c>
    </row>
    <row r="4" spans="1:16" x14ac:dyDescent="0.25">
      <c r="A4">
        <v>3</v>
      </c>
      <c r="B4" t="s">
        <v>25</v>
      </c>
      <c r="C4" s="4">
        <v>3</v>
      </c>
      <c r="D4" t="s">
        <v>26</v>
      </c>
      <c r="E4" t="s">
        <v>27</v>
      </c>
      <c r="F4" t="s">
        <v>28</v>
      </c>
      <c r="G4">
        <f>IF(N4&lt;&gt;"",VLOOKUP(N4,zastavky!E:F,2,FALSE),"")</f>
        <v>21</v>
      </c>
      <c r="H4" t="s">
        <v>29</v>
      </c>
      <c r="I4" t="s">
        <v>30</v>
      </c>
      <c r="J4">
        <v>1</v>
      </c>
      <c r="K4" t="s">
        <v>18</v>
      </c>
      <c r="M4">
        <v>1</v>
      </c>
      <c r="N4" s="1" t="s">
        <v>2577</v>
      </c>
      <c r="O4" t="s">
        <v>2670</v>
      </c>
      <c r="P4" t="str">
        <f t="shared" si="0"/>
        <v>update zamestnanci set os_cislo='3', rfid='0001203587',cilova='KMJ',nastup='21' where os_cislo='3';</v>
      </c>
    </row>
    <row r="5" spans="1:16" x14ac:dyDescent="0.25">
      <c r="A5">
        <v>4</v>
      </c>
      <c r="B5" t="s">
        <v>31</v>
      </c>
      <c r="C5" s="4">
        <v>4</v>
      </c>
      <c r="D5" t="s">
        <v>32</v>
      </c>
      <c r="E5" t="s">
        <v>33</v>
      </c>
      <c r="F5" t="s">
        <v>34</v>
      </c>
      <c r="G5">
        <f>IF(N5&lt;&gt;"",VLOOKUP(N5,zastavky!E:F,2,FALSE),"")</f>
        <v>26</v>
      </c>
      <c r="H5" t="s">
        <v>35</v>
      </c>
      <c r="I5" t="s">
        <v>36</v>
      </c>
      <c r="J5">
        <v>1</v>
      </c>
      <c r="K5" t="s">
        <v>18</v>
      </c>
      <c r="M5">
        <v>1</v>
      </c>
      <c r="N5" s="1" t="s">
        <v>2578</v>
      </c>
      <c r="O5" t="s">
        <v>2670</v>
      </c>
      <c r="P5" t="str">
        <f t="shared" si="0"/>
        <v>update zamestnanci set os_cislo='4', rfid='0001319249',cilova='KMJ',nastup='26' where os_cislo='4';</v>
      </c>
    </row>
    <row r="6" spans="1:16" x14ac:dyDescent="0.25">
      <c r="A6">
        <v>5</v>
      </c>
      <c r="B6" t="s">
        <v>37</v>
      </c>
      <c r="C6" s="4">
        <v>5</v>
      </c>
      <c r="D6" t="s">
        <v>38</v>
      </c>
      <c r="E6" t="s">
        <v>39</v>
      </c>
      <c r="F6" t="s">
        <v>40</v>
      </c>
      <c r="G6">
        <f>IF(N6&lt;&gt;"",VLOOKUP(N6,zastavky!E:F,2,FALSE),"")</f>
        <v>22</v>
      </c>
      <c r="H6" t="s">
        <v>41</v>
      </c>
      <c r="I6" t="s">
        <v>42</v>
      </c>
      <c r="J6">
        <v>1</v>
      </c>
      <c r="K6" t="s">
        <v>18</v>
      </c>
      <c r="M6">
        <v>1</v>
      </c>
      <c r="N6" s="1" t="s">
        <v>2579</v>
      </c>
      <c r="O6" t="s">
        <v>2670</v>
      </c>
      <c r="P6" t="str">
        <f t="shared" si="0"/>
        <v>update zamestnanci set os_cislo='5', rfid='0001348553',cilova='KMJ',nastup='22' where os_cislo='5';</v>
      </c>
    </row>
    <row r="7" spans="1:16" x14ac:dyDescent="0.25">
      <c r="A7">
        <v>6</v>
      </c>
      <c r="B7" t="s">
        <v>43</v>
      </c>
      <c r="C7" s="4">
        <v>6</v>
      </c>
      <c r="D7" t="s">
        <v>44</v>
      </c>
      <c r="E7" t="s">
        <v>45</v>
      </c>
      <c r="F7" t="s">
        <v>46</v>
      </c>
      <c r="G7">
        <f>IF(N7&lt;&gt;"",VLOOKUP(N7,zastavky!E:F,2,FALSE),"")</f>
        <v>17</v>
      </c>
      <c r="H7" t="s">
        <v>47</v>
      </c>
      <c r="I7" t="s">
        <v>48</v>
      </c>
      <c r="J7">
        <v>1</v>
      </c>
      <c r="K7" t="s">
        <v>18</v>
      </c>
      <c r="M7">
        <v>1</v>
      </c>
      <c r="N7" s="1" t="s">
        <v>2580</v>
      </c>
      <c r="O7" t="s">
        <v>2670</v>
      </c>
      <c r="P7" t="str">
        <f t="shared" si="0"/>
        <v>update zamestnanci set os_cislo='6', rfid='0001213514',cilova='KMJ',nastup='17' where os_cislo='6';</v>
      </c>
    </row>
    <row r="8" spans="1:16" x14ac:dyDescent="0.25">
      <c r="A8">
        <v>7</v>
      </c>
      <c r="B8" t="s">
        <v>49</v>
      </c>
      <c r="C8" s="4">
        <v>7</v>
      </c>
      <c r="D8" t="s">
        <v>50</v>
      </c>
      <c r="E8" t="s">
        <v>51</v>
      </c>
      <c r="F8" t="s">
        <v>52</v>
      </c>
      <c r="G8">
        <f>IF(N8&lt;&gt;"",VLOOKUP(N8,zastavky!E:F,2,FALSE),"")</f>
        <v>21</v>
      </c>
      <c r="H8" t="s">
        <v>53</v>
      </c>
      <c r="I8" t="s">
        <v>54</v>
      </c>
      <c r="J8">
        <v>1</v>
      </c>
      <c r="K8" t="s">
        <v>18</v>
      </c>
      <c r="M8">
        <v>1</v>
      </c>
      <c r="N8" s="1" t="s">
        <v>2577</v>
      </c>
      <c r="O8" t="s">
        <v>2670</v>
      </c>
      <c r="P8" t="str">
        <f t="shared" si="0"/>
        <v>update zamestnanci set os_cislo='7', rfid='0001815983',cilova='KMJ',nastup='21' where os_cislo='7';</v>
      </c>
    </row>
    <row r="9" spans="1:16" x14ac:dyDescent="0.25">
      <c r="A9">
        <v>8</v>
      </c>
      <c r="B9" t="s">
        <v>55</v>
      </c>
      <c r="C9" s="4">
        <v>8</v>
      </c>
      <c r="D9" t="s">
        <v>56</v>
      </c>
      <c r="E9" t="s">
        <v>57</v>
      </c>
      <c r="F9" t="s">
        <v>58</v>
      </c>
      <c r="G9">
        <f>IF(N9&lt;&gt;"",VLOOKUP(N9,zastavky!E:F,2,FALSE),"")</f>
        <v>100</v>
      </c>
      <c r="H9" t="s">
        <v>59</v>
      </c>
      <c r="I9" t="s">
        <v>30</v>
      </c>
      <c r="J9">
        <v>1</v>
      </c>
      <c r="K9" t="s">
        <v>18</v>
      </c>
      <c r="M9">
        <v>1</v>
      </c>
      <c r="N9" s="1" t="s">
        <v>2581</v>
      </c>
      <c r="O9" t="s">
        <v>2670</v>
      </c>
      <c r="P9" t="str">
        <f t="shared" si="0"/>
        <v>update zamestnanci set os_cislo='8', rfid='0003356249',cilova='KMJ',nastup='100' where os_cislo='8';</v>
      </c>
    </row>
    <row r="10" spans="1:16" x14ac:dyDescent="0.25">
      <c r="A10">
        <v>29</v>
      </c>
      <c r="B10" t="s">
        <v>174</v>
      </c>
      <c r="C10" s="4">
        <v>9</v>
      </c>
      <c r="D10" t="s">
        <v>175</v>
      </c>
      <c r="E10" t="s">
        <v>176</v>
      </c>
      <c r="F10" t="s">
        <v>177</v>
      </c>
      <c r="G10">
        <f>IF(N10&lt;&gt;"",VLOOKUP(N10,zastavky!E:F,2,FALSE),"")</f>
        <v>21</v>
      </c>
      <c r="H10" t="s">
        <v>178</v>
      </c>
      <c r="I10" t="s">
        <v>179</v>
      </c>
      <c r="J10">
        <v>1</v>
      </c>
      <c r="K10" t="s">
        <v>18</v>
      </c>
      <c r="M10">
        <v>1</v>
      </c>
      <c r="N10" s="1" t="s">
        <v>2577</v>
      </c>
      <c r="O10" t="s">
        <v>2668</v>
      </c>
      <c r="P10" t="str">
        <f t="shared" si="0"/>
        <v>update zamestnanci set os_cislo='9', rfid='0328432914',cilova='BATZ',nastup='21' where os_cislo='9';</v>
      </c>
    </row>
    <row r="11" spans="1:16" x14ac:dyDescent="0.25">
      <c r="A11">
        <v>30</v>
      </c>
      <c r="B11" t="s">
        <v>180</v>
      </c>
      <c r="C11" s="4">
        <v>10</v>
      </c>
      <c r="D11" t="s">
        <v>181</v>
      </c>
      <c r="E11" t="s">
        <v>182</v>
      </c>
      <c r="F11" t="s">
        <v>183</v>
      </c>
      <c r="G11">
        <f>IF(N11&lt;&gt;"",VLOOKUP(N11,zastavky!E:F,2,FALSE),"")</f>
        <v>17</v>
      </c>
      <c r="H11" t="s">
        <v>184</v>
      </c>
      <c r="I11" t="s">
        <v>185</v>
      </c>
      <c r="J11">
        <v>1</v>
      </c>
      <c r="K11" t="s">
        <v>18</v>
      </c>
      <c r="M11">
        <v>1</v>
      </c>
      <c r="N11" s="1" t="s">
        <v>2580</v>
      </c>
      <c r="O11" t="s">
        <v>2668</v>
      </c>
      <c r="P11" t="str">
        <f t="shared" si="0"/>
        <v>update zamestnanci set os_cislo='10', rfid='0328454862',cilova='BATZ',nastup='17' where os_cislo='10';</v>
      </c>
    </row>
    <row r="12" spans="1:16" x14ac:dyDescent="0.25">
      <c r="A12">
        <v>31</v>
      </c>
      <c r="B12" t="s">
        <v>186</v>
      </c>
      <c r="C12" s="4">
        <v>11</v>
      </c>
      <c r="D12" t="s">
        <v>187</v>
      </c>
      <c r="E12" t="s">
        <v>188</v>
      </c>
      <c r="F12" t="s">
        <v>189</v>
      </c>
      <c r="G12">
        <f>IF(N12&lt;&gt;"",VLOOKUP(N12,zastavky!E:F,2,FALSE),"")</f>
        <v>1</v>
      </c>
      <c r="H12" t="s">
        <v>190</v>
      </c>
      <c r="I12" t="s">
        <v>191</v>
      </c>
      <c r="J12">
        <v>1</v>
      </c>
      <c r="K12" t="s">
        <v>18</v>
      </c>
      <c r="M12">
        <v>1</v>
      </c>
      <c r="N12" s="1" t="s">
        <v>2582</v>
      </c>
      <c r="O12" t="s">
        <v>2668</v>
      </c>
      <c r="P12" t="str">
        <f t="shared" si="0"/>
        <v>update zamestnanci set os_cislo='11', rfid='0328432941',cilova='BATZ',nastup='1' where os_cislo='11';</v>
      </c>
    </row>
    <row r="13" spans="1:16" x14ac:dyDescent="0.25">
      <c r="A13">
        <v>32</v>
      </c>
      <c r="B13" t="s">
        <v>192</v>
      </c>
      <c r="C13" s="4">
        <v>12</v>
      </c>
      <c r="D13" t="s">
        <v>193</v>
      </c>
      <c r="E13" t="s">
        <v>194</v>
      </c>
      <c r="F13" t="s">
        <v>195</v>
      </c>
      <c r="G13">
        <f>IF(N13&lt;&gt;"",VLOOKUP(N13,zastavky!E:F,2,FALSE),"")</f>
        <v>21</v>
      </c>
      <c r="H13" t="s">
        <v>196</v>
      </c>
      <c r="I13" t="s">
        <v>197</v>
      </c>
      <c r="J13">
        <v>1</v>
      </c>
      <c r="K13" t="s">
        <v>18</v>
      </c>
      <c r="M13">
        <v>1</v>
      </c>
      <c r="N13" s="1" t="s">
        <v>2577</v>
      </c>
      <c r="O13" t="s">
        <v>2668</v>
      </c>
      <c r="P13" t="str">
        <f t="shared" si="0"/>
        <v>update zamestnanci set os_cislo='12', rfid='0348334221',cilova='BATZ',nastup='21' where os_cislo='12';</v>
      </c>
    </row>
    <row r="14" spans="1:16" x14ac:dyDescent="0.25">
      <c r="A14">
        <v>33</v>
      </c>
      <c r="B14" t="s">
        <v>198</v>
      </c>
      <c r="C14" s="4">
        <v>13</v>
      </c>
      <c r="D14" t="s">
        <v>199</v>
      </c>
      <c r="E14" t="s">
        <v>200</v>
      </c>
      <c r="F14" t="s">
        <v>201</v>
      </c>
      <c r="G14">
        <f>IF(N14&lt;&gt;"",VLOOKUP(N14,zastavky!E:F,2,FALSE),"")</f>
        <v>16</v>
      </c>
      <c r="H14" t="s">
        <v>202</v>
      </c>
      <c r="I14" t="s">
        <v>203</v>
      </c>
      <c r="J14">
        <v>1</v>
      </c>
      <c r="K14" t="s">
        <v>18</v>
      </c>
      <c r="M14">
        <v>1</v>
      </c>
      <c r="N14" s="1" t="s">
        <v>2583</v>
      </c>
      <c r="O14" t="s">
        <v>2668</v>
      </c>
      <c r="P14" t="str">
        <f t="shared" si="0"/>
        <v>update zamestnanci set os_cislo='13', rfid='0370049130',cilova='BATZ',nastup='16' where os_cislo='13';</v>
      </c>
    </row>
    <row r="15" spans="1:16" x14ac:dyDescent="0.25">
      <c r="A15">
        <v>34</v>
      </c>
      <c r="B15" t="s">
        <v>204</v>
      </c>
      <c r="C15" s="4">
        <v>14</v>
      </c>
      <c r="D15" t="s">
        <v>205</v>
      </c>
      <c r="E15" t="s">
        <v>206</v>
      </c>
      <c r="F15" t="s">
        <v>207</v>
      </c>
      <c r="G15">
        <f>IF(N15&lt;&gt;"",VLOOKUP(N15,zastavky!E:F,2,FALSE),"")</f>
        <v>2</v>
      </c>
      <c r="H15" t="s">
        <v>208</v>
      </c>
      <c r="I15" t="s">
        <v>209</v>
      </c>
      <c r="J15">
        <v>1</v>
      </c>
      <c r="K15" t="s">
        <v>18</v>
      </c>
      <c r="M15">
        <v>1</v>
      </c>
      <c r="N15" s="1" t="s">
        <v>2576</v>
      </c>
      <c r="O15" t="s">
        <v>2668</v>
      </c>
      <c r="P15" t="str">
        <f t="shared" si="0"/>
        <v>update zamestnanci set os_cislo='14', rfid='0370042869',cilova='BATZ',nastup='2' where os_cislo='14';</v>
      </c>
    </row>
    <row r="16" spans="1:16" x14ac:dyDescent="0.25">
      <c r="A16">
        <v>35</v>
      </c>
      <c r="B16" t="s">
        <v>210</v>
      </c>
      <c r="C16" s="4">
        <v>15</v>
      </c>
      <c r="D16" t="s">
        <v>211</v>
      </c>
      <c r="E16" t="s">
        <v>212</v>
      </c>
      <c r="F16" t="s">
        <v>213</v>
      </c>
      <c r="G16">
        <f>IF(N16&lt;&gt;"",VLOOKUP(N16,zastavky!E:F,2,FALSE),"")</f>
        <v>21</v>
      </c>
      <c r="H16" t="s">
        <v>214</v>
      </c>
      <c r="I16" t="s">
        <v>215</v>
      </c>
      <c r="J16">
        <v>1</v>
      </c>
      <c r="K16" t="s">
        <v>18</v>
      </c>
      <c r="M16">
        <v>1</v>
      </c>
      <c r="N16" s="1" t="s">
        <v>2577</v>
      </c>
      <c r="O16" t="s">
        <v>2668</v>
      </c>
      <c r="P16" t="str">
        <f t="shared" si="0"/>
        <v>update zamestnanci set os_cislo='15', rfid='0301162261',cilova='BATZ',nastup='21' where os_cislo='15';</v>
      </c>
    </row>
    <row r="17" spans="1:16" x14ac:dyDescent="0.25">
      <c r="A17">
        <v>36</v>
      </c>
      <c r="B17" t="s">
        <v>216</v>
      </c>
      <c r="C17" s="4">
        <v>16</v>
      </c>
      <c r="D17" t="s">
        <v>217</v>
      </c>
      <c r="E17" t="s">
        <v>218</v>
      </c>
      <c r="F17" t="s">
        <v>219</v>
      </c>
      <c r="G17">
        <f>IF(N17&lt;&gt;"",VLOOKUP(N17,zastavky!E:F,2,FALSE),"")</f>
        <v>11</v>
      </c>
      <c r="H17" t="s">
        <v>220</v>
      </c>
      <c r="I17" t="s">
        <v>221</v>
      </c>
      <c r="J17">
        <v>1</v>
      </c>
      <c r="K17" t="s">
        <v>18</v>
      </c>
      <c r="M17">
        <v>1</v>
      </c>
      <c r="N17" s="1" t="s">
        <v>2584</v>
      </c>
      <c r="O17" t="s">
        <v>2668</v>
      </c>
      <c r="P17" t="str">
        <f t="shared" si="0"/>
        <v>update zamestnanci set os_cislo='16', rfid='0315325883',cilova='BATZ',nastup='11' where os_cislo='16';</v>
      </c>
    </row>
    <row r="18" spans="1:16" x14ac:dyDescent="0.25">
      <c r="A18">
        <v>37</v>
      </c>
      <c r="B18" t="s">
        <v>222</v>
      </c>
      <c r="C18" s="4">
        <v>17</v>
      </c>
      <c r="D18" t="s">
        <v>223</v>
      </c>
      <c r="E18" t="s">
        <v>224</v>
      </c>
      <c r="F18" t="s">
        <v>225</v>
      </c>
      <c r="G18">
        <f>IF(N18&lt;&gt;"",VLOOKUP(N18,zastavky!E:F,2,FALSE),"")</f>
        <v>18</v>
      </c>
      <c r="H18" t="s">
        <v>226</v>
      </c>
      <c r="I18" t="s">
        <v>227</v>
      </c>
      <c r="J18">
        <v>1</v>
      </c>
      <c r="K18" t="s">
        <v>18</v>
      </c>
      <c r="M18">
        <v>1</v>
      </c>
      <c r="N18" s="1" t="s">
        <v>2585</v>
      </c>
      <c r="O18" t="s">
        <v>2668</v>
      </c>
      <c r="P18" t="str">
        <f t="shared" si="0"/>
        <v>update zamestnanci set os_cislo='17', rfid='0301172878',cilova='BATZ',nastup='18' where os_cislo='17';</v>
      </c>
    </row>
    <row r="19" spans="1:16" x14ac:dyDescent="0.25">
      <c r="A19">
        <v>38</v>
      </c>
      <c r="B19" t="s">
        <v>228</v>
      </c>
      <c r="C19" s="4">
        <v>18</v>
      </c>
      <c r="D19" t="s">
        <v>229</v>
      </c>
      <c r="E19" t="s">
        <v>230</v>
      </c>
      <c r="F19" t="s">
        <v>231</v>
      </c>
      <c r="G19">
        <f>IF(N19&lt;&gt;"",VLOOKUP(N19,zastavky!E:F,2,FALSE),"")</f>
        <v>2</v>
      </c>
      <c r="H19" t="s">
        <v>232</v>
      </c>
      <c r="I19" t="s">
        <v>233</v>
      </c>
      <c r="J19">
        <v>1</v>
      </c>
      <c r="K19" t="s">
        <v>18</v>
      </c>
      <c r="M19">
        <v>1</v>
      </c>
      <c r="N19" s="1" t="s">
        <v>2576</v>
      </c>
      <c r="O19" t="s">
        <v>2668</v>
      </c>
      <c r="P19" t="str">
        <f t="shared" si="0"/>
        <v>update zamestnanci set os_cislo='18', rfid='0348342408',cilova='BATZ',nastup='2' where os_cislo='18';</v>
      </c>
    </row>
    <row r="20" spans="1:16" x14ac:dyDescent="0.25">
      <c r="A20">
        <v>39</v>
      </c>
      <c r="B20" t="s">
        <v>234</v>
      </c>
      <c r="C20" s="4">
        <v>19</v>
      </c>
      <c r="D20" t="s">
        <v>26</v>
      </c>
      <c r="E20" t="s">
        <v>235</v>
      </c>
      <c r="F20" t="s">
        <v>236</v>
      </c>
      <c r="G20">
        <f>IF(N20&lt;&gt;"",VLOOKUP(N20,zastavky!E:F,2,FALSE),"")</f>
        <v>21</v>
      </c>
      <c r="H20" t="s">
        <v>237</v>
      </c>
      <c r="I20" t="s">
        <v>238</v>
      </c>
      <c r="J20">
        <v>1</v>
      </c>
      <c r="K20" t="s">
        <v>18</v>
      </c>
      <c r="M20">
        <v>1</v>
      </c>
      <c r="N20" s="1" t="s">
        <v>2577</v>
      </c>
      <c r="O20" t="s">
        <v>2668</v>
      </c>
      <c r="P20" t="str">
        <f t="shared" si="0"/>
        <v>update zamestnanci set os_cislo='19', rfid='0301180636',cilova='BATZ',nastup='21' where os_cislo='19';</v>
      </c>
    </row>
    <row r="21" spans="1:16" x14ac:dyDescent="0.25">
      <c r="A21">
        <v>40</v>
      </c>
      <c r="B21" t="s">
        <v>239</v>
      </c>
      <c r="C21" s="4">
        <v>20</v>
      </c>
      <c r="D21" t="s">
        <v>240</v>
      </c>
      <c r="E21" t="s">
        <v>241</v>
      </c>
      <c r="F21" t="s">
        <v>242</v>
      </c>
      <c r="G21">
        <f>IF(N21&lt;&gt;"",VLOOKUP(N21,zastavky!E:F,2,FALSE),"")</f>
        <v>5</v>
      </c>
      <c r="H21" t="s">
        <v>243</v>
      </c>
      <c r="I21" t="s">
        <v>244</v>
      </c>
      <c r="J21">
        <v>1</v>
      </c>
      <c r="K21" t="s">
        <v>18</v>
      </c>
      <c r="M21">
        <v>1</v>
      </c>
      <c r="N21" s="1" t="s">
        <v>2586</v>
      </c>
      <c r="O21" t="s">
        <v>2668</v>
      </c>
      <c r="P21" t="str">
        <f t="shared" si="0"/>
        <v>update zamestnanci set os_cislo='20', rfid='0301162243',cilova='BATZ',nastup='5' where os_cislo='20';</v>
      </c>
    </row>
    <row r="22" spans="1:16" x14ac:dyDescent="0.25">
      <c r="A22">
        <v>42</v>
      </c>
      <c r="B22" t="s">
        <v>245</v>
      </c>
      <c r="C22" s="4">
        <v>21</v>
      </c>
      <c r="D22" t="s">
        <v>246</v>
      </c>
      <c r="E22" t="s">
        <v>247</v>
      </c>
      <c r="F22" t="s">
        <v>248</v>
      </c>
      <c r="G22">
        <f>IF(N22&lt;&gt;"",VLOOKUP(N22,zastavky!E:F,2,FALSE),"")</f>
        <v>3</v>
      </c>
      <c r="H22" t="s">
        <v>249</v>
      </c>
      <c r="I22" t="s">
        <v>250</v>
      </c>
      <c r="J22">
        <v>1</v>
      </c>
      <c r="K22" t="s">
        <v>18</v>
      </c>
      <c r="M22">
        <v>1</v>
      </c>
      <c r="N22" s="1" t="s">
        <v>2587</v>
      </c>
      <c r="O22" t="s">
        <v>2668</v>
      </c>
      <c r="P22" t="str">
        <f t="shared" si="0"/>
        <v>update zamestnanci set os_cislo='21', rfid='0328454857',cilova='BATZ',nastup='3' where os_cislo='21';</v>
      </c>
    </row>
    <row r="23" spans="1:16" x14ac:dyDescent="0.25">
      <c r="A23">
        <v>43</v>
      </c>
      <c r="B23" t="s">
        <v>251</v>
      </c>
      <c r="C23" s="4">
        <v>22</v>
      </c>
      <c r="D23" t="s">
        <v>252</v>
      </c>
      <c r="E23" t="s">
        <v>253</v>
      </c>
      <c r="F23" t="s">
        <v>254</v>
      </c>
      <c r="G23">
        <f>IF(N23&lt;&gt;"",VLOOKUP(N23,zastavky!E:F,2,FALSE),"")</f>
        <v>21</v>
      </c>
      <c r="H23" t="s">
        <v>255</v>
      </c>
      <c r="I23" t="s">
        <v>256</v>
      </c>
      <c r="J23">
        <v>1</v>
      </c>
      <c r="K23" t="s">
        <v>18</v>
      </c>
      <c r="M23">
        <v>1</v>
      </c>
      <c r="N23" s="1" t="s">
        <v>2577</v>
      </c>
      <c r="O23" t="s">
        <v>2668</v>
      </c>
      <c r="P23" t="str">
        <f t="shared" si="0"/>
        <v>update zamestnanci set os_cislo='22', rfid='0328443823',cilova='BATZ',nastup='21' where os_cislo='22';</v>
      </c>
    </row>
    <row r="24" spans="1:16" x14ac:dyDescent="0.25">
      <c r="A24">
        <v>44</v>
      </c>
      <c r="B24" t="s">
        <v>257</v>
      </c>
      <c r="C24" s="4">
        <v>23</v>
      </c>
      <c r="D24" t="s">
        <v>258</v>
      </c>
      <c r="E24" t="s">
        <v>259</v>
      </c>
      <c r="F24" t="s">
        <v>260</v>
      </c>
      <c r="G24">
        <f>IF(N24&lt;&gt;"",VLOOKUP(N24,zastavky!E:F,2,FALSE),"")</f>
        <v>18</v>
      </c>
      <c r="H24" t="s">
        <v>261</v>
      </c>
      <c r="I24" t="s">
        <v>262</v>
      </c>
      <c r="J24">
        <v>1</v>
      </c>
      <c r="K24" t="s">
        <v>18</v>
      </c>
      <c r="M24">
        <v>1</v>
      </c>
      <c r="N24" s="1" t="s">
        <v>2585</v>
      </c>
      <c r="O24" t="s">
        <v>2668</v>
      </c>
      <c r="P24" t="str">
        <f t="shared" si="0"/>
        <v>update zamestnanci set os_cislo='23', rfid='0301166901',cilova='BATZ',nastup='18' where os_cislo='23';</v>
      </c>
    </row>
    <row r="25" spans="1:16" x14ac:dyDescent="0.25">
      <c r="A25">
        <v>45</v>
      </c>
      <c r="B25" t="s">
        <v>263</v>
      </c>
      <c r="C25" s="4">
        <v>24</v>
      </c>
      <c r="D25" t="s">
        <v>264</v>
      </c>
      <c r="E25" t="s">
        <v>265</v>
      </c>
      <c r="F25" t="s">
        <v>266</v>
      </c>
      <c r="G25">
        <f>IF(N25&lt;&gt;"",VLOOKUP(N25,zastavky!E:F,2,FALSE),"")</f>
        <v>21</v>
      </c>
      <c r="H25" t="s">
        <v>267</v>
      </c>
      <c r="I25" t="s">
        <v>268</v>
      </c>
      <c r="J25">
        <v>1</v>
      </c>
      <c r="K25" t="s">
        <v>18</v>
      </c>
      <c r="M25">
        <v>1</v>
      </c>
      <c r="N25" s="1" t="s">
        <v>2577</v>
      </c>
      <c r="O25" t="s">
        <v>2668</v>
      </c>
      <c r="P25" t="str">
        <f t="shared" si="0"/>
        <v>update zamestnanci set os_cislo='24', rfid='0370035234',cilova='BATZ',nastup='21' where os_cislo='24';</v>
      </c>
    </row>
    <row r="26" spans="1:16" x14ac:dyDescent="0.25">
      <c r="A26">
        <v>46</v>
      </c>
      <c r="B26" t="s">
        <v>269</v>
      </c>
      <c r="C26" s="4">
        <v>25</v>
      </c>
      <c r="D26" t="s">
        <v>270</v>
      </c>
      <c r="E26" t="s">
        <v>271</v>
      </c>
      <c r="F26" t="s">
        <v>272</v>
      </c>
      <c r="G26">
        <f>IF(N26&lt;&gt;"",VLOOKUP(N26,zastavky!E:F,2,FALSE),"")</f>
        <v>18</v>
      </c>
      <c r="H26" t="s">
        <v>273</v>
      </c>
      <c r="I26" t="s">
        <v>274</v>
      </c>
      <c r="J26">
        <v>1</v>
      </c>
      <c r="K26" t="s">
        <v>18</v>
      </c>
      <c r="M26">
        <v>1</v>
      </c>
      <c r="N26" s="1" t="s">
        <v>2585</v>
      </c>
      <c r="O26" t="s">
        <v>2668</v>
      </c>
      <c r="P26" t="str">
        <f t="shared" si="0"/>
        <v>update zamestnanci set os_cislo='25', rfid='0328432923',cilova='BATZ',nastup='18' where os_cislo='25';</v>
      </c>
    </row>
    <row r="27" spans="1:16" x14ac:dyDescent="0.25">
      <c r="A27">
        <v>48</v>
      </c>
      <c r="B27" t="s">
        <v>275</v>
      </c>
      <c r="C27" s="4">
        <v>26</v>
      </c>
      <c r="D27" t="s">
        <v>276</v>
      </c>
      <c r="E27" t="s">
        <v>277</v>
      </c>
      <c r="F27" t="s">
        <v>278</v>
      </c>
      <c r="G27">
        <f>IF(N27&lt;&gt;"",VLOOKUP(N27,zastavky!E:F,2,FALSE),"")</f>
        <v>10</v>
      </c>
      <c r="H27" t="s">
        <v>279</v>
      </c>
      <c r="I27" t="s">
        <v>280</v>
      </c>
      <c r="J27">
        <v>1</v>
      </c>
      <c r="K27" t="s">
        <v>18</v>
      </c>
      <c r="M27">
        <v>1</v>
      </c>
      <c r="N27" s="1" t="s">
        <v>2588</v>
      </c>
      <c r="O27" t="s">
        <v>2668</v>
      </c>
      <c r="P27" t="str">
        <f t="shared" si="0"/>
        <v>update zamestnanci set os_cislo='26', rfid='0289896686',cilova='BATZ',nastup='10' where os_cislo='26';</v>
      </c>
    </row>
    <row r="28" spans="1:16" x14ac:dyDescent="0.25">
      <c r="A28">
        <v>49</v>
      </c>
      <c r="B28" t="s">
        <v>281</v>
      </c>
      <c r="C28" s="4">
        <v>27</v>
      </c>
      <c r="D28" t="s">
        <v>282</v>
      </c>
      <c r="E28" t="s">
        <v>283</v>
      </c>
      <c r="F28" t="s">
        <v>284</v>
      </c>
      <c r="G28">
        <f>IF(N28&lt;&gt;"",VLOOKUP(N28,zastavky!E:F,2,FALSE),"")</f>
        <v>21</v>
      </c>
      <c r="H28" t="s">
        <v>285</v>
      </c>
      <c r="I28" t="s">
        <v>286</v>
      </c>
      <c r="J28">
        <v>1</v>
      </c>
      <c r="K28" t="s">
        <v>18</v>
      </c>
      <c r="M28">
        <v>1</v>
      </c>
      <c r="N28" s="1" t="s">
        <v>2577</v>
      </c>
      <c r="O28" t="s">
        <v>2668</v>
      </c>
      <c r="P28" t="str">
        <f t="shared" si="0"/>
        <v>update zamestnanci set os_cislo='27', rfid='0328608644',cilova='BATZ',nastup='21' where os_cislo='27';</v>
      </c>
    </row>
    <row r="29" spans="1:16" x14ac:dyDescent="0.25">
      <c r="A29">
        <v>50</v>
      </c>
      <c r="B29" t="s">
        <v>287</v>
      </c>
      <c r="C29" s="4">
        <v>28</v>
      </c>
      <c r="D29" t="s">
        <v>288</v>
      </c>
      <c r="E29" t="s">
        <v>289</v>
      </c>
      <c r="F29" t="s">
        <v>290</v>
      </c>
      <c r="G29">
        <f>IF(N29&lt;&gt;"",VLOOKUP(N29,zastavky!E:F,2,FALSE),"")</f>
        <v>20</v>
      </c>
      <c r="H29" t="s">
        <v>291</v>
      </c>
      <c r="I29" t="s">
        <v>292</v>
      </c>
      <c r="J29">
        <v>1</v>
      </c>
      <c r="K29" t="s">
        <v>18</v>
      </c>
      <c r="M29">
        <v>1</v>
      </c>
      <c r="N29" s="1" t="s">
        <v>2589</v>
      </c>
      <c r="O29" t="s">
        <v>2668</v>
      </c>
      <c r="P29" t="str">
        <f t="shared" si="0"/>
        <v>update zamestnanci set os_cislo='28', rfid='0328608658',cilova='BATZ',nastup='20' where os_cislo='28';</v>
      </c>
    </row>
    <row r="30" spans="1:16" x14ac:dyDescent="0.25">
      <c r="A30">
        <v>51</v>
      </c>
      <c r="B30" t="s">
        <v>293</v>
      </c>
      <c r="C30" s="4">
        <v>29</v>
      </c>
      <c r="D30" t="s">
        <v>294</v>
      </c>
      <c r="E30" t="s">
        <v>295</v>
      </c>
      <c r="F30" t="s">
        <v>296</v>
      </c>
      <c r="G30">
        <f>IF(N30&lt;&gt;"",VLOOKUP(N30,zastavky!E:F,2,FALSE),"")</f>
        <v>7</v>
      </c>
      <c r="H30" t="s">
        <v>297</v>
      </c>
      <c r="I30" t="s">
        <v>298</v>
      </c>
      <c r="J30">
        <v>1</v>
      </c>
      <c r="K30" t="s">
        <v>18</v>
      </c>
      <c r="M30">
        <v>1</v>
      </c>
      <c r="N30" s="1" t="s">
        <v>2590</v>
      </c>
      <c r="O30" t="s">
        <v>2668</v>
      </c>
      <c r="P30" t="str">
        <f t="shared" si="0"/>
        <v>update zamestnanci set os_cislo='29', rfid='0348342948',cilova='BATZ',nastup='7' where os_cislo='29';</v>
      </c>
    </row>
    <row r="31" spans="1:16" x14ac:dyDescent="0.25">
      <c r="A31">
        <v>52</v>
      </c>
      <c r="B31" t="s">
        <v>299</v>
      </c>
      <c r="C31" s="4">
        <v>30</v>
      </c>
      <c r="D31" t="s">
        <v>300</v>
      </c>
      <c r="E31" t="s">
        <v>301</v>
      </c>
      <c r="F31" t="s">
        <v>302</v>
      </c>
      <c r="G31">
        <f>IF(N31&lt;&gt;"",VLOOKUP(N31,zastavky!E:F,2,FALSE),"")</f>
        <v>21</v>
      </c>
      <c r="H31" t="s">
        <v>303</v>
      </c>
      <c r="I31" t="s">
        <v>304</v>
      </c>
      <c r="J31">
        <v>1</v>
      </c>
      <c r="K31" t="s">
        <v>18</v>
      </c>
      <c r="M31">
        <v>1</v>
      </c>
      <c r="N31" s="1" t="s">
        <v>2577</v>
      </c>
      <c r="O31" t="s">
        <v>2668</v>
      </c>
      <c r="P31" t="str">
        <f t="shared" si="0"/>
        <v>update zamestnanci set os_cislo='30', rfid='0370037121',cilova='BATZ',nastup='21' where os_cislo='30';</v>
      </c>
    </row>
    <row r="32" spans="1:16" x14ac:dyDescent="0.25">
      <c r="A32">
        <v>53</v>
      </c>
      <c r="B32" t="s">
        <v>305</v>
      </c>
      <c r="C32" s="4">
        <v>31</v>
      </c>
      <c r="D32" t="s">
        <v>306</v>
      </c>
      <c r="E32" t="s">
        <v>307</v>
      </c>
      <c r="F32" t="s">
        <v>308</v>
      </c>
      <c r="G32">
        <f>IF(N32&lt;&gt;"",VLOOKUP(N32,zastavky!E:F,2,FALSE),"")</f>
        <v>25</v>
      </c>
      <c r="H32" t="s">
        <v>309</v>
      </c>
      <c r="I32" t="s">
        <v>310</v>
      </c>
      <c r="J32">
        <v>1</v>
      </c>
      <c r="K32" t="s">
        <v>18</v>
      </c>
      <c r="M32">
        <v>1</v>
      </c>
      <c r="N32" s="1" t="s">
        <v>2591</v>
      </c>
      <c r="O32" t="s">
        <v>2668</v>
      </c>
      <c r="P32" t="str">
        <f t="shared" si="0"/>
        <v>update zamestnanci set os_cislo='31', rfid='0301162065',cilova='BATZ',nastup='25' where os_cislo='31';</v>
      </c>
    </row>
    <row r="33" spans="1:16" x14ac:dyDescent="0.25">
      <c r="A33">
        <v>54</v>
      </c>
      <c r="B33" t="s">
        <v>311</v>
      </c>
      <c r="C33" s="4">
        <v>32</v>
      </c>
      <c r="D33" t="s">
        <v>312</v>
      </c>
      <c r="E33" t="s">
        <v>313</v>
      </c>
      <c r="F33" t="s">
        <v>314</v>
      </c>
      <c r="G33">
        <f>IF(N33&lt;&gt;"",VLOOKUP(N33,zastavky!E:F,2,FALSE),"")</f>
        <v>25</v>
      </c>
      <c r="H33" t="s">
        <v>315</v>
      </c>
      <c r="I33" t="s">
        <v>316</v>
      </c>
      <c r="J33">
        <v>1</v>
      </c>
      <c r="K33" t="s">
        <v>18</v>
      </c>
      <c r="M33">
        <v>1</v>
      </c>
      <c r="N33" s="1" t="s">
        <v>2591</v>
      </c>
      <c r="O33" t="s">
        <v>2668</v>
      </c>
      <c r="P33" t="str">
        <f t="shared" si="0"/>
        <v>update zamestnanci set os_cislo='32', rfid='0315325884',cilova='BATZ',nastup='25' where os_cislo='32';</v>
      </c>
    </row>
    <row r="34" spans="1:16" x14ac:dyDescent="0.25">
      <c r="A34">
        <v>55</v>
      </c>
      <c r="B34" t="s">
        <v>317</v>
      </c>
      <c r="C34" s="4">
        <v>33</v>
      </c>
      <c r="D34" t="s">
        <v>318</v>
      </c>
      <c r="E34" t="s">
        <v>319</v>
      </c>
      <c r="F34" t="s">
        <v>320</v>
      </c>
      <c r="G34">
        <f>IF(N34&lt;&gt;"",VLOOKUP(N34,zastavky!E:F,2,FALSE),"")</f>
        <v>17</v>
      </c>
      <c r="H34" t="s">
        <v>321</v>
      </c>
      <c r="I34" t="s">
        <v>322</v>
      </c>
      <c r="J34">
        <v>1</v>
      </c>
      <c r="K34" t="s">
        <v>18</v>
      </c>
      <c r="M34">
        <v>1</v>
      </c>
      <c r="N34" s="1" t="s">
        <v>2580</v>
      </c>
      <c r="O34" t="s">
        <v>2668</v>
      </c>
      <c r="P34" t="str">
        <f t="shared" si="0"/>
        <v>update zamestnanci set os_cislo='33', rfid='0328608651',cilova='BATZ',nastup='17' where os_cislo='33';</v>
      </c>
    </row>
    <row r="35" spans="1:16" x14ac:dyDescent="0.25">
      <c r="A35">
        <v>56</v>
      </c>
      <c r="B35" t="s">
        <v>323</v>
      </c>
      <c r="C35" s="4">
        <v>34</v>
      </c>
      <c r="D35" t="s">
        <v>324</v>
      </c>
      <c r="E35" t="s">
        <v>325</v>
      </c>
      <c r="F35" t="s">
        <v>326</v>
      </c>
      <c r="G35">
        <f>IF(N35&lt;&gt;"",VLOOKUP(N35,zastavky!E:F,2,FALSE),"")</f>
        <v>21</v>
      </c>
      <c r="H35" t="s">
        <v>327</v>
      </c>
      <c r="I35" t="s">
        <v>328</v>
      </c>
      <c r="J35">
        <v>1</v>
      </c>
      <c r="K35" t="s">
        <v>18</v>
      </c>
      <c r="M35">
        <v>1</v>
      </c>
      <c r="N35" s="1" t="s">
        <v>2577</v>
      </c>
      <c r="O35" t="s">
        <v>2668</v>
      </c>
      <c r="P35" t="str">
        <f t="shared" si="0"/>
        <v>update zamestnanci set os_cislo='34', rfid='0328443809',cilova='BATZ',nastup='21' where os_cislo='34';</v>
      </c>
    </row>
    <row r="36" spans="1:16" x14ac:dyDescent="0.25">
      <c r="A36">
        <v>57</v>
      </c>
      <c r="B36" t="s">
        <v>329</v>
      </c>
      <c r="C36" s="4">
        <v>35</v>
      </c>
      <c r="D36" t="s">
        <v>330</v>
      </c>
      <c r="E36" t="s">
        <v>331</v>
      </c>
      <c r="F36" t="s">
        <v>332</v>
      </c>
      <c r="G36">
        <f>IF(N36&lt;&gt;"",VLOOKUP(N36,zastavky!E:F,2,FALSE),"")</f>
        <v>16</v>
      </c>
      <c r="H36" t="s">
        <v>333</v>
      </c>
      <c r="I36" t="s">
        <v>334</v>
      </c>
      <c r="J36">
        <v>1</v>
      </c>
      <c r="K36" t="s">
        <v>18</v>
      </c>
      <c r="M36">
        <v>1</v>
      </c>
      <c r="N36" s="1" t="s">
        <v>2583</v>
      </c>
      <c r="O36" t="s">
        <v>2668</v>
      </c>
      <c r="P36" t="str">
        <f t="shared" si="0"/>
        <v>update zamestnanci set os_cislo='35', rfid='0272698648',cilova='BATZ',nastup='16' where os_cislo='35';</v>
      </c>
    </row>
    <row r="37" spans="1:16" x14ac:dyDescent="0.25">
      <c r="A37">
        <v>58</v>
      </c>
      <c r="B37" t="s">
        <v>335</v>
      </c>
      <c r="C37" s="4">
        <v>36</v>
      </c>
      <c r="D37" t="s">
        <v>336</v>
      </c>
      <c r="E37" t="s">
        <v>337</v>
      </c>
      <c r="F37" t="s">
        <v>338</v>
      </c>
      <c r="G37">
        <f>IF(N37&lt;&gt;"",VLOOKUP(N37,zastavky!E:F,2,FALSE),"")</f>
        <v>15</v>
      </c>
      <c r="H37" t="s">
        <v>339</v>
      </c>
      <c r="I37" t="s">
        <v>340</v>
      </c>
      <c r="J37">
        <v>1</v>
      </c>
      <c r="K37" t="s">
        <v>18</v>
      </c>
      <c r="M37">
        <v>1</v>
      </c>
      <c r="N37" s="1" t="s">
        <v>2592</v>
      </c>
      <c r="O37" t="s">
        <v>2668</v>
      </c>
      <c r="P37" t="str">
        <f t="shared" si="0"/>
        <v>update zamestnanci set os_cislo='36', rfid='0348338812',cilova='BATZ',nastup='15' where os_cislo='36';</v>
      </c>
    </row>
    <row r="38" spans="1:16" x14ac:dyDescent="0.25">
      <c r="A38">
        <v>59</v>
      </c>
      <c r="B38" t="s">
        <v>341</v>
      </c>
      <c r="C38" s="4">
        <v>37</v>
      </c>
      <c r="D38" t="s">
        <v>342</v>
      </c>
      <c r="E38" t="s">
        <v>343</v>
      </c>
      <c r="F38" t="s">
        <v>344</v>
      </c>
      <c r="G38">
        <f>IF(N38&lt;&gt;"",VLOOKUP(N38,zastavky!E:F,2,FALSE),"")</f>
        <v>16</v>
      </c>
      <c r="H38" t="s">
        <v>345</v>
      </c>
      <c r="I38" t="s">
        <v>346</v>
      </c>
      <c r="J38">
        <v>1</v>
      </c>
      <c r="K38" t="s">
        <v>18</v>
      </c>
      <c r="M38">
        <v>1</v>
      </c>
      <c r="N38" s="1" t="s">
        <v>2583</v>
      </c>
      <c r="O38" t="s">
        <v>2668</v>
      </c>
      <c r="P38" t="str">
        <f t="shared" si="0"/>
        <v>update zamestnanci set os_cislo='37', rfid='0289821104',cilova='BATZ',nastup='16' where os_cislo='37';</v>
      </c>
    </row>
    <row r="39" spans="1:16" x14ac:dyDescent="0.25">
      <c r="A39">
        <v>60</v>
      </c>
      <c r="B39" t="s">
        <v>347</v>
      </c>
      <c r="C39" s="4">
        <v>38</v>
      </c>
      <c r="D39" t="s">
        <v>348</v>
      </c>
      <c r="E39" t="s">
        <v>349</v>
      </c>
      <c r="F39" t="s">
        <v>350</v>
      </c>
      <c r="G39">
        <f>IF(N39&lt;&gt;"",VLOOKUP(N39,zastavky!E:F,2,FALSE),"")</f>
        <v>2</v>
      </c>
      <c r="H39" t="s">
        <v>351</v>
      </c>
      <c r="I39" t="s">
        <v>352</v>
      </c>
      <c r="J39">
        <v>1</v>
      </c>
      <c r="K39" t="s">
        <v>18</v>
      </c>
      <c r="M39">
        <v>1</v>
      </c>
      <c r="N39" s="1" t="s">
        <v>2576</v>
      </c>
      <c r="O39" t="s">
        <v>2668</v>
      </c>
      <c r="P39" t="str">
        <f t="shared" si="0"/>
        <v>update zamestnanci set os_cislo='38', rfid='0370042379',cilova='BATZ',nastup='2' where os_cislo='38';</v>
      </c>
    </row>
    <row r="40" spans="1:16" x14ac:dyDescent="0.25">
      <c r="A40">
        <v>61</v>
      </c>
      <c r="B40" t="s">
        <v>353</v>
      </c>
      <c r="C40" s="4">
        <v>39</v>
      </c>
      <c r="D40" t="s">
        <v>354</v>
      </c>
      <c r="E40" t="s">
        <v>355</v>
      </c>
      <c r="F40" t="s">
        <v>356</v>
      </c>
      <c r="G40">
        <f>IF(N40&lt;&gt;"",VLOOKUP(N40,zastavky!E:F,2,FALSE),"")</f>
        <v>15</v>
      </c>
      <c r="H40" t="s">
        <v>357</v>
      </c>
      <c r="I40" t="s">
        <v>358</v>
      </c>
      <c r="J40">
        <v>1</v>
      </c>
      <c r="K40" t="s">
        <v>18</v>
      </c>
      <c r="M40">
        <v>1</v>
      </c>
      <c r="N40" s="1" t="s">
        <v>2592</v>
      </c>
      <c r="O40" t="s">
        <v>2668</v>
      </c>
      <c r="P40" t="str">
        <f t="shared" si="0"/>
        <v>update zamestnanci set os_cislo='39', rfid='0301166922',cilova='BATZ',nastup='15' where os_cislo='39';</v>
      </c>
    </row>
    <row r="41" spans="1:16" x14ac:dyDescent="0.25">
      <c r="A41">
        <v>62</v>
      </c>
      <c r="B41" t="s">
        <v>359</v>
      </c>
      <c r="C41" s="4">
        <v>40</v>
      </c>
      <c r="D41" t="s">
        <v>360</v>
      </c>
      <c r="E41" t="s">
        <v>361</v>
      </c>
      <c r="F41" t="s">
        <v>362</v>
      </c>
      <c r="G41">
        <f>IF(N41&lt;&gt;"",VLOOKUP(N41,zastavky!E:F,2,FALSE),"")</f>
        <v>20</v>
      </c>
      <c r="H41" t="s">
        <v>363</v>
      </c>
      <c r="I41" t="s">
        <v>364</v>
      </c>
      <c r="J41">
        <v>1</v>
      </c>
      <c r="K41" t="s">
        <v>18</v>
      </c>
      <c r="M41">
        <v>1</v>
      </c>
      <c r="N41" s="1" t="s">
        <v>2589</v>
      </c>
      <c r="O41" t="s">
        <v>2668</v>
      </c>
      <c r="P41" t="str">
        <f t="shared" si="0"/>
        <v>update zamestnanci set os_cislo='40', rfid='0301166883',cilova='BATZ',nastup='20' where os_cislo='40';</v>
      </c>
    </row>
    <row r="42" spans="1:16" x14ac:dyDescent="0.25">
      <c r="A42">
        <v>63</v>
      </c>
      <c r="B42" t="s">
        <v>365</v>
      </c>
      <c r="C42" s="4">
        <v>41</v>
      </c>
      <c r="D42" t="s">
        <v>366</v>
      </c>
      <c r="E42" t="s">
        <v>367</v>
      </c>
      <c r="F42" t="s">
        <v>368</v>
      </c>
      <c r="G42">
        <f>IF(N42&lt;&gt;"",VLOOKUP(N42,zastavky!E:F,2,FALSE),"")</f>
        <v>9</v>
      </c>
      <c r="H42" t="s">
        <v>369</v>
      </c>
      <c r="I42" t="s">
        <v>370</v>
      </c>
      <c r="J42">
        <v>1</v>
      </c>
      <c r="K42" t="s">
        <v>18</v>
      </c>
      <c r="M42">
        <v>1</v>
      </c>
      <c r="N42" s="1" t="s">
        <v>2593</v>
      </c>
      <c r="O42" t="s">
        <v>2668</v>
      </c>
      <c r="P42" t="str">
        <f t="shared" si="0"/>
        <v>update zamestnanci set os_cislo='41', rfid='0328443824',cilova='BATZ',nastup='9' where os_cislo='41';</v>
      </c>
    </row>
    <row r="43" spans="1:16" x14ac:dyDescent="0.25">
      <c r="A43">
        <v>64</v>
      </c>
      <c r="B43" t="s">
        <v>371</v>
      </c>
      <c r="C43" s="4">
        <v>42</v>
      </c>
      <c r="D43" t="s">
        <v>372</v>
      </c>
      <c r="E43" t="s">
        <v>373</v>
      </c>
      <c r="F43" t="s">
        <v>374</v>
      </c>
      <c r="G43">
        <f>IF(N43&lt;&gt;"",VLOOKUP(N43,zastavky!E:F,2,FALSE),"")</f>
        <v>17</v>
      </c>
      <c r="H43" t="s">
        <v>375</v>
      </c>
      <c r="I43" t="s">
        <v>376</v>
      </c>
      <c r="J43">
        <v>1</v>
      </c>
      <c r="K43" t="s">
        <v>18</v>
      </c>
      <c r="M43">
        <v>1</v>
      </c>
      <c r="N43" s="1" t="s">
        <v>2580</v>
      </c>
      <c r="O43" t="s">
        <v>2668</v>
      </c>
      <c r="P43" t="str">
        <f t="shared" si="0"/>
        <v>update zamestnanci set os_cislo='42', rfid='0348314735',cilova='BATZ',nastup='17' where os_cislo='42';</v>
      </c>
    </row>
    <row r="44" spans="1:16" x14ac:dyDescent="0.25">
      <c r="A44">
        <v>65</v>
      </c>
      <c r="B44" t="s">
        <v>377</v>
      </c>
      <c r="C44" s="4">
        <v>43</v>
      </c>
      <c r="D44" t="s">
        <v>181</v>
      </c>
      <c r="E44" t="s">
        <v>378</v>
      </c>
      <c r="F44" t="s">
        <v>379</v>
      </c>
      <c r="G44">
        <f>IF(N44&lt;&gt;"",VLOOKUP(N44,zastavky!E:F,2,FALSE),"")</f>
        <v>19</v>
      </c>
      <c r="H44" t="s">
        <v>380</v>
      </c>
      <c r="I44" t="s">
        <v>381</v>
      </c>
      <c r="J44">
        <v>1</v>
      </c>
      <c r="K44" t="s">
        <v>18</v>
      </c>
      <c r="M44">
        <v>1</v>
      </c>
      <c r="N44" s="1" t="s">
        <v>2594</v>
      </c>
      <c r="O44" t="s">
        <v>2668</v>
      </c>
      <c r="P44" t="str">
        <f t="shared" si="0"/>
        <v>update zamestnanci set os_cislo='43', rfid='0301165671',cilova='BATZ',nastup='19' where os_cislo='43';</v>
      </c>
    </row>
    <row r="45" spans="1:16" x14ac:dyDescent="0.25">
      <c r="A45">
        <v>66</v>
      </c>
      <c r="B45" t="s">
        <v>382</v>
      </c>
      <c r="C45" s="4">
        <v>44</v>
      </c>
      <c r="D45" t="s">
        <v>383</v>
      </c>
      <c r="E45" t="s">
        <v>384</v>
      </c>
      <c r="F45" t="s">
        <v>385</v>
      </c>
      <c r="G45">
        <f>IF(N45&lt;&gt;"",VLOOKUP(N45,zastavky!E:F,2,FALSE),"")</f>
        <v>20</v>
      </c>
      <c r="H45" t="s">
        <v>386</v>
      </c>
      <c r="I45" t="s">
        <v>387</v>
      </c>
      <c r="J45">
        <v>1</v>
      </c>
      <c r="K45" t="s">
        <v>18</v>
      </c>
      <c r="M45">
        <v>1</v>
      </c>
      <c r="N45" s="1" t="s">
        <v>2589</v>
      </c>
      <c r="O45" t="s">
        <v>2668</v>
      </c>
      <c r="P45" t="str">
        <f t="shared" si="0"/>
        <v>update zamestnanci set os_cislo='44', rfid='0348333056',cilova='BATZ',nastup='20' where os_cislo='44';</v>
      </c>
    </row>
    <row r="46" spans="1:16" x14ac:dyDescent="0.25">
      <c r="A46">
        <v>67</v>
      </c>
      <c r="B46" t="s">
        <v>388</v>
      </c>
      <c r="C46" s="4">
        <v>45</v>
      </c>
      <c r="D46" t="s">
        <v>389</v>
      </c>
      <c r="E46" t="s">
        <v>390</v>
      </c>
      <c r="F46" t="s">
        <v>391</v>
      </c>
      <c r="G46">
        <f>IF(N46&lt;&gt;"",VLOOKUP(N46,zastavky!E:F,2,FALSE),"")</f>
        <v>19</v>
      </c>
      <c r="H46" t="s">
        <v>392</v>
      </c>
      <c r="I46" t="s">
        <v>393</v>
      </c>
      <c r="J46">
        <v>1</v>
      </c>
      <c r="K46" t="s">
        <v>18</v>
      </c>
      <c r="M46">
        <v>1</v>
      </c>
      <c r="N46" s="1" t="s">
        <v>2594</v>
      </c>
      <c r="O46" t="s">
        <v>2668</v>
      </c>
      <c r="P46" t="str">
        <f t="shared" si="0"/>
        <v>update zamestnanci set os_cislo='45', rfid='0227604194',cilova='BATZ',nastup='19' where os_cislo='45';</v>
      </c>
    </row>
    <row r="47" spans="1:16" x14ac:dyDescent="0.25">
      <c r="A47">
        <v>68</v>
      </c>
      <c r="B47" t="s">
        <v>394</v>
      </c>
      <c r="C47" s="4">
        <v>46</v>
      </c>
      <c r="D47" t="s">
        <v>395</v>
      </c>
      <c r="E47" t="s">
        <v>396</v>
      </c>
      <c r="F47" t="s">
        <v>397</v>
      </c>
      <c r="G47">
        <f>IF(N47&lt;&gt;"",VLOOKUP(N47,zastavky!E:F,2,FALSE),"")</f>
        <v>9</v>
      </c>
      <c r="H47" t="s">
        <v>398</v>
      </c>
      <c r="I47" t="s">
        <v>399</v>
      </c>
      <c r="J47">
        <v>1</v>
      </c>
      <c r="K47" t="s">
        <v>18</v>
      </c>
      <c r="M47">
        <v>1</v>
      </c>
      <c r="N47" s="1" t="s">
        <v>2593</v>
      </c>
      <c r="O47" t="s">
        <v>2668</v>
      </c>
      <c r="P47" t="str">
        <f t="shared" si="0"/>
        <v>update zamestnanci set os_cislo='46', rfid='0301165651',cilova='BATZ',nastup='9' where os_cislo='46';</v>
      </c>
    </row>
    <row r="48" spans="1:16" x14ac:dyDescent="0.25">
      <c r="A48">
        <v>69</v>
      </c>
      <c r="B48" t="s">
        <v>400</v>
      </c>
      <c r="C48" s="4">
        <v>47</v>
      </c>
      <c r="D48" t="s">
        <v>401</v>
      </c>
      <c r="E48" t="s">
        <v>402</v>
      </c>
      <c r="F48" t="s">
        <v>403</v>
      </c>
      <c r="G48">
        <f>IF(N48&lt;&gt;"",VLOOKUP(N48,zastavky!E:F,2,FALSE),"")</f>
        <v>17</v>
      </c>
      <c r="H48" t="s">
        <v>404</v>
      </c>
      <c r="I48" t="s">
        <v>405</v>
      </c>
      <c r="J48">
        <v>1</v>
      </c>
      <c r="K48" t="s">
        <v>18</v>
      </c>
      <c r="M48">
        <v>1</v>
      </c>
      <c r="N48" s="1" t="s">
        <v>2580</v>
      </c>
      <c r="O48" t="s">
        <v>2668</v>
      </c>
      <c r="P48" t="str">
        <f t="shared" si="0"/>
        <v>update zamestnanci set os_cislo='47', rfid='0301173036',cilova='BATZ',nastup='17' where os_cislo='47';</v>
      </c>
    </row>
    <row r="49" spans="1:16" x14ac:dyDescent="0.25">
      <c r="A49">
        <v>70</v>
      </c>
      <c r="B49" t="s">
        <v>406</v>
      </c>
      <c r="C49" s="4">
        <v>48</v>
      </c>
      <c r="D49" t="s">
        <v>407</v>
      </c>
      <c r="E49" t="s">
        <v>408</v>
      </c>
      <c r="F49" t="s">
        <v>409</v>
      </c>
      <c r="G49">
        <f>IF(N49&lt;&gt;"",VLOOKUP(N49,zastavky!E:F,2,FALSE),"")</f>
        <v>25</v>
      </c>
      <c r="H49" t="s">
        <v>410</v>
      </c>
      <c r="I49" t="s">
        <v>411</v>
      </c>
      <c r="J49">
        <v>1</v>
      </c>
      <c r="K49" t="s">
        <v>18</v>
      </c>
      <c r="M49">
        <v>1</v>
      </c>
      <c r="N49" s="1" t="s">
        <v>2591</v>
      </c>
      <c r="O49" t="s">
        <v>2668</v>
      </c>
      <c r="P49" t="str">
        <f t="shared" si="0"/>
        <v>update zamestnanci set os_cislo='48', rfid='0315321893',cilova='BATZ',nastup='25' where os_cislo='48';</v>
      </c>
    </row>
    <row r="50" spans="1:16" x14ac:dyDescent="0.25">
      <c r="A50">
        <v>71</v>
      </c>
      <c r="B50" t="s">
        <v>412</v>
      </c>
      <c r="C50" s="4">
        <v>49</v>
      </c>
      <c r="D50" t="s">
        <v>407</v>
      </c>
      <c r="E50" t="s">
        <v>413</v>
      </c>
      <c r="F50" t="s">
        <v>414</v>
      </c>
      <c r="G50">
        <f>IF(N50&lt;&gt;"",VLOOKUP(N50,zastavky!E:F,2,FALSE),"")</f>
        <v>21</v>
      </c>
      <c r="H50" t="s">
        <v>415</v>
      </c>
      <c r="I50" t="s">
        <v>416</v>
      </c>
      <c r="J50">
        <v>1</v>
      </c>
      <c r="K50" t="s">
        <v>18</v>
      </c>
      <c r="M50">
        <v>1</v>
      </c>
      <c r="N50" s="1" t="s">
        <v>2577</v>
      </c>
      <c r="O50" t="s">
        <v>2668</v>
      </c>
      <c r="P50" t="str">
        <f t="shared" si="0"/>
        <v>update zamestnanci set os_cislo='49', rfid='0301180379',cilova='BATZ',nastup='21' where os_cislo='49';</v>
      </c>
    </row>
    <row r="51" spans="1:16" x14ac:dyDescent="0.25">
      <c r="A51">
        <v>72</v>
      </c>
      <c r="B51" t="s">
        <v>25</v>
      </c>
      <c r="C51" s="4">
        <v>50</v>
      </c>
      <c r="D51" t="s">
        <v>26</v>
      </c>
      <c r="E51" t="s">
        <v>27</v>
      </c>
      <c r="F51" t="s">
        <v>417</v>
      </c>
      <c r="G51">
        <f>IF(N51&lt;&gt;"",VLOOKUP(N51,zastavky!E:F,2,FALSE),"")</f>
        <v>21</v>
      </c>
      <c r="H51" t="s">
        <v>418</v>
      </c>
      <c r="I51" t="s">
        <v>419</v>
      </c>
      <c r="J51">
        <v>1</v>
      </c>
      <c r="K51" t="s">
        <v>18</v>
      </c>
      <c r="M51">
        <v>1</v>
      </c>
      <c r="N51" s="1" t="s">
        <v>2577</v>
      </c>
      <c r="O51" t="s">
        <v>2668</v>
      </c>
      <c r="P51" t="str">
        <f t="shared" si="0"/>
        <v>update zamestnanci set os_cislo='50', rfid='0328443816',cilova='BATZ',nastup='21' where os_cislo='50';</v>
      </c>
    </row>
    <row r="52" spans="1:16" x14ac:dyDescent="0.25">
      <c r="A52">
        <v>74</v>
      </c>
      <c r="B52" t="s">
        <v>420</v>
      </c>
      <c r="C52" s="4">
        <v>51</v>
      </c>
      <c r="D52" t="s">
        <v>421</v>
      </c>
      <c r="E52" t="s">
        <v>422</v>
      </c>
      <c r="F52" t="s">
        <v>423</v>
      </c>
      <c r="G52">
        <f>IF(N52&lt;&gt;"",VLOOKUP(N52,zastavky!E:F,2,FALSE),"")</f>
        <v>7</v>
      </c>
      <c r="H52" t="s">
        <v>424</v>
      </c>
      <c r="I52" t="s">
        <v>425</v>
      </c>
      <c r="J52">
        <v>1</v>
      </c>
      <c r="K52" t="s">
        <v>18</v>
      </c>
      <c r="M52">
        <v>1</v>
      </c>
      <c r="N52" s="1" t="s">
        <v>2590</v>
      </c>
      <c r="O52" t="s">
        <v>2668</v>
      </c>
      <c r="P52" t="str">
        <f t="shared" si="0"/>
        <v>update zamestnanci set os_cislo='51', rfid='0348325352',cilova='BATZ',nastup='7' where os_cislo='51';</v>
      </c>
    </row>
    <row r="53" spans="1:16" x14ac:dyDescent="0.25">
      <c r="A53">
        <v>76</v>
      </c>
      <c r="B53" t="s">
        <v>426</v>
      </c>
      <c r="C53" s="4">
        <v>52</v>
      </c>
      <c r="D53" t="s">
        <v>427</v>
      </c>
      <c r="E53" t="s">
        <v>428</v>
      </c>
      <c r="F53" t="s">
        <v>429</v>
      </c>
      <c r="G53">
        <f>IF(N53&lt;&gt;"",VLOOKUP(N53,zastavky!E:F,2,FALSE),"")</f>
        <v>16</v>
      </c>
      <c r="H53" t="s">
        <v>430</v>
      </c>
      <c r="I53" t="s">
        <v>431</v>
      </c>
      <c r="J53">
        <v>1</v>
      </c>
      <c r="K53" t="s">
        <v>18</v>
      </c>
      <c r="M53">
        <v>1</v>
      </c>
      <c r="N53" s="1" t="s">
        <v>2583</v>
      </c>
      <c r="O53" t="s">
        <v>2668</v>
      </c>
      <c r="P53" t="str">
        <f t="shared" si="0"/>
        <v>update zamestnanci set os_cislo='52', rfid='0301162047',cilova='BATZ',nastup='16' where os_cislo='52';</v>
      </c>
    </row>
    <row r="54" spans="1:16" x14ac:dyDescent="0.25">
      <c r="A54">
        <v>77</v>
      </c>
      <c r="B54" t="s">
        <v>432</v>
      </c>
      <c r="C54" s="4">
        <v>53</v>
      </c>
      <c r="D54" t="s">
        <v>433</v>
      </c>
      <c r="E54" t="s">
        <v>434</v>
      </c>
      <c r="F54" t="s">
        <v>435</v>
      </c>
      <c r="G54">
        <f>IF(N54&lt;&gt;"",VLOOKUP(N54,zastavky!E:F,2,FALSE),"")</f>
        <v>17</v>
      </c>
      <c r="H54" t="s">
        <v>436</v>
      </c>
      <c r="I54" t="s">
        <v>437</v>
      </c>
      <c r="J54">
        <v>1</v>
      </c>
      <c r="K54" t="s">
        <v>18</v>
      </c>
      <c r="M54">
        <v>1</v>
      </c>
      <c r="N54" s="1" t="s">
        <v>2580</v>
      </c>
      <c r="O54" t="s">
        <v>2668</v>
      </c>
      <c r="P54" t="str">
        <f t="shared" si="0"/>
        <v>update zamestnanci set os_cislo='53', rfid='0289896649',cilova='BATZ',nastup='17' where os_cislo='53';</v>
      </c>
    </row>
    <row r="55" spans="1:16" x14ac:dyDescent="0.25">
      <c r="A55">
        <v>78</v>
      </c>
      <c r="B55" t="s">
        <v>438</v>
      </c>
      <c r="C55" s="4">
        <v>54</v>
      </c>
      <c r="D55" t="s">
        <v>439</v>
      </c>
      <c r="E55" t="s">
        <v>440</v>
      </c>
      <c r="F55" t="s">
        <v>441</v>
      </c>
      <c r="G55">
        <f>IF(N55&lt;&gt;"",VLOOKUP(N55,zastavky!E:F,2,FALSE),"")</f>
        <v>21</v>
      </c>
      <c r="H55" t="s">
        <v>442</v>
      </c>
      <c r="I55" t="s">
        <v>443</v>
      </c>
      <c r="J55">
        <v>1</v>
      </c>
      <c r="K55" t="s">
        <v>18</v>
      </c>
      <c r="M55">
        <v>1</v>
      </c>
      <c r="N55" s="1" t="s">
        <v>2577</v>
      </c>
      <c r="O55" t="s">
        <v>2668</v>
      </c>
      <c r="P55" t="str">
        <f t="shared" si="0"/>
        <v>update zamestnanci set os_cislo='54', rfid='0301173029',cilova='BATZ',nastup='21' where os_cislo='54';</v>
      </c>
    </row>
    <row r="56" spans="1:16" x14ac:dyDescent="0.25">
      <c r="A56">
        <v>79</v>
      </c>
      <c r="B56" t="s">
        <v>444</v>
      </c>
      <c r="C56" s="4">
        <v>55</v>
      </c>
      <c r="D56" t="s">
        <v>193</v>
      </c>
      <c r="E56" t="s">
        <v>445</v>
      </c>
      <c r="F56" t="s">
        <v>446</v>
      </c>
      <c r="G56">
        <f>IF(N56&lt;&gt;"",VLOOKUP(N56,zastavky!E:F,2,FALSE),"")</f>
        <v>21</v>
      </c>
      <c r="H56" t="s">
        <v>447</v>
      </c>
      <c r="I56" t="s">
        <v>197</v>
      </c>
      <c r="J56">
        <v>1</v>
      </c>
      <c r="K56" t="s">
        <v>18</v>
      </c>
      <c r="M56">
        <v>1</v>
      </c>
      <c r="N56" s="1" t="s">
        <v>2577</v>
      </c>
      <c r="O56" t="s">
        <v>2668</v>
      </c>
      <c r="P56" t="str">
        <f t="shared" si="0"/>
        <v>update zamestnanci set os_cislo='55', rfid='0301172955',cilova='BATZ',nastup='21' where os_cislo='55';</v>
      </c>
    </row>
    <row r="57" spans="1:16" x14ac:dyDescent="0.25">
      <c r="A57">
        <v>80</v>
      </c>
      <c r="B57" t="s">
        <v>448</v>
      </c>
      <c r="C57" s="4">
        <v>56</v>
      </c>
      <c r="D57" t="s">
        <v>449</v>
      </c>
      <c r="E57" t="s">
        <v>450</v>
      </c>
      <c r="F57" t="s">
        <v>451</v>
      </c>
      <c r="G57">
        <f>IF(N57&lt;&gt;"",VLOOKUP(N57,zastavky!E:F,2,FALSE),"")</f>
        <v>2</v>
      </c>
      <c r="H57" t="s">
        <v>452</v>
      </c>
      <c r="I57" t="s">
        <v>453</v>
      </c>
      <c r="J57">
        <v>1</v>
      </c>
      <c r="K57" t="s">
        <v>18</v>
      </c>
      <c r="M57">
        <v>1</v>
      </c>
      <c r="N57" s="1" t="s">
        <v>2576</v>
      </c>
      <c r="O57" t="s">
        <v>2668</v>
      </c>
      <c r="P57" t="str">
        <f t="shared" si="0"/>
        <v>update zamestnanci set os_cislo='56', rfid='0301180452',cilova='BATZ',nastup='2' where os_cislo='56';</v>
      </c>
    </row>
    <row r="58" spans="1:16" x14ac:dyDescent="0.25">
      <c r="A58">
        <v>81</v>
      </c>
      <c r="B58" t="s">
        <v>454</v>
      </c>
      <c r="C58" s="4">
        <v>57</v>
      </c>
      <c r="D58" t="s">
        <v>455</v>
      </c>
      <c r="E58" t="s">
        <v>456</v>
      </c>
      <c r="F58" t="s">
        <v>457</v>
      </c>
      <c r="G58">
        <f>IF(N58&lt;&gt;"",VLOOKUP(N58,zastavky!E:F,2,FALSE),"")</f>
        <v>15</v>
      </c>
      <c r="H58" t="s">
        <v>458</v>
      </c>
      <c r="I58" t="s">
        <v>459</v>
      </c>
      <c r="J58">
        <v>1</v>
      </c>
      <c r="K58" t="s">
        <v>18</v>
      </c>
      <c r="M58">
        <v>1</v>
      </c>
      <c r="N58" s="1" t="s">
        <v>2592</v>
      </c>
      <c r="O58" t="s">
        <v>2668</v>
      </c>
      <c r="P58" t="str">
        <f t="shared" si="0"/>
        <v>update zamestnanci set os_cislo='57', rfid='0328432680',cilova='BATZ',nastup='15' where os_cislo='57';</v>
      </c>
    </row>
    <row r="59" spans="1:16" x14ac:dyDescent="0.25">
      <c r="A59">
        <v>82</v>
      </c>
      <c r="B59" t="s">
        <v>460</v>
      </c>
      <c r="C59" s="4">
        <v>58</v>
      </c>
      <c r="D59" t="s">
        <v>461</v>
      </c>
      <c r="E59" t="s">
        <v>462</v>
      </c>
      <c r="F59" t="s">
        <v>463</v>
      </c>
      <c r="G59">
        <f>IF(N59&lt;&gt;"",VLOOKUP(N59,zastavky!E:F,2,FALSE),"")</f>
        <v>2</v>
      </c>
      <c r="H59" t="s">
        <v>464</v>
      </c>
      <c r="I59" t="s">
        <v>465</v>
      </c>
      <c r="J59">
        <v>1</v>
      </c>
      <c r="K59" t="s">
        <v>18</v>
      </c>
      <c r="M59">
        <v>1</v>
      </c>
      <c r="N59" s="1" t="s">
        <v>2576</v>
      </c>
      <c r="O59" t="s">
        <v>2668</v>
      </c>
      <c r="P59" t="str">
        <f t="shared" si="0"/>
        <v>update zamestnanci set os_cislo='58', rfid='0301166942',cilova='BATZ',nastup='2' where os_cislo='58';</v>
      </c>
    </row>
    <row r="60" spans="1:16" x14ac:dyDescent="0.25">
      <c r="A60">
        <v>83</v>
      </c>
      <c r="B60" t="s">
        <v>466</v>
      </c>
      <c r="C60" s="4">
        <v>59</v>
      </c>
      <c r="D60" t="s">
        <v>467</v>
      </c>
      <c r="E60" t="s">
        <v>468</v>
      </c>
      <c r="F60" t="s">
        <v>469</v>
      </c>
      <c r="G60">
        <f>IF(N60&lt;&gt;"",VLOOKUP(N60,zastavky!E:F,2,FALSE),"")</f>
        <v>21</v>
      </c>
      <c r="H60" t="s">
        <v>470</v>
      </c>
      <c r="I60" t="s">
        <v>215</v>
      </c>
      <c r="J60">
        <v>1</v>
      </c>
      <c r="K60" t="s">
        <v>18</v>
      </c>
      <c r="M60">
        <v>1</v>
      </c>
      <c r="N60" s="1" t="s">
        <v>2577</v>
      </c>
      <c r="O60" t="s">
        <v>2668</v>
      </c>
      <c r="P60" t="str">
        <f t="shared" si="0"/>
        <v>update zamestnanci set os_cislo='59', rfid='0328604588',cilova='BATZ',nastup='21' where os_cislo='59';</v>
      </c>
    </row>
    <row r="61" spans="1:16" x14ac:dyDescent="0.25">
      <c r="A61">
        <v>85</v>
      </c>
      <c r="B61" t="s">
        <v>471</v>
      </c>
      <c r="C61" s="4">
        <v>60</v>
      </c>
      <c r="D61" t="s">
        <v>472</v>
      </c>
      <c r="E61" t="s">
        <v>473</v>
      </c>
      <c r="F61" t="s">
        <v>474</v>
      </c>
      <c r="G61">
        <f>IF(N61&lt;&gt;"",VLOOKUP(N61,zastavky!E:F,2,FALSE),"")</f>
        <v>16</v>
      </c>
      <c r="H61" t="s">
        <v>475</v>
      </c>
      <c r="I61" t="s">
        <v>476</v>
      </c>
      <c r="J61">
        <v>1</v>
      </c>
      <c r="K61" t="s">
        <v>18</v>
      </c>
      <c r="M61">
        <v>1</v>
      </c>
      <c r="N61" s="1" t="s">
        <v>2583</v>
      </c>
      <c r="O61" t="s">
        <v>2668</v>
      </c>
      <c r="P61" t="str">
        <f t="shared" si="0"/>
        <v>update zamestnanci set os_cislo='60', rfid='0370026717',cilova='BATZ',nastup='16' where os_cislo='60';</v>
      </c>
    </row>
    <row r="62" spans="1:16" x14ac:dyDescent="0.25">
      <c r="A62">
        <v>87</v>
      </c>
      <c r="B62" t="s">
        <v>477</v>
      </c>
      <c r="C62" s="4">
        <v>61</v>
      </c>
      <c r="D62" t="s">
        <v>478</v>
      </c>
      <c r="E62" t="s">
        <v>479</v>
      </c>
      <c r="F62" t="s">
        <v>480</v>
      </c>
      <c r="G62">
        <f>IF(N62&lt;&gt;"",VLOOKUP(N62,zastavky!E:F,2,FALSE),"")</f>
        <v>16</v>
      </c>
      <c r="H62" t="s">
        <v>481</v>
      </c>
      <c r="I62" t="s">
        <v>482</v>
      </c>
      <c r="J62">
        <v>1</v>
      </c>
      <c r="K62" t="s">
        <v>18</v>
      </c>
      <c r="M62">
        <v>1</v>
      </c>
      <c r="N62" s="1" t="s">
        <v>2583</v>
      </c>
      <c r="O62" t="s">
        <v>2668</v>
      </c>
      <c r="P62" t="str">
        <f t="shared" si="0"/>
        <v>update zamestnanci set os_cislo='61', rfid='0301173069',cilova='BATZ',nastup='16' where os_cislo='61';</v>
      </c>
    </row>
    <row r="63" spans="1:16" x14ac:dyDescent="0.25">
      <c r="A63">
        <v>88</v>
      </c>
      <c r="B63" t="s">
        <v>483</v>
      </c>
      <c r="C63" s="4">
        <v>62</v>
      </c>
      <c r="D63" t="s">
        <v>484</v>
      </c>
      <c r="E63" t="s">
        <v>485</v>
      </c>
      <c r="F63" t="s">
        <v>486</v>
      </c>
      <c r="G63">
        <f>IF(N63&lt;&gt;"",VLOOKUP(N63,zastavky!E:F,2,FALSE),"")</f>
        <v>2</v>
      </c>
      <c r="H63" t="s">
        <v>487</v>
      </c>
      <c r="I63" t="s">
        <v>488</v>
      </c>
      <c r="J63">
        <v>1</v>
      </c>
      <c r="K63" t="s">
        <v>18</v>
      </c>
      <c r="M63">
        <v>1</v>
      </c>
      <c r="N63" s="1" t="s">
        <v>2576</v>
      </c>
      <c r="O63" t="s">
        <v>2668</v>
      </c>
      <c r="P63" t="str">
        <f t="shared" si="0"/>
        <v>update zamestnanci set os_cislo='62', rfid='0348323412',cilova='BATZ',nastup='2' where os_cislo='62';</v>
      </c>
    </row>
    <row r="64" spans="1:16" x14ac:dyDescent="0.25">
      <c r="A64">
        <v>89</v>
      </c>
      <c r="B64" t="s">
        <v>489</v>
      </c>
      <c r="C64" s="4">
        <v>63</v>
      </c>
      <c r="D64" t="s">
        <v>490</v>
      </c>
      <c r="E64" t="s">
        <v>491</v>
      </c>
      <c r="F64" t="s">
        <v>492</v>
      </c>
      <c r="G64">
        <f>IF(N64&lt;&gt;"",VLOOKUP(N64,zastavky!E:F,2,FALSE),"")</f>
        <v>17</v>
      </c>
      <c r="H64" t="s">
        <v>493</v>
      </c>
      <c r="I64" t="s">
        <v>494</v>
      </c>
      <c r="J64">
        <v>1</v>
      </c>
      <c r="K64" t="s">
        <v>18</v>
      </c>
      <c r="M64">
        <v>1</v>
      </c>
      <c r="N64" s="1" t="s">
        <v>2580</v>
      </c>
      <c r="O64" t="s">
        <v>2668</v>
      </c>
      <c r="P64" t="str">
        <f t="shared" si="0"/>
        <v>update zamestnanci set os_cislo='63', rfid='0315321954',cilova='BATZ',nastup='17' where os_cislo='63';</v>
      </c>
    </row>
    <row r="65" spans="1:16" x14ac:dyDescent="0.25">
      <c r="A65">
        <v>90</v>
      </c>
      <c r="B65" t="s">
        <v>495</v>
      </c>
      <c r="C65" s="4">
        <v>64</v>
      </c>
      <c r="D65" t="s">
        <v>496</v>
      </c>
      <c r="E65" t="s">
        <v>497</v>
      </c>
      <c r="F65" t="s">
        <v>498</v>
      </c>
      <c r="G65">
        <f>IF(N65&lt;&gt;"",VLOOKUP(N65,zastavky!E:F,2,FALSE),"")</f>
        <v>17</v>
      </c>
      <c r="H65" t="s">
        <v>499</v>
      </c>
      <c r="I65" t="s">
        <v>500</v>
      </c>
      <c r="J65">
        <v>1</v>
      </c>
      <c r="K65" t="s">
        <v>18</v>
      </c>
      <c r="M65">
        <v>1</v>
      </c>
      <c r="N65" s="1" t="s">
        <v>2580</v>
      </c>
      <c r="O65" t="s">
        <v>2668</v>
      </c>
      <c r="P65" t="str">
        <f t="shared" si="0"/>
        <v>update zamestnanci set os_cislo='64', rfid='0301165689',cilova='BATZ',nastup='17' where os_cislo='64';</v>
      </c>
    </row>
    <row r="66" spans="1:16" x14ac:dyDescent="0.25">
      <c r="A66">
        <v>91</v>
      </c>
      <c r="B66" t="s">
        <v>501</v>
      </c>
      <c r="C66" s="4">
        <v>65</v>
      </c>
      <c r="D66" t="s">
        <v>502</v>
      </c>
      <c r="E66" t="s">
        <v>503</v>
      </c>
      <c r="F66" t="s">
        <v>504</v>
      </c>
      <c r="G66">
        <f>IF(N66&lt;&gt;"",VLOOKUP(N66,zastavky!E:F,2,FALSE),"")</f>
        <v>19</v>
      </c>
      <c r="I66" t="s">
        <v>505</v>
      </c>
      <c r="J66">
        <v>1</v>
      </c>
      <c r="K66" t="s">
        <v>18</v>
      </c>
      <c r="M66">
        <v>1</v>
      </c>
      <c r="N66" s="1" t="s">
        <v>2594</v>
      </c>
      <c r="O66" t="s">
        <v>2668</v>
      </c>
      <c r="P66" t="str">
        <f t="shared" si="0"/>
        <v>update zamestnanci set os_cislo='65', rfid='0272698616',cilova='BATZ',nastup='19' where os_cislo='65';</v>
      </c>
    </row>
    <row r="67" spans="1:16" x14ac:dyDescent="0.25">
      <c r="A67">
        <v>92</v>
      </c>
      <c r="B67" t="s">
        <v>506</v>
      </c>
      <c r="C67" s="4">
        <v>66</v>
      </c>
      <c r="D67" t="s">
        <v>507</v>
      </c>
      <c r="E67" t="s">
        <v>508</v>
      </c>
      <c r="F67" t="s">
        <v>509</v>
      </c>
      <c r="G67">
        <f>IF(N67&lt;&gt;"",VLOOKUP(N67,zastavky!E:F,2,FALSE),"")</f>
        <v>27</v>
      </c>
      <c r="H67" t="s">
        <v>510</v>
      </c>
      <c r="I67" t="s">
        <v>511</v>
      </c>
      <c r="J67">
        <v>1</v>
      </c>
      <c r="K67" t="s">
        <v>18</v>
      </c>
      <c r="M67">
        <v>1</v>
      </c>
      <c r="N67" s="1" t="s">
        <v>2595</v>
      </c>
      <c r="O67" t="s">
        <v>2668</v>
      </c>
      <c r="P67" t="str">
        <f t="shared" ref="P67:P130" si="1">"update zamestnanci set os_cislo='" &amp; C67 &amp; "', rfid='" &amp; F67 &amp; "',cilova='" &amp; O67 &amp; "',nastup='" &amp; G67 &amp; "' where os_cislo='" &amp; C67 &amp; "';"</f>
        <v>update zamestnanci set os_cislo='66', rfid='0289821261',cilova='BATZ',nastup='27' where os_cislo='66';</v>
      </c>
    </row>
    <row r="68" spans="1:16" x14ac:dyDescent="0.25">
      <c r="A68">
        <v>93</v>
      </c>
      <c r="B68" t="s">
        <v>512</v>
      </c>
      <c r="C68" s="4">
        <v>67</v>
      </c>
      <c r="D68" t="s">
        <v>513</v>
      </c>
      <c r="E68" t="s">
        <v>514</v>
      </c>
      <c r="F68" t="s">
        <v>515</v>
      </c>
      <c r="G68">
        <f>IF(N68&lt;&gt;"",VLOOKUP(N68,zastavky!E:F,2,FALSE),"")</f>
        <v>16</v>
      </c>
      <c r="H68" t="s">
        <v>516</v>
      </c>
      <c r="I68" t="s">
        <v>517</v>
      </c>
      <c r="J68">
        <v>1</v>
      </c>
      <c r="K68" t="s">
        <v>18</v>
      </c>
      <c r="M68">
        <v>1</v>
      </c>
      <c r="N68" s="1" t="s">
        <v>2583</v>
      </c>
      <c r="O68" t="s">
        <v>2668</v>
      </c>
      <c r="P68" t="str">
        <f t="shared" si="1"/>
        <v>update zamestnanci set os_cislo='67', rfid='0315321918',cilova='BATZ',nastup='16' where os_cislo='67';</v>
      </c>
    </row>
    <row r="69" spans="1:16" x14ac:dyDescent="0.25">
      <c r="A69">
        <v>94</v>
      </c>
      <c r="B69" t="s">
        <v>518</v>
      </c>
      <c r="C69" s="4">
        <v>68</v>
      </c>
      <c r="D69" t="s">
        <v>519</v>
      </c>
      <c r="E69" t="s">
        <v>520</v>
      </c>
      <c r="F69" t="s">
        <v>521</v>
      </c>
      <c r="G69">
        <f>IF(N69&lt;&gt;"",VLOOKUP(N69,zastavky!E:F,2,FALSE),"")</f>
        <v>19</v>
      </c>
      <c r="H69" t="s">
        <v>522</v>
      </c>
      <c r="I69" t="s">
        <v>523</v>
      </c>
      <c r="J69">
        <v>1</v>
      </c>
      <c r="K69" t="s">
        <v>18</v>
      </c>
      <c r="M69">
        <v>1</v>
      </c>
      <c r="N69" s="1" t="s">
        <v>2594</v>
      </c>
      <c r="O69" t="s">
        <v>2668</v>
      </c>
      <c r="P69" t="str">
        <f t="shared" si="1"/>
        <v>update zamestnanci set os_cislo='68', rfid='0272698647',cilova='BATZ',nastup='19' where os_cislo='68';</v>
      </c>
    </row>
    <row r="70" spans="1:16" x14ac:dyDescent="0.25">
      <c r="A70">
        <v>95</v>
      </c>
      <c r="B70" t="s">
        <v>524</v>
      </c>
      <c r="C70" s="4">
        <v>69</v>
      </c>
      <c r="D70" t="s">
        <v>525</v>
      </c>
      <c r="E70" t="s">
        <v>526</v>
      </c>
      <c r="F70" t="s">
        <v>527</v>
      </c>
      <c r="G70">
        <f>IF(N70&lt;&gt;"",VLOOKUP(N70,zastavky!E:F,2,FALSE),"")</f>
        <v>27</v>
      </c>
      <c r="H70" t="s">
        <v>528</v>
      </c>
      <c r="I70" t="s">
        <v>529</v>
      </c>
      <c r="J70">
        <v>1</v>
      </c>
      <c r="K70" t="s">
        <v>18</v>
      </c>
      <c r="M70">
        <v>1</v>
      </c>
      <c r="N70" s="1" t="s">
        <v>2595</v>
      </c>
      <c r="O70" t="s">
        <v>2668</v>
      </c>
      <c r="P70" t="str">
        <f t="shared" si="1"/>
        <v>update zamestnanci set os_cislo='69', rfid='0315321940',cilova='BATZ',nastup='27' where os_cislo='69';</v>
      </c>
    </row>
    <row r="71" spans="1:16" x14ac:dyDescent="0.25">
      <c r="A71">
        <v>96</v>
      </c>
      <c r="B71" t="s">
        <v>530</v>
      </c>
      <c r="C71" s="4">
        <v>70</v>
      </c>
      <c r="D71" t="s">
        <v>324</v>
      </c>
      <c r="E71" t="s">
        <v>531</v>
      </c>
      <c r="F71" t="s">
        <v>532</v>
      </c>
      <c r="G71">
        <f>IF(N71&lt;&gt;"",VLOOKUP(N71,zastavky!E:F,2,FALSE),"")</f>
        <v>21</v>
      </c>
      <c r="I71" t="s">
        <v>533</v>
      </c>
      <c r="J71">
        <v>1</v>
      </c>
      <c r="K71" t="s">
        <v>18</v>
      </c>
      <c r="M71">
        <v>1</v>
      </c>
      <c r="N71" s="1" t="s">
        <v>2577</v>
      </c>
      <c r="O71" t="s">
        <v>2668</v>
      </c>
      <c r="P71" t="str">
        <f t="shared" si="1"/>
        <v>update zamestnanci set os_cislo='70', rfid='0315321941',cilova='BATZ',nastup='21' where os_cislo='70';</v>
      </c>
    </row>
    <row r="72" spans="1:16" x14ac:dyDescent="0.25">
      <c r="A72">
        <v>97</v>
      </c>
      <c r="B72" t="s">
        <v>534</v>
      </c>
      <c r="C72" s="4">
        <v>71</v>
      </c>
      <c r="D72" t="s">
        <v>535</v>
      </c>
      <c r="E72" t="s">
        <v>536</v>
      </c>
      <c r="F72" t="s">
        <v>537</v>
      </c>
      <c r="G72">
        <f>IF(N72&lt;&gt;"",VLOOKUP(N72,zastavky!E:F,2,FALSE),"")</f>
        <v>27</v>
      </c>
      <c r="H72" t="s">
        <v>538</v>
      </c>
      <c r="I72" t="s">
        <v>539</v>
      </c>
      <c r="J72">
        <v>1</v>
      </c>
      <c r="K72" t="s">
        <v>18</v>
      </c>
      <c r="M72">
        <v>1</v>
      </c>
      <c r="N72" s="1" t="s">
        <v>2595</v>
      </c>
      <c r="O72" t="s">
        <v>2668</v>
      </c>
      <c r="P72" t="str">
        <f t="shared" si="1"/>
        <v>update zamestnanci set os_cislo='71', rfid='0328604658',cilova='BATZ',nastup='27' where os_cislo='71';</v>
      </c>
    </row>
    <row r="73" spans="1:16" x14ac:dyDescent="0.25">
      <c r="A73">
        <v>98</v>
      </c>
      <c r="B73" t="s">
        <v>540</v>
      </c>
      <c r="C73" s="4">
        <v>72</v>
      </c>
      <c r="D73" t="s">
        <v>541</v>
      </c>
      <c r="E73" t="s">
        <v>542</v>
      </c>
      <c r="F73" t="s">
        <v>543</v>
      </c>
      <c r="G73">
        <f>IF(N73&lt;&gt;"",VLOOKUP(N73,zastavky!E:F,2,FALSE),"")</f>
        <v>27</v>
      </c>
      <c r="H73" t="s">
        <v>544</v>
      </c>
      <c r="I73" t="s">
        <v>545</v>
      </c>
      <c r="J73">
        <v>1</v>
      </c>
      <c r="K73" t="s">
        <v>18</v>
      </c>
      <c r="M73">
        <v>1</v>
      </c>
      <c r="N73" s="1" t="s">
        <v>2595</v>
      </c>
      <c r="O73" t="s">
        <v>2668</v>
      </c>
      <c r="P73" t="str">
        <f t="shared" si="1"/>
        <v>update zamestnanci set os_cislo='72', rfid='0328608672',cilova='BATZ',nastup='27' where os_cislo='72';</v>
      </c>
    </row>
    <row r="74" spans="1:16" x14ac:dyDescent="0.25">
      <c r="A74">
        <v>99</v>
      </c>
      <c r="B74" t="s">
        <v>546</v>
      </c>
      <c r="C74" s="4">
        <v>73</v>
      </c>
      <c r="D74" t="s">
        <v>541</v>
      </c>
      <c r="E74" t="s">
        <v>547</v>
      </c>
      <c r="F74" t="s">
        <v>548</v>
      </c>
      <c r="G74">
        <f>IF(N74&lt;&gt;"",VLOOKUP(N74,zastavky!E:F,2,FALSE),"")</f>
        <v>27</v>
      </c>
      <c r="H74" t="s">
        <v>549</v>
      </c>
      <c r="I74" t="s">
        <v>545</v>
      </c>
      <c r="J74">
        <v>1</v>
      </c>
      <c r="K74" t="s">
        <v>18</v>
      </c>
      <c r="M74">
        <v>1</v>
      </c>
      <c r="N74" s="1" t="s">
        <v>2595</v>
      </c>
      <c r="O74" t="s">
        <v>2668</v>
      </c>
      <c r="P74" t="str">
        <f t="shared" si="1"/>
        <v>update zamestnanci set os_cislo='73', rfid='0301165667',cilova='BATZ',nastup='27' where os_cislo='73';</v>
      </c>
    </row>
    <row r="75" spans="1:16" x14ac:dyDescent="0.25">
      <c r="A75">
        <v>100</v>
      </c>
      <c r="B75" t="s">
        <v>550</v>
      </c>
      <c r="C75" s="4">
        <v>74</v>
      </c>
      <c r="D75" t="s">
        <v>551</v>
      </c>
      <c r="E75" t="s">
        <v>552</v>
      </c>
      <c r="F75" t="s">
        <v>553</v>
      </c>
      <c r="G75">
        <f>IF(N75&lt;&gt;"",VLOOKUP(N75,zastavky!E:F,2,FALSE),"")</f>
        <v>27</v>
      </c>
      <c r="H75" t="s">
        <v>554</v>
      </c>
      <c r="I75" t="s">
        <v>555</v>
      </c>
      <c r="J75">
        <v>1</v>
      </c>
      <c r="K75" t="s">
        <v>18</v>
      </c>
      <c r="M75">
        <v>1</v>
      </c>
      <c r="N75" s="1" t="s">
        <v>2595</v>
      </c>
      <c r="O75" t="s">
        <v>2668</v>
      </c>
      <c r="P75" t="str">
        <f t="shared" si="1"/>
        <v>update zamestnanci set os_cislo='74', rfid='0315325893',cilova='BATZ',nastup='27' where os_cislo='74';</v>
      </c>
    </row>
    <row r="76" spans="1:16" x14ac:dyDescent="0.25">
      <c r="A76">
        <v>101</v>
      </c>
      <c r="B76" t="s">
        <v>556</v>
      </c>
      <c r="C76" s="4">
        <v>75</v>
      </c>
      <c r="D76" t="s">
        <v>557</v>
      </c>
      <c r="E76" t="s">
        <v>558</v>
      </c>
      <c r="F76" t="s">
        <v>559</v>
      </c>
      <c r="G76">
        <f>IF(N76&lt;&gt;"",VLOOKUP(N76,zastavky!E:F,2,FALSE),"")</f>
        <v>20</v>
      </c>
      <c r="H76" t="s">
        <v>560</v>
      </c>
      <c r="I76" t="s">
        <v>561</v>
      </c>
      <c r="J76">
        <v>1</v>
      </c>
      <c r="K76" t="s">
        <v>18</v>
      </c>
      <c r="M76">
        <v>1</v>
      </c>
      <c r="N76" s="1" t="s">
        <v>2589</v>
      </c>
      <c r="O76" t="s">
        <v>2668</v>
      </c>
      <c r="P76" t="str">
        <f t="shared" si="1"/>
        <v>update zamestnanci set os_cislo='75', rfid='0328608668',cilova='BATZ',nastup='20' where os_cislo='75';</v>
      </c>
    </row>
    <row r="77" spans="1:16" x14ac:dyDescent="0.25">
      <c r="A77">
        <v>102</v>
      </c>
      <c r="B77" t="s">
        <v>562</v>
      </c>
      <c r="C77" s="4">
        <v>76</v>
      </c>
      <c r="D77" t="s">
        <v>563</v>
      </c>
      <c r="E77" t="s">
        <v>564</v>
      </c>
      <c r="F77" t="s">
        <v>565</v>
      </c>
      <c r="G77">
        <f>IF(N77&lt;&gt;"",VLOOKUP(N77,zastavky!E:F,2,FALSE),"")</f>
        <v>28</v>
      </c>
      <c r="H77" t="s">
        <v>566</v>
      </c>
      <c r="I77" t="s">
        <v>567</v>
      </c>
      <c r="J77">
        <v>1</v>
      </c>
      <c r="K77" t="s">
        <v>18</v>
      </c>
      <c r="M77">
        <v>1</v>
      </c>
      <c r="N77" s="1" t="s">
        <v>2596</v>
      </c>
      <c r="O77" t="s">
        <v>2668</v>
      </c>
      <c r="P77" t="str">
        <f t="shared" si="1"/>
        <v>update zamestnanci set os_cislo='76', rfid='0328608677',cilova='BATZ',nastup='28' where os_cislo='76';</v>
      </c>
    </row>
    <row r="78" spans="1:16" x14ac:dyDescent="0.25">
      <c r="A78">
        <v>103</v>
      </c>
      <c r="B78" t="s">
        <v>568</v>
      </c>
      <c r="C78" s="4">
        <v>77</v>
      </c>
      <c r="D78" t="s">
        <v>455</v>
      </c>
      <c r="E78" t="s">
        <v>569</v>
      </c>
      <c r="F78" t="s">
        <v>570</v>
      </c>
      <c r="G78">
        <f>IF(N78&lt;&gt;"",VLOOKUP(N78,zastavky!E:F,2,FALSE),"")</f>
        <v>20</v>
      </c>
      <c r="H78" t="s">
        <v>571</v>
      </c>
      <c r="I78" t="s">
        <v>572</v>
      </c>
      <c r="J78">
        <v>1</v>
      </c>
      <c r="K78" t="s">
        <v>18</v>
      </c>
      <c r="M78">
        <v>1</v>
      </c>
      <c r="N78" s="1" t="s">
        <v>2589</v>
      </c>
      <c r="O78" t="s">
        <v>2668</v>
      </c>
      <c r="P78" t="str">
        <f t="shared" si="1"/>
        <v>update zamestnanci set os_cislo='77', rfid='0301165649',cilova='BATZ',nastup='20' where os_cislo='77';</v>
      </c>
    </row>
    <row r="79" spans="1:16" x14ac:dyDescent="0.25">
      <c r="A79">
        <v>104</v>
      </c>
      <c r="B79" t="s">
        <v>573</v>
      </c>
      <c r="C79" s="4">
        <v>78</v>
      </c>
      <c r="D79" t="s">
        <v>574</v>
      </c>
      <c r="E79" t="s">
        <v>575</v>
      </c>
      <c r="F79" t="s">
        <v>576</v>
      </c>
      <c r="G79">
        <f>IF(N79&lt;&gt;"",VLOOKUP(N79,zastavky!E:F,2,FALSE),"")</f>
        <v>28</v>
      </c>
      <c r="H79" t="s">
        <v>577</v>
      </c>
      <c r="I79" t="s">
        <v>578</v>
      </c>
      <c r="J79">
        <v>1</v>
      </c>
      <c r="K79" t="s">
        <v>18</v>
      </c>
      <c r="M79">
        <v>1</v>
      </c>
      <c r="N79" s="1" t="s">
        <v>2596</v>
      </c>
      <c r="O79" t="s">
        <v>2668</v>
      </c>
      <c r="P79" t="str">
        <f t="shared" si="1"/>
        <v>update zamestnanci set os_cislo='78', rfid='0370053055',cilova='BATZ',nastup='28' where os_cislo='78';</v>
      </c>
    </row>
    <row r="80" spans="1:16" x14ac:dyDescent="0.25">
      <c r="A80">
        <v>105</v>
      </c>
      <c r="B80" t="s">
        <v>579</v>
      </c>
      <c r="C80" s="4">
        <v>79</v>
      </c>
      <c r="D80" t="s">
        <v>580</v>
      </c>
      <c r="E80" t="s">
        <v>581</v>
      </c>
      <c r="F80" t="s">
        <v>582</v>
      </c>
      <c r="G80">
        <f>IF(N80&lt;&gt;"",VLOOKUP(N80,zastavky!E:F,2,FALSE),"")</f>
        <v>14</v>
      </c>
      <c r="H80" t="s">
        <v>583</v>
      </c>
      <c r="I80" t="s">
        <v>584</v>
      </c>
      <c r="J80">
        <v>1</v>
      </c>
      <c r="K80" t="s">
        <v>18</v>
      </c>
      <c r="M80">
        <v>1</v>
      </c>
      <c r="N80" s="1" t="s">
        <v>2597</v>
      </c>
      <c r="O80" t="s">
        <v>2668</v>
      </c>
      <c r="P80" t="str">
        <f t="shared" si="1"/>
        <v>update zamestnanci set os_cislo='79', rfid='0315325856',cilova='BATZ',nastup='14' where os_cislo='79';</v>
      </c>
    </row>
    <row r="81" spans="1:16" x14ac:dyDescent="0.25">
      <c r="A81">
        <v>106</v>
      </c>
      <c r="B81" t="s">
        <v>585</v>
      </c>
      <c r="C81" s="4">
        <v>80</v>
      </c>
      <c r="D81" t="s">
        <v>586</v>
      </c>
      <c r="E81" t="s">
        <v>587</v>
      </c>
      <c r="F81" t="s">
        <v>588</v>
      </c>
      <c r="G81">
        <f>IF(N81&lt;&gt;"",VLOOKUP(N81,zastavky!E:F,2,FALSE),"")</f>
        <v>21</v>
      </c>
      <c r="H81" t="s">
        <v>589</v>
      </c>
      <c r="I81" t="s">
        <v>590</v>
      </c>
      <c r="J81">
        <v>1</v>
      </c>
      <c r="K81" t="s">
        <v>18</v>
      </c>
      <c r="M81">
        <v>1</v>
      </c>
      <c r="N81" s="1" t="s">
        <v>2577</v>
      </c>
      <c r="O81" t="s">
        <v>2668</v>
      </c>
      <c r="P81" t="str">
        <f t="shared" si="1"/>
        <v>update zamestnanci set os_cislo='80', rfid='0328443818',cilova='BATZ',nastup='21' where os_cislo='80';</v>
      </c>
    </row>
    <row r="82" spans="1:16" x14ac:dyDescent="0.25">
      <c r="A82">
        <v>108</v>
      </c>
      <c r="B82" t="s">
        <v>591</v>
      </c>
      <c r="C82" s="4">
        <v>81</v>
      </c>
      <c r="D82" t="s">
        <v>2598</v>
      </c>
      <c r="E82" t="s">
        <v>592</v>
      </c>
      <c r="F82" t="s">
        <v>593</v>
      </c>
      <c r="G82">
        <f>IF(N82&lt;&gt;"",VLOOKUP(N82,zastavky!E:F,2,FALSE),"")</f>
        <v>5</v>
      </c>
      <c r="H82" t="s">
        <v>594</v>
      </c>
      <c r="I82" t="s">
        <v>595</v>
      </c>
      <c r="J82">
        <v>1</v>
      </c>
      <c r="K82" t="s">
        <v>18</v>
      </c>
      <c r="M82">
        <v>1</v>
      </c>
      <c r="N82" s="1" t="s">
        <v>2586</v>
      </c>
      <c r="O82" t="s">
        <v>2668</v>
      </c>
      <c r="P82" t="str">
        <f t="shared" si="1"/>
        <v>update zamestnanci set os_cislo='81', rfid='0328611446',cilova='BATZ',nastup='5' where os_cislo='81';</v>
      </c>
    </row>
    <row r="83" spans="1:16" x14ac:dyDescent="0.25">
      <c r="A83">
        <v>109</v>
      </c>
      <c r="B83" t="s">
        <v>596</v>
      </c>
      <c r="C83" s="4">
        <v>82</v>
      </c>
      <c r="D83" t="s">
        <v>597</v>
      </c>
      <c r="E83" t="s">
        <v>598</v>
      </c>
      <c r="F83" t="s">
        <v>599</v>
      </c>
      <c r="G83">
        <f>IF(N83&lt;&gt;"",VLOOKUP(N83,zastavky!E:F,2,FALSE),"")</f>
        <v>100</v>
      </c>
      <c r="H83" t="s">
        <v>600</v>
      </c>
      <c r="I83" t="s">
        <v>601</v>
      </c>
      <c r="J83">
        <v>1</v>
      </c>
      <c r="K83" t="s">
        <v>18</v>
      </c>
      <c r="M83">
        <v>1</v>
      </c>
      <c r="N83" s="1" t="s">
        <v>2581</v>
      </c>
      <c r="O83" t="s">
        <v>2668</v>
      </c>
      <c r="P83" t="str">
        <f t="shared" si="1"/>
        <v>update zamestnanci set os_cislo='82', rfid='0289910254',cilova='BATZ',nastup='100' where os_cislo='82';</v>
      </c>
    </row>
    <row r="84" spans="1:16" x14ac:dyDescent="0.25">
      <c r="A84">
        <v>110</v>
      </c>
      <c r="B84" t="s">
        <v>602</v>
      </c>
      <c r="C84" s="4">
        <v>83</v>
      </c>
      <c r="D84" t="s">
        <v>603</v>
      </c>
      <c r="E84" t="s">
        <v>604</v>
      </c>
      <c r="F84" t="s">
        <v>605</v>
      </c>
      <c r="G84">
        <f>IF(N84&lt;&gt;"",VLOOKUP(N84,zastavky!E:F,2,FALSE),"")</f>
        <v>18</v>
      </c>
      <c r="H84" t="s">
        <v>606</v>
      </c>
      <c r="I84" t="s">
        <v>607</v>
      </c>
      <c r="J84">
        <v>1</v>
      </c>
      <c r="K84" t="s">
        <v>18</v>
      </c>
      <c r="M84">
        <v>1</v>
      </c>
      <c r="N84" s="1" t="s">
        <v>2585</v>
      </c>
      <c r="O84" t="s">
        <v>2668</v>
      </c>
      <c r="P84" t="str">
        <f t="shared" si="1"/>
        <v>update zamestnanci set os_cislo='83', rfid='0348342254',cilova='BATZ',nastup='18' where os_cislo='83';</v>
      </c>
    </row>
    <row r="85" spans="1:16" x14ac:dyDescent="0.25">
      <c r="A85">
        <v>111</v>
      </c>
      <c r="B85" t="s">
        <v>608</v>
      </c>
      <c r="C85" s="4">
        <v>84</v>
      </c>
      <c r="D85" t="s">
        <v>609</v>
      </c>
      <c r="E85" t="s">
        <v>610</v>
      </c>
      <c r="F85" t="s">
        <v>611</v>
      </c>
      <c r="G85">
        <f>IF(N85&lt;&gt;"",VLOOKUP(N85,zastavky!E:F,2,FALSE),"")</f>
        <v>18</v>
      </c>
      <c r="H85" t="s">
        <v>612</v>
      </c>
      <c r="I85" t="s">
        <v>613</v>
      </c>
      <c r="J85">
        <v>1</v>
      </c>
      <c r="K85" t="s">
        <v>18</v>
      </c>
      <c r="M85">
        <v>1</v>
      </c>
      <c r="N85" s="1" t="s">
        <v>2585</v>
      </c>
      <c r="O85" t="s">
        <v>2668</v>
      </c>
      <c r="P85" t="str">
        <f t="shared" si="1"/>
        <v>update zamestnanci set os_cislo='84', rfid='0370025477',cilova='BATZ',nastup='18' where os_cislo='84';</v>
      </c>
    </row>
    <row r="86" spans="1:16" x14ac:dyDescent="0.25">
      <c r="A86">
        <v>112</v>
      </c>
      <c r="B86" t="s">
        <v>614</v>
      </c>
      <c r="C86" s="4">
        <v>85</v>
      </c>
      <c r="D86" t="s">
        <v>615</v>
      </c>
      <c r="E86" t="s">
        <v>616</v>
      </c>
      <c r="F86" t="s">
        <v>617</v>
      </c>
      <c r="G86">
        <f>IF(N86&lt;&gt;"",VLOOKUP(N86,zastavky!E:F,2,FALSE),"")</f>
        <v>7</v>
      </c>
      <c r="H86" t="s">
        <v>618</v>
      </c>
      <c r="I86" t="s">
        <v>619</v>
      </c>
      <c r="J86">
        <v>1</v>
      </c>
      <c r="K86" t="s">
        <v>18</v>
      </c>
      <c r="M86">
        <v>1</v>
      </c>
      <c r="N86" s="1" t="s">
        <v>2590</v>
      </c>
      <c r="O86" t="s">
        <v>2668</v>
      </c>
      <c r="P86" t="str">
        <f t="shared" si="1"/>
        <v>update zamestnanci set os_cislo='85', rfid='0328608648',cilova='BATZ',nastup='7' where os_cislo='85';</v>
      </c>
    </row>
    <row r="87" spans="1:16" x14ac:dyDescent="0.25">
      <c r="A87">
        <v>113</v>
      </c>
      <c r="B87" t="s">
        <v>620</v>
      </c>
      <c r="C87" s="4">
        <v>86</v>
      </c>
      <c r="D87" t="s">
        <v>621</v>
      </c>
      <c r="E87" t="s">
        <v>622</v>
      </c>
      <c r="F87" t="s">
        <v>623</v>
      </c>
      <c r="G87">
        <f>IF(N87&lt;&gt;"",VLOOKUP(N87,zastavky!E:F,2,FALSE),"")</f>
        <v>17</v>
      </c>
      <c r="H87" t="s">
        <v>624</v>
      </c>
      <c r="I87" t="s">
        <v>625</v>
      </c>
      <c r="J87">
        <v>1</v>
      </c>
      <c r="K87" t="s">
        <v>18</v>
      </c>
      <c r="M87">
        <v>1</v>
      </c>
      <c r="N87" s="1" t="s">
        <v>2580</v>
      </c>
      <c r="O87" t="s">
        <v>2668</v>
      </c>
      <c r="P87" t="str">
        <f t="shared" si="1"/>
        <v>update zamestnanci set os_cislo='86', rfid='0301162227',cilova='BATZ',nastup='17' where os_cislo='86';</v>
      </c>
    </row>
    <row r="88" spans="1:16" x14ac:dyDescent="0.25">
      <c r="A88">
        <v>114</v>
      </c>
      <c r="B88" t="s">
        <v>626</v>
      </c>
      <c r="C88" s="4">
        <v>87</v>
      </c>
      <c r="D88" t="s">
        <v>627</v>
      </c>
      <c r="E88" t="s">
        <v>628</v>
      </c>
      <c r="F88" t="s">
        <v>629</v>
      </c>
      <c r="G88">
        <f>IF(N88&lt;&gt;"",VLOOKUP(N88,zastavky!E:F,2,FALSE),"")</f>
        <v>26</v>
      </c>
      <c r="H88" t="s">
        <v>630</v>
      </c>
      <c r="I88" t="s">
        <v>631</v>
      </c>
      <c r="J88">
        <v>1</v>
      </c>
      <c r="K88" t="s">
        <v>18</v>
      </c>
      <c r="M88">
        <v>1</v>
      </c>
      <c r="N88" s="1" t="s">
        <v>2578</v>
      </c>
      <c r="O88" t="s">
        <v>2668</v>
      </c>
      <c r="P88" t="str">
        <f t="shared" si="1"/>
        <v>update zamestnanci set os_cislo='87', rfid='0348330448',cilova='BATZ',nastup='26' where os_cislo='87';</v>
      </c>
    </row>
    <row r="89" spans="1:16" x14ac:dyDescent="0.25">
      <c r="A89">
        <v>115</v>
      </c>
      <c r="B89" t="s">
        <v>632</v>
      </c>
      <c r="C89" s="4">
        <v>88</v>
      </c>
      <c r="D89" t="s">
        <v>633</v>
      </c>
      <c r="E89" t="s">
        <v>634</v>
      </c>
      <c r="F89" t="s">
        <v>635</v>
      </c>
      <c r="G89">
        <f>IF(N89&lt;&gt;"",VLOOKUP(N89,zastavky!E:F,2,FALSE),"")</f>
        <v>12</v>
      </c>
      <c r="H89" t="s">
        <v>636</v>
      </c>
      <c r="I89" t="s">
        <v>637</v>
      </c>
      <c r="J89">
        <v>1</v>
      </c>
      <c r="K89" t="s">
        <v>18</v>
      </c>
      <c r="M89">
        <v>1</v>
      </c>
      <c r="N89" s="1" t="s">
        <v>2599</v>
      </c>
      <c r="O89" t="s">
        <v>2668</v>
      </c>
      <c r="P89" t="str">
        <f t="shared" si="1"/>
        <v>update zamestnanci set os_cislo='88', rfid='0370041446',cilova='BATZ',nastup='12' where os_cislo='88';</v>
      </c>
    </row>
    <row r="90" spans="1:16" x14ac:dyDescent="0.25">
      <c r="A90">
        <v>116</v>
      </c>
      <c r="B90" t="s">
        <v>638</v>
      </c>
      <c r="C90" s="4">
        <v>89</v>
      </c>
      <c r="D90" t="s">
        <v>639</v>
      </c>
      <c r="E90" t="s">
        <v>640</v>
      </c>
      <c r="F90" t="s">
        <v>641</v>
      </c>
      <c r="G90">
        <f>IF(N90&lt;&gt;"",VLOOKUP(N90,zastavky!E:F,2,FALSE),"")</f>
        <v>12</v>
      </c>
      <c r="H90" t="s">
        <v>642</v>
      </c>
      <c r="I90" t="s">
        <v>643</v>
      </c>
      <c r="J90">
        <v>1</v>
      </c>
      <c r="K90" t="s">
        <v>18</v>
      </c>
      <c r="M90">
        <v>1</v>
      </c>
      <c r="N90" s="1" t="s">
        <v>2599</v>
      </c>
      <c r="O90" t="s">
        <v>2668</v>
      </c>
      <c r="P90" t="str">
        <f t="shared" si="1"/>
        <v>update zamestnanci set os_cislo='89', rfid='0301172992',cilova='BATZ',nastup='12' where os_cislo='89';</v>
      </c>
    </row>
    <row r="91" spans="1:16" x14ac:dyDescent="0.25">
      <c r="A91">
        <v>117</v>
      </c>
      <c r="B91" t="s">
        <v>644</v>
      </c>
      <c r="C91" s="4">
        <v>90</v>
      </c>
      <c r="D91" t="s">
        <v>645</v>
      </c>
      <c r="E91" t="s">
        <v>646</v>
      </c>
      <c r="F91" t="s">
        <v>647</v>
      </c>
      <c r="G91">
        <f>IF(N91&lt;&gt;"",VLOOKUP(N91,zastavky!E:F,2,FALSE),"")</f>
        <v>17</v>
      </c>
      <c r="H91" t="s">
        <v>648</v>
      </c>
      <c r="I91" t="s">
        <v>649</v>
      </c>
      <c r="J91">
        <v>1</v>
      </c>
      <c r="K91" t="s">
        <v>18</v>
      </c>
      <c r="M91">
        <v>1</v>
      </c>
      <c r="N91" s="1" t="s">
        <v>2580</v>
      </c>
      <c r="O91" t="s">
        <v>2668</v>
      </c>
      <c r="P91" t="str">
        <f t="shared" si="1"/>
        <v>update zamestnanci set os_cislo='90', rfid='0370059270',cilova='BATZ',nastup='17' where os_cislo='90';</v>
      </c>
    </row>
    <row r="92" spans="1:16" x14ac:dyDescent="0.25">
      <c r="A92">
        <v>118</v>
      </c>
      <c r="B92" t="s">
        <v>650</v>
      </c>
      <c r="C92" s="4">
        <v>91</v>
      </c>
      <c r="D92" t="s">
        <v>651</v>
      </c>
      <c r="E92" t="s">
        <v>652</v>
      </c>
      <c r="F92" t="s">
        <v>653</v>
      </c>
      <c r="G92">
        <f>IF(N92&lt;&gt;"",VLOOKUP(N92,zastavky!E:F,2,FALSE),"")</f>
        <v>4</v>
      </c>
      <c r="H92" t="s">
        <v>654</v>
      </c>
      <c r="I92" t="s">
        <v>655</v>
      </c>
      <c r="J92">
        <v>1</v>
      </c>
      <c r="K92" t="s">
        <v>18</v>
      </c>
      <c r="M92">
        <v>1</v>
      </c>
      <c r="N92" s="1" t="s">
        <v>2600</v>
      </c>
      <c r="O92" t="s">
        <v>2668</v>
      </c>
      <c r="P92" t="str">
        <f t="shared" si="1"/>
        <v>update zamestnanci set os_cislo='91', rfid='0301172956',cilova='BATZ',nastup='4' where os_cislo='91';</v>
      </c>
    </row>
    <row r="93" spans="1:16" x14ac:dyDescent="0.25">
      <c r="A93">
        <v>119</v>
      </c>
      <c r="B93" t="s">
        <v>656</v>
      </c>
      <c r="C93" s="4">
        <v>92</v>
      </c>
      <c r="D93" t="s">
        <v>657</v>
      </c>
      <c r="E93" t="s">
        <v>658</v>
      </c>
      <c r="F93" t="s">
        <v>659</v>
      </c>
      <c r="G93">
        <f>IF(N93&lt;&gt;"",VLOOKUP(N93,zastavky!E:F,2,FALSE),"")</f>
        <v>18</v>
      </c>
      <c r="H93" t="s">
        <v>660</v>
      </c>
      <c r="I93" t="s">
        <v>661</v>
      </c>
      <c r="J93">
        <v>1</v>
      </c>
      <c r="K93" t="s">
        <v>18</v>
      </c>
      <c r="M93">
        <v>1</v>
      </c>
      <c r="N93" s="1" t="s">
        <v>2585</v>
      </c>
      <c r="O93" t="s">
        <v>2668</v>
      </c>
      <c r="P93" t="str">
        <f t="shared" si="1"/>
        <v>update zamestnanci set os_cislo='92', rfid='0370026025',cilova='BATZ',nastup='18' where os_cislo='92';</v>
      </c>
    </row>
    <row r="94" spans="1:16" x14ac:dyDescent="0.25">
      <c r="A94">
        <v>120</v>
      </c>
      <c r="B94" t="s">
        <v>662</v>
      </c>
      <c r="C94" s="4">
        <v>93</v>
      </c>
      <c r="D94" t="s">
        <v>663</v>
      </c>
      <c r="E94" t="s">
        <v>664</v>
      </c>
      <c r="F94" t="s">
        <v>665</v>
      </c>
      <c r="G94">
        <f>IF(N94&lt;&gt;"",VLOOKUP(N94,zastavky!E:F,2,FALSE),"")</f>
        <v>22</v>
      </c>
      <c r="H94" t="s">
        <v>666</v>
      </c>
      <c r="I94" t="s">
        <v>667</v>
      </c>
      <c r="J94">
        <v>1</v>
      </c>
      <c r="K94" t="s">
        <v>18</v>
      </c>
      <c r="M94">
        <v>1</v>
      </c>
      <c r="N94" s="1" t="s">
        <v>2579</v>
      </c>
      <c r="O94" t="s">
        <v>2668</v>
      </c>
      <c r="P94" t="str">
        <f t="shared" si="1"/>
        <v>update zamestnanci set os_cislo='93', rfid='0301172958',cilova='BATZ',nastup='22' where os_cislo='93';</v>
      </c>
    </row>
    <row r="95" spans="1:16" x14ac:dyDescent="0.25">
      <c r="A95">
        <v>121</v>
      </c>
      <c r="B95" t="s">
        <v>668</v>
      </c>
      <c r="C95" s="4">
        <v>94</v>
      </c>
      <c r="D95" t="s">
        <v>669</v>
      </c>
      <c r="E95" t="s">
        <v>670</v>
      </c>
      <c r="F95" t="s">
        <v>671</v>
      </c>
      <c r="G95">
        <f>IF(N95&lt;&gt;"",VLOOKUP(N95,zastavky!E:F,2,FALSE),"")</f>
        <v>21</v>
      </c>
      <c r="H95" t="s">
        <v>672</v>
      </c>
      <c r="I95" t="s">
        <v>673</v>
      </c>
      <c r="J95">
        <v>1</v>
      </c>
      <c r="K95" t="s">
        <v>18</v>
      </c>
      <c r="M95">
        <v>1</v>
      </c>
      <c r="N95" s="1" t="s">
        <v>2577</v>
      </c>
      <c r="O95" t="s">
        <v>2668</v>
      </c>
      <c r="P95" t="str">
        <f t="shared" si="1"/>
        <v>update zamestnanci set os_cislo='94', rfid='0301162049',cilova='BATZ',nastup='21' where os_cislo='94';</v>
      </c>
    </row>
    <row r="96" spans="1:16" x14ac:dyDescent="0.25">
      <c r="A96">
        <v>123</v>
      </c>
      <c r="B96" t="s">
        <v>675</v>
      </c>
      <c r="C96" s="4">
        <v>95</v>
      </c>
      <c r="D96" t="s">
        <v>676</v>
      </c>
      <c r="E96" t="s">
        <v>677</v>
      </c>
      <c r="F96" t="s">
        <v>678</v>
      </c>
      <c r="G96">
        <f>IF(N96&lt;&gt;"",VLOOKUP(N96,zastavky!E:F,2,FALSE),"")</f>
        <v>21</v>
      </c>
      <c r="H96" t="s">
        <v>679</v>
      </c>
      <c r="I96" t="s">
        <v>680</v>
      </c>
      <c r="J96">
        <v>1</v>
      </c>
      <c r="K96" t="s">
        <v>18</v>
      </c>
      <c r="M96">
        <v>1</v>
      </c>
      <c r="N96" s="1" t="s">
        <v>2577</v>
      </c>
      <c r="O96" t="s">
        <v>2668</v>
      </c>
      <c r="P96" t="str">
        <f t="shared" si="1"/>
        <v>update zamestnanci set os_cislo='95', rfid='0301162320',cilova='BATZ',nastup='21' where os_cislo='95';</v>
      </c>
    </row>
    <row r="97" spans="1:16" x14ac:dyDescent="0.25">
      <c r="A97">
        <v>124</v>
      </c>
      <c r="B97" t="s">
        <v>681</v>
      </c>
      <c r="C97" s="4">
        <v>96</v>
      </c>
      <c r="D97" t="s">
        <v>395</v>
      </c>
      <c r="E97" t="s">
        <v>610</v>
      </c>
      <c r="F97" t="s">
        <v>682</v>
      </c>
      <c r="G97">
        <f>IF(N97&lt;&gt;"",VLOOKUP(N97,zastavky!E:F,2,FALSE),"")</f>
        <v>25</v>
      </c>
      <c r="H97" t="s">
        <v>683</v>
      </c>
      <c r="I97" t="s">
        <v>684</v>
      </c>
      <c r="J97">
        <v>1</v>
      </c>
      <c r="K97" t="s">
        <v>18</v>
      </c>
      <c r="M97">
        <v>1</v>
      </c>
      <c r="N97" s="1" t="s">
        <v>2591</v>
      </c>
      <c r="O97" t="s">
        <v>2668</v>
      </c>
      <c r="P97" t="str">
        <f t="shared" si="1"/>
        <v>update zamestnanci set os_cislo='96', rfid='0370023455',cilova='BATZ',nastup='25' where os_cislo='96';</v>
      </c>
    </row>
    <row r="98" spans="1:16" x14ac:dyDescent="0.25">
      <c r="A98">
        <v>125</v>
      </c>
      <c r="B98" t="s">
        <v>685</v>
      </c>
      <c r="C98" s="4">
        <v>97</v>
      </c>
      <c r="D98" t="s">
        <v>686</v>
      </c>
      <c r="E98" t="s">
        <v>687</v>
      </c>
      <c r="F98" t="s">
        <v>688</v>
      </c>
      <c r="G98">
        <f>IF(N98&lt;&gt;"",VLOOKUP(N98,zastavky!E:F,2,FALSE),"")</f>
        <v>14</v>
      </c>
      <c r="H98" t="s">
        <v>689</v>
      </c>
      <c r="I98" t="s">
        <v>690</v>
      </c>
      <c r="J98">
        <v>1</v>
      </c>
      <c r="K98" t="s">
        <v>18</v>
      </c>
      <c r="M98">
        <v>1</v>
      </c>
      <c r="N98" s="1" t="s">
        <v>2597</v>
      </c>
      <c r="O98" t="s">
        <v>2668</v>
      </c>
      <c r="P98" t="str">
        <f t="shared" si="1"/>
        <v>update zamestnanci set os_cislo='97', rfid='0370041265',cilova='BATZ',nastup='14' where os_cislo='97';</v>
      </c>
    </row>
    <row r="99" spans="1:16" x14ac:dyDescent="0.25">
      <c r="A99">
        <v>569</v>
      </c>
      <c r="B99" t="s">
        <v>2136</v>
      </c>
      <c r="C99" s="4">
        <v>98</v>
      </c>
      <c r="D99" t="s">
        <v>2137</v>
      </c>
      <c r="E99" t="s">
        <v>622</v>
      </c>
      <c r="F99" t="s">
        <v>2138</v>
      </c>
      <c r="G99">
        <f>IF(N99&lt;&gt;"",VLOOKUP(N99,zastavky!E:F,2,FALSE),"")</f>
        <v>100</v>
      </c>
      <c r="H99" t="s">
        <v>2139</v>
      </c>
      <c r="I99" t="s">
        <v>2140</v>
      </c>
      <c r="J99">
        <v>1</v>
      </c>
      <c r="K99" t="s">
        <v>18</v>
      </c>
      <c r="M99">
        <v>1</v>
      </c>
      <c r="N99" s="1" t="s">
        <v>2581</v>
      </c>
      <c r="O99" t="s">
        <v>2669</v>
      </c>
      <c r="P99" t="str">
        <f t="shared" si="1"/>
        <v>update zamestnanci set os_cislo='98', rfid='0327017936',cilova='THERMA',nastup='100' where os_cislo='98';</v>
      </c>
    </row>
    <row r="100" spans="1:16" x14ac:dyDescent="0.25">
      <c r="A100">
        <v>570</v>
      </c>
      <c r="B100" t="s">
        <v>2141</v>
      </c>
      <c r="C100" s="4">
        <v>99</v>
      </c>
      <c r="D100" t="s">
        <v>2142</v>
      </c>
      <c r="E100" t="s">
        <v>2143</v>
      </c>
      <c r="F100" t="s">
        <v>2144</v>
      </c>
      <c r="G100">
        <f>IF(N100&lt;&gt;"",VLOOKUP(N100,zastavky!E:F,2,FALSE),"")</f>
        <v>15</v>
      </c>
      <c r="H100" t="s">
        <v>2145</v>
      </c>
      <c r="I100" t="s">
        <v>2146</v>
      </c>
      <c r="J100">
        <v>1</v>
      </c>
      <c r="K100" t="s">
        <v>18</v>
      </c>
      <c r="M100">
        <v>1</v>
      </c>
      <c r="N100" s="1" t="s">
        <v>2592</v>
      </c>
      <c r="O100" t="s">
        <v>2669</v>
      </c>
      <c r="P100" t="str">
        <f t="shared" si="1"/>
        <v>update zamestnanci set os_cislo='99', rfid='0295414032',cilova='THERMA',nastup='15' where os_cislo='99';</v>
      </c>
    </row>
    <row r="101" spans="1:16" x14ac:dyDescent="0.25">
      <c r="A101">
        <v>571</v>
      </c>
      <c r="B101" t="s">
        <v>2147</v>
      </c>
      <c r="C101" s="4">
        <v>100</v>
      </c>
      <c r="D101" t="s">
        <v>2148</v>
      </c>
      <c r="E101" t="s">
        <v>2149</v>
      </c>
      <c r="F101" t="s">
        <v>2150</v>
      </c>
      <c r="G101">
        <f>IF(N101&lt;&gt;"",VLOOKUP(N101,zastavky!E:F,2,FALSE),"")</f>
        <v>6</v>
      </c>
      <c r="H101" t="s">
        <v>2151</v>
      </c>
      <c r="I101" t="s">
        <v>2152</v>
      </c>
      <c r="J101">
        <v>1</v>
      </c>
      <c r="K101" t="s">
        <v>18</v>
      </c>
      <c r="M101">
        <v>1</v>
      </c>
      <c r="N101" s="1" t="s">
        <v>2603</v>
      </c>
      <c r="O101" t="s">
        <v>2669</v>
      </c>
      <c r="P101" t="str">
        <f t="shared" si="1"/>
        <v>update zamestnanci set os_cislo='100', rfid='0295413742',cilova='THERMA',nastup='6' where os_cislo='100';</v>
      </c>
    </row>
    <row r="102" spans="1:16" x14ac:dyDescent="0.25">
      <c r="A102">
        <v>572</v>
      </c>
      <c r="B102" t="s">
        <v>2153</v>
      </c>
      <c r="C102" s="4">
        <v>101</v>
      </c>
      <c r="D102" t="s">
        <v>2154</v>
      </c>
      <c r="E102" t="s">
        <v>2155</v>
      </c>
      <c r="F102" s="5" t="s">
        <v>2156</v>
      </c>
      <c r="G102">
        <f>IF(N102&lt;&gt;"",VLOOKUP(N102,zastavky!E:F,2,FALSE),"")</f>
        <v>15</v>
      </c>
      <c r="H102" t="s">
        <v>2145</v>
      </c>
      <c r="I102" t="s">
        <v>2157</v>
      </c>
      <c r="J102">
        <v>1</v>
      </c>
      <c r="K102" t="s">
        <v>18</v>
      </c>
      <c r="M102">
        <v>1</v>
      </c>
      <c r="N102" s="1" t="s">
        <v>2592</v>
      </c>
      <c r="O102" t="s">
        <v>2669</v>
      </c>
      <c r="P102" t="str">
        <f t="shared" si="1"/>
        <v>update zamestnanci set os_cislo='101', rfid='0327017993',cilova='THERMA',nastup='15' where os_cislo='101';</v>
      </c>
    </row>
    <row r="103" spans="1:16" x14ac:dyDescent="0.25">
      <c r="A103">
        <v>573</v>
      </c>
      <c r="B103" t="s">
        <v>2158</v>
      </c>
      <c r="C103" s="4">
        <v>102</v>
      </c>
      <c r="D103" t="s">
        <v>2154</v>
      </c>
      <c r="E103" t="s">
        <v>134</v>
      </c>
      <c r="F103" s="5" t="s">
        <v>2159</v>
      </c>
      <c r="G103">
        <f>IF(N103&lt;&gt;"",VLOOKUP(N103,zastavky!E:F,2,FALSE),"")</f>
        <v>15</v>
      </c>
      <c r="H103" t="s">
        <v>2145</v>
      </c>
      <c r="I103" t="s">
        <v>2157</v>
      </c>
      <c r="J103">
        <v>1</v>
      </c>
      <c r="K103" t="s">
        <v>18</v>
      </c>
      <c r="M103">
        <v>1</v>
      </c>
      <c r="N103" s="1" t="s">
        <v>2592</v>
      </c>
      <c r="O103" t="s">
        <v>2669</v>
      </c>
      <c r="P103" t="str">
        <f t="shared" si="1"/>
        <v>update zamestnanci set os_cislo='102', rfid='0295413887',cilova='THERMA',nastup='15' where os_cislo='102';</v>
      </c>
    </row>
    <row r="104" spans="1:16" x14ac:dyDescent="0.25">
      <c r="A104">
        <v>574</v>
      </c>
      <c r="B104" t="s">
        <v>2160</v>
      </c>
      <c r="C104" s="4">
        <v>103</v>
      </c>
      <c r="D104" t="s">
        <v>342</v>
      </c>
      <c r="E104" t="s">
        <v>2161</v>
      </c>
      <c r="F104" s="5" t="s">
        <v>2162</v>
      </c>
      <c r="G104">
        <f>IF(N104&lt;&gt;"",VLOOKUP(N104,zastavky!E:F,2,FALSE),"")</f>
        <v>16</v>
      </c>
      <c r="H104" t="s">
        <v>2163</v>
      </c>
      <c r="I104" t="s">
        <v>2164</v>
      </c>
      <c r="J104">
        <v>1</v>
      </c>
      <c r="K104" t="s">
        <v>18</v>
      </c>
      <c r="M104">
        <v>1</v>
      </c>
      <c r="N104" s="1" t="s">
        <v>2583</v>
      </c>
      <c r="O104" t="s">
        <v>2669</v>
      </c>
      <c r="P104" t="str">
        <f t="shared" si="1"/>
        <v>update zamestnanci set os_cislo='103', rfid='0261608424',cilova='THERMA',nastup='16' where os_cislo='103';</v>
      </c>
    </row>
    <row r="105" spans="1:16" x14ac:dyDescent="0.25">
      <c r="A105">
        <v>575</v>
      </c>
      <c r="B105" t="s">
        <v>1733</v>
      </c>
      <c r="C105" s="4">
        <v>104</v>
      </c>
      <c r="D105" t="s">
        <v>2165</v>
      </c>
      <c r="E105" t="s">
        <v>2166</v>
      </c>
      <c r="F105" s="5" t="s">
        <v>2167</v>
      </c>
      <c r="G105">
        <f>IF(N105&lt;&gt;"",VLOOKUP(N105,zastavky!E:F,2,FALSE),"")</f>
        <v>17</v>
      </c>
      <c r="H105" t="s">
        <v>2168</v>
      </c>
      <c r="I105" t="s">
        <v>2169</v>
      </c>
      <c r="J105">
        <v>1</v>
      </c>
      <c r="K105" t="s">
        <v>18</v>
      </c>
      <c r="M105">
        <v>1</v>
      </c>
      <c r="N105" s="1" t="s">
        <v>2580</v>
      </c>
      <c r="O105" t="s">
        <v>2669</v>
      </c>
      <c r="P105" t="str">
        <f t="shared" si="1"/>
        <v>update zamestnanci set os_cislo='104', rfid='0334327151',cilova='THERMA',nastup='17' where os_cislo='104';</v>
      </c>
    </row>
    <row r="106" spans="1:16" x14ac:dyDescent="0.25">
      <c r="A106">
        <v>614</v>
      </c>
      <c r="B106" t="s">
        <v>2376</v>
      </c>
      <c r="C106" s="4">
        <v>105</v>
      </c>
      <c r="D106" t="s">
        <v>2377</v>
      </c>
      <c r="E106" t="s">
        <v>2378</v>
      </c>
      <c r="F106" s="2" t="s">
        <v>2674</v>
      </c>
      <c r="G106">
        <f>IF(N106&lt;&gt;"",VLOOKUP(N106,zastavky!E:F,2,FALSE),"")</f>
        <v>18</v>
      </c>
      <c r="H106" t="s">
        <v>2379</v>
      </c>
      <c r="I106" t="s">
        <v>2380</v>
      </c>
      <c r="J106">
        <v>1</v>
      </c>
      <c r="K106" t="s">
        <v>18</v>
      </c>
      <c r="M106">
        <v>1</v>
      </c>
      <c r="N106" s="1" t="s">
        <v>2585</v>
      </c>
      <c r="O106" t="s">
        <v>2668</v>
      </c>
      <c r="P106" t="str">
        <f t="shared" si="1"/>
        <v>update zamestnanci set os_cislo='105', rfid='0301165702',cilova='BATZ',nastup='18' where os_cislo='105';</v>
      </c>
    </row>
    <row r="107" spans="1:16" x14ac:dyDescent="0.25">
      <c r="A107">
        <v>615</v>
      </c>
      <c r="B107" t="s">
        <v>2381</v>
      </c>
      <c r="C107" s="4">
        <v>106</v>
      </c>
      <c r="D107" t="s">
        <v>199</v>
      </c>
      <c r="E107" t="s">
        <v>2382</v>
      </c>
      <c r="F107" s="5" t="s">
        <v>2675</v>
      </c>
      <c r="G107">
        <f>IF(N107&lt;&gt;"",VLOOKUP(N107,zastavky!E:F,2,FALSE),"")</f>
        <v>18</v>
      </c>
      <c r="H107" t="s">
        <v>2383</v>
      </c>
      <c r="I107" t="s">
        <v>2384</v>
      </c>
      <c r="J107">
        <v>1</v>
      </c>
      <c r="K107" t="s">
        <v>18</v>
      </c>
      <c r="M107">
        <v>1</v>
      </c>
      <c r="N107" s="1" t="s">
        <v>2585</v>
      </c>
      <c r="O107" t="s">
        <v>2668</v>
      </c>
      <c r="P107" t="str">
        <f t="shared" si="1"/>
        <v>update zamestnanci set os_cislo='106', rfid='0348347824',cilova='BATZ',nastup='18' where os_cislo='106';</v>
      </c>
    </row>
    <row r="108" spans="1:16" x14ac:dyDescent="0.25">
      <c r="A108">
        <v>616</v>
      </c>
      <c r="B108" t="s">
        <v>2385</v>
      </c>
      <c r="C108" s="4">
        <v>107</v>
      </c>
      <c r="D108" t="s">
        <v>2386</v>
      </c>
      <c r="E108" t="s">
        <v>2387</v>
      </c>
      <c r="F108" s="5" t="s">
        <v>2676</v>
      </c>
      <c r="G108">
        <f>IF(N108&lt;&gt;"",VLOOKUP(N108,zastavky!E:F,2,FALSE),"")</f>
        <v>17</v>
      </c>
      <c r="H108" t="s">
        <v>2388</v>
      </c>
      <c r="I108" t="s">
        <v>2389</v>
      </c>
      <c r="J108">
        <v>1</v>
      </c>
      <c r="K108" t="s">
        <v>18</v>
      </c>
      <c r="M108">
        <v>1</v>
      </c>
      <c r="N108" s="1" t="s">
        <v>2580</v>
      </c>
      <c r="O108" t="s">
        <v>2668</v>
      </c>
      <c r="P108" t="str">
        <f t="shared" si="1"/>
        <v>update zamestnanci set os_cislo='107', rfid='0328443819',cilova='BATZ',nastup='17' where os_cislo='107';</v>
      </c>
    </row>
    <row r="109" spans="1:16" x14ac:dyDescent="0.25">
      <c r="A109">
        <v>617</v>
      </c>
      <c r="B109" t="s">
        <v>2390</v>
      </c>
      <c r="C109" s="4">
        <v>108</v>
      </c>
      <c r="D109" t="s">
        <v>2391</v>
      </c>
      <c r="E109" t="s">
        <v>2392</v>
      </c>
      <c r="F109" s="5" t="s">
        <v>2677</v>
      </c>
      <c r="G109">
        <f>IF(N109&lt;&gt;"",VLOOKUP(N109,zastavky!E:F,2,FALSE),"")</f>
        <v>5</v>
      </c>
      <c r="H109" t="s">
        <v>2393</v>
      </c>
      <c r="I109" t="s">
        <v>2394</v>
      </c>
      <c r="J109">
        <v>1</v>
      </c>
      <c r="K109" t="s">
        <v>18</v>
      </c>
      <c r="M109">
        <v>1</v>
      </c>
      <c r="N109" s="1" t="s">
        <v>2586</v>
      </c>
      <c r="O109" t="s">
        <v>2668</v>
      </c>
      <c r="P109" t="str">
        <f t="shared" si="1"/>
        <v>update zamestnanci set os_cislo='108', rfid='0301172995',cilova='BATZ',nastup='5' where os_cislo='108';</v>
      </c>
    </row>
    <row r="110" spans="1:16" x14ac:dyDescent="0.25">
      <c r="A110">
        <v>618</v>
      </c>
      <c r="B110" t="s">
        <v>2014</v>
      </c>
      <c r="C110" s="4">
        <v>109</v>
      </c>
      <c r="D110" t="s">
        <v>187</v>
      </c>
      <c r="E110" t="s">
        <v>2395</v>
      </c>
      <c r="F110" s="5" t="s">
        <v>2678</v>
      </c>
      <c r="G110">
        <f>IF(N110&lt;&gt;"",VLOOKUP(N110,zastavky!E:F,2,FALSE),"")</f>
        <v>1</v>
      </c>
      <c r="H110" t="s">
        <v>2396</v>
      </c>
      <c r="I110" t="s">
        <v>2397</v>
      </c>
      <c r="J110">
        <v>1</v>
      </c>
      <c r="K110" t="s">
        <v>18</v>
      </c>
      <c r="M110">
        <v>1</v>
      </c>
      <c r="N110" s="1" t="s">
        <v>2582</v>
      </c>
      <c r="O110" t="s">
        <v>2668</v>
      </c>
      <c r="P110" t="str">
        <f t="shared" si="1"/>
        <v>update zamestnanci set os_cislo='109', rfid='0328443812',cilova='BATZ',nastup='1' where os_cislo='109';</v>
      </c>
    </row>
    <row r="111" spans="1:16" x14ac:dyDescent="0.25">
      <c r="A111">
        <v>619</v>
      </c>
      <c r="B111" t="s">
        <v>2398</v>
      </c>
      <c r="C111" s="4">
        <v>110</v>
      </c>
      <c r="D111" t="s">
        <v>2399</v>
      </c>
      <c r="E111" t="s">
        <v>2400</v>
      </c>
      <c r="F111" s="5" t="s">
        <v>2679</v>
      </c>
      <c r="G111">
        <f>IF(N111&lt;&gt;"",VLOOKUP(N111,zastavky!E:F,2,FALSE),"")</f>
        <v>9</v>
      </c>
      <c r="H111" t="s">
        <v>2401</v>
      </c>
      <c r="I111" t="s">
        <v>2402</v>
      </c>
      <c r="J111">
        <v>1</v>
      </c>
      <c r="K111" t="s">
        <v>18</v>
      </c>
      <c r="M111">
        <v>1</v>
      </c>
      <c r="N111" s="1" t="s">
        <v>2593</v>
      </c>
      <c r="O111" t="s">
        <v>2668</v>
      </c>
      <c r="P111" t="str">
        <f t="shared" si="1"/>
        <v>update zamestnanci set os_cislo='110', rfid='0301180266',cilova='BATZ',nastup='9' where os_cislo='110';</v>
      </c>
    </row>
    <row r="112" spans="1:16" x14ac:dyDescent="0.25">
      <c r="A112">
        <v>620</v>
      </c>
      <c r="B112" t="s">
        <v>2403</v>
      </c>
      <c r="C112" s="4">
        <v>111</v>
      </c>
      <c r="D112" t="s">
        <v>2404</v>
      </c>
      <c r="E112" t="s">
        <v>2405</v>
      </c>
      <c r="F112" s="5" t="s">
        <v>2680</v>
      </c>
      <c r="G112">
        <f>IF(N112&lt;&gt;"",VLOOKUP(N112,zastavky!E:F,2,FALSE),"")</f>
        <v>17</v>
      </c>
      <c r="H112" t="s">
        <v>2406</v>
      </c>
      <c r="I112" t="s">
        <v>2407</v>
      </c>
      <c r="J112">
        <v>1</v>
      </c>
      <c r="K112" t="s">
        <v>18</v>
      </c>
      <c r="M112">
        <v>1</v>
      </c>
      <c r="N112" s="1" t="s">
        <v>2580</v>
      </c>
      <c r="O112" t="s">
        <v>2668</v>
      </c>
      <c r="P112" t="str">
        <f t="shared" si="1"/>
        <v>update zamestnanci set os_cislo='111', rfid='0301162124',cilova='BATZ',nastup='17' where os_cislo='111';</v>
      </c>
    </row>
    <row r="113" spans="1:16" x14ac:dyDescent="0.25">
      <c r="A113">
        <v>621</v>
      </c>
      <c r="B113" t="s">
        <v>2408</v>
      </c>
      <c r="C113" s="4">
        <v>112</v>
      </c>
      <c r="D113" t="s">
        <v>2409</v>
      </c>
      <c r="E113" t="s">
        <v>622</v>
      </c>
      <c r="F113" s="5" t="s">
        <v>2681</v>
      </c>
      <c r="G113">
        <f>IF(N113&lt;&gt;"",VLOOKUP(N113,zastavky!E:F,2,FALSE),"")</f>
        <v>21</v>
      </c>
      <c r="H113" t="s">
        <v>2410</v>
      </c>
      <c r="I113" t="s">
        <v>2411</v>
      </c>
      <c r="J113">
        <v>1</v>
      </c>
      <c r="K113" t="s">
        <v>18</v>
      </c>
      <c r="M113">
        <v>1</v>
      </c>
      <c r="N113" s="1" t="s">
        <v>2577</v>
      </c>
      <c r="O113" t="s">
        <v>2668</v>
      </c>
      <c r="P113" t="str">
        <f t="shared" si="1"/>
        <v>update zamestnanci set os_cislo='112', rfid='0370049042',cilova='BATZ',nastup='21' where os_cislo='112';</v>
      </c>
    </row>
    <row r="114" spans="1:16" x14ac:dyDescent="0.25">
      <c r="A114">
        <v>622</v>
      </c>
      <c r="B114" t="s">
        <v>838</v>
      </c>
      <c r="C114" s="4">
        <v>113</v>
      </c>
      <c r="D114" t="s">
        <v>187</v>
      </c>
      <c r="E114" t="s">
        <v>2412</v>
      </c>
      <c r="F114" s="5" t="s">
        <v>2682</v>
      </c>
      <c r="G114">
        <f>IF(N114&lt;&gt;"",VLOOKUP(N114,zastavky!E:F,2,FALSE),"")</f>
        <v>1</v>
      </c>
      <c r="H114" t="s">
        <v>2413</v>
      </c>
      <c r="I114" t="s">
        <v>2397</v>
      </c>
      <c r="J114">
        <v>1</v>
      </c>
      <c r="K114" t="s">
        <v>18</v>
      </c>
      <c r="M114">
        <v>1</v>
      </c>
      <c r="N114" s="1" t="s">
        <v>2582</v>
      </c>
      <c r="O114" t="s">
        <v>2668</v>
      </c>
      <c r="P114" t="str">
        <f t="shared" si="1"/>
        <v>update zamestnanci set os_cislo='113', rfid='0301161919',cilova='BATZ',nastup='1' where os_cislo='113';</v>
      </c>
    </row>
    <row r="115" spans="1:16" x14ac:dyDescent="0.25">
      <c r="A115">
        <v>623</v>
      </c>
      <c r="B115" t="s">
        <v>832</v>
      </c>
      <c r="C115" s="4">
        <v>114</v>
      </c>
      <c r="D115" t="s">
        <v>2414</v>
      </c>
      <c r="E115" t="s">
        <v>2415</v>
      </c>
      <c r="F115" s="5" t="s">
        <v>2683</v>
      </c>
      <c r="G115">
        <f>IF(N115&lt;&gt;"",VLOOKUP(N115,zastavky!E:F,2,FALSE),"")</f>
        <v>21</v>
      </c>
      <c r="H115" t="s">
        <v>2416</v>
      </c>
      <c r="I115" t="s">
        <v>2417</v>
      </c>
      <c r="J115">
        <v>1</v>
      </c>
      <c r="K115" t="s">
        <v>18</v>
      </c>
      <c r="M115">
        <v>1</v>
      </c>
      <c r="N115" s="1" t="s">
        <v>2577</v>
      </c>
      <c r="O115" t="s">
        <v>2668</v>
      </c>
      <c r="P115" t="str">
        <f t="shared" si="1"/>
        <v>update zamestnanci set os_cislo='114', rfid='0301173035',cilova='BATZ',nastup='21' where os_cislo='114';</v>
      </c>
    </row>
    <row r="116" spans="1:16" x14ac:dyDescent="0.25">
      <c r="A116">
        <v>624</v>
      </c>
      <c r="B116" t="s">
        <v>2418</v>
      </c>
      <c r="C116" s="4">
        <v>115</v>
      </c>
      <c r="D116" t="s">
        <v>2419</v>
      </c>
      <c r="E116" t="s">
        <v>2420</v>
      </c>
      <c r="F116" s="5" t="s">
        <v>2684</v>
      </c>
      <c r="G116">
        <f>IF(N116&lt;&gt;"",VLOOKUP(N116,zastavky!E:F,2,FALSE),"")</f>
        <v>21</v>
      </c>
      <c r="H116" t="s">
        <v>2421</v>
      </c>
      <c r="I116" t="s">
        <v>2422</v>
      </c>
      <c r="J116">
        <v>1</v>
      </c>
      <c r="K116" t="s">
        <v>18</v>
      </c>
      <c r="M116">
        <v>1</v>
      </c>
      <c r="N116" s="1" t="s">
        <v>2577</v>
      </c>
      <c r="O116" t="s">
        <v>2668</v>
      </c>
      <c r="P116" t="str">
        <f t="shared" si="1"/>
        <v>update zamestnanci set os_cislo='115', rfid='0348319987',cilova='BATZ',nastup='21' where os_cislo='115';</v>
      </c>
    </row>
    <row r="117" spans="1:16" x14ac:dyDescent="0.25">
      <c r="A117">
        <v>625</v>
      </c>
      <c r="B117" t="s">
        <v>2423</v>
      </c>
      <c r="C117" s="4">
        <v>116</v>
      </c>
      <c r="D117" t="s">
        <v>2424</v>
      </c>
      <c r="E117" t="s">
        <v>2425</v>
      </c>
      <c r="F117" s="5" t="s">
        <v>2685</v>
      </c>
      <c r="G117">
        <f>IF(N117&lt;&gt;"",VLOOKUP(N117,zastavky!E:F,2,FALSE),"")</f>
        <v>15</v>
      </c>
      <c r="H117" t="s">
        <v>2426</v>
      </c>
      <c r="I117" t="s">
        <v>2427</v>
      </c>
      <c r="J117">
        <v>1</v>
      </c>
      <c r="K117" t="s">
        <v>18</v>
      </c>
      <c r="M117">
        <v>1</v>
      </c>
      <c r="N117" s="1" t="s">
        <v>2592</v>
      </c>
      <c r="O117" t="s">
        <v>2668</v>
      </c>
      <c r="P117" t="str">
        <f t="shared" si="1"/>
        <v>update zamestnanci set os_cislo='116', rfid='0348326520',cilova='BATZ',nastup='15' where os_cislo='116';</v>
      </c>
    </row>
    <row r="118" spans="1:16" x14ac:dyDescent="0.25">
      <c r="A118">
        <v>626</v>
      </c>
      <c r="B118" t="s">
        <v>1638</v>
      </c>
      <c r="C118" s="4">
        <v>117</v>
      </c>
      <c r="D118" t="s">
        <v>1610</v>
      </c>
      <c r="E118" t="s">
        <v>2428</v>
      </c>
      <c r="F118" s="5" t="s">
        <v>2686</v>
      </c>
      <c r="G118">
        <f>IF(N118&lt;&gt;"",VLOOKUP(N118,zastavky!E:F,2,FALSE),"")</f>
        <v>24</v>
      </c>
      <c r="H118" t="s">
        <v>2429</v>
      </c>
      <c r="I118" t="s">
        <v>2430</v>
      </c>
      <c r="J118">
        <v>1</v>
      </c>
      <c r="K118" t="s">
        <v>18</v>
      </c>
      <c r="M118">
        <v>1</v>
      </c>
      <c r="N118" s="1" t="s">
        <v>2602</v>
      </c>
      <c r="O118" t="s">
        <v>2668</v>
      </c>
      <c r="P118" t="str">
        <f t="shared" si="1"/>
        <v>update zamestnanci set os_cislo='117', rfid='0289896646',cilova='BATZ',nastup='24' where os_cislo='117';</v>
      </c>
    </row>
    <row r="119" spans="1:16" x14ac:dyDescent="0.25">
      <c r="A119">
        <v>627</v>
      </c>
      <c r="B119" t="s">
        <v>2431</v>
      </c>
      <c r="C119" s="4">
        <v>118</v>
      </c>
      <c r="D119" t="s">
        <v>2432</v>
      </c>
      <c r="E119" t="s">
        <v>2433</v>
      </c>
      <c r="F119" s="5" t="s">
        <v>2687</v>
      </c>
      <c r="G119">
        <f>IF(N119&lt;&gt;"",VLOOKUP(N119,zastavky!E:F,2,FALSE),"")</f>
        <v>18</v>
      </c>
      <c r="H119" t="s">
        <v>2434</v>
      </c>
      <c r="I119" t="s">
        <v>2435</v>
      </c>
      <c r="J119">
        <v>1</v>
      </c>
      <c r="K119" t="s">
        <v>18</v>
      </c>
      <c r="M119">
        <v>1</v>
      </c>
      <c r="N119" s="1" t="s">
        <v>2585</v>
      </c>
      <c r="O119" t="s">
        <v>2668</v>
      </c>
      <c r="P119" t="str">
        <f t="shared" si="1"/>
        <v>update zamestnanci set os_cislo='118', rfid='0328611457',cilova='BATZ',nastup='18' where os_cislo='118';</v>
      </c>
    </row>
    <row r="120" spans="1:16" x14ac:dyDescent="0.25">
      <c r="A120">
        <v>628</v>
      </c>
      <c r="B120" t="s">
        <v>2436</v>
      </c>
      <c r="C120" s="4">
        <v>119</v>
      </c>
      <c r="D120" t="s">
        <v>2437</v>
      </c>
      <c r="E120" t="s">
        <v>2438</v>
      </c>
      <c r="F120" s="5" t="s">
        <v>2688</v>
      </c>
      <c r="G120">
        <f>IF(N120&lt;&gt;"",VLOOKUP(N120,zastavky!E:F,2,FALSE),"")</f>
        <v>21</v>
      </c>
      <c r="H120" t="s">
        <v>2439</v>
      </c>
      <c r="I120" t="s">
        <v>2440</v>
      </c>
      <c r="J120">
        <v>1</v>
      </c>
      <c r="K120" t="s">
        <v>18</v>
      </c>
      <c r="M120">
        <v>1</v>
      </c>
      <c r="N120" s="1" t="s">
        <v>2577</v>
      </c>
      <c r="O120" t="s">
        <v>2668</v>
      </c>
      <c r="P120" t="str">
        <f t="shared" si="1"/>
        <v>update zamestnanci set os_cislo='119', rfid='0301165654',cilova='BATZ',nastup='21' where os_cislo='119';</v>
      </c>
    </row>
    <row r="121" spans="1:16" x14ac:dyDescent="0.25">
      <c r="A121">
        <v>629</v>
      </c>
      <c r="B121" t="s">
        <v>2441</v>
      </c>
      <c r="C121" s="4">
        <v>120</v>
      </c>
      <c r="D121" t="s">
        <v>2442</v>
      </c>
      <c r="E121" t="s">
        <v>2443</v>
      </c>
      <c r="F121" s="5" t="s">
        <v>2689</v>
      </c>
      <c r="G121">
        <f>IF(N121&lt;&gt;"",VLOOKUP(N121,zastavky!E:F,2,FALSE),"")</f>
        <v>100</v>
      </c>
      <c r="H121" t="s">
        <v>2444</v>
      </c>
      <c r="I121" t="s">
        <v>2445</v>
      </c>
      <c r="J121">
        <v>1</v>
      </c>
      <c r="K121" t="s">
        <v>18</v>
      </c>
      <c r="M121">
        <v>1</v>
      </c>
      <c r="N121" s="1" t="s">
        <v>2581</v>
      </c>
      <c r="O121" t="s">
        <v>2668</v>
      </c>
      <c r="P121" t="str">
        <f t="shared" si="1"/>
        <v>update zamestnanci set os_cislo='120', rfid='0065287216',cilova='BATZ',nastup='100' where os_cislo='120';</v>
      </c>
    </row>
    <row r="122" spans="1:16" x14ac:dyDescent="0.25">
      <c r="A122">
        <v>9</v>
      </c>
      <c r="B122" t="s">
        <v>60</v>
      </c>
      <c r="C122" s="4">
        <v>121</v>
      </c>
      <c r="D122" t="s">
        <v>61</v>
      </c>
      <c r="E122" t="s">
        <v>62</v>
      </c>
      <c r="F122" s="5" t="s">
        <v>63</v>
      </c>
      <c r="G122">
        <f>IF(N122&lt;&gt;"",VLOOKUP(N122,zastavky!E:F,2,FALSE),"")</f>
        <v>100</v>
      </c>
      <c r="H122" t="s">
        <v>64</v>
      </c>
      <c r="I122" t="s">
        <v>65</v>
      </c>
      <c r="J122">
        <v>2</v>
      </c>
      <c r="K122" t="s">
        <v>18</v>
      </c>
      <c r="M122">
        <v>1</v>
      </c>
      <c r="N122" s="1" t="s">
        <v>2581</v>
      </c>
      <c r="O122" t="s">
        <v>2494</v>
      </c>
      <c r="P122" t="str">
        <f t="shared" si="1"/>
        <v>update zamestnanci set os_cislo='121', rfid='0012951123',cilova='HANON',nastup='100' where os_cislo='121';</v>
      </c>
    </row>
    <row r="123" spans="1:16" x14ac:dyDescent="0.25">
      <c r="A123">
        <v>10</v>
      </c>
      <c r="B123" t="s">
        <v>66</v>
      </c>
      <c r="C123" s="4">
        <v>122</v>
      </c>
      <c r="D123" t="s">
        <v>67</v>
      </c>
      <c r="E123" t="s">
        <v>68</v>
      </c>
      <c r="F123" s="5" t="s">
        <v>69</v>
      </c>
      <c r="G123">
        <f>IF(N123&lt;&gt;"",VLOOKUP(N123,zastavky!E:F,2,FALSE),"")</f>
        <v>48</v>
      </c>
      <c r="H123" t="s">
        <v>70</v>
      </c>
      <c r="I123" t="s">
        <v>71</v>
      </c>
      <c r="J123">
        <v>2</v>
      </c>
      <c r="K123" t="s">
        <v>18</v>
      </c>
      <c r="M123">
        <v>1</v>
      </c>
      <c r="N123" s="1" t="s">
        <v>2606</v>
      </c>
      <c r="O123" t="s">
        <v>2494</v>
      </c>
      <c r="P123" t="str">
        <f t="shared" si="1"/>
        <v>update zamestnanci set os_cislo='122', rfid='0013073154',cilova='HANON',nastup='48' where os_cislo='122';</v>
      </c>
    </row>
    <row r="124" spans="1:16" x14ac:dyDescent="0.25">
      <c r="A124">
        <v>11</v>
      </c>
      <c r="B124" t="s">
        <v>72</v>
      </c>
      <c r="C124" s="4">
        <v>123</v>
      </c>
      <c r="D124" t="s">
        <v>73</v>
      </c>
      <c r="E124" t="s">
        <v>74</v>
      </c>
      <c r="F124" s="5" t="s">
        <v>75</v>
      </c>
      <c r="G124">
        <f>IF(N124&lt;&gt;"",VLOOKUP(N124,zastavky!E:F,2,FALSE),"")</f>
        <v>47</v>
      </c>
      <c r="H124" t="s">
        <v>76</v>
      </c>
      <c r="I124" t="s">
        <v>77</v>
      </c>
      <c r="J124">
        <v>2</v>
      </c>
      <c r="K124" t="s">
        <v>18</v>
      </c>
      <c r="M124">
        <v>1</v>
      </c>
      <c r="N124" s="1" t="s">
        <v>2604</v>
      </c>
      <c r="O124" t="s">
        <v>2494</v>
      </c>
      <c r="P124" t="str">
        <f t="shared" si="1"/>
        <v>update zamestnanci set os_cislo='123', rfid='0012989719',cilova='HANON',nastup='47' where os_cislo='123';</v>
      </c>
    </row>
    <row r="125" spans="1:16" x14ac:dyDescent="0.25">
      <c r="A125">
        <v>12</v>
      </c>
      <c r="B125" t="s">
        <v>78</v>
      </c>
      <c r="C125" s="4">
        <v>124</v>
      </c>
      <c r="D125" t="s">
        <v>79</v>
      </c>
      <c r="E125" t="s">
        <v>80</v>
      </c>
      <c r="F125" t="s">
        <v>81</v>
      </c>
      <c r="G125">
        <f>IF(N125&lt;&gt;"",VLOOKUP(N125,zastavky!E:F,2,FALSE),"")</f>
        <v>109</v>
      </c>
      <c r="H125" t="s">
        <v>82</v>
      </c>
      <c r="I125" t="s">
        <v>83</v>
      </c>
      <c r="J125">
        <v>2</v>
      </c>
      <c r="K125" t="s">
        <v>18</v>
      </c>
      <c r="M125">
        <v>1</v>
      </c>
      <c r="N125" s="1" t="s">
        <v>2613</v>
      </c>
      <c r="O125" t="s">
        <v>2494</v>
      </c>
      <c r="P125" t="str">
        <f t="shared" si="1"/>
        <v>update zamestnanci set os_cislo='124', rfid='0012037325',cilova='HANON',nastup='109' where os_cislo='124';</v>
      </c>
    </row>
    <row r="126" spans="1:16" x14ac:dyDescent="0.25">
      <c r="A126">
        <v>13</v>
      </c>
      <c r="B126" t="s">
        <v>84</v>
      </c>
      <c r="C126" s="4">
        <v>125</v>
      </c>
      <c r="D126" t="s">
        <v>85</v>
      </c>
      <c r="E126" t="s">
        <v>86</v>
      </c>
      <c r="F126" t="s">
        <v>87</v>
      </c>
      <c r="G126">
        <f>IF(N126&lt;&gt;"",VLOOKUP(N126,zastavky!E:F,2,FALSE),"")</f>
        <v>106</v>
      </c>
      <c r="H126" t="s">
        <v>88</v>
      </c>
      <c r="I126" t="s">
        <v>89</v>
      </c>
      <c r="J126">
        <v>2</v>
      </c>
      <c r="K126" t="s">
        <v>18</v>
      </c>
      <c r="M126">
        <v>1</v>
      </c>
      <c r="N126" s="1" t="s">
        <v>2615</v>
      </c>
      <c r="O126" t="s">
        <v>2494</v>
      </c>
      <c r="P126" t="str">
        <f t="shared" si="1"/>
        <v>update zamestnanci set os_cislo='125', rfid='0013392110',cilova='HANON',nastup='106' where os_cislo='125';</v>
      </c>
    </row>
    <row r="127" spans="1:16" x14ac:dyDescent="0.25">
      <c r="A127">
        <v>14</v>
      </c>
      <c r="B127" t="s">
        <v>90</v>
      </c>
      <c r="C127" s="4">
        <v>126</v>
      </c>
      <c r="D127" t="s">
        <v>91</v>
      </c>
      <c r="E127" t="s">
        <v>92</v>
      </c>
      <c r="F127" t="s">
        <v>93</v>
      </c>
      <c r="G127">
        <f>IF(N127&lt;&gt;"",VLOOKUP(N127,zastavky!E:F,2,FALSE),"")</f>
        <v>48</v>
      </c>
      <c r="H127" t="s">
        <v>94</v>
      </c>
      <c r="I127" t="s">
        <v>95</v>
      </c>
      <c r="J127">
        <v>2</v>
      </c>
      <c r="K127" t="s">
        <v>18</v>
      </c>
      <c r="M127">
        <v>1</v>
      </c>
      <c r="N127" s="1" t="s">
        <v>2606</v>
      </c>
      <c r="O127" t="s">
        <v>2494</v>
      </c>
      <c r="P127" t="str">
        <f t="shared" si="1"/>
        <v>update zamestnanci set os_cislo='126', rfid='0013316527',cilova='HANON',nastup='48' where os_cislo='126';</v>
      </c>
    </row>
    <row r="128" spans="1:16" x14ac:dyDescent="0.25">
      <c r="A128">
        <v>15</v>
      </c>
      <c r="B128" t="s">
        <v>96</v>
      </c>
      <c r="C128" s="4">
        <v>127</v>
      </c>
      <c r="D128" t="s">
        <v>97</v>
      </c>
      <c r="E128" t="s">
        <v>98</v>
      </c>
      <c r="F128" t="s">
        <v>99</v>
      </c>
      <c r="G128">
        <f>IF(N128&lt;&gt;"",VLOOKUP(N128,zastavky!E:F,2,FALSE),"")</f>
        <v>110</v>
      </c>
      <c r="H128" t="s">
        <v>100</v>
      </c>
      <c r="I128" t="s">
        <v>101</v>
      </c>
      <c r="J128">
        <v>2</v>
      </c>
      <c r="K128" t="s">
        <v>18</v>
      </c>
      <c r="M128">
        <v>1</v>
      </c>
      <c r="N128" s="1" t="s">
        <v>2614</v>
      </c>
      <c r="O128" t="s">
        <v>2494</v>
      </c>
      <c r="P128" t="str">
        <f t="shared" si="1"/>
        <v>update zamestnanci set os_cislo='127', rfid='0013309361',cilova='HANON',nastup='110' where os_cislo='127';</v>
      </c>
    </row>
    <row r="129" spans="1:16" x14ac:dyDescent="0.25">
      <c r="A129">
        <v>16</v>
      </c>
      <c r="B129" t="s">
        <v>102</v>
      </c>
      <c r="C129" s="4">
        <v>128</v>
      </c>
      <c r="D129" t="s">
        <v>103</v>
      </c>
      <c r="E129" t="s">
        <v>104</v>
      </c>
      <c r="F129" t="s">
        <v>105</v>
      </c>
      <c r="G129">
        <f>IF(N129&lt;&gt;"",VLOOKUP(N129,zastavky!E:F,2,FALSE),"")</f>
        <v>48</v>
      </c>
      <c r="H129" t="s">
        <v>106</v>
      </c>
      <c r="I129" t="s">
        <v>107</v>
      </c>
      <c r="J129">
        <v>2</v>
      </c>
      <c r="K129" t="s">
        <v>18</v>
      </c>
      <c r="M129">
        <v>1</v>
      </c>
      <c r="N129" s="1" t="s">
        <v>2606</v>
      </c>
      <c r="O129" t="s">
        <v>2494</v>
      </c>
      <c r="P129" t="str">
        <f t="shared" si="1"/>
        <v>update zamestnanci set os_cislo='128', rfid='0011982290',cilova='HANON',nastup='48' where os_cislo='128';</v>
      </c>
    </row>
    <row r="130" spans="1:16" x14ac:dyDescent="0.25">
      <c r="A130">
        <v>17</v>
      </c>
      <c r="B130" t="s">
        <v>108</v>
      </c>
      <c r="C130" s="4">
        <v>129</v>
      </c>
      <c r="D130" t="s">
        <v>109</v>
      </c>
      <c r="E130" t="s">
        <v>110</v>
      </c>
      <c r="F130" t="s">
        <v>111</v>
      </c>
      <c r="G130">
        <f>IF(N130&lt;&gt;"",VLOOKUP(N130,zastavky!E:F,2,FALSE),"")</f>
        <v>112</v>
      </c>
      <c r="H130" t="s">
        <v>112</v>
      </c>
      <c r="I130" t="s">
        <v>113</v>
      </c>
      <c r="J130">
        <v>2</v>
      </c>
      <c r="K130" t="s">
        <v>18</v>
      </c>
      <c r="M130">
        <v>1</v>
      </c>
      <c r="N130" s="1" t="s">
        <v>2612</v>
      </c>
      <c r="O130" t="s">
        <v>2494</v>
      </c>
      <c r="P130" t="str">
        <f t="shared" si="1"/>
        <v>update zamestnanci set os_cislo='129', rfid='0011974874',cilova='HANON',nastup='112' where os_cislo='129';</v>
      </c>
    </row>
    <row r="131" spans="1:16" x14ac:dyDescent="0.25">
      <c r="A131">
        <v>18</v>
      </c>
      <c r="B131" t="s">
        <v>114</v>
      </c>
      <c r="C131" s="4">
        <v>130</v>
      </c>
      <c r="D131" t="s">
        <v>115</v>
      </c>
      <c r="E131" t="s">
        <v>116</v>
      </c>
      <c r="F131" t="s">
        <v>117</v>
      </c>
      <c r="G131">
        <f>IF(N131&lt;&gt;"",VLOOKUP(N131,zastavky!E:F,2,FALSE),"")</f>
        <v>46</v>
      </c>
      <c r="H131" t="s">
        <v>118</v>
      </c>
      <c r="I131" t="s">
        <v>119</v>
      </c>
      <c r="J131">
        <v>2</v>
      </c>
      <c r="K131" t="s">
        <v>18</v>
      </c>
      <c r="M131">
        <v>1</v>
      </c>
      <c r="N131" s="1" t="s">
        <v>2605</v>
      </c>
      <c r="O131" t="s">
        <v>2494</v>
      </c>
      <c r="P131" t="str">
        <f t="shared" ref="P131:P194" si="2">"update zamestnanci set os_cislo='" &amp; C131 &amp; "', rfid='" &amp; F131 &amp; "',cilova='" &amp; O131 &amp; "',nastup='" &amp; G131 &amp; "' where os_cislo='" &amp; C131 &amp; "';"</f>
        <v>update zamestnanci set os_cislo='130', rfid='0013378406',cilova='HANON',nastup='46' where os_cislo='130';</v>
      </c>
    </row>
    <row r="132" spans="1:16" x14ac:dyDescent="0.25">
      <c r="A132">
        <v>19</v>
      </c>
      <c r="B132" t="s">
        <v>120</v>
      </c>
      <c r="C132" s="4">
        <v>131</v>
      </c>
      <c r="D132" t="s">
        <v>121</v>
      </c>
      <c r="E132" t="s">
        <v>122</v>
      </c>
      <c r="F132" t="s">
        <v>123</v>
      </c>
      <c r="G132">
        <f>IF(N132&lt;&gt;"",VLOOKUP(N132,zastavky!E:F,2,FALSE),"")</f>
        <v>100</v>
      </c>
      <c r="H132" t="s">
        <v>124</v>
      </c>
      <c r="I132" t="s">
        <v>125</v>
      </c>
      <c r="J132">
        <v>2</v>
      </c>
      <c r="K132" t="s">
        <v>18</v>
      </c>
      <c r="M132">
        <v>1</v>
      </c>
      <c r="N132" s="1" t="s">
        <v>2581</v>
      </c>
      <c r="O132" t="s">
        <v>2494</v>
      </c>
      <c r="P132" t="str">
        <f t="shared" si="2"/>
        <v>update zamestnanci set os_cislo='131', rfid='0013338505',cilova='HANON',nastup='100' where os_cislo='131';</v>
      </c>
    </row>
    <row r="133" spans="1:16" x14ac:dyDescent="0.25">
      <c r="A133">
        <v>20</v>
      </c>
      <c r="B133" t="s">
        <v>126</v>
      </c>
      <c r="C133" s="4">
        <v>132</v>
      </c>
      <c r="D133" t="s">
        <v>127</v>
      </c>
      <c r="E133" t="s">
        <v>128</v>
      </c>
      <c r="F133" t="s">
        <v>129</v>
      </c>
      <c r="G133">
        <f>IF(N133&lt;&gt;"",VLOOKUP(N133,zastavky!E:F,2,FALSE),"")</f>
        <v>105</v>
      </c>
      <c r="H133" t="s">
        <v>130</v>
      </c>
      <c r="I133" t="s">
        <v>131</v>
      </c>
      <c r="J133">
        <v>2</v>
      </c>
      <c r="K133" t="s">
        <v>18</v>
      </c>
      <c r="M133">
        <v>1</v>
      </c>
      <c r="N133" s="1" t="s">
        <v>2609</v>
      </c>
      <c r="O133" t="s">
        <v>2494</v>
      </c>
      <c r="P133" t="str">
        <f t="shared" si="2"/>
        <v>update zamestnanci set os_cislo='132', rfid='0013321754',cilova='HANON',nastup='105' where os_cislo='132';</v>
      </c>
    </row>
    <row r="134" spans="1:16" x14ac:dyDescent="0.25">
      <c r="A134">
        <v>21</v>
      </c>
      <c r="B134" t="s">
        <v>132</v>
      </c>
      <c r="C134" s="4">
        <v>133</v>
      </c>
      <c r="D134" t="s">
        <v>133</v>
      </c>
      <c r="E134" t="s">
        <v>134</v>
      </c>
      <c r="F134" t="s">
        <v>135</v>
      </c>
      <c r="G134">
        <f>IF(N134&lt;&gt;"",VLOOKUP(N134,zastavky!E:F,2,FALSE),"")</f>
        <v>109</v>
      </c>
      <c r="H134" t="s">
        <v>136</v>
      </c>
      <c r="I134" t="s">
        <v>137</v>
      </c>
      <c r="J134">
        <v>2</v>
      </c>
      <c r="K134" t="s">
        <v>18</v>
      </c>
      <c r="M134">
        <v>1</v>
      </c>
      <c r="N134" s="1" t="s">
        <v>2613</v>
      </c>
      <c r="O134" t="s">
        <v>2494</v>
      </c>
      <c r="P134" t="str">
        <f t="shared" si="2"/>
        <v>update zamestnanci set os_cislo='133', rfid='0012013869',cilova='HANON',nastup='109' where os_cislo='133';</v>
      </c>
    </row>
    <row r="135" spans="1:16" x14ac:dyDescent="0.25">
      <c r="A135">
        <v>23</v>
      </c>
      <c r="B135" t="s">
        <v>138</v>
      </c>
      <c r="C135" s="4">
        <v>134</v>
      </c>
      <c r="D135" t="s">
        <v>139</v>
      </c>
      <c r="E135" t="s">
        <v>140</v>
      </c>
      <c r="F135" t="s">
        <v>141</v>
      </c>
      <c r="G135">
        <f>IF(N135&lt;&gt;"",VLOOKUP(N135,zastavky!E:F,2,FALSE),"")</f>
        <v>107</v>
      </c>
      <c r="H135" t="s">
        <v>142</v>
      </c>
      <c r="I135" t="s">
        <v>143</v>
      </c>
      <c r="J135">
        <v>2</v>
      </c>
      <c r="K135" t="s">
        <v>18</v>
      </c>
      <c r="M135">
        <v>1</v>
      </c>
      <c r="N135" s="1" t="s">
        <v>2608</v>
      </c>
      <c r="O135" t="s">
        <v>2494</v>
      </c>
      <c r="P135" t="str">
        <f t="shared" si="2"/>
        <v>update zamestnanci set os_cislo='134', rfid='0011990175',cilova='HANON',nastup='107' where os_cislo='134';</v>
      </c>
    </row>
    <row r="136" spans="1:16" x14ac:dyDescent="0.25">
      <c r="A136">
        <v>24</v>
      </c>
      <c r="B136" t="s">
        <v>144</v>
      </c>
      <c r="C136" s="4">
        <v>135</v>
      </c>
      <c r="D136" t="s">
        <v>145</v>
      </c>
      <c r="E136" t="s">
        <v>146</v>
      </c>
      <c r="F136" t="s">
        <v>147</v>
      </c>
      <c r="G136">
        <f>IF(N136&lt;&gt;"",VLOOKUP(N136,zastavky!E:F,2,FALSE),"")</f>
        <v>111</v>
      </c>
      <c r="H136" t="s">
        <v>148</v>
      </c>
      <c r="I136" t="s">
        <v>149</v>
      </c>
      <c r="J136">
        <v>2</v>
      </c>
      <c r="K136" t="s">
        <v>18</v>
      </c>
      <c r="M136">
        <v>1</v>
      </c>
      <c r="N136" s="1" t="s">
        <v>2611</v>
      </c>
      <c r="O136" t="s">
        <v>2494</v>
      </c>
      <c r="P136" t="str">
        <f t="shared" si="2"/>
        <v>update zamestnanci set os_cislo='135', rfid='0013366007',cilova='HANON',nastup='111' where os_cislo='135';</v>
      </c>
    </row>
    <row r="137" spans="1:16" x14ac:dyDescent="0.25">
      <c r="A137">
        <v>25</v>
      </c>
      <c r="B137" t="s">
        <v>150</v>
      </c>
      <c r="C137" s="4">
        <v>136</v>
      </c>
      <c r="D137" t="s">
        <v>151</v>
      </c>
      <c r="E137" t="s">
        <v>152</v>
      </c>
      <c r="F137" t="s">
        <v>153</v>
      </c>
      <c r="G137">
        <f>IF(N137&lt;&gt;"",VLOOKUP(N137,zastavky!E:F,2,FALSE),"")</f>
        <v>100</v>
      </c>
      <c r="H137" t="s">
        <v>154</v>
      </c>
      <c r="I137" t="s">
        <v>155</v>
      </c>
      <c r="J137">
        <v>2</v>
      </c>
      <c r="K137" t="s">
        <v>18</v>
      </c>
      <c r="M137">
        <v>1</v>
      </c>
      <c r="N137" s="1" t="s">
        <v>2581</v>
      </c>
      <c r="O137" t="s">
        <v>2494</v>
      </c>
      <c r="P137" t="str">
        <f t="shared" si="2"/>
        <v>update zamestnanci set os_cislo='136', rfid='0013371367',cilova='HANON',nastup='100' where os_cislo='136';</v>
      </c>
    </row>
    <row r="138" spans="1:16" x14ac:dyDescent="0.25">
      <c r="A138">
        <v>26</v>
      </c>
      <c r="B138" t="s">
        <v>156</v>
      </c>
      <c r="C138" s="4">
        <v>137</v>
      </c>
      <c r="D138" t="s">
        <v>157</v>
      </c>
      <c r="E138" t="s">
        <v>158</v>
      </c>
      <c r="F138" t="s">
        <v>159</v>
      </c>
      <c r="G138">
        <f>IF(N138&lt;&gt;"",VLOOKUP(N138,zastavky!E:F,2,FALSE),"")</f>
        <v>108</v>
      </c>
      <c r="H138" t="s">
        <v>160</v>
      </c>
      <c r="I138" t="s">
        <v>161</v>
      </c>
      <c r="J138">
        <v>2</v>
      </c>
      <c r="K138" t="s">
        <v>18</v>
      </c>
      <c r="M138">
        <v>1</v>
      </c>
      <c r="N138" s="1" t="s">
        <v>2610</v>
      </c>
      <c r="O138" t="s">
        <v>2494</v>
      </c>
      <c r="P138" t="str">
        <f t="shared" si="2"/>
        <v>update zamestnanci set os_cislo='137', rfid='0013374163',cilova='HANON',nastup='108' where os_cislo='137';</v>
      </c>
    </row>
    <row r="139" spans="1:16" x14ac:dyDescent="0.25">
      <c r="A139">
        <v>27</v>
      </c>
      <c r="B139" t="s">
        <v>162</v>
      </c>
      <c r="C139" s="4">
        <v>138</v>
      </c>
      <c r="D139" t="s">
        <v>163</v>
      </c>
      <c r="E139" t="s">
        <v>164</v>
      </c>
      <c r="F139" t="s">
        <v>165</v>
      </c>
      <c r="G139">
        <f>IF(N139&lt;&gt;"",VLOOKUP(N139,zastavky!E:F,2,FALSE),"")</f>
        <v>44</v>
      </c>
      <c r="H139" t="s">
        <v>166</v>
      </c>
      <c r="I139" t="s">
        <v>167</v>
      </c>
      <c r="J139">
        <v>2</v>
      </c>
      <c r="K139" t="s">
        <v>18</v>
      </c>
      <c r="M139">
        <v>1</v>
      </c>
      <c r="N139" s="1" t="s">
        <v>2607</v>
      </c>
      <c r="O139" t="s">
        <v>2494</v>
      </c>
      <c r="P139" t="str">
        <f t="shared" si="2"/>
        <v>update zamestnanci set os_cislo='138', rfid='0013351534',cilova='HANON',nastup='44' where os_cislo='138';</v>
      </c>
    </row>
    <row r="140" spans="1:16" x14ac:dyDescent="0.25">
      <c r="A140">
        <v>28</v>
      </c>
      <c r="B140" t="s">
        <v>168</v>
      </c>
      <c r="C140" s="4">
        <v>139</v>
      </c>
      <c r="D140" t="s">
        <v>169</v>
      </c>
      <c r="E140" t="s">
        <v>170</v>
      </c>
      <c r="F140" t="s">
        <v>171</v>
      </c>
      <c r="G140">
        <f>IF(N140&lt;&gt;"",VLOOKUP(N140,zastavky!E:F,2,FALSE),"")</f>
        <v>100</v>
      </c>
      <c r="H140" t="s">
        <v>172</v>
      </c>
      <c r="I140" t="s">
        <v>173</v>
      </c>
      <c r="J140">
        <v>2</v>
      </c>
      <c r="K140" t="s">
        <v>18</v>
      </c>
      <c r="M140">
        <v>1</v>
      </c>
      <c r="N140" s="1" t="s">
        <v>2581</v>
      </c>
      <c r="O140" t="s">
        <v>2494</v>
      </c>
      <c r="P140" t="str">
        <f t="shared" si="2"/>
        <v>update zamestnanci set os_cislo='139', rfid='0013324311',cilova='HANON',nastup='100' where os_cislo='139';</v>
      </c>
    </row>
    <row r="141" spans="1:16" x14ac:dyDescent="0.25">
      <c r="A141">
        <v>576</v>
      </c>
      <c r="B141" t="s">
        <v>2170</v>
      </c>
      <c r="C141" s="4">
        <v>140</v>
      </c>
      <c r="D141" t="s">
        <v>2171</v>
      </c>
      <c r="E141" t="s">
        <v>2172</v>
      </c>
      <c r="F141" t="s">
        <v>2173</v>
      </c>
      <c r="G141">
        <f>IF(N141&lt;&gt;"",VLOOKUP(N141,zastavky!E:F,2,FALSE),"")</f>
        <v>100</v>
      </c>
      <c r="H141" t="s">
        <v>2174</v>
      </c>
      <c r="I141" t="s">
        <v>2175</v>
      </c>
      <c r="J141">
        <v>3</v>
      </c>
      <c r="K141" t="s">
        <v>18</v>
      </c>
      <c r="M141">
        <v>1</v>
      </c>
      <c r="N141" s="1" t="s">
        <v>2581</v>
      </c>
      <c r="O141" t="s">
        <v>2671</v>
      </c>
      <c r="P141" t="str">
        <f t="shared" si="2"/>
        <v>update zamestnanci set os_cislo='140', rfid='0013100492',cilova='TATRA',nastup='100' where os_cislo='140';</v>
      </c>
    </row>
    <row r="142" spans="1:16" x14ac:dyDescent="0.25">
      <c r="A142">
        <v>577</v>
      </c>
      <c r="B142" t="s">
        <v>865</v>
      </c>
      <c r="C142" s="4">
        <v>141</v>
      </c>
      <c r="D142" t="s">
        <v>2176</v>
      </c>
      <c r="E142" t="s">
        <v>2177</v>
      </c>
      <c r="F142" t="s">
        <v>2178</v>
      </c>
      <c r="G142">
        <f>IF(N142&lt;&gt;"",VLOOKUP(N142,zastavky!E:F,2,FALSE),"")</f>
        <v>123</v>
      </c>
      <c r="H142" t="s">
        <v>2179</v>
      </c>
      <c r="I142" t="s">
        <v>2180</v>
      </c>
      <c r="J142">
        <v>3</v>
      </c>
      <c r="K142" t="s">
        <v>18</v>
      </c>
      <c r="M142">
        <v>1</v>
      </c>
      <c r="N142" s="1" t="s">
        <v>2624</v>
      </c>
      <c r="O142" t="s">
        <v>2671</v>
      </c>
      <c r="P142" t="str">
        <f t="shared" si="2"/>
        <v>update zamestnanci set os_cislo='141', rfid='0369962441',cilova='TATRA',nastup='123' where os_cislo='141';</v>
      </c>
    </row>
    <row r="143" spans="1:16" x14ac:dyDescent="0.25">
      <c r="A143">
        <v>578</v>
      </c>
      <c r="B143" t="s">
        <v>2181</v>
      </c>
      <c r="C143" s="4">
        <v>142</v>
      </c>
      <c r="D143" t="s">
        <v>2182</v>
      </c>
      <c r="E143" t="s">
        <v>2183</v>
      </c>
      <c r="F143" t="s">
        <v>2184</v>
      </c>
      <c r="G143">
        <f>IF(N143&lt;&gt;"",VLOOKUP(N143,zastavky!E:F,2,FALSE),"")</f>
        <v>100</v>
      </c>
      <c r="H143" t="s">
        <v>2185</v>
      </c>
      <c r="I143" t="s">
        <v>2186</v>
      </c>
      <c r="J143">
        <v>3</v>
      </c>
      <c r="K143" t="s">
        <v>18</v>
      </c>
      <c r="M143">
        <v>1</v>
      </c>
      <c r="N143" s="1" t="s">
        <v>2581</v>
      </c>
      <c r="O143" t="s">
        <v>2671</v>
      </c>
      <c r="P143" t="str">
        <f t="shared" si="2"/>
        <v>update zamestnanci set os_cislo='142', rfid='0013100865',cilova='TATRA',nastup='100' where os_cislo='142';</v>
      </c>
    </row>
    <row r="144" spans="1:16" x14ac:dyDescent="0.25">
      <c r="A144">
        <v>579</v>
      </c>
      <c r="B144" t="s">
        <v>2187</v>
      </c>
      <c r="C144" s="4">
        <v>143</v>
      </c>
      <c r="D144" t="s">
        <v>2188</v>
      </c>
      <c r="E144" t="s">
        <v>2189</v>
      </c>
      <c r="F144" t="s">
        <v>2190</v>
      </c>
      <c r="G144">
        <f>IF(N144&lt;&gt;"",VLOOKUP(N144,zastavky!E:F,2,FALSE),"")</f>
        <v>33</v>
      </c>
      <c r="H144" t="s">
        <v>2191</v>
      </c>
      <c r="I144" t="s">
        <v>2192</v>
      </c>
      <c r="J144">
        <v>3</v>
      </c>
      <c r="K144" t="s">
        <v>18</v>
      </c>
      <c r="M144">
        <v>1</v>
      </c>
      <c r="N144" s="1" t="s">
        <v>2625</v>
      </c>
      <c r="O144" t="s">
        <v>2671</v>
      </c>
      <c r="P144" t="str">
        <f t="shared" si="2"/>
        <v>update zamestnanci set os_cislo='143', rfid='0002998028',cilova='TATRA',nastup='33' where os_cislo='143';</v>
      </c>
    </row>
    <row r="145" spans="1:16" x14ac:dyDescent="0.25">
      <c r="A145">
        <v>580</v>
      </c>
      <c r="B145" t="s">
        <v>2193</v>
      </c>
      <c r="C145" s="4">
        <v>144</v>
      </c>
      <c r="D145" t="s">
        <v>2194</v>
      </c>
      <c r="E145" t="s">
        <v>2195</v>
      </c>
      <c r="F145" t="s">
        <v>2196</v>
      </c>
      <c r="G145">
        <f>IF(N145&lt;&gt;"",VLOOKUP(N145,zastavky!E:F,2,FALSE),"")</f>
        <v>32</v>
      </c>
      <c r="H145" t="s">
        <v>2197</v>
      </c>
      <c r="I145" t="s">
        <v>2198</v>
      </c>
      <c r="J145">
        <v>3</v>
      </c>
      <c r="K145" t="s">
        <v>18</v>
      </c>
      <c r="M145">
        <v>1</v>
      </c>
      <c r="N145" s="1" t="s">
        <v>2626</v>
      </c>
      <c r="O145" t="s">
        <v>2671</v>
      </c>
      <c r="P145" t="str">
        <f t="shared" si="2"/>
        <v>update zamestnanci set os_cislo='144', rfid='0378770295',cilova='TATRA',nastup='32' where os_cislo='144';</v>
      </c>
    </row>
    <row r="146" spans="1:16" x14ac:dyDescent="0.25">
      <c r="A146">
        <v>581</v>
      </c>
      <c r="B146" t="s">
        <v>2199</v>
      </c>
      <c r="C146" s="4">
        <v>145</v>
      </c>
      <c r="D146" t="s">
        <v>2200</v>
      </c>
      <c r="E146" t="s">
        <v>2201</v>
      </c>
      <c r="F146" t="s">
        <v>2202</v>
      </c>
      <c r="G146">
        <f>IF(N146&lt;&gt;"",VLOOKUP(N146,zastavky!E:F,2,FALSE),"")</f>
        <v>133</v>
      </c>
      <c r="H146" t="s">
        <v>2203</v>
      </c>
      <c r="I146" t="s">
        <v>2204</v>
      </c>
      <c r="J146">
        <v>3</v>
      </c>
      <c r="K146" t="s">
        <v>18</v>
      </c>
      <c r="M146">
        <v>1</v>
      </c>
      <c r="N146" s="1" t="s">
        <v>2627</v>
      </c>
      <c r="O146" t="s">
        <v>2671</v>
      </c>
      <c r="P146" t="str">
        <f t="shared" si="2"/>
        <v>update zamestnanci set os_cislo='145', rfid='0348404103',cilova='TATRA',nastup='133' where os_cislo='145';</v>
      </c>
    </row>
    <row r="147" spans="1:16" x14ac:dyDescent="0.25">
      <c r="A147">
        <v>582</v>
      </c>
      <c r="B147" t="s">
        <v>2205</v>
      </c>
      <c r="C147" s="4">
        <v>146</v>
      </c>
      <c r="D147" t="s">
        <v>2206</v>
      </c>
      <c r="E147" t="s">
        <v>674</v>
      </c>
      <c r="F147" t="s">
        <v>2207</v>
      </c>
      <c r="G147">
        <f>IF(N147&lt;&gt;"",VLOOKUP(N147,zastavky!E:F,2,FALSE),"")</f>
        <v>121</v>
      </c>
      <c r="H147" t="s">
        <v>2208</v>
      </c>
      <c r="I147" t="s">
        <v>2209</v>
      </c>
      <c r="J147">
        <v>3</v>
      </c>
      <c r="K147" t="s">
        <v>18</v>
      </c>
      <c r="M147">
        <v>1</v>
      </c>
      <c r="N147" s="1" t="s">
        <v>2628</v>
      </c>
      <c r="O147" t="s">
        <v>2671</v>
      </c>
      <c r="P147" t="str">
        <f t="shared" si="2"/>
        <v>update zamestnanci set os_cislo='146', rfid='0369977072',cilova='TATRA',nastup='121' where os_cislo='146';</v>
      </c>
    </row>
    <row r="148" spans="1:16" x14ac:dyDescent="0.25">
      <c r="A148">
        <v>583</v>
      </c>
      <c r="B148" t="s">
        <v>2210</v>
      </c>
      <c r="C148" s="4">
        <v>147</v>
      </c>
      <c r="D148" t="s">
        <v>2211</v>
      </c>
      <c r="E148" t="s">
        <v>2212</v>
      </c>
      <c r="F148" t="s">
        <v>2213</v>
      </c>
      <c r="G148">
        <f>IF(N148&lt;&gt;"",VLOOKUP(N148,zastavky!E:F,2,FALSE),"")</f>
        <v>127</v>
      </c>
      <c r="H148" t="s">
        <v>2214</v>
      </c>
      <c r="I148" t="s">
        <v>2215</v>
      </c>
      <c r="J148">
        <v>3</v>
      </c>
      <c r="K148" t="s">
        <v>18</v>
      </c>
      <c r="M148">
        <v>1</v>
      </c>
      <c r="N148" s="1" t="s">
        <v>2629</v>
      </c>
      <c r="O148" t="s">
        <v>2671</v>
      </c>
      <c r="P148" t="str">
        <f t="shared" si="2"/>
        <v>update zamestnanci set os_cislo='147', rfid='0348392541',cilova='TATRA',nastup='127' where os_cislo='147';</v>
      </c>
    </row>
    <row r="149" spans="1:16" x14ac:dyDescent="0.25">
      <c r="A149">
        <v>584</v>
      </c>
      <c r="B149" t="s">
        <v>2216</v>
      </c>
      <c r="C149" s="4">
        <v>148</v>
      </c>
      <c r="D149" t="s">
        <v>2217</v>
      </c>
      <c r="E149" t="s">
        <v>2218</v>
      </c>
      <c r="F149" t="s">
        <v>2219</v>
      </c>
      <c r="G149">
        <f>IF(N149&lt;&gt;"",VLOOKUP(N149,zastavky!E:F,2,FALSE),"")</f>
        <v>127</v>
      </c>
      <c r="H149" t="s">
        <v>2220</v>
      </c>
      <c r="I149" t="s">
        <v>2221</v>
      </c>
      <c r="J149">
        <v>3</v>
      </c>
      <c r="K149" t="s">
        <v>18</v>
      </c>
      <c r="M149">
        <v>1</v>
      </c>
      <c r="N149" s="1" t="s">
        <v>2629</v>
      </c>
      <c r="O149" t="s">
        <v>2671</v>
      </c>
      <c r="P149" t="str">
        <f t="shared" si="2"/>
        <v>update zamestnanci set os_cislo='148', rfid='0348387302',cilova='TATRA',nastup='127' where os_cislo='148';</v>
      </c>
    </row>
    <row r="150" spans="1:16" x14ac:dyDescent="0.25">
      <c r="A150">
        <v>585</v>
      </c>
      <c r="B150" t="s">
        <v>2222</v>
      </c>
      <c r="C150" s="4">
        <v>149</v>
      </c>
      <c r="D150" t="s">
        <v>2223</v>
      </c>
      <c r="E150" t="s">
        <v>2224</v>
      </c>
      <c r="F150" t="s">
        <v>2225</v>
      </c>
      <c r="G150" t="str">
        <f>IF(N150&lt;&gt;"",VLOOKUP(N150,zastavky!E:F,2,FALSE),"")</f>
        <v/>
      </c>
      <c r="H150" t="s">
        <v>2226</v>
      </c>
      <c r="I150" t="s">
        <v>2227</v>
      </c>
      <c r="J150">
        <v>3</v>
      </c>
      <c r="K150" t="s">
        <v>18</v>
      </c>
      <c r="M150">
        <v>1</v>
      </c>
      <c r="N150" s="3"/>
      <c r="O150" t="s">
        <v>2671</v>
      </c>
      <c r="P150" t="str">
        <f t="shared" si="2"/>
        <v>update zamestnanci set os_cislo='149', rfid='0357229219',cilova='TATRA',nastup='' where os_cislo='149';</v>
      </c>
    </row>
    <row r="151" spans="1:16" x14ac:dyDescent="0.25">
      <c r="A151">
        <v>586</v>
      </c>
      <c r="B151" t="s">
        <v>1620</v>
      </c>
      <c r="C151" s="4">
        <v>150</v>
      </c>
      <c r="D151" t="s">
        <v>2228</v>
      </c>
      <c r="E151" t="s">
        <v>2229</v>
      </c>
      <c r="F151" t="s">
        <v>2230</v>
      </c>
      <c r="G151">
        <f>IF(N151&lt;&gt;"",VLOOKUP(N151,zastavky!E:F,2,FALSE),"")</f>
        <v>133</v>
      </c>
      <c r="H151" t="s">
        <v>2231</v>
      </c>
      <c r="I151" t="s">
        <v>2232</v>
      </c>
      <c r="J151">
        <v>3</v>
      </c>
      <c r="K151" t="s">
        <v>18</v>
      </c>
      <c r="M151">
        <v>1</v>
      </c>
      <c r="N151" s="1" t="s">
        <v>2627</v>
      </c>
      <c r="O151" t="s">
        <v>2671</v>
      </c>
      <c r="P151" t="str">
        <f t="shared" si="2"/>
        <v>update zamestnanci set os_cislo='150', rfid='0369911673',cilova='TATRA',nastup='133' where os_cislo='150';</v>
      </c>
    </row>
    <row r="152" spans="1:16" x14ac:dyDescent="0.25">
      <c r="A152">
        <v>587</v>
      </c>
      <c r="B152" t="s">
        <v>2233</v>
      </c>
      <c r="C152" s="4">
        <v>151</v>
      </c>
      <c r="D152" t="s">
        <v>2234</v>
      </c>
      <c r="E152" t="s">
        <v>2235</v>
      </c>
      <c r="F152" t="s">
        <v>2236</v>
      </c>
      <c r="G152">
        <f>IF(N152&lt;&gt;"",VLOOKUP(N152,zastavky!E:F,2,FALSE),"")</f>
        <v>113</v>
      </c>
      <c r="H152" t="s">
        <v>2237</v>
      </c>
      <c r="I152" t="s">
        <v>2238</v>
      </c>
      <c r="J152">
        <v>3</v>
      </c>
      <c r="K152" t="s">
        <v>18</v>
      </c>
      <c r="M152">
        <v>1</v>
      </c>
      <c r="N152" s="1" t="s">
        <v>2630</v>
      </c>
      <c r="O152" t="s">
        <v>2671</v>
      </c>
      <c r="P152" t="str">
        <f t="shared" si="2"/>
        <v>update zamestnanci set os_cislo='151', rfid='0369947420',cilova='TATRA',nastup='113' where os_cislo='151';</v>
      </c>
    </row>
    <row r="153" spans="1:16" x14ac:dyDescent="0.25">
      <c r="A153">
        <v>588</v>
      </c>
      <c r="B153" t="s">
        <v>2239</v>
      </c>
      <c r="C153" s="4">
        <v>152</v>
      </c>
      <c r="D153" t="s">
        <v>2240</v>
      </c>
      <c r="E153" t="s">
        <v>2241</v>
      </c>
      <c r="F153" t="s">
        <v>2242</v>
      </c>
      <c r="G153">
        <f>IF(N153&lt;&gt;"",VLOOKUP(N153,zastavky!E:F,2,FALSE),"")</f>
        <v>29</v>
      </c>
      <c r="H153" t="s">
        <v>2243</v>
      </c>
      <c r="I153" t="s">
        <v>2244</v>
      </c>
      <c r="J153">
        <v>3</v>
      </c>
      <c r="K153" t="s">
        <v>18</v>
      </c>
      <c r="M153">
        <v>1</v>
      </c>
      <c r="N153" s="1" t="s">
        <v>2631</v>
      </c>
      <c r="O153" t="s">
        <v>2671</v>
      </c>
      <c r="P153" t="str">
        <f t="shared" si="2"/>
        <v>update zamestnanci set os_cislo='152', rfid='0369978365',cilova='TATRA',nastup='29' where os_cislo='152';</v>
      </c>
    </row>
    <row r="154" spans="1:16" x14ac:dyDescent="0.25">
      <c r="A154">
        <v>589</v>
      </c>
      <c r="B154" t="s">
        <v>2245</v>
      </c>
      <c r="C154" s="4">
        <v>153</v>
      </c>
      <c r="D154" t="s">
        <v>2246</v>
      </c>
      <c r="E154" t="s">
        <v>2247</v>
      </c>
      <c r="F154" t="s">
        <v>2248</v>
      </c>
      <c r="G154">
        <f>IF(N154&lt;&gt;"",VLOOKUP(N154,zastavky!E:F,2,FALSE),"")</f>
        <v>31</v>
      </c>
      <c r="H154" t="s">
        <v>2249</v>
      </c>
      <c r="I154" t="s">
        <v>2250</v>
      </c>
      <c r="J154">
        <v>3</v>
      </c>
      <c r="K154" t="s">
        <v>18</v>
      </c>
      <c r="M154">
        <v>1</v>
      </c>
      <c r="N154" s="1" t="s">
        <v>2632</v>
      </c>
      <c r="O154" t="s">
        <v>2671</v>
      </c>
      <c r="P154" t="str">
        <f t="shared" si="2"/>
        <v>update zamestnanci set os_cislo='153', rfid='0357221234',cilova='TATRA',nastup='31' where os_cislo='153';</v>
      </c>
    </row>
    <row r="155" spans="1:16" x14ac:dyDescent="0.25">
      <c r="A155">
        <v>590</v>
      </c>
      <c r="B155" t="s">
        <v>2251</v>
      </c>
      <c r="C155" s="4">
        <v>154</v>
      </c>
      <c r="D155" t="s">
        <v>2252</v>
      </c>
      <c r="E155" t="s">
        <v>2253</v>
      </c>
      <c r="F155" t="s">
        <v>2254</v>
      </c>
      <c r="G155">
        <f>IF(N155&lt;&gt;"",VLOOKUP(N155,zastavky!E:F,2,FALSE),"")</f>
        <v>29</v>
      </c>
      <c r="H155" t="s">
        <v>2255</v>
      </c>
      <c r="I155" t="s">
        <v>2256</v>
      </c>
      <c r="J155">
        <v>3</v>
      </c>
      <c r="K155" t="s">
        <v>18</v>
      </c>
      <c r="M155">
        <v>1</v>
      </c>
      <c r="N155" s="1" t="s">
        <v>2631</v>
      </c>
      <c r="O155" t="s">
        <v>2671</v>
      </c>
      <c r="P155" t="str">
        <f t="shared" si="2"/>
        <v>update zamestnanci set os_cislo='154', rfid='0000916535',cilova='TATRA',nastup='29' where os_cislo='154';</v>
      </c>
    </row>
    <row r="156" spans="1:16" x14ac:dyDescent="0.25">
      <c r="A156">
        <v>591</v>
      </c>
      <c r="B156" t="s">
        <v>2257</v>
      </c>
      <c r="C156" s="4">
        <v>155</v>
      </c>
      <c r="D156" t="s">
        <v>175</v>
      </c>
      <c r="E156" t="s">
        <v>2258</v>
      </c>
      <c r="G156">
        <f>IF(N156&lt;&gt;"",VLOOKUP(N156,zastavky!E:F,2,FALSE),"")</f>
        <v>133</v>
      </c>
      <c r="H156" t="s">
        <v>2259</v>
      </c>
      <c r="I156" t="s">
        <v>2260</v>
      </c>
      <c r="J156">
        <v>3</v>
      </c>
      <c r="K156" t="s">
        <v>18</v>
      </c>
      <c r="M156">
        <v>1</v>
      </c>
      <c r="N156" s="1" t="s">
        <v>2627</v>
      </c>
      <c r="O156" t="s">
        <v>2671</v>
      </c>
      <c r="P156" t="str">
        <f t="shared" si="2"/>
        <v>update zamestnanci set os_cislo='155', rfid='',cilova='TATRA',nastup='133' where os_cislo='155';</v>
      </c>
    </row>
    <row r="157" spans="1:16" x14ac:dyDescent="0.25">
      <c r="A157">
        <v>592</v>
      </c>
      <c r="B157" t="s">
        <v>2261</v>
      </c>
      <c r="C157" s="4">
        <v>156</v>
      </c>
      <c r="D157" t="s">
        <v>2262</v>
      </c>
      <c r="E157" t="s">
        <v>2263</v>
      </c>
      <c r="F157" s="2" t="s">
        <v>2575</v>
      </c>
      <c r="G157">
        <f>IF(N157&lt;&gt;"",VLOOKUP(N157,zastavky!E:F,2,FALSE),"")</f>
        <v>100</v>
      </c>
      <c r="H157" t="s">
        <v>2264</v>
      </c>
      <c r="I157" t="s">
        <v>2265</v>
      </c>
      <c r="J157">
        <v>3</v>
      </c>
      <c r="K157" t="s">
        <v>18</v>
      </c>
      <c r="M157">
        <v>1</v>
      </c>
      <c r="N157" s="1" t="s">
        <v>2581</v>
      </c>
      <c r="O157" t="s">
        <v>2671</v>
      </c>
      <c r="P157" t="str">
        <f t="shared" si="2"/>
        <v>update zamestnanci set os_cislo='156', rfid='0013126893',cilova='TATRA',nastup='100' where os_cislo='156';</v>
      </c>
    </row>
    <row r="158" spans="1:16" x14ac:dyDescent="0.25">
      <c r="A158">
        <v>593</v>
      </c>
      <c r="B158" t="s">
        <v>2266</v>
      </c>
      <c r="C158" s="4">
        <v>157</v>
      </c>
      <c r="D158" t="s">
        <v>2267</v>
      </c>
      <c r="E158" t="s">
        <v>2268</v>
      </c>
      <c r="F158" t="s">
        <v>2269</v>
      </c>
      <c r="G158">
        <f>IF(N158&lt;&gt;"",VLOOKUP(N158,zastavky!E:F,2,FALSE),"")</f>
        <v>29</v>
      </c>
      <c r="H158" t="s">
        <v>2270</v>
      </c>
      <c r="I158" t="s">
        <v>2271</v>
      </c>
      <c r="J158">
        <v>3</v>
      </c>
      <c r="K158" t="s">
        <v>18</v>
      </c>
      <c r="M158">
        <v>1</v>
      </c>
      <c r="N158" s="1" t="s">
        <v>2631</v>
      </c>
      <c r="O158" t="s">
        <v>2671</v>
      </c>
      <c r="P158" t="str">
        <f t="shared" si="2"/>
        <v>update zamestnanci set os_cislo='157', rfid='0369919018',cilova='TATRA',nastup='29' where os_cislo='157';</v>
      </c>
    </row>
    <row r="159" spans="1:16" x14ac:dyDescent="0.25">
      <c r="A159">
        <v>594</v>
      </c>
      <c r="B159" t="s">
        <v>2272</v>
      </c>
      <c r="C159" s="4">
        <v>158</v>
      </c>
      <c r="D159" t="s">
        <v>2273</v>
      </c>
      <c r="E159" t="s">
        <v>2274</v>
      </c>
      <c r="G159" t="str">
        <f>IF(N159&lt;&gt;"",VLOOKUP(N159,zastavky!E:F,2,FALSE),"")</f>
        <v/>
      </c>
      <c r="H159" t="s">
        <v>2275</v>
      </c>
      <c r="I159" t="s">
        <v>2276</v>
      </c>
      <c r="J159">
        <v>3</v>
      </c>
      <c r="K159" t="s">
        <v>18</v>
      </c>
      <c r="M159">
        <v>1</v>
      </c>
      <c r="N159" s="3"/>
      <c r="O159" t="s">
        <v>2671</v>
      </c>
      <c r="P159" t="str">
        <f t="shared" si="2"/>
        <v>update zamestnanci set os_cislo='158', rfid='',cilova='TATRA',nastup='' where os_cislo='158';</v>
      </c>
    </row>
    <row r="160" spans="1:16" x14ac:dyDescent="0.25">
      <c r="A160">
        <v>595</v>
      </c>
      <c r="B160" t="s">
        <v>2277</v>
      </c>
      <c r="C160" s="4">
        <v>159</v>
      </c>
      <c r="D160" t="s">
        <v>2278</v>
      </c>
      <c r="E160" t="s">
        <v>2279</v>
      </c>
      <c r="F160" t="s">
        <v>2280</v>
      </c>
      <c r="G160">
        <f>IF(N160&lt;&gt;"",VLOOKUP(N160,zastavky!E:F,2,FALSE),"")</f>
        <v>133</v>
      </c>
      <c r="H160" t="s">
        <v>2281</v>
      </c>
      <c r="I160" t="s">
        <v>2282</v>
      </c>
      <c r="J160">
        <v>3</v>
      </c>
      <c r="K160" t="s">
        <v>18</v>
      </c>
      <c r="M160">
        <v>1</v>
      </c>
      <c r="N160" s="1" t="s">
        <v>2627</v>
      </c>
      <c r="O160" t="s">
        <v>2671</v>
      </c>
      <c r="P160" t="str">
        <f t="shared" si="2"/>
        <v>update zamestnanci set os_cislo='159', rfid='0009644271',cilova='TATRA',nastup='133' where os_cislo='159';</v>
      </c>
    </row>
    <row r="161" spans="1:16" x14ac:dyDescent="0.25">
      <c r="A161">
        <v>596</v>
      </c>
      <c r="B161" t="s">
        <v>1674</v>
      </c>
      <c r="C161" s="4">
        <v>160</v>
      </c>
      <c r="D161" t="s">
        <v>2283</v>
      </c>
      <c r="E161" t="s">
        <v>2284</v>
      </c>
      <c r="F161" t="s">
        <v>2285</v>
      </c>
      <c r="G161">
        <f>IF(N161&lt;&gt;"",VLOOKUP(N161,zastavky!E:F,2,FALSE),"")</f>
        <v>100</v>
      </c>
      <c r="H161" t="s">
        <v>2286</v>
      </c>
      <c r="I161" t="s">
        <v>2287</v>
      </c>
      <c r="J161">
        <v>3</v>
      </c>
      <c r="K161" t="s">
        <v>18</v>
      </c>
      <c r="M161">
        <v>1</v>
      </c>
      <c r="N161" s="1" t="s">
        <v>2581</v>
      </c>
      <c r="O161" t="s">
        <v>2671</v>
      </c>
      <c r="P161" t="str">
        <f t="shared" si="2"/>
        <v>update zamestnanci set os_cislo='160', rfid='0009580102',cilova='TATRA',nastup='100' where os_cislo='160';</v>
      </c>
    </row>
    <row r="162" spans="1:16" x14ac:dyDescent="0.25">
      <c r="A162">
        <v>597</v>
      </c>
      <c r="B162" t="s">
        <v>2288</v>
      </c>
      <c r="C162" s="4">
        <v>161</v>
      </c>
      <c r="D162" t="s">
        <v>2289</v>
      </c>
      <c r="E162" t="s">
        <v>2290</v>
      </c>
      <c r="F162" t="s">
        <v>2291</v>
      </c>
      <c r="G162">
        <f>IF(N162&lt;&gt;"",VLOOKUP(N162,zastavky!E:F,2,FALSE),"")</f>
        <v>33</v>
      </c>
      <c r="H162" t="s">
        <v>2292</v>
      </c>
      <c r="I162" t="s">
        <v>2293</v>
      </c>
      <c r="J162">
        <v>3</v>
      </c>
      <c r="K162" t="s">
        <v>18</v>
      </c>
      <c r="M162">
        <v>1</v>
      </c>
      <c r="N162" s="1" t="s">
        <v>2625</v>
      </c>
      <c r="O162" t="s">
        <v>2671</v>
      </c>
      <c r="P162" t="str">
        <f t="shared" si="2"/>
        <v>update zamestnanci set os_cislo='161', rfid='0000904527',cilova='TATRA',nastup='33' where os_cislo='161';</v>
      </c>
    </row>
    <row r="163" spans="1:16" x14ac:dyDescent="0.25">
      <c r="A163">
        <v>598</v>
      </c>
      <c r="B163" t="s">
        <v>2294</v>
      </c>
      <c r="C163" s="4">
        <v>162</v>
      </c>
      <c r="D163" t="s">
        <v>2295</v>
      </c>
      <c r="E163" t="s">
        <v>62</v>
      </c>
      <c r="F163" t="s">
        <v>2296</v>
      </c>
      <c r="G163">
        <f>IF(N163&lt;&gt;"",VLOOKUP(N163,zastavky!E:F,2,FALSE),"")</f>
        <v>100</v>
      </c>
      <c r="H163" t="s">
        <v>2297</v>
      </c>
      <c r="I163" t="s">
        <v>2298</v>
      </c>
      <c r="J163">
        <v>3</v>
      </c>
      <c r="K163" t="s">
        <v>18</v>
      </c>
      <c r="M163">
        <v>1</v>
      </c>
      <c r="N163" s="1" t="s">
        <v>2581</v>
      </c>
      <c r="O163" t="s">
        <v>2671</v>
      </c>
      <c r="P163" t="str">
        <f t="shared" si="2"/>
        <v>update zamestnanci set os_cislo='162', rfid='0013055947',cilova='TATRA',nastup='100' where os_cislo='162';</v>
      </c>
    </row>
    <row r="164" spans="1:16" x14ac:dyDescent="0.25">
      <c r="A164">
        <v>599</v>
      </c>
      <c r="B164" t="s">
        <v>2299</v>
      </c>
      <c r="C164" s="4">
        <v>163</v>
      </c>
      <c r="D164" t="s">
        <v>2300</v>
      </c>
      <c r="E164" t="s">
        <v>699</v>
      </c>
      <c r="F164" t="s">
        <v>2301</v>
      </c>
      <c r="G164">
        <f>IF(N164&lt;&gt;"",VLOOKUP(N164,zastavky!E:F,2,FALSE),"")</f>
        <v>123</v>
      </c>
      <c r="H164" t="s">
        <v>2302</v>
      </c>
      <c r="I164" t="s">
        <v>2303</v>
      </c>
      <c r="J164">
        <v>3</v>
      </c>
      <c r="K164" t="s">
        <v>18</v>
      </c>
      <c r="M164">
        <v>1</v>
      </c>
      <c r="N164" s="1" t="s">
        <v>2624</v>
      </c>
      <c r="O164" t="s">
        <v>2671</v>
      </c>
      <c r="P164" t="str">
        <f t="shared" si="2"/>
        <v>update zamestnanci set os_cislo='163', rfid='0009586730',cilova='TATRA',nastup='123' where os_cislo='163';</v>
      </c>
    </row>
    <row r="165" spans="1:16" x14ac:dyDescent="0.25">
      <c r="A165">
        <v>600</v>
      </c>
      <c r="B165" t="s">
        <v>808</v>
      </c>
      <c r="C165" s="4">
        <v>164</v>
      </c>
      <c r="D165" t="s">
        <v>845</v>
      </c>
      <c r="E165" t="s">
        <v>2304</v>
      </c>
      <c r="F165" t="s">
        <v>2305</v>
      </c>
      <c r="G165">
        <f>IF(N165&lt;&gt;"",VLOOKUP(N165,zastavky!E:F,2,FALSE),"")</f>
        <v>127</v>
      </c>
      <c r="H165" t="s">
        <v>2306</v>
      </c>
      <c r="I165" t="s">
        <v>2307</v>
      </c>
      <c r="J165">
        <v>3</v>
      </c>
      <c r="K165" t="s">
        <v>18</v>
      </c>
      <c r="M165">
        <v>1</v>
      </c>
      <c r="N165" s="1" t="s">
        <v>2629</v>
      </c>
      <c r="O165" t="s">
        <v>2671</v>
      </c>
      <c r="P165" t="str">
        <f t="shared" si="2"/>
        <v>update zamestnanci set os_cislo='164', rfid='0000920818',cilova='TATRA',nastup='127' where os_cislo='164';</v>
      </c>
    </row>
    <row r="166" spans="1:16" x14ac:dyDescent="0.25">
      <c r="A166">
        <v>601</v>
      </c>
      <c r="B166" t="s">
        <v>2308</v>
      </c>
      <c r="C166" s="4">
        <v>165</v>
      </c>
      <c r="D166" t="s">
        <v>2309</v>
      </c>
      <c r="E166" t="s">
        <v>2310</v>
      </c>
      <c r="F166" t="s">
        <v>2311</v>
      </c>
      <c r="G166">
        <f>IF(N166&lt;&gt;"",VLOOKUP(N166,zastavky!E:F,2,FALSE),"")</f>
        <v>100</v>
      </c>
      <c r="H166" t="s">
        <v>2312</v>
      </c>
      <c r="I166" t="s">
        <v>2313</v>
      </c>
      <c r="J166">
        <v>3</v>
      </c>
      <c r="K166" t="s">
        <v>18</v>
      </c>
      <c r="M166">
        <v>1</v>
      </c>
      <c r="N166" s="1" t="s">
        <v>2581</v>
      </c>
      <c r="O166" t="s">
        <v>2671</v>
      </c>
      <c r="P166" t="str">
        <f t="shared" si="2"/>
        <v>update zamestnanci set os_cislo='165', rfid='0011818564',cilova='TATRA',nastup='100' where os_cislo='165';</v>
      </c>
    </row>
    <row r="167" spans="1:16" x14ac:dyDescent="0.25">
      <c r="A167">
        <v>602</v>
      </c>
      <c r="B167" t="s">
        <v>2314</v>
      </c>
      <c r="C167" s="4">
        <v>166</v>
      </c>
      <c r="D167" t="s">
        <v>2315</v>
      </c>
      <c r="E167" t="s">
        <v>1476</v>
      </c>
      <c r="F167" t="s">
        <v>2316</v>
      </c>
      <c r="G167">
        <f>IF(N167&lt;&gt;"",VLOOKUP(N167,zastavky!E:F,2,FALSE),"")</f>
        <v>119</v>
      </c>
      <c r="H167" t="s">
        <v>2317</v>
      </c>
      <c r="I167" t="s">
        <v>2318</v>
      </c>
      <c r="J167">
        <v>3</v>
      </c>
      <c r="K167" t="s">
        <v>18</v>
      </c>
      <c r="M167">
        <v>1</v>
      </c>
      <c r="N167" s="1" t="s">
        <v>2633</v>
      </c>
      <c r="O167" t="s">
        <v>2671</v>
      </c>
      <c r="P167" t="str">
        <f t="shared" si="2"/>
        <v>update zamestnanci set os_cislo='166', rfid='0369965510',cilova='TATRA',nastup='119' where os_cislo='166';</v>
      </c>
    </row>
    <row r="168" spans="1:16" x14ac:dyDescent="0.25">
      <c r="A168">
        <v>603</v>
      </c>
      <c r="B168" t="s">
        <v>2319</v>
      </c>
      <c r="C168" s="4">
        <v>167</v>
      </c>
      <c r="D168" t="s">
        <v>2320</v>
      </c>
      <c r="E168" t="s">
        <v>2321</v>
      </c>
      <c r="F168" t="s">
        <v>2322</v>
      </c>
      <c r="G168">
        <f>IF(N168&lt;&gt;"",VLOOKUP(N168,zastavky!E:F,2,FALSE),"")</f>
        <v>32</v>
      </c>
      <c r="H168" t="s">
        <v>2323</v>
      </c>
      <c r="I168" t="s">
        <v>2324</v>
      </c>
      <c r="J168">
        <v>3</v>
      </c>
      <c r="K168" t="s">
        <v>18</v>
      </c>
      <c r="M168">
        <v>1</v>
      </c>
      <c r="N168" s="1" t="s">
        <v>2626</v>
      </c>
      <c r="O168" t="s">
        <v>2671</v>
      </c>
      <c r="P168" t="str">
        <f t="shared" si="2"/>
        <v>update zamestnanci set os_cislo='167', rfid='0369972253',cilova='TATRA',nastup='32' where os_cislo='167';</v>
      </c>
    </row>
    <row r="169" spans="1:16" x14ac:dyDescent="0.25">
      <c r="A169">
        <v>604</v>
      </c>
      <c r="B169" t="s">
        <v>2325</v>
      </c>
      <c r="C169" s="4">
        <v>168</v>
      </c>
      <c r="D169" t="s">
        <v>2326</v>
      </c>
      <c r="E169" t="s">
        <v>2327</v>
      </c>
      <c r="F169" t="s">
        <v>2328</v>
      </c>
      <c r="G169">
        <f>IF(N169&lt;&gt;"",VLOOKUP(N169,zastavky!E:F,2,FALSE),"")</f>
        <v>32</v>
      </c>
      <c r="H169" t="s">
        <v>2329</v>
      </c>
      <c r="I169" t="s">
        <v>2330</v>
      </c>
      <c r="J169">
        <v>3</v>
      </c>
      <c r="K169" t="s">
        <v>18</v>
      </c>
      <c r="M169">
        <v>1</v>
      </c>
      <c r="N169" s="1" t="s">
        <v>2626</v>
      </c>
      <c r="O169" t="s">
        <v>2671</v>
      </c>
      <c r="P169" t="str">
        <f t="shared" si="2"/>
        <v>update zamestnanci set os_cislo='168', rfid='0357225412',cilova='TATRA',nastup='32' where os_cislo='168';</v>
      </c>
    </row>
    <row r="170" spans="1:16" x14ac:dyDescent="0.25">
      <c r="A170">
        <v>605</v>
      </c>
      <c r="B170" t="s">
        <v>2331</v>
      </c>
      <c r="C170" s="4">
        <v>169</v>
      </c>
      <c r="D170" t="s">
        <v>2332</v>
      </c>
      <c r="E170" t="s">
        <v>1747</v>
      </c>
      <c r="F170" t="s">
        <v>2333</v>
      </c>
      <c r="G170">
        <f>IF(N170&lt;&gt;"",VLOOKUP(N170,zastavky!E:F,2,FALSE),"")</f>
        <v>31</v>
      </c>
      <c r="H170" t="s">
        <v>2334</v>
      </c>
      <c r="I170" t="s">
        <v>2335</v>
      </c>
      <c r="J170">
        <v>3</v>
      </c>
      <c r="K170" t="s">
        <v>18</v>
      </c>
      <c r="M170">
        <v>1</v>
      </c>
      <c r="N170" s="1" t="s">
        <v>2632</v>
      </c>
      <c r="O170" t="s">
        <v>2671</v>
      </c>
      <c r="P170" t="str">
        <f t="shared" si="2"/>
        <v>update zamestnanci set os_cislo='169', rfid='0369951690',cilova='TATRA',nastup='31' where os_cislo='169';</v>
      </c>
    </row>
    <row r="171" spans="1:16" x14ac:dyDescent="0.25">
      <c r="A171">
        <v>606</v>
      </c>
      <c r="B171" t="s">
        <v>697</v>
      </c>
      <c r="C171" s="4">
        <v>170</v>
      </c>
      <c r="D171" t="s">
        <v>2336</v>
      </c>
      <c r="E171" t="s">
        <v>428</v>
      </c>
      <c r="F171" t="s">
        <v>2337</v>
      </c>
      <c r="G171">
        <f>IF(N171&lt;&gt;"",VLOOKUP(N171,zastavky!E:F,2,FALSE),"")</f>
        <v>33</v>
      </c>
      <c r="H171" t="s">
        <v>2338</v>
      </c>
      <c r="I171" t="s">
        <v>2339</v>
      </c>
      <c r="J171">
        <v>3</v>
      </c>
      <c r="K171" t="s">
        <v>18</v>
      </c>
      <c r="M171">
        <v>1</v>
      </c>
      <c r="N171" s="1" t="s">
        <v>2625</v>
      </c>
      <c r="O171" t="s">
        <v>2671</v>
      </c>
      <c r="P171" t="str">
        <f t="shared" si="2"/>
        <v>update zamestnanci set os_cislo='170', rfid='0369916310',cilova='TATRA',nastup='33' where os_cislo='170';</v>
      </c>
    </row>
    <row r="172" spans="1:16" x14ac:dyDescent="0.25">
      <c r="A172">
        <v>607</v>
      </c>
      <c r="B172" t="s">
        <v>871</v>
      </c>
      <c r="C172" s="4">
        <v>171</v>
      </c>
      <c r="D172" t="s">
        <v>2340</v>
      </c>
      <c r="E172" t="s">
        <v>2341</v>
      </c>
      <c r="F172" t="s">
        <v>2342</v>
      </c>
      <c r="G172">
        <f>IF(N172&lt;&gt;"",VLOOKUP(N172,zastavky!E:F,2,FALSE),"")</f>
        <v>125</v>
      </c>
      <c r="H172" t="s">
        <v>2343</v>
      </c>
      <c r="I172" t="s">
        <v>2344</v>
      </c>
      <c r="J172">
        <v>3</v>
      </c>
      <c r="K172" t="s">
        <v>18</v>
      </c>
      <c r="M172">
        <v>1</v>
      </c>
      <c r="N172" s="1" t="s">
        <v>2634</v>
      </c>
      <c r="O172" t="s">
        <v>2671</v>
      </c>
      <c r="P172" t="str">
        <f t="shared" si="2"/>
        <v>update zamestnanci set os_cislo='171', rfid='0369924834',cilova='TATRA',nastup='125' where os_cislo='171';</v>
      </c>
    </row>
    <row r="173" spans="1:16" x14ac:dyDescent="0.25">
      <c r="A173">
        <v>608</v>
      </c>
      <c r="B173" t="s">
        <v>2345</v>
      </c>
      <c r="C173" s="4">
        <v>172</v>
      </c>
      <c r="D173" t="s">
        <v>2346</v>
      </c>
      <c r="E173" t="s">
        <v>2347</v>
      </c>
      <c r="F173" t="s">
        <v>2348</v>
      </c>
      <c r="G173">
        <f>IF(N173&lt;&gt;"",VLOOKUP(N173,zastavky!E:F,2,FALSE),"")</f>
        <v>125</v>
      </c>
      <c r="H173" t="s">
        <v>2349</v>
      </c>
      <c r="I173" t="s">
        <v>2350</v>
      </c>
      <c r="J173">
        <v>3</v>
      </c>
      <c r="K173" t="s">
        <v>18</v>
      </c>
      <c r="M173">
        <v>1</v>
      </c>
      <c r="N173" s="1" t="s">
        <v>2634</v>
      </c>
      <c r="O173" t="s">
        <v>2671</v>
      </c>
      <c r="P173" t="str">
        <f t="shared" si="2"/>
        <v>update zamestnanci set os_cislo='172', rfid='0369971566',cilova='TATRA',nastup='125' where os_cislo='172';</v>
      </c>
    </row>
    <row r="174" spans="1:16" x14ac:dyDescent="0.25">
      <c r="A174">
        <v>609</v>
      </c>
      <c r="B174" t="s">
        <v>709</v>
      </c>
      <c r="C174" s="4">
        <v>173</v>
      </c>
      <c r="D174" t="s">
        <v>2351</v>
      </c>
      <c r="E174" t="s">
        <v>2352</v>
      </c>
      <c r="F174" t="s">
        <v>2353</v>
      </c>
      <c r="G174">
        <f>IF(N174&lt;&gt;"",VLOOKUP(N174,zastavky!E:F,2,FALSE),"")</f>
        <v>119</v>
      </c>
      <c r="H174" t="s">
        <v>2354</v>
      </c>
      <c r="I174" t="s">
        <v>2355</v>
      </c>
      <c r="J174">
        <v>3</v>
      </c>
      <c r="K174" t="s">
        <v>18</v>
      </c>
      <c r="M174">
        <v>1</v>
      </c>
      <c r="N174" s="1" t="s">
        <v>2633</v>
      </c>
      <c r="O174" t="s">
        <v>2671</v>
      </c>
      <c r="P174" t="str">
        <f t="shared" si="2"/>
        <v>update zamestnanci set os_cislo='173', rfid='0369916468',cilova='TATRA',nastup='119' where os_cislo='173';</v>
      </c>
    </row>
    <row r="175" spans="1:16" x14ac:dyDescent="0.25">
      <c r="A175">
        <v>610</v>
      </c>
      <c r="B175" t="s">
        <v>2356</v>
      </c>
      <c r="C175" s="4">
        <v>174</v>
      </c>
      <c r="D175" t="s">
        <v>2357</v>
      </c>
      <c r="E175" t="s">
        <v>2358</v>
      </c>
      <c r="F175" t="s">
        <v>2359</v>
      </c>
      <c r="G175">
        <f>IF(N175&lt;&gt;"",VLOOKUP(N175,zastavky!E:F,2,FALSE),"")</f>
        <v>123</v>
      </c>
      <c r="H175" t="s">
        <v>2360</v>
      </c>
      <c r="I175" t="s">
        <v>2361</v>
      </c>
      <c r="J175">
        <v>3</v>
      </c>
      <c r="K175" t="s">
        <v>18</v>
      </c>
      <c r="M175">
        <v>1</v>
      </c>
      <c r="N175" s="1" t="s">
        <v>2624</v>
      </c>
      <c r="O175" t="s">
        <v>2671</v>
      </c>
      <c r="P175" t="str">
        <f t="shared" si="2"/>
        <v>update zamestnanci set os_cislo='174', rfid='0348370747',cilova='TATRA',nastup='123' where os_cislo='174';</v>
      </c>
    </row>
    <row r="176" spans="1:16" x14ac:dyDescent="0.25">
      <c r="A176">
        <v>611</v>
      </c>
      <c r="B176" t="s">
        <v>2362</v>
      </c>
      <c r="C176" s="4">
        <v>175</v>
      </c>
      <c r="D176" t="s">
        <v>2084</v>
      </c>
      <c r="E176" t="s">
        <v>2363</v>
      </c>
      <c r="G176" t="str">
        <f>IF(N176&lt;&gt;"",VLOOKUP(N176,zastavky!E:F,2,FALSE),"")</f>
        <v/>
      </c>
      <c r="H176" t="s">
        <v>2364</v>
      </c>
      <c r="I176" t="s">
        <v>2365</v>
      </c>
      <c r="J176">
        <v>3</v>
      </c>
      <c r="K176" t="s">
        <v>18</v>
      </c>
      <c r="M176">
        <v>1</v>
      </c>
      <c r="N176" s="3"/>
      <c r="O176" t="s">
        <v>2671</v>
      </c>
      <c r="P176" t="str">
        <f t="shared" si="2"/>
        <v>update zamestnanci set os_cislo='175', rfid='',cilova='TATRA',nastup='' where os_cislo='175';</v>
      </c>
    </row>
    <row r="177" spans="1:16" x14ac:dyDescent="0.25">
      <c r="A177">
        <v>612</v>
      </c>
      <c r="B177" t="s">
        <v>2366</v>
      </c>
      <c r="C177" s="4">
        <v>176</v>
      </c>
      <c r="D177" t="s">
        <v>2367</v>
      </c>
      <c r="E177" t="s">
        <v>2368</v>
      </c>
      <c r="F177" t="s">
        <v>2369</v>
      </c>
      <c r="G177">
        <f>IF(N177&lt;&gt;"",VLOOKUP(N177,zastavky!E:F,2,FALSE),"")</f>
        <v>131</v>
      </c>
      <c r="H177" t="s">
        <v>2370</v>
      </c>
      <c r="I177" t="s">
        <v>2371</v>
      </c>
      <c r="J177">
        <v>3</v>
      </c>
      <c r="K177" t="s">
        <v>18</v>
      </c>
      <c r="M177">
        <v>1</v>
      </c>
      <c r="N177" s="1" t="s">
        <v>2635</v>
      </c>
      <c r="O177" t="s">
        <v>2671</v>
      </c>
      <c r="P177" t="str">
        <f t="shared" si="2"/>
        <v>update zamestnanci set os_cislo='176', rfid='0347606277',cilova='TATRA',nastup='131' where os_cislo='176';</v>
      </c>
    </row>
    <row r="178" spans="1:16" x14ac:dyDescent="0.25">
      <c r="A178">
        <v>613</v>
      </c>
      <c r="B178" t="s">
        <v>715</v>
      </c>
      <c r="C178" s="4">
        <v>177</v>
      </c>
      <c r="D178" t="s">
        <v>2372</v>
      </c>
      <c r="E178" t="s">
        <v>2373</v>
      </c>
      <c r="F178" t="s">
        <v>2374</v>
      </c>
      <c r="G178">
        <f>IF(N178&lt;&gt;"",VLOOKUP(N178,zastavky!E:F,2,FALSE),"")</f>
        <v>33</v>
      </c>
      <c r="I178" t="s">
        <v>2375</v>
      </c>
      <c r="J178">
        <v>3</v>
      </c>
      <c r="K178" t="s">
        <v>18</v>
      </c>
      <c r="M178">
        <v>1</v>
      </c>
      <c r="N178" s="1" t="s">
        <v>2625</v>
      </c>
      <c r="O178" t="s">
        <v>2671</v>
      </c>
      <c r="P178" t="str">
        <f t="shared" si="2"/>
        <v>update zamestnanci set os_cislo='177', rfid='0369912861',cilova='TATRA',nastup='33' where os_cislo='177';</v>
      </c>
    </row>
    <row r="179" spans="1:16" x14ac:dyDescent="0.25">
      <c r="A179">
        <v>126</v>
      </c>
      <c r="B179" t="s">
        <v>691</v>
      </c>
      <c r="C179" s="4">
        <v>178</v>
      </c>
      <c r="D179" t="s">
        <v>692</v>
      </c>
      <c r="E179" t="s">
        <v>693</v>
      </c>
      <c r="F179" t="s">
        <v>694</v>
      </c>
      <c r="G179" t="str">
        <f>IF(N179&lt;&gt;"",VLOOKUP(N179,zastavky!E:F,2,FALSE),"")</f>
        <v/>
      </c>
      <c r="H179" t="s">
        <v>695</v>
      </c>
      <c r="I179" t="s">
        <v>696</v>
      </c>
      <c r="J179">
        <v>4</v>
      </c>
      <c r="K179" t="s">
        <v>18</v>
      </c>
      <c r="M179">
        <v>1</v>
      </c>
      <c r="O179" t="s">
        <v>2672</v>
      </c>
      <c r="P179" t="str">
        <f t="shared" si="2"/>
        <v>update zamestnanci set os_cislo='178', rfid='0011601691',cilova='HILITE',nastup='' where os_cislo='178';</v>
      </c>
    </row>
    <row r="180" spans="1:16" x14ac:dyDescent="0.25">
      <c r="A180">
        <v>127</v>
      </c>
      <c r="B180" t="s">
        <v>697</v>
      </c>
      <c r="C180" s="4">
        <v>179</v>
      </c>
      <c r="D180" t="s">
        <v>698</v>
      </c>
      <c r="E180" t="s">
        <v>699</v>
      </c>
      <c r="F180" t="s">
        <v>700</v>
      </c>
      <c r="G180" t="str">
        <f>IF(N180&lt;&gt;"",VLOOKUP(N180,zastavky!E:F,2,FALSE),"")</f>
        <v/>
      </c>
      <c r="H180" t="s">
        <v>701</v>
      </c>
      <c r="I180" t="s">
        <v>702</v>
      </c>
      <c r="J180">
        <v>4</v>
      </c>
      <c r="K180" t="s">
        <v>18</v>
      </c>
      <c r="M180">
        <v>1</v>
      </c>
      <c r="O180" t="s">
        <v>2672</v>
      </c>
      <c r="P180" t="str">
        <f t="shared" si="2"/>
        <v>update zamestnanci set os_cislo='179', rfid='0011642700',cilova='HILITE',nastup='' where os_cislo='179';</v>
      </c>
    </row>
    <row r="181" spans="1:16" x14ac:dyDescent="0.25">
      <c r="A181">
        <v>128</v>
      </c>
      <c r="B181" t="s">
        <v>703</v>
      </c>
      <c r="C181" s="4">
        <v>180</v>
      </c>
      <c r="D181" t="s">
        <v>704</v>
      </c>
      <c r="E181" t="s">
        <v>705</v>
      </c>
      <c r="F181" t="s">
        <v>706</v>
      </c>
      <c r="G181">
        <f>IF(N181&lt;&gt;"",VLOOKUP(N181,zastavky!E:F,2,FALSE),"")</f>
        <v>57</v>
      </c>
      <c r="H181" t="s">
        <v>707</v>
      </c>
      <c r="I181" t="s">
        <v>708</v>
      </c>
      <c r="J181">
        <v>4</v>
      </c>
      <c r="K181" t="s">
        <v>18</v>
      </c>
      <c r="M181">
        <v>1</v>
      </c>
      <c r="N181" s="1" t="s">
        <v>2617</v>
      </c>
      <c r="O181" t="s">
        <v>2672</v>
      </c>
      <c r="P181" t="str">
        <f t="shared" si="2"/>
        <v>update zamestnanci set os_cislo='180', rfid='0012955543',cilova='HILITE',nastup='57' where os_cislo='180';</v>
      </c>
    </row>
    <row r="182" spans="1:16" x14ac:dyDescent="0.25">
      <c r="A182">
        <v>129</v>
      </c>
      <c r="B182" t="s">
        <v>709</v>
      </c>
      <c r="C182" s="4">
        <v>181</v>
      </c>
      <c r="D182" t="s">
        <v>710</v>
      </c>
      <c r="E182" t="s">
        <v>711</v>
      </c>
      <c r="F182" t="s">
        <v>712</v>
      </c>
      <c r="G182" t="str">
        <f>IF(N182&lt;&gt;"",VLOOKUP(N182,zastavky!E:F,2,FALSE),"")</f>
        <v/>
      </c>
      <c r="H182" t="s">
        <v>713</v>
      </c>
      <c r="I182" t="s">
        <v>714</v>
      </c>
      <c r="J182">
        <v>4</v>
      </c>
      <c r="K182" t="s">
        <v>18</v>
      </c>
      <c r="M182">
        <v>1</v>
      </c>
      <c r="O182" t="s">
        <v>2672</v>
      </c>
      <c r="P182" t="str">
        <f t="shared" si="2"/>
        <v>update zamestnanci set os_cislo='181', rfid='0011686343',cilova='HILITE',nastup='' where os_cislo='181';</v>
      </c>
    </row>
    <row r="183" spans="1:16" x14ac:dyDescent="0.25">
      <c r="A183">
        <v>130</v>
      </c>
      <c r="B183" t="s">
        <v>715</v>
      </c>
      <c r="C183" s="4">
        <v>182</v>
      </c>
      <c r="D183" t="s">
        <v>716</v>
      </c>
      <c r="E183" t="s">
        <v>717</v>
      </c>
      <c r="F183" t="s">
        <v>718</v>
      </c>
      <c r="G183">
        <f>IF(N183&lt;&gt;"",VLOOKUP(N183,zastavky!E:F,2,FALSE),"")</f>
        <v>104</v>
      </c>
      <c r="H183" t="s">
        <v>719</v>
      </c>
      <c r="I183" t="s">
        <v>720</v>
      </c>
      <c r="J183">
        <v>4</v>
      </c>
      <c r="K183" t="s">
        <v>18</v>
      </c>
      <c r="M183">
        <v>1</v>
      </c>
      <c r="N183" s="1" t="s">
        <v>2619</v>
      </c>
      <c r="O183" t="s">
        <v>2672</v>
      </c>
      <c r="P183" t="str">
        <f t="shared" si="2"/>
        <v>update zamestnanci set os_cislo='182', rfid='0011675122',cilova='HILITE',nastup='104' where os_cislo='182';</v>
      </c>
    </row>
    <row r="184" spans="1:16" x14ac:dyDescent="0.25">
      <c r="A184">
        <v>131</v>
      </c>
      <c r="B184" t="s">
        <v>721</v>
      </c>
      <c r="C184" s="4">
        <v>183</v>
      </c>
      <c r="D184" t="s">
        <v>716</v>
      </c>
      <c r="E184" t="s">
        <v>658</v>
      </c>
      <c r="F184" t="s">
        <v>722</v>
      </c>
      <c r="G184">
        <f>IF(N184&lt;&gt;"",VLOOKUP(N184,zastavky!E:F,2,FALSE),"")</f>
        <v>104</v>
      </c>
      <c r="H184" t="s">
        <v>723</v>
      </c>
      <c r="I184" t="s">
        <v>720</v>
      </c>
      <c r="J184">
        <v>4</v>
      </c>
      <c r="K184" t="s">
        <v>18</v>
      </c>
      <c r="M184">
        <v>1</v>
      </c>
      <c r="N184" s="1" t="s">
        <v>2619</v>
      </c>
      <c r="O184" t="s">
        <v>2672</v>
      </c>
      <c r="P184" t="str">
        <f t="shared" si="2"/>
        <v>update zamestnanci set os_cislo='183', rfid='0012985653',cilova='HILITE',nastup='104' where os_cislo='183';</v>
      </c>
    </row>
    <row r="185" spans="1:16" x14ac:dyDescent="0.25">
      <c r="A185">
        <v>132</v>
      </c>
      <c r="B185" t="s">
        <v>724</v>
      </c>
      <c r="C185" s="4">
        <v>184</v>
      </c>
      <c r="D185" t="s">
        <v>725</v>
      </c>
      <c r="E185" t="s">
        <v>726</v>
      </c>
      <c r="F185" t="s">
        <v>727</v>
      </c>
      <c r="G185" t="str">
        <f>IF(N185&lt;&gt;"",VLOOKUP(N185,zastavky!E:F,2,FALSE),"")</f>
        <v/>
      </c>
      <c r="H185" t="s">
        <v>728</v>
      </c>
      <c r="I185" t="s">
        <v>729</v>
      </c>
      <c r="J185">
        <v>4</v>
      </c>
      <c r="K185" t="s">
        <v>18</v>
      </c>
      <c r="M185">
        <v>1</v>
      </c>
      <c r="O185" t="s">
        <v>2672</v>
      </c>
      <c r="P185" t="str">
        <f t="shared" si="2"/>
        <v>update zamestnanci set os_cislo='184', rfid='0013067733',cilova='HILITE',nastup='' where os_cislo='184';</v>
      </c>
    </row>
    <row r="186" spans="1:16" x14ac:dyDescent="0.25">
      <c r="A186">
        <v>133</v>
      </c>
      <c r="B186" t="s">
        <v>730</v>
      </c>
      <c r="C186" s="4">
        <v>185</v>
      </c>
      <c r="D186" t="s">
        <v>731</v>
      </c>
      <c r="E186" t="s">
        <v>732</v>
      </c>
      <c r="F186" t="s">
        <v>733</v>
      </c>
      <c r="G186">
        <f>IF(N186&lt;&gt;"",VLOOKUP(N186,zastavky!E:F,2,FALSE),"")</f>
        <v>103</v>
      </c>
      <c r="H186" t="s">
        <v>734</v>
      </c>
      <c r="I186" t="s">
        <v>735</v>
      </c>
      <c r="J186">
        <v>4</v>
      </c>
      <c r="K186" t="s">
        <v>18</v>
      </c>
      <c r="M186">
        <v>1</v>
      </c>
      <c r="N186" s="1" t="s">
        <v>2622</v>
      </c>
      <c r="O186" t="s">
        <v>2672</v>
      </c>
      <c r="P186" t="str">
        <f t="shared" si="2"/>
        <v>update zamestnanci set os_cislo='185', rfid='0013058765',cilova='HILITE',nastup='103' where os_cislo='185';</v>
      </c>
    </row>
    <row r="187" spans="1:16" x14ac:dyDescent="0.25">
      <c r="A187">
        <v>134</v>
      </c>
      <c r="B187" t="s">
        <v>736</v>
      </c>
      <c r="C187" s="4">
        <v>186</v>
      </c>
      <c r="D187" t="s">
        <v>737</v>
      </c>
      <c r="E187" t="s">
        <v>738</v>
      </c>
      <c r="F187" t="s">
        <v>739</v>
      </c>
      <c r="G187">
        <f>IF(N187&lt;&gt;"",VLOOKUP(N187,zastavky!E:F,2,FALSE),"")</f>
        <v>56</v>
      </c>
      <c r="H187" t="s">
        <v>740</v>
      </c>
      <c r="I187" t="s">
        <v>741</v>
      </c>
      <c r="J187">
        <v>4</v>
      </c>
      <c r="K187" t="s">
        <v>18</v>
      </c>
      <c r="M187">
        <v>1</v>
      </c>
      <c r="N187" s="1" t="s">
        <v>2620</v>
      </c>
      <c r="O187" t="s">
        <v>2672</v>
      </c>
      <c r="P187" t="str">
        <f t="shared" si="2"/>
        <v>update zamestnanci set os_cislo='186', rfid='0012991063',cilova='HILITE',nastup='56' where os_cislo='186';</v>
      </c>
    </row>
    <row r="188" spans="1:16" x14ac:dyDescent="0.25">
      <c r="A188">
        <v>135</v>
      </c>
      <c r="B188" t="s">
        <v>742</v>
      </c>
      <c r="C188" s="4">
        <v>187</v>
      </c>
      <c r="D188" t="s">
        <v>743</v>
      </c>
      <c r="E188" t="s">
        <v>744</v>
      </c>
      <c r="F188" t="s">
        <v>745</v>
      </c>
      <c r="G188" t="str">
        <f>IF(N188&lt;&gt;"",VLOOKUP(N188,zastavky!E:F,2,FALSE),"")</f>
        <v/>
      </c>
      <c r="H188" t="s">
        <v>746</v>
      </c>
      <c r="I188" t="s">
        <v>747</v>
      </c>
      <c r="J188">
        <v>4</v>
      </c>
      <c r="K188" t="s">
        <v>18</v>
      </c>
      <c r="M188">
        <v>1</v>
      </c>
      <c r="O188" t="s">
        <v>2672</v>
      </c>
      <c r="P188" t="str">
        <f t="shared" si="2"/>
        <v>update zamestnanci set os_cislo='187', rfid='0011598583',cilova='HILITE',nastup='' where os_cislo='187';</v>
      </c>
    </row>
    <row r="189" spans="1:16" x14ac:dyDescent="0.25">
      <c r="A189">
        <v>136</v>
      </c>
      <c r="B189" t="s">
        <v>748</v>
      </c>
      <c r="C189" s="4">
        <v>188</v>
      </c>
      <c r="D189" t="s">
        <v>749</v>
      </c>
      <c r="E189" t="s">
        <v>750</v>
      </c>
      <c r="F189" t="s">
        <v>751</v>
      </c>
      <c r="G189" t="str">
        <f>IF(N189&lt;&gt;"",VLOOKUP(N189,zastavky!E:F,2,FALSE),"")</f>
        <v/>
      </c>
      <c r="H189" t="s">
        <v>752</v>
      </c>
      <c r="I189" t="s">
        <v>753</v>
      </c>
      <c r="J189">
        <v>4</v>
      </c>
      <c r="K189" t="s">
        <v>18</v>
      </c>
      <c r="M189">
        <v>1</v>
      </c>
      <c r="O189" t="s">
        <v>2672</v>
      </c>
      <c r="P189" t="str">
        <f t="shared" si="2"/>
        <v>update zamestnanci set os_cislo='188', rfid='0012971953',cilova='HILITE',nastup='' where os_cislo='188';</v>
      </c>
    </row>
    <row r="190" spans="1:16" x14ac:dyDescent="0.25">
      <c r="A190">
        <v>137</v>
      </c>
      <c r="B190" t="s">
        <v>754</v>
      </c>
      <c r="C190" s="4">
        <v>189</v>
      </c>
      <c r="D190" t="s">
        <v>755</v>
      </c>
      <c r="E190" t="s">
        <v>756</v>
      </c>
      <c r="F190" t="s">
        <v>757</v>
      </c>
      <c r="G190">
        <f>IF(N190&lt;&gt;"",VLOOKUP(N190,zastavky!E:F,2,FALSE),"")</f>
        <v>54</v>
      </c>
      <c r="H190" t="s">
        <v>758</v>
      </c>
      <c r="I190" t="s">
        <v>759</v>
      </c>
      <c r="J190">
        <v>4</v>
      </c>
      <c r="K190" t="s">
        <v>18</v>
      </c>
      <c r="M190">
        <v>1</v>
      </c>
      <c r="N190" s="1" t="s">
        <v>2616</v>
      </c>
      <c r="O190" t="s">
        <v>2672</v>
      </c>
      <c r="P190" t="str">
        <f t="shared" si="2"/>
        <v>update zamestnanci set os_cislo='189', rfid='0012946852',cilova='HILITE',nastup='54' where os_cislo='189';</v>
      </c>
    </row>
    <row r="191" spans="1:16" x14ac:dyDescent="0.25">
      <c r="A191">
        <v>138</v>
      </c>
      <c r="B191" t="s">
        <v>760</v>
      </c>
      <c r="C191" s="4">
        <v>190</v>
      </c>
      <c r="D191" t="s">
        <v>761</v>
      </c>
      <c r="E191" t="s">
        <v>762</v>
      </c>
      <c r="F191" t="s">
        <v>763</v>
      </c>
      <c r="G191" t="str">
        <f>IF(N191&lt;&gt;"",VLOOKUP(N191,zastavky!E:F,2,FALSE),"")</f>
        <v/>
      </c>
      <c r="H191" t="s">
        <v>764</v>
      </c>
      <c r="I191" t="s">
        <v>765</v>
      </c>
      <c r="J191">
        <v>4</v>
      </c>
      <c r="K191" t="s">
        <v>18</v>
      </c>
      <c r="M191">
        <v>1</v>
      </c>
      <c r="O191" t="s">
        <v>2672</v>
      </c>
      <c r="P191" t="str">
        <f t="shared" si="2"/>
        <v>update zamestnanci set os_cislo='190', rfid='0013083707',cilova='HILITE',nastup='' where os_cislo='190';</v>
      </c>
    </row>
    <row r="192" spans="1:16" x14ac:dyDescent="0.25">
      <c r="A192">
        <v>139</v>
      </c>
      <c r="B192" t="s">
        <v>766</v>
      </c>
      <c r="C192" s="4">
        <v>191</v>
      </c>
      <c r="D192" t="s">
        <v>767</v>
      </c>
      <c r="E192" t="s">
        <v>768</v>
      </c>
      <c r="F192" t="s">
        <v>769</v>
      </c>
      <c r="G192" t="str">
        <f>IF(N192&lt;&gt;"",VLOOKUP(N192,zastavky!E:F,2,FALSE),"")</f>
        <v/>
      </c>
      <c r="H192" t="s">
        <v>770</v>
      </c>
      <c r="I192" t="s">
        <v>771</v>
      </c>
      <c r="J192">
        <v>4</v>
      </c>
      <c r="K192" t="s">
        <v>18</v>
      </c>
      <c r="M192">
        <v>1</v>
      </c>
      <c r="O192" t="s">
        <v>2672</v>
      </c>
      <c r="P192" t="str">
        <f t="shared" si="2"/>
        <v>update zamestnanci set os_cislo='191', rfid='0013076933',cilova='HILITE',nastup='' where os_cislo='191';</v>
      </c>
    </row>
    <row r="193" spans="1:16" x14ac:dyDescent="0.25">
      <c r="A193">
        <v>140</v>
      </c>
      <c r="B193" t="s">
        <v>772</v>
      </c>
      <c r="C193" s="4">
        <v>192</v>
      </c>
      <c r="D193" t="s">
        <v>773</v>
      </c>
      <c r="E193" t="s">
        <v>774</v>
      </c>
      <c r="F193" t="s">
        <v>775</v>
      </c>
      <c r="G193">
        <f>IF(N193&lt;&gt;"",VLOOKUP(N193,zastavky!E:F,2,FALSE),"")</f>
        <v>101</v>
      </c>
      <c r="H193" t="s">
        <v>776</v>
      </c>
      <c r="I193" t="s">
        <v>777</v>
      </c>
      <c r="J193">
        <v>4</v>
      </c>
      <c r="K193" t="s">
        <v>18</v>
      </c>
      <c r="M193">
        <v>1</v>
      </c>
      <c r="N193" s="1" t="s">
        <v>2621</v>
      </c>
      <c r="O193" t="s">
        <v>2672</v>
      </c>
      <c r="P193" t="str">
        <f t="shared" si="2"/>
        <v>update zamestnanci set os_cislo='192', rfid='0011609291',cilova='HILITE',nastup='101' where os_cislo='192';</v>
      </c>
    </row>
    <row r="194" spans="1:16" x14ac:dyDescent="0.25">
      <c r="A194">
        <v>141</v>
      </c>
      <c r="B194" t="s">
        <v>778</v>
      </c>
      <c r="C194" s="4">
        <v>193</v>
      </c>
      <c r="D194" t="s">
        <v>779</v>
      </c>
      <c r="E194" t="s">
        <v>780</v>
      </c>
      <c r="F194" t="s">
        <v>781</v>
      </c>
      <c r="G194">
        <f>IF(N194&lt;&gt;"",VLOOKUP(N194,zastavky!E:F,2,FALSE),"")</f>
        <v>55</v>
      </c>
      <c r="H194" t="s">
        <v>782</v>
      </c>
      <c r="I194" t="s">
        <v>783</v>
      </c>
      <c r="J194">
        <v>4</v>
      </c>
      <c r="K194" t="s">
        <v>18</v>
      </c>
      <c r="M194">
        <v>1</v>
      </c>
      <c r="N194" s="1" t="s">
        <v>2623</v>
      </c>
      <c r="O194" t="s">
        <v>2672</v>
      </c>
      <c r="P194" t="str">
        <f t="shared" si="2"/>
        <v>update zamestnanci set os_cislo='193', rfid='0011675538',cilova='HILITE',nastup='55' where os_cislo='193';</v>
      </c>
    </row>
    <row r="195" spans="1:16" x14ac:dyDescent="0.25">
      <c r="A195">
        <v>142</v>
      </c>
      <c r="B195" t="s">
        <v>784</v>
      </c>
      <c r="C195" s="4">
        <v>194</v>
      </c>
      <c r="D195" t="s">
        <v>785</v>
      </c>
      <c r="E195" t="s">
        <v>786</v>
      </c>
      <c r="F195" t="s">
        <v>787</v>
      </c>
      <c r="G195" t="str">
        <f>IF(N195&lt;&gt;"",VLOOKUP(N195,zastavky!E:F,2,FALSE),"")</f>
        <v/>
      </c>
      <c r="H195" t="s">
        <v>788</v>
      </c>
      <c r="I195" t="s">
        <v>789</v>
      </c>
      <c r="J195">
        <v>4</v>
      </c>
      <c r="K195" t="s">
        <v>18</v>
      </c>
      <c r="M195">
        <v>1</v>
      </c>
      <c r="O195" t="s">
        <v>2672</v>
      </c>
      <c r="P195" t="str">
        <f t="shared" ref="P195:P258" si="3">"update zamestnanci set os_cislo='" &amp; C195 &amp; "', rfid='" &amp; F195 &amp; "',cilova='" &amp; O195 &amp; "',nastup='" &amp; G195 &amp; "' where os_cislo='" &amp; C195 &amp; "';"</f>
        <v>update zamestnanci set os_cislo='194', rfid='0011704646',cilova='HILITE',nastup='' where os_cislo='194';</v>
      </c>
    </row>
    <row r="196" spans="1:16" x14ac:dyDescent="0.25">
      <c r="A196">
        <v>143</v>
      </c>
      <c r="B196" t="s">
        <v>790</v>
      </c>
      <c r="C196" s="4">
        <v>195</v>
      </c>
      <c r="D196" t="s">
        <v>791</v>
      </c>
      <c r="E196" t="s">
        <v>792</v>
      </c>
      <c r="F196" t="s">
        <v>793</v>
      </c>
      <c r="G196">
        <f>IF(N196&lt;&gt;"",VLOOKUP(N196,zastavky!E:F,2,FALSE),"")</f>
        <v>100</v>
      </c>
      <c r="H196" t="s">
        <v>794</v>
      </c>
      <c r="I196" t="s">
        <v>795</v>
      </c>
      <c r="J196">
        <v>4</v>
      </c>
      <c r="K196" t="s">
        <v>18</v>
      </c>
      <c r="M196">
        <v>1</v>
      </c>
      <c r="N196" s="1" t="s">
        <v>2581</v>
      </c>
      <c r="O196" t="s">
        <v>2672</v>
      </c>
      <c r="P196" t="str">
        <f t="shared" si="3"/>
        <v>update zamestnanci set os_cislo='195', rfid='0013013030',cilova='HILITE',nastup='100' where os_cislo='195';</v>
      </c>
    </row>
    <row r="197" spans="1:16" x14ac:dyDescent="0.25">
      <c r="A197">
        <v>144</v>
      </c>
      <c r="B197" t="s">
        <v>796</v>
      </c>
      <c r="C197" s="4">
        <v>196</v>
      </c>
      <c r="D197" t="s">
        <v>797</v>
      </c>
      <c r="E197" t="s">
        <v>798</v>
      </c>
      <c r="F197" t="s">
        <v>799</v>
      </c>
      <c r="G197" t="str">
        <f>IF(N197&lt;&gt;"",VLOOKUP(N197,zastavky!E:F,2,FALSE),"")</f>
        <v/>
      </c>
      <c r="H197" t="s">
        <v>800</v>
      </c>
      <c r="I197" t="s">
        <v>801</v>
      </c>
      <c r="J197">
        <v>4</v>
      </c>
      <c r="K197" t="s">
        <v>18</v>
      </c>
      <c r="M197">
        <v>1</v>
      </c>
      <c r="O197" t="s">
        <v>2672</v>
      </c>
      <c r="P197" t="str">
        <f t="shared" si="3"/>
        <v>update zamestnanci set os_cislo='196', rfid='0011642035',cilova='HILITE',nastup='' where os_cislo='196';</v>
      </c>
    </row>
    <row r="198" spans="1:16" x14ac:dyDescent="0.25">
      <c r="A198">
        <v>145</v>
      </c>
      <c r="B198" t="s">
        <v>802</v>
      </c>
      <c r="C198" s="4">
        <v>197</v>
      </c>
      <c r="D198" t="s">
        <v>803</v>
      </c>
      <c r="E198" t="s">
        <v>804</v>
      </c>
      <c r="F198" t="s">
        <v>805</v>
      </c>
      <c r="G198" t="str">
        <f>IF(N198&lt;&gt;"",VLOOKUP(N198,zastavky!E:F,2,FALSE),"")</f>
        <v/>
      </c>
      <c r="H198" t="s">
        <v>806</v>
      </c>
      <c r="I198" t="s">
        <v>807</v>
      </c>
      <c r="J198">
        <v>4</v>
      </c>
      <c r="K198" t="s">
        <v>18</v>
      </c>
      <c r="M198">
        <v>1</v>
      </c>
      <c r="O198" t="s">
        <v>2672</v>
      </c>
      <c r="P198" t="str">
        <f t="shared" si="3"/>
        <v>update zamestnanci set os_cislo='197', rfid='0011766449',cilova='HILITE',nastup='' where os_cislo='197';</v>
      </c>
    </row>
    <row r="199" spans="1:16" x14ac:dyDescent="0.25">
      <c r="A199">
        <v>146</v>
      </c>
      <c r="B199" t="s">
        <v>808</v>
      </c>
      <c r="C199" s="4">
        <v>198</v>
      </c>
      <c r="D199" t="s">
        <v>809</v>
      </c>
      <c r="E199" t="s">
        <v>810</v>
      </c>
      <c r="F199" t="s">
        <v>811</v>
      </c>
      <c r="G199">
        <f>IF(N199&lt;&gt;"",VLOOKUP(N199,zastavky!E:F,2,FALSE),"")</f>
        <v>54</v>
      </c>
      <c r="H199" t="s">
        <v>812</v>
      </c>
      <c r="I199" t="s">
        <v>813</v>
      </c>
      <c r="J199">
        <v>4</v>
      </c>
      <c r="K199" t="s">
        <v>18</v>
      </c>
      <c r="M199">
        <v>1</v>
      </c>
      <c r="N199" s="1" t="s">
        <v>2616</v>
      </c>
      <c r="O199" t="s">
        <v>2672</v>
      </c>
      <c r="P199" t="str">
        <f t="shared" si="3"/>
        <v>update zamestnanci set os_cislo='198', rfid='0011765266',cilova='HILITE',nastup='54' where os_cislo='198';</v>
      </c>
    </row>
    <row r="200" spans="1:16" x14ac:dyDescent="0.25">
      <c r="A200">
        <v>147</v>
      </c>
      <c r="B200" t="s">
        <v>814</v>
      </c>
      <c r="C200" s="4">
        <v>199</v>
      </c>
      <c r="D200" t="s">
        <v>815</v>
      </c>
      <c r="E200" t="s">
        <v>816</v>
      </c>
      <c r="F200" t="s">
        <v>817</v>
      </c>
      <c r="G200" t="str">
        <f>IF(N200&lt;&gt;"",VLOOKUP(N200,zastavky!E:F,2,FALSE),"")</f>
        <v/>
      </c>
      <c r="H200" t="s">
        <v>818</v>
      </c>
      <c r="I200" t="s">
        <v>819</v>
      </c>
      <c r="J200">
        <v>4</v>
      </c>
      <c r="K200" t="s">
        <v>18</v>
      </c>
      <c r="M200">
        <v>1</v>
      </c>
      <c r="O200" t="s">
        <v>2672</v>
      </c>
      <c r="P200" t="str">
        <f t="shared" si="3"/>
        <v>update zamestnanci set os_cislo='199', rfid='0013050746',cilova='HILITE',nastup='' where os_cislo='199';</v>
      </c>
    </row>
    <row r="201" spans="1:16" x14ac:dyDescent="0.25">
      <c r="A201">
        <v>148</v>
      </c>
      <c r="B201" t="s">
        <v>820</v>
      </c>
      <c r="C201" s="4">
        <v>200</v>
      </c>
      <c r="D201" t="s">
        <v>821</v>
      </c>
      <c r="E201" t="s">
        <v>822</v>
      </c>
      <c r="F201" t="s">
        <v>823</v>
      </c>
      <c r="G201">
        <f>IF(N201&lt;&gt;"",VLOOKUP(N201,zastavky!E:F,2,FALSE),"")</f>
        <v>103</v>
      </c>
      <c r="H201" t="s">
        <v>824</v>
      </c>
      <c r="I201" t="s">
        <v>825</v>
      </c>
      <c r="J201">
        <v>4</v>
      </c>
      <c r="K201" t="s">
        <v>18</v>
      </c>
      <c r="M201">
        <v>1</v>
      </c>
      <c r="N201" s="1" t="s">
        <v>2622</v>
      </c>
      <c r="O201" t="s">
        <v>2672</v>
      </c>
      <c r="P201" t="str">
        <f t="shared" si="3"/>
        <v>update zamestnanci set os_cislo='200', rfid='0013049688',cilova='HILITE',nastup='103' where os_cislo='200';</v>
      </c>
    </row>
    <row r="202" spans="1:16" x14ac:dyDescent="0.25">
      <c r="A202">
        <v>149</v>
      </c>
      <c r="B202" t="s">
        <v>826</v>
      </c>
      <c r="C202" s="4">
        <v>201</v>
      </c>
      <c r="D202" t="s">
        <v>827</v>
      </c>
      <c r="E202" t="s">
        <v>828</v>
      </c>
      <c r="F202" t="s">
        <v>829</v>
      </c>
      <c r="G202">
        <f>IF(N202&lt;&gt;"",VLOOKUP(N202,zastavky!E:F,2,FALSE),"")</f>
        <v>100</v>
      </c>
      <c r="H202" t="s">
        <v>830</v>
      </c>
      <c r="I202" t="s">
        <v>831</v>
      </c>
      <c r="J202">
        <v>4</v>
      </c>
      <c r="K202" t="s">
        <v>18</v>
      </c>
      <c r="M202">
        <v>1</v>
      </c>
      <c r="N202" s="1" t="s">
        <v>2581</v>
      </c>
      <c r="O202" t="s">
        <v>2672</v>
      </c>
      <c r="P202" t="str">
        <f t="shared" si="3"/>
        <v>update zamestnanci set os_cislo='201', rfid='0012001867',cilova='HILITE',nastup='100' where os_cislo='201';</v>
      </c>
    </row>
    <row r="203" spans="1:16" x14ac:dyDescent="0.25">
      <c r="A203">
        <v>150</v>
      </c>
      <c r="B203" t="s">
        <v>832</v>
      </c>
      <c r="C203" s="4">
        <v>202</v>
      </c>
      <c r="D203" t="s">
        <v>833</v>
      </c>
      <c r="E203" t="s">
        <v>834</v>
      </c>
      <c r="F203" t="s">
        <v>835</v>
      </c>
      <c r="G203">
        <f>IF(N203&lt;&gt;"",VLOOKUP(N203,zastavky!E:F,2,FALSE),"")</f>
        <v>57</v>
      </c>
      <c r="H203" t="s">
        <v>836</v>
      </c>
      <c r="I203" t="s">
        <v>837</v>
      </c>
      <c r="J203">
        <v>4</v>
      </c>
      <c r="K203" t="s">
        <v>18</v>
      </c>
      <c r="M203">
        <v>1</v>
      </c>
      <c r="N203" s="1" t="s">
        <v>2617</v>
      </c>
      <c r="O203" t="s">
        <v>2672</v>
      </c>
      <c r="P203" t="str">
        <f t="shared" si="3"/>
        <v>update zamestnanci set os_cislo='202', rfid='0013390528',cilova='HILITE',nastup='57' where os_cislo='202';</v>
      </c>
    </row>
    <row r="204" spans="1:16" x14ac:dyDescent="0.25">
      <c r="A204">
        <v>151</v>
      </c>
      <c r="B204" t="s">
        <v>838</v>
      </c>
      <c r="C204" s="4">
        <v>203</v>
      </c>
      <c r="D204" t="s">
        <v>839</v>
      </c>
      <c r="E204" t="s">
        <v>840</v>
      </c>
      <c r="F204" t="s">
        <v>841</v>
      </c>
      <c r="G204" t="str">
        <f>IF(N204&lt;&gt;"",VLOOKUP(N204,zastavky!E:F,2,FALSE),"")</f>
        <v/>
      </c>
      <c r="H204" t="s">
        <v>842</v>
      </c>
      <c r="I204" t="s">
        <v>843</v>
      </c>
      <c r="J204">
        <v>4</v>
      </c>
      <c r="K204" t="s">
        <v>18</v>
      </c>
      <c r="M204">
        <v>1</v>
      </c>
      <c r="O204" t="s">
        <v>2672</v>
      </c>
      <c r="P204" t="str">
        <f t="shared" si="3"/>
        <v>update zamestnanci set os_cislo='203', rfid='0011962568',cilova='HILITE',nastup='' where os_cislo='203';</v>
      </c>
    </row>
    <row r="205" spans="1:16" x14ac:dyDescent="0.25">
      <c r="A205">
        <v>152</v>
      </c>
      <c r="B205" t="s">
        <v>844</v>
      </c>
      <c r="C205" s="4">
        <v>204</v>
      </c>
      <c r="D205" t="s">
        <v>845</v>
      </c>
      <c r="E205" t="s">
        <v>846</v>
      </c>
      <c r="F205" t="s">
        <v>847</v>
      </c>
      <c r="G205">
        <f>IF(N205&lt;&gt;"",VLOOKUP(N205,zastavky!E:F,2,FALSE),"")</f>
        <v>54</v>
      </c>
      <c r="H205" t="s">
        <v>848</v>
      </c>
      <c r="I205" t="s">
        <v>849</v>
      </c>
      <c r="J205">
        <v>4</v>
      </c>
      <c r="K205" t="s">
        <v>18</v>
      </c>
      <c r="M205">
        <v>1</v>
      </c>
      <c r="N205" s="1" t="s">
        <v>2616</v>
      </c>
      <c r="O205" t="s">
        <v>2672</v>
      </c>
      <c r="P205" t="str">
        <f t="shared" si="3"/>
        <v>update zamestnanci set os_cislo='204', rfid='0013390743',cilova='HILITE',nastup='54' where os_cislo='204';</v>
      </c>
    </row>
    <row r="206" spans="1:16" x14ac:dyDescent="0.25">
      <c r="A206">
        <v>153</v>
      </c>
      <c r="B206" t="s">
        <v>454</v>
      </c>
      <c r="C206" s="4">
        <v>205</v>
      </c>
      <c r="D206" t="s">
        <v>850</v>
      </c>
      <c r="E206" t="s">
        <v>616</v>
      </c>
      <c r="F206" t="s">
        <v>851</v>
      </c>
      <c r="G206">
        <f>IF(N206&lt;&gt;"",VLOOKUP(N206,zastavky!E:F,2,FALSE),"")</f>
        <v>57</v>
      </c>
      <c r="H206" t="s">
        <v>852</v>
      </c>
      <c r="I206" t="s">
        <v>853</v>
      </c>
      <c r="J206">
        <v>4</v>
      </c>
      <c r="K206" t="s">
        <v>18</v>
      </c>
      <c r="M206">
        <v>1</v>
      </c>
      <c r="N206" s="1" t="s">
        <v>2617</v>
      </c>
      <c r="O206" t="s">
        <v>2672</v>
      </c>
      <c r="P206" t="str">
        <f t="shared" si="3"/>
        <v>update zamestnanci set os_cislo='205', rfid='0013384755',cilova='HILITE',nastup='57' where os_cislo='205';</v>
      </c>
    </row>
    <row r="207" spans="1:16" x14ac:dyDescent="0.25">
      <c r="A207">
        <v>154</v>
      </c>
      <c r="B207" t="s">
        <v>854</v>
      </c>
      <c r="C207" s="4">
        <v>206</v>
      </c>
      <c r="D207" t="s">
        <v>502</v>
      </c>
      <c r="E207" t="s">
        <v>855</v>
      </c>
      <c r="F207" t="s">
        <v>856</v>
      </c>
      <c r="G207" t="str">
        <f>IF(N207&lt;&gt;"",VLOOKUP(N207,zastavky!E:F,2,FALSE),"")</f>
        <v/>
      </c>
      <c r="H207" t="s">
        <v>857</v>
      </c>
      <c r="I207" t="s">
        <v>858</v>
      </c>
      <c r="J207">
        <v>4</v>
      </c>
      <c r="K207" t="s">
        <v>18</v>
      </c>
      <c r="M207">
        <v>1</v>
      </c>
      <c r="O207" t="s">
        <v>2672</v>
      </c>
      <c r="P207" t="str">
        <f t="shared" si="3"/>
        <v>update zamestnanci set os_cislo='206', rfid='0013308933',cilova='HILITE',nastup='' where os_cislo='206';</v>
      </c>
    </row>
    <row r="208" spans="1:16" x14ac:dyDescent="0.25">
      <c r="A208">
        <v>155</v>
      </c>
      <c r="B208" t="s">
        <v>859</v>
      </c>
      <c r="C208" s="4">
        <v>207</v>
      </c>
      <c r="D208" t="s">
        <v>860</v>
      </c>
      <c r="E208" t="s">
        <v>861</v>
      </c>
      <c r="F208" t="s">
        <v>862</v>
      </c>
      <c r="G208">
        <f>IF(N208&lt;&gt;"",VLOOKUP(N208,zastavky!E:F,2,FALSE),"")</f>
        <v>100</v>
      </c>
      <c r="H208" t="s">
        <v>863</v>
      </c>
      <c r="I208" t="s">
        <v>864</v>
      </c>
      <c r="J208">
        <v>4</v>
      </c>
      <c r="K208" t="s">
        <v>18</v>
      </c>
      <c r="M208">
        <v>1</v>
      </c>
      <c r="N208" s="1" t="s">
        <v>2581</v>
      </c>
      <c r="O208" t="s">
        <v>2672</v>
      </c>
      <c r="P208" t="str">
        <f t="shared" si="3"/>
        <v>update zamestnanci set os_cislo='207', rfid='0011995107',cilova='HILITE',nastup='100' where os_cislo='207';</v>
      </c>
    </row>
    <row r="209" spans="1:16" x14ac:dyDescent="0.25">
      <c r="A209">
        <v>156</v>
      </c>
      <c r="B209" t="s">
        <v>865</v>
      </c>
      <c r="C209" s="4">
        <v>208</v>
      </c>
      <c r="D209" t="s">
        <v>866</v>
      </c>
      <c r="E209" t="s">
        <v>867</v>
      </c>
      <c r="F209" t="s">
        <v>868</v>
      </c>
      <c r="G209">
        <f>IF(N209&lt;&gt;"",VLOOKUP(N209,zastavky!E:F,2,FALSE),"")</f>
        <v>100</v>
      </c>
      <c r="H209" t="s">
        <v>869</v>
      </c>
      <c r="I209" t="s">
        <v>870</v>
      </c>
      <c r="J209">
        <v>4</v>
      </c>
      <c r="K209" t="s">
        <v>18</v>
      </c>
      <c r="M209">
        <v>1</v>
      </c>
      <c r="N209" s="1" t="s">
        <v>2581</v>
      </c>
      <c r="O209" t="s">
        <v>2672</v>
      </c>
      <c r="P209" t="str">
        <f t="shared" si="3"/>
        <v>update zamestnanci set os_cislo='208', rfid='0013373156',cilova='HILITE',nastup='100' where os_cislo='208';</v>
      </c>
    </row>
    <row r="210" spans="1:16" x14ac:dyDescent="0.25">
      <c r="A210">
        <v>157</v>
      </c>
      <c r="B210" t="s">
        <v>871</v>
      </c>
      <c r="C210" s="4">
        <v>209</v>
      </c>
      <c r="D210" t="s">
        <v>872</v>
      </c>
      <c r="E210" t="s">
        <v>873</v>
      </c>
      <c r="F210" t="s">
        <v>874</v>
      </c>
      <c r="G210" t="str">
        <f>IF(N210&lt;&gt;"",VLOOKUP(N210,zastavky!E:F,2,FALSE),"")</f>
        <v/>
      </c>
      <c r="H210" t="s">
        <v>875</v>
      </c>
      <c r="I210" t="s">
        <v>876</v>
      </c>
      <c r="J210">
        <v>4</v>
      </c>
      <c r="K210" t="s">
        <v>18</v>
      </c>
      <c r="M210">
        <v>1</v>
      </c>
      <c r="O210" t="s">
        <v>2672</v>
      </c>
      <c r="P210" t="str">
        <f t="shared" si="3"/>
        <v>update zamestnanci set os_cislo='209', rfid='0013335643',cilova='HILITE',nastup='' where os_cislo='209';</v>
      </c>
    </row>
    <row r="211" spans="1:16" x14ac:dyDescent="0.25">
      <c r="A211">
        <v>158</v>
      </c>
      <c r="B211" t="s">
        <v>877</v>
      </c>
      <c r="C211" s="4">
        <v>210</v>
      </c>
      <c r="D211" t="s">
        <v>878</v>
      </c>
      <c r="E211" t="s">
        <v>879</v>
      </c>
      <c r="F211" t="s">
        <v>880</v>
      </c>
      <c r="G211">
        <f>IF(N211&lt;&gt;"",VLOOKUP(N211,zastavky!E:F,2,FALSE),"")</f>
        <v>57</v>
      </c>
      <c r="H211" t="s">
        <v>881</v>
      </c>
      <c r="I211" t="s">
        <v>882</v>
      </c>
      <c r="J211">
        <v>4</v>
      </c>
      <c r="K211" t="s">
        <v>18</v>
      </c>
      <c r="M211">
        <v>1</v>
      </c>
      <c r="N211" s="1" t="s">
        <v>2617</v>
      </c>
      <c r="O211" t="s">
        <v>2672</v>
      </c>
      <c r="P211" t="str">
        <f t="shared" si="3"/>
        <v>update zamestnanci set os_cislo='210', rfid='0011842666',cilova='HILITE',nastup='57' where os_cislo='210';</v>
      </c>
    </row>
    <row r="212" spans="1:16" x14ac:dyDescent="0.25">
      <c r="A212">
        <v>159</v>
      </c>
      <c r="B212" t="s">
        <v>883</v>
      </c>
      <c r="C212" s="4">
        <v>211</v>
      </c>
      <c r="D212" t="s">
        <v>884</v>
      </c>
      <c r="E212" t="s">
        <v>885</v>
      </c>
      <c r="F212" t="s">
        <v>886</v>
      </c>
      <c r="G212" t="str">
        <f>IF(N212&lt;&gt;"",VLOOKUP(N212,zastavky!E:F,2,FALSE),"")</f>
        <v/>
      </c>
      <c r="H212" t="s">
        <v>887</v>
      </c>
      <c r="I212" t="s">
        <v>888</v>
      </c>
      <c r="J212">
        <v>4</v>
      </c>
      <c r="K212" t="s">
        <v>18</v>
      </c>
      <c r="M212">
        <v>1</v>
      </c>
      <c r="O212" t="s">
        <v>2672</v>
      </c>
      <c r="P212" t="str">
        <f t="shared" si="3"/>
        <v>update zamestnanci set os_cislo='211', rfid='0013055194',cilova='HILITE',nastup='' where os_cislo='211';</v>
      </c>
    </row>
    <row r="213" spans="1:16" x14ac:dyDescent="0.25">
      <c r="A213">
        <v>160</v>
      </c>
      <c r="B213" t="s">
        <v>889</v>
      </c>
      <c r="C213" s="4">
        <v>212</v>
      </c>
      <c r="D213" t="s">
        <v>890</v>
      </c>
      <c r="E213" t="s">
        <v>891</v>
      </c>
      <c r="F213" t="s">
        <v>892</v>
      </c>
      <c r="G213" t="str">
        <f>IF(N213&lt;&gt;"",VLOOKUP(N213,zastavky!E:F,2,FALSE),"")</f>
        <v/>
      </c>
      <c r="H213" t="s">
        <v>893</v>
      </c>
      <c r="I213" t="s">
        <v>894</v>
      </c>
      <c r="J213">
        <v>4</v>
      </c>
      <c r="K213" t="s">
        <v>18</v>
      </c>
      <c r="M213">
        <v>1</v>
      </c>
      <c r="O213" t="s">
        <v>2672</v>
      </c>
      <c r="P213" t="str">
        <f t="shared" si="3"/>
        <v>update zamestnanci set os_cislo='212', rfid='0013069516',cilova='HILITE',nastup='' where os_cislo='212';</v>
      </c>
    </row>
    <row r="214" spans="1:16" x14ac:dyDescent="0.25">
      <c r="A214">
        <v>161</v>
      </c>
      <c r="B214" t="s">
        <v>895</v>
      </c>
      <c r="C214" s="4">
        <v>213</v>
      </c>
      <c r="D214" t="s">
        <v>896</v>
      </c>
      <c r="E214" t="s">
        <v>897</v>
      </c>
      <c r="F214" t="s">
        <v>898</v>
      </c>
      <c r="G214" t="str">
        <f>IF(N214&lt;&gt;"",VLOOKUP(N214,zastavky!E:F,2,FALSE),"")</f>
        <v/>
      </c>
      <c r="H214" t="s">
        <v>899</v>
      </c>
      <c r="I214" t="s">
        <v>900</v>
      </c>
      <c r="J214">
        <v>4</v>
      </c>
      <c r="K214" t="s">
        <v>18</v>
      </c>
      <c r="M214">
        <v>1</v>
      </c>
      <c r="O214" t="s">
        <v>2672</v>
      </c>
      <c r="P214" t="str">
        <f t="shared" si="3"/>
        <v>update zamestnanci set os_cislo='213', rfid='0013068368',cilova='HILITE',nastup='' where os_cislo='213';</v>
      </c>
    </row>
    <row r="215" spans="1:16" x14ac:dyDescent="0.25">
      <c r="A215">
        <v>162</v>
      </c>
      <c r="B215" t="s">
        <v>901</v>
      </c>
      <c r="C215" s="4">
        <v>214</v>
      </c>
      <c r="D215" t="s">
        <v>902</v>
      </c>
      <c r="E215" t="s">
        <v>903</v>
      </c>
      <c r="F215" t="s">
        <v>904</v>
      </c>
      <c r="G215">
        <f>IF(N215&lt;&gt;"",VLOOKUP(N215,zastavky!E:F,2,FALSE),"")</f>
        <v>100</v>
      </c>
      <c r="H215" t="s">
        <v>905</v>
      </c>
      <c r="I215" t="s">
        <v>906</v>
      </c>
      <c r="J215">
        <v>4</v>
      </c>
      <c r="K215" t="s">
        <v>18</v>
      </c>
      <c r="M215">
        <v>1</v>
      </c>
      <c r="N215" s="1" t="s">
        <v>2581</v>
      </c>
      <c r="O215" t="s">
        <v>2672</v>
      </c>
      <c r="P215" t="str">
        <f t="shared" si="3"/>
        <v>update zamestnanci set os_cislo='214', rfid='0013122215',cilova='HILITE',nastup='100' where os_cislo='214';</v>
      </c>
    </row>
    <row r="216" spans="1:16" x14ac:dyDescent="0.25">
      <c r="A216">
        <v>163</v>
      </c>
      <c r="B216" t="s">
        <v>907</v>
      </c>
      <c r="C216" s="4">
        <v>215</v>
      </c>
      <c r="D216" t="s">
        <v>908</v>
      </c>
      <c r="E216" t="s">
        <v>909</v>
      </c>
      <c r="F216" t="s">
        <v>910</v>
      </c>
      <c r="G216">
        <f>IF(N216&lt;&gt;"",VLOOKUP(N216,zastavky!E:F,2,FALSE),"")</f>
        <v>102</v>
      </c>
      <c r="H216" t="s">
        <v>911</v>
      </c>
      <c r="I216" t="s">
        <v>912</v>
      </c>
      <c r="J216">
        <v>4</v>
      </c>
      <c r="K216" t="s">
        <v>18</v>
      </c>
      <c r="M216">
        <v>1</v>
      </c>
      <c r="N216" s="1" t="s">
        <v>2618</v>
      </c>
      <c r="O216" t="s">
        <v>2672</v>
      </c>
      <c r="P216" t="str">
        <f t="shared" si="3"/>
        <v>update zamestnanci set os_cislo='215', rfid='0013027539',cilova='HILITE',nastup='102' where os_cislo='215';</v>
      </c>
    </row>
    <row r="217" spans="1:16" x14ac:dyDescent="0.25">
      <c r="A217">
        <v>164</v>
      </c>
      <c r="B217" t="s">
        <v>913</v>
      </c>
      <c r="C217" s="4">
        <v>216</v>
      </c>
      <c r="D217" t="s">
        <v>914</v>
      </c>
      <c r="E217" t="s">
        <v>915</v>
      </c>
      <c r="F217" s="7" t="s">
        <v>916</v>
      </c>
      <c r="G217">
        <f>IF(N217&lt;&gt;"",VLOOKUP(N217,zastavky!E:F,2,FALSE),"")</f>
        <v>102</v>
      </c>
      <c r="H217" t="s">
        <v>917</v>
      </c>
      <c r="I217" t="s">
        <v>918</v>
      </c>
      <c r="J217">
        <v>4</v>
      </c>
      <c r="K217" t="s">
        <v>18</v>
      </c>
      <c r="M217">
        <v>1</v>
      </c>
      <c r="N217" s="1" t="s">
        <v>2618</v>
      </c>
      <c r="O217" t="s">
        <v>2672</v>
      </c>
      <c r="P217" t="str">
        <f t="shared" si="3"/>
        <v>update zamestnanci set os_cislo='216', rfid='0011613672',cilova='HILITE',nastup='102' where os_cislo='216';</v>
      </c>
    </row>
    <row r="218" spans="1:16" x14ac:dyDescent="0.25">
      <c r="A218">
        <v>165</v>
      </c>
      <c r="B218" t="s">
        <v>919</v>
      </c>
      <c r="C218" s="4">
        <v>217</v>
      </c>
      <c r="D218" t="s">
        <v>920</v>
      </c>
      <c r="E218" t="s">
        <v>497</v>
      </c>
      <c r="F218" s="7" t="s">
        <v>921</v>
      </c>
      <c r="G218" t="str">
        <f>IF(N218&lt;&gt;"",VLOOKUP(N218,zastavky!E:F,2,FALSE),"")</f>
        <v/>
      </c>
      <c r="H218" t="s">
        <v>922</v>
      </c>
      <c r="I218" t="s">
        <v>923</v>
      </c>
      <c r="J218">
        <v>4</v>
      </c>
      <c r="K218" t="s">
        <v>18</v>
      </c>
      <c r="M218">
        <v>1</v>
      </c>
      <c r="O218" t="s">
        <v>2672</v>
      </c>
      <c r="P218" t="str">
        <f t="shared" si="3"/>
        <v>update zamestnanci set os_cislo='217', rfid='0012017941',cilova='HILITE',nastup='' where os_cislo='217';</v>
      </c>
    </row>
    <row r="219" spans="1:16" x14ac:dyDescent="0.25">
      <c r="A219">
        <v>166</v>
      </c>
      <c r="B219" t="s">
        <v>924</v>
      </c>
      <c r="C219" s="4">
        <v>218</v>
      </c>
      <c r="D219" t="s">
        <v>925</v>
      </c>
      <c r="E219" t="s">
        <v>926</v>
      </c>
      <c r="F219" s="6" t="s">
        <v>2690</v>
      </c>
      <c r="G219">
        <f>IF(N219&lt;&gt;"",VLOOKUP(N219,zastavky!E:F,2,FALSE),"")</f>
        <v>156</v>
      </c>
      <c r="H219" t="s">
        <v>927</v>
      </c>
      <c r="I219" t="s">
        <v>928</v>
      </c>
      <c r="J219">
        <v>6</v>
      </c>
      <c r="K219" t="s">
        <v>18</v>
      </c>
      <c r="M219">
        <v>1</v>
      </c>
      <c r="N219" s="1" t="s">
        <v>2636</v>
      </c>
      <c r="O219" t="s">
        <v>2673</v>
      </c>
      <c r="P219" t="str">
        <f t="shared" si="3"/>
        <v>update zamestnanci set os_cislo='218', rfid='0013332948',cilova='DONGHEE',nastup='156' where os_cislo='218';</v>
      </c>
    </row>
    <row r="220" spans="1:16" x14ac:dyDescent="0.25">
      <c r="A220">
        <v>167</v>
      </c>
      <c r="B220" t="s">
        <v>929</v>
      </c>
      <c r="C220" s="4">
        <v>219</v>
      </c>
      <c r="D220" t="s">
        <v>930</v>
      </c>
      <c r="E220" t="s">
        <v>931</v>
      </c>
      <c r="F220" s="6" t="s">
        <v>2691</v>
      </c>
      <c r="G220">
        <f>IF(N220&lt;&gt;"",VLOOKUP(N220,zastavky!E:F,2,FALSE),"")</f>
        <v>156</v>
      </c>
      <c r="H220" t="s">
        <v>932</v>
      </c>
      <c r="I220" t="s">
        <v>933</v>
      </c>
      <c r="J220">
        <v>6</v>
      </c>
      <c r="K220" t="s">
        <v>18</v>
      </c>
      <c r="M220">
        <v>1</v>
      </c>
      <c r="N220" s="1" t="s">
        <v>2636</v>
      </c>
      <c r="O220" t="s">
        <v>2673</v>
      </c>
      <c r="P220" t="str">
        <f t="shared" si="3"/>
        <v>update zamestnanci set os_cislo='219', rfid='0013371457',cilova='DONGHEE',nastup='156' where os_cislo='219';</v>
      </c>
    </row>
    <row r="221" spans="1:16" x14ac:dyDescent="0.25">
      <c r="A221">
        <v>168</v>
      </c>
      <c r="B221" t="s">
        <v>934</v>
      </c>
      <c r="C221" s="4">
        <v>220</v>
      </c>
      <c r="D221" t="s">
        <v>935</v>
      </c>
      <c r="E221" t="s">
        <v>936</v>
      </c>
      <c r="F221" s="6" t="s">
        <v>2692</v>
      </c>
      <c r="G221">
        <f>IF(N221&lt;&gt;"",VLOOKUP(N221,zastavky!E:F,2,FALSE),"")</f>
        <v>100</v>
      </c>
      <c r="H221" t="s">
        <v>937</v>
      </c>
      <c r="I221" t="s">
        <v>938</v>
      </c>
      <c r="J221">
        <v>6</v>
      </c>
      <c r="K221" t="s">
        <v>18</v>
      </c>
      <c r="M221">
        <v>1</v>
      </c>
      <c r="N221" s="1" t="s">
        <v>2581</v>
      </c>
      <c r="O221" t="s">
        <v>2673</v>
      </c>
      <c r="P221" t="str">
        <f t="shared" si="3"/>
        <v>update zamestnanci set os_cislo='220', rfid='0013392876',cilova='DONGHEE',nastup='100' where os_cislo='220';</v>
      </c>
    </row>
    <row r="222" spans="1:16" x14ac:dyDescent="0.25">
      <c r="A222">
        <v>169</v>
      </c>
      <c r="B222" t="s">
        <v>939</v>
      </c>
      <c r="C222" s="4">
        <v>221</v>
      </c>
      <c r="D222" t="s">
        <v>940</v>
      </c>
      <c r="E222" t="s">
        <v>941</v>
      </c>
      <c r="F222" s="6" t="s">
        <v>2693</v>
      </c>
      <c r="G222">
        <f>IF(N222&lt;&gt;"",VLOOKUP(N222,zastavky!E:F,2,FALSE),"")</f>
        <v>100</v>
      </c>
      <c r="H222" t="s">
        <v>942</v>
      </c>
      <c r="I222" t="s">
        <v>943</v>
      </c>
      <c r="J222">
        <v>6</v>
      </c>
      <c r="K222" t="s">
        <v>18</v>
      </c>
      <c r="M222">
        <v>1</v>
      </c>
      <c r="N222" s="1" t="s">
        <v>2581</v>
      </c>
      <c r="O222" t="s">
        <v>2673</v>
      </c>
      <c r="P222" t="str">
        <f t="shared" si="3"/>
        <v>update zamestnanci set os_cislo='221', rfid='0011966825',cilova='DONGHEE',nastup='100' where os_cislo='221';</v>
      </c>
    </row>
    <row r="223" spans="1:16" x14ac:dyDescent="0.25">
      <c r="A223">
        <v>170</v>
      </c>
      <c r="B223" t="s">
        <v>944</v>
      </c>
      <c r="C223" s="4">
        <v>222</v>
      </c>
      <c r="D223" t="s">
        <v>264</v>
      </c>
      <c r="E223" t="s">
        <v>945</v>
      </c>
      <c r="F223" s="6" t="s">
        <v>2694</v>
      </c>
      <c r="G223">
        <f>IF(N223&lt;&gt;"",VLOOKUP(N223,zastavky!E:F,2,FALSE),"")</f>
        <v>164</v>
      </c>
      <c r="H223" t="s">
        <v>946</v>
      </c>
      <c r="I223" t="s">
        <v>947</v>
      </c>
      <c r="J223">
        <v>6</v>
      </c>
      <c r="K223" t="s">
        <v>18</v>
      </c>
      <c r="M223">
        <v>1</v>
      </c>
      <c r="N223" s="1" t="s">
        <v>2637</v>
      </c>
      <c r="O223" t="s">
        <v>2673</v>
      </c>
      <c r="P223" t="str">
        <f t="shared" si="3"/>
        <v>update zamestnanci set os_cislo='222', rfid='0011727280',cilova='DONGHEE',nastup='164' where os_cislo='222';</v>
      </c>
    </row>
    <row r="224" spans="1:16" x14ac:dyDescent="0.25">
      <c r="A224">
        <v>171</v>
      </c>
      <c r="B224" t="s">
        <v>948</v>
      </c>
      <c r="C224" s="4">
        <v>223</v>
      </c>
      <c r="D224" t="s">
        <v>949</v>
      </c>
      <c r="E224" t="s">
        <v>950</v>
      </c>
      <c r="F224" s="6" t="s">
        <v>2695</v>
      </c>
      <c r="G224">
        <f>IF(N224&lt;&gt;"",VLOOKUP(N224,zastavky!E:F,2,FALSE),"")</f>
        <v>156</v>
      </c>
      <c r="H224" t="s">
        <v>951</v>
      </c>
      <c r="I224" t="s">
        <v>952</v>
      </c>
      <c r="J224">
        <v>6</v>
      </c>
      <c r="K224" t="s">
        <v>18</v>
      </c>
      <c r="M224">
        <v>1</v>
      </c>
      <c r="N224" s="1" t="s">
        <v>2636</v>
      </c>
      <c r="O224" t="s">
        <v>2673</v>
      </c>
      <c r="P224" t="str">
        <f t="shared" si="3"/>
        <v>update zamestnanci set os_cislo='223', rfid='0011739808',cilova='DONGHEE',nastup='156' where os_cislo='223';</v>
      </c>
    </row>
    <row r="225" spans="1:16" x14ac:dyDescent="0.25">
      <c r="A225">
        <v>172</v>
      </c>
      <c r="B225" t="s">
        <v>953</v>
      </c>
      <c r="C225" s="4">
        <v>224</v>
      </c>
      <c r="D225" t="s">
        <v>954</v>
      </c>
      <c r="E225" t="s">
        <v>955</v>
      </c>
      <c r="F225" s="6" t="s">
        <v>2696</v>
      </c>
      <c r="G225">
        <f>IF(N225&lt;&gt;"",VLOOKUP(N225,zastavky!E:F,2,FALSE),"")</f>
        <v>151</v>
      </c>
      <c r="H225" t="s">
        <v>956</v>
      </c>
      <c r="I225" t="s">
        <v>957</v>
      </c>
      <c r="J225">
        <v>6</v>
      </c>
      <c r="K225" t="s">
        <v>18</v>
      </c>
      <c r="M225">
        <v>1</v>
      </c>
      <c r="N225" s="1" t="s">
        <v>2638</v>
      </c>
      <c r="O225" t="s">
        <v>2673</v>
      </c>
      <c r="P225" t="str">
        <f t="shared" si="3"/>
        <v>update zamestnanci set os_cislo='224', rfid='0013389158',cilova='DONGHEE',nastup='151' where os_cislo='224';</v>
      </c>
    </row>
    <row r="226" spans="1:16" x14ac:dyDescent="0.25">
      <c r="A226">
        <v>174</v>
      </c>
      <c r="B226" t="s">
        <v>958</v>
      </c>
      <c r="C226" s="4">
        <v>226</v>
      </c>
      <c r="D226" t="s">
        <v>959</v>
      </c>
      <c r="E226" t="s">
        <v>224</v>
      </c>
      <c r="F226" s="6" t="s">
        <v>2697</v>
      </c>
      <c r="G226">
        <f>IF(N226&lt;&gt;"",VLOOKUP(N226,zastavky!E:F,2,FALSE),"")</f>
        <v>145</v>
      </c>
      <c r="H226" t="s">
        <v>960</v>
      </c>
      <c r="I226" t="s">
        <v>961</v>
      </c>
      <c r="J226">
        <v>6</v>
      </c>
      <c r="K226" t="s">
        <v>18</v>
      </c>
      <c r="M226">
        <v>1</v>
      </c>
      <c r="N226" s="1" t="s">
        <v>2639</v>
      </c>
      <c r="O226" t="s">
        <v>2673</v>
      </c>
      <c r="P226" t="str">
        <f t="shared" si="3"/>
        <v>update zamestnanci set os_cislo='226', rfid='0013245983',cilova='DONGHEE',nastup='145' where os_cislo='226';</v>
      </c>
    </row>
    <row r="227" spans="1:16" x14ac:dyDescent="0.25">
      <c r="A227">
        <v>175</v>
      </c>
      <c r="B227" t="s">
        <v>962</v>
      </c>
      <c r="C227" s="4">
        <v>227</v>
      </c>
      <c r="D227" t="s">
        <v>963</v>
      </c>
      <c r="E227" t="s">
        <v>964</v>
      </c>
      <c r="F227" s="6" t="s">
        <v>2698</v>
      </c>
      <c r="G227">
        <f>IF(N227&lt;&gt;"",VLOOKUP(N227,zastavky!E:F,2,FALSE),"")</f>
        <v>100</v>
      </c>
      <c r="H227" t="s">
        <v>965</v>
      </c>
      <c r="I227" t="s">
        <v>966</v>
      </c>
      <c r="J227">
        <v>6</v>
      </c>
      <c r="K227" t="s">
        <v>18</v>
      </c>
      <c r="M227">
        <v>1</v>
      </c>
      <c r="N227" s="1" t="s">
        <v>2581</v>
      </c>
      <c r="O227" t="s">
        <v>2673</v>
      </c>
      <c r="P227" t="str">
        <f t="shared" si="3"/>
        <v>update zamestnanci set os_cislo='227', rfid='0013065701',cilova='DONGHEE',nastup='100' where os_cislo='227';</v>
      </c>
    </row>
    <row r="228" spans="1:16" x14ac:dyDescent="0.25">
      <c r="A228">
        <v>176</v>
      </c>
      <c r="B228" t="s">
        <v>967</v>
      </c>
      <c r="C228" s="4">
        <v>228</v>
      </c>
      <c r="D228" t="s">
        <v>968</v>
      </c>
      <c r="E228" t="s">
        <v>969</v>
      </c>
      <c r="F228" s="6" t="s">
        <v>2699</v>
      </c>
      <c r="G228">
        <f>IF(N228&lt;&gt;"",VLOOKUP(N228,zastavky!E:F,2,FALSE),"")</f>
        <v>151</v>
      </c>
      <c r="H228" t="s">
        <v>970</v>
      </c>
      <c r="I228" t="s">
        <v>971</v>
      </c>
      <c r="J228">
        <v>6</v>
      </c>
      <c r="K228" t="s">
        <v>18</v>
      </c>
      <c r="M228">
        <v>1</v>
      </c>
      <c r="N228" s="1" t="s">
        <v>2638</v>
      </c>
      <c r="O228" t="s">
        <v>2673</v>
      </c>
      <c r="P228" t="str">
        <f t="shared" si="3"/>
        <v>update zamestnanci set os_cislo='228', rfid='0011767781',cilova='DONGHEE',nastup='151' where os_cislo='228';</v>
      </c>
    </row>
    <row r="229" spans="1:16" x14ac:dyDescent="0.25">
      <c r="A229">
        <v>177</v>
      </c>
      <c r="B229" t="s">
        <v>907</v>
      </c>
      <c r="C229" s="4">
        <v>229</v>
      </c>
      <c r="D229" t="s">
        <v>972</v>
      </c>
      <c r="E229" t="s">
        <v>973</v>
      </c>
      <c r="F229" s="6" t="s">
        <v>2700</v>
      </c>
      <c r="G229">
        <f>IF(N229&lt;&gt;"",VLOOKUP(N229,zastavky!E:F,2,FALSE),"")</f>
        <v>100</v>
      </c>
      <c r="H229" t="s">
        <v>974</v>
      </c>
      <c r="I229" t="s">
        <v>975</v>
      </c>
      <c r="J229">
        <v>6</v>
      </c>
      <c r="K229" t="s">
        <v>18</v>
      </c>
      <c r="M229">
        <v>1</v>
      </c>
      <c r="N229" s="1" t="s">
        <v>2581</v>
      </c>
      <c r="O229" t="s">
        <v>2673</v>
      </c>
      <c r="P229" t="str">
        <f t="shared" si="3"/>
        <v>update zamestnanci set os_cislo='229', rfid='0011706778',cilova='DONGHEE',nastup='100' where os_cislo='229';</v>
      </c>
    </row>
    <row r="230" spans="1:16" x14ac:dyDescent="0.25">
      <c r="A230">
        <v>178</v>
      </c>
      <c r="B230" t="s">
        <v>976</v>
      </c>
      <c r="C230" s="4">
        <v>230</v>
      </c>
      <c r="D230" t="s">
        <v>977</v>
      </c>
      <c r="E230" t="s">
        <v>978</v>
      </c>
      <c r="F230" s="6" t="s">
        <v>2701</v>
      </c>
      <c r="G230">
        <f>IF(N230&lt;&gt;"",VLOOKUP(N230,zastavky!E:F,2,FALSE),"")</f>
        <v>155</v>
      </c>
      <c r="H230" t="s">
        <v>979</v>
      </c>
      <c r="I230" t="s">
        <v>980</v>
      </c>
      <c r="J230">
        <v>6</v>
      </c>
      <c r="K230" t="s">
        <v>18</v>
      </c>
      <c r="M230">
        <v>1</v>
      </c>
      <c r="N230" s="1" t="s">
        <v>2640</v>
      </c>
      <c r="O230" t="s">
        <v>2673</v>
      </c>
      <c r="P230" t="str">
        <f t="shared" si="3"/>
        <v>update zamestnanci set os_cislo='230', rfid='0013062387',cilova='DONGHEE',nastup='155' where os_cislo='230';</v>
      </c>
    </row>
    <row r="231" spans="1:16" x14ac:dyDescent="0.25">
      <c r="A231">
        <v>179</v>
      </c>
      <c r="B231" t="s">
        <v>981</v>
      </c>
      <c r="C231" s="4">
        <v>231</v>
      </c>
      <c r="D231" t="s">
        <v>982</v>
      </c>
      <c r="E231" t="s">
        <v>983</v>
      </c>
      <c r="F231" s="6" t="s">
        <v>2702</v>
      </c>
      <c r="G231">
        <f>IF(N231&lt;&gt;"",VLOOKUP(N231,zastavky!E:F,2,FALSE),"")</f>
        <v>155</v>
      </c>
      <c r="H231" t="s">
        <v>984</v>
      </c>
      <c r="I231" t="s">
        <v>985</v>
      </c>
      <c r="J231">
        <v>6</v>
      </c>
      <c r="K231" t="s">
        <v>18</v>
      </c>
      <c r="M231">
        <v>1</v>
      </c>
      <c r="N231" s="1" t="s">
        <v>2640</v>
      </c>
      <c r="O231" t="s">
        <v>2673</v>
      </c>
      <c r="P231" t="str">
        <f t="shared" si="3"/>
        <v>update zamestnanci set os_cislo='231', rfid='0011756656',cilova='DONGHEE',nastup='155' where os_cislo='231';</v>
      </c>
    </row>
    <row r="232" spans="1:16" x14ac:dyDescent="0.25">
      <c r="A232">
        <v>180</v>
      </c>
      <c r="B232" t="s">
        <v>986</v>
      </c>
      <c r="C232" s="4">
        <v>232</v>
      </c>
      <c r="D232" t="s">
        <v>987</v>
      </c>
      <c r="E232" t="s">
        <v>988</v>
      </c>
      <c r="F232" s="6" t="s">
        <v>2703</v>
      </c>
      <c r="G232">
        <f>IF(N232&lt;&gt;"",VLOOKUP(N232,zastavky!E:F,2,FALSE),"")</f>
        <v>62</v>
      </c>
      <c r="H232" t="s">
        <v>989</v>
      </c>
      <c r="I232" t="s">
        <v>990</v>
      </c>
      <c r="J232">
        <v>6</v>
      </c>
      <c r="K232" t="s">
        <v>18</v>
      </c>
      <c r="M232">
        <v>1</v>
      </c>
      <c r="N232" s="1" t="s">
        <v>2641</v>
      </c>
      <c r="O232" t="s">
        <v>2673</v>
      </c>
      <c r="P232" t="str">
        <f t="shared" si="3"/>
        <v>update zamestnanci set os_cislo='232', rfid='0013103649',cilova='DONGHEE',nastup='62' where os_cislo='232';</v>
      </c>
    </row>
    <row r="233" spans="1:16" x14ac:dyDescent="0.25">
      <c r="A233">
        <v>181</v>
      </c>
      <c r="B233" t="s">
        <v>991</v>
      </c>
      <c r="C233" s="4">
        <v>233</v>
      </c>
      <c r="D233" t="s">
        <v>992</v>
      </c>
      <c r="E233" t="s">
        <v>993</v>
      </c>
      <c r="F233" s="6" t="s">
        <v>2704</v>
      </c>
      <c r="G233">
        <f>IF(N233&lt;&gt;"",VLOOKUP(N233,zastavky!E:F,2,FALSE),"")</f>
        <v>60</v>
      </c>
      <c r="H233" t="s">
        <v>994</v>
      </c>
      <c r="I233" t="s">
        <v>995</v>
      </c>
      <c r="J233">
        <v>6</v>
      </c>
      <c r="K233" t="s">
        <v>18</v>
      </c>
      <c r="M233">
        <v>1</v>
      </c>
      <c r="N233" s="1" t="s">
        <v>2642</v>
      </c>
      <c r="O233" t="s">
        <v>2673</v>
      </c>
      <c r="P233" t="str">
        <f t="shared" si="3"/>
        <v>update zamestnanci set os_cislo='233', rfid='0013116795',cilova='DONGHEE',nastup='60' where os_cislo='233';</v>
      </c>
    </row>
    <row r="234" spans="1:16" x14ac:dyDescent="0.25">
      <c r="A234">
        <v>182</v>
      </c>
      <c r="B234" t="s">
        <v>996</v>
      </c>
      <c r="C234" s="4">
        <v>234</v>
      </c>
      <c r="D234" t="s">
        <v>997</v>
      </c>
      <c r="E234" t="s">
        <v>998</v>
      </c>
      <c r="F234" s="6" t="s">
        <v>2705</v>
      </c>
      <c r="G234">
        <f>IF(N234&lt;&gt;"",VLOOKUP(N234,zastavky!E:F,2,FALSE),"")</f>
        <v>59</v>
      </c>
      <c r="H234" t="s">
        <v>999</v>
      </c>
      <c r="I234" t="s">
        <v>1000</v>
      </c>
      <c r="J234">
        <v>6</v>
      </c>
      <c r="K234" t="s">
        <v>18</v>
      </c>
      <c r="M234">
        <v>1</v>
      </c>
      <c r="N234" s="1" t="s">
        <v>2643</v>
      </c>
      <c r="O234" t="s">
        <v>2673</v>
      </c>
      <c r="P234" t="str">
        <f t="shared" si="3"/>
        <v>update zamestnanci set os_cislo='234', rfid='0013101656',cilova='DONGHEE',nastup='59' where os_cislo='234';</v>
      </c>
    </row>
    <row r="235" spans="1:16" x14ac:dyDescent="0.25">
      <c r="A235">
        <v>183</v>
      </c>
      <c r="B235" t="s">
        <v>1001</v>
      </c>
      <c r="C235" s="4">
        <v>235</v>
      </c>
      <c r="D235" t="s">
        <v>1002</v>
      </c>
      <c r="E235" t="s">
        <v>1003</v>
      </c>
      <c r="F235" s="6" t="s">
        <v>2706</v>
      </c>
      <c r="G235">
        <f>IF(N235&lt;&gt;"",VLOOKUP(N235,zastavky!E:F,2,FALSE),"")</f>
        <v>63</v>
      </c>
      <c r="H235" t="s">
        <v>1004</v>
      </c>
      <c r="I235" t="s">
        <v>1005</v>
      </c>
      <c r="J235">
        <v>6</v>
      </c>
      <c r="K235" t="s">
        <v>18</v>
      </c>
      <c r="M235">
        <v>1</v>
      </c>
      <c r="N235" s="1" t="s">
        <v>2644</v>
      </c>
      <c r="O235" t="s">
        <v>2673</v>
      </c>
      <c r="P235" t="str">
        <f t="shared" si="3"/>
        <v>update zamestnanci set os_cislo='235', rfid='0011746761',cilova='DONGHEE',nastup='63' where os_cislo='235';</v>
      </c>
    </row>
    <row r="236" spans="1:16" x14ac:dyDescent="0.25">
      <c r="A236">
        <v>184</v>
      </c>
      <c r="B236" t="s">
        <v>1006</v>
      </c>
      <c r="C236" s="4">
        <v>236</v>
      </c>
      <c r="D236" t="s">
        <v>1007</v>
      </c>
      <c r="E236" t="s">
        <v>1008</v>
      </c>
      <c r="F236" s="6" t="s">
        <v>2707</v>
      </c>
      <c r="G236">
        <f>IF(N236&lt;&gt;"",VLOOKUP(N236,zastavky!E:F,2,FALSE),"")</f>
        <v>164</v>
      </c>
      <c r="H236" t="s">
        <v>1009</v>
      </c>
      <c r="I236" t="s">
        <v>1010</v>
      </c>
      <c r="J236">
        <v>6</v>
      </c>
      <c r="K236" t="s">
        <v>18</v>
      </c>
      <c r="M236">
        <v>1</v>
      </c>
      <c r="N236" s="1" t="s">
        <v>2637</v>
      </c>
      <c r="O236" t="s">
        <v>2673</v>
      </c>
      <c r="P236" t="str">
        <f t="shared" si="3"/>
        <v>update zamestnanci set os_cislo='236', rfid='0013067149',cilova='DONGHEE',nastup='164' where os_cislo='236';</v>
      </c>
    </row>
    <row r="237" spans="1:16" x14ac:dyDescent="0.25">
      <c r="A237">
        <v>185</v>
      </c>
      <c r="B237" t="s">
        <v>1011</v>
      </c>
      <c r="C237" s="4">
        <v>237</v>
      </c>
      <c r="D237" t="s">
        <v>1012</v>
      </c>
      <c r="E237" t="s">
        <v>1013</v>
      </c>
      <c r="F237" s="6" t="s">
        <v>2708</v>
      </c>
      <c r="G237">
        <f>IF(N237&lt;&gt;"",VLOOKUP(N237,zastavky!E:F,2,FALSE),"")</f>
        <v>100</v>
      </c>
      <c r="H237" t="s">
        <v>1014</v>
      </c>
      <c r="I237" t="s">
        <v>1015</v>
      </c>
      <c r="J237">
        <v>6</v>
      </c>
      <c r="K237" t="s">
        <v>18</v>
      </c>
      <c r="M237">
        <v>1</v>
      </c>
      <c r="N237" s="1" t="s">
        <v>2581</v>
      </c>
      <c r="O237" t="s">
        <v>2673</v>
      </c>
      <c r="P237" t="str">
        <f t="shared" si="3"/>
        <v>update zamestnanci set os_cislo='237', rfid='0013071630',cilova='DONGHEE',nastup='100' where os_cislo='237';</v>
      </c>
    </row>
    <row r="238" spans="1:16" x14ac:dyDescent="0.25">
      <c r="A238">
        <v>186</v>
      </c>
      <c r="B238" t="s">
        <v>1016</v>
      </c>
      <c r="C238" s="4">
        <v>238</v>
      </c>
      <c r="D238" t="s">
        <v>1017</v>
      </c>
      <c r="E238" t="s">
        <v>1018</v>
      </c>
      <c r="F238" s="6" t="s">
        <v>2709</v>
      </c>
      <c r="G238">
        <f>IF(N238&lt;&gt;"",VLOOKUP(N238,zastavky!E:F,2,FALSE),"")</f>
        <v>100</v>
      </c>
      <c r="H238" t="s">
        <v>1019</v>
      </c>
      <c r="I238" t="s">
        <v>1020</v>
      </c>
      <c r="J238">
        <v>6</v>
      </c>
      <c r="K238" t="s">
        <v>18</v>
      </c>
      <c r="M238">
        <v>1</v>
      </c>
      <c r="N238" s="1" t="s">
        <v>2581</v>
      </c>
      <c r="O238" t="s">
        <v>2673</v>
      </c>
      <c r="P238" t="str">
        <f t="shared" si="3"/>
        <v>update zamestnanci set os_cislo='238', rfid='0011640887',cilova='DONGHEE',nastup='100' where os_cislo='238';</v>
      </c>
    </row>
    <row r="239" spans="1:16" x14ac:dyDescent="0.25">
      <c r="A239">
        <v>187</v>
      </c>
      <c r="B239" t="s">
        <v>1021</v>
      </c>
      <c r="C239" s="4">
        <v>239</v>
      </c>
      <c r="D239" t="s">
        <v>1022</v>
      </c>
      <c r="E239" t="s">
        <v>1023</v>
      </c>
      <c r="F239" s="6" t="s">
        <v>2710</v>
      </c>
      <c r="G239">
        <f>IF(N239&lt;&gt;"",VLOOKUP(N239,zastavky!E:F,2,FALSE),"")</f>
        <v>163</v>
      </c>
      <c r="H239" t="s">
        <v>1024</v>
      </c>
      <c r="I239" t="s">
        <v>1025</v>
      </c>
      <c r="J239">
        <v>6</v>
      </c>
      <c r="K239" t="s">
        <v>18</v>
      </c>
      <c r="M239">
        <v>1</v>
      </c>
      <c r="N239" s="1" t="s">
        <v>2645</v>
      </c>
      <c r="O239" t="s">
        <v>2673</v>
      </c>
      <c r="P239" t="str">
        <f t="shared" si="3"/>
        <v>update zamestnanci set os_cislo='239', rfid='0012984388',cilova='DONGHEE',nastup='163' where os_cislo='239';</v>
      </c>
    </row>
    <row r="240" spans="1:16" x14ac:dyDescent="0.25">
      <c r="A240">
        <v>188</v>
      </c>
      <c r="B240" t="s">
        <v>1026</v>
      </c>
      <c r="C240" s="4">
        <v>240</v>
      </c>
      <c r="D240" t="s">
        <v>1027</v>
      </c>
      <c r="E240" t="s">
        <v>1028</v>
      </c>
      <c r="F240" s="6" t="s">
        <v>2711</v>
      </c>
      <c r="G240">
        <f>IF(N240&lt;&gt;"",VLOOKUP(N240,zastavky!E:F,2,FALSE),"")</f>
        <v>63</v>
      </c>
      <c r="H240" t="s">
        <v>1029</v>
      </c>
      <c r="I240" t="s">
        <v>1030</v>
      </c>
      <c r="J240">
        <v>6</v>
      </c>
      <c r="K240" t="s">
        <v>18</v>
      </c>
      <c r="M240">
        <v>1</v>
      </c>
      <c r="N240" s="1" t="s">
        <v>2644</v>
      </c>
      <c r="O240" t="s">
        <v>2673</v>
      </c>
      <c r="P240" t="str">
        <f t="shared" si="3"/>
        <v>update zamestnanci set os_cislo='240', rfid='0011621835',cilova='DONGHEE',nastup='63' where os_cislo='240';</v>
      </c>
    </row>
    <row r="241" spans="1:16" x14ac:dyDescent="0.25">
      <c r="A241">
        <v>189</v>
      </c>
      <c r="B241" t="s">
        <v>1031</v>
      </c>
      <c r="C241" s="4">
        <v>241</v>
      </c>
      <c r="D241" t="s">
        <v>1032</v>
      </c>
      <c r="E241" t="s">
        <v>1033</v>
      </c>
      <c r="F241" s="6" t="s">
        <v>2712</v>
      </c>
      <c r="G241">
        <f>IF(N241&lt;&gt;"",VLOOKUP(N241,zastavky!E:F,2,FALSE),"")</f>
        <v>155</v>
      </c>
      <c r="H241" t="s">
        <v>1034</v>
      </c>
      <c r="I241" t="s">
        <v>1035</v>
      </c>
      <c r="J241">
        <v>6</v>
      </c>
      <c r="K241" t="s">
        <v>18</v>
      </c>
      <c r="M241">
        <v>1</v>
      </c>
      <c r="N241" s="1" t="s">
        <v>2640</v>
      </c>
      <c r="O241" t="s">
        <v>2673</v>
      </c>
      <c r="P241" t="str">
        <f t="shared" si="3"/>
        <v>update zamestnanci set os_cislo='241', rfid='0012985727',cilova='DONGHEE',nastup='155' where os_cislo='241';</v>
      </c>
    </row>
    <row r="242" spans="1:16" x14ac:dyDescent="0.25">
      <c r="A242">
        <v>190</v>
      </c>
      <c r="B242" t="s">
        <v>742</v>
      </c>
      <c r="C242" s="4">
        <v>242</v>
      </c>
      <c r="D242" t="s">
        <v>1036</v>
      </c>
      <c r="E242" t="s">
        <v>1037</v>
      </c>
      <c r="F242" s="6" t="s">
        <v>2713</v>
      </c>
      <c r="G242">
        <f>IF(N242&lt;&gt;"",VLOOKUP(N242,zastavky!E:F,2,FALSE),"")</f>
        <v>155</v>
      </c>
      <c r="H242" t="s">
        <v>1038</v>
      </c>
      <c r="I242" t="s">
        <v>1039</v>
      </c>
      <c r="J242">
        <v>6</v>
      </c>
      <c r="K242" t="s">
        <v>18</v>
      </c>
      <c r="M242">
        <v>1</v>
      </c>
      <c r="N242" s="1" t="s">
        <v>2640</v>
      </c>
      <c r="O242" t="s">
        <v>2673</v>
      </c>
      <c r="P242" t="str">
        <f t="shared" si="3"/>
        <v>update zamestnanci set os_cislo='242', rfid='0011651233',cilova='DONGHEE',nastup='155' where os_cislo='242';</v>
      </c>
    </row>
    <row r="243" spans="1:16" x14ac:dyDescent="0.25">
      <c r="A243">
        <v>191</v>
      </c>
      <c r="B243" t="s">
        <v>1040</v>
      </c>
      <c r="C243" s="4">
        <v>243</v>
      </c>
      <c r="D243" t="s">
        <v>1041</v>
      </c>
      <c r="E243" t="s">
        <v>1042</v>
      </c>
      <c r="F243" s="6" t="s">
        <v>2714</v>
      </c>
      <c r="G243">
        <f>IF(N243&lt;&gt;"",VLOOKUP(N243,zastavky!E:F,2,FALSE),"")</f>
        <v>158</v>
      </c>
      <c r="H243" t="s">
        <v>1043</v>
      </c>
      <c r="I243" t="s">
        <v>1044</v>
      </c>
      <c r="J243">
        <v>6</v>
      </c>
      <c r="K243" t="s">
        <v>18</v>
      </c>
      <c r="M243">
        <v>1</v>
      </c>
      <c r="N243" s="1" t="s">
        <v>2646</v>
      </c>
      <c r="O243" t="s">
        <v>2673</v>
      </c>
      <c r="P243" t="str">
        <f t="shared" si="3"/>
        <v>update zamestnanci set os_cislo='243', rfid='0011614768',cilova='DONGHEE',nastup='158' where os_cislo='243';</v>
      </c>
    </row>
    <row r="244" spans="1:16" x14ac:dyDescent="0.25">
      <c r="A244">
        <v>192</v>
      </c>
      <c r="B244" t="s">
        <v>1045</v>
      </c>
      <c r="C244" s="4">
        <v>244</v>
      </c>
      <c r="D244" t="s">
        <v>1046</v>
      </c>
      <c r="E244" t="s">
        <v>1047</v>
      </c>
      <c r="F244" s="6" t="s">
        <v>2715</v>
      </c>
      <c r="G244">
        <f>IF(N244&lt;&gt;"",VLOOKUP(N244,zastavky!E:F,2,FALSE),"")</f>
        <v>62</v>
      </c>
      <c r="H244" t="s">
        <v>1048</v>
      </c>
      <c r="I244" t="s">
        <v>1049</v>
      </c>
      <c r="J244">
        <v>6</v>
      </c>
      <c r="K244" t="s">
        <v>18</v>
      </c>
      <c r="M244">
        <v>1</v>
      </c>
      <c r="N244" s="1" t="s">
        <v>2641</v>
      </c>
      <c r="O244" t="s">
        <v>2673</v>
      </c>
      <c r="P244" t="str">
        <f t="shared" si="3"/>
        <v>update zamestnanci set os_cislo='244', rfid='0013091855',cilova='DONGHEE',nastup='62' where os_cislo='244';</v>
      </c>
    </row>
    <row r="245" spans="1:16" x14ac:dyDescent="0.25">
      <c r="A245">
        <v>193</v>
      </c>
      <c r="B245" t="s">
        <v>1050</v>
      </c>
      <c r="C245" s="4">
        <v>245</v>
      </c>
      <c r="D245" t="s">
        <v>1051</v>
      </c>
      <c r="E245" t="s">
        <v>1052</v>
      </c>
      <c r="F245" s="6" t="s">
        <v>2716</v>
      </c>
      <c r="G245">
        <f>IF(N245&lt;&gt;"",VLOOKUP(N245,zastavky!E:F,2,FALSE),"")</f>
        <v>162</v>
      </c>
      <c r="H245" t="s">
        <v>1053</v>
      </c>
      <c r="I245" t="s">
        <v>1054</v>
      </c>
      <c r="J245">
        <v>6</v>
      </c>
      <c r="K245" t="s">
        <v>18</v>
      </c>
      <c r="M245">
        <v>1</v>
      </c>
      <c r="N245" s="1" t="s">
        <v>2647</v>
      </c>
      <c r="O245" t="s">
        <v>2673</v>
      </c>
      <c r="P245" t="str">
        <f t="shared" si="3"/>
        <v>update zamestnanci set os_cislo='245', rfid='0013210313',cilova='DONGHEE',nastup='162' where os_cislo='245';</v>
      </c>
    </row>
    <row r="246" spans="1:16" x14ac:dyDescent="0.25">
      <c r="A246">
        <v>194</v>
      </c>
      <c r="B246" t="s">
        <v>1055</v>
      </c>
      <c r="C246" s="4">
        <v>246</v>
      </c>
      <c r="D246" t="s">
        <v>1056</v>
      </c>
      <c r="E246" t="s">
        <v>1057</v>
      </c>
      <c r="F246" s="6" t="s">
        <v>2717</v>
      </c>
      <c r="G246">
        <f>IF(N246&lt;&gt;"",VLOOKUP(N246,zastavky!E:F,2,FALSE),"")</f>
        <v>161</v>
      </c>
      <c r="H246" t="s">
        <v>1058</v>
      </c>
      <c r="I246" t="s">
        <v>1059</v>
      </c>
      <c r="J246">
        <v>6</v>
      </c>
      <c r="K246" t="s">
        <v>18</v>
      </c>
      <c r="M246">
        <v>1</v>
      </c>
      <c r="N246" s="1" t="s">
        <v>2648</v>
      </c>
      <c r="O246" t="s">
        <v>2673</v>
      </c>
      <c r="P246" t="str">
        <f t="shared" si="3"/>
        <v>update zamestnanci set os_cislo='246', rfid='0013109811',cilova='DONGHEE',nastup='161' where os_cislo='246';</v>
      </c>
    </row>
    <row r="247" spans="1:16" x14ac:dyDescent="0.25">
      <c r="A247">
        <v>195</v>
      </c>
      <c r="B247" t="s">
        <v>1060</v>
      </c>
      <c r="C247" s="4">
        <v>247</v>
      </c>
      <c r="D247" t="s">
        <v>1061</v>
      </c>
      <c r="E247" t="s">
        <v>1062</v>
      </c>
      <c r="F247" s="6" t="s">
        <v>2718</v>
      </c>
      <c r="G247">
        <f>IF(N247&lt;&gt;"",VLOOKUP(N247,zastavky!E:F,2,FALSE),"")</f>
        <v>100</v>
      </c>
      <c r="H247" t="s">
        <v>1063</v>
      </c>
      <c r="I247" t="s">
        <v>1064</v>
      </c>
      <c r="J247">
        <v>6</v>
      </c>
      <c r="K247" t="s">
        <v>18</v>
      </c>
      <c r="M247">
        <v>1</v>
      </c>
      <c r="N247" s="1" t="s">
        <v>2581</v>
      </c>
      <c r="O247" t="s">
        <v>2673</v>
      </c>
      <c r="P247" t="str">
        <f t="shared" si="3"/>
        <v>update zamestnanci set os_cislo='247', rfid='0013103014',cilova='DONGHEE',nastup='100' where os_cislo='247';</v>
      </c>
    </row>
    <row r="248" spans="1:16" x14ac:dyDescent="0.25">
      <c r="A248">
        <v>196</v>
      </c>
      <c r="B248" t="s">
        <v>1065</v>
      </c>
      <c r="C248" s="4">
        <v>248</v>
      </c>
      <c r="D248" t="s">
        <v>1066</v>
      </c>
      <c r="E248" t="s">
        <v>1067</v>
      </c>
      <c r="F248" s="6" t="s">
        <v>2719</v>
      </c>
      <c r="G248">
        <f>IF(N248&lt;&gt;"",VLOOKUP(N248,zastavky!E:F,2,FALSE),"")</f>
        <v>63</v>
      </c>
      <c r="H248" t="s">
        <v>1068</v>
      </c>
      <c r="I248" t="s">
        <v>1069</v>
      </c>
      <c r="J248">
        <v>6</v>
      </c>
      <c r="K248" t="s">
        <v>18</v>
      </c>
      <c r="M248">
        <v>1</v>
      </c>
      <c r="N248" s="1" t="s">
        <v>2644</v>
      </c>
      <c r="O248" t="s">
        <v>2673</v>
      </c>
      <c r="P248" t="str">
        <f t="shared" si="3"/>
        <v>update zamestnanci set os_cislo='248', rfid='0011748975',cilova='DONGHEE',nastup='63' where os_cislo='248';</v>
      </c>
    </row>
    <row r="249" spans="1:16" x14ac:dyDescent="0.25">
      <c r="A249">
        <v>383</v>
      </c>
      <c r="B249" t="s">
        <v>1070</v>
      </c>
      <c r="C249" s="4">
        <v>249</v>
      </c>
      <c r="D249" t="s">
        <v>1071</v>
      </c>
      <c r="E249" t="s">
        <v>1072</v>
      </c>
      <c r="F249" t="s">
        <v>1073</v>
      </c>
      <c r="G249">
        <f>IF(N249&lt;&gt;"",VLOOKUP(N249,zastavky!E:F,2,FALSE),"")</f>
        <v>153</v>
      </c>
      <c r="H249" t="s">
        <v>1074</v>
      </c>
      <c r="I249" t="s">
        <v>1075</v>
      </c>
      <c r="J249">
        <v>6</v>
      </c>
      <c r="K249" t="s">
        <v>18</v>
      </c>
      <c r="M249">
        <v>1</v>
      </c>
      <c r="N249" s="1" t="s">
        <v>2649</v>
      </c>
      <c r="O249" t="s">
        <v>2514</v>
      </c>
      <c r="P249" t="str">
        <f t="shared" si="3"/>
        <v>update zamestnanci set os_cislo='249', rfid='0001867369',cilova='DSC',nastup='153' where os_cislo='249';</v>
      </c>
    </row>
    <row r="250" spans="1:16" x14ac:dyDescent="0.25">
      <c r="A250">
        <v>384</v>
      </c>
      <c r="B250" t="s">
        <v>1076</v>
      </c>
      <c r="C250" s="4">
        <v>250</v>
      </c>
      <c r="D250" t="s">
        <v>1077</v>
      </c>
      <c r="E250" t="s">
        <v>1078</v>
      </c>
      <c r="F250" t="s">
        <v>1079</v>
      </c>
      <c r="G250">
        <f>IF(N250&lt;&gt;"",VLOOKUP(N250,zastavky!E:F,2,FALSE),"")</f>
        <v>158</v>
      </c>
      <c r="H250" t="s">
        <v>1080</v>
      </c>
      <c r="I250" t="s">
        <v>1081</v>
      </c>
      <c r="J250">
        <v>6</v>
      </c>
      <c r="K250" t="s">
        <v>18</v>
      </c>
      <c r="M250">
        <v>1</v>
      </c>
      <c r="N250" s="1" t="s">
        <v>2646</v>
      </c>
      <c r="O250" t="s">
        <v>2514</v>
      </c>
      <c r="P250" t="str">
        <f t="shared" si="3"/>
        <v>update zamestnanci set os_cislo='250', rfid='0001325821',cilova='DSC',nastup='158' where os_cislo='250';</v>
      </c>
    </row>
    <row r="251" spans="1:16" x14ac:dyDescent="0.25">
      <c r="A251">
        <v>385</v>
      </c>
      <c r="B251" t="s">
        <v>1082</v>
      </c>
      <c r="C251" s="4">
        <v>251</v>
      </c>
      <c r="D251" t="s">
        <v>1083</v>
      </c>
      <c r="E251" t="s">
        <v>1084</v>
      </c>
      <c r="F251" t="s">
        <v>1085</v>
      </c>
      <c r="G251">
        <f>IF(N251&lt;&gt;"",VLOOKUP(N251,zastavky!E:F,2,FALSE),"")</f>
        <v>100</v>
      </c>
      <c r="H251" t="s">
        <v>1086</v>
      </c>
      <c r="I251" t="s">
        <v>1087</v>
      </c>
      <c r="J251">
        <v>6</v>
      </c>
      <c r="K251" t="s">
        <v>18</v>
      </c>
      <c r="M251">
        <v>1</v>
      </c>
      <c r="N251" s="1" t="s">
        <v>2581</v>
      </c>
      <c r="O251" t="s">
        <v>2514</v>
      </c>
      <c r="P251" t="str">
        <f t="shared" si="3"/>
        <v>update zamestnanci set os_cislo='251', rfid='0001833613',cilova='DSC',nastup='100' where os_cislo='251';</v>
      </c>
    </row>
    <row r="252" spans="1:16" x14ac:dyDescent="0.25">
      <c r="A252">
        <v>386</v>
      </c>
      <c r="B252" t="s">
        <v>1088</v>
      </c>
      <c r="C252" s="4">
        <v>252</v>
      </c>
      <c r="D252" t="s">
        <v>1089</v>
      </c>
      <c r="E252" t="s">
        <v>1090</v>
      </c>
      <c r="F252" t="s">
        <v>1091</v>
      </c>
      <c r="G252">
        <f>IF(N252&lt;&gt;"",VLOOKUP(N252,zastavky!E:F,2,FALSE),"")</f>
        <v>100</v>
      </c>
      <c r="H252" t="s">
        <v>1092</v>
      </c>
      <c r="I252" t="s">
        <v>1093</v>
      </c>
      <c r="J252">
        <v>6</v>
      </c>
      <c r="K252" t="s">
        <v>18</v>
      </c>
      <c r="M252">
        <v>1</v>
      </c>
      <c r="N252" s="1" t="s">
        <v>2581</v>
      </c>
      <c r="O252" t="s">
        <v>2514</v>
      </c>
      <c r="P252" t="str">
        <f t="shared" si="3"/>
        <v>update zamestnanci set os_cislo='252', rfid='00013283478',cilova='DSC',nastup='100' where os_cislo='252';</v>
      </c>
    </row>
    <row r="253" spans="1:16" x14ac:dyDescent="0.25">
      <c r="A253">
        <v>387</v>
      </c>
      <c r="B253" t="s">
        <v>1094</v>
      </c>
      <c r="C253" s="4">
        <v>253</v>
      </c>
      <c r="D253" t="s">
        <v>1095</v>
      </c>
      <c r="E253" t="s">
        <v>1096</v>
      </c>
      <c r="F253" t="s">
        <v>1097</v>
      </c>
      <c r="G253">
        <f>IF(N253&lt;&gt;"",VLOOKUP(N253,zastavky!E:F,2,FALSE),"")</f>
        <v>100</v>
      </c>
      <c r="H253" t="s">
        <v>1098</v>
      </c>
      <c r="I253" t="s">
        <v>1099</v>
      </c>
      <c r="J253">
        <v>6</v>
      </c>
      <c r="K253" t="s">
        <v>18</v>
      </c>
      <c r="M253">
        <v>1</v>
      </c>
      <c r="N253" s="1" t="s">
        <v>2581</v>
      </c>
      <c r="O253" t="s">
        <v>2514</v>
      </c>
      <c r="P253" t="str">
        <f t="shared" si="3"/>
        <v>update zamestnanci set os_cislo='253', rfid='0001985246',cilova='DSC',nastup='100' where os_cislo='253';</v>
      </c>
    </row>
    <row r="254" spans="1:16" x14ac:dyDescent="0.25">
      <c r="A254">
        <v>388</v>
      </c>
      <c r="B254" t="s">
        <v>1100</v>
      </c>
      <c r="C254" s="4">
        <v>254</v>
      </c>
      <c r="D254" t="s">
        <v>1095</v>
      </c>
      <c r="E254" t="s">
        <v>1101</v>
      </c>
      <c r="F254" t="s">
        <v>1102</v>
      </c>
      <c r="G254">
        <f>IF(N254&lt;&gt;"",VLOOKUP(N254,zastavky!E:F,2,FALSE),"")</f>
        <v>100</v>
      </c>
      <c r="H254" t="s">
        <v>1103</v>
      </c>
      <c r="I254" t="s">
        <v>1104</v>
      </c>
      <c r="J254">
        <v>6</v>
      </c>
      <c r="K254" t="s">
        <v>18</v>
      </c>
      <c r="M254">
        <v>1</v>
      </c>
      <c r="N254" s="1" t="s">
        <v>2581</v>
      </c>
      <c r="O254" t="s">
        <v>2514</v>
      </c>
      <c r="P254" t="str">
        <f t="shared" si="3"/>
        <v>update zamestnanci set os_cislo='254', rfid='0001930126',cilova='DSC',nastup='100' where os_cislo='254';</v>
      </c>
    </row>
    <row r="255" spans="1:16" x14ac:dyDescent="0.25">
      <c r="A255">
        <v>389</v>
      </c>
      <c r="B255" t="s">
        <v>1105</v>
      </c>
      <c r="C255" s="4">
        <v>255</v>
      </c>
      <c r="D255" t="s">
        <v>1106</v>
      </c>
      <c r="E255" t="s">
        <v>520</v>
      </c>
      <c r="F255" t="s">
        <v>1107</v>
      </c>
      <c r="G255">
        <f>IF(N255&lt;&gt;"",VLOOKUP(N255,zastavky!E:F,2,FALSE),"")</f>
        <v>100</v>
      </c>
      <c r="H255" t="s">
        <v>1108</v>
      </c>
      <c r="I255" t="s">
        <v>1109</v>
      </c>
      <c r="J255">
        <v>6</v>
      </c>
      <c r="K255" t="s">
        <v>18</v>
      </c>
      <c r="M255">
        <v>1</v>
      </c>
      <c r="N255" s="1" t="s">
        <v>2581</v>
      </c>
      <c r="O255" t="s">
        <v>2514</v>
      </c>
      <c r="P255" t="str">
        <f t="shared" si="3"/>
        <v>update zamestnanci set os_cislo='255', rfid='0001988772',cilova='DSC',nastup='100' where os_cislo='255';</v>
      </c>
    </row>
    <row r="256" spans="1:16" x14ac:dyDescent="0.25">
      <c r="A256">
        <v>390</v>
      </c>
      <c r="B256" t="s">
        <v>1110</v>
      </c>
      <c r="C256" s="4">
        <v>256</v>
      </c>
      <c r="D256" t="s">
        <v>1111</v>
      </c>
      <c r="E256" t="s">
        <v>969</v>
      </c>
      <c r="F256" t="s">
        <v>1112</v>
      </c>
      <c r="G256">
        <f>IF(N256&lt;&gt;"",VLOOKUP(N256,zastavky!E:F,2,FALSE),"")</f>
        <v>152</v>
      </c>
      <c r="H256" t="s">
        <v>1113</v>
      </c>
      <c r="I256" t="s">
        <v>1114</v>
      </c>
      <c r="J256">
        <v>6</v>
      </c>
      <c r="K256" t="s">
        <v>18</v>
      </c>
      <c r="M256">
        <v>1</v>
      </c>
      <c r="N256" s="1" t="s">
        <v>2650</v>
      </c>
      <c r="O256" t="s">
        <v>2514</v>
      </c>
      <c r="P256" t="str">
        <f t="shared" si="3"/>
        <v>update zamestnanci set os_cislo='256', rfid='0001937065',cilova='DSC',nastup='152' where os_cislo='256';</v>
      </c>
    </row>
    <row r="257" spans="1:16" x14ac:dyDescent="0.25">
      <c r="A257">
        <v>391</v>
      </c>
      <c r="B257" t="s">
        <v>1115</v>
      </c>
      <c r="C257" s="4">
        <v>257</v>
      </c>
      <c r="D257" t="s">
        <v>1116</v>
      </c>
      <c r="E257" t="s">
        <v>1117</v>
      </c>
      <c r="F257" t="s">
        <v>1118</v>
      </c>
      <c r="G257">
        <f>IF(N257&lt;&gt;"",VLOOKUP(N257,zastavky!E:F,2,FALSE),"")</f>
        <v>100</v>
      </c>
      <c r="H257" t="s">
        <v>1119</v>
      </c>
      <c r="I257" t="s">
        <v>1120</v>
      </c>
      <c r="J257">
        <v>6</v>
      </c>
      <c r="K257" t="s">
        <v>18</v>
      </c>
      <c r="M257">
        <v>1</v>
      </c>
      <c r="N257" s="1" t="s">
        <v>2581</v>
      </c>
      <c r="O257" t="s">
        <v>2514</v>
      </c>
      <c r="P257" t="str">
        <f t="shared" si="3"/>
        <v>update zamestnanci set os_cislo='257', rfid='0001257912',cilova='DSC',nastup='100' where os_cislo='257';</v>
      </c>
    </row>
    <row r="258" spans="1:16" x14ac:dyDescent="0.25">
      <c r="A258">
        <v>392</v>
      </c>
      <c r="B258" t="s">
        <v>1121</v>
      </c>
      <c r="C258" s="4">
        <v>258</v>
      </c>
      <c r="D258" t="s">
        <v>1122</v>
      </c>
      <c r="E258" t="s">
        <v>1123</v>
      </c>
      <c r="F258" t="s">
        <v>1124</v>
      </c>
      <c r="G258">
        <f>IF(N258&lt;&gt;"",VLOOKUP(N258,zastavky!E:F,2,FALSE),"")</f>
        <v>100</v>
      </c>
      <c r="H258" t="s">
        <v>1125</v>
      </c>
      <c r="I258" t="s">
        <v>1126</v>
      </c>
      <c r="J258">
        <v>6</v>
      </c>
      <c r="K258" t="s">
        <v>18</v>
      </c>
      <c r="M258">
        <v>1</v>
      </c>
      <c r="N258" s="1" t="s">
        <v>2581</v>
      </c>
      <c r="O258" t="s">
        <v>2514</v>
      </c>
      <c r="P258" t="str">
        <f t="shared" si="3"/>
        <v>update zamestnanci set os_cislo='258', rfid='0001928484',cilova='DSC',nastup='100' where os_cislo='258';</v>
      </c>
    </row>
    <row r="259" spans="1:16" x14ac:dyDescent="0.25">
      <c r="A259">
        <v>393</v>
      </c>
      <c r="B259" t="s">
        <v>1127</v>
      </c>
      <c r="C259" s="4">
        <v>259</v>
      </c>
      <c r="D259" t="s">
        <v>1122</v>
      </c>
      <c r="E259" t="s">
        <v>1128</v>
      </c>
      <c r="F259" t="s">
        <v>1129</v>
      </c>
      <c r="G259">
        <f>IF(N259&lt;&gt;"",VLOOKUP(N259,zastavky!E:F,2,FALSE),"")</f>
        <v>100</v>
      </c>
      <c r="H259" t="s">
        <v>1130</v>
      </c>
      <c r="I259" t="s">
        <v>1131</v>
      </c>
      <c r="J259">
        <v>6</v>
      </c>
      <c r="K259" t="s">
        <v>18</v>
      </c>
      <c r="M259">
        <v>1</v>
      </c>
      <c r="N259" s="1" t="s">
        <v>2581</v>
      </c>
      <c r="O259" t="s">
        <v>2514</v>
      </c>
      <c r="P259" t="str">
        <f t="shared" ref="P259:P322" si="4">"update zamestnanci set os_cislo='" &amp; C259 &amp; "', rfid='" &amp; F259 &amp; "',cilova='" &amp; O259 &amp; "',nastup='" &amp; G259 &amp; "' where os_cislo='" &amp; C259 &amp; "';"</f>
        <v>update zamestnanci set os_cislo='259', rfid='0001405843',cilova='DSC',nastup='100' where os_cislo='259';</v>
      </c>
    </row>
    <row r="260" spans="1:16" x14ac:dyDescent="0.25">
      <c r="A260">
        <v>394</v>
      </c>
      <c r="B260" t="s">
        <v>1132</v>
      </c>
      <c r="C260" s="4">
        <v>260</v>
      </c>
      <c r="D260" t="s">
        <v>1133</v>
      </c>
      <c r="E260" t="s">
        <v>1134</v>
      </c>
      <c r="F260" t="s">
        <v>1135</v>
      </c>
      <c r="G260">
        <f>IF(N260&lt;&gt;"",VLOOKUP(N260,zastavky!E:F,2,FALSE),"")</f>
        <v>148</v>
      </c>
      <c r="H260" t="s">
        <v>1136</v>
      </c>
      <c r="I260" t="s">
        <v>1137</v>
      </c>
      <c r="J260">
        <v>6</v>
      </c>
      <c r="K260" t="s">
        <v>18</v>
      </c>
      <c r="M260">
        <v>1</v>
      </c>
      <c r="N260" s="1" t="s">
        <v>2651</v>
      </c>
      <c r="O260" t="s">
        <v>2514</v>
      </c>
      <c r="P260" t="str">
        <f t="shared" si="4"/>
        <v>update zamestnanci set os_cislo='260', rfid='0001988512',cilova='DSC',nastup='148' where os_cislo='260';</v>
      </c>
    </row>
    <row r="261" spans="1:16" x14ac:dyDescent="0.25">
      <c r="A261">
        <v>395</v>
      </c>
      <c r="B261" t="s">
        <v>1138</v>
      </c>
      <c r="C261" s="4">
        <v>261</v>
      </c>
      <c r="D261" t="s">
        <v>1139</v>
      </c>
      <c r="E261" t="s">
        <v>658</v>
      </c>
      <c r="F261" t="s">
        <v>1140</v>
      </c>
      <c r="G261">
        <f>IF(N261&lt;&gt;"",VLOOKUP(N261,zastavky!E:F,2,FALSE),"")</f>
        <v>100</v>
      </c>
      <c r="H261" t="s">
        <v>1141</v>
      </c>
      <c r="I261" t="s">
        <v>1142</v>
      </c>
      <c r="J261">
        <v>6</v>
      </c>
      <c r="K261" t="s">
        <v>18</v>
      </c>
      <c r="M261">
        <v>1</v>
      </c>
      <c r="N261" s="1" t="s">
        <v>2581</v>
      </c>
      <c r="O261" t="s">
        <v>2514</v>
      </c>
      <c r="P261" t="str">
        <f t="shared" si="4"/>
        <v>update zamestnanci set os_cislo='261', rfid='0003370037',cilova='DSC',nastup='100' where os_cislo='261';</v>
      </c>
    </row>
    <row r="262" spans="1:16" x14ac:dyDescent="0.25">
      <c r="A262">
        <v>396</v>
      </c>
      <c r="B262" t="s">
        <v>1143</v>
      </c>
      <c r="C262" s="4">
        <v>262</v>
      </c>
      <c r="D262" t="s">
        <v>1144</v>
      </c>
      <c r="E262" t="s">
        <v>1145</v>
      </c>
      <c r="F262" t="s">
        <v>1146</v>
      </c>
      <c r="G262" t="str">
        <f>IF(N262&lt;&gt;"",VLOOKUP(N262,zastavky!E:F,2,FALSE),"")</f>
        <v/>
      </c>
      <c r="H262" t="s">
        <v>1147</v>
      </c>
      <c r="I262" t="s">
        <v>1148</v>
      </c>
      <c r="J262">
        <v>6</v>
      </c>
      <c r="K262" t="s">
        <v>18</v>
      </c>
      <c r="M262">
        <v>1</v>
      </c>
      <c r="N262" s="3"/>
      <c r="O262" t="s">
        <v>2514</v>
      </c>
      <c r="P262" t="str">
        <f t="shared" si="4"/>
        <v>update zamestnanci set os_cislo='262', rfid='0002005358',cilova='DSC',nastup='' where os_cislo='262';</v>
      </c>
    </row>
    <row r="263" spans="1:16" x14ac:dyDescent="0.25">
      <c r="A263">
        <v>397</v>
      </c>
      <c r="B263" t="s">
        <v>1149</v>
      </c>
      <c r="C263" s="4">
        <v>263</v>
      </c>
      <c r="D263" t="s">
        <v>940</v>
      </c>
      <c r="E263" t="s">
        <v>1150</v>
      </c>
      <c r="F263" t="s">
        <v>1151</v>
      </c>
      <c r="G263">
        <f>IF(N263&lt;&gt;"",VLOOKUP(N263,zastavky!E:F,2,FALSE),"")</f>
        <v>100</v>
      </c>
      <c r="H263" t="s">
        <v>1152</v>
      </c>
      <c r="I263" t="s">
        <v>943</v>
      </c>
      <c r="J263">
        <v>6</v>
      </c>
      <c r="K263" t="s">
        <v>18</v>
      </c>
      <c r="M263">
        <v>1</v>
      </c>
      <c r="N263" s="1" t="s">
        <v>2581</v>
      </c>
      <c r="O263" t="s">
        <v>2514</v>
      </c>
      <c r="P263" t="str">
        <f t="shared" si="4"/>
        <v>update zamestnanci set os_cislo='263', rfid='000291517620',cilova='DSC',nastup='100' where os_cislo='263';</v>
      </c>
    </row>
    <row r="264" spans="1:16" x14ac:dyDescent="0.25">
      <c r="A264">
        <v>398</v>
      </c>
      <c r="B264" t="s">
        <v>1153</v>
      </c>
      <c r="C264" s="4">
        <v>264</v>
      </c>
      <c r="D264" t="s">
        <v>1154</v>
      </c>
      <c r="E264" t="s">
        <v>1155</v>
      </c>
      <c r="F264" t="s">
        <v>1156</v>
      </c>
      <c r="G264">
        <f>IF(N264&lt;&gt;"",VLOOKUP(N264,zastavky!E:F,2,FALSE),"")</f>
        <v>148</v>
      </c>
      <c r="H264" t="s">
        <v>1157</v>
      </c>
      <c r="I264" t="s">
        <v>1158</v>
      </c>
      <c r="J264">
        <v>6</v>
      </c>
      <c r="K264" t="s">
        <v>18</v>
      </c>
      <c r="M264">
        <v>1</v>
      </c>
      <c r="N264" s="1" t="s">
        <v>2651</v>
      </c>
      <c r="O264" t="s">
        <v>2514</v>
      </c>
      <c r="P264" t="str">
        <f t="shared" si="4"/>
        <v>update zamestnanci set os_cislo='264', rfid='0003375097',cilova='DSC',nastup='148' where os_cislo='264';</v>
      </c>
    </row>
    <row r="265" spans="1:16" x14ac:dyDescent="0.25">
      <c r="A265">
        <v>399</v>
      </c>
      <c r="B265" t="s">
        <v>1159</v>
      </c>
      <c r="C265" s="4">
        <v>265</v>
      </c>
      <c r="D265" t="s">
        <v>1160</v>
      </c>
      <c r="E265" t="s">
        <v>1161</v>
      </c>
      <c r="F265" t="s">
        <v>1162</v>
      </c>
      <c r="G265">
        <f>IF(N265&lt;&gt;"",VLOOKUP(N265,zastavky!E:F,2,FALSE),"")</f>
        <v>148</v>
      </c>
      <c r="H265" t="s">
        <v>1163</v>
      </c>
      <c r="I265" t="s">
        <v>1164</v>
      </c>
      <c r="J265">
        <v>6</v>
      </c>
      <c r="K265" t="s">
        <v>18</v>
      </c>
      <c r="M265">
        <v>1</v>
      </c>
      <c r="N265" s="1" t="s">
        <v>2651</v>
      </c>
      <c r="O265" t="s">
        <v>2514</v>
      </c>
      <c r="P265" t="str">
        <f t="shared" si="4"/>
        <v>update zamestnanci set os_cislo='265', rfid='0013123141',cilova='DSC',nastup='148' where os_cislo='265';</v>
      </c>
    </row>
    <row r="266" spans="1:16" x14ac:dyDescent="0.25">
      <c r="A266">
        <v>400</v>
      </c>
      <c r="B266" t="s">
        <v>1165</v>
      </c>
      <c r="C266" s="4">
        <v>266</v>
      </c>
      <c r="D266" t="s">
        <v>1166</v>
      </c>
      <c r="E266" t="s">
        <v>1167</v>
      </c>
      <c r="F266" t="s">
        <v>1168</v>
      </c>
      <c r="G266">
        <f>IF(N266&lt;&gt;"",VLOOKUP(N266,zastavky!E:F,2,FALSE),"")</f>
        <v>100</v>
      </c>
      <c r="H266" t="s">
        <v>1169</v>
      </c>
      <c r="I266" t="s">
        <v>1170</v>
      </c>
      <c r="J266">
        <v>6</v>
      </c>
      <c r="K266" t="s">
        <v>18</v>
      </c>
      <c r="M266">
        <v>1</v>
      </c>
      <c r="N266" s="1" t="s">
        <v>2581</v>
      </c>
      <c r="O266" t="s">
        <v>2514</v>
      </c>
      <c r="P266" t="str">
        <f t="shared" si="4"/>
        <v>update zamestnanci set os_cislo='266', rfid='0004489951',cilova='DSC',nastup='100' where os_cislo='266';</v>
      </c>
    </row>
    <row r="267" spans="1:16" x14ac:dyDescent="0.25">
      <c r="A267">
        <v>401</v>
      </c>
      <c r="B267" t="s">
        <v>620</v>
      </c>
      <c r="C267" s="4">
        <v>267</v>
      </c>
      <c r="D267" t="s">
        <v>1171</v>
      </c>
      <c r="E267" t="s">
        <v>1172</v>
      </c>
      <c r="F267" t="s">
        <v>1173</v>
      </c>
      <c r="G267">
        <f>IF(N267&lt;&gt;"",VLOOKUP(N267,zastavky!E:F,2,FALSE),"")</f>
        <v>100</v>
      </c>
      <c r="H267" t="s">
        <v>1174</v>
      </c>
      <c r="I267" t="s">
        <v>1175</v>
      </c>
      <c r="J267">
        <v>6</v>
      </c>
      <c r="K267" t="s">
        <v>18</v>
      </c>
      <c r="M267">
        <v>1</v>
      </c>
      <c r="N267" s="1" t="s">
        <v>2581</v>
      </c>
      <c r="O267" t="s">
        <v>2514</v>
      </c>
      <c r="P267" t="str">
        <f t="shared" si="4"/>
        <v>update zamestnanci set os_cislo='267', rfid='0001867350',cilova='DSC',nastup='100' where os_cislo='267';</v>
      </c>
    </row>
    <row r="268" spans="1:16" x14ac:dyDescent="0.25">
      <c r="A268">
        <v>402</v>
      </c>
      <c r="B268" t="s">
        <v>1176</v>
      </c>
      <c r="C268" s="4">
        <v>268</v>
      </c>
      <c r="D268" t="s">
        <v>1177</v>
      </c>
      <c r="E268" t="s">
        <v>1178</v>
      </c>
      <c r="F268" t="s">
        <v>1179</v>
      </c>
      <c r="G268">
        <f>IF(N268&lt;&gt;"",VLOOKUP(N268,zastavky!E:F,2,FALSE),"")</f>
        <v>167</v>
      </c>
      <c r="I268" t="s">
        <v>1180</v>
      </c>
      <c r="J268">
        <v>6</v>
      </c>
      <c r="K268" t="s">
        <v>18</v>
      </c>
      <c r="M268">
        <v>1</v>
      </c>
      <c r="N268" s="1" t="s">
        <v>2652</v>
      </c>
      <c r="O268" t="s">
        <v>2514</v>
      </c>
      <c r="P268" t="str">
        <f t="shared" si="4"/>
        <v>update zamestnanci set os_cislo='268', rfid='0009531966',cilova='DSC',nastup='167' where os_cislo='268';</v>
      </c>
    </row>
    <row r="269" spans="1:16" x14ac:dyDescent="0.25">
      <c r="A269">
        <v>403</v>
      </c>
      <c r="B269" t="s">
        <v>1181</v>
      </c>
      <c r="C269" s="4">
        <v>269</v>
      </c>
      <c r="D269" t="s">
        <v>1182</v>
      </c>
      <c r="E269" t="s">
        <v>1183</v>
      </c>
      <c r="F269" t="s">
        <v>1184</v>
      </c>
      <c r="G269">
        <f>IF(N269&lt;&gt;"",VLOOKUP(N269,zastavky!E:F,2,FALSE),"")</f>
        <v>144</v>
      </c>
      <c r="H269" t="s">
        <v>1185</v>
      </c>
      <c r="I269" t="s">
        <v>1186</v>
      </c>
      <c r="J269">
        <v>6</v>
      </c>
      <c r="K269" t="s">
        <v>18</v>
      </c>
      <c r="M269">
        <v>1</v>
      </c>
      <c r="N269" s="1" t="s">
        <v>2653</v>
      </c>
      <c r="O269" t="s">
        <v>2514</v>
      </c>
      <c r="P269" t="str">
        <f t="shared" si="4"/>
        <v>update zamestnanci set os_cislo='269', rfid='0005160737',cilova='DSC',nastup='144' where os_cislo='269';</v>
      </c>
    </row>
    <row r="270" spans="1:16" x14ac:dyDescent="0.25">
      <c r="A270">
        <v>404</v>
      </c>
      <c r="B270" t="s">
        <v>1187</v>
      </c>
      <c r="C270" s="4">
        <v>270</v>
      </c>
      <c r="D270" t="s">
        <v>1182</v>
      </c>
      <c r="E270" t="s">
        <v>1188</v>
      </c>
      <c r="F270" t="s">
        <v>1189</v>
      </c>
      <c r="G270">
        <f>IF(N270&lt;&gt;"",VLOOKUP(N270,zastavky!E:F,2,FALSE),"")</f>
        <v>144</v>
      </c>
      <c r="H270" t="s">
        <v>1190</v>
      </c>
      <c r="I270" t="s">
        <v>1191</v>
      </c>
      <c r="J270">
        <v>6</v>
      </c>
      <c r="K270" t="s">
        <v>18</v>
      </c>
      <c r="M270">
        <v>1</v>
      </c>
      <c r="N270" s="1" t="s">
        <v>2653</v>
      </c>
      <c r="O270" t="s">
        <v>2514</v>
      </c>
      <c r="P270" t="str">
        <f t="shared" si="4"/>
        <v>update zamestnanci set os_cislo='270', rfid='0003514629',cilova='DSC',nastup='144' where os_cislo='270';</v>
      </c>
    </row>
    <row r="271" spans="1:16" x14ac:dyDescent="0.25">
      <c r="A271">
        <v>405</v>
      </c>
      <c r="B271" t="s">
        <v>1192</v>
      </c>
      <c r="C271" s="4">
        <v>271</v>
      </c>
      <c r="D271" t="s">
        <v>1193</v>
      </c>
      <c r="E271" t="s">
        <v>1194</v>
      </c>
      <c r="F271" t="s">
        <v>1195</v>
      </c>
      <c r="G271">
        <f>IF(N271&lt;&gt;"",VLOOKUP(N271,zastavky!E:F,2,FALSE),"")</f>
        <v>160</v>
      </c>
      <c r="H271" t="s">
        <v>1196</v>
      </c>
      <c r="I271" t="s">
        <v>1197</v>
      </c>
      <c r="J271">
        <v>6</v>
      </c>
      <c r="K271" t="s">
        <v>18</v>
      </c>
      <c r="M271">
        <v>1</v>
      </c>
      <c r="N271" s="1" t="s">
        <v>2654</v>
      </c>
      <c r="O271" t="s">
        <v>2514</v>
      </c>
      <c r="P271" t="str">
        <f t="shared" si="4"/>
        <v>update zamestnanci set os_cislo='271', rfid='0001303232',cilova='DSC',nastup='160' where os_cislo='271';</v>
      </c>
    </row>
    <row r="272" spans="1:16" x14ac:dyDescent="0.25">
      <c r="A272">
        <v>406</v>
      </c>
      <c r="B272" t="s">
        <v>1198</v>
      </c>
      <c r="C272" s="4">
        <v>272</v>
      </c>
      <c r="D272" t="s">
        <v>1199</v>
      </c>
      <c r="E272" t="s">
        <v>1200</v>
      </c>
      <c r="F272" t="s">
        <v>1201</v>
      </c>
      <c r="G272">
        <f>IF(N272&lt;&gt;"",VLOOKUP(N272,zastavky!E:F,2,FALSE),"")</f>
        <v>162</v>
      </c>
      <c r="H272" t="s">
        <v>1202</v>
      </c>
      <c r="I272" t="s">
        <v>1203</v>
      </c>
      <c r="J272">
        <v>6</v>
      </c>
      <c r="K272" t="s">
        <v>18</v>
      </c>
      <c r="M272">
        <v>1</v>
      </c>
      <c r="N272" s="1" t="s">
        <v>2647</v>
      </c>
      <c r="O272" t="s">
        <v>2514</v>
      </c>
      <c r="P272" t="str">
        <f t="shared" si="4"/>
        <v>update zamestnanci set os_cislo='272', rfid='0004941641',cilova='DSC',nastup='162' where os_cislo='272';</v>
      </c>
    </row>
    <row r="273" spans="1:16" x14ac:dyDescent="0.25">
      <c r="A273">
        <v>407</v>
      </c>
      <c r="B273" t="s">
        <v>958</v>
      </c>
      <c r="C273" s="4">
        <v>273</v>
      </c>
      <c r="D273" t="s">
        <v>1204</v>
      </c>
      <c r="E273" t="s">
        <v>1205</v>
      </c>
      <c r="F273" t="s">
        <v>1206</v>
      </c>
      <c r="G273">
        <f>IF(N273&lt;&gt;"",VLOOKUP(N273,zastavky!E:F,2,FALSE),"")</f>
        <v>100</v>
      </c>
      <c r="H273" t="s">
        <v>1207</v>
      </c>
      <c r="I273" t="s">
        <v>1208</v>
      </c>
      <c r="J273">
        <v>6</v>
      </c>
      <c r="K273" t="s">
        <v>18</v>
      </c>
      <c r="M273">
        <v>1</v>
      </c>
      <c r="N273" s="1" t="s">
        <v>2581</v>
      </c>
      <c r="O273" t="s">
        <v>2514</v>
      </c>
      <c r="P273" t="str">
        <f t="shared" si="4"/>
        <v>update zamestnanci set os_cislo='273', rfid='0005010380',cilova='DSC',nastup='100' where os_cislo='273';</v>
      </c>
    </row>
    <row r="274" spans="1:16" x14ac:dyDescent="0.25">
      <c r="A274">
        <v>408</v>
      </c>
      <c r="B274" t="s">
        <v>1209</v>
      </c>
      <c r="C274" s="4">
        <v>274</v>
      </c>
      <c r="D274" t="s">
        <v>1210</v>
      </c>
      <c r="E274" t="s">
        <v>1211</v>
      </c>
      <c r="F274" t="s">
        <v>1212</v>
      </c>
      <c r="G274">
        <f>IF(N274&lt;&gt;"",VLOOKUP(N274,zastavky!E:F,2,FALSE),"")</f>
        <v>100</v>
      </c>
      <c r="H274" t="s">
        <v>1213</v>
      </c>
      <c r="I274" t="s">
        <v>1214</v>
      </c>
      <c r="J274">
        <v>6</v>
      </c>
      <c r="K274" t="s">
        <v>18</v>
      </c>
      <c r="M274">
        <v>1</v>
      </c>
      <c r="N274" s="1" t="s">
        <v>2581</v>
      </c>
      <c r="O274" t="s">
        <v>2514</v>
      </c>
      <c r="P274" t="str">
        <f t="shared" si="4"/>
        <v>update zamestnanci set os_cislo='274', rfid='0004222254',cilova='DSC',nastup='100' where os_cislo='274';</v>
      </c>
    </row>
    <row r="275" spans="1:16" x14ac:dyDescent="0.25">
      <c r="A275">
        <v>409</v>
      </c>
      <c r="B275" t="s">
        <v>1215</v>
      </c>
      <c r="C275" s="4">
        <v>275</v>
      </c>
      <c r="D275" t="s">
        <v>1216</v>
      </c>
      <c r="E275" t="s">
        <v>1217</v>
      </c>
      <c r="F275" t="s">
        <v>1218</v>
      </c>
      <c r="G275">
        <f>IF(N275&lt;&gt;"",VLOOKUP(N275,zastavky!E:F,2,FALSE),"")</f>
        <v>146</v>
      </c>
      <c r="H275" t="s">
        <v>1219</v>
      </c>
      <c r="I275" t="s">
        <v>1220</v>
      </c>
      <c r="J275">
        <v>6</v>
      </c>
      <c r="K275" t="s">
        <v>18</v>
      </c>
      <c r="M275">
        <v>1</v>
      </c>
      <c r="N275" s="1" t="s">
        <v>2655</v>
      </c>
      <c r="O275" t="s">
        <v>2514</v>
      </c>
      <c r="P275" t="str">
        <f t="shared" si="4"/>
        <v>update zamestnanci set os_cislo='275', rfid='0004688704',cilova='DSC',nastup='146' where os_cislo='275';</v>
      </c>
    </row>
    <row r="276" spans="1:16" x14ac:dyDescent="0.25">
      <c r="A276">
        <v>410</v>
      </c>
      <c r="B276" t="s">
        <v>1221</v>
      </c>
      <c r="C276" s="4">
        <v>276</v>
      </c>
      <c r="D276" t="s">
        <v>1222</v>
      </c>
      <c r="E276" t="s">
        <v>828</v>
      </c>
      <c r="F276" t="s">
        <v>1223</v>
      </c>
      <c r="G276">
        <f>IF(N276&lt;&gt;"",VLOOKUP(N276,zastavky!E:F,2,FALSE),"")</f>
        <v>100</v>
      </c>
      <c r="H276" t="s">
        <v>1224</v>
      </c>
      <c r="I276" t="s">
        <v>1225</v>
      </c>
      <c r="J276">
        <v>6</v>
      </c>
      <c r="K276" t="s">
        <v>18</v>
      </c>
      <c r="M276">
        <v>1</v>
      </c>
      <c r="N276" s="1" t="s">
        <v>2581</v>
      </c>
      <c r="O276" t="s">
        <v>2514</v>
      </c>
      <c r="P276" t="str">
        <f t="shared" si="4"/>
        <v>update zamestnanci set os_cislo='276', rfid='0001988791',cilova='DSC',nastup='100' where os_cislo='276';</v>
      </c>
    </row>
    <row r="277" spans="1:16" x14ac:dyDescent="0.25">
      <c r="A277">
        <v>411</v>
      </c>
      <c r="B277" t="s">
        <v>1226</v>
      </c>
      <c r="C277" s="4">
        <v>277</v>
      </c>
      <c r="D277" t="s">
        <v>1227</v>
      </c>
      <c r="E277" t="s">
        <v>1228</v>
      </c>
      <c r="F277" t="s">
        <v>1229</v>
      </c>
      <c r="G277">
        <f>IF(N277&lt;&gt;"",VLOOKUP(N277,zastavky!E:F,2,FALSE),"")</f>
        <v>151</v>
      </c>
      <c r="H277" t="s">
        <v>1230</v>
      </c>
      <c r="I277" t="s">
        <v>1231</v>
      </c>
      <c r="J277">
        <v>6</v>
      </c>
      <c r="K277" t="s">
        <v>18</v>
      </c>
      <c r="M277">
        <v>1</v>
      </c>
      <c r="N277" s="1" t="s">
        <v>2638</v>
      </c>
      <c r="O277" t="s">
        <v>2514</v>
      </c>
      <c r="P277" t="str">
        <f t="shared" si="4"/>
        <v>update zamestnanci set os_cislo='277', rfid='0008337713',cilova='DSC',nastup='151' where os_cislo='277';</v>
      </c>
    </row>
    <row r="278" spans="1:16" x14ac:dyDescent="0.25">
      <c r="A278">
        <v>412</v>
      </c>
      <c r="B278" t="s">
        <v>1232</v>
      </c>
      <c r="C278" s="4">
        <v>278</v>
      </c>
      <c r="D278" t="s">
        <v>1233</v>
      </c>
      <c r="E278" t="s">
        <v>1234</v>
      </c>
      <c r="F278" t="s">
        <v>1235</v>
      </c>
      <c r="G278">
        <f>IF(N278&lt;&gt;"",VLOOKUP(N278,zastavky!E:F,2,FALSE),"")</f>
        <v>62</v>
      </c>
      <c r="H278" t="s">
        <v>1236</v>
      </c>
      <c r="I278" t="s">
        <v>1237</v>
      </c>
      <c r="J278">
        <v>6</v>
      </c>
      <c r="K278" t="s">
        <v>18</v>
      </c>
      <c r="M278">
        <v>1</v>
      </c>
      <c r="N278" s="1" t="s">
        <v>2641</v>
      </c>
      <c r="O278" t="s">
        <v>2514</v>
      </c>
      <c r="P278" t="str">
        <f t="shared" si="4"/>
        <v>update zamestnanci set os_cislo='278', rfid='0001988752',cilova='DSC',nastup='62' where os_cislo='278';</v>
      </c>
    </row>
    <row r="279" spans="1:16" x14ac:dyDescent="0.25">
      <c r="A279">
        <v>413</v>
      </c>
      <c r="B279" t="s">
        <v>1238</v>
      </c>
      <c r="C279" s="4">
        <v>279</v>
      </c>
      <c r="D279" t="s">
        <v>1239</v>
      </c>
      <c r="E279" t="s">
        <v>1240</v>
      </c>
      <c r="F279" t="s">
        <v>1241</v>
      </c>
      <c r="G279">
        <f>IF(N279&lt;&gt;"",VLOOKUP(N279,zastavky!E:F,2,FALSE),"")</f>
        <v>156</v>
      </c>
      <c r="H279" t="s">
        <v>1242</v>
      </c>
      <c r="I279" t="s">
        <v>1243</v>
      </c>
      <c r="J279">
        <v>6</v>
      </c>
      <c r="K279" t="s">
        <v>18</v>
      </c>
      <c r="M279">
        <v>1</v>
      </c>
      <c r="N279" s="1" t="s">
        <v>2636</v>
      </c>
      <c r="O279" t="s">
        <v>2514</v>
      </c>
      <c r="P279" t="str">
        <f t="shared" si="4"/>
        <v>update zamestnanci set os_cislo='279', rfid='0004521242',cilova='DSC',nastup='156' where os_cislo='279';</v>
      </c>
    </row>
    <row r="280" spans="1:16" x14ac:dyDescent="0.25">
      <c r="A280">
        <v>414</v>
      </c>
      <c r="B280" t="s">
        <v>1244</v>
      </c>
      <c r="C280" s="4">
        <v>280</v>
      </c>
      <c r="D280" t="s">
        <v>1245</v>
      </c>
      <c r="E280" t="s">
        <v>1246</v>
      </c>
      <c r="F280" t="s">
        <v>1247</v>
      </c>
      <c r="G280">
        <f>IF(N280&lt;&gt;"",VLOOKUP(N280,zastavky!E:F,2,FALSE),"")</f>
        <v>148</v>
      </c>
      <c r="H280" t="s">
        <v>1248</v>
      </c>
      <c r="I280" t="s">
        <v>1249</v>
      </c>
      <c r="J280">
        <v>6</v>
      </c>
      <c r="K280" t="s">
        <v>18</v>
      </c>
      <c r="M280">
        <v>1</v>
      </c>
      <c r="N280" s="1" t="s">
        <v>2651</v>
      </c>
      <c r="O280" t="s">
        <v>2514</v>
      </c>
      <c r="P280" t="str">
        <f t="shared" si="4"/>
        <v>update zamestnanci set os_cislo='280', rfid='0002003331',cilova='DSC',nastup='148' where os_cislo='280';</v>
      </c>
    </row>
    <row r="281" spans="1:16" x14ac:dyDescent="0.25">
      <c r="A281">
        <v>415</v>
      </c>
      <c r="B281" t="s">
        <v>1250</v>
      </c>
      <c r="C281" s="4">
        <v>281</v>
      </c>
      <c r="D281" t="s">
        <v>1245</v>
      </c>
      <c r="E281" t="s">
        <v>628</v>
      </c>
      <c r="F281" t="s">
        <v>1251</v>
      </c>
      <c r="G281">
        <f>IF(N281&lt;&gt;"",VLOOKUP(N281,zastavky!E:F,2,FALSE),"")</f>
        <v>147</v>
      </c>
      <c r="H281" t="s">
        <v>1252</v>
      </c>
      <c r="I281" t="s">
        <v>1253</v>
      </c>
      <c r="J281">
        <v>6</v>
      </c>
      <c r="K281" t="s">
        <v>18</v>
      </c>
      <c r="M281">
        <v>1</v>
      </c>
      <c r="N281" s="1" t="s">
        <v>2656</v>
      </c>
      <c r="O281" t="s">
        <v>2514</v>
      </c>
      <c r="P281" t="str">
        <f t="shared" si="4"/>
        <v>update zamestnanci set os_cislo='281', rfid='0009567977',cilova='DSC',nastup='147' where os_cislo='281';</v>
      </c>
    </row>
    <row r="282" spans="1:16" x14ac:dyDescent="0.25">
      <c r="A282">
        <v>416</v>
      </c>
      <c r="B282" t="s">
        <v>1254</v>
      </c>
      <c r="C282" s="4">
        <v>282</v>
      </c>
      <c r="D282" t="s">
        <v>1255</v>
      </c>
      <c r="E282" t="s">
        <v>1256</v>
      </c>
      <c r="F282" t="s">
        <v>1257</v>
      </c>
      <c r="G282">
        <f>IF(N282&lt;&gt;"",VLOOKUP(N282,zastavky!E:F,2,FALSE),"")</f>
        <v>170</v>
      </c>
      <c r="H282" t="s">
        <v>1258</v>
      </c>
      <c r="I282" t="s">
        <v>1259</v>
      </c>
      <c r="J282">
        <v>6</v>
      </c>
      <c r="K282" t="s">
        <v>18</v>
      </c>
      <c r="M282">
        <v>1</v>
      </c>
      <c r="N282" s="1" t="s">
        <v>2657</v>
      </c>
      <c r="O282" t="s">
        <v>2514</v>
      </c>
      <c r="P282" t="str">
        <f t="shared" si="4"/>
        <v>update zamestnanci set os_cislo='282', rfid='0002036733',cilova='DSC',nastup='170' where os_cislo='282';</v>
      </c>
    </row>
    <row r="283" spans="1:16" x14ac:dyDescent="0.25">
      <c r="A283">
        <v>417</v>
      </c>
      <c r="B283" t="s">
        <v>1260</v>
      </c>
      <c r="C283" s="4">
        <v>283</v>
      </c>
      <c r="D283" t="s">
        <v>1261</v>
      </c>
      <c r="E283" t="s">
        <v>1262</v>
      </c>
      <c r="F283" t="s">
        <v>1263</v>
      </c>
      <c r="G283">
        <f>IF(N283&lt;&gt;"",VLOOKUP(N283,zastavky!E:F,2,FALSE),"")</f>
        <v>161</v>
      </c>
      <c r="H283" t="s">
        <v>1264</v>
      </c>
      <c r="I283" t="s">
        <v>1265</v>
      </c>
      <c r="J283">
        <v>6</v>
      </c>
      <c r="K283" t="s">
        <v>18</v>
      </c>
      <c r="M283">
        <v>1</v>
      </c>
      <c r="N283" s="1" t="s">
        <v>2648</v>
      </c>
      <c r="O283" t="s">
        <v>2514</v>
      </c>
      <c r="P283" t="str">
        <f t="shared" si="4"/>
        <v>update zamestnanci set os_cislo='283', rfid='0004234930',cilova='DSC',nastup='161' where os_cislo='283';</v>
      </c>
    </row>
    <row r="284" spans="1:16" x14ac:dyDescent="0.25">
      <c r="A284">
        <v>418</v>
      </c>
      <c r="B284" t="s">
        <v>1266</v>
      </c>
      <c r="C284" s="4">
        <v>284</v>
      </c>
      <c r="D284" t="s">
        <v>1267</v>
      </c>
      <c r="E284" t="s">
        <v>1268</v>
      </c>
      <c r="F284" t="s">
        <v>1269</v>
      </c>
      <c r="G284">
        <f>IF(N284&lt;&gt;"",VLOOKUP(N284,zastavky!E:F,2,FALSE),"")</f>
        <v>100</v>
      </c>
      <c r="H284" t="s">
        <v>1270</v>
      </c>
      <c r="I284" t="s">
        <v>1271</v>
      </c>
      <c r="J284">
        <v>6</v>
      </c>
      <c r="K284" t="s">
        <v>18</v>
      </c>
      <c r="M284">
        <v>1</v>
      </c>
      <c r="N284" s="1" t="s">
        <v>2581</v>
      </c>
      <c r="O284" t="s">
        <v>2514</v>
      </c>
      <c r="P284" t="str">
        <f t="shared" si="4"/>
        <v>update zamestnanci set os_cislo='284', rfid='0004689675',cilova='DSC',nastup='100' where os_cislo='284';</v>
      </c>
    </row>
    <row r="285" spans="1:16" x14ac:dyDescent="0.25">
      <c r="A285">
        <v>419</v>
      </c>
      <c r="B285" t="s">
        <v>1272</v>
      </c>
      <c r="C285" s="4">
        <v>285</v>
      </c>
      <c r="D285" t="s">
        <v>1267</v>
      </c>
      <c r="E285" t="s">
        <v>1273</v>
      </c>
      <c r="F285" t="s">
        <v>1274</v>
      </c>
      <c r="G285">
        <f>IF(N285&lt;&gt;"",VLOOKUP(N285,zastavky!E:F,2,FALSE),"")</f>
        <v>100</v>
      </c>
      <c r="H285" t="s">
        <v>1275</v>
      </c>
      <c r="I285" t="s">
        <v>1271</v>
      </c>
      <c r="J285">
        <v>6</v>
      </c>
      <c r="K285" t="s">
        <v>18</v>
      </c>
      <c r="M285">
        <v>1</v>
      </c>
      <c r="N285" s="1" t="s">
        <v>2581</v>
      </c>
      <c r="O285" t="s">
        <v>2514</v>
      </c>
      <c r="P285" t="str">
        <f t="shared" si="4"/>
        <v>update zamestnanci set os_cislo='285', rfid='0002005366',cilova='DSC',nastup='100' where os_cislo='285';</v>
      </c>
    </row>
    <row r="286" spans="1:16" x14ac:dyDescent="0.25">
      <c r="A286">
        <v>420</v>
      </c>
      <c r="B286" t="s">
        <v>1276</v>
      </c>
      <c r="C286" s="4">
        <v>286</v>
      </c>
      <c r="D286" t="s">
        <v>1277</v>
      </c>
      <c r="E286" t="s">
        <v>1278</v>
      </c>
      <c r="F286" t="s">
        <v>1279</v>
      </c>
      <c r="G286">
        <f>IF(N286&lt;&gt;"",VLOOKUP(N286,zastavky!E:F,2,FALSE),"")</f>
        <v>63</v>
      </c>
      <c r="H286" t="s">
        <v>1280</v>
      </c>
      <c r="I286" t="s">
        <v>1281</v>
      </c>
      <c r="J286">
        <v>6</v>
      </c>
      <c r="K286" t="s">
        <v>18</v>
      </c>
      <c r="M286">
        <v>1</v>
      </c>
      <c r="N286" s="1" t="s">
        <v>2644</v>
      </c>
      <c r="O286" t="s">
        <v>2514</v>
      </c>
      <c r="P286" t="str">
        <f t="shared" si="4"/>
        <v>update zamestnanci set os_cislo='286', rfid='0004507174',cilova='DSC',nastup='63' where os_cislo='286';</v>
      </c>
    </row>
    <row r="287" spans="1:16" x14ac:dyDescent="0.25">
      <c r="A287">
        <v>421</v>
      </c>
      <c r="B287" t="s">
        <v>1282</v>
      </c>
      <c r="C287" s="4">
        <v>287</v>
      </c>
      <c r="D287" t="s">
        <v>1283</v>
      </c>
      <c r="E287" t="s">
        <v>1284</v>
      </c>
      <c r="F287" t="s">
        <v>1285</v>
      </c>
      <c r="G287">
        <f>IF(N287&lt;&gt;"",VLOOKUP(N287,zastavky!E:F,2,FALSE),"")</f>
        <v>146</v>
      </c>
      <c r="H287" t="s">
        <v>1286</v>
      </c>
      <c r="I287" t="s">
        <v>1287</v>
      </c>
      <c r="J287">
        <v>6</v>
      </c>
      <c r="K287" t="s">
        <v>18</v>
      </c>
      <c r="M287">
        <v>1</v>
      </c>
      <c r="N287" s="1" t="s">
        <v>2655</v>
      </c>
      <c r="O287" t="s">
        <v>2514</v>
      </c>
      <c r="P287" t="str">
        <f t="shared" si="4"/>
        <v>update zamestnanci set os_cislo='287', rfid='0001406423',cilova='DSC',nastup='146' where os_cislo='287';</v>
      </c>
    </row>
    <row r="288" spans="1:16" x14ac:dyDescent="0.25">
      <c r="A288">
        <v>422</v>
      </c>
      <c r="B288" t="s">
        <v>1288</v>
      </c>
      <c r="C288" s="4">
        <v>288</v>
      </c>
      <c r="D288" t="s">
        <v>1289</v>
      </c>
      <c r="E288" t="s">
        <v>1290</v>
      </c>
      <c r="F288" t="s">
        <v>1291</v>
      </c>
      <c r="G288">
        <f>IF(N288&lt;&gt;"",VLOOKUP(N288,zastavky!E:F,2,FALSE),"")</f>
        <v>100</v>
      </c>
      <c r="H288" t="s">
        <v>1292</v>
      </c>
      <c r="I288" t="s">
        <v>1293</v>
      </c>
      <c r="J288">
        <v>6</v>
      </c>
      <c r="K288" t="s">
        <v>18</v>
      </c>
      <c r="M288">
        <v>1</v>
      </c>
      <c r="N288" s="1" t="s">
        <v>2581</v>
      </c>
      <c r="O288" t="s">
        <v>2514</v>
      </c>
      <c r="P288" t="str">
        <f t="shared" si="4"/>
        <v>update zamestnanci set os_cislo='288', rfid='0001218561',cilova='DSC',nastup='100' where os_cislo='288';</v>
      </c>
    </row>
    <row r="289" spans="1:16" x14ac:dyDescent="0.25">
      <c r="A289">
        <v>423</v>
      </c>
      <c r="B289" t="s">
        <v>1294</v>
      </c>
      <c r="C289" s="4">
        <v>289</v>
      </c>
      <c r="D289" t="s">
        <v>1295</v>
      </c>
      <c r="E289" t="s">
        <v>1296</v>
      </c>
      <c r="F289" t="s">
        <v>1297</v>
      </c>
      <c r="G289">
        <f>IF(N289&lt;&gt;"",VLOOKUP(N289,zastavky!E:F,2,FALSE),"")</f>
        <v>62</v>
      </c>
      <c r="H289" t="s">
        <v>1298</v>
      </c>
      <c r="I289" t="s">
        <v>1299</v>
      </c>
      <c r="J289">
        <v>6</v>
      </c>
      <c r="K289" t="s">
        <v>18</v>
      </c>
      <c r="M289">
        <v>1</v>
      </c>
      <c r="N289" s="1" t="s">
        <v>2641</v>
      </c>
      <c r="O289" t="s">
        <v>2514</v>
      </c>
      <c r="P289" t="str">
        <f t="shared" si="4"/>
        <v>update zamestnanci set os_cislo='289', rfid='0008791985',cilova='DSC',nastup='62' where os_cislo='289';</v>
      </c>
    </row>
    <row r="290" spans="1:16" x14ac:dyDescent="0.25">
      <c r="A290">
        <v>424</v>
      </c>
      <c r="B290" t="s">
        <v>1300</v>
      </c>
      <c r="C290" s="4">
        <v>290</v>
      </c>
      <c r="D290" t="s">
        <v>1295</v>
      </c>
      <c r="E290" t="s">
        <v>1301</v>
      </c>
      <c r="F290" t="s">
        <v>1302</v>
      </c>
      <c r="G290">
        <f>IF(N290&lt;&gt;"",VLOOKUP(N290,zastavky!E:F,2,FALSE),"")</f>
        <v>62</v>
      </c>
      <c r="H290" t="s">
        <v>1303</v>
      </c>
      <c r="I290" t="s">
        <v>1299</v>
      </c>
      <c r="J290">
        <v>6</v>
      </c>
      <c r="K290" t="s">
        <v>18</v>
      </c>
      <c r="M290">
        <v>1</v>
      </c>
      <c r="N290" s="1" t="s">
        <v>2641</v>
      </c>
      <c r="O290" t="s">
        <v>2514</v>
      </c>
      <c r="P290" t="str">
        <f t="shared" si="4"/>
        <v>update zamestnanci set os_cislo='290', rfid='0001974139',cilova='DSC',nastup='62' where os_cislo='290';</v>
      </c>
    </row>
    <row r="291" spans="1:16" x14ac:dyDescent="0.25">
      <c r="A291">
        <v>425</v>
      </c>
      <c r="B291" t="s">
        <v>1304</v>
      </c>
      <c r="C291" s="4">
        <v>291</v>
      </c>
      <c r="D291" t="s">
        <v>1305</v>
      </c>
      <c r="E291" t="s">
        <v>1306</v>
      </c>
      <c r="F291" t="s">
        <v>1307</v>
      </c>
      <c r="G291">
        <f>IF(N291&lt;&gt;"",VLOOKUP(N291,zastavky!E:F,2,FALSE),"")</f>
        <v>100</v>
      </c>
      <c r="H291" t="s">
        <v>1308</v>
      </c>
      <c r="I291" t="s">
        <v>1309</v>
      </c>
      <c r="J291">
        <v>6</v>
      </c>
      <c r="K291" t="s">
        <v>18</v>
      </c>
      <c r="M291">
        <v>1</v>
      </c>
      <c r="N291" s="1" t="s">
        <v>2581</v>
      </c>
      <c r="O291" t="s">
        <v>2514</v>
      </c>
      <c r="P291" t="str">
        <f t="shared" si="4"/>
        <v>update zamestnanci set os_cislo='291', rfid='0001928492',cilova='DSC',nastup='100' where os_cislo='291';</v>
      </c>
    </row>
    <row r="292" spans="1:16" x14ac:dyDescent="0.25">
      <c r="A292">
        <v>426</v>
      </c>
      <c r="B292" t="s">
        <v>1310</v>
      </c>
      <c r="C292" s="4">
        <v>292</v>
      </c>
      <c r="D292" t="s">
        <v>1311</v>
      </c>
      <c r="E292" t="s">
        <v>1312</v>
      </c>
      <c r="F292" t="s">
        <v>1313</v>
      </c>
      <c r="G292">
        <f>IF(N292&lt;&gt;"",VLOOKUP(N292,zastavky!E:F,2,FALSE),"")</f>
        <v>168</v>
      </c>
      <c r="H292" t="s">
        <v>1314</v>
      </c>
      <c r="I292" t="s">
        <v>1315</v>
      </c>
      <c r="J292">
        <v>6</v>
      </c>
      <c r="K292" t="s">
        <v>18</v>
      </c>
      <c r="M292">
        <v>1</v>
      </c>
      <c r="N292" s="1" t="s">
        <v>2658</v>
      </c>
      <c r="O292" t="s">
        <v>2514</v>
      </c>
      <c r="P292" t="str">
        <f t="shared" si="4"/>
        <v>update zamestnanci set os_cislo='292', rfid='0004569962',cilova='DSC',nastup='168' where os_cislo='292';</v>
      </c>
    </row>
    <row r="293" spans="1:16" x14ac:dyDescent="0.25">
      <c r="A293">
        <v>427</v>
      </c>
      <c r="B293" t="s">
        <v>1316</v>
      </c>
      <c r="C293" s="4">
        <v>293</v>
      </c>
      <c r="D293" t="s">
        <v>1317</v>
      </c>
      <c r="E293" t="s">
        <v>1318</v>
      </c>
      <c r="F293" t="s">
        <v>1319</v>
      </c>
      <c r="G293">
        <f>IF(N293&lt;&gt;"",VLOOKUP(N293,zastavky!E:F,2,FALSE),"")</f>
        <v>157</v>
      </c>
      <c r="H293" t="s">
        <v>1320</v>
      </c>
      <c r="I293" t="s">
        <v>1321</v>
      </c>
      <c r="J293">
        <v>6</v>
      </c>
      <c r="K293" t="s">
        <v>18</v>
      </c>
      <c r="M293">
        <v>1</v>
      </c>
      <c r="N293" s="1" t="s">
        <v>2659</v>
      </c>
      <c r="O293" t="s">
        <v>2514</v>
      </c>
      <c r="P293" t="str">
        <f t="shared" si="4"/>
        <v>update zamestnanci set os_cislo='293', rfid='0001045792',cilova='DSC',nastup='157' where os_cislo='293';</v>
      </c>
    </row>
    <row r="294" spans="1:16" x14ac:dyDescent="0.25">
      <c r="A294">
        <v>428</v>
      </c>
      <c r="B294" t="s">
        <v>1322</v>
      </c>
      <c r="C294" s="4">
        <v>294</v>
      </c>
      <c r="D294" t="s">
        <v>1323</v>
      </c>
      <c r="E294" t="s">
        <v>1324</v>
      </c>
      <c r="F294" t="s">
        <v>1325</v>
      </c>
      <c r="G294">
        <f>IF(N294&lt;&gt;"",VLOOKUP(N294,zastavky!E:F,2,FALSE),"")</f>
        <v>147</v>
      </c>
      <c r="H294" t="s">
        <v>1326</v>
      </c>
      <c r="I294" t="s">
        <v>1327</v>
      </c>
      <c r="J294">
        <v>6</v>
      </c>
      <c r="K294" t="s">
        <v>18</v>
      </c>
      <c r="M294">
        <v>1</v>
      </c>
      <c r="N294" s="1" t="s">
        <v>2656</v>
      </c>
      <c r="O294" t="s">
        <v>2514</v>
      </c>
      <c r="P294" t="str">
        <f t="shared" si="4"/>
        <v>update zamestnanci set os_cislo='294', rfid='0001372880',cilova='DSC',nastup='147' where os_cislo='294';</v>
      </c>
    </row>
    <row r="295" spans="1:16" x14ac:dyDescent="0.25">
      <c r="A295">
        <v>429</v>
      </c>
      <c r="B295" t="s">
        <v>1328</v>
      </c>
      <c r="C295" s="4">
        <v>295</v>
      </c>
      <c r="D295" t="s">
        <v>1329</v>
      </c>
      <c r="E295" t="s">
        <v>1330</v>
      </c>
      <c r="F295" t="s">
        <v>1331</v>
      </c>
      <c r="G295">
        <f>IF(N295&lt;&gt;"",VLOOKUP(N295,zastavky!E:F,2,FALSE),"")</f>
        <v>62</v>
      </c>
      <c r="H295" t="s">
        <v>1332</v>
      </c>
      <c r="I295" t="s">
        <v>1333</v>
      </c>
      <c r="J295">
        <v>6</v>
      </c>
      <c r="K295" t="s">
        <v>18</v>
      </c>
      <c r="M295">
        <v>1</v>
      </c>
      <c r="N295" s="1" t="s">
        <v>2641</v>
      </c>
      <c r="O295" t="s">
        <v>2514</v>
      </c>
      <c r="P295" t="str">
        <f t="shared" si="4"/>
        <v>update zamestnanci set os_cislo='295', rfid='00013280140',cilova='DSC',nastup='62' where os_cislo='295';</v>
      </c>
    </row>
    <row r="296" spans="1:16" x14ac:dyDescent="0.25">
      <c r="A296">
        <v>430</v>
      </c>
      <c r="B296" t="s">
        <v>1334</v>
      </c>
      <c r="C296" s="4">
        <v>296</v>
      </c>
      <c r="D296" t="s">
        <v>1335</v>
      </c>
      <c r="E296" t="s">
        <v>1336</v>
      </c>
      <c r="F296" t="s">
        <v>1337</v>
      </c>
      <c r="G296">
        <f>IF(N296&lt;&gt;"",VLOOKUP(N296,zastavky!E:F,2,FALSE),"")</f>
        <v>62</v>
      </c>
      <c r="H296" t="s">
        <v>1338</v>
      </c>
      <c r="I296" t="s">
        <v>1339</v>
      </c>
      <c r="J296">
        <v>6</v>
      </c>
      <c r="K296" t="s">
        <v>18</v>
      </c>
      <c r="M296">
        <v>1</v>
      </c>
      <c r="N296" s="1" t="s">
        <v>2641</v>
      </c>
      <c r="O296" t="s">
        <v>2514</v>
      </c>
      <c r="P296" t="str">
        <f t="shared" si="4"/>
        <v>update zamestnanci set os_cislo='296', rfid='0001985501',cilova='DSC',nastup='62' where os_cislo='296';</v>
      </c>
    </row>
    <row r="297" spans="1:16" x14ac:dyDescent="0.25">
      <c r="A297">
        <v>431</v>
      </c>
      <c r="B297" t="s">
        <v>1340</v>
      </c>
      <c r="C297" s="4">
        <v>297</v>
      </c>
      <c r="D297" t="s">
        <v>1341</v>
      </c>
      <c r="E297" t="s">
        <v>1342</v>
      </c>
      <c r="F297" t="s">
        <v>1343</v>
      </c>
      <c r="G297">
        <f>IF(N297&lt;&gt;"",VLOOKUP(N297,zastavky!E:F,2,FALSE),"")</f>
        <v>159</v>
      </c>
      <c r="H297" t="s">
        <v>1344</v>
      </c>
      <c r="I297" t="s">
        <v>1345</v>
      </c>
      <c r="J297">
        <v>6</v>
      </c>
      <c r="K297" t="s">
        <v>18</v>
      </c>
      <c r="M297">
        <v>1</v>
      </c>
      <c r="N297" s="1" t="s">
        <v>2660</v>
      </c>
      <c r="O297" t="s">
        <v>2514</v>
      </c>
      <c r="P297" t="str">
        <f t="shared" si="4"/>
        <v>update zamestnanci set os_cislo='297', rfid='0005757754',cilova='DSC',nastup='159' where os_cislo='297';</v>
      </c>
    </row>
    <row r="298" spans="1:16" x14ac:dyDescent="0.25">
      <c r="A298">
        <v>432</v>
      </c>
      <c r="B298" t="s">
        <v>1346</v>
      </c>
      <c r="C298" s="4">
        <v>298</v>
      </c>
      <c r="D298" t="s">
        <v>1347</v>
      </c>
      <c r="E298" t="s">
        <v>1348</v>
      </c>
      <c r="F298" t="s">
        <v>1349</v>
      </c>
      <c r="G298">
        <f>IF(N298&lt;&gt;"",VLOOKUP(N298,zastavky!E:F,2,FALSE),"")</f>
        <v>146</v>
      </c>
      <c r="H298" t="s">
        <v>1350</v>
      </c>
      <c r="I298" t="s">
        <v>1351</v>
      </c>
      <c r="J298">
        <v>6</v>
      </c>
      <c r="K298" t="s">
        <v>18</v>
      </c>
      <c r="M298">
        <v>1</v>
      </c>
      <c r="N298" s="1" t="s">
        <v>2655</v>
      </c>
      <c r="O298" t="s">
        <v>2514</v>
      </c>
      <c r="P298" t="str">
        <f t="shared" si="4"/>
        <v>update zamestnanci set os_cislo='298', rfid='0007815411',cilova='DSC',nastup='146' where os_cislo='298';</v>
      </c>
    </row>
    <row r="299" spans="1:16" x14ac:dyDescent="0.25">
      <c r="A299">
        <v>433</v>
      </c>
      <c r="B299" t="s">
        <v>1352</v>
      </c>
      <c r="C299" s="4">
        <v>299</v>
      </c>
      <c r="D299" t="s">
        <v>1353</v>
      </c>
      <c r="E299" t="s">
        <v>1354</v>
      </c>
      <c r="F299" t="s">
        <v>1355</v>
      </c>
      <c r="G299">
        <f>IF(N299&lt;&gt;"",VLOOKUP(N299,zastavky!E:F,2,FALSE),"")</f>
        <v>145</v>
      </c>
      <c r="H299" t="s">
        <v>1356</v>
      </c>
      <c r="I299" t="s">
        <v>1357</v>
      </c>
      <c r="J299">
        <v>6</v>
      </c>
      <c r="K299" t="s">
        <v>18</v>
      </c>
      <c r="M299">
        <v>1</v>
      </c>
      <c r="N299" s="1" t="s">
        <v>2639</v>
      </c>
      <c r="O299" t="s">
        <v>2514</v>
      </c>
      <c r="P299" t="str">
        <f t="shared" si="4"/>
        <v>update zamestnanci set os_cislo='299', rfid='0004488158',cilova='DSC',nastup='145' where os_cislo='299';</v>
      </c>
    </row>
    <row r="300" spans="1:16" x14ac:dyDescent="0.25">
      <c r="A300">
        <v>434</v>
      </c>
      <c r="B300" t="s">
        <v>1358</v>
      </c>
      <c r="C300" s="4">
        <v>300</v>
      </c>
      <c r="D300" t="s">
        <v>1359</v>
      </c>
      <c r="E300" t="s">
        <v>1360</v>
      </c>
      <c r="F300" t="s">
        <v>1361</v>
      </c>
      <c r="G300">
        <f>IF(N300&lt;&gt;"",VLOOKUP(N300,zastavky!E:F,2,FALSE),"")</f>
        <v>100</v>
      </c>
      <c r="H300" t="s">
        <v>1362</v>
      </c>
      <c r="I300" t="s">
        <v>1363</v>
      </c>
      <c r="J300">
        <v>6</v>
      </c>
      <c r="K300" t="s">
        <v>18</v>
      </c>
      <c r="M300">
        <v>1</v>
      </c>
      <c r="N300" s="1" t="s">
        <v>2581</v>
      </c>
      <c r="O300" t="s">
        <v>2514</v>
      </c>
      <c r="P300" t="str">
        <f t="shared" si="4"/>
        <v>update zamestnanci set os_cislo='300', rfid='0009082992',cilova='DSC',nastup='100' where os_cislo='300';</v>
      </c>
    </row>
    <row r="301" spans="1:16" x14ac:dyDescent="0.25">
      <c r="A301">
        <v>435</v>
      </c>
      <c r="B301" t="s">
        <v>1364</v>
      </c>
      <c r="C301" s="4">
        <v>301</v>
      </c>
      <c r="D301" t="s">
        <v>1365</v>
      </c>
      <c r="E301" t="s">
        <v>1366</v>
      </c>
      <c r="F301" t="s">
        <v>1367</v>
      </c>
      <c r="G301">
        <f>IF(N301&lt;&gt;"",VLOOKUP(N301,zastavky!E:F,2,FALSE),"")</f>
        <v>100</v>
      </c>
      <c r="H301" t="s">
        <v>1368</v>
      </c>
      <c r="I301" t="s">
        <v>1369</v>
      </c>
      <c r="J301">
        <v>6</v>
      </c>
      <c r="K301" t="s">
        <v>18</v>
      </c>
      <c r="M301">
        <v>1</v>
      </c>
      <c r="N301" s="1" t="s">
        <v>2581</v>
      </c>
      <c r="O301" t="s">
        <v>2514</v>
      </c>
      <c r="P301" t="str">
        <f t="shared" si="4"/>
        <v>update zamestnanci set os_cislo='301', rfid='0003368361',cilova='DSC',nastup='100' where os_cislo='301';</v>
      </c>
    </row>
    <row r="302" spans="1:16" x14ac:dyDescent="0.25">
      <c r="A302">
        <v>436</v>
      </c>
      <c r="B302" t="s">
        <v>1370</v>
      </c>
      <c r="C302" s="4">
        <v>302</v>
      </c>
      <c r="D302" t="s">
        <v>1371</v>
      </c>
      <c r="E302" t="s">
        <v>1372</v>
      </c>
      <c r="F302" t="s">
        <v>1373</v>
      </c>
      <c r="G302">
        <f>IF(N302&lt;&gt;"",VLOOKUP(N302,zastavky!E:F,2,FALSE),"")</f>
        <v>156</v>
      </c>
      <c r="H302" t="s">
        <v>1374</v>
      </c>
      <c r="I302" t="s">
        <v>1375</v>
      </c>
      <c r="J302">
        <v>6</v>
      </c>
      <c r="K302" t="s">
        <v>18</v>
      </c>
      <c r="M302">
        <v>1</v>
      </c>
      <c r="N302" s="1" t="s">
        <v>2636</v>
      </c>
      <c r="O302" t="s">
        <v>2514</v>
      </c>
      <c r="P302" t="str">
        <f t="shared" si="4"/>
        <v>update zamestnanci set os_cislo='302', rfid='0001989091',cilova='DSC',nastup='156' where os_cislo='302';</v>
      </c>
    </row>
    <row r="303" spans="1:16" x14ac:dyDescent="0.25">
      <c r="A303">
        <v>437</v>
      </c>
      <c r="B303" t="s">
        <v>1376</v>
      </c>
      <c r="C303" s="4">
        <v>303</v>
      </c>
      <c r="D303" t="s">
        <v>1377</v>
      </c>
      <c r="E303" t="s">
        <v>1378</v>
      </c>
      <c r="F303" t="s">
        <v>1379</v>
      </c>
      <c r="G303">
        <f>IF(N303&lt;&gt;"",VLOOKUP(N303,zastavky!E:F,2,FALSE),"")</f>
        <v>100</v>
      </c>
      <c r="H303" t="s">
        <v>1380</v>
      </c>
      <c r="I303" t="s">
        <v>1381</v>
      </c>
      <c r="J303">
        <v>6</v>
      </c>
      <c r="K303" t="s">
        <v>18</v>
      </c>
      <c r="M303">
        <v>1</v>
      </c>
      <c r="N303" s="1" t="s">
        <v>2581</v>
      </c>
      <c r="O303" t="s">
        <v>2514</v>
      </c>
      <c r="P303" t="str">
        <f t="shared" si="4"/>
        <v>update zamestnanci set os_cislo='303', rfid='0005179390',cilova='DSC',nastup='100' where os_cislo='303';</v>
      </c>
    </row>
    <row r="304" spans="1:16" x14ac:dyDescent="0.25">
      <c r="A304">
        <v>438</v>
      </c>
      <c r="B304" t="s">
        <v>1382</v>
      </c>
      <c r="C304" s="4">
        <v>304</v>
      </c>
      <c r="D304" t="s">
        <v>1383</v>
      </c>
      <c r="E304" t="s">
        <v>1384</v>
      </c>
      <c r="F304" t="s">
        <v>1385</v>
      </c>
      <c r="G304">
        <f>IF(N304&lt;&gt;"",VLOOKUP(N304,zastavky!E:F,2,FALSE),"")</f>
        <v>157</v>
      </c>
      <c r="H304" t="s">
        <v>1386</v>
      </c>
      <c r="I304" t="s">
        <v>1387</v>
      </c>
      <c r="J304">
        <v>6</v>
      </c>
      <c r="K304" t="s">
        <v>18</v>
      </c>
      <c r="M304">
        <v>1</v>
      </c>
      <c r="N304" s="1" t="s">
        <v>2659</v>
      </c>
      <c r="O304" t="s">
        <v>2514</v>
      </c>
      <c r="P304" t="str">
        <f t="shared" si="4"/>
        <v>update zamestnanci set os_cislo='304', rfid='0002036536',cilova='DSC',nastup='157' where os_cislo='304';</v>
      </c>
    </row>
    <row r="305" spans="1:16" x14ac:dyDescent="0.25">
      <c r="A305">
        <v>439</v>
      </c>
      <c r="B305" t="s">
        <v>228</v>
      </c>
      <c r="C305" s="4">
        <v>305</v>
      </c>
      <c r="D305" t="s">
        <v>1388</v>
      </c>
      <c r="E305" t="s">
        <v>1389</v>
      </c>
      <c r="F305" t="s">
        <v>1390</v>
      </c>
      <c r="G305">
        <f>IF(N305&lt;&gt;"",VLOOKUP(N305,zastavky!E:F,2,FALSE),"")</f>
        <v>146</v>
      </c>
      <c r="H305" t="s">
        <v>1391</v>
      </c>
      <c r="I305" t="s">
        <v>1392</v>
      </c>
      <c r="J305">
        <v>6</v>
      </c>
      <c r="K305" t="s">
        <v>18</v>
      </c>
      <c r="M305">
        <v>1</v>
      </c>
      <c r="N305" s="1" t="s">
        <v>2655</v>
      </c>
      <c r="O305" t="s">
        <v>2514</v>
      </c>
      <c r="P305" t="str">
        <f t="shared" si="4"/>
        <v>update zamestnanci set os_cislo='305', rfid='0001415256',cilova='DSC',nastup='146' where os_cislo='305';</v>
      </c>
    </row>
    <row r="306" spans="1:16" x14ac:dyDescent="0.25">
      <c r="A306">
        <v>440</v>
      </c>
      <c r="B306" t="s">
        <v>1393</v>
      </c>
      <c r="C306" s="4">
        <v>306</v>
      </c>
      <c r="D306" t="s">
        <v>1394</v>
      </c>
      <c r="E306" t="s">
        <v>1395</v>
      </c>
      <c r="F306" t="s">
        <v>1396</v>
      </c>
      <c r="G306">
        <f>IF(N306&lt;&gt;"",VLOOKUP(N306,zastavky!E:F,2,FALSE),"")</f>
        <v>160</v>
      </c>
      <c r="H306" t="s">
        <v>1397</v>
      </c>
      <c r="I306" t="s">
        <v>1398</v>
      </c>
      <c r="J306">
        <v>6</v>
      </c>
      <c r="K306" t="s">
        <v>18</v>
      </c>
      <c r="M306">
        <v>1</v>
      </c>
      <c r="N306" s="1" t="s">
        <v>2654</v>
      </c>
      <c r="O306" t="s">
        <v>2514</v>
      </c>
      <c r="P306" t="str">
        <f t="shared" si="4"/>
        <v>update zamestnanci set os_cislo='306', rfid='0001938460',cilova='DSC',nastup='160' where os_cislo='306';</v>
      </c>
    </row>
    <row r="307" spans="1:16" x14ac:dyDescent="0.25">
      <c r="A307">
        <v>441</v>
      </c>
      <c r="B307" t="s">
        <v>1399</v>
      </c>
      <c r="C307" s="4">
        <v>307</v>
      </c>
      <c r="D307" t="s">
        <v>1400</v>
      </c>
      <c r="E307" t="s">
        <v>1401</v>
      </c>
      <c r="F307" t="s">
        <v>1402</v>
      </c>
      <c r="G307">
        <f>IF(N307&lt;&gt;"",VLOOKUP(N307,zastavky!E:F,2,FALSE),"")</f>
        <v>100</v>
      </c>
      <c r="H307" t="s">
        <v>1403</v>
      </c>
      <c r="I307" t="s">
        <v>1404</v>
      </c>
      <c r="J307">
        <v>6</v>
      </c>
      <c r="K307" t="s">
        <v>18</v>
      </c>
      <c r="M307">
        <v>1</v>
      </c>
      <c r="N307" s="1" t="s">
        <v>2581</v>
      </c>
      <c r="O307" t="s">
        <v>2514</v>
      </c>
      <c r="P307" t="str">
        <f t="shared" si="4"/>
        <v>update zamestnanci set os_cislo='307', rfid='0001406893',cilova='DSC',nastup='100' where os_cislo='307';</v>
      </c>
    </row>
    <row r="308" spans="1:16" x14ac:dyDescent="0.25">
      <c r="A308">
        <v>442</v>
      </c>
      <c r="B308" t="s">
        <v>1405</v>
      </c>
      <c r="C308" s="4">
        <v>308</v>
      </c>
      <c r="D308" t="s">
        <v>1406</v>
      </c>
      <c r="E308" t="s">
        <v>146</v>
      </c>
      <c r="F308" t="s">
        <v>1407</v>
      </c>
      <c r="G308">
        <f>IF(N308&lt;&gt;"",VLOOKUP(N308,zastavky!E:F,2,FALSE),"")</f>
        <v>162</v>
      </c>
      <c r="H308" t="s">
        <v>1408</v>
      </c>
      <c r="I308" t="s">
        <v>1409</v>
      </c>
      <c r="J308">
        <v>6</v>
      </c>
      <c r="K308" t="s">
        <v>18</v>
      </c>
      <c r="M308">
        <v>1</v>
      </c>
      <c r="N308" s="1" t="s">
        <v>2647</v>
      </c>
      <c r="O308" t="s">
        <v>2514</v>
      </c>
      <c r="P308" t="str">
        <f t="shared" si="4"/>
        <v>update zamestnanci set os_cislo='308', rfid='0001354214',cilova='DSC',nastup='162' where os_cislo='308';</v>
      </c>
    </row>
    <row r="309" spans="1:16" x14ac:dyDescent="0.25">
      <c r="A309">
        <v>443</v>
      </c>
      <c r="B309" t="s">
        <v>1410</v>
      </c>
      <c r="C309" s="4">
        <v>309</v>
      </c>
      <c r="D309" t="s">
        <v>1411</v>
      </c>
      <c r="E309" t="s">
        <v>1412</v>
      </c>
      <c r="F309" t="s">
        <v>1413</v>
      </c>
      <c r="G309">
        <f>IF(N309&lt;&gt;"",VLOOKUP(N309,zastavky!E:F,2,FALSE),"")</f>
        <v>100</v>
      </c>
      <c r="H309" t="s">
        <v>1414</v>
      </c>
      <c r="I309" t="s">
        <v>1415</v>
      </c>
      <c r="J309">
        <v>6</v>
      </c>
      <c r="K309" t="s">
        <v>18</v>
      </c>
      <c r="M309">
        <v>1</v>
      </c>
      <c r="N309" s="1" t="s">
        <v>2581</v>
      </c>
      <c r="O309" t="s">
        <v>2514</v>
      </c>
      <c r="P309" t="str">
        <f t="shared" si="4"/>
        <v>update zamestnanci set os_cislo='309', rfid='0002705732',cilova='DSC',nastup='100' where os_cislo='309';</v>
      </c>
    </row>
    <row r="310" spans="1:16" x14ac:dyDescent="0.25">
      <c r="A310">
        <v>444</v>
      </c>
      <c r="B310" t="s">
        <v>976</v>
      </c>
      <c r="C310" s="4">
        <v>310</v>
      </c>
      <c r="D310" t="s">
        <v>1416</v>
      </c>
      <c r="E310" t="s">
        <v>378</v>
      </c>
      <c r="F310" t="s">
        <v>1417</v>
      </c>
      <c r="G310">
        <f>IF(N310&lt;&gt;"",VLOOKUP(N310,zastavky!E:F,2,FALSE),"")</f>
        <v>157</v>
      </c>
      <c r="H310" t="s">
        <v>1418</v>
      </c>
      <c r="I310" t="s">
        <v>1419</v>
      </c>
      <c r="J310">
        <v>6</v>
      </c>
      <c r="K310" t="s">
        <v>18</v>
      </c>
      <c r="M310">
        <v>1</v>
      </c>
      <c r="N310" s="1" t="s">
        <v>2659</v>
      </c>
      <c r="O310" t="s">
        <v>2514</v>
      </c>
      <c r="P310" t="str">
        <f t="shared" si="4"/>
        <v>update zamestnanci set os_cislo='310', rfid='0002005474',cilova='DSC',nastup='157' where os_cislo='310';</v>
      </c>
    </row>
    <row r="311" spans="1:16" x14ac:dyDescent="0.25">
      <c r="A311">
        <v>445</v>
      </c>
      <c r="B311" t="s">
        <v>1420</v>
      </c>
      <c r="C311" s="4">
        <v>311</v>
      </c>
      <c r="D311" t="s">
        <v>1421</v>
      </c>
      <c r="E311" t="s">
        <v>1422</v>
      </c>
      <c r="F311" t="s">
        <v>1423</v>
      </c>
      <c r="G311">
        <f>IF(N311&lt;&gt;"",VLOOKUP(N311,zastavky!E:F,2,FALSE),"")</f>
        <v>154</v>
      </c>
      <c r="H311" t="s">
        <v>1424</v>
      </c>
      <c r="I311" t="s">
        <v>1425</v>
      </c>
      <c r="J311">
        <v>6</v>
      </c>
      <c r="K311" t="s">
        <v>18</v>
      </c>
      <c r="M311">
        <v>1</v>
      </c>
      <c r="N311" s="1" t="s">
        <v>2661</v>
      </c>
      <c r="O311" t="s">
        <v>2514</v>
      </c>
      <c r="P311" t="str">
        <f t="shared" si="4"/>
        <v>update zamestnanci set os_cislo='311', rfid='0009534092',cilova='DSC',nastup='154' where os_cislo='311';</v>
      </c>
    </row>
    <row r="312" spans="1:16" x14ac:dyDescent="0.25">
      <c r="A312">
        <v>446</v>
      </c>
      <c r="B312" t="s">
        <v>1426</v>
      </c>
      <c r="C312" s="4">
        <v>312</v>
      </c>
      <c r="D312" t="s">
        <v>1427</v>
      </c>
      <c r="E312" t="s">
        <v>1428</v>
      </c>
      <c r="F312" t="s">
        <v>1429</v>
      </c>
      <c r="G312">
        <f>IF(N312&lt;&gt;"",VLOOKUP(N312,zastavky!E:F,2,FALSE),"")</f>
        <v>100</v>
      </c>
      <c r="H312" t="s">
        <v>1430</v>
      </c>
      <c r="I312" t="s">
        <v>1431</v>
      </c>
      <c r="J312">
        <v>6</v>
      </c>
      <c r="K312" t="s">
        <v>18</v>
      </c>
      <c r="M312">
        <v>1</v>
      </c>
      <c r="N312" s="1" t="s">
        <v>2581</v>
      </c>
      <c r="O312" t="s">
        <v>2514</v>
      </c>
      <c r="P312" t="str">
        <f t="shared" si="4"/>
        <v>update zamestnanci set os_cislo='312', rfid='0008651978',cilova='DSC',nastup='100' where os_cislo='312';</v>
      </c>
    </row>
    <row r="313" spans="1:16" x14ac:dyDescent="0.25">
      <c r="A313">
        <v>447</v>
      </c>
      <c r="B313" t="s">
        <v>1432</v>
      </c>
      <c r="C313" s="4">
        <v>313</v>
      </c>
      <c r="D313" t="s">
        <v>1433</v>
      </c>
      <c r="E313" t="s">
        <v>1434</v>
      </c>
      <c r="F313" t="s">
        <v>1435</v>
      </c>
      <c r="G313">
        <f>IF(N313&lt;&gt;"",VLOOKUP(N313,zastavky!E:F,2,FALSE),"")</f>
        <v>100</v>
      </c>
      <c r="H313" t="s">
        <v>1436</v>
      </c>
      <c r="I313" t="s">
        <v>1437</v>
      </c>
      <c r="J313">
        <v>6</v>
      </c>
      <c r="K313" t="s">
        <v>18</v>
      </c>
      <c r="M313">
        <v>1</v>
      </c>
      <c r="N313" s="1" t="s">
        <v>2581</v>
      </c>
      <c r="O313" t="s">
        <v>2514</v>
      </c>
      <c r="P313" t="str">
        <f t="shared" si="4"/>
        <v>update zamestnanci set os_cislo='313', rfid='0001260827',cilova='DSC',nastup='100' where os_cislo='313';</v>
      </c>
    </row>
    <row r="314" spans="1:16" x14ac:dyDescent="0.25">
      <c r="A314">
        <v>448</v>
      </c>
      <c r="B314" t="s">
        <v>1438</v>
      </c>
      <c r="C314" s="4">
        <v>314</v>
      </c>
      <c r="D314" t="s">
        <v>1439</v>
      </c>
      <c r="E314" t="s">
        <v>1440</v>
      </c>
      <c r="F314" t="s">
        <v>1441</v>
      </c>
      <c r="G314">
        <f>IF(N314&lt;&gt;"",VLOOKUP(N314,zastavky!E:F,2,FALSE),"")</f>
        <v>100</v>
      </c>
      <c r="H314" t="s">
        <v>1442</v>
      </c>
      <c r="I314" t="s">
        <v>1443</v>
      </c>
      <c r="J314">
        <v>6</v>
      </c>
      <c r="K314" t="s">
        <v>18</v>
      </c>
      <c r="M314">
        <v>1</v>
      </c>
      <c r="N314" s="1" t="s">
        <v>2581</v>
      </c>
      <c r="O314" t="s">
        <v>2514</v>
      </c>
      <c r="P314" t="str">
        <f t="shared" si="4"/>
        <v>update zamestnanci set os_cislo='314', rfid='0001964381',cilova='DSC',nastup='100' where os_cislo='314';</v>
      </c>
    </row>
    <row r="315" spans="1:16" x14ac:dyDescent="0.25">
      <c r="A315">
        <v>449</v>
      </c>
      <c r="B315" t="s">
        <v>1444</v>
      </c>
      <c r="C315" s="4">
        <v>315</v>
      </c>
      <c r="D315" t="s">
        <v>1445</v>
      </c>
      <c r="E315" t="s">
        <v>1446</v>
      </c>
      <c r="F315" t="s">
        <v>1447</v>
      </c>
      <c r="G315">
        <f>IF(N315&lt;&gt;"",VLOOKUP(N315,zastavky!E:F,2,FALSE),"")</f>
        <v>148</v>
      </c>
      <c r="H315" t="s">
        <v>1448</v>
      </c>
      <c r="I315" t="s">
        <v>1449</v>
      </c>
      <c r="J315">
        <v>6</v>
      </c>
      <c r="K315" t="s">
        <v>18</v>
      </c>
      <c r="M315">
        <v>1</v>
      </c>
      <c r="N315" s="1" t="s">
        <v>2651</v>
      </c>
      <c r="O315" t="s">
        <v>2514</v>
      </c>
      <c r="P315" t="str">
        <f t="shared" si="4"/>
        <v>update zamestnanci set os_cislo='315', rfid='0003536341',cilova='DSC',nastup='148' where os_cislo='315';</v>
      </c>
    </row>
    <row r="316" spans="1:16" x14ac:dyDescent="0.25">
      <c r="A316">
        <v>450</v>
      </c>
      <c r="B316" t="s">
        <v>1450</v>
      </c>
      <c r="C316" s="4">
        <v>316</v>
      </c>
      <c r="D316" t="s">
        <v>1451</v>
      </c>
      <c r="E316" t="s">
        <v>1452</v>
      </c>
      <c r="F316" t="s">
        <v>1453</v>
      </c>
      <c r="G316">
        <f>IF(N316&lt;&gt;"",VLOOKUP(N316,zastavky!E:F,2,FALSE),"")</f>
        <v>150</v>
      </c>
      <c r="H316" t="s">
        <v>1454</v>
      </c>
      <c r="I316" t="s">
        <v>1455</v>
      </c>
      <c r="J316">
        <v>6</v>
      </c>
      <c r="K316" t="s">
        <v>18</v>
      </c>
      <c r="M316">
        <v>1</v>
      </c>
      <c r="N316" s="1" t="s">
        <v>2662</v>
      </c>
      <c r="O316" t="s">
        <v>2514</v>
      </c>
      <c r="P316" t="str">
        <f t="shared" si="4"/>
        <v>update zamestnanci set os_cislo='316', rfid='0005701504',cilova='DSC',nastup='150' where os_cislo='316';</v>
      </c>
    </row>
    <row r="317" spans="1:16" x14ac:dyDescent="0.25">
      <c r="A317">
        <v>451</v>
      </c>
      <c r="B317" t="s">
        <v>1456</v>
      </c>
      <c r="C317" s="4">
        <v>317</v>
      </c>
      <c r="D317" t="s">
        <v>1457</v>
      </c>
      <c r="E317" t="s">
        <v>1458</v>
      </c>
      <c r="F317" t="s">
        <v>1459</v>
      </c>
      <c r="G317">
        <f>IF(N317&lt;&gt;"",VLOOKUP(N317,zastavky!E:F,2,FALSE),"")</f>
        <v>152</v>
      </c>
      <c r="H317" t="s">
        <v>1460</v>
      </c>
      <c r="I317" t="s">
        <v>1461</v>
      </c>
      <c r="J317">
        <v>6</v>
      </c>
      <c r="K317" t="s">
        <v>18</v>
      </c>
      <c r="M317">
        <v>1</v>
      </c>
      <c r="N317" s="1" t="s">
        <v>2650</v>
      </c>
      <c r="O317" t="s">
        <v>2514</v>
      </c>
      <c r="P317" t="str">
        <f t="shared" si="4"/>
        <v>update zamestnanci set os_cislo='317', rfid='0004942265',cilova='DSC',nastup='152' where os_cislo='317';</v>
      </c>
    </row>
    <row r="318" spans="1:16" x14ac:dyDescent="0.25">
      <c r="A318">
        <v>452</v>
      </c>
      <c r="B318" t="s">
        <v>1462</v>
      </c>
      <c r="C318" s="4">
        <v>318</v>
      </c>
      <c r="D318" t="s">
        <v>1463</v>
      </c>
      <c r="E318" t="s">
        <v>1464</v>
      </c>
      <c r="F318" t="s">
        <v>1465</v>
      </c>
      <c r="G318">
        <f>IF(N318&lt;&gt;"",VLOOKUP(N318,zastavky!E:F,2,FALSE),"")</f>
        <v>100</v>
      </c>
      <c r="H318" t="s">
        <v>1466</v>
      </c>
      <c r="I318" t="s">
        <v>1467</v>
      </c>
      <c r="J318">
        <v>6</v>
      </c>
      <c r="K318" t="s">
        <v>18</v>
      </c>
      <c r="M318">
        <v>1</v>
      </c>
      <c r="N318" s="1" t="s">
        <v>2581</v>
      </c>
      <c r="O318" t="s">
        <v>2514</v>
      </c>
      <c r="P318" t="str">
        <f t="shared" si="4"/>
        <v>update zamestnanci set os_cislo='318', rfid='0001265052',cilova='DSC',nastup='100' where os_cislo='318';</v>
      </c>
    </row>
    <row r="319" spans="1:16" x14ac:dyDescent="0.25">
      <c r="A319">
        <v>453</v>
      </c>
      <c r="B319" t="s">
        <v>1468</v>
      </c>
      <c r="C319" s="4">
        <v>319</v>
      </c>
      <c r="D319" t="s">
        <v>1469</v>
      </c>
      <c r="E319" t="s">
        <v>1470</v>
      </c>
      <c r="F319" t="s">
        <v>1471</v>
      </c>
      <c r="G319">
        <f>IF(N319&lt;&gt;"",VLOOKUP(N319,zastavky!E:F,2,FALSE),"")</f>
        <v>152</v>
      </c>
      <c r="H319" t="s">
        <v>1472</v>
      </c>
      <c r="I319" t="s">
        <v>1473</v>
      </c>
      <c r="J319">
        <v>6</v>
      </c>
      <c r="K319" t="s">
        <v>18</v>
      </c>
      <c r="M319">
        <v>1</v>
      </c>
      <c r="N319" s="1" t="s">
        <v>2650</v>
      </c>
      <c r="O319" t="s">
        <v>2514</v>
      </c>
      <c r="P319" t="str">
        <f t="shared" si="4"/>
        <v>update zamestnanci set os_cislo='319', rfid='0008770469',cilova='DSC',nastup='152' where os_cislo='319';</v>
      </c>
    </row>
    <row r="320" spans="1:16" x14ac:dyDescent="0.25">
      <c r="A320">
        <v>454</v>
      </c>
      <c r="B320" t="s">
        <v>1474</v>
      </c>
      <c r="C320" s="4">
        <v>320</v>
      </c>
      <c r="D320" t="s">
        <v>1475</v>
      </c>
      <c r="E320" t="s">
        <v>1476</v>
      </c>
      <c r="F320" t="s">
        <v>1477</v>
      </c>
      <c r="G320">
        <f>IF(N320&lt;&gt;"",VLOOKUP(N320,zastavky!E:F,2,FALSE),"")</f>
        <v>100</v>
      </c>
      <c r="H320" t="s">
        <v>1478</v>
      </c>
      <c r="I320" t="s">
        <v>1479</v>
      </c>
      <c r="J320">
        <v>6</v>
      </c>
      <c r="K320" t="s">
        <v>18</v>
      </c>
      <c r="M320">
        <v>1</v>
      </c>
      <c r="N320" s="1" t="s">
        <v>2581</v>
      </c>
      <c r="O320" t="s">
        <v>2514</v>
      </c>
      <c r="P320" t="str">
        <f t="shared" si="4"/>
        <v>update zamestnanci set os_cislo='320', rfid='0001867372',cilova='DSC',nastup='100' where os_cislo='320';</v>
      </c>
    </row>
    <row r="321" spans="1:16" x14ac:dyDescent="0.25">
      <c r="A321">
        <v>455</v>
      </c>
      <c r="B321" t="s">
        <v>1480</v>
      </c>
      <c r="C321" s="4">
        <v>321</v>
      </c>
      <c r="D321" t="s">
        <v>1481</v>
      </c>
      <c r="E321" t="s">
        <v>1482</v>
      </c>
      <c r="F321" t="s">
        <v>1483</v>
      </c>
      <c r="G321">
        <f>IF(N321&lt;&gt;"",VLOOKUP(N321,zastavky!E:F,2,FALSE),"")</f>
        <v>60</v>
      </c>
      <c r="H321" t="s">
        <v>1484</v>
      </c>
      <c r="I321" t="s">
        <v>1485</v>
      </c>
      <c r="J321">
        <v>6</v>
      </c>
      <c r="K321" t="s">
        <v>18</v>
      </c>
      <c r="M321">
        <v>1</v>
      </c>
      <c r="N321" s="1" t="s">
        <v>2642</v>
      </c>
      <c r="O321" t="s">
        <v>2514</v>
      </c>
      <c r="P321" t="str">
        <f t="shared" si="4"/>
        <v>update zamestnanci set os_cislo='321', rfid='0001938445',cilova='DSC',nastup='60' where os_cislo='321';</v>
      </c>
    </row>
    <row r="322" spans="1:16" x14ac:dyDescent="0.25">
      <c r="A322">
        <v>456</v>
      </c>
      <c r="B322" t="s">
        <v>1486</v>
      </c>
      <c r="C322" s="4">
        <v>322</v>
      </c>
      <c r="D322" t="s">
        <v>1487</v>
      </c>
      <c r="E322" t="s">
        <v>1488</v>
      </c>
      <c r="F322" t="s">
        <v>1489</v>
      </c>
      <c r="G322">
        <f>IF(N322&lt;&gt;"",VLOOKUP(N322,zastavky!E:F,2,FALSE),"")</f>
        <v>157</v>
      </c>
      <c r="H322" t="s">
        <v>1490</v>
      </c>
      <c r="I322" t="s">
        <v>1491</v>
      </c>
      <c r="J322">
        <v>6</v>
      </c>
      <c r="K322" t="s">
        <v>18</v>
      </c>
      <c r="M322">
        <v>1</v>
      </c>
      <c r="N322" s="1" t="s">
        <v>2659</v>
      </c>
      <c r="O322" t="s">
        <v>2514</v>
      </c>
      <c r="P322" t="str">
        <f t="shared" si="4"/>
        <v>update zamestnanci set os_cislo='322', rfid='0001089809',cilova='DSC',nastup='157' where os_cislo='322';</v>
      </c>
    </row>
    <row r="323" spans="1:16" x14ac:dyDescent="0.25">
      <c r="A323">
        <v>457</v>
      </c>
      <c r="B323" t="s">
        <v>1492</v>
      </c>
      <c r="C323" s="4">
        <v>323</v>
      </c>
      <c r="D323" t="s">
        <v>1493</v>
      </c>
      <c r="E323" t="s">
        <v>1494</v>
      </c>
      <c r="F323" t="s">
        <v>1495</v>
      </c>
      <c r="G323">
        <f>IF(N323&lt;&gt;"",VLOOKUP(N323,zastavky!E:F,2,FALSE),"")</f>
        <v>151</v>
      </c>
      <c r="H323" t="s">
        <v>1496</v>
      </c>
      <c r="I323" t="s">
        <v>1497</v>
      </c>
      <c r="J323">
        <v>6</v>
      </c>
      <c r="K323" t="s">
        <v>18</v>
      </c>
      <c r="M323">
        <v>1</v>
      </c>
      <c r="N323" s="1" t="s">
        <v>2638</v>
      </c>
      <c r="O323" t="s">
        <v>2514</v>
      </c>
      <c r="P323" t="str">
        <f t="shared" ref="P323:P386" si="5">"update zamestnanci set os_cislo='" &amp; C323 &amp; "', rfid='" &amp; F323 &amp; "',cilova='" &amp; O323 &amp; "',nastup='" &amp; G323 &amp; "' where os_cislo='" &amp; C323 &amp; "';"</f>
        <v>update zamestnanci set os_cislo='323', rfid='0002028989',cilova='DSC',nastup='151' where os_cislo='323';</v>
      </c>
    </row>
    <row r="324" spans="1:16" x14ac:dyDescent="0.25">
      <c r="A324">
        <v>458</v>
      </c>
      <c r="B324" t="s">
        <v>1498</v>
      </c>
      <c r="C324" s="4">
        <v>324</v>
      </c>
      <c r="D324" t="s">
        <v>1499</v>
      </c>
      <c r="E324" t="s">
        <v>1500</v>
      </c>
      <c r="F324" t="s">
        <v>1501</v>
      </c>
      <c r="G324">
        <f>IF(N324&lt;&gt;"",VLOOKUP(N324,zastavky!E:F,2,FALSE),"")</f>
        <v>100</v>
      </c>
      <c r="H324" t="s">
        <v>1502</v>
      </c>
      <c r="I324" t="s">
        <v>1503</v>
      </c>
      <c r="J324">
        <v>6</v>
      </c>
      <c r="K324" t="s">
        <v>18</v>
      </c>
      <c r="M324">
        <v>1</v>
      </c>
      <c r="N324" s="1" t="s">
        <v>2581</v>
      </c>
      <c r="O324" t="s">
        <v>2514</v>
      </c>
      <c r="P324" t="str">
        <f t="shared" si="5"/>
        <v>update zamestnanci set os_cislo='324', rfid='0001332377',cilova='DSC',nastup='100' where os_cislo='324';</v>
      </c>
    </row>
    <row r="325" spans="1:16" x14ac:dyDescent="0.25">
      <c r="A325">
        <v>459</v>
      </c>
      <c r="B325" t="s">
        <v>1504</v>
      </c>
      <c r="C325" s="4">
        <v>325</v>
      </c>
      <c r="D325" t="s">
        <v>1505</v>
      </c>
      <c r="E325" t="s">
        <v>1506</v>
      </c>
      <c r="F325" t="s">
        <v>1507</v>
      </c>
      <c r="G325" t="str">
        <f>IF(N325&lt;&gt;"",VLOOKUP(N325,zastavky!E:F,2,FALSE),"")</f>
        <v/>
      </c>
      <c r="H325" t="s">
        <v>1508</v>
      </c>
      <c r="I325" t="s">
        <v>1509</v>
      </c>
      <c r="J325">
        <v>6</v>
      </c>
      <c r="K325" t="s">
        <v>18</v>
      </c>
      <c r="M325">
        <v>1</v>
      </c>
      <c r="N325" s="3"/>
      <c r="O325" t="s">
        <v>2514</v>
      </c>
      <c r="P325" t="str">
        <f t="shared" si="5"/>
        <v>update zamestnanci set os_cislo='325', rfid='0001085245',cilova='DSC',nastup='' where os_cislo='325';</v>
      </c>
    </row>
    <row r="326" spans="1:16" x14ac:dyDescent="0.25">
      <c r="A326">
        <v>460</v>
      </c>
      <c r="B326" t="s">
        <v>1510</v>
      </c>
      <c r="C326" s="4">
        <v>326</v>
      </c>
      <c r="D326" t="s">
        <v>1511</v>
      </c>
      <c r="E326" t="s">
        <v>1512</v>
      </c>
      <c r="F326" t="s">
        <v>1513</v>
      </c>
      <c r="G326">
        <f>IF(N326&lt;&gt;"",VLOOKUP(N326,zastavky!E:F,2,FALSE),"")</f>
        <v>60</v>
      </c>
      <c r="H326" t="s">
        <v>1514</v>
      </c>
      <c r="I326" t="s">
        <v>1515</v>
      </c>
      <c r="J326">
        <v>6</v>
      </c>
      <c r="K326" t="s">
        <v>18</v>
      </c>
      <c r="M326">
        <v>1</v>
      </c>
      <c r="N326" s="1" t="s">
        <v>2642</v>
      </c>
      <c r="O326" t="s">
        <v>2514</v>
      </c>
      <c r="P326" t="str">
        <f t="shared" si="5"/>
        <v>update zamestnanci set os_cislo='326', rfid='0008310028',cilova='DSC',nastup='60' where os_cislo='326';</v>
      </c>
    </row>
    <row r="327" spans="1:16" x14ac:dyDescent="0.25">
      <c r="A327">
        <v>461</v>
      </c>
      <c r="B327" t="s">
        <v>1516</v>
      </c>
      <c r="C327" s="4">
        <v>327</v>
      </c>
      <c r="D327" t="s">
        <v>1517</v>
      </c>
      <c r="E327" t="s">
        <v>1518</v>
      </c>
      <c r="F327" t="s">
        <v>1519</v>
      </c>
      <c r="G327">
        <f>IF(N327&lt;&gt;"",VLOOKUP(N327,zastavky!E:F,2,FALSE),"")</f>
        <v>100</v>
      </c>
      <c r="H327" t="s">
        <v>1520</v>
      </c>
      <c r="I327" t="s">
        <v>1521</v>
      </c>
      <c r="J327">
        <v>6</v>
      </c>
      <c r="K327" t="s">
        <v>18</v>
      </c>
      <c r="M327">
        <v>1</v>
      </c>
      <c r="N327" s="1" t="s">
        <v>2581</v>
      </c>
      <c r="O327" t="s">
        <v>2514</v>
      </c>
      <c r="P327" t="str">
        <f t="shared" si="5"/>
        <v>update zamestnanci set os_cislo='327', rfid='0001210284',cilova='DSC',nastup='100' where os_cislo='327';</v>
      </c>
    </row>
    <row r="328" spans="1:16" x14ac:dyDescent="0.25">
      <c r="A328">
        <v>462</v>
      </c>
      <c r="B328" t="s">
        <v>1522</v>
      </c>
      <c r="C328" s="4">
        <v>328</v>
      </c>
      <c r="D328" t="s">
        <v>1523</v>
      </c>
      <c r="E328" t="s">
        <v>1524</v>
      </c>
      <c r="F328" t="s">
        <v>1525</v>
      </c>
      <c r="G328">
        <f>IF(N328&lt;&gt;"",VLOOKUP(N328,zastavky!E:F,2,FALSE),"")</f>
        <v>153</v>
      </c>
      <c r="H328" t="s">
        <v>1526</v>
      </c>
      <c r="I328" t="s">
        <v>1527</v>
      </c>
      <c r="J328">
        <v>6</v>
      </c>
      <c r="K328" t="s">
        <v>18</v>
      </c>
      <c r="M328">
        <v>1</v>
      </c>
      <c r="N328" s="1" t="s">
        <v>2649</v>
      </c>
      <c r="O328" t="s">
        <v>2514</v>
      </c>
      <c r="P328" t="str">
        <f t="shared" si="5"/>
        <v>update zamestnanci set os_cislo='328', rfid='0013264228',cilova='DSC',nastup='153' where os_cislo='328';</v>
      </c>
    </row>
    <row r="329" spans="1:16" x14ac:dyDescent="0.25">
      <c r="A329">
        <v>463</v>
      </c>
      <c r="B329" t="s">
        <v>1528</v>
      </c>
      <c r="C329" s="4">
        <v>329</v>
      </c>
      <c r="D329" t="s">
        <v>1529</v>
      </c>
      <c r="E329" t="s">
        <v>1530</v>
      </c>
      <c r="F329" t="s">
        <v>1531</v>
      </c>
      <c r="G329">
        <f>IF(N329&lt;&gt;"",VLOOKUP(N329,zastavky!E:F,2,FALSE),"")</f>
        <v>100</v>
      </c>
      <c r="H329" t="s">
        <v>1532</v>
      </c>
      <c r="I329" t="s">
        <v>1533</v>
      </c>
      <c r="J329">
        <v>6</v>
      </c>
      <c r="K329" t="s">
        <v>18</v>
      </c>
      <c r="M329">
        <v>1</v>
      </c>
      <c r="N329" s="1" t="s">
        <v>2581</v>
      </c>
      <c r="O329" t="s">
        <v>2514</v>
      </c>
      <c r="P329" t="str">
        <f t="shared" si="5"/>
        <v>update zamestnanci set os_cislo='329', rfid='0001928241',cilova='DSC',nastup='100' where os_cislo='329';</v>
      </c>
    </row>
    <row r="330" spans="1:16" x14ac:dyDescent="0.25">
      <c r="A330">
        <v>464</v>
      </c>
      <c r="B330" t="s">
        <v>1534</v>
      </c>
      <c r="C330" s="4">
        <v>330</v>
      </c>
      <c r="D330" t="s">
        <v>1535</v>
      </c>
      <c r="E330" t="s">
        <v>1536</v>
      </c>
      <c r="F330" t="s">
        <v>1537</v>
      </c>
      <c r="G330">
        <f>IF(N330&lt;&gt;"",VLOOKUP(N330,zastavky!E:F,2,FALSE),"")</f>
        <v>100</v>
      </c>
      <c r="H330" t="s">
        <v>1538</v>
      </c>
      <c r="I330" t="s">
        <v>1539</v>
      </c>
      <c r="J330">
        <v>6</v>
      </c>
      <c r="K330" t="s">
        <v>18</v>
      </c>
      <c r="M330">
        <v>1</v>
      </c>
      <c r="N330" s="1" t="s">
        <v>2581</v>
      </c>
      <c r="O330" t="s">
        <v>2514</v>
      </c>
      <c r="P330" t="str">
        <f t="shared" si="5"/>
        <v>update zamestnanci set os_cislo='330', rfid='0003535138',cilova='DSC',nastup='100' where os_cislo='330';</v>
      </c>
    </row>
    <row r="331" spans="1:16" x14ac:dyDescent="0.25">
      <c r="A331">
        <v>465</v>
      </c>
      <c r="B331" t="s">
        <v>1540</v>
      </c>
      <c r="C331" s="4">
        <v>331</v>
      </c>
      <c r="D331" t="s">
        <v>1541</v>
      </c>
      <c r="E331" t="s">
        <v>1542</v>
      </c>
      <c r="F331" t="s">
        <v>1543</v>
      </c>
      <c r="G331">
        <f>IF(N331&lt;&gt;"",VLOOKUP(N331,zastavky!E:F,2,FALSE),"")</f>
        <v>158</v>
      </c>
      <c r="H331" t="s">
        <v>1544</v>
      </c>
      <c r="I331" t="s">
        <v>1545</v>
      </c>
      <c r="J331">
        <v>6</v>
      </c>
      <c r="K331" t="s">
        <v>18</v>
      </c>
      <c r="M331">
        <v>1</v>
      </c>
      <c r="N331" s="1" t="s">
        <v>2646</v>
      </c>
      <c r="O331" t="s">
        <v>2514</v>
      </c>
      <c r="P331" t="str">
        <f t="shared" si="5"/>
        <v>update zamestnanci set os_cislo='331', rfid='0001208734',cilova='DSC',nastup='158' where os_cislo='331';</v>
      </c>
    </row>
    <row r="332" spans="1:16" x14ac:dyDescent="0.25">
      <c r="A332">
        <v>466</v>
      </c>
      <c r="B332" t="s">
        <v>939</v>
      </c>
      <c r="C332" s="4">
        <v>332</v>
      </c>
      <c r="D332" t="s">
        <v>1546</v>
      </c>
      <c r="E332" t="s">
        <v>1547</v>
      </c>
      <c r="F332" t="s">
        <v>1548</v>
      </c>
      <c r="G332">
        <f>IF(N332&lt;&gt;"",VLOOKUP(N332,zastavky!E:F,2,FALSE),"")</f>
        <v>157</v>
      </c>
      <c r="H332" t="s">
        <v>1549</v>
      </c>
      <c r="I332" t="s">
        <v>1550</v>
      </c>
      <c r="J332">
        <v>6</v>
      </c>
      <c r="K332" t="s">
        <v>18</v>
      </c>
      <c r="M332">
        <v>1</v>
      </c>
      <c r="N332" s="1" t="s">
        <v>2659</v>
      </c>
      <c r="O332" t="s">
        <v>2514</v>
      </c>
      <c r="P332" t="str">
        <f t="shared" si="5"/>
        <v>update zamestnanci set os_cislo='332', rfid='0001313338',cilova='DSC',nastup='157' where os_cislo='332';</v>
      </c>
    </row>
    <row r="333" spans="1:16" x14ac:dyDescent="0.25">
      <c r="A333">
        <v>467</v>
      </c>
      <c r="B333" t="s">
        <v>1551</v>
      </c>
      <c r="C333" s="4">
        <v>333</v>
      </c>
      <c r="D333" t="s">
        <v>1546</v>
      </c>
      <c r="E333" t="s">
        <v>1552</v>
      </c>
      <c r="F333" t="s">
        <v>1553</v>
      </c>
      <c r="G333">
        <f>IF(N333&lt;&gt;"",VLOOKUP(N333,zastavky!E:F,2,FALSE),"")</f>
        <v>100</v>
      </c>
      <c r="H333" t="s">
        <v>1554</v>
      </c>
      <c r="I333" t="s">
        <v>1555</v>
      </c>
      <c r="J333">
        <v>6</v>
      </c>
      <c r="K333" t="s">
        <v>18</v>
      </c>
      <c r="M333">
        <v>1</v>
      </c>
      <c r="N333" s="1" t="s">
        <v>2581</v>
      </c>
      <c r="O333" t="s">
        <v>2514</v>
      </c>
      <c r="P333" t="str">
        <f t="shared" si="5"/>
        <v>update zamestnanci set os_cislo='333', rfid='0003315873',cilova='DSC',nastup='100' where os_cislo='333';</v>
      </c>
    </row>
    <row r="334" spans="1:16" x14ac:dyDescent="0.25">
      <c r="A334">
        <v>468</v>
      </c>
      <c r="B334" t="s">
        <v>1556</v>
      </c>
      <c r="C334" s="4">
        <v>334</v>
      </c>
      <c r="D334" t="s">
        <v>1557</v>
      </c>
      <c r="E334" t="s">
        <v>1558</v>
      </c>
      <c r="F334" t="s">
        <v>1559</v>
      </c>
      <c r="G334">
        <f>IF(N334&lt;&gt;"",VLOOKUP(N334,zastavky!E:F,2,FALSE),"")</f>
        <v>100</v>
      </c>
      <c r="H334" t="s">
        <v>1560</v>
      </c>
      <c r="I334" t="s">
        <v>1561</v>
      </c>
      <c r="J334">
        <v>6</v>
      </c>
      <c r="K334" t="s">
        <v>18</v>
      </c>
      <c r="M334">
        <v>1</v>
      </c>
      <c r="N334" s="1" t="s">
        <v>2581</v>
      </c>
      <c r="O334" t="s">
        <v>2514</v>
      </c>
      <c r="P334" t="str">
        <f t="shared" si="5"/>
        <v>update zamestnanci set os_cislo='334', rfid='0001829340',cilova='DSC',nastup='100' where os_cislo='334';</v>
      </c>
    </row>
    <row r="335" spans="1:16" x14ac:dyDescent="0.25">
      <c r="A335">
        <v>469</v>
      </c>
      <c r="B335" t="s">
        <v>1562</v>
      </c>
      <c r="C335" s="4">
        <v>335</v>
      </c>
      <c r="D335" t="s">
        <v>1563</v>
      </c>
      <c r="E335" t="s">
        <v>1564</v>
      </c>
      <c r="F335" t="s">
        <v>1565</v>
      </c>
      <c r="G335">
        <f>IF(N335&lt;&gt;"",VLOOKUP(N335,zastavky!E:F,2,FALSE),"")</f>
        <v>100</v>
      </c>
      <c r="H335" t="s">
        <v>1566</v>
      </c>
      <c r="I335" t="s">
        <v>1567</v>
      </c>
      <c r="J335">
        <v>6</v>
      </c>
      <c r="K335" t="s">
        <v>18</v>
      </c>
      <c r="M335">
        <v>1</v>
      </c>
      <c r="N335" s="1" t="s">
        <v>2581</v>
      </c>
      <c r="O335" t="s">
        <v>2514</v>
      </c>
      <c r="P335" t="str">
        <f t="shared" si="5"/>
        <v>update zamestnanci set os_cislo='335', rfid='0003359710',cilova='DSC',nastup='100' where os_cislo='335';</v>
      </c>
    </row>
    <row r="336" spans="1:16" x14ac:dyDescent="0.25">
      <c r="A336">
        <v>470</v>
      </c>
      <c r="B336" t="s">
        <v>1568</v>
      </c>
      <c r="C336" s="4">
        <v>336</v>
      </c>
      <c r="D336" t="s">
        <v>1569</v>
      </c>
      <c r="E336" t="s">
        <v>1570</v>
      </c>
      <c r="F336" t="s">
        <v>1571</v>
      </c>
      <c r="G336">
        <f>IF(N336&lt;&gt;"",VLOOKUP(N336,zastavky!E:F,2,FALSE),"")</f>
        <v>154</v>
      </c>
      <c r="H336" t="s">
        <v>1572</v>
      </c>
      <c r="I336" t="s">
        <v>1573</v>
      </c>
      <c r="J336">
        <v>6</v>
      </c>
      <c r="K336" t="s">
        <v>18</v>
      </c>
      <c r="M336">
        <v>1</v>
      </c>
      <c r="N336" s="1" t="s">
        <v>2661</v>
      </c>
      <c r="O336" t="s">
        <v>2514</v>
      </c>
      <c r="P336" t="str">
        <f t="shared" si="5"/>
        <v>update zamestnanci set os_cislo='336', rfid='0001985619',cilova='DSC',nastup='154' where os_cislo='336';</v>
      </c>
    </row>
    <row r="337" spans="1:16" x14ac:dyDescent="0.25">
      <c r="A337">
        <v>471</v>
      </c>
      <c r="B337" t="s">
        <v>400</v>
      </c>
      <c r="C337" s="4">
        <v>337</v>
      </c>
      <c r="D337" t="s">
        <v>1574</v>
      </c>
      <c r="E337" t="s">
        <v>1575</v>
      </c>
      <c r="F337" t="s">
        <v>1576</v>
      </c>
      <c r="G337">
        <f>IF(N337&lt;&gt;"",VLOOKUP(N337,zastavky!E:F,2,FALSE),"")</f>
        <v>100</v>
      </c>
      <c r="H337" t="s">
        <v>1577</v>
      </c>
      <c r="I337" t="s">
        <v>1578</v>
      </c>
      <c r="J337">
        <v>6</v>
      </c>
      <c r="K337" t="s">
        <v>18</v>
      </c>
      <c r="M337">
        <v>1</v>
      </c>
      <c r="N337" s="1" t="s">
        <v>2581</v>
      </c>
      <c r="O337" t="s">
        <v>2514</v>
      </c>
      <c r="P337" t="str">
        <f t="shared" si="5"/>
        <v>update zamestnanci set os_cislo='337', rfid='0002036718',cilova='DSC',nastup='100' where os_cislo='337';</v>
      </c>
    </row>
    <row r="338" spans="1:16" x14ac:dyDescent="0.25">
      <c r="A338">
        <v>472</v>
      </c>
      <c r="B338" t="s">
        <v>1579</v>
      </c>
      <c r="C338" s="4">
        <v>338</v>
      </c>
      <c r="D338" t="s">
        <v>1580</v>
      </c>
      <c r="E338" t="s">
        <v>1581</v>
      </c>
      <c r="F338" t="s">
        <v>1582</v>
      </c>
      <c r="G338">
        <f>IF(N338&lt;&gt;"",VLOOKUP(N338,zastavky!E:F,2,FALSE),"")</f>
        <v>100</v>
      </c>
      <c r="H338" t="s">
        <v>1583</v>
      </c>
      <c r="I338" t="s">
        <v>1584</v>
      </c>
      <c r="J338">
        <v>6</v>
      </c>
      <c r="K338" t="s">
        <v>18</v>
      </c>
      <c r="M338">
        <v>1</v>
      </c>
      <c r="N338" s="1" t="s">
        <v>2581</v>
      </c>
      <c r="O338" t="s">
        <v>2514</v>
      </c>
      <c r="P338" t="str">
        <f t="shared" si="5"/>
        <v>update zamestnanci set os_cislo='338', rfid='0001983879',cilova='DSC',nastup='100' where os_cislo='338';</v>
      </c>
    </row>
    <row r="339" spans="1:16" x14ac:dyDescent="0.25">
      <c r="A339">
        <v>473</v>
      </c>
      <c r="B339" t="s">
        <v>1585</v>
      </c>
      <c r="C339" s="4">
        <v>339</v>
      </c>
      <c r="D339" t="s">
        <v>1586</v>
      </c>
      <c r="E339" t="s">
        <v>1587</v>
      </c>
      <c r="F339" t="s">
        <v>1588</v>
      </c>
      <c r="G339">
        <f>IF(N339&lt;&gt;"",VLOOKUP(N339,zastavky!E:F,2,FALSE),"")</f>
        <v>62</v>
      </c>
      <c r="H339" t="s">
        <v>1589</v>
      </c>
      <c r="I339" t="s">
        <v>1590</v>
      </c>
      <c r="J339">
        <v>6</v>
      </c>
      <c r="K339" t="s">
        <v>18</v>
      </c>
      <c r="M339">
        <v>1</v>
      </c>
      <c r="N339" s="1" t="s">
        <v>2641</v>
      </c>
      <c r="O339" t="s">
        <v>2514</v>
      </c>
      <c r="P339" t="str">
        <f t="shared" si="5"/>
        <v>update zamestnanci set os_cislo='339', rfid='0004942260',cilova='DSC',nastup='62' where os_cislo='339';</v>
      </c>
    </row>
    <row r="340" spans="1:16" x14ac:dyDescent="0.25">
      <c r="A340">
        <v>474</v>
      </c>
      <c r="B340" t="s">
        <v>1591</v>
      </c>
      <c r="C340" s="4">
        <v>340</v>
      </c>
      <c r="D340" t="s">
        <v>1592</v>
      </c>
      <c r="E340" t="s">
        <v>1593</v>
      </c>
      <c r="F340" t="s">
        <v>1594</v>
      </c>
      <c r="G340">
        <f>IF(N340&lt;&gt;"",VLOOKUP(N340,zastavky!E:F,2,FALSE),"")</f>
        <v>100</v>
      </c>
      <c r="H340" t="s">
        <v>1595</v>
      </c>
      <c r="I340" t="s">
        <v>1596</v>
      </c>
      <c r="J340">
        <v>6</v>
      </c>
      <c r="K340" t="s">
        <v>18</v>
      </c>
      <c r="M340">
        <v>1</v>
      </c>
      <c r="N340" s="1" t="s">
        <v>2581</v>
      </c>
      <c r="O340" t="s">
        <v>2514</v>
      </c>
      <c r="P340" t="str">
        <f t="shared" si="5"/>
        <v>update zamestnanci set os_cislo='340', rfid='0002029090',cilova='DSC',nastup='100' where os_cislo='340';</v>
      </c>
    </row>
    <row r="341" spans="1:16" x14ac:dyDescent="0.25">
      <c r="A341">
        <v>475</v>
      </c>
      <c r="B341" t="s">
        <v>1597</v>
      </c>
      <c r="C341" s="4">
        <v>341</v>
      </c>
      <c r="D341" t="s">
        <v>1598</v>
      </c>
      <c r="E341" t="s">
        <v>1599</v>
      </c>
      <c r="F341" t="s">
        <v>1600</v>
      </c>
      <c r="G341">
        <f>IF(N341&lt;&gt;"",VLOOKUP(N341,zastavky!E:F,2,FALSE),"")</f>
        <v>100</v>
      </c>
      <c r="H341" t="s">
        <v>1601</v>
      </c>
      <c r="I341" t="s">
        <v>1602</v>
      </c>
      <c r="J341">
        <v>6</v>
      </c>
      <c r="K341" t="s">
        <v>18</v>
      </c>
      <c r="M341">
        <v>1</v>
      </c>
      <c r="N341" s="1" t="s">
        <v>2581</v>
      </c>
      <c r="O341" t="s">
        <v>2514</v>
      </c>
      <c r="P341" t="str">
        <f t="shared" si="5"/>
        <v>update zamestnanci set os_cislo='341', rfid='0291536371',cilova='DSC',nastup='100' where os_cislo='341';</v>
      </c>
    </row>
    <row r="342" spans="1:16" x14ac:dyDescent="0.25">
      <c r="A342">
        <v>476</v>
      </c>
      <c r="B342" t="s">
        <v>1603</v>
      </c>
      <c r="C342" s="4">
        <v>342</v>
      </c>
      <c r="D342" t="s">
        <v>1604</v>
      </c>
      <c r="E342" t="s">
        <v>1605</v>
      </c>
      <c r="F342" t="s">
        <v>1606</v>
      </c>
      <c r="G342">
        <f>IF(N342&lt;&gt;"",VLOOKUP(N342,zastavky!E:F,2,FALSE),"")</f>
        <v>157</v>
      </c>
      <c r="H342" t="s">
        <v>1607</v>
      </c>
      <c r="I342" t="s">
        <v>1608</v>
      </c>
      <c r="J342">
        <v>6</v>
      </c>
      <c r="K342" t="s">
        <v>18</v>
      </c>
      <c r="M342">
        <v>1</v>
      </c>
      <c r="N342" s="1" t="s">
        <v>2659</v>
      </c>
      <c r="O342" t="s">
        <v>2514</v>
      </c>
      <c r="P342" t="str">
        <f t="shared" si="5"/>
        <v>update zamestnanci set os_cislo='342', rfid='0013247004',cilova='DSC',nastup='157' where os_cislo='342';</v>
      </c>
    </row>
    <row r="343" spans="1:16" x14ac:dyDescent="0.25">
      <c r="A343">
        <v>477</v>
      </c>
      <c r="B343" t="s">
        <v>1609</v>
      </c>
      <c r="C343" s="4">
        <v>343</v>
      </c>
      <c r="D343" t="s">
        <v>1610</v>
      </c>
      <c r="E343" t="s">
        <v>1611</v>
      </c>
      <c r="F343" t="s">
        <v>1612</v>
      </c>
      <c r="G343">
        <f>IF(N343&lt;&gt;"",VLOOKUP(N343,zastavky!E:F,2,FALSE),"")</f>
        <v>155</v>
      </c>
      <c r="H343" t="s">
        <v>1613</v>
      </c>
      <c r="I343" t="s">
        <v>1614</v>
      </c>
      <c r="J343">
        <v>6</v>
      </c>
      <c r="K343" t="s">
        <v>18</v>
      </c>
      <c r="M343">
        <v>1</v>
      </c>
      <c r="N343" s="1" t="s">
        <v>2640</v>
      </c>
      <c r="O343" t="s">
        <v>2514</v>
      </c>
      <c r="P343" t="str">
        <f t="shared" si="5"/>
        <v>update zamestnanci set os_cislo='343', rfid='0352190627322',cilova='DSC',nastup='155' where os_cislo='343';</v>
      </c>
    </row>
    <row r="344" spans="1:16" x14ac:dyDescent="0.25">
      <c r="A344">
        <v>478</v>
      </c>
      <c r="B344" t="s">
        <v>1615</v>
      </c>
      <c r="C344" s="4">
        <v>344</v>
      </c>
      <c r="D344" t="s">
        <v>1616</v>
      </c>
      <c r="E344" t="s">
        <v>828</v>
      </c>
      <c r="F344" t="s">
        <v>1617</v>
      </c>
      <c r="G344">
        <f>IF(N344&lt;&gt;"",VLOOKUP(N344,zastavky!E:F,2,FALSE),"")</f>
        <v>100</v>
      </c>
      <c r="H344" t="s">
        <v>1618</v>
      </c>
      <c r="I344" t="s">
        <v>1619</v>
      </c>
      <c r="J344">
        <v>6</v>
      </c>
      <c r="K344" t="s">
        <v>18</v>
      </c>
      <c r="M344">
        <v>1</v>
      </c>
      <c r="N344" s="1" t="s">
        <v>2581</v>
      </c>
      <c r="O344" t="s">
        <v>2514</v>
      </c>
      <c r="P344" t="str">
        <f t="shared" si="5"/>
        <v>update zamestnanci set os_cislo='344', rfid='0008777013',cilova='DSC',nastup='100' where os_cislo='344';</v>
      </c>
    </row>
    <row r="345" spans="1:16" x14ac:dyDescent="0.25">
      <c r="A345">
        <v>479</v>
      </c>
      <c r="B345" t="s">
        <v>1620</v>
      </c>
      <c r="C345" s="4">
        <v>345</v>
      </c>
      <c r="D345" t="s">
        <v>1621</v>
      </c>
      <c r="E345" t="s">
        <v>1622</v>
      </c>
      <c r="F345" t="s">
        <v>1623</v>
      </c>
      <c r="G345">
        <f>IF(N345&lt;&gt;"",VLOOKUP(N345,zastavky!E:F,2,FALSE),"")</f>
        <v>62</v>
      </c>
      <c r="H345" t="s">
        <v>1624</v>
      </c>
      <c r="I345" t="s">
        <v>1625</v>
      </c>
      <c r="J345">
        <v>6</v>
      </c>
      <c r="K345" t="s">
        <v>18</v>
      </c>
      <c r="M345">
        <v>1</v>
      </c>
      <c r="N345" s="1" t="s">
        <v>2641</v>
      </c>
      <c r="O345" t="s">
        <v>2514</v>
      </c>
      <c r="P345" t="str">
        <f t="shared" si="5"/>
        <v>update zamestnanci set os_cislo='345', rfid='0001828445',cilova='DSC',nastup='62' where os_cislo='345';</v>
      </c>
    </row>
    <row r="346" spans="1:16" x14ac:dyDescent="0.25">
      <c r="A346">
        <v>480</v>
      </c>
      <c r="B346" t="s">
        <v>1626</v>
      </c>
      <c r="C346" s="4">
        <v>346</v>
      </c>
      <c r="D346" t="s">
        <v>1627</v>
      </c>
      <c r="E346" t="s">
        <v>1628</v>
      </c>
      <c r="F346" t="s">
        <v>1629</v>
      </c>
      <c r="G346">
        <f>IF(N346&lt;&gt;"",VLOOKUP(N346,zastavky!E:F,2,FALSE),"")</f>
        <v>170</v>
      </c>
      <c r="H346" t="s">
        <v>1630</v>
      </c>
      <c r="I346" t="s">
        <v>1631</v>
      </c>
      <c r="J346">
        <v>6</v>
      </c>
      <c r="K346" t="s">
        <v>18</v>
      </c>
      <c r="M346">
        <v>1</v>
      </c>
      <c r="N346" s="1" t="s">
        <v>2657</v>
      </c>
      <c r="O346" t="s">
        <v>2514</v>
      </c>
      <c r="P346" t="str">
        <f t="shared" si="5"/>
        <v>update zamestnanci set os_cislo='346', rfid='0009093072',cilova='DSC',nastup='170' where os_cislo='346';</v>
      </c>
    </row>
    <row r="347" spans="1:16" x14ac:dyDescent="0.25">
      <c r="A347">
        <v>481</v>
      </c>
      <c r="B347" t="s">
        <v>1632</v>
      </c>
      <c r="C347" s="4">
        <v>347</v>
      </c>
      <c r="D347" t="s">
        <v>1633</v>
      </c>
      <c r="E347" t="s">
        <v>1634</v>
      </c>
      <c r="F347" t="s">
        <v>1635</v>
      </c>
      <c r="G347">
        <f>IF(N347&lt;&gt;"",VLOOKUP(N347,zastavky!E:F,2,FALSE),"")</f>
        <v>100</v>
      </c>
      <c r="H347" t="s">
        <v>1636</v>
      </c>
      <c r="I347" t="s">
        <v>1637</v>
      </c>
      <c r="J347">
        <v>6</v>
      </c>
      <c r="K347" t="s">
        <v>18</v>
      </c>
      <c r="M347">
        <v>1</v>
      </c>
      <c r="N347" s="1" t="s">
        <v>2581</v>
      </c>
      <c r="O347" t="s">
        <v>2514</v>
      </c>
      <c r="P347" t="str">
        <f t="shared" si="5"/>
        <v>update zamestnanci set os_cislo='347', rfid='0003520045',cilova='DSC',nastup='100' where os_cislo='347';</v>
      </c>
    </row>
    <row r="348" spans="1:16" x14ac:dyDescent="0.25">
      <c r="A348">
        <v>482</v>
      </c>
      <c r="B348" t="s">
        <v>1638</v>
      </c>
      <c r="C348" s="4">
        <v>348</v>
      </c>
      <c r="D348" t="s">
        <v>1639</v>
      </c>
      <c r="E348" t="s">
        <v>1640</v>
      </c>
      <c r="F348" t="s">
        <v>1641</v>
      </c>
      <c r="G348">
        <f>IF(N348&lt;&gt;"",VLOOKUP(N348,zastavky!E:F,2,FALSE),"")</f>
        <v>151</v>
      </c>
      <c r="H348" t="s">
        <v>1642</v>
      </c>
      <c r="I348" t="s">
        <v>1643</v>
      </c>
      <c r="J348">
        <v>6</v>
      </c>
      <c r="K348" t="s">
        <v>18</v>
      </c>
      <c r="M348">
        <v>1</v>
      </c>
      <c r="N348" s="1" t="s">
        <v>2638</v>
      </c>
      <c r="O348" t="s">
        <v>2514</v>
      </c>
      <c r="P348" t="str">
        <f t="shared" si="5"/>
        <v>update zamestnanci set os_cislo='348', rfid='0002028995',cilova='DSC',nastup='151' where os_cislo='348';</v>
      </c>
    </row>
    <row r="349" spans="1:16" x14ac:dyDescent="0.25">
      <c r="A349">
        <v>483</v>
      </c>
      <c r="B349" t="s">
        <v>1644</v>
      </c>
      <c r="C349" s="4">
        <v>349</v>
      </c>
      <c r="D349" t="s">
        <v>1645</v>
      </c>
      <c r="E349" t="s">
        <v>1646</v>
      </c>
      <c r="F349" t="s">
        <v>1647</v>
      </c>
      <c r="G349">
        <f>IF(N349&lt;&gt;"",VLOOKUP(N349,zastavky!E:F,2,FALSE),"")</f>
        <v>146</v>
      </c>
      <c r="H349" t="s">
        <v>1648</v>
      </c>
      <c r="I349" t="s">
        <v>1649</v>
      </c>
      <c r="J349">
        <v>6</v>
      </c>
      <c r="K349" t="s">
        <v>18</v>
      </c>
      <c r="M349">
        <v>1</v>
      </c>
      <c r="N349" s="1" t="s">
        <v>2655</v>
      </c>
      <c r="O349" t="s">
        <v>2514</v>
      </c>
      <c r="P349" t="str">
        <f t="shared" si="5"/>
        <v>update zamestnanci set os_cislo='349', rfid='0003845781',cilova='DSC',nastup='146' where os_cislo='349';</v>
      </c>
    </row>
    <row r="350" spans="1:16" x14ac:dyDescent="0.25">
      <c r="A350">
        <v>484</v>
      </c>
      <c r="B350" t="s">
        <v>1650</v>
      </c>
      <c r="C350" s="4">
        <v>350</v>
      </c>
      <c r="D350" t="s">
        <v>1651</v>
      </c>
      <c r="E350" t="s">
        <v>1652</v>
      </c>
      <c r="F350" t="s">
        <v>1653</v>
      </c>
      <c r="G350">
        <f>IF(N350&lt;&gt;"",VLOOKUP(N350,zastavky!E:F,2,FALSE),"")</f>
        <v>157</v>
      </c>
      <c r="H350" t="s">
        <v>1654</v>
      </c>
      <c r="I350" t="s">
        <v>1655</v>
      </c>
      <c r="J350">
        <v>6</v>
      </c>
      <c r="K350" t="s">
        <v>18</v>
      </c>
      <c r="M350">
        <v>1</v>
      </c>
      <c r="N350" s="1" t="s">
        <v>2659</v>
      </c>
      <c r="O350" t="s">
        <v>2514</v>
      </c>
      <c r="P350" t="str">
        <f t="shared" si="5"/>
        <v>update zamestnanci set os_cislo='350', rfid='0008317624',cilova='DSC',nastup='157' where os_cislo='350';</v>
      </c>
    </row>
    <row r="351" spans="1:16" x14ac:dyDescent="0.25">
      <c r="A351">
        <v>485</v>
      </c>
      <c r="B351" t="s">
        <v>1656</v>
      </c>
      <c r="C351" s="4">
        <v>351</v>
      </c>
      <c r="D351" t="s">
        <v>1657</v>
      </c>
      <c r="E351" t="s">
        <v>1658</v>
      </c>
      <c r="F351" t="s">
        <v>1659</v>
      </c>
      <c r="G351">
        <f>IF(N351&lt;&gt;"",VLOOKUP(N351,zastavky!E:F,2,FALSE),"")</f>
        <v>100</v>
      </c>
      <c r="H351" t="s">
        <v>1660</v>
      </c>
      <c r="I351" t="s">
        <v>1661</v>
      </c>
      <c r="J351">
        <v>6</v>
      </c>
      <c r="K351" t="s">
        <v>18</v>
      </c>
      <c r="M351">
        <v>1</v>
      </c>
      <c r="N351" s="1" t="s">
        <v>2581</v>
      </c>
      <c r="O351" t="s">
        <v>2514</v>
      </c>
      <c r="P351" t="str">
        <f t="shared" si="5"/>
        <v>update zamestnanci set os_cislo='351', rfid='0001221376',cilova='DSC',nastup='100' where os_cislo='351';</v>
      </c>
    </row>
    <row r="352" spans="1:16" x14ac:dyDescent="0.25">
      <c r="A352">
        <v>486</v>
      </c>
      <c r="B352" t="s">
        <v>1662</v>
      </c>
      <c r="C352" s="4">
        <v>352</v>
      </c>
      <c r="D352" t="s">
        <v>1663</v>
      </c>
      <c r="E352" t="s">
        <v>1664</v>
      </c>
      <c r="F352" t="s">
        <v>1665</v>
      </c>
      <c r="G352">
        <f>IF(N352&lt;&gt;"",VLOOKUP(N352,zastavky!E:F,2,FALSE),"")</f>
        <v>152</v>
      </c>
      <c r="H352" t="s">
        <v>1666</v>
      </c>
      <c r="I352" t="s">
        <v>1667</v>
      </c>
      <c r="J352">
        <v>6</v>
      </c>
      <c r="K352" t="s">
        <v>18</v>
      </c>
      <c r="M352">
        <v>1</v>
      </c>
      <c r="N352" s="1" t="s">
        <v>2650</v>
      </c>
      <c r="O352" t="s">
        <v>2514</v>
      </c>
      <c r="P352" t="str">
        <f t="shared" si="5"/>
        <v>update zamestnanci set os_cislo='352', rfid='0001343778',cilova='DSC',nastup='152' where os_cislo='352';</v>
      </c>
    </row>
    <row r="353" spans="1:16" x14ac:dyDescent="0.25">
      <c r="A353">
        <v>487</v>
      </c>
      <c r="B353" t="s">
        <v>1668</v>
      </c>
      <c r="C353" s="4">
        <v>353</v>
      </c>
      <c r="D353" t="s">
        <v>1669</v>
      </c>
      <c r="E353" t="s">
        <v>1670</v>
      </c>
      <c r="F353" t="s">
        <v>1671</v>
      </c>
      <c r="G353">
        <f>IF(N353&lt;&gt;"",VLOOKUP(N353,zastavky!E:F,2,FALSE),"")</f>
        <v>158</v>
      </c>
      <c r="H353" t="s">
        <v>1672</v>
      </c>
      <c r="I353" t="s">
        <v>1673</v>
      </c>
      <c r="J353">
        <v>6</v>
      </c>
      <c r="K353" t="s">
        <v>18</v>
      </c>
      <c r="M353">
        <v>1</v>
      </c>
      <c r="N353" s="1" t="s">
        <v>2646</v>
      </c>
      <c r="O353" t="s">
        <v>2514</v>
      </c>
      <c r="P353" t="str">
        <f t="shared" si="5"/>
        <v>update zamestnanci set os_cislo='353', rfid='0004744103',cilova='DSC',nastup='158' where os_cislo='353';</v>
      </c>
    </row>
    <row r="354" spans="1:16" x14ac:dyDescent="0.25">
      <c r="A354">
        <v>488</v>
      </c>
      <c r="B354" t="s">
        <v>1674</v>
      </c>
      <c r="C354" s="4">
        <v>354</v>
      </c>
      <c r="D354" t="s">
        <v>1675</v>
      </c>
      <c r="E354" t="s">
        <v>1676</v>
      </c>
      <c r="F354" t="s">
        <v>1677</v>
      </c>
      <c r="G354">
        <f>IF(N354&lt;&gt;"",VLOOKUP(N354,zastavky!E:F,2,FALSE),"")</f>
        <v>100</v>
      </c>
      <c r="H354" t="s">
        <v>1678</v>
      </c>
      <c r="I354" t="s">
        <v>1679</v>
      </c>
      <c r="J354">
        <v>6</v>
      </c>
      <c r="K354" t="s">
        <v>18</v>
      </c>
      <c r="M354">
        <v>1</v>
      </c>
      <c r="N354" s="1" t="s">
        <v>2581</v>
      </c>
      <c r="O354" t="s">
        <v>2514</v>
      </c>
      <c r="P354" t="str">
        <f t="shared" si="5"/>
        <v>update zamestnanci set os_cislo='354', rfid='0003363838',cilova='DSC',nastup='100' where os_cislo='354';</v>
      </c>
    </row>
    <row r="355" spans="1:16" x14ac:dyDescent="0.25">
      <c r="A355">
        <v>489</v>
      </c>
      <c r="B355" t="s">
        <v>1680</v>
      </c>
      <c r="C355" s="4">
        <v>355</v>
      </c>
      <c r="D355" t="s">
        <v>1681</v>
      </c>
      <c r="E355" t="s">
        <v>1682</v>
      </c>
      <c r="F355" t="s">
        <v>1683</v>
      </c>
      <c r="G355">
        <f>IF(N355&lt;&gt;"",VLOOKUP(N355,zastavky!E:F,2,FALSE),"")</f>
        <v>100</v>
      </c>
      <c r="H355" t="s">
        <v>1684</v>
      </c>
      <c r="I355" t="s">
        <v>1685</v>
      </c>
      <c r="J355">
        <v>6</v>
      </c>
      <c r="K355" t="s">
        <v>18</v>
      </c>
      <c r="M355">
        <v>1</v>
      </c>
      <c r="N355" s="1" t="s">
        <v>2581</v>
      </c>
      <c r="O355" t="s">
        <v>2514</v>
      </c>
      <c r="P355" t="str">
        <f t="shared" si="5"/>
        <v>update zamestnanci set os_cislo='355', rfid='0001928538',cilova='DSC',nastup='100' where os_cislo='355';</v>
      </c>
    </row>
    <row r="356" spans="1:16" x14ac:dyDescent="0.25">
      <c r="A356">
        <v>490</v>
      </c>
      <c r="B356" t="s">
        <v>1686</v>
      </c>
      <c r="C356" s="4">
        <v>356</v>
      </c>
      <c r="D356" t="s">
        <v>1687</v>
      </c>
      <c r="E356" t="s">
        <v>1688</v>
      </c>
      <c r="F356" t="s">
        <v>1689</v>
      </c>
      <c r="G356">
        <f>IF(N356&lt;&gt;"",VLOOKUP(N356,zastavky!E:F,2,FALSE),"")</f>
        <v>156</v>
      </c>
      <c r="H356" t="s">
        <v>1690</v>
      </c>
      <c r="I356" t="s">
        <v>1691</v>
      </c>
      <c r="J356">
        <v>6</v>
      </c>
      <c r="K356" t="s">
        <v>18</v>
      </c>
      <c r="M356">
        <v>1</v>
      </c>
      <c r="N356" s="1" t="s">
        <v>2636</v>
      </c>
      <c r="O356" t="s">
        <v>2514</v>
      </c>
      <c r="P356" t="str">
        <f t="shared" si="5"/>
        <v>update zamestnanci set os_cislo='356', rfid='0001932289',cilova='DSC',nastup='156' where os_cislo='356';</v>
      </c>
    </row>
    <row r="357" spans="1:16" x14ac:dyDescent="0.25">
      <c r="A357">
        <v>491</v>
      </c>
      <c r="B357" t="s">
        <v>1692</v>
      </c>
      <c r="C357" s="4">
        <v>357</v>
      </c>
      <c r="D357" t="s">
        <v>1693</v>
      </c>
      <c r="E357" t="s">
        <v>1694</v>
      </c>
      <c r="F357" t="s">
        <v>1695</v>
      </c>
      <c r="G357">
        <f>IF(N357&lt;&gt;"",VLOOKUP(N357,zastavky!E:F,2,FALSE),"")</f>
        <v>100</v>
      </c>
      <c r="H357" t="s">
        <v>1696</v>
      </c>
      <c r="I357" t="s">
        <v>1697</v>
      </c>
      <c r="J357">
        <v>6</v>
      </c>
      <c r="K357" t="s">
        <v>18</v>
      </c>
      <c r="M357">
        <v>1</v>
      </c>
      <c r="N357" s="1" t="s">
        <v>2581</v>
      </c>
      <c r="O357" t="s">
        <v>2514</v>
      </c>
      <c r="P357" t="str">
        <f t="shared" si="5"/>
        <v>update zamestnanci set os_cislo='357', rfid='0001279913',cilova='DSC',nastup='100' where os_cislo='357';</v>
      </c>
    </row>
    <row r="358" spans="1:16" x14ac:dyDescent="0.25">
      <c r="A358">
        <v>492</v>
      </c>
      <c r="B358" t="s">
        <v>1698</v>
      </c>
      <c r="C358" s="4">
        <v>358</v>
      </c>
      <c r="D358" t="s">
        <v>1699</v>
      </c>
      <c r="E358" t="s">
        <v>1700</v>
      </c>
      <c r="F358" t="s">
        <v>1701</v>
      </c>
      <c r="G358">
        <f>IF(N358&lt;&gt;"",VLOOKUP(N358,zastavky!E:F,2,FALSE),"")</f>
        <v>100</v>
      </c>
      <c r="H358" t="s">
        <v>1702</v>
      </c>
      <c r="I358" t="s">
        <v>1703</v>
      </c>
      <c r="J358">
        <v>6</v>
      </c>
      <c r="K358" t="s">
        <v>18</v>
      </c>
      <c r="M358">
        <v>1</v>
      </c>
      <c r="N358" s="1" t="s">
        <v>2581</v>
      </c>
      <c r="O358" t="s">
        <v>2514</v>
      </c>
      <c r="P358" t="str">
        <f t="shared" si="5"/>
        <v>update zamestnanci set os_cislo='358', rfid='0001815974',cilova='DSC',nastup='100' where os_cislo='358';</v>
      </c>
    </row>
    <row r="359" spans="1:16" x14ac:dyDescent="0.25">
      <c r="A359">
        <v>493</v>
      </c>
      <c r="B359" t="s">
        <v>1704</v>
      </c>
      <c r="C359" s="4">
        <v>359</v>
      </c>
      <c r="D359" t="s">
        <v>1705</v>
      </c>
      <c r="E359" t="s">
        <v>1706</v>
      </c>
      <c r="F359" t="s">
        <v>1707</v>
      </c>
      <c r="G359">
        <f>IF(N359&lt;&gt;"",VLOOKUP(N359,zastavky!E:F,2,FALSE),"")</f>
        <v>156</v>
      </c>
      <c r="H359" t="s">
        <v>1708</v>
      </c>
      <c r="I359" t="s">
        <v>1709</v>
      </c>
      <c r="J359">
        <v>6</v>
      </c>
      <c r="K359" t="s">
        <v>18</v>
      </c>
      <c r="M359">
        <v>1</v>
      </c>
      <c r="N359" s="1" t="s">
        <v>2636</v>
      </c>
      <c r="O359" t="s">
        <v>2514</v>
      </c>
      <c r="P359" t="str">
        <f t="shared" si="5"/>
        <v>update zamestnanci set os_cislo='359', rfid='0004503829',cilova='DSC',nastup='156' where os_cislo='359';</v>
      </c>
    </row>
    <row r="360" spans="1:16" x14ac:dyDescent="0.25">
      <c r="A360">
        <v>494</v>
      </c>
      <c r="B360" t="s">
        <v>1710</v>
      </c>
      <c r="C360" s="4">
        <v>360</v>
      </c>
      <c r="D360" t="s">
        <v>1705</v>
      </c>
      <c r="E360" t="s">
        <v>1711</v>
      </c>
      <c r="F360" t="s">
        <v>1712</v>
      </c>
      <c r="G360">
        <f>IF(N360&lt;&gt;"",VLOOKUP(N360,zastavky!E:F,2,FALSE),"")</f>
        <v>151</v>
      </c>
      <c r="H360" t="s">
        <v>1713</v>
      </c>
      <c r="I360" t="s">
        <v>1714</v>
      </c>
      <c r="J360">
        <v>6</v>
      </c>
      <c r="K360" t="s">
        <v>18</v>
      </c>
      <c r="M360">
        <v>1</v>
      </c>
      <c r="N360" s="1" t="s">
        <v>2638</v>
      </c>
      <c r="O360" t="s">
        <v>2514</v>
      </c>
      <c r="P360" t="str">
        <f t="shared" si="5"/>
        <v>update zamestnanci set os_cislo='360', rfid='0001932079',cilova='DSC',nastup='151' where os_cislo='360';</v>
      </c>
    </row>
    <row r="361" spans="1:16" x14ac:dyDescent="0.25">
      <c r="A361">
        <v>495</v>
      </c>
      <c r="B361" t="s">
        <v>1715</v>
      </c>
      <c r="C361" s="4">
        <v>361</v>
      </c>
      <c r="D361" t="s">
        <v>1716</v>
      </c>
      <c r="E361" t="s">
        <v>1717</v>
      </c>
      <c r="F361" t="s">
        <v>1718</v>
      </c>
      <c r="G361">
        <f>IF(N361&lt;&gt;"",VLOOKUP(N361,zastavky!E:F,2,FALSE),"")</f>
        <v>62</v>
      </c>
      <c r="H361" t="s">
        <v>1719</v>
      </c>
      <c r="I361" t="s">
        <v>1720</v>
      </c>
      <c r="J361">
        <v>6</v>
      </c>
      <c r="K361" t="s">
        <v>18</v>
      </c>
      <c r="M361">
        <v>1</v>
      </c>
      <c r="N361" s="1" t="s">
        <v>2641</v>
      </c>
      <c r="O361" t="s">
        <v>2514</v>
      </c>
      <c r="P361" t="str">
        <f t="shared" si="5"/>
        <v>update zamestnanci set os_cislo='361', rfid='0001221871',cilova='DSC',nastup='62' where os_cislo='361';</v>
      </c>
    </row>
    <row r="362" spans="1:16" x14ac:dyDescent="0.25">
      <c r="A362">
        <v>496</v>
      </c>
      <c r="B362" t="s">
        <v>1721</v>
      </c>
      <c r="C362" s="4">
        <v>362</v>
      </c>
      <c r="D362" t="s">
        <v>1722</v>
      </c>
      <c r="E362" t="s">
        <v>1723</v>
      </c>
      <c r="F362" t="s">
        <v>1724</v>
      </c>
      <c r="G362">
        <f>IF(N362&lt;&gt;"",VLOOKUP(N362,zastavky!E:F,2,FALSE),"")</f>
        <v>100</v>
      </c>
      <c r="H362" t="s">
        <v>1725</v>
      </c>
      <c r="I362" t="s">
        <v>1726</v>
      </c>
      <c r="J362">
        <v>6</v>
      </c>
      <c r="K362" t="s">
        <v>18</v>
      </c>
      <c r="M362">
        <v>1</v>
      </c>
      <c r="N362" s="1" t="s">
        <v>2581</v>
      </c>
      <c r="O362" t="s">
        <v>2514</v>
      </c>
      <c r="P362" t="str">
        <f t="shared" si="5"/>
        <v>update zamestnanci set os_cislo='362', rfid='0001985496',cilova='DSC',nastup='100' where os_cislo='362';</v>
      </c>
    </row>
    <row r="363" spans="1:16" x14ac:dyDescent="0.25">
      <c r="A363">
        <v>497</v>
      </c>
      <c r="B363" t="s">
        <v>1727</v>
      </c>
      <c r="C363" s="4">
        <v>363</v>
      </c>
      <c r="D363" t="s">
        <v>1728</v>
      </c>
      <c r="E363" t="s">
        <v>1729</v>
      </c>
      <c r="F363" t="s">
        <v>1730</v>
      </c>
      <c r="G363">
        <f>IF(N363&lt;&gt;"",VLOOKUP(N363,zastavky!E:F,2,FALSE),"")</f>
        <v>100</v>
      </c>
      <c r="H363" t="s">
        <v>1731</v>
      </c>
      <c r="I363" t="s">
        <v>1732</v>
      </c>
      <c r="J363">
        <v>6</v>
      </c>
      <c r="K363" t="s">
        <v>18</v>
      </c>
      <c r="M363">
        <v>1</v>
      </c>
      <c r="N363" s="1" t="s">
        <v>2581</v>
      </c>
      <c r="O363" t="s">
        <v>2514</v>
      </c>
      <c r="P363" t="str">
        <f t="shared" si="5"/>
        <v>update zamestnanci set os_cislo='363', rfid='0001275790',cilova='DSC',nastup='100' where os_cislo='363';</v>
      </c>
    </row>
    <row r="364" spans="1:16" x14ac:dyDescent="0.25">
      <c r="A364">
        <v>498</v>
      </c>
      <c r="B364" t="s">
        <v>1733</v>
      </c>
      <c r="C364" s="4">
        <v>364</v>
      </c>
      <c r="D364" t="s">
        <v>1734</v>
      </c>
      <c r="E364" t="s">
        <v>1735</v>
      </c>
      <c r="F364" t="s">
        <v>1736</v>
      </c>
      <c r="G364" t="str">
        <f>IF(N364&lt;&gt;"",VLOOKUP(N364,zastavky!E:F,2,FALSE),"")</f>
        <v/>
      </c>
      <c r="H364" t="s">
        <v>1737</v>
      </c>
      <c r="I364" t="s">
        <v>1738</v>
      </c>
      <c r="J364">
        <v>6</v>
      </c>
      <c r="K364" t="s">
        <v>18</v>
      </c>
      <c r="M364">
        <v>1</v>
      </c>
      <c r="N364" s="3"/>
      <c r="O364" t="s">
        <v>2514</v>
      </c>
      <c r="P364" t="str">
        <f t="shared" si="5"/>
        <v>update zamestnanci set os_cislo='364', rfid='0001219223',cilova='DSC',nastup='' where os_cislo='364';</v>
      </c>
    </row>
    <row r="365" spans="1:16" x14ac:dyDescent="0.25">
      <c r="A365">
        <v>499</v>
      </c>
      <c r="B365" t="s">
        <v>1739</v>
      </c>
      <c r="C365" s="4">
        <v>365</v>
      </c>
      <c r="D365" t="s">
        <v>1740</v>
      </c>
      <c r="E365" t="s">
        <v>1741</v>
      </c>
      <c r="F365" t="s">
        <v>1742</v>
      </c>
      <c r="G365">
        <f>IF(N365&lt;&gt;"",VLOOKUP(N365,zastavky!E:F,2,FALSE),"")</f>
        <v>100</v>
      </c>
      <c r="H365" t="s">
        <v>1743</v>
      </c>
      <c r="I365" t="s">
        <v>1744</v>
      </c>
      <c r="J365">
        <v>6</v>
      </c>
      <c r="K365" t="s">
        <v>18</v>
      </c>
      <c r="M365">
        <v>1</v>
      </c>
      <c r="N365" s="1" t="s">
        <v>2581</v>
      </c>
      <c r="O365" t="s">
        <v>2514</v>
      </c>
      <c r="P365" t="str">
        <f t="shared" si="5"/>
        <v>update zamestnanci set os_cislo='365', rfid='0001343425',cilova='DSC',nastup='100' where os_cislo='365';</v>
      </c>
    </row>
    <row r="366" spans="1:16" x14ac:dyDescent="0.25">
      <c r="A366">
        <v>500</v>
      </c>
      <c r="B366" t="s">
        <v>1745</v>
      </c>
      <c r="C366" s="4">
        <v>366</v>
      </c>
      <c r="D366" t="s">
        <v>1746</v>
      </c>
      <c r="E366" t="s">
        <v>1747</v>
      </c>
      <c r="F366" t="s">
        <v>1748</v>
      </c>
      <c r="G366">
        <f>IF(N366&lt;&gt;"",VLOOKUP(N366,zastavky!E:F,2,FALSE),"")</f>
        <v>170</v>
      </c>
      <c r="H366" t="s">
        <v>1749</v>
      </c>
      <c r="I366" t="s">
        <v>1750</v>
      </c>
      <c r="J366">
        <v>6</v>
      </c>
      <c r="K366" t="s">
        <v>18</v>
      </c>
      <c r="M366">
        <v>1</v>
      </c>
      <c r="N366" s="1" t="s">
        <v>2657</v>
      </c>
      <c r="O366" t="s">
        <v>2514</v>
      </c>
      <c r="P366" t="str">
        <f t="shared" si="5"/>
        <v>update zamestnanci set os_cislo='366', rfid='0003628225',cilova='DSC',nastup='170' where os_cislo='366';</v>
      </c>
    </row>
    <row r="367" spans="1:16" x14ac:dyDescent="0.25">
      <c r="A367">
        <v>501</v>
      </c>
      <c r="B367" t="s">
        <v>1751</v>
      </c>
      <c r="C367" s="4">
        <v>367</v>
      </c>
      <c r="D367" t="s">
        <v>1022</v>
      </c>
      <c r="E367" t="s">
        <v>62</v>
      </c>
      <c r="F367" t="s">
        <v>1752</v>
      </c>
      <c r="G367">
        <f>IF(N367&lt;&gt;"",VLOOKUP(N367,zastavky!E:F,2,FALSE),"")</f>
        <v>157</v>
      </c>
      <c r="H367" t="s">
        <v>1753</v>
      </c>
      <c r="I367" t="s">
        <v>1754</v>
      </c>
      <c r="J367">
        <v>6</v>
      </c>
      <c r="K367" t="s">
        <v>18</v>
      </c>
      <c r="M367">
        <v>1</v>
      </c>
      <c r="N367" s="1" t="s">
        <v>2659</v>
      </c>
      <c r="O367" t="s">
        <v>2514</v>
      </c>
      <c r="P367" t="str">
        <f t="shared" si="5"/>
        <v>update zamestnanci set os_cislo='367', rfid='0291550143',cilova='DSC',nastup='157' where os_cislo='367';</v>
      </c>
    </row>
    <row r="368" spans="1:16" x14ac:dyDescent="0.25">
      <c r="A368">
        <v>502</v>
      </c>
      <c r="B368" t="s">
        <v>1755</v>
      </c>
      <c r="C368" s="4">
        <v>368</v>
      </c>
      <c r="D368" t="s">
        <v>1022</v>
      </c>
      <c r="E368" t="s">
        <v>664</v>
      </c>
      <c r="F368" t="s">
        <v>1756</v>
      </c>
      <c r="G368">
        <f>IF(N368&lt;&gt;"",VLOOKUP(N368,zastavky!E:F,2,FALSE),"")</f>
        <v>163</v>
      </c>
      <c r="H368" t="s">
        <v>1757</v>
      </c>
      <c r="I368" t="s">
        <v>1758</v>
      </c>
      <c r="J368">
        <v>6</v>
      </c>
      <c r="K368" t="s">
        <v>18</v>
      </c>
      <c r="M368">
        <v>1</v>
      </c>
      <c r="N368" s="1" t="s">
        <v>2645</v>
      </c>
      <c r="O368" t="s">
        <v>2514</v>
      </c>
      <c r="P368" t="str">
        <f t="shared" si="5"/>
        <v>update zamestnanci set os_cislo='368', rfid='0001226162',cilova='DSC',nastup='163' where os_cislo='368';</v>
      </c>
    </row>
    <row r="369" spans="1:16" x14ac:dyDescent="0.25">
      <c r="A369">
        <v>503</v>
      </c>
      <c r="B369" t="s">
        <v>1759</v>
      </c>
      <c r="C369" s="4">
        <v>369</v>
      </c>
      <c r="D369" t="s">
        <v>1760</v>
      </c>
      <c r="E369" t="s">
        <v>1761</v>
      </c>
      <c r="F369" t="s">
        <v>1762</v>
      </c>
      <c r="G369">
        <f>IF(N369&lt;&gt;"",VLOOKUP(N369,zastavky!E:F,2,FALSE),"")</f>
        <v>62</v>
      </c>
      <c r="H369" t="s">
        <v>1763</v>
      </c>
      <c r="I369" t="s">
        <v>1764</v>
      </c>
      <c r="J369">
        <v>6</v>
      </c>
      <c r="K369" t="s">
        <v>18</v>
      </c>
      <c r="M369">
        <v>1</v>
      </c>
      <c r="N369" s="1" t="s">
        <v>2641</v>
      </c>
      <c r="O369" t="s">
        <v>2514</v>
      </c>
      <c r="P369" t="str">
        <f t="shared" si="5"/>
        <v>update zamestnanci set os_cislo='369', rfid='0002036712',cilova='DSC',nastup='62' where os_cislo='369';</v>
      </c>
    </row>
    <row r="370" spans="1:16" x14ac:dyDescent="0.25">
      <c r="A370">
        <v>504</v>
      </c>
      <c r="B370" t="s">
        <v>1765</v>
      </c>
      <c r="C370" s="4">
        <v>370</v>
      </c>
      <c r="D370" t="s">
        <v>1766</v>
      </c>
      <c r="E370" t="s">
        <v>1767</v>
      </c>
      <c r="F370" t="s">
        <v>1768</v>
      </c>
      <c r="G370">
        <f>IF(N370&lt;&gt;"",VLOOKUP(N370,zastavky!E:F,2,FALSE),"")</f>
        <v>158</v>
      </c>
      <c r="H370" t="s">
        <v>1769</v>
      </c>
      <c r="I370" t="s">
        <v>1770</v>
      </c>
      <c r="J370">
        <v>6</v>
      </c>
      <c r="K370" t="s">
        <v>18</v>
      </c>
      <c r="M370">
        <v>1</v>
      </c>
      <c r="N370" s="1" t="s">
        <v>2646</v>
      </c>
      <c r="O370" t="s">
        <v>2514</v>
      </c>
      <c r="P370" t="str">
        <f t="shared" si="5"/>
        <v>update zamestnanci set os_cislo='370', rfid='0001260558',cilova='DSC',nastup='158' where os_cislo='370';</v>
      </c>
    </row>
    <row r="371" spans="1:16" x14ac:dyDescent="0.25">
      <c r="A371">
        <v>505</v>
      </c>
      <c r="B371" t="s">
        <v>1771</v>
      </c>
      <c r="C371" s="4">
        <v>371</v>
      </c>
      <c r="D371" t="s">
        <v>1772</v>
      </c>
      <c r="E371" t="s">
        <v>1773</v>
      </c>
      <c r="F371" t="s">
        <v>1774</v>
      </c>
      <c r="G371">
        <f>IF(N371&lt;&gt;"",VLOOKUP(N371,zastavky!E:F,2,FALSE),"")</f>
        <v>6</v>
      </c>
      <c r="H371" t="s">
        <v>1775</v>
      </c>
      <c r="I371" t="s">
        <v>1776</v>
      </c>
      <c r="J371">
        <v>6</v>
      </c>
      <c r="K371" t="s">
        <v>18</v>
      </c>
      <c r="M371">
        <v>1</v>
      </c>
      <c r="N371" s="1" t="s">
        <v>2603</v>
      </c>
      <c r="O371" t="s">
        <v>2514</v>
      </c>
      <c r="P371" t="str">
        <f t="shared" si="5"/>
        <v>update zamestnanci set os_cislo='371', rfid='0001220221',cilova='DSC',nastup='6' where os_cislo='371';</v>
      </c>
    </row>
    <row r="372" spans="1:16" x14ac:dyDescent="0.25">
      <c r="A372">
        <v>506</v>
      </c>
      <c r="B372" t="s">
        <v>1777</v>
      </c>
      <c r="C372" s="4">
        <v>372</v>
      </c>
      <c r="D372" t="s">
        <v>1778</v>
      </c>
      <c r="E372" t="s">
        <v>1779</v>
      </c>
      <c r="F372" t="s">
        <v>1780</v>
      </c>
      <c r="G372">
        <f>IF(N372&lt;&gt;"",VLOOKUP(N372,zastavky!E:F,2,FALSE),"")</f>
        <v>147</v>
      </c>
      <c r="H372" t="s">
        <v>1781</v>
      </c>
      <c r="I372" t="s">
        <v>1782</v>
      </c>
      <c r="J372">
        <v>6</v>
      </c>
      <c r="K372" t="s">
        <v>18</v>
      </c>
      <c r="M372">
        <v>1</v>
      </c>
      <c r="N372" s="1" t="s">
        <v>2656</v>
      </c>
      <c r="O372" t="s">
        <v>2514</v>
      </c>
      <c r="P372" t="str">
        <f t="shared" si="5"/>
        <v>update zamestnanci set os_cislo='372', rfid='0002036505',cilova='DSC',nastup='147' where os_cislo='372';</v>
      </c>
    </row>
    <row r="373" spans="1:16" x14ac:dyDescent="0.25">
      <c r="A373">
        <v>507</v>
      </c>
      <c r="B373" t="s">
        <v>1783</v>
      </c>
      <c r="C373" s="4">
        <v>373</v>
      </c>
      <c r="D373" t="s">
        <v>1784</v>
      </c>
      <c r="E373" t="s">
        <v>1785</v>
      </c>
      <c r="F373" t="s">
        <v>1786</v>
      </c>
      <c r="G373">
        <f>IF(N373&lt;&gt;"",VLOOKUP(N373,zastavky!E:F,2,FALSE),"")</f>
        <v>100</v>
      </c>
      <c r="H373" t="s">
        <v>1787</v>
      </c>
      <c r="I373" t="s">
        <v>1788</v>
      </c>
      <c r="J373">
        <v>6</v>
      </c>
      <c r="K373" t="s">
        <v>18</v>
      </c>
      <c r="M373">
        <v>1</v>
      </c>
      <c r="N373" s="1" t="s">
        <v>2581</v>
      </c>
      <c r="O373" t="s">
        <v>2514</v>
      </c>
      <c r="P373" t="str">
        <f t="shared" si="5"/>
        <v>update zamestnanci set os_cislo='373', rfid='0002029084',cilova='DSC',nastup='100' where os_cislo='373';</v>
      </c>
    </row>
    <row r="374" spans="1:16" x14ac:dyDescent="0.25">
      <c r="A374">
        <v>508</v>
      </c>
      <c r="B374" t="s">
        <v>1789</v>
      </c>
      <c r="C374" s="4">
        <v>374</v>
      </c>
      <c r="D374" t="s">
        <v>1790</v>
      </c>
      <c r="E374" t="s">
        <v>1791</v>
      </c>
      <c r="F374" t="s">
        <v>1792</v>
      </c>
      <c r="G374">
        <f>IF(N374&lt;&gt;"",VLOOKUP(N374,zastavky!E:F,2,FALSE),"")</f>
        <v>158</v>
      </c>
      <c r="H374" t="s">
        <v>1793</v>
      </c>
      <c r="I374" t="s">
        <v>1794</v>
      </c>
      <c r="J374">
        <v>6</v>
      </c>
      <c r="K374" t="s">
        <v>18</v>
      </c>
      <c r="M374">
        <v>1</v>
      </c>
      <c r="N374" s="1" t="s">
        <v>2646</v>
      </c>
      <c r="O374" t="s">
        <v>2514</v>
      </c>
      <c r="P374" t="str">
        <f t="shared" si="5"/>
        <v>update zamestnanci set os_cislo='374', rfid='0003299932',cilova='DSC',nastup='158' where os_cislo='374';</v>
      </c>
    </row>
    <row r="375" spans="1:16" x14ac:dyDescent="0.25">
      <c r="A375">
        <v>509</v>
      </c>
      <c r="B375" t="s">
        <v>1011</v>
      </c>
      <c r="C375" s="4">
        <v>375</v>
      </c>
      <c r="D375" t="s">
        <v>1795</v>
      </c>
      <c r="E375" t="s">
        <v>1796</v>
      </c>
      <c r="F375" t="s">
        <v>1797</v>
      </c>
      <c r="G375">
        <f>IF(N375&lt;&gt;"",VLOOKUP(N375,zastavky!E:F,2,FALSE),"")</f>
        <v>151</v>
      </c>
      <c r="H375" t="s">
        <v>1798</v>
      </c>
      <c r="I375" t="s">
        <v>1799</v>
      </c>
      <c r="J375">
        <v>6</v>
      </c>
      <c r="K375" t="s">
        <v>18</v>
      </c>
      <c r="M375">
        <v>1</v>
      </c>
      <c r="N375" s="1" t="s">
        <v>2638</v>
      </c>
      <c r="O375" t="s">
        <v>2514</v>
      </c>
      <c r="P375" t="str">
        <f t="shared" si="5"/>
        <v>update zamestnanci set os_cislo='375', rfid='0001092313',cilova='DSC',nastup='151' where os_cislo='375';</v>
      </c>
    </row>
    <row r="376" spans="1:16" x14ac:dyDescent="0.25">
      <c r="A376">
        <v>510</v>
      </c>
      <c r="B376" t="s">
        <v>1800</v>
      </c>
      <c r="C376" s="4">
        <v>376</v>
      </c>
      <c r="D376" t="s">
        <v>1801</v>
      </c>
      <c r="E376" t="s">
        <v>1802</v>
      </c>
      <c r="F376" t="s">
        <v>1803</v>
      </c>
      <c r="G376">
        <f>IF(N376&lt;&gt;"",VLOOKUP(N376,zastavky!E:F,2,FALSE),"")</f>
        <v>145</v>
      </c>
      <c r="H376" t="s">
        <v>1804</v>
      </c>
      <c r="I376" t="s">
        <v>1805</v>
      </c>
      <c r="J376">
        <v>6</v>
      </c>
      <c r="K376" t="s">
        <v>18</v>
      </c>
      <c r="M376">
        <v>1</v>
      </c>
      <c r="N376" s="1" t="s">
        <v>2639</v>
      </c>
      <c r="O376" t="s">
        <v>2514</v>
      </c>
      <c r="P376" t="str">
        <f t="shared" si="5"/>
        <v>update zamestnanci set os_cislo='376', rfid='0001953401',cilova='DSC',nastup='145' where os_cislo='376';</v>
      </c>
    </row>
    <row r="377" spans="1:16" x14ac:dyDescent="0.25">
      <c r="A377">
        <v>511</v>
      </c>
      <c r="B377" t="s">
        <v>1806</v>
      </c>
      <c r="C377" s="4">
        <v>377</v>
      </c>
      <c r="D377" t="s">
        <v>1807</v>
      </c>
      <c r="E377" t="s">
        <v>1808</v>
      </c>
      <c r="F377" t="s">
        <v>1809</v>
      </c>
      <c r="G377">
        <f>IF(N377&lt;&gt;"",VLOOKUP(N377,zastavky!E:F,2,FALSE),"")</f>
        <v>100</v>
      </c>
      <c r="H377" t="s">
        <v>1810</v>
      </c>
      <c r="I377" t="s">
        <v>1811</v>
      </c>
      <c r="J377">
        <v>6</v>
      </c>
      <c r="K377" t="s">
        <v>18</v>
      </c>
      <c r="M377">
        <v>1</v>
      </c>
      <c r="N377" s="1" t="s">
        <v>2581</v>
      </c>
      <c r="O377" t="s">
        <v>2514</v>
      </c>
      <c r="P377" t="str">
        <f t="shared" si="5"/>
        <v>update zamestnanci set os_cislo='377', rfid='0001985251',cilova='DSC',nastup='100' where os_cislo='377';</v>
      </c>
    </row>
    <row r="378" spans="1:16" x14ac:dyDescent="0.25">
      <c r="A378">
        <v>512</v>
      </c>
      <c r="B378" t="s">
        <v>1812</v>
      </c>
      <c r="C378" s="4">
        <v>378</v>
      </c>
      <c r="D378" t="s">
        <v>1813</v>
      </c>
      <c r="E378" t="s">
        <v>1117</v>
      </c>
      <c r="F378" t="s">
        <v>1814</v>
      </c>
      <c r="G378">
        <f>IF(N378&lt;&gt;"",VLOOKUP(N378,zastavky!E:F,2,FALSE),"")</f>
        <v>148</v>
      </c>
      <c r="H378" t="s">
        <v>1815</v>
      </c>
      <c r="I378" t="s">
        <v>1816</v>
      </c>
      <c r="J378">
        <v>6</v>
      </c>
      <c r="K378" t="s">
        <v>18</v>
      </c>
      <c r="M378">
        <v>1</v>
      </c>
      <c r="N378" s="1" t="s">
        <v>2651</v>
      </c>
      <c r="O378" t="s">
        <v>2514</v>
      </c>
      <c r="P378" t="str">
        <f t="shared" si="5"/>
        <v>update zamestnanci set os_cislo='378', rfid='0004504028',cilova='DSC',nastup='148' where os_cislo='378';</v>
      </c>
    </row>
    <row r="379" spans="1:16" x14ac:dyDescent="0.25">
      <c r="A379">
        <v>513</v>
      </c>
      <c r="B379" t="s">
        <v>1817</v>
      </c>
      <c r="C379" s="4">
        <v>379</v>
      </c>
      <c r="D379" t="s">
        <v>1818</v>
      </c>
      <c r="E379" t="s">
        <v>1819</v>
      </c>
      <c r="F379" t="s">
        <v>1820</v>
      </c>
      <c r="G379">
        <f>IF(N379&lt;&gt;"",VLOOKUP(N379,zastavky!E:F,2,FALSE),"")</f>
        <v>100</v>
      </c>
      <c r="H379" t="s">
        <v>1821</v>
      </c>
      <c r="I379" t="s">
        <v>1822</v>
      </c>
      <c r="J379">
        <v>6</v>
      </c>
      <c r="K379" t="s">
        <v>18</v>
      </c>
      <c r="M379">
        <v>1</v>
      </c>
      <c r="N379" s="1" t="s">
        <v>2581</v>
      </c>
      <c r="O379" t="s">
        <v>2514</v>
      </c>
      <c r="P379" t="str">
        <f t="shared" si="5"/>
        <v>update zamestnanci set os_cislo='379', rfid='0352188369058',cilova='DSC',nastup='100' where os_cislo='379';</v>
      </c>
    </row>
    <row r="380" spans="1:16" x14ac:dyDescent="0.25">
      <c r="A380">
        <v>514</v>
      </c>
      <c r="B380" t="s">
        <v>1823</v>
      </c>
      <c r="C380" s="4">
        <v>380</v>
      </c>
      <c r="D380" t="s">
        <v>1824</v>
      </c>
      <c r="E380" t="s">
        <v>1825</v>
      </c>
      <c r="F380" t="s">
        <v>1826</v>
      </c>
      <c r="G380">
        <f>IF(N380&lt;&gt;"",VLOOKUP(N380,zastavky!E:F,2,FALSE),"")</f>
        <v>148</v>
      </c>
      <c r="H380" t="s">
        <v>1827</v>
      </c>
      <c r="I380" t="s">
        <v>1828</v>
      </c>
      <c r="J380">
        <v>6</v>
      </c>
      <c r="K380" t="s">
        <v>18</v>
      </c>
      <c r="M380">
        <v>1</v>
      </c>
      <c r="N380" s="1" t="s">
        <v>2651</v>
      </c>
      <c r="O380" t="s">
        <v>2514</v>
      </c>
      <c r="P380" t="str">
        <f t="shared" si="5"/>
        <v>update zamestnanci set os_cislo='380', rfid='0002028835',cilova='DSC',nastup='148' where os_cislo='380';</v>
      </c>
    </row>
    <row r="381" spans="1:16" x14ac:dyDescent="0.25">
      <c r="A381">
        <v>515</v>
      </c>
      <c r="B381" t="s">
        <v>1829</v>
      </c>
      <c r="C381" s="4">
        <v>381</v>
      </c>
      <c r="D381" t="s">
        <v>1830</v>
      </c>
      <c r="E381" t="s">
        <v>1831</v>
      </c>
      <c r="F381" t="s">
        <v>1832</v>
      </c>
      <c r="G381">
        <f>IF(N381&lt;&gt;"",VLOOKUP(N381,zastavky!E:F,2,FALSE),"")</f>
        <v>100</v>
      </c>
      <c r="H381" t="s">
        <v>1833</v>
      </c>
      <c r="I381" t="s">
        <v>1834</v>
      </c>
      <c r="J381">
        <v>6</v>
      </c>
      <c r="K381" t="s">
        <v>18</v>
      </c>
      <c r="M381">
        <v>1</v>
      </c>
      <c r="N381" s="1" t="s">
        <v>2581</v>
      </c>
      <c r="O381" t="s">
        <v>2514</v>
      </c>
      <c r="P381" t="str">
        <f t="shared" si="5"/>
        <v>update zamestnanci set os_cislo='381', rfid='0352188629581',cilova='DSC',nastup='100' where os_cislo='381';</v>
      </c>
    </row>
    <row r="382" spans="1:16" x14ac:dyDescent="0.25">
      <c r="A382">
        <v>516</v>
      </c>
      <c r="B382" t="s">
        <v>1060</v>
      </c>
      <c r="C382" s="4">
        <v>382</v>
      </c>
      <c r="D382" t="s">
        <v>1835</v>
      </c>
      <c r="E382" t="s">
        <v>711</v>
      </c>
      <c r="F382" t="s">
        <v>1836</v>
      </c>
      <c r="G382">
        <f>IF(N382&lt;&gt;"",VLOOKUP(N382,zastavky!E:F,2,FALSE),"")</f>
        <v>100</v>
      </c>
      <c r="H382" t="s">
        <v>1837</v>
      </c>
      <c r="I382" t="s">
        <v>1838</v>
      </c>
      <c r="J382">
        <v>6</v>
      </c>
      <c r="K382" t="s">
        <v>18</v>
      </c>
      <c r="M382">
        <v>1</v>
      </c>
      <c r="N382" s="1" t="s">
        <v>2581</v>
      </c>
      <c r="O382" t="s">
        <v>2514</v>
      </c>
      <c r="P382" t="str">
        <f t="shared" si="5"/>
        <v>update zamestnanci set os_cislo='382', rfid='0001402179',cilova='DSC',nastup='100' where os_cislo='382';</v>
      </c>
    </row>
    <row r="383" spans="1:16" x14ac:dyDescent="0.25">
      <c r="A383">
        <v>517</v>
      </c>
      <c r="B383" t="s">
        <v>1839</v>
      </c>
      <c r="C383" s="4">
        <v>383</v>
      </c>
      <c r="D383" t="s">
        <v>1840</v>
      </c>
      <c r="E383" t="s">
        <v>1841</v>
      </c>
      <c r="F383" t="s">
        <v>1842</v>
      </c>
      <c r="G383">
        <f>IF(N383&lt;&gt;"",VLOOKUP(N383,zastavky!E:F,2,FALSE),"")</f>
        <v>100</v>
      </c>
      <c r="H383" t="s">
        <v>1843</v>
      </c>
      <c r="I383" t="s">
        <v>1844</v>
      </c>
      <c r="J383">
        <v>6</v>
      </c>
      <c r="K383" t="s">
        <v>18</v>
      </c>
      <c r="M383">
        <v>1</v>
      </c>
      <c r="N383" s="1" t="s">
        <v>2581</v>
      </c>
      <c r="O383" t="s">
        <v>2514</v>
      </c>
      <c r="P383" t="str">
        <f t="shared" si="5"/>
        <v>update zamestnanci set os_cislo='383', rfid='0003535704',cilova='DSC',nastup='100' where os_cislo='383';</v>
      </c>
    </row>
    <row r="384" spans="1:16" x14ac:dyDescent="0.25">
      <c r="A384">
        <v>518</v>
      </c>
      <c r="B384" t="s">
        <v>1845</v>
      </c>
      <c r="C384" s="4">
        <v>384</v>
      </c>
      <c r="D384" t="s">
        <v>1846</v>
      </c>
      <c r="E384" t="s">
        <v>1847</v>
      </c>
      <c r="F384" t="s">
        <v>1848</v>
      </c>
      <c r="G384">
        <f>IF(N384&lt;&gt;"",VLOOKUP(N384,zastavky!E:F,2,FALSE),"")</f>
        <v>165</v>
      </c>
      <c r="H384" t="s">
        <v>1849</v>
      </c>
      <c r="I384" t="s">
        <v>1850</v>
      </c>
      <c r="J384">
        <v>6</v>
      </c>
      <c r="K384" t="s">
        <v>18</v>
      </c>
      <c r="M384">
        <v>1</v>
      </c>
      <c r="N384" s="1" t="s">
        <v>2663</v>
      </c>
      <c r="O384" t="s">
        <v>2514</v>
      </c>
      <c r="P384" t="str">
        <f t="shared" si="5"/>
        <v>update zamestnanci set os_cislo='384', rfid='0001279904',cilova='DSC',nastup='165' where os_cislo='384';</v>
      </c>
    </row>
    <row r="385" spans="1:16" x14ac:dyDescent="0.25">
      <c r="A385">
        <v>519</v>
      </c>
      <c r="B385" t="s">
        <v>1851</v>
      </c>
      <c r="C385" s="4">
        <v>385</v>
      </c>
      <c r="D385" t="s">
        <v>1852</v>
      </c>
      <c r="E385" t="s">
        <v>1853</v>
      </c>
      <c r="F385" t="s">
        <v>1854</v>
      </c>
      <c r="G385">
        <f>IF(N385&lt;&gt;"",VLOOKUP(N385,zastavky!E:F,2,FALSE),"")</f>
        <v>60</v>
      </c>
      <c r="H385" t="s">
        <v>1855</v>
      </c>
      <c r="I385" t="s">
        <v>1856</v>
      </c>
      <c r="J385">
        <v>6</v>
      </c>
      <c r="K385" t="s">
        <v>18</v>
      </c>
      <c r="M385">
        <v>1</v>
      </c>
      <c r="N385" s="1" t="s">
        <v>2642</v>
      </c>
      <c r="O385" t="s">
        <v>2514</v>
      </c>
      <c r="P385" t="str">
        <f t="shared" si="5"/>
        <v>update zamestnanci set os_cislo='385', rfid='0001931855',cilova='DSC',nastup='60' where os_cislo='385';</v>
      </c>
    </row>
    <row r="386" spans="1:16" x14ac:dyDescent="0.25">
      <c r="A386">
        <v>520</v>
      </c>
      <c r="B386" t="s">
        <v>1857</v>
      </c>
      <c r="C386" s="4">
        <v>386</v>
      </c>
      <c r="D386" t="s">
        <v>1858</v>
      </c>
      <c r="E386" t="s">
        <v>1859</v>
      </c>
      <c r="F386" t="s">
        <v>1860</v>
      </c>
      <c r="G386">
        <f>IF(N386&lt;&gt;"",VLOOKUP(N386,zastavky!E:F,2,FALSE),"")</f>
        <v>62</v>
      </c>
      <c r="H386" t="s">
        <v>1861</v>
      </c>
      <c r="I386" t="s">
        <v>1862</v>
      </c>
      <c r="J386">
        <v>6</v>
      </c>
      <c r="K386" t="s">
        <v>18</v>
      </c>
      <c r="M386">
        <v>1</v>
      </c>
      <c r="N386" s="1" t="s">
        <v>2641</v>
      </c>
      <c r="O386" t="s">
        <v>2514</v>
      </c>
      <c r="P386" t="str">
        <f t="shared" si="5"/>
        <v>update zamestnanci set os_cislo='386', rfid='0002028817',cilova='DSC',nastup='62' where os_cislo='386';</v>
      </c>
    </row>
    <row r="387" spans="1:16" x14ac:dyDescent="0.25">
      <c r="A387">
        <v>521</v>
      </c>
      <c r="B387" t="s">
        <v>1863</v>
      </c>
      <c r="C387" s="4">
        <v>387</v>
      </c>
      <c r="D387" t="s">
        <v>407</v>
      </c>
      <c r="E387" t="s">
        <v>1864</v>
      </c>
      <c r="F387" t="s">
        <v>1865</v>
      </c>
      <c r="G387">
        <f>IF(N387&lt;&gt;"",VLOOKUP(N387,zastavky!E:F,2,FALSE),"")</f>
        <v>100</v>
      </c>
      <c r="H387" t="s">
        <v>1866</v>
      </c>
      <c r="I387" t="s">
        <v>1867</v>
      </c>
      <c r="J387">
        <v>6</v>
      </c>
      <c r="K387" t="s">
        <v>18</v>
      </c>
      <c r="M387">
        <v>1</v>
      </c>
      <c r="N387" s="1" t="s">
        <v>2581</v>
      </c>
      <c r="O387" t="s">
        <v>2514</v>
      </c>
      <c r="P387" t="str">
        <f t="shared" ref="P387:P434" si="6">"update zamestnanci set os_cislo='" &amp; C387 &amp; "', rfid='" &amp; F387 &amp; "',cilova='" &amp; O387 &amp; "',nastup='" &amp; G387 &amp; "' where os_cislo='" &amp; C387 &amp; "';"</f>
        <v>update zamestnanci set os_cislo='387', rfid='0003534880',cilova='DSC',nastup='100' where os_cislo='387';</v>
      </c>
    </row>
    <row r="388" spans="1:16" x14ac:dyDescent="0.25">
      <c r="A388">
        <v>522</v>
      </c>
      <c r="B388" t="s">
        <v>1868</v>
      </c>
      <c r="C388" s="4">
        <v>388</v>
      </c>
      <c r="D388" t="s">
        <v>407</v>
      </c>
      <c r="E388" t="s">
        <v>1869</v>
      </c>
      <c r="F388" t="s">
        <v>1870</v>
      </c>
      <c r="G388">
        <f>IF(N388&lt;&gt;"",VLOOKUP(N388,zastavky!E:F,2,FALSE),"")</f>
        <v>154</v>
      </c>
      <c r="H388" t="s">
        <v>1871</v>
      </c>
      <c r="I388" t="s">
        <v>1872</v>
      </c>
      <c r="J388">
        <v>6</v>
      </c>
      <c r="K388" t="s">
        <v>18</v>
      </c>
      <c r="M388">
        <v>1</v>
      </c>
      <c r="N388" s="1" t="s">
        <v>2661</v>
      </c>
      <c r="O388" t="s">
        <v>2514</v>
      </c>
      <c r="P388" t="str">
        <f t="shared" si="6"/>
        <v>update zamestnanci set os_cislo='388', rfid='0001337753',cilova='DSC',nastup='154' where os_cislo='388';</v>
      </c>
    </row>
    <row r="389" spans="1:16" x14ac:dyDescent="0.25">
      <c r="A389">
        <v>523</v>
      </c>
      <c r="B389" t="s">
        <v>1873</v>
      </c>
      <c r="C389" s="4">
        <v>389</v>
      </c>
      <c r="D389" t="s">
        <v>407</v>
      </c>
      <c r="E389" t="s">
        <v>1874</v>
      </c>
      <c r="F389" t="s">
        <v>1875</v>
      </c>
      <c r="G389">
        <f>IF(N389&lt;&gt;"",VLOOKUP(N389,zastavky!E:F,2,FALSE),"")</f>
        <v>155</v>
      </c>
      <c r="H389" t="s">
        <v>1876</v>
      </c>
      <c r="I389" t="s">
        <v>1877</v>
      </c>
      <c r="J389">
        <v>6</v>
      </c>
      <c r="K389" t="s">
        <v>18</v>
      </c>
      <c r="M389">
        <v>1</v>
      </c>
      <c r="N389" s="1" t="s">
        <v>2640</v>
      </c>
      <c r="O389" t="s">
        <v>2514</v>
      </c>
      <c r="P389" t="str">
        <f t="shared" si="6"/>
        <v>update zamestnanci set os_cislo='389', rfid='0015501372',cilova='DSC',nastup='155' where os_cislo='389';</v>
      </c>
    </row>
    <row r="390" spans="1:16" x14ac:dyDescent="0.25">
      <c r="A390">
        <v>524</v>
      </c>
      <c r="B390" t="s">
        <v>1878</v>
      </c>
      <c r="C390" s="4">
        <v>390</v>
      </c>
      <c r="D390" t="s">
        <v>1879</v>
      </c>
      <c r="E390" t="s">
        <v>1880</v>
      </c>
      <c r="F390" t="s">
        <v>1881</v>
      </c>
      <c r="G390">
        <f>IF(N390&lt;&gt;"",VLOOKUP(N390,zastavky!E:F,2,FALSE),"")</f>
        <v>100</v>
      </c>
      <c r="H390" t="s">
        <v>1882</v>
      </c>
      <c r="I390" t="s">
        <v>1883</v>
      </c>
      <c r="J390">
        <v>6</v>
      </c>
      <c r="K390" t="s">
        <v>18</v>
      </c>
      <c r="M390">
        <v>1</v>
      </c>
      <c r="N390" s="1" t="s">
        <v>2581</v>
      </c>
      <c r="O390" t="s">
        <v>2514</v>
      </c>
      <c r="P390" t="str">
        <f t="shared" si="6"/>
        <v>update zamestnanci set os_cislo='390', rfid='0001319636',cilova='DSC',nastup='100' where os_cislo='390';</v>
      </c>
    </row>
    <row r="391" spans="1:16" x14ac:dyDescent="0.25">
      <c r="A391">
        <v>525</v>
      </c>
      <c r="B391" t="s">
        <v>1884</v>
      </c>
      <c r="C391" s="4">
        <v>391</v>
      </c>
      <c r="D391" t="s">
        <v>1885</v>
      </c>
      <c r="E391" t="s">
        <v>1886</v>
      </c>
      <c r="F391" t="s">
        <v>1887</v>
      </c>
      <c r="G391">
        <f>IF(N391&lt;&gt;"",VLOOKUP(N391,zastavky!E:F,2,FALSE),"")</f>
        <v>100</v>
      </c>
      <c r="H391" t="s">
        <v>1888</v>
      </c>
      <c r="I391" t="s">
        <v>1889</v>
      </c>
      <c r="J391">
        <v>6</v>
      </c>
      <c r="K391" t="s">
        <v>18</v>
      </c>
      <c r="M391">
        <v>1</v>
      </c>
      <c r="N391" s="1" t="s">
        <v>2581</v>
      </c>
      <c r="O391" t="s">
        <v>2514</v>
      </c>
      <c r="P391" t="str">
        <f t="shared" si="6"/>
        <v>update zamestnanci set os_cislo='391', rfid='0014964119',cilova='DSC',nastup='100' where os_cislo='391';</v>
      </c>
    </row>
    <row r="392" spans="1:16" x14ac:dyDescent="0.25">
      <c r="A392">
        <v>526</v>
      </c>
      <c r="B392" t="s">
        <v>1890</v>
      </c>
      <c r="C392" s="4">
        <v>392</v>
      </c>
      <c r="D392" t="s">
        <v>1891</v>
      </c>
      <c r="E392" t="s">
        <v>1892</v>
      </c>
      <c r="F392" t="s">
        <v>1893</v>
      </c>
      <c r="G392">
        <f>IF(N392&lt;&gt;"",VLOOKUP(N392,zastavky!E:F,2,FALSE),"")</f>
        <v>146</v>
      </c>
      <c r="H392" t="s">
        <v>1894</v>
      </c>
      <c r="I392" t="s">
        <v>1895</v>
      </c>
      <c r="J392">
        <v>6</v>
      </c>
      <c r="K392" t="s">
        <v>18</v>
      </c>
      <c r="M392">
        <v>1</v>
      </c>
      <c r="N392" s="1" t="s">
        <v>2655</v>
      </c>
      <c r="O392" t="s">
        <v>2514</v>
      </c>
      <c r="P392" t="str">
        <f t="shared" si="6"/>
        <v>update zamestnanci set os_cislo='392', rfid='000263873803',cilova='DSC',nastup='146' where os_cislo='392';</v>
      </c>
    </row>
    <row r="393" spans="1:16" x14ac:dyDescent="0.25">
      <c r="A393">
        <v>527</v>
      </c>
      <c r="B393" t="s">
        <v>275</v>
      </c>
      <c r="C393" s="4">
        <v>393</v>
      </c>
      <c r="D393" t="s">
        <v>1896</v>
      </c>
      <c r="E393" t="s">
        <v>1723</v>
      </c>
      <c r="F393" t="s">
        <v>1897</v>
      </c>
      <c r="G393">
        <f>IF(N393&lt;&gt;"",VLOOKUP(N393,zastavky!E:F,2,FALSE),"")</f>
        <v>100</v>
      </c>
      <c r="H393" t="s">
        <v>1898</v>
      </c>
      <c r="I393" t="s">
        <v>1899</v>
      </c>
      <c r="J393">
        <v>6</v>
      </c>
      <c r="K393" t="s">
        <v>18</v>
      </c>
      <c r="M393">
        <v>1</v>
      </c>
      <c r="N393" s="1" t="s">
        <v>2581</v>
      </c>
      <c r="O393" t="s">
        <v>2514</v>
      </c>
      <c r="P393" t="str">
        <f t="shared" si="6"/>
        <v>update zamestnanci set os_cislo='393', rfid='0001932294',cilova='DSC',nastup='100' where os_cislo='393';</v>
      </c>
    </row>
    <row r="394" spans="1:16" x14ac:dyDescent="0.25">
      <c r="A394">
        <v>528</v>
      </c>
      <c r="B394" t="s">
        <v>1055</v>
      </c>
      <c r="C394" s="4">
        <v>394</v>
      </c>
      <c r="D394" t="s">
        <v>1900</v>
      </c>
      <c r="E394" t="s">
        <v>1901</v>
      </c>
      <c r="F394" t="s">
        <v>1902</v>
      </c>
      <c r="G394">
        <f>IF(N394&lt;&gt;"",VLOOKUP(N394,zastavky!E:F,2,FALSE),"")</f>
        <v>100</v>
      </c>
      <c r="H394" t="s">
        <v>1903</v>
      </c>
      <c r="I394" t="s">
        <v>1904</v>
      </c>
      <c r="J394">
        <v>6</v>
      </c>
      <c r="K394" t="s">
        <v>18</v>
      </c>
      <c r="M394">
        <v>1</v>
      </c>
      <c r="N394" s="1" t="s">
        <v>2581</v>
      </c>
      <c r="O394" t="s">
        <v>2514</v>
      </c>
      <c r="P394" t="str">
        <f t="shared" si="6"/>
        <v>update zamestnanci set os_cislo='394', rfid='0001310269',cilova='DSC',nastup='100' where os_cislo='394';</v>
      </c>
    </row>
    <row r="395" spans="1:16" x14ac:dyDescent="0.25">
      <c r="A395">
        <v>529</v>
      </c>
      <c r="B395" t="s">
        <v>1905</v>
      </c>
      <c r="C395" s="4">
        <v>395</v>
      </c>
      <c r="D395" t="s">
        <v>1906</v>
      </c>
      <c r="E395" t="s">
        <v>1023</v>
      </c>
      <c r="F395" t="s">
        <v>1907</v>
      </c>
      <c r="G395">
        <f>IF(N395&lt;&gt;"",VLOOKUP(N395,zastavky!E:F,2,FALSE),"")</f>
        <v>145</v>
      </c>
      <c r="H395" t="s">
        <v>1908</v>
      </c>
      <c r="I395" t="s">
        <v>1909</v>
      </c>
      <c r="J395">
        <v>6</v>
      </c>
      <c r="K395" t="s">
        <v>18</v>
      </c>
      <c r="M395">
        <v>1</v>
      </c>
      <c r="N395" s="1" t="s">
        <v>2639</v>
      </c>
      <c r="O395" t="s">
        <v>2514</v>
      </c>
      <c r="P395" t="str">
        <f t="shared" si="6"/>
        <v>update zamestnanci set os_cislo='395', rfid='0001327728',cilova='DSC',nastup='145' where os_cislo='395';</v>
      </c>
    </row>
    <row r="396" spans="1:16" x14ac:dyDescent="0.25">
      <c r="A396">
        <v>530</v>
      </c>
      <c r="B396" t="s">
        <v>1910</v>
      </c>
      <c r="C396" s="4">
        <v>396</v>
      </c>
      <c r="D396" t="s">
        <v>1911</v>
      </c>
      <c r="E396" t="s">
        <v>1912</v>
      </c>
      <c r="F396" t="s">
        <v>1913</v>
      </c>
      <c r="G396">
        <f>IF(N396&lt;&gt;"",VLOOKUP(N396,zastavky!E:F,2,FALSE),"")</f>
        <v>100</v>
      </c>
      <c r="H396" t="s">
        <v>1914</v>
      </c>
      <c r="I396" t="s">
        <v>1915</v>
      </c>
      <c r="J396">
        <v>6</v>
      </c>
      <c r="K396" t="s">
        <v>18</v>
      </c>
      <c r="M396">
        <v>1</v>
      </c>
      <c r="N396" s="1" t="s">
        <v>2581</v>
      </c>
      <c r="O396" t="s">
        <v>2514</v>
      </c>
      <c r="P396" t="str">
        <f t="shared" si="6"/>
        <v>update zamestnanci set os_cislo='396', rfid='0003326894',cilova='DSC',nastup='100' where os_cislo='396';</v>
      </c>
    </row>
    <row r="397" spans="1:16" x14ac:dyDescent="0.25">
      <c r="A397">
        <v>531</v>
      </c>
      <c r="B397" t="s">
        <v>1001</v>
      </c>
      <c r="C397" s="4">
        <v>397</v>
      </c>
      <c r="D397" t="s">
        <v>1916</v>
      </c>
      <c r="E397" t="s">
        <v>846</v>
      </c>
      <c r="F397" t="s">
        <v>1917</v>
      </c>
      <c r="G397">
        <f>IF(N397&lt;&gt;"",VLOOKUP(N397,zastavky!E:F,2,FALSE),"")</f>
        <v>148</v>
      </c>
      <c r="H397" t="s">
        <v>1918</v>
      </c>
      <c r="I397" t="s">
        <v>1919</v>
      </c>
      <c r="J397">
        <v>6</v>
      </c>
      <c r="K397" t="s">
        <v>18</v>
      </c>
      <c r="M397">
        <v>1</v>
      </c>
      <c r="N397" s="1" t="s">
        <v>2651</v>
      </c>
      <c r="O397" t="s">
        <v>2514</v>
      </c>
      <c r="P397" t="str">
        <f t="shared" si="6"/>
        <v>update zamestnanci set os_cislo='397', rfid='0001985586',cilova='DSC',nastup='148' where os_cislo='397';</v>
      </c>
    </row>
    <row r="398" spans="1:16" x14ac:dyDescent="0.25">
      <c r="A398">
        <v>532</v>
      </c>
      <c r="B398" t="s">
        <v>1920</v>
      </c>
      <c r="C398" s="4">
        <v>398</v>
      </c>
      <c r="D398" t="s">
        <v>1921</v>
      </c>
      <c r="E398" t="s">
        <v>1922</v>
      </c>
      <c r="F398" t="s">
        <v>1923</v>
      </c>
      <c r="G398">
        <f>IF(N398&lt;&gt;"",VLOOKUP(N398,zastavky!E:F,2,FALSE),"")</f>
        <v>100</v>
      </c>
      <c r="H398" t="s">
        <v>1924</v>
      </c>
      <c r="I398" t="s">
        <v>1925</v>
      </c>
      <c r="J398">
        <v>6</v>
      </c>
      <c r="K398" t="s">
        <v>18</v>
      </c>
      <c r="M398">
        <v>1</v>
      </c>
      <c r="N398" s="1" t="s">
        <v>2581</v>
      </c>
      <c r="O398" t="s">
        <v>2514</v>
      </c>
      <c r="P398" t="str">
        <f t="shared" si="6"/>
        <v>update zamestnanci set os_cislo='398', rfid='0003371764',cilova='DSC',nastup='100' where os_cislo='398';</v>
      </c>
    </row>
    <row r="399" spans="1:16" x14ac:dyDescent="0.25">
      <c r="A399">
        <v>533</v>
      </c>
      <c r="B399" t="s">
        <v>1926</v>
      </c>
      <c r="C399" s="4">
        <v>399</v>
      </c>
      <c r="D399" t="s">
        <v>1927</v>
      </c>
      <c r="E399" t="s">
        <v>1928</v>
      </c>
      <c r="F399" t="s">
        <v>1929</v>
      </c>
      <c r="G399">
        <f>IF(N399&lt;&gt;"",VLOOKUP(N399,zastavky!E:F,2,FALSE),"")</f>
        <v>100</v>
      </c>
      <c r="H399" t="s">
        <v>1930</v>
      </c>
      <c r="I399" t="s">
        <v>1931</v>
      </c>
      <c r="J399">
        <v>6</v>
      </c>
      <c r="K399" t="s">
        <v>18</v>
      </c>
      <c r="M399">
        <v>1</v>
      </c>
      <c r="N399" s="1" t="s">
        <v>2581</v>
      </c>
      <c r="O399" t="s">
        <v>2514</v>
      </c>
      <c r="P399" t="str">
        <f t="shared" si="6"/>
        <v>update zamestnanci set os_cislo='399', rfid='0005555530',cilova='DSC',nastup='100' where os_cislo='399';</v>
      </c>
    </row>
    <row r="400" spans="1:16" x14ac:dyDescent="0.25">
      <c r="A400">
        <v>534</v>
      </c>
      <c r="B400" t="s">
        <v>281</v>
      </c>
      <c r="C400" s="4">
        <v>400</v>
      </c>
      <c r="D400" t="s">
        <v>1932</v>
      </c>
      <c r="E400" t="s">
        <v>1933</v>
      </c>
      <c r="F400" t="s">
        <v>1934</v>
      </c>
      <c r="G400">
        <f>IF(N400&lt;&gt;"",VLOOKUP(N400,zastavky!E:F,2,FALSE),"")</f>
        <v>171</v>
      </c>
      <c r="H400" t="s">
        <v>1935</v>
      </c>
      <c r="I400" t="s">
        <v>1936</v>
      </c>
      <c r="J400">
        <v>6</v>
      </c>
      <c r="K400" t="s">
        <v>18</v>
      </c>
      <c r="M400">
        <v>1</v>
      </c>
      <c r="N400" s="1" t="s">
        <v>2664</v>
      </c>
      <c r="O400" t="s">
        <v>2514</v>
      </c>
      <c r="P400" t="str">
        <f t="shared" si="6"/>
        <v>update zamestnanci set os_cislo='400', rfid='0008777567',cilova='DSC',nastup='171' where os_cislo='400';</v>
      </c>
    </row>
    <row r="401" spans="1:16" x14ac:dyDescent="0.25">
      <c r="A401">
        <v>535</v>
      </c>
      <c r="B401" t="s">
        <v>1937</v>
      </c>
      <c r="C401" s="4">
        <v>401</v>
      </c>
      <c r="D401" t="s">
        <v>1938</v>
      </c>
      <c r="E401" t="s">
        <v>1939</v>
      </c>
      <c r="F401" t="s">
        <v>1940</v>
      </c>
      <c r="G401" t="str">
        <f>IF(N401&lt;&gt;"",VLOOKUP(N401,zastavky!E:F,2,FALSE),"")</f>
        <v/>
      </c>
      <c r="H401" t="s">
        <v>1941</v>
      </c>
      <c r="I401" t="s">
        <v>1942</v>
      </c>
      <c r="J401">
        <v>6</v>
      </c>
      <c r="K401" t="s">
        <v>18</v>
      </c>
      <c r="M401">
        <v>1</v>
      </c>
      <c r="N401" s="3"/>
      <c r="O401" t="s">
        <v>2514</v>
      </c>
      <c r="P401" t="str">
        <f t="shared" si="6"/>
        <v>update zamestnanci set os_cislo='401', rfid='0001032304',cilova='DSC',nastup='' where os_cislo='401';</v>
      </c>
    </row>
    <row r="402" spans="1:16" x14ac:dyDescent="0.25">
      <c r="A402">
        <v>536</v>
      </c>
      <c r="B402" t="s">
        <v>1943</v>
      </c>
      <c r="C402" s="4">
        <v>402</v>
      </c>
      <c r="D402" t="s">
        <v>1944</v>
      </c>
      <c r="E402" t="s">
        <v>1945</v>
      </c>
      <c r="F402" t="s">
        <v>1946</v>
      </c>
      <c r="G402">
        <f>IF(N402&lt;&gt;"",VLOOKUP(N402,zastavky!E:F,2,FALSE),"")</f>
        <v>100</v>
      </c>
      <c r="H402" t="s">
        <v>1947</v>
      </c>
      <c r="I402" t="s">
        <v>1948</v>
      </c>
      <c r="J402">
        <v>6</v>
      </c>
      <c r="K402" t="s">
        <v>18</v>
      </c>
      <c r="M402">
        <v>1</v>
      </c>
      <c r="N402" s="1" t="s">
        <v>2581</v>
      </c>
      <c r="O402" t="s">
        <v>2514</v>
      </c>
      <c r="P402" t="str">
        <f t="shared" si="6"/>
        <v>update zamestnanci set os_cislo='402', rfid='0003365841',cilova='DSC',nastup='100' where os_cislo='402';</v>
      </c>
    </row>
    <row r="403" spans="1:16" x14ac:dyDescent="0.25">
      <c r="A403">
        <v>537</v>
      </c>
      <c r="B403" t="s">
        <v>382</v>
      </c>
      <c r="C403" s="4">
        <v>403</v>
      </c>
      <c r="D403" t="s">
        <v>1949</v>
      </c>
      <c r="E403" t="s">
        <v>1950</v>
      </c>
      <c r="F403" t="s">
        <v>1951</v>
      </c>
      <c r="G403">
        <f>IF(N403&lt;&gt;"",VLOOKUP(N403,zastavky!E:F,2,FALSE),"")</f>
        <v>61</v>
      </c>
      <c r="H403" t="s">
        <v>1952</v>
      </c>
      <c r="I403" t="s">
        <v>1953</v>
      </c>
      <c r="J403">
        <v>6</v>
      </c>
      <c r="K403" t="s">
        <v>18</v>
      </c>
      <c r="M403">
        <v>1</v>
      </c>
      <c r="N403" s="1" t="s">
        <v>2665</v>
      </c>
      <c r="O403" t="s">
        <v>2514</v>
      </c>
      <c r="P403" t="str">
        <f t="shared" si="6"/>
        <v>update zamestnanci set os_cislo='403', rfid='0001254597',cilova='DSC',nastup='61' where os_cislo='403';</v>
      </c>
    </row>
    <row r="404" spans="1:16" x14ac:dyDescent="0.25">
      <c r="A404">
        <v>538</v>
      </c>
      <c r="B404" t="s">
        <v>1954</v>
      </c>
      <c r="C404" s="4">
        <v>404</v>
      </c>
      <c r="D404" t="s">
        <v>1955</v>
      </c>
      <c r="E404" t="s">
        <v>1956</v>
      </c>
      <c r="F404" t="s">
        <v>1957</v>
      </c>
      <c r="G404">
        <f>IF(N404&lt;&gt;"",VLOOKUP(N404,zastavky!E:F,2,FALSE),"")</f>
        <v>148</v>
      </c>
      <c r="H404" t="s">
        <v>1958</v>
      </c>
      <c r="I404" t="s">
        <v>1959</v>
      </c>
      <c r="J404">
        <v>6</v>
      </c>
      <c r="K404" t="s">
        <v>18</v>
      </c>
      <c r="M404">
        <v>1</v>
      </c>
      <c r="N404" s="1" t="s">
        <v>2651</v>
      </c>
      <c r="O404" t="s">
        <v>2514</v>
      </c>
      <c r="P404" t="str">
        <f t="shared" si="6"/>
        <v>update zamestnanci set os_cislo='404', rfid='0001408958',cilova='DSC',nastup='148' where os_cislo='404';</v>
      </c>
    </row>
    <row r="405" spans="1:16" x14ac:dyDescent="0.25">
      <c r="A405">
        <v>539</v>
      </c>
      <c r="B405" t="s">
        <v>1960</v>
      </c>
      <c r="C405" s="4">
        <v>405</v>
      </c>
      <c r="D405" t="s">
        <v>1961</v>
      </c>
      <c r="E405" t="s">
        <v>1962</v>
      </c>
      <c r="F405" t="s">
        <v>1963</v>
      </c>
      <c r="G405">
        <f>IF(N405&lt;&gt;"",VLOOKUP(N405,zastavky!E:F,2,FALSE),"")</f>
        <v>63</v>
      </c>
      <c r="H405" t="s">
        <v>1964</v>
      </c>
      <c r="I405" t="s">
        <v>1965</v>
      </c>
      <c r="J405">
        <v>6</v>
      </c>
      <c r="K405" t="s">
        <v>18</v>
      </c>
      <c r="M405">
        <v>1</v>
      </c>
      <c r="N405" s="1" t="s">
        <v>2644</v>
      </c>
      <c r="O405" t="s">
        <v>2514</v>
      </c>
      <c r="P405" t="str">
        <f t="shared" si="6"/>
        <v>update zamestnanci set os_cislo='405', rfid='0003408083',cilova='DSC',nastup='63' where os_cislo='405';</v>
      </c>
    </row>
    <row r="406" spans="1:16" x14ac:dyDescent="0.25">
      <c r="A406">
        <v>540</v>
      </c>
      <c r="B406" t="s">
        <v>1966</v>
      </c>
      <c r="C406" s="4">
        <v>406</v>
      </c>
      <c r="D406" t="s">
        <v>1967</v>
      </c>
      <c r="E406" t="s">
        <v>1968</v>
      </c>
      <c r="F406" t="s">
        <v>1969</v>
      </c>
      <c r="G406">
        <f>IF(N406&lt;&gt;"",VLOOKUP(N406,zastavky!E:F,2,FALSE),"")</f>
        <v>156</v>
      </c>
      <c r="H406" t="s">
        <v>1970</v>
      </c>
      <c r="I406" t="s">
        <v>1971</v>
      </c>
      <c r="J406">
        <v>6</v>
      </c>
      <c r="K406" t="s">
        <v>18</v>
      </c>
      <c r="M406">
        <v>1</v>
      </c>
      <c r="N406" s="1" t="s">
        <v>2636</v>
      </c>
      <c r="O406" t="s">
        <v>2514</v>
      </c>
      <c r="P406" t="str">
        <f t="shared" si="6"/>
        <v>update zamestnanci set os_cislo='406', rfid='0009551583',cilova='DSC',nastup='156' where os_cislo='406';</v>
      </c>
    </row>
    <row r="407" spans="1:16" x14ac:dyDescent="0.25">
      <c r="A407">
        <v>541</v>
      </c>
      <c r="B407" t="s">
        <v>1972</v>
      </c>
      <c r="C407" s="4">
        <v>407</v>
      </c>
      <c r="D407" t="s">
        <v>1973</v>
      </c>
      <c r="E407" t="s">
        <v>1974</v>
      </c>
      <c r="F407" t="s">
        <v>1975</v>
      </c>
      <c r="G407">
        <f>IF(N407&lt;&gt;"",VLOOKUP(N407,zastavky!E:F,2,FALSE),"")</f>
        <v>158</v>
      </c>
      <c r="H407" t="s">
        <v>1976</v>
      </c>
      <c r="I407" t="s">
        <v>1977</v>
      </c>
      <c r="J407">
        <v>6</v>
      </c>
      <c r="K407" t="s">
        <v>18</v>
      </c>
      <c r="M407">
        <v>1</v>
      </c>
      <c r="N407" s="1" t="s">
        <v>2646</v>
      </c>
      <c r="O407" t="s">
        <v>2514</v>
      </c>
      <c r="P407" t="str">
        <f t="shared" si="6"/>
        <v>update zamestnanci set os_cislo='407', rfid='0352188403565',cilova='DSC',nastup='158' where os_cislo='407';</v>
      </c>
    </row>
    <row r="408" spans="1:16" x14ac:dyDescent="0.25">
      <c r="A408">
        <v>542</v>
      </c>
      <c r="B408" t="s">
        <v>1978</v>
      </c>
      <c r="C408" s="4">
        <v>408</v>
      </c>
      <c r="D408" t="s">
        <v>1979</v>
      </c>
      <c r="E408" t="s">
        <v>1980</v>
      </c>
      <c r="F408" t="s">
        <v>1981</v>
      </c>
      <c r="G408">
        <f>IF(N408&lt;&gt;"",VLOOKUP(N408,zastavky!E:F,2,FALSE),"")</f>
        <v>100</v>
      </c>
      <c r="H408" t="s">
        <v>1982</v>
      </c>
      <c r="I408" t="s">
        <v>1983</v>
      </c>
      <c r="J408">
        <v>6</v>
      </c>
      <c r="K408" t="s">
        <v>18</v>
      </c>
      <c r="M408">
        <v>1</v>
      </c>
      <c r="N408" s="1" t="s">
        <v>2581</v>
      </c>
      <c r="O408" t="s">
        <v>2514</v>
      </c>
      <c r="P408" t="str">
        <f t="shared" si="6"/>
        <v>update zamestnanci set os_cislo='408', rfid='0001220227',cilova='DSC',nastup='100' where os_cislo='408';</v>
      </c>
    </row>
    <row r="409" spans="1:16" x14ac:dyDescent="0.25">
      <c r="A409">
        <v>543</v>
      </c>
      <c r="B409" t="s">
        <v>1984</v>
      </c>
      <c r="C409" s="4">
        <v>409</v>
      </c>
      <c r="D409" t="s">
        <v>1985</v>
      </c>
      <c r="E409" t="s">
        <v>1986</v>
      </c>
      <c r="F409" t="s">
        <v>1987</v>
      </c>
      <c r="G409">
        <f>IF(N409&lt;&gt;"",VLOOKUP(N409,zastavky!E:F,2,FALSE),"")</f>
        <v>146</v>
      </c>
      <c r="H409" t="s">
        <v>1988</v>
      </c>
      <c r="I409" t="s">
        <v>1989</v>
      </c>
      <c r="J409">
        <v>6</v>
      </c>
      <c r="K409" t="s">
        <v>18</v>
      </c>
      <c r="M409">
        <v>1</v>
      </c>
      <c r="N409" s="1" t="s">
        <v>2655</v>
      </c>
      <c r="O409" t="s">
        <v>2514</v>
      </c>
      <c r="P409" t="str">
        <f t="shared" si="6"/>
        <v>update zamestnanci set os_cislo='409', rfid='0001931023',cilova='DSC',nastup='146' where os_cislo='409';</v>
      </c>
    </row>
    <row r="410" spans="1:16" x14ac:dyDescent="0.25">
      <c r="A410">
        <v>544</v>
      </c>
      <c r="B410" t="s">
        <v>1990</v>
      </c>
      <c r="C410" s="4">
        <v>410</v>
      </c>
      <c r="D410" t="s">
        <v>1991</v>
      </c>
      <c r="E410" t="s">
        <v>1992</v>
      </c>
      <c r="F410" t="s">
        <v>1993</v>
      </c>
      <c r="G410">
        <f>IF(N410&lt;&gt;"",VLOOKUP(N410,zastavky!E:F,2,FALSE),"")</f>
        <v>100</v>
      </c>
      <c r="H410" t="s">
        <v>1994</v>
      </c>
      <c r="I410" t="s">
        <v>1995</v>
      </c>
      <c r="J410">
        <v>6</v>
      </c>
      <c r="K410" t="s">
        <v>18</v>
      </c>
      <c r="M410">
        <v>1</v>
      </c>
      <c r="N410" s="1" t="s">
        <v>2581</v>
      </c>
      <c r="O410" t="s">
        <v>2514</v>
      </c>
      <c r="P410" t="str">
        <f t="shared" si="6"/>
        <v>update zamestnanci set os_cislo='410', rfid='0008736436',cilova='DSC',nastup='100' where os_cislo='410';</v>
      </c>
    </row>
    <row r="411" spans="1:16" x14ac:dyDescent="0.25">
      <c r="A411">
        <v>545</v>
      </c>
      <c r="B411" t="s">
        <v>1996</v>
      </c>
      <c r="C411" s="4">
        <v>411</v>
      </c>
      <c r="D411" t="s">
        <v>1997</v>
      </c>
      <c r="E411" t="s">
        <v>1998</v>
      </c>
      <c r="F411" t="s">
        <v>1999</v>
      </c>
      <c r="G411">
        <f>IF(N411&lt;&gt;"",VLOOKUP(N411,zastavky!E:F,2,FALSE),"")</f>
        <v>100</v>
      </c>
      <c r="H411" t="s">
        <v>2000</v>
      </c>
      <c r="I411" t="s">
        <v>2001</v>
      </c>
      <c r="J411">
        <v>6</v>
      </c>
      <c r="K411" t="s">
        <v>18</v>
      </c>
      <c r="M411">
        <v>1</v>
      </c>
      <c r="N411" s="1" t="s">
        <v>2581</v>
      </c>
      <c r="O411" t="s">
        <v>2514</v>
      </c>
      <c r="P411" t="str">
        <f t="shared" si="6"/>
        <v>update zamestnanci set os_cislo='411', rfid='0002013831',cilova='DSC',nastup='100' where os_cislo='411';</v>
      </c>
    </row>
    <row r="412" spans="1:16" x14ac:dyDescent="0.25">
      <c r="A412">
        <v>546</v>
      </c>
      <c r="B412" t="s">
        <v>2002</v>
      </c>
      <c r="C412" s="4">
        <v>412</v>
      </c>
      <c r="D412" t="s">
        <v>2003</v>
      </c>
      <c r="E412" t="s">
        <v>2004</v>
      </c>
      <c r="F412" t="s">
        <v>2005</v>
      </c>
      <c r="G412">
        <f>IF(N412&lt;&gt;"",VLOOKUP(N412,zastavky!E:F,2,FALSE),"")</f>
        <v>100</v>
      </c>
      <c r="H412" t="s">
        <v>2006</v>
      </c>
      <c r="I412" t="s">
        <v>2007</v>
      </c>
      <c r="J412">
        <v>6</v>
      </c>
      <c r="K412" t="s">
        <v>18</v>
      </c>
      <c r="M412">
        <v>1</v>
      </c>
      <c r="N412" s="1" t="s">
        <v>2581</v>
      </c>
      <c r="O412" t="s">
        <v>2514</v>
      </c>
      <c r="P412" t="str">
        <f t="shared" si="6"/>
        <v>update zamestnanci set os_cislo='412', rfid='0001343515',cilova='DSC',nastup='100' where os_cislo='412';</v>
      </c>
    </row>
    <row r="413" spans="1:16" x14ac:dyDescent="0.25">
      <c r="A413">
        <v>547</v>
      </c>
      <c r="B413" t="s">
        <v>2008</v>
      </c>
      <c r="C413" s="4">
        <v>413</v>
      </c>
      <c r="D413" t="s">
        <v>2009</v>
      </c>
      <c r="E413" t="s">
        <v>2010</v>
      </c>
      <c r="F413" t="s">
        <v>2011</v>
      </c>
      <c r="G413">
        <f>IF(N413&lt;&gt;"",VLOOKUP(N413,zastavky!E:F,2,FALSE),"")</f>
        <v>100</v>
      </c>
      <c r="H413" t="s">
        <v>2012</v>
      </c>
      <c r="I413" t="s">
        <v>2013</v>
      </c>
      <c r="J413">
        <v>6</v>
      </c>
      <c r="K413" t="s">
        <v>18</v>
      </c>
      <c r="M413">
        <v>1</v>
      </c>
      <c r="N413" s="1" t="s">
        <v>2581</v>
      </c>
      <c r="O413" t="s">
        <v>2514</v>
      </c>
      <c r="P413" t="str">
        <f t="shared" si="6"/>
        <v>update zamestnanci set os_cislo='413', rfid='0001255808',cilova='DSC',nastup='100' where os_cislo='413';</v>
      </c>
    </row>
    <row r="414" spans="1:16" x14ac:dyDescent="0.25">
      <c r="A414">
        <v>548</v>
      </c>
      <c r="B414" t="s">
        <v>2014</v>
      </c>
      <c r="C414" s="4">
        <v>414</v>
      </c>
      <c r="D414" t="s">
        <v>2015</v>
      </c>
      <c r="E414" t="s">
        <v>1084</v>
      </c>
      <c r="F414" t="s">
        <v>2016</v>
      </c>
      <c r="G414">
        <f>IF(N414&lt;&gt;"",VLOOKUP(N414,zastavky!E:F,2,FALSE),"")</f>
        <v>100</v>
      </c>
      <c r="H414" t="s">
        <v>2017</v>
      </c>
      <c r="I414" t="s">
        <v>2018</v>
      </c>
      <c r="J414">
        <v>6</v>
      </c>
      <c r="K414" t="s">
        <v>18</v>
      </c>
      <c r="M414">
        <v>1</v>
      </c>
      <c r="N414" s="1" t="s">
        <v>2581</v>
      </c>
      <c r="O414" t="s">
        <v>2514</v>
      </c>
      <c r="P414" t="str">
        <f t="shared" si="6"/>
        <v>update zamestnanci set os_cislo='414', rfid='0003785106',cilova='DSC',nastup='100' where os_cislo='414';</v>
      </c>
    </row>
    <row r="415" spans="1:16" x14ac:dyDescent="0.25">
      <c r="A415">
        <v>549</v>
      </c>
      <c r="B415" t="s">
        <v>2019</v>
      </c>
      <c r="C415" s="4">
        <v>415</v>
      </c>
      <c r="D415" t="s">
        <v>2020</v>
      </c>
      <c r="E415" t="s">
        <v>2021</v>
      </c>
      <c r="F415" t="s">
        <v>2022</v>
      </c>
      <c r="G415">
        <f>IF(N415&lt;&gt;"",VLOOKUP(N415,zastavky!E:F,2,FALSE),"")</f>
        <v>60</v>
      </c>
      <c r="H415" t="s">
        <v>2023</v>
      </c>
      <c r="I415" t="s">
        <v>2024</v>
      </c>
      <c r="J415">
        <v>6</v>
      </c>
      <c r="K415" t="s">
        <v>18</v>
      </c>
      <c r="M415">
        <v>1</v>
      </c>
      <c r="N415" s="1" t="s">
        <v>2642</v>
      </c>
      <c r="O415" t="s">
        <v>2514</v>
      </c>
      <c r="P415" t="str">
        <f t="shared" si="6"/>
        <v>update zamestnanci set os_cislo='415', rfid='0004468410',cilova='DSC',nastup='60' where os_cislo='415';</v>
      </c>
    </row>
    <row r="416" spans="1:16" x14ac:dyDescent="0.25">
      <c r="A416">
        <v>550</v>
      </c>
      <c r="B416" t="s">
        <v>2025</v>
      </c>
      <c r="C416" s="4">
        <v>416</v>
      </c>
      <c r="D416" t="s">
        <v>2026</v>
      </c>
      <c r="E416" t="s">
        <v>2027</v>
      </c>
      <c r="F416" t="s">
        <v>2028</v>
      </c>
      <c r="G416">
        <f>IF(N416&lt;&gt;"",VLOOKUP(N416,zastavky!E:F,2,FALSE),"")</f>
        <v>100</v>
      </c>
      <c r="H416" t="s">
        <v>2029</v>
      </c>
      <c r="I416" t="s">
        <v>2030</v>
      </c>
      <c r="J416">
        <v>6</v>
      </c>
      <c r="K416" t="s">
        <v>18</v>
      </c>
      <c r="M416">
        <v>1</v>
      </c>
      <c r="N416" s="1" t="s">
        <v>2581</v>
      </c>
      <c r="O416" t="s">
        <v>2514</v>
      </c>
      <c r="P416" t="str">
        <f t="shared" si="6"/>
        <v>update zamestnanci set os_cislo='416', rfid='0004058686',cilova='DSC',nastup='100' where os_cislo='416';</v>
      </c>
    </row>
    <row r="417" spans="1:16" x14ac:dyDescent="0.25">
      <c r="A417">
        <v>551</v>
      </c>
      <c r="B417" t="s">
        <v>2031</v>
      </c>
      <c r="C417" s="4">
        <v>417</v>
      </c>
      <c r="D417" t="s">
        <v>2032</v>
      </c>
      <c r="E417" t="s">
        <v>2033</v>
      </c>
      <c r="F417" t="s">
        <v>2034</v>
      </c>
      <c r="G417">
        <f>IF(N417&lt;&gt;"",VLOOKUP(N417,zastavky!E:F,2,FALSE),"")</f>
        <v>146</v>
      </c>
      <c r="H417" t="s">
        <v>2035</v>
      </c>
      <c r="I417" t="s">
        <v>2036</v>
      </c>
      <c r="J417">
        <v>6</v>
      </c>
      <c r="K417" t="s">
        <v>18</v>
      </c>
      <c r="M417">
        <v>1</v>
      </c>
      <c r="N417" s="1" t="s">
        <v>2655</v>
      </c>
      <c r="O417" t="s">
        <v>2514</v>
      </c>
      <c r="P417" t="str">
        <f t="shared" si="6"/>
        <v>update zamestnanci set os_cislo='417', rfid='0001259068',cilova='DSC',nastup='146' where os_cislo='417';</v>
      </c>
    </row>
    <row r="418" spans="1:16" x14ac:dyDescent="0.25">
      <c r="A418">
        <v>552</v>
      </c>
      <c r="B418" t="s">
        <v>2037</v>
      </c>
      <c r="C418" s="4">
        <v>418</v>
      </c>
      <c r="D418" t="s">
        <v>2038</v>
      </c>
      <c r="E418" t="s">
        <v>2039</v>
      </c>
      <c r="F418" t="s">
        <v>2040</v>
      </c>
      <c r="G418">
        <f>IF(N418&lt;&gt;"",VLOOKUP(N418,zastavky!E:F,2,FALSE),"")</f>
        <v>100</v>
      </c>
      <c r="H418" t="s">
        <v>2041</v>
      </c>
      <c r="I418" t="s">
        <v>2042</v>
      </c>
      <c r="J418">
        <v>6</v>
      </c>
      <c r="K418" t="s">
        <v>18</v>
      </c>
      <c r="M418">
        <v>1</v>
      </c>
      <c r="N418" s="1" t="s">
        <v>2581</v>
      </c>
      <c r="O418" t="s">
        <v>2514</v>
      </c>
      <c r="P418" t="str">
        <f t="shared" si="6"/>
        <v>update zamestnanci set os_cislo='418', rfid='0001985625',cilova='DSC',nastup='100' where os_cislo='418';</v>
      </c>
    </row>
    <row r="419" spans="1:16" x14ac:dyDescent="0.25">
      <c r="A419">
        <v>553</v>
      </c>
      <c r="B419" t="s">
        <v>2043</v>
      </c>
      <c r="C419" s="4">
        <v>419</v>
      </c>
      <c r="D419" t="s">
        <v>2044</v>
      </c>
      <c r="E419" t="s">
        <v>1901</v>
      </c>
      <c r="F419" t="s">
        <v>2045</v>
      </c>
      <c r="G419">
        <f>IF(N419&lt;&gt;"",VLOOKUP(N419,zastavky!E:F,2,FALSE),"")</f>
        <v>60</v>
      </c>
      <c r="H419" t="s">
        <v>2046</v>
      </c>
      <c r="I419" t="s">
        <v>2047</v>
      </c>
      <c r="J419">
        <v>6</v>
      </c>
      <c r="K419" t="s">
        <v>18</v>
      </c>
      <c r="M419">
        <v>1</v>
      </c>
      <c r="N419" s="1" t="s">
        <v>2642</v>
      </c>
      <c r="O419" t="s">
        <v>2514</v>
      </c>
      <c r="P419" t="str">
        <f t="shared" si="6"/>
        <v>update zamestnanci set os_cislo='419', rfid='0001275384',cilova='DSC',nastup='60' where os_cislo='419';</v>
      </c>
    </row>
    <row r="420" spans="1:16" x14ac:dyDescent="0.25">
      <c r="A420">
        <v>554</v>
      </c>
      <c r="B420" t="s">
        <v>2048</v>
      </c>
      <c r="C420" s="4">
        <v>420</v>
      </c>
      <c r="D420" t="s">
        <v>2049</v>
      </c>
      <c r="E420" t="s">
        <v>2050</v>
      </c>
      <c r="F420" t="s">
        <v>2051</v>
      </c>
      <c r="G420" t="str">
        <f>IF(N420&lt;&gt;"",VLOOKUP(N420,zastavky!E:F,2,FALSE),"")</f>
        <v/>
      </c>
      <c r="H420" t="s">
        <v>2052</v>
      </c>
      <c r="I420" t="s">
        <v>2053</v>
      </c>
      <c r="J420">
        <v>6</v>
      </c>
      <c r="K420" t="s">
        <v>18</v>
      </c>
      <c r="M420">
        <v>1</v>
      </c>
      <c r="N420" s="3"/>
      <c r="O420" t="s">
        <v>2514</v>
      </c>
      <c r="P420" t="str">
        <f t="shared" si="6"/>
        <v>update zamestnanci set os_cislo='420', rfid='0352188709496',cilova='DSC',nastup='' where os_cislo='420';</v>
      </c>
    </row>
    <row r="421" spans="1:16" x14ac:dyDescent="0.25">
      <c r="A421">
        <v>555</v>
      </c>
      <c r="B421" t="s">
        <v>2054</v>
      </c>
      <c r="C421" s="4">
        <v>421</v>
      </c>
      <c r="D421" t="s">
        <v>2055</v>
      </c>
      <c r="E421" t="s">
        <v>2056</v>
      </c>
      <c r="F421" t="s">
        <v>2057</v>
      </c>
      <c r="G421">
        <f>IF(N421&lt;&gt;"",VLOOKUP(N421,zastavky!E:F,2,FALSE),"")</f>
        <v>147</v>
      </c>
      <c r="H421" t="s">
        <v>2058</v>
      </c>
      <c r="I421" t="s">
        <v>2059</v>
      </c>
      <c r="J421">
        <v>6</v>
      </c>
      <c r="K421" t="s">
        <v>18</v>
      </c>
      <c r="M421">
        <v>1</v>
      </c>
      <c r="N421" s="1" t="s">
        <v>2656</v>
      </c>
      <c r="O421" t="s">
        <v>2514</v>
      </c>
      <c r="P421" t="str">
        <f t="shared" si="6"/>
        <v>update zamestnanci set os_cislo='421', rfid='0004741996',cilova='DSC',nastup='147' where os_cislo='421';</v>
      </c>
    </row>
    <row r="422" spans="1:16" x14ac:dyDescent="0.25">
      <c r="A422">
        <v>556</v>
      </c>
      <c r="B422" t="s">
        <v>2060</v>
      </c>
      <c r="C422" s="4">
        <v>422</v>
      </c>
      <c r="D422" t="s">
        <v>2061</v>
      </c>
      <c r="E422" t="s">
        <v>2062</v>
      </c>
      <c r="F422" t="s">
        <v>2063</v>
      </c>
      <c r="G422">
        <f>IF(N422&lt;&gt;"",VLOOKUP(N422,zastavky!E:F,2,FALSE),"")</f>
        <v>152</v>
      </c>
      <c r="H422" t="s">
        <v>2064</v>
      </c>
      <c r="I422" t="s">
        <v>2065</v>
      </c>
      <c r="J422">
        <v>6</v>
      </c>
      <c r="K422" t="s">
        <v>18</v>
      </c>
      <c r="M422">
        <v>1</v>
      </c>
      <c r="N422" s="1" t="s">
        <v>2650</v>
      </c>
      <c r="O422" t="s">
        <v>2514</v>
      </c>
      <c r="P422" t="str">
        <f t="shared" si="6"/>
        <v>update zamestnanci set os_cislo='422', rfid='0001374770',cilova='DSC',nastup='152' where os_cislo='422';</v>
      </c>
    </row>
    <row r="423" spans="1:16" x14ac:dyDescent="0.25">
      <c r="A423">
        <v>557</v>
      </c>
      <c r="B423" t="s">
        <v>2066</v>
      </c>
      <c r="C423" s="4">
        <v>423</v>
      </c>
      <c r="D423" t="s">
        <v>2061</v>
      </c>
      <c r="E423" t="s">
        <v>2067</v>
      </c>
      <c r="F423" t="s">
        <v>2068</v>
      </c>
      <c r="G423" t="str">
        <f>IF(N423&lt;&gt;"",VLOOKUP(N423,zastavky!E:F,2,FALSE),"")</f>
        <v/>
      </c>
      <c r="H423" t="s">
        <v>2069</v>
      </c>
      <c r="I423" t="s">
        <v>2070</v>
      </c>
      <c r="J423">
        <v>6</v>
      </c>
      <c r="K423" t="s">
        <v>18</v>
      </c>
      <c r="M423">
        <v>1</v>
      </c>
      <c r="N423" s="3"/>
      <c r="O423" t="s">
        <v>2514</v>
      </c>
      <c r="P423" t="str">
        <f t="shared" si="6"/>
        <v>update zamestnanci set os_cislo='423', rfid='0001863534',cilova='DSC',nastup='' where os_cislo='423';</v>
      </c>
    </row>
    <row r="424" spans="1:16" x14ac:dyDescent="0.25">
      <c r="A424">
        <v>558</v>
      </c>
      <c r="B424" t="s">
        <v>2071</v>
      </c>
      <c r="C424" s="4">
        <v>424</v>
      </c>
      <c r="D424" t="s">
        <v>2072</v>
      </c>
      <c r="E424" t="s">
        <v>2073</v>
      </c>
      <c r="F424" t="s">
        <v>2074</v>
      </c>
      <c r="G424">
        <f>IF(N424&lt;&gt;"",VLOOKUP(N424,zastavky!E:F,2,FALSE),"")</f>
        <v>100</v>
      </c>
      <c r="H424" t="s">
        <v>2075</v>
      </c>
      <c r="I424" t="s">
        <v>2076</v>
      </c>
      <c r="J424">
        <v>6</v>
      </c>
      <c r="K424" t="s">
        <v>18</v>
      </c>
      <c r="M424">
        <v>1</v>
      </c>
      <c r="N424" s="1" t="s">
        <v>2581</v>
      </c>
      <c r="O424" t="s">
        <v>2514</v>
      </c>
      <c r="P424" t="str">
        <f t="shared" si="6"/>
        <v>update zamestnanci set os_cislo='424', rfid='0001317903',cilova='DSC',nastup='100' where os_cislo='424';</v>
      </c>
    </row>
    <row r="425" spans="1:16" x14ac:dyDescent="0.25">
      <c r="A425">
        <v>559</v>
      </c>
      <c r="B425" t="s">
        <v>2077</v>
      </c>
      <c r="C425" s="4">
        <v>425</v>
      </c>
      <c r="D425" t="s">
        <v>2078</v>
      </c>
      <c r="E425" t="s">
        <v>2079</v>
      </c>
      <c r="F425" t="s">
        <v>2080</v>
      </c>
      <c r="G425">
        <f>IF(N425&lt;&gt;"",VLOOKUP(N425,zastavky!E:F,2,FALSE),"")</f>
        <v>100</v>
      </c>
      <c r="H425" t="s">
        <v>2081</v>
      </c>
      <c r="I425" t="s">
        <v>2082</v>
      </c>
      <c r="J425">
        <v>6</v>
      </c>
      <c r="K425" t="s">
        <v>18</v>
      </c>
      <c r="M425">
        <v>1</v>
      </c>
      <c r="N425" s="1" t="s">
        <v>2581</v>
      </c>
      <c r="O425" t="s">
        <v>2514</v>
      </c>
      <c r="P425" t="str">
        <f t="shared" si="6"/>
        <v>update zamestnanci set os_cislo='425', rfid='0003351251',cilova='DSC',nastup='100' where os_cislo='425';</v>
      </c>
    </row>
    <row r="426" spans="1:16" x14ac:dyDescent="0.25">
      <c r="A426">
        <v>560</v>
      </c>
      <c r="B426" t="s">
        <v>2083</v>
      </c>
      <c r="C426" s="4">
        <v>426</v>
      </c>
      <c r="D426" t="s">
        <v>2084</v>
      </c>
      <c r="E426" t="s">
        <v>2085</v>
      </c>
      <c r="F426" t="s">
        <v>2086</v>
      </c>
      <c r="G426">
        <f>IF(N426&lt;&gt;"",VLOOKUP(N426,zastavky!E:F,2,FALSE),"")</f>
        <v>100</v>
      </c>
      <c r="H426" t="s">
        <v>2087</v>
      </c>
      <c r="I426" t="s">
        <v>2088</v>
      </c>
      <c r="J426">
        <v>6</v>
      </c>
      <c r="K426" t="s">
        <v>18</v>
      </c>
      <c r="M426">
        <v>1</v>
      </c>
      <c r="N426" s="1" t="s">
        <v>2581</v>
      </c>
      <c r="O426" t="s">
        <v>2514</v>
      </c>
      <c r="P426" t="str">
        <f t="shared" si="6"/>
        <v>update zamestnanci set os_cislo='426', rfid='0001815065',cilova='DSC',nastup='100' where os_cislo='426';</v>
      </c>
    </row>
    <row r="427" spans="1:16" x14ac:dyDescent="0.25">
      <c r="A427">
        <v>561</v>
      </c>
      <c r="B427" t="s">
        <v>2089</v>
      </c>
      <c r="C427" s="4">
        <v>427</v>
      </c>
      <c r="D427" t="s">
        <v>2090</v>
      </c>
      <c r="E427" t="s">
        <v>2091</v>
      </c>
      <c r="F427" t="s">
        <v>2092</v>
      </c>
      <c r="G427">
        <f>IF(N427&lt;&gt;"",VLOOKUP(N427,zastavky!E:F,2,FALSE),"")</f>
        <v>152</v>
      </c>
      <c r="H427" t="s">
        <v>2093</v>
      </c>
      <c r="I427" t="s">
        <v>2094</v>
      </c>
      <c r="J427">
        <v>6</v>
      </c>
      <c r="K427" t="s">
        <v>18</v>
      </c>
      <c r="M427">
        <v>1</v>
      </c>
      <c r="N427" s="1" t="s">
        <v>2650</v>
      </c>
      <c r="O427" t="s">
        <v>2514</v>
      </c>
      <c r="P427" t="str">
        <f t="shared" si="6"/>
        <v>update zamestnanci set os_cislo='427', rfid='0001932034',cilova='DSC',nastup='152' where os_cislo='427';</v>
      </c>
    </row>
    <row r="428" spans="1:16" x14ac:dyDescent="0.25">
      <c r="A428">
        <v>562</v>
      </c>
      <c r="B428" t="s">
        <v>2095</v>
      </c>
      <c r="C428" s="4">
        <v>428</v>
      </c>
      <c r="D428" t="s">
        <v>2096</v>
      </c>
      <c r="E428" t="s">
        <v>2097</v>
      </c>
      <c r="F428" t="s">
        <v>2098</v>
      </c>
      <c r="G428">
        <f>IF(N428&lt;&gt;"",VLOOKUP(N428,zastavky!E:F,2,FALSE),"")</f>
        <v>100</v>
      </c>
      <c r="H428" t="s">
        <v>2099</v>
      </c>
      <c r="I428" t="s">
        <v>2100</v>
      </c>
      <c r="J428">
        <v>6</v>
      </c>
      <c r="K428" t="s">
        <v>18</v>
      </c>
      <c r="M428">
        <v>1</v>
      </c>
      <c r="N428" s="1" t="s">
        <v>2581</v>
      </c>
      <c r="O428" t="s">
        <v>2514</v>
      </c>
      <c r="P428" t="str">
        <f t="shared" si="6"/>
        <v>update zamestnanci set os_cislo='428', rfid='0004833110',cilova='DSC',nastup='100' where os_cislo='428';</v>
      </c>
    </row>
    <row r="429" spans="1:16" x14ac:dyDescent="0.25">
      <c r="A429">
        <v>563</v>
      </c>
      <c r="B429" t="s">
        <v>2101</v>
      </c>
      <c r="C429" s="4">
        <v>429</v>
      </c>
      <c r="D429" t="s">
        <v>2102</v>
      </c>
      <c r="E429" t="s">
        <v>2103</v>
      </c>
      <c r="F429" t="s">
        <v>2104</v>
      </c>
      <c r="G429">
        <f>IF(N429&lt;&gt;"",VLOOKUP(N429,zastavky!E:F,2,FALSE),"")</f>
        <v>100</v>
      </c>
      <c r="H429" t="s">
        <v>2105</v>
      </c>
      <c r="I429" t="s">
        <v>2106</v>
      </c>
      <c r="J429">
        <v>6</v>
      </c>
      <c r="K429" t="s">
        <v>18</v>
      </c>
      <c r="M429">
        <v>1</v>
      </c>
      <c r="N429" s="1" t="s">
        <v>2581</v>
      </c>
      <c r="O429" t="s">
        <v>2514</v>
      </c>
      <c r="P429" t="str">
        <f t="shared" si="6"/>
        <v>update zamestnanci set os_cislo='429', rfid='0001284272',cilova='DSC',nastup='100' where os_cislo='429';</v>
      </c>
    </row>
    <row r="430" spans="1:16" x14ac:dyDescent="0.25">
      <c r="A430">
        <v>564</v>
      </c>
      <c r="B430" t="s">
        <v>2107</v>
      </c>
      <c r="C430" s="4">
        <v>430</v>
      </c>
      <c r="D430" t="s">
        <v>2108</v>
      </c>
      <c r="E430" t="s">
        <v>2109</v>
      </c>
      <c r="F430" t="s">
        <v>2110</v>
      </c>
      <c r="G430" t="str">
        <f>IF(N430&lt;&gt;"",VLOOKUP(N430,zastavky!E:F,2,FALSE),"")</f>
        <v/>
      </c>
      <c r="H430" t="s">
        <v>2111</v>
      </c>
      <c r="I430" t="s">
        <v>2112</v>
      </c>
      <c r="J430">
        <v>6</v>
      </c>
      <c r="K430" t="s">
        <v>18</v>
      </c>
      <c r="M430">
        <v>1</v>
      </c>
      <c r="N430" s="3"/>
      <c r="O430" t="s">
        <v>2514</v>
      </c>
      <c r="P430" t="str">
        <f t="shared" si="6"/>
        <v>update zamestnanci set os_cislo='430', rfid='0002010931',cilova='DSC',nastup='' where os_cislo='430';</v>
      </c>
    </row>
    <row r="431" spans="1:16" x14ac:dyDescent="0.25">
      <c r="A431">
        <v>565</v>
      </c>
      <c r="B431" t="s">
        <v>2113</v>
      </c>
      <c r="C431" s="4">
        <v>431</v>
      </c>
      <c r="D431" t="s">
        <v>2114</v>
      </c>
      <c r="E431" t="s">
        <v>2115</v>
      </c>
      <c r="F431" t="s">
        <v>2116</v>
      </c>
      <c r="G431">
        <f>IF(N431&lt;&gt;"",VLOOKUP(N431,zastavky!E:F,2,FALSE),"")</f>
        <v>160</v>
      </c>
      <c r="H431" t="s">
        <v>2117</v>
      </c>
      <c r="I431" t="s">
        <v>2118</v>
      </c>
      <c r="J431">
        <v>6</v>
      </c>
      <c r="K431" t="s">
        <v>18</v>
      </c>
      <c r="M431">
        <v>1</v>
      </c>
      <c r="N431" s="1" t="s">
        <v>2654</v>
      </c>
      <c r="O431" t="s">
        <v>2514</v>
      </c>
      <c r="P431" t="str">
        <f t="shared" si="6"/>
        <v>update zamestnanci set os_cislo='431', rfid='0009057133',cilova='DSC',nastup='160' where os_cislo='431';</v>
      </c>
    </row>
    <row r="432" spans="1:16" x14ac:dyDescent="0.25">
      <c r="A432">
        <v>566</v>
      </c>
      <c r="B432" t="s">
        <v>2119</v>
      </c>
      <c r="C432" s="4">
        <v>432</v>
      </c>
      <c r="D432" t="s">
        <v>2120</v>
      </c>
      <c r="E432" t="s">
        <v>2121</v>
      </c>
      <c r="F432" t="s">
        <v>2122</v>
      </c>
      <c r="G432">
        <f>IF(N432&lt;&gt;"",VLOOKUP(N432,zastavky!E:F,2,FALSE),"")</f>
        <v>158</v>
      </c>
      <c r="H432" t="s">
        <v>2123</v>
      </c>
      <c r="I432" t="s">
        <v>2124</v>
      </c>
      <c r="J432">
        <v>6</v>
      </c>
      <c r="K432" t="s">
        <v>18</v>
      </c>
      <c r="M432">
        <v>1</v>
      </c>
      <c r="N432" s="1" t="s">
        <v>2646</v>
      </c>
      <c r="O432" t="s">
        <v>2514</v>
      </c>
      <c r="P432" t="str">
        <f t="shared" si="6"/>
        <v>update zamestnanci set os_cislo='432', rfid='0009572218',cilova='DSC',nastup='158' where os_cislo='432';</v>
      </c>
    </row>
    <row r="433" spans="1:16" x14ac:dyDescent="0.25">
      <c r="A433">
        <v>567</v>
      </c>
      <c r="B433" t="s">
        <v>2125</v>
      </c>
      <c r="C433" s="4">
        <v>433</v>
      </c>
      <c r="D433" t="s">
        <v>2126</v>
      </c>
      <c r="E433" t="s">
        <v>587</v>
      </c>
      <c r="F433" t="s">
        <v>2127</v>
      </c>
      <c r="G433">
        <f>IF(N433&lt;&gt;"",VLOOKUP(N433,zastavky!E:F,2,FALSE),"")</f>
        <v>100</v>
      </c>
      <c r="H433" t="s">
        <v>2128</v>
      </c>
      <c r="I433" t="s">
        <v>2129</v>
      </c>
      <c r="J433">
        <v>6</v>
      </c>
      <c r="K433" t="s">
        <v>18</v>
      </c>
      <c r="M433">
        <v>1</v>
      </c>
      <c r="N433" s="1" t="s">
        <v>2581</v>
      </c>
      <c r="O433" t="s">
        <v>2514</v>
      </c>
      <c r="P433" t="str">
        <f t="shared" si="6"/>
        <v>update zamestnanci set os_cislo='433', rfid='0001932033',cilova='DSC',nastup='100' where os_cislo='433';</v>
      </c>
    </row>
    <row r="434" spans="1:16" x14ac:dyDescent="0.25">
      <c r="A434">
        <v>568</v>
      </c>
      <c r="B434" t="s">
        <v>2130</v>
      </c>
      <c r="C434" s="4">
        <v>434</v>
      </c>
      <c r="D434" t="s">
        <v>2131</v>
      </c>
      <c r="E434" t="s">
        <v>2132</v>
      </c>
      <c r="F434" t="s">
        <v>2133</v>
      </c>
      <c r="G434">
        <f>IF(N434&lt;&gt;"",VLOOKUP(N434,zastavky!E:F,2,FALSE),"")</f>
        <v>155</v>
      </c>
      <c r="H434" t="s">
        <v>2134</v>
      </c>
      <c r="I434" t="s">
        <v>2135</v>
      </c>
      <c r="J434">
        <v>6</v>
      </c>
      <c r="K434" t="s">
        <v>18</v>
      </c>
      <c r="M434">
        <v>1</v>
      </c>
      <c r="N434" s="1" t="s">
        <v>2640</v>
      </c>
      <c r="O434" t="s">
        <v>2514</v>
      </c>
      <c r="P434" t="str">
        <f t="shared" si="6"/>
        <v>update zamestnanci set os_cislo='434', rfid='0004193673',cilova='DSC',nastup='155' where os_cislo='434';</v>
      </c>
    </row>
  </sheetData>
  <sortState xmlns:xlrd2="http://schemas.microsoft.com/office/spreadsheetml/2017/richdata2" ref="A2:N434">
    <sortCondition ref="J1:J434"/>
  </sortState>
  <phoneticPr fontId="18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zastavky!$E$2:$E$171</xm:f>
          </x14:formula1>
          <xm:sqref>N2:N140 N179:N218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zastavky</vt:lpstr>
      <vt:lpstr>zamestnanci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Aleš Kadlec</cp:lastModifiedBy>
  <dcterms:created xsi:type="dcterms:W3CDTF">2023-10-17T09:52:54Z</dcterms:created>
  <dcterms:modified xsi:type="dcterms:W3CDTF">2023-10-23T12:48:20Z</dcterms:modified>
</cp:coreProperties>
</file>