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5.4\intranet\recra\data\"/>
    </mc:Choice>
  </mc:AlternateContent>
  <xr:revisionPtr revIDLastSave="0" documentId="13_ncr:1_{76F26CED-DBE9-4DE3-95CA-6D90E384E62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ersonal_" sheetId="1" r:id="rId1"/>
  </sheets>
  <definedNames>
    <definedName name="_xlnm.Database">personal_!$B$1:$I$32</definedName>
  </definedNames>
  <calcPr calcId="191029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</calcChain>
</file>

<file path=xl/sharedStrings.xml><?xml version="1.0" encoding="utf-8"?>
<sst xmlns="http://schemas.openxmlformats.org/spreadsheetml/2006/main" count="257" uniqueCount="227">
  <si>
    <t>Rybnik</t>
  </si>
  <si>
    <t>Bach</t>
  </si>
  <si>
    <t>Michalina Wiktoria</t>
  </si>
  <si>
    <t>+48 664 128 463</t>
  </si>
  <si>
    <t>Zgodna</t>
  </si>
  <si>
    <t>7</t>
  </si>
  <si>
    <t>Pniowek</t>
  </si>
  <si>
    <t>43-251</t>
  </si>
  <si>
    <t>+48 503 120 538</t>
  </si>
  <si>
    <t>Gleboka</t>
  </si>
  <si>
    <t>17/3</t>
  </si>
  <si>
    <t>Cieszyn</t>
  </si>
  <si>
    <t>43-400</t>
  </si>
  <si>
    <t>Belica</t>
  </si>
  <si>
    <t>Bartosz Piotr</t>
  </si>
  <si>
    <t>+48 721 505 226</t>
  </si>
  <si>
    <t>Wroclawska</t>
  </si>
  <si>
    <t>35/4</t>
  </si>
  <si>
    <t>Jastrzebie Zdroj</t>
  </si>
  <si>
    <t>44-335</t>
  </si>
  <si>
    <t>Brachman</t>
  </si>
  <si>
    <t>Piotr Leszek</t>
  </si>
  <si>
    <t>+48 516 350 901</t>
  </si>
  <si>
    <t>Bojownikow</t>
  </si>
  <si>
    <t>128</t>
  </si>
  <si>
    <t>Wodzislaw Slaski</t>
  </si>
  <si>
    <t>44-313</t>
  </si>
  <si>
    <t>Sportowa</t>
  </si>
  <si>
    <t>136</t>
  </si>
  <si>
    <t>44-273</t>
  </si>
  <si>
    <t>Bujak</t>
  </si>
  <si>
    <t>Beniamin Salamon</t>
  </si>
  <si>
    <t>+48 534 066 058</t>
  </si>
  <si>
    <t>Blogocka</t>
  </si>
  <si>
    <t>30c/8</t>
  </si>
  <si>
    <t>Dalemula</t>
  </si>
  <si>
    <t>Radoslaw Jakub</t>
  </si>
  <si>
    <t>+48 721 009447</t>
  </si>
  <si>
    <t>Adama Mickiewicza</t>
  </si>
  <si>
    <t>6 m.4</t>
  </si>
  <si>
    <t>Rydultowy</t>
  </si>
  <si>
    <t>44-280</t>
  </si>
  <si>
    <t>Deren</t>
  </si>
  <si>
    <t>Przemyslaw Marcin</t>
  </si>
  <si>
    <t>+48 698 346 757</t>
  </si>
  <si>
    <t>Malopolska</t>
  </si>
  <si>
    <t>75/1</t>
  </si>
  <si>
    <t>Kaminski</t>
  </si>
  <si>
    <t>Seweryn Jan</t>
  </si>
  <si>
    <t>+48 507 781 005</t>
  </si>
  <si>
    <t>Aleja Armii Krajowej</t>
  </si>
  <si>
    <t>31A/1</t>
  </si>
  <si>
    <t>Zory</t>
  </si>
  <si>
    <t>44-240</t>
  </si>
  <si>
    <t>Klepczarek</t>
  </si>
  <si>
    <t>Michal Pawel</t>
  </si>
  <si>
    <t>+48 538 154 450</t>
  </si>
  <si>
    <t>Solskiego</t>
  </si>
  <si>
    <t>37B</t>
  </si>
  <si>
    <t>Radlin</t>
  </si>
  <si>
    <t>44-310</t>
  </si>
  <si>
    <t>Koscianska</t>
  </si>
  <si>
    <t>Katarzyna Barbara</t>
  </si>
  <si>
    <t>+48 784 402 775</t>
  </si>
  <si>
    <t>Gornicza</t>
  </si>
  <si>
    <t>15/3</t>
  </si>
  <si>
    <t>44-300</t>
  </si>
  <si>
    <t>Kowalska</t>
  </si>
  <si>
    <t>Klaudia Maria</t>
  </si>
  <si>
    <t>Lorenc</t>
  </si>
  <si>
    <t>Pawel Jan</t>
  </si>
  <si>
    <t>+48 663 474 887</t>
  </si>
  <si>
    <t>Osiedle Księcia Władysława</t>
  </si>
  <si>
    <t>6B/22</t>
  </si>
  <si>
    <t>44-241</t>
  </si>
  <si>
    <t>Magiera</t>
  </si>
  <si>
    <t>Dorota Maria</t>
  </si>
  <si>
    <t>+48 600 583 590</t>
  </si>
  <si>
    <t>Lipowa</t>
  </si>
  <si>
    <t>11</t>
  </si>
  <si>
    <t>Zamarski</t>
  </si>
  <si>
    <t>43-419</t>
  </si>
  <si>
    <t>Maslowski</t>
  </si>
  <si>
    <t>Dominik Marek</t>
  </si>
  <si>
    <t>+48 724 602 137</t>
  </si>
  <si>
    <t>Osiedle Wojciecha Korfantego</t>
  </si>
  <si>
    <t>6A/23</t>
  </si>
  <si>
    <t>Michon</t>
  </si>
  <si>
    <t>Adam Antoni</t>
  </si>
  <si>
    <t>+48 789 720 605</t>
  </si>
  <si>
    <t>Kusocinskiego</t>
  </si>
  <si>
    <t>37/8</t>
  </si>
  <si>
    <t>Milek</t>
  </si>
  <si>
    <t>Michal Jerzy</t>
  </si>
  <si>
    <t>+48 730 393 595</t>
  </si>
  <si>
    <t>Krzyzkowicka</t>
  </si>
  <si>
    <t>76</t>
  </si>
  <si>
    <t>44280</t>
  </si>
  <si>
    <t>Mochnacz</t>
  </si>
  <si>
    <t>Lukasz Teodor</t>
  </si>
  <si>
    <t>+48 534 996 548</t>
  </si>
  <si>
    <t>Budowlanych</t>
  </si>
  <si>
    <t>45B/24</t>
  </si>
  <si>
    <t>44-217</t>
  </si>
  <si>
    <t>Nagi</t>
  </si>
  <si>
    <t>Daniel Kamil</t>
  </si>
  <si>
    <t>+48 786 100 892</t>
  </si>
  <si>
    <t>19C/4</t>
  </si>
  <si>
    <t>44-206</t>
  </si>
  <si>
    <t>Nalik</t>
  </si>
  <si>
    <t>Dawid Jozef</t>
  </si>
  <si>
    <t>+48 504 764 435</t>
  </si>
  <si>
    <t>Nicinski</t>
  </si>
  <si>
    <t>Dawid Jerzy</t>
  </si>
  <si>
    <t>+48 667 152 330</t>
  </si>
  <si>
    <t>Plebiscytowa</t>
  </si>
  <si>
    <t>36/38</t>
  </si>
  <si>
    <t>Osowski</t>
  </si>
  <si>
    <t>Piotr Kondrad</t>
  </si>
  <si>
    <t>+48 502 022 311</t>
  </si>
  <si>
    <t>Sikorskiego</t>
  </si>
  <si>
    <t>3/15</t>
  </si>
  <si>
    <t>Paczkowska</t>
  </si>
  <si>
    <t>Sylwia Renata</t>
  </si>
  <si>
    <t>+48 780 086 560</t>
  </si>
  <si>
    <t>Gorna</t>
  </si>
  <si>
    <t>30/27</t>
  </si>
  <si>
    <t>Poloczek</t>
  </si>
  <si>
    <t>Jadwiga Barbara</t>
  </si>
  <si>
    <t>+48502399526</t>
  </si>
  <si>
    <t>Gagarina</t>
  </si>
  <si>
    <t>110/34</t>
  </si>
  <si>
    <t>Jastrzebie-Zdroj</t>
  </si>
  <si>
    <t>44268</t>
  </si>
  <si>
    <t>Przewoznik</t>
  </si>
  <si>
    <t>Piotr Andrzej</t>
  </si>
  <si>
    <t>+48 571 252 886</t>
  </si>
  <si>
    <t>Wolnosci</t>
  </si>
  <si>
    <t>4/25</t>
  </si>
  <si>
    <t>Stanisz</t>
  </si>
  <si>
    <t>Pawel Piotr</t>
  </si>
  <si>
    <t>+48 577 657 367</t>
  </si>
  <si>
    <t>Kusocinskiego Janusza</t>
  </si>
  <si>
    <t>37/7</t>
  </si>
  <si>
    <t>Jastrzebie-Zdrój</t>
  </si>
  <si>
    <t>44335</t>
  </si>
  <si>
    <t>Surowiec</t>
  </si>
  <si>
    <t>Dominik Szymon</t>
  </si>
  <si>
    <t>+48 604 727 847</t>
  </si>
  <si>
    <t>Wiejska</t>
  </si>
  <si>
    <t>29c/1</t>
  </si>
  <si>
    <t>44-338</t>
  </si>
  <si>
    <t>Wiktorowicz</t>
  </si>
  <si>
    <t>Daniel Marek</t>
  </si>
  <si>
    <t>+48 607 048 785</t>
  </si>
  <si>
    <t>Os. Powstancow Slaskich</t>
  </si>
  <si>
    <t>7C/23</t>
  </si>
  <si>
    <t>Wilczynski</t>
  </si>
  <si>
    <t>Kamil Adrian</t>
  </si>
  <si>
    <t>+48 667 104 348</t>
  </si>
  <si>
    <t>Ofiar Terroru</t>
  </si>
  <si>
    <t>97/20</t>
  </si>
  <si>
    <t>Wisiorek</t>
  </si>
  <si>
    <t>Lukasz Jakub</t>
  </si>
  <si>
    <t>+48 574 144 290</t>
  </si>
  <si>
    <t>Kwiatowa</t>
  </si>
  <si>
    <t>9</t>
  </si>
  <si>
    <t>Osiek</t>
  </si>
  <si>
    <t>32-608</t>
  </si>
  <si>
    <t>Wójt</t>
  </si>
  <si>
    <t>Sebastian Slawomir</t>
  </si>
  <si>
    <t>+48 518 569 970</t>
  </si>
  <si>
    <t>Alfonsa Zgrzebnioka</t>
  </si>
  <si>
    <t>2B/1</t>
  </si>
  <si>
    <t>44-200</t>
  </si>
  <si>
    <t>Wrona</t>
  </si>
  <si>
    <t>Dawid Sebastian</t>
  </si>
  <si>
    <t>+48 792 303 447</t>
  </si>
  <si>
    <t>Cieszyńska</t>
  </si>
  <si>
    <t>65</t>
  </si>
  <si>
    <t>Bażanowice</t>
  </si>
  <si>
    <t>43-440</t>
  </si>
  <si>
    <t>Zydek</t>
  </si>
  <si>
    <t>Joanna Monika</t>
  </si>
  <si>
    <t>+48 692 317 326</t>
  </si>
  <si>
    <t>Spacerowa</t>
  </si>
  <si>
    <t>104</t>
  </si>
  <si>
    <t>Příjmení</t>
  </si>
  <si>
    <t>Jméno</t>
  </si>
  <si>
    <t>Číslo</t>
  </si>
  <si>
    <t>Telefon</t>
  </si>
  <si>
    <t>Ulice</t>
  </si>
  <si>
    <t>číslo popisné</t>
  </si>
  <si>
    <t>Město</t>
  </si>
  <si>
    <t>PSČ</t>
  </si>
  <si>
    <t>0B00613215</t>
  </si>
  <si>
    <t>0B00611DE7</t>
  </si>
  <si>
    <t>5B0010F740</t>
  </si>
  <si>
    <t>81008ED362</t>
  </si>
  <si>
    <t>5B00C04143</t>
  </si>
  <si>
    <t>760017A4CA</t>
  </si>
  <si>
    <t>4700B501E5</t>
  </si>
  <si>
    <t>0B0061325F</t>
  </si>
  <si>
    <t>81008EE14E</t>
  </si>
  <si>
    <t>78007C15C4</t>
  </si>
  <si>
    <t>5B00C03C1C</t>
  </si>
  <si>
    <t>5B0012F377</t>
  </si>
  <si>
    <t>0B00613225</t>
  </si>
  <si>
    <t>5B00C450BF</t>
  </si>
  <si>
    <t>5B00C3D571</t>
  </si>
  <si>
    <t>78007BF8FB</t>
  </si>
  <si>
    <t>4700B4F856</t>
  </si>
  <si>
    <t>0B00611DC5</t>
  </si>
  <si>
    <t>0B00613256</t>
  </si>
  <si>
    <t>78007C193D</t>
  </si>
  <si>
    <t>0B00611DC1</t>
  </si>
  <si>
    <t>81008F1EDA</t>
  </si>
  <si>
    <t>78007C1DA7</t>
  </si>
  <si>
    <t>06003E5E2A</t>
  </si>
  <si>
    <t>5B00C3CEAB</t>
  </si>
  <si>
    <t>0B00613283</t>
  </si>
  <si>
    <t>5B0012332C</t>
  </si>
  <si>
    <t>81008F1D06</t>
  </si>
  <si>
    <t>5B00C42816</t>
  </si>
  <si>
    <t>81008EDB6A</t>
  </si>
  <si>
    <t>0B0061323E</t>
  </si>
  <si>
    <t>RDIF 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</si>
</sst>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8"/>
      <color indexed="9"/>
      <name val="Calibri"/>
      <family val="2"/>
      <charset val="238"/>
      <scheme val="minor"/>
    </font>
    <font>
      <sz val="9"/>
      <color rgb="FF000000"/>
      <name val="Calibri"/>
      <family val="2"/>
      <charset val="23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" fontId="18" fillId="0" borderId="0" xfId="0" applyNumberFormat="1" applyFont="1"/>
    <xf numFmtId="49" fontId="18" fillId="0" borderId="0" xfId="0" applyNumberFormat="1" applyFont="1"/>
    <xf numFmtId="49" fontId="19" fillId="33" borderId="10" xfId="0" quotePrefix="1" applyNumberFormat="1" applyFont="1" applyFill="1" applyBorder="1" applyAlignment="1">
      <alignment horizontal="center"/>
    </xf>
    <xf numFmtId="49" fontId="18" fillId="0" borderId="10" xfId="0" applyNumberFormat="1" applyFont="1" applyBorder="1"/>
    <xf numFmtId="1" fontId="18" fillId="0" borderId="0" xfId="0" applyNumberFormat="1" applyFont="1" applyAlignment="1">
      <alignment horizontal="center"/>
    </xf>
    <xf numFmtId="1" fontId="18" fillId="0" borderId="10" xfId="0" applyNumberFormat="1" applyFont="1" applyBorder="1" applyAlignment="1">
      <alignment horizontal="center"/>
    </xf>
    <xf numFmtId="49" fontId="18" fillId="0" borderId="0" xfId="0" applyNumberFormat="1" applyFont="1" applyAlignment="1">
      <alignment horizontal="center"/>
    </xf>
    <xf numFmtId="49" fontId="18" fillId="0" borderId="10" xfId="0" applyNumberFormat="1" applyFont="1" applyBorder="1" applyAlignment="1">
      <alignment horizontal="center"/>
    </xf>
    <xf numFmtId="0" fontId="20" fillId="0" borderId="1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showZeros="0" tabSelected="1" topLeftCell="G1" workbookViewId="0">
      <selection activeCell="R16" sqref="R16"/>
    </sheetView>
  </sheetViews>
  <sheetFormatPr defaultRowHeight="15" x14ac:dyDescent="0.25"/>
  <cols>
    <col min="1" max="1" width="8.85546875" style="1" customWidth="1"/>
    <col min="2" max="2" width="18.7109375" style="2" customWidth="1"/>
    <col min="3" max="4" width="15.140625" style="2" customWidth="1"/>
    <col min="5" max="5" width="14.5703125" style="2" customWidth="1"/>
    <col min="6" max="6" width="21" style="2" customWidth="1"/>
    <col min="7" max="7" width="10.85546875" style="2" customWidth="1"/>
    <col min="8" max="8" width="14.5703125" style="2" customWidth="1"/>
    <col min="9" max="9" width="7.140625" style="2" customWidth="1"/>
  </cols>
  <sheetData>
    <row r="1" spans="1:12" x14ac:dyDescent="0.25">
      <c r="A1" s="3" t="s">
        <v>189</v>
      </c>
      <c r="B1" s="3" t="s">
        <v>187</v>
      </c>
      <c r="C1" s="3" t="s">
        <v>188</v>
      </c>
      <c r="D1" s="3" t="s">
        <v>226</v>
      </c>
      <c r="E1" s="3" t="s">
        <v>190</v>
      </c>
      <c r="F1" s="3" t="s">
        <v>191</v>
      </c>
      <c r="G1" s="3" t="s">
        <v>192</v>
      </c>
      <c r="H1" s="3" t="s">
        <v>193</v>
      </c>
      <c r="I1" s="3" t="s">
        <v>194</v>
      </c>
    </row>
    <row r="2" spans="1:12" x14ac:dyDescent="0.25">
      <c r="A2" s="5">
        <v>5205</v>
      </c>
      <c r="B2" s="2" t="s">
        <v>1</v>
      </c>
      <c r="C2" s="2" t="s">
        <v>2</v>
      </c>
      <c r="D2" s="9" t="s">
        <v>195</v>
      </c>
      <c r="E2" s="7" t="s">
        <v>3</v>
      </c>
      <c r="F2" s="2" t="s">
        <v>4</v>
      </c>
      <c r="G2" s="2" t="s">
        <v>5</v>
      </c>
      <c r="H2" s="2" t="s">
        <v>6</v>
      </c>
      <c r="I2" s="2" t="s">
        <v>7</v>
      </c>
      <c r="L2" t="str">
        <f>"insert into zamestnanci (os_cislo,prijmeni,jmeno,rfid,telefon,adresa,firma,smena,aktivni) values ('" &amp; A2 &amp; "','" &amp; B2 &amp; "','" &amp; C2 &amp; "','" &amp; D2 &amp; "','" &amp; E2 &amp; "','" &amp; F2 &amp; " " &amp; G2 &amp; ", " &amp; H2 &amp; ", " &amp; I2 &amp; "','6','R','1');"</f>
        <v>insert into zamestnanci (os_cislo,prijmeni,jmeno,rfid,telefon,adresa,firma,smena,aktivni) values ('5205','Bach','Michalina Wiktoria','0B00613215','+48 664 128 463','Zgodna 7, Pniowek, 43-251','6','R','1');</v>
      </c>
    </row>
    <row r="3" spans="1:12" x14ac:dyDescent="0.25">
      <c r="A3" s="5">
        <v>5188</v>
      </c>
      <c r="B3" s="2" t="s">
        <v>13</v>
      </c>
      <c r="C3" s="2" t="s">
        <v>14</v>
      </c>
      <c r="D3" s="10" t="s">
        <v>196</v>
      </c>
      <c r="E3" s="7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L3" t="str">
        <f t="shared" ref="L3:L32" si="0">"insert into zamestnanci (os_cislo,prijmeni,jmeno,rfid,telefon,adresa,firma,smena,aktivni) values ('" &amp; A3 &amp; "','" &amp; B3 &amp; "','" &amp; C3 &amp; "','" &amp; D3 &amp; "','" &amp; E3 &amp; "','" &amp; F3 &amp; " " &amp; G3 &amp; ", " &amp; H3 &amp; ", " &amp; I3 &amp; "','6','R','1');"</f>
        <v>insert into zamestnanci (os_cislo,prijmeni,jmeno,rfid,telefon,adresa,firma,smena,aktivni) values ('5188','Belica','Bartosz Piotr','0B00611DE7','+48 721 505 226','Wroclawska 35/4, Jastrzebie Zdroj, 44-335','6','R','1');</v>
      </c>
    </row>
    <row r="4" spans="1:12" x14ac:dyDescent="0.25">
      <c r="A4" s="5">
        <v>3951</v>
      </c>
      <c r="B4" s="2" t="s">
        <v>20</v>
      </c>
      <c r="C4" s="2" t="s">
        <v>21</v>
      </c>
      <c r="D4" s="10" t="s">
        <v>197</v>
      </c>
      <c r="E4" s="7" t="s">
        <v>22</v>
      </c>
      <c r="F4" s="2" t="s">
        <v>23</v>
      </c>
      <c r="G4" s="2" t="s">
        <v>24</v>
      </c>
      <c r="H4" s="2" t="s">
        <v>25</v>
      </c>
      <c r="I4" s="2" t="s">
        <v>26</v>
      </c>
      <c r="L4" t="str">
        <f t="shared" si="0"/>
        <v>insert into zamestnanci (os_cislo,prijmeni,jmeno,rfid,telefon,adresa,firma,smena,aktivni) values ('3951','Brachman','Piotr Leszek','5B0010F740','+48 516 350 901','Bojownikow 128, Wodzislaw Slaski, 44-313','6','R','1');</v>
      </c>
    </row>
    <row r="5" spans="1:12" x14ac:dyDescent="0.25">
      <c r="A5" s="5">
        <v>4894</v>
      </c>
      <c r="B5" s="2" t="s">
        <v>30</v>
      </c>
      <c r="C5" s="2" t="s">
        <v>31</v>
      </c>
      <c r="D5" s="10" t="s">
        <v>198</v>
      </c>
      <c r="E5" s="7" t="s">
        <v>32</v>
      </c>
      <c r="F5" s="2" t="s">
        <v>33</v>
      </c>
      <c r="G5" s="2" t="s">
        <v>34</v>
      </c>
      <c r="H5" s="2" t="s">
        <v>11</v>
      </c>
      <c r="I5" s="2" t="s">
        <v>12</v>
      </c>
      <c r="L5" t="str">
        <f t="shared" si="0"/>
        <v>insert into zamestnanci (os_cislo,prijmeni,jmeno,rfid,telefon,adresa,firma,smena,aktivni) values ('4894','Bujak','Beniamin Salamon','81008ED362','+48 534 066 058','Blogocka 30c/8, Cieszyn, 43-400','6','R','1');</v>
      </c>
    </row>
    <row r="6" spans="1:12" x14ac:dyDescent="0.25">
      <c r="A6" s="5">
        <v>3359</v>
      </c>
      <c r="B6" s="2" t="s">
        <v>35</v>
      </c>
      <c r="C6" s="2" t="s">
        <v>36</v>
      </c>
      <c r="D6" s="10" t="s">
        <v>199</v>
      </c>
      <c r="E6" s="7" t="s">
        <v>37</v>
      </c>
      <c r="F6" s="2" t="s">
        <v>38</v>
      </c>
      <c r="G6" s="2" t="s">
        <v>39</v>
      </c>
      <c r="H6" s="2" t="s">
        <v>40</v>
      </c>
      <c r="I6" s="2" t="s">
        <v>41</v>
      </c>
      <c r="L6" t="str">
        <f t="shared" si="0"/>
        <v>insert into zamestnanci (os_cislo,prijmeni,jmeno,rfid,telefon,adresa,firma,smena,aktivni) values ('3359','Dalemula','Radoslaw Jakub','5B00C04143','+48 721 009447','Adama Mickiewicza 6 m.4, Rydultowy, 44-280','6','R','1');</v>
      </c>
    </row>
    <row r="7" spans="1:12" x14ac:dyDescent="0.25">
      <c r="A7" s="5">
        <v>5267</v>
      </c>
      <c r="B7" s="2" t="s">
        <v>42</v>
      </c>
      <c r="C7" s="2" t="s">
        <v>43</v>
      </c>
      <c r="D7" s="10" t="s">
        <v>200</v>
      </c>
      <c r="E7" s="7" t="s">
        <v>44</v>
      </c>
      <c r="F7" s="2" t="s">
        <v>45</v>
      </c>
      <c r="G7" s="2" t="s">
        <v>46</v>
      </c>
      <c r="H7" s="2" t="s">
        <v>18</v>
      </c>
      <c r="I7" s="2" t="s">
        <v>19</v>
      </c>
      <c r="L7" t="str">
        <f t="shared" si="0"/>
        <v>insert into zamestnanci (os_cislo,prijmeni,jmeno,rfid,telefon,adresa,firma,smena,aktivni) values ('5267','Deren','Przemyslaw Marcin','760017A4CA','+48 698 346 757','Malopolska 75/1, Jastrzebie Zdroj, 44-335','6','R','1');</v>
      </c>
    </row>
    <row r="8" spans="1:12" x14ac:dyDescent="0.25">
      <c r="A8" s="5">
        <v>5237</v>
      </c>
      <c r="B8" s="2" t="s">
        <v>47</v>
      </c>
      <c r="C8" s="2" t="s">
        <v>48</v>
      </c>
      <c r="D8" s="10" t="s">
        <v>201</v>
      </c>
      <c r="E8" s="7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L8" t="str">
        <f t="shared" si="0"/>
        <v>insert into zamestnanci (os_cislo,prijmeni,jmeno,rfid,telefon,adresa,firma,smena,aktivni) values ('5237','Kaminski','Seweryn Jan','4700B501E5','+48 507 781 005','Aleja Armii Krajowej 31A/1, Zory, 44-240','6','R','1');</v>
      </c>
    </row>
    <row r="9" spans="1:12" x14ac:dyDescent="0.25">
      <c r="A9" s="5">
        <v>5265</v>
      </c>
      <c r="B9" s="2" t="s">
        <v>54</v>
      </c>
      <c r="C9" s="2" t="s">
        <v>55</v>
      </c>
      <c r="D9" s="10" t="s">
        <v>202</v>
      </c>
      <c r="E9" s="7" t="s">
        <v>56</v>
      </c>
      <c r="F9" s="2" t="s">
        <v>57</v>
      </c>
      <c r="G9" s="2" t="s">
        <v>58</v>
      </c>
      <c r="H9" s="2" t="s">
        <v>59</v>
      </c>
      <c r="I9" s="2" t="s">
        <v>60</v>
      </c>
      <c r="L9" t="str">
        <f t="shared" si="0"/>
        <v>insert into zamestnanci (os_cislo,prijmeni,jmeno,rfid,telefon,adresa,firma,smena,aktivni) values ('5265','Klepczarek','Michal Pawel','0B0061325F','+48 538 154 450','Solskiego 37B, Radlin, 44-310','6','R','1');</v>
      </c>
    </row>
    <row r="10" spans="1:12" x14ac:dyDescent="0.25">
      <c r="A10" s="5">
        <v>5164</v>
      </c>
      <c r="B10" s="2" t="s">
        <v>61</v>
      </c>
      <c r="C10" s="2" t="s">
        <v>62</v>
      </c>
      <c r="D10" s="10" t="s">
        <v>203</v>
      </c>
      <c r="E10" s="7" t="s">
        <v>63</v>
      </c>
      <c r="F10" s="2" t="s">
        <v>64</v>
      </c>
      <c r="G10" s="2" t="s">
        <v>65</v>
      </c>
      <c r="H10" s="2" t="s">
        <v>25</v>
      </c>
      <c r="I10" s="2" t="s">
        <v>66</v>
      </c>
      <c r="L10" t="str">
        <f t="shared" si="0"/>
        <v>insert into zamestnanci (os_cislo,prijmeni,jmeno,rfid,telefon,adresa,firma,smena,aktivni) values ('5164','Koscianska','Katarzyna Barbara','81008EE14E','+48 784 402 775','Gornicza 15/3, Wodzislaw Slaski, 44-300','6','R','1');</v>
      </c>
    </row>
    <row r="11" spans="1:12" x14ac:dyDescent="0.25">
      <c r="A11" s="5">
        <v>5030</v>
      </c>
      <c r="B11" s="2" t="s">
        <v>67</v>
      </c>
      <c r="C11" s="2" t="s">
        <v>68</v>
      </c>
      <c r="D11" s="10" t="s">
        <v>204</v>
      </c>
      <c r="E11" s="7" t="s">
        <v>8</v>
      </c>
      <c r="F11" s="2" t="s">
        <v>9</v>
      </c>
      <c r="G11" s="2" t="s">
        <v>10</v>
      </c>
      <c r="H11" s="2" t="s">
        <v>11</v>
      </c>
      <c r="I11" s="2" t="s">
        <v>12</v>
      </c>
      <c r="L11" t="str">
        <f t="shared" si="0"/>
        <v>insert into zamestnanci (os_cislo,prijmeni,jmeno,rfid,telefon,adresa,firma,smena,aktivni) values ('5030','Kowalska','Klaudia Maria','78007C15C4','+48 503 120 538','Gleboka 17/3, Cieszyn, 43-400','6','R','1');</v>
      </c>
    </row>
    <row r="12" spans="1:12" x14ac:dyDescent="0.25">
      <c r="A12" s="5">
        <v>3262</v>
      </c>
      <c r="B12" s="2" t="s">
        <v>69</v>
      </c>
      <c r="C12" s="2" t="s">
        <v>70</v>
      </c>
      <c r="D12" s="10" t="s">
        <v>205</v>
      </c>
      <c r="E12" s="7" t="s">
        <v>71</v>
      </c>
      <c r="F12" s="2" t="s">
        <v>72</v>
      </c>
      <c r="G12" s="2" t="s">
        <v>73</v>
      </c>
      <c r="H12" s="2" t="s">
        <v>52</v>
      </c>
      <c r="I12" s="2" t="s">
        <v>74</v>
      </c>
      <c r="L12" t="str">
        <f t="shared" si="0"/>
        <v>insert into zamestnanci (os_cislo,prijmeni,jmeno,rfid,telefon,adresa,firma,smena,aktivni) values ('3262','Lorenc','Pawel Jan','5B00C03C1C','+48 663 474 887','Osiedle Księcia Władysława 6B/22, Zory, 44-241','6','R','1');</v>
      </c>
    </row>
    <row r="13" spans="1:12" x14ac:dyDescent="0.25">
      <c r="A13" s="5">
        <v>4999</v>
      </c>
      <c r="B13" s="2" t="s">
        <v>75</v>
      </c>
      <c r="C13" s="2" t="s">
        <v>76</v>
      </c>
      <c r="D13" s="10" t="s">
        <v>206</v>
      </c>
      <c r="E13" s="7" t="s">
        <v>77</v>
      </c>
      <c r="F13" s="2" t="s">
        <v>78</v>
      </c>
      <c r="G13" s="2" t="s">
        <v>79</v>
      </c>
      <c r="H13" s="2" t="s">
        <v>80</v>
      </c>
      <c r="I13" s="2" t="s">
        <v>81</v>
      </c>
      <c r="L13" t="str">
        <f t="shared" si="0"/>
        <v>insert into zamestnanci (os_cislo,prijmeni,jmeno,rfid,telefon,adresa,firma,smena,aktivni) values ('4999','Magiera','Dorota Maria','5B0012F377','+48 600 583 590','Lipowa 11, Zamarski, 43-419','6','R','1');</v>
      </c>
    </row>
    <row r="14" spans="1:12" x14ac:dyDescent="0.25">
      <c r="A14" s="5">
        <v>5138</v>
      </c>
      <c r="B14" s="2" t="s">
        <v>82</v>
      </c>
      <c r="C14" s="2" t="s">
        <v>83</v>
      </c>
      <c r="D14" s="10" t="s">
        <v>207</v>
      </c>
      <c r="E14" s="7" t="s">
        <v>84</v>
      </c>
      <c r="F14" s="2" t="s">
        <v>85</v>
      </c>
      <c r="G14" s="2" t="s">
        <v>86</v>
      </c>
      <c r="H14" s="2" t="s">
        <v>52</v>
      </c>
      <c r="I14" s="2" t="s">
        <v>53</v>
      </c>
      <c r="L14" t="str">
        <f t="shared" si="0"/>
        <v>insert into zamestnanci (os_cislo,prijmeni,jmeno,rfid,telefon,adresa,firma,smena,aktivni) values ('5138','Maslowski','Dominik Marek','0B00613225','+48 724 602 137','Osiedle Wojciecha Korfantego 6A/23, Zory, 44-240','6','R','1');</v>
      </c>
    </row>
    <row r="15" spans="1:12" x14ac:dyDescent="0.25">
      <c r="A15" s="5">
        <v>5240</v>
      </c>
      <c r="B15" s="2" t="s">
        <v>87</v>
      </c>
      <c r="C15" s="2" t="s">
        <v>88</v>
      </c>
      <c r="D15" s="10" t="s">
        <v>208</v>
      </c>
      <c r="E15" s="7" t="s">
        <v>89</v>
      </c>
      <c r="F15" s="2" t="s">
        <v>90</v>
      </c>
      <c r="G15" s="2" t="s">
        <v>91</v>
      </c>
      <c r="H15" s="2" t="s">
        <v>18</v>
      </c>
      <c r="I15" s="2" t="s">
        <v>19</v>
      </c>
      <c r="L15" t="str">
        <f t="shared" si="0"/>
        <v>insert into zamestnanci (os_cislo,prijmeni,jmeno,rfid,telefon,adresa,firma,smena,aktivni) values ('5240','Michon','Adam Antoni','5B00C450BF','+48 789 720 605','Kusocinskiego 37/8, Jastrzebie Zdroj, 44-335','6','R','1');</v>
      </c>
    </row>
    <row r="16" spans="1:12" x14ac:dyDescent="0.25">
      <c r="A16" s="5">
        <v>4392</v>
      </c>
      <c r="B16" s="2" t="s">
        <v>92</v>
      </c>
      <c r="C16" s="2" t="s">
        <v>93</v>
      </c>
      <c r="D16" s="10" t="s">
        <v>209</v>
      </c>
      <c r="E16" s="7" t="s">
        <v>94</v>
      </c>
      <c r="F16" s="2" t="s">
        <v>95</v>
      </c>
      <c r="G16" s="2" t="s">
        <v>96</v>
      </c>
      <c r="H16" s="2" t="s">
        <v>40</v>
      </c>
      <c r="I16" s="2" t="s">
        <v>97</v>
      </c>
      <c r="L16" t="str">
        <f t="shared" si="0"/>
        <v>insert into zamestnanci (os_cislo,prijmeni,jmeno,rfid,telefon,adresa,firma,smena,aktivni) values ('4392','Milek','Michal Jerzy','5B00C3D571','+48 730 393 595','Krzyzkowicka 76, Rydultowy, 44280','6','R','1');</v>
      </c>
    </row>
    <row r="17" spans="1:12" x14ac:dyDescent="0.25">
      <c r="A17" s="5">
        <v>4482</v>
      </c>
      <c r="B17" s="2" t="s">
        <v>98</v>
      </c>
      <c r="C17" s="2" t="s">
        <v>99</v>
      </c>
      <c r="D17" s="10" t="s">
        <v>210</v>
      </c>
      <c r="E17" s="7" t="s">
        <v>100</v>
      </c>
      <c r="F17" s="2" t="s">
        <v>101</v>
      </c>
      <c r="G17" s="2" t="s">
        <v>102</v>
      </c>
      <c r="H17" s="2" t="s">
        <v>0</v>
      </c>
      <c r="I17" s="2" t="s">
        <v>103</v>
      </c>
      <c r="L17" t="str">
        <f t="shared" si="0"/>
        <v>insert into zamestnanci (os_cislo,prijmeni,jmeno,rfid,telefon,adresa,firma,smena,aktivni) values ('4482','Mochnacz','Lukasz Teodor','78007BF8FB','+48 534 996 548','Budowlanych 45B/24, Rybnik, 44-217','6','R','1');</v>
      </c>
    </row>
    <row r="18" spans="1:12" x14ac:dyDescent="0.25">
      <c r="A18" s="5">
        <v>5225</v>
      </c>
      <c r="B18" s="2" t="s">
        <v>104</v>
      </c>
      <c r="C18" s="2" t="s">
        <v>105</v>
      </c>
      <c r="D18" s="10" t="s">
        <v>211</v>
      </c>
      <c r="E18" s="7" t="s">
        <v>106</v>
      </c>
      <c r="F18" s="2" t="s">
        <v>64</v>
      </c>
      <c r="G18" s="2" t="s">
        <v>107</v>
      </c>
      <c r="H18" s="2" t="s">
        <v>0</v>
      </c>
      <c r="I18" s="2" t="s">
        <v>108</v>
      </c>
      <c r="L18" t="str">
        <f t="shared" si="0"/>
        <v>insert into zamestnanci (os_cislo,prijmeni,jmeno,rfid,telefon,adresa,firma,smena,aktivni) values ('5225','Nagi','Daniel Kamil','4700B4F856','+48 786 100 892','Gornicza 19C/4, Rybnik, 44-206','6','R','1');</v>
      </c>
    </row>
    <row r="19" spans="1:12" x14ac:dyDescent="0.25">
      <c r="A19" s="5">
        <v>5137</v>
      </c>
      <c r="B19" s="2" t="s">
        <v>109</v>
      </c>
      <c r="C19" s="2" t="s">
        <v>110</v>
      </c>
      <c r="D19" s="10" t="s">
        <v>212</v>
      </c>
      <c r="E19" s="7" t="s">
        <v>111</v>
      </c>
      <c r="F19" s="2" t="s">
        <v>27</v>
      </c>
      <c r="G19" s="2" t="s">
        <v>28</v>
      </c>
      <c r="H19" s="2" t="s">
        <v>0</v>
      </c>
      <c r="I19" s="2" t="s">
        <v>29</v>
      </c>
      <c r="L19" t="str">
        <f t="shared" si="0"/>
        <v>insert into zamestnanci (os_cislo,prijmeni,jmeno,rfid,telefon,adresa,firma,smena,aktivni) values ('5137','Nalik','Dawid Jozef','0B00611DC5','+48 504 764 435','Sportowa 136, Rybnik, 44-273','6','R','1');</v>
      </c>
    </row>
    <row r="20" spans="1:12" x14ac:dyDescent="0.25">
      <c r="A20" s="5">
        <v>5266</v>
      </c>
      <c r="B20" s="2" t="s">
        <v>112</v>
      </c>
      <c r="C20" s="2" t="s">
        <v>113</v>
      </c>
      <c r="D20" s="10" t="s">
        <v>213</v>
      </c>
      <c r="E20" s="7" t="s">
        <v>114</v>
      </c>
      <c r="F20" s="2" t="s">
        <v>115</v>
      </c>
      <c r="G20" s="2" t="s">
        <v>116</v>
      </c>
      <c r="H20" s="2" t="s">
        <v>40</v>
      </c>
      <c r="I20" s="2" t="s">
        <v>41</v>
      </c>
      <c r="L20" t="str">
        <f t="shared" si="0"/>
        <v>insert into zamestnanci (os_cislo,prijmeni,jmeno,rfid,telefon,adresa,firma,smena,aktivni) values ('5266','Nicinski','Dawid Jerzy','0B00613256','+48 667 152 330','Plebiscytowa 36/38, Rydultowy, 44-280','6','R','1');</v>
      </c>
    </row>
    <row r="21" spans="1:12" x14ac:dyDescent="0.25">
      <c r="A21" s="5">
        <v>4895</v>
      </c>
      <c r="B21" s="2" t="s">
        <v>117</v>
      </c>
      <c r="C21" s="2" t="s">
        <v>118</v>
      </c>
      <c r="D21" s="10" t="s">
        <v>214</v>
      </c>
      <c r="E21" s="7" t="s">
        <v>119</v>
      </c>
      <c r="F21" s="2" t="s">
        <v>120</v>
      </c>
      <c r="G21" s="2" t="s">
        <v>121</v>
      </c>
      <c r="H21" s="2" t="s">
        <v>11</v>
      </c>
      <c r="I21" s="2" t="s">
        <v>12</v>
      </c>
      <c r="L21" t="str">
        <f t="shared" si="0"/>
        <v>insert into zamestnanci (os_cislo,prijmeni,jmeno,rfid,telefon,adresa,firma,smena,aktivni) values ('4895','Osowski','Piotr Kondrad','78007C193D','+48 502 022 311','Sikorskiego 3/15, Cieszyn, 43-400','6','R','1');</v>
      </c>
    </row>
    <row r="22" spans="1:12" x14ac:dyDescent="0.25">
      <c r="A22" s="5">
        <v>5169</v>
      </c>
      <c r="B22" s="2" t="s">
        <v>122</v>
      </c>
      <c r="C22" s="2" t="s">
        <v>123</v>
      </c>
      <c r="D22" s="10" t="s">
        <v>215</v>
      </c>
      <c r="E22" s="7" t="s">
        <v>124</v>
      </c>
      <c r="F22" s="2" t="s">
        <v>125</v>
      </c>
      <c r="G22" s="2" t="s">
        <v>126</v>
      </c>
      <c r="H22" s="2" t="s">
        <v>11</v>
      </c>
      <c r="I22" s="2" t="s">
        <v>12</v>
      </c>
      <c r="L22" t="str">
        <f t="shared" si="0"/>
        <v>insert into zamestnanci (os_cislo,prijmeni,jmeno,rfid,telefon,adresa,firma,smena,aktivni) values ('5169','Paczkowska','Sylwia Renata','0B00611DC1','+48 780 086 560','Gorna 30/27, Cieszyn, 43-400','6','R','1');</v>
      </c>
    </row>
    <row r="23" spans="1:12" x14ac:dyDescent="0.25">
      <c r="A23" s="5">
        <v>3063</v>
      </c>
      <c r="B23" s="2" t="s">
        <v>127</v>
      </c>
      <c r="C23" s="2" t="s">
        <v>128</v>
      </c>
      <c r="D23" s="10" t="s">
        <v>216</v>
      </c>
      <c r="E23" s="7" t="s">
        <v>129</v>
      </c>
      <c r="F23" s="2" t="s">
        <v>130</v>
      </c>
      <c r="G23" s="2" t="s">
        <v>131</v>
      </c>
      <c r="H23" s="2" t="s">
        <v>132</v>
      </c>
      <c r="I23" s="2" t="s">
        <v>133</v>
      </c>
      <c r="L23" t="str">
        <f t="shared" si="0"/>
        <v>insert into zamestnanci (os_cislo,prijmeni,jmeno,rfid,telefon,adresa,firma,smena,aktivni) values ('3063','Poloczek','Jadwiga Barbara','81008F1EDA','+48502399526','Gagarina 110/34, Jastrzebie-Zdroj, 44268','6','R','1');</v>
      </c>
    </row>
    <row r="24" spans="1:12" x14ac:dyDescent="0.25">
      <c r="A24" s="5">
        <v>5242</v>
      </c>
      <c r="B24" s="2" t="s">
        <v>134</v>
      </c>
      <c r="C24" s="2" t="s">
        <v>135</v>
      </c>
      <c r="D24" s="10" t="s">
        <v>217</v>
      </c>
      <c r="E24" s="7" t="s">
        <v>136</v>
      </c>
      <c r="F24" s="2" t="s">
        <v>137</v>
      </c>
      <c r="G24" s="2" t="s">
        <v>138</v>
      </c>
      <c r="H24" s="2" t="s">
        <v>59</v>
      </c>
      <c r="I24" s="2" t="s">
        <v>60</v>
      </c>
      <c r="L24" t="str">
        <f t="shared" si="0"/>
        <v>insert into zamestnanci (os_cislo,prijmeni,jmeno,rfid,telefon,adresa,firma,smena,aktivni) values ('5242','Przewoznik','Piotr Andrzej','78007C1DA7','+48 571 252 886','Wolnosci 4/25, Radlin, 44-310','6','R','1');</v>
      </c>
    </row>
    <row r="25" spans="1:12" x14ac:dyDescent="0.25">
      <c r="A25" s="5">
        <v>2600</v>
      </c>
      <c r="B25" s="2" t="s">
        <v>139</v>
      </c>
      <c r="C25" s="2" t="s">
        <v>140</v>
      </c>
      <c r="D25" s="10" t="s">
        <v>218</v>
      </c>
      <c r="E25" s="7" t="s">
        <v>141</v>
      </c>
      <c r="F25" s="2" t="s">
        <v>142</v>
      </c>
      <c r="G25" s="2" t="s">
        <v>143</v>
      </c>
      <c r="H25" s="2" t="s">
        <v>144</v>
      </c>
      <c r="I25" s="2" t="s">
        <v>145</v>
      </c>
      <c r="L25" t="str">
        <f t="shared" si="0"/>
        <v>insert into zamestnanci (os_cislo,prijmeni,jmeno,rfid,telefon,adresa,firma,smena,aktivni) values ('2600','Stanisz','Pawel Piotr','06003E5E2A','+48 577 657 367','Kusocinskiego Janusza 37/7, Jastrzebie-Zdrój, 44335','6','R','1');</v>
      </c>
    </row>
    <row r="26" spans="1:12" x14ac:dyDescent="0.25">
      <c r="A26" s="5">
        <v>5068</v>
      </c>
      <c r="B26" s="2" t="s">
        <v>146</v>
      </c>
      <c r="C26" s="2" t="s">
        <v>147</v>
      </c>
      <c r="D26" s="10" t="s">
        <v>219</v>
      </c>
      <c r="E26" s="7" t="s">
        <v>148</v>
      </c>
      <c r="F26" s="2" t="s">
        <v>149</v>
      </c>
      <c r="G26" s="2" t="s">
        <v>150</v>
      </c>
      <c r="H26" s="2" t="s">
        <v>18</v>
      </c>
      <c r="I26" s="2" t="s">
        <v>151</v>
      </c>
      <c r="L26" t="str">
        <f t="shared" si="0"/>
        <v>insert into zamestnanci (os_cislo,prijmeni,jmeno,rfid,telefon,adresa,firma,smena,aktivni) values ('5068','Surowiec','Dominik Szymon','5B00C3CEAB','+48 604 727 847','Wiejska 29c/1, Jastrzebie Zdroj, 44-338','6','R','1');</v>
      </c>
    </row>
    <row r="27" spans="1:12" x14ac:dyDescent="0.25">
      <c r="A27" s="5">
        <v>5263</v>
      </c>
      <c r="B27" s="2" t="s">
        <v>152</v>
      </c>
      <c r="C27" s="2" t="s">
        <v>153</v>
      </c>
      <c r="D27" s="10" t="s">
        <v>220</v>
      </c>
      <c r="E27" s="7" t="s">
        <v>154</v>
      </c>
      <c r="F27" s="2" t="s">
        <v>155</v>
      </c>
      <c r="G27" s="2" t="s">
        <v>156</v>
      </c>
      <c r="H27" s="2" t="s">
        <v>52</v>
      </c>
      <c r="I27" s="2" t="s">
        <v>53</v>
      </c>
      <c r="L27" t="str">
        <f t="shared" si="0"/>
        <v>insert into zamestnanci (os_cislo,prijmeni,jmeno,rfid,telefon,adresa,firma,smena,aktivni) values ('5263','Wiktorowicz','Daniel Marek','0B00613283','+48 607 048 785','Os. Powstancow Slaskich 7C/23, Zory, 44-240','6','R','1');</v>
      </c>
    </row>
    <row r="28" spans="1:12" x14ac:dyDescent="0.25">
      <c r="A28" s="5">
        <v>5241</v>
      </c>
      <c r="B28" s="2" t="s">
        <v>157</v>
      </c>
      <c r="C28" s="2" t="s">
        <v>158</v>
      </c>
      <c r="D28" s="10" t="s">
        <v>221</v>
      </c>
      <c r="E28" s="7" t="s">
        <v>159</v>
      </c>
      <c r="F28" s="2" t="s">
        <v>160</v>
      </c>
      <c r="G28" s="2" t="s">
        <v>161</v>
      </c>
      <c r="H28" s="2" t="s">
        <v>40</v>
      </c>
      <c r="I28" s="2" t="s">
        <v>41</v>
      </c>
      <c r="L28" t="str">
        <f t="shared" si="0"/>
        <v>insert into zamestnanci (os_cislo,prijmeni,jmeno,rfid,telefon,adresa,firma,smena,aktivni) values ('5241','Wilczynski','Kamil Adrian','5B0012332C','+48 667 104 348','Ofiar Terroru 97/20, Rydultowy, 44-280','6','R','1');</v>
      </c>
    </row>
    <row r="29" spans="1:12" x14ac:dyDescent="0.25">
      <c r="A29" s="5">
        <v>5264</v>
      </c>
      <c r="B29" s="2" t="s">
        <v>162</v>
      </c>
      <c r="C29" s="2" t="s">
        <v>163</v>
      </c>
      <c r="D29" s="10" t="s">
        <v>222</v>
      </c>
      <c r="E29" s="7" t="s">
        <v>164</v>
      </c>
      <c r="F29" s="2" t="s">
        <v>165</v>
      </c>
      <c r="G29" s="2" t="s">
        <v>166</v>
      </c>
      <c r="H29" s="2" t="s">
        <v>167</v>
      </c>
      <c r="I29" s="2" t="s">
        <v>168</v>
      </c>
      <c r="L29" t="str">
        <f t="shared" si="0"/>
        <v>insert into zamestnanci (os_cislo,prijmeni,jmeno,rfid,telefon,adresa,firma,smena,aktivni) values ('5264','Wisiorek','Lukasz Jakub','81008F1D06','+48 574 144 290','Kwiatowa 9, Osiek, 32-608','6','R','1');</v>
      </c>
    </row>
    <row r="30" spans="1:12" x14ac:dyDescent="0.25">
      <c r="A30" s="5">
        <v>4800</v>
      </c>
      <c r="B30" s="2" t="s">
        <v>169</v>
      </c>
      <c r="C30" s="2" t="s">
        <v>170</v>
      </c>
      <c r="D30" s="10" t="s">
        <v>223</v>
      </c>
      <c r="E30" s="7" t="s">
        <v>171</v>
      </c>
      <c r="F30" s="2" t="s">
        <v>172</v>
      </c>
      <c r="G30" s="2" t="s">
        <v>173</v>
      </c>
      <c r="H30" s="2" t="s">
        <v>0</v>
      </c>
      <c r="I30" s="2" t="s">
        <v>174</v>
      </c>
      <c r="L30" t="str">
        <f t="shared" si="0"/>
        <v>insert into zamestnanci (os_cislo,prijmeni,jmeno,rfid,telefon,adresa,firma,smena,aktivni) values ('4800','Wójt','Sebastian Slawomir','5B00C42816','+48 518 569 970','Alfonsa Zgrzebnioka 2B/1, Rybnik, 44-200','6','R','1');</v>
      </c>
    </row>
    <row r="31" spans="1:12" x14ac:dyDescent="0.25">
      <c r="A31" s="5">
        <v>4810</v>
      </c>
      <c r="B31" s="2" t="s">
        <v>175</v>
      </c>
      <c r="C31" s="2" t="s">
        <v>176</v>
      </c>
      <c r="D31" s="10" t="s">
        <v>224</v>
      </c>
      <c r="E31" s="7" t="s">
        <v>177</v>
      </c>
      <c r="F31" s="2" t="s">
        <v>178</v>
      </c>
      <c r="G31" s="2" t="s">
        <v>179</v>
      </c>
      <c r="H31" s="2" t="s">
        <v>180</v>
      </c>
      <c r="I31" s="2" t="s">
        <v>181</v>
      </c>
      <c r="L31" t="str">
        <f t="shared" si="0"/>
        <v>insert into zamestnanci (os_cislo,prijmeni,jmeno,rfid,telefon,adresa,firma,smena,aktivni) values ('4810','Wrona','Dawid Sebastian','81008EDB6A','+48 792 303 447','Cieszyńska 65, Bażanowice, 43-440','6','R','1');</v>
      </c>
    </row>
    <row r="32" spans="1:12" x14ac:dyDescent="0.25">
      <c r="A32" s="6">
        <v>5207</v>
      </c>
      <c r="B32" s="4" t="s">
        <v>182</v>
      </c>
      <c r="C32" s="4" t="s">
        <v>183</v>
      </c>
      <c r="D32" s="11" t="s">
        <v>225</v>
      </c>
      <c r="E32" s="8" t="s">
        <v>184</v>
      </c>
      <c r="F32" s="4" t="s">
        <v>185</v>
      </c>
      <c r="G32" s="4" t="s">
        <v>186</v>
      </c>
      <c r="H32" s="4" t="s">
        <v>59</v>
      </c>
      <c r="I32" s="4" t="s">
        <v>60</v>
      </c>
      <c r="L32" t="str">
        <f t="shared" si="0"/>
        <v>insert into zamestnanci (os_cislo,prijmeni,jmeno,rfid,telefon,adresa,firma,smena,aktivni) values ('5207','Zydek','Joanna Monika','0B0061323E','+48 692 317 326','Spacerowa 104, Radlin, 44-310','6','R','1');</v>
      </c>
    </row>
  </sheetData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personal_</vt:lpstr>
      <vt:lpstr>Databaze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Slavíková</dc:creator>
  <cp:lastModifiedBy>Aleš Kadlec</cp:lastModifiedBy>
  <dcterms:created xsi:type="dcterms:W3CDTF">2023-10-12T08:00:15Z</dcterms:created>
  <dcterms:modified xsi:type="dcterms:W3CDTF">2023-10-12T08:22:04Z</dcterms:modified>
</cp:coreProperties>
</file>