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5.4\intranet\recra\data\"/>
    </mc:Choice>
  </mc:AlternateContent>
  <xr:revisionPtr revIDLastSave="0" documentId="13_ncr:1_{E04989A1-F71F-467D-9FC9-3907CFCECC45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zastavky" sheetId="2" r:id="rId1"/>
    <sheet name="zamestnanci" sheetId="1" r:id="rId2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2" i="2"/>
</calcChain>
</file>

<file path=xl/sharedStrings.xml><?xml version="1.0" encoding="utf-8"?>
<sst xmlns="http://schemas.openxmlformats.org/spreadsheetml/2006/main" count="3621" uniqueCount="2680">
  <si>
    <t>id</t>
  </si>
  <si>
    <t>os_cislo</t>
  </si>
  <si>
    <t>prijmeni</t>
  </si>
  <si>
    <t>jmeno</t>
  </si>
  <si>
    <t>rfid</t>
  </si>
  <si>
    <t>nastup</t>
  </si>
  <si>
    <t>telefon</t>
  </si>
  <si>
    <t>adresa</t>
  </si>
  <si>
    <t>firma</t>
  </si>
  <si>
    <t>smena</t>
  </si>
  <si>
    <t>nepritomnost</t>
  </si>
  <si>
    <t>aktivni</t>
  </si>
  <si>
    <t>4984</t>
  </si>
  <si>
    <t>Koblanski</t>
  </si>
  <si>
    <t>Daniel Roman</t>
  </si>
  <si>
    <t>0001932486</t>
  </si>
  <si>
    <t>48661131885</t>
  </si>
  <si>
    <t>Rzemieslnicza 16, Marklowice, 44-321</t>
  </si>
  <si>
    <t>R</t>
  </si>
  <si>
    <t>4832</t>
  </si>
  <si>
    <t>Plusa</t>
  </si>
  <si>
    <t>Jolanta Anastazja</t>
  </si>
  <si>
    <t>0001812666</t>
  </si>
  <si>
    <t>48579875413</t>
  </si>
  <si>
    <t>Wolnosci 106, Wodzislaw Slaski, 44-300</t>
  </si>
  <si>
    <t>4821</t>
  </si>
  <si>
    <t>Lapczyk</t>
  </si>
  <si>
    <t>Wiktoria Monika</t>
  </si>
  <si>
    <t>0001203587</t>
  </si>
  <si>
    <t>48570354807</t>
  </si>
  <si>
    <t>Stanislawa Moniuszki 24/57, Cieszyn, 43-400</t>
  </si>
  <si>
    <t>4824</t>
  </si>
  <si>
    <t>Siemieniec</t>
  </si>
  <si>
    <t>Mirela Malgorzata</t>
  </si>
  <si>
    <t>0001319249</t>
  </si>
  <si>
    <t>48534420008</t>
  </si>
  <si>
    <t>Generala Sikorskiego 10, Gorzyce, 44-350</t>
  </si>
  <si>
    <t>4816</t>
  </si>
  <si>
    <t>Tkocz</t>
  </si>
  <si>
    <t>Grazyna</t>
  </si>
  <si>
    <t>0001348553</t>
  </si>
  <si>
    <t>48780473033</t>
  </si>
  <si>
    <t>Rynek 19/4, Wodzislaw Slaski, 44-300</t>
  </si>
  <si>
    <t>4823</t>
  </si>
  <si>
    <t>Tomala</t>
  </si>
  <si>
    <t>Sabina Agata</t>
  </si>
  <si>
    <t>0001213514</t>
  </si>
  <si>
    <t>48731071831</t>
  </si>
  <si>
    <t>Truchana 36/12, Chorzow, 41-500</t>
  </si>
  <si>
    <t>5139</t>
  </si>
  <si>
    <t>Wisniewski</t>
  </si>
  <si>
    <t>Andrzej Jaroslaw</t>
  </si>
  <si>
    <t>0001815983</t>
  </si>
  <si>
    <t>48577599086</t>
  </si>
  <si>
    <t>Jana Kilinskiego 6, Marklowice, 44-321</t>
  </si>
  <si>
    <t>4820</t>
  </si>
  <si>
    <t>Zdunek</t>
  </si>
  <si>
    <t>Patrycja</t>
  </si>
  <si>
    <t>0003356249</t>
  </si>
  <si>
    <t>48535337339</t>
  </si>
  <si>
    <t>5178</t>
  </si>
  <si>
    <t>Birka</t>
  </si>
  <si>
    <t>Jan</t>
  </si>
  <si>
    <t>0012951123</t>
  </si>
  <si>
    <t>735 826 676</t>
  </si>
  <si>
    <t>Masarykovo nám. 1/1, Nový Jičín, 741 01, CZ</t>
  </si>
  <si>
    <t>5234</t>
  </si>
  <si>
    <t>Bogdanska</t>
  </si>
  <si>
    <t>Malgorzata Beata</t>
  </si>
  <si>
    <t>0013073154</t>
  </si>
  <si>
    <t>+48 503 935 531</t>
  </si>
  <si>
    <t>26 Marca 42/47, Wodzislaw Slaski, 44-300, PL</t>
  </si>
  <si>
    <t>3415</t>
  </si>
  <si>
    <t>Boruszka</t>
  </si>
  <si>
    <t>Aneta Barbara</t>
  </si>
  <si>
    <t>0012989719</t>
  </si>
  <si>
    <t>+48 605 522 989</t>
  </si>
  <si>
    <t>os. 1000-lecia 15a/11, Jastrzebie-Zdroj, 44-268, PL</t>
  </si>
  <si>
    <t>3428</t>
  </si>
  <si>
    <t>Cieslak</t>
  </si>
  <si>
    <t>Bogdan Cezary</t>
  </si>
  <si>
    <t>0012037325</t>
  </si>
  <si>
    <t>+48 883 115 857</t>
  </si>
  <si>
    <t>Polna 22C m.10, Pawlowice, 43-251, PL</t>
  </si>
  <si>
    <t>4525</t>
  </si>
  <si>
    <t>Czapla</t>
  </si>
  <si>
    <t>Jakub Wiktor</t>
  </si>
  <si>
    <t>0013392110</t>
  </si>
  <si>
    <t>+48 502 625 791</t>
  </si>
  <si>
    <t>Karola Miarki 1/17, Jastrzebie-Zdrój, 44-330, PL</t>
  </si>
  <si>
    <t>3413</t>
  </si>
  <si>
    <t>Durmowicz</t>
  </si>
  <si>
    <t>Dorota Teresa</t>
  </si>
  <si>
    <t>0013316527</t>
  </si>
  <si>
    <t>+48 782 589 483</t>
  </si>
  <si>
    <t>26 Marca 29/24, Wodzisław Śląski, 44-300, PL</t>
  </si>
  <si>
    <t>5027</t>
  </si>
  <si>
    <t>Goszyc</t>
  </si>
  <si>
    <t>Wiktoria Weronika</t>
  </si>
  <si>
    <t>0013309361</t>
  </si>
  <si>
    <t>+48 661 453 582</t>
  </si>
  <si>
    <t>Lesmiana 2, Jastrzebie Zdroj, 44-335, PL</t>
  </si>
  <si>
    <t>3529</t>
  </si>
  <si>
    <t>Huptys</t>
  </si>
  <si>
    <t>Wieslawa</t>
  </si>
  <si>
    <t>0011982290</t>
  </si>
  <si>
    <t>+48 667 800 222</t>
  </si>
  <si>
    <t>Radlinskie Chalupki 123, Wodzislaw Slaski, 44-313, PL</t>
  </si>
  <si>
    <t>4507</t>
  </si>
  <si>
    <t>Jordan</t>
  </si>
  <si>
    <t>Bozena Barbara</t>
  </si>
  <si>
    <t>0011974874</t>
  </si>
  <si>
    <t>+48 515 661 447</t>
  </si>
  <si>
    <t>Osiedle Orlowiec 65m3, Rydultowy, 44-280, PL</t>
  </si>
  <si>
    <t>5079</t>
  </si>
  <si>
    <t>Jureczko</t>
  </si>
  <si>
    <t>Katarzyna Wanda</t>
  </si>
  <si>
    <t>0013378406</t>
  </si>
  <si>
    <t>+48 690 854 053</t>
  </si>
  <si>
    <t>Radlinskie Chalupki 123, Wodzislaw Slaski, 44-300, PL</t>
  </si>
  <si>
    <t>4681</t>
  </si>
  <si>
    <t>Juřicová</t>
  </si>
  <si>
    <t>Dana</t>
  </si>
  <si>
    <t>0013338505</t>
  </si>
  <si>
    <t>+420 731 881 10</t>
  </si>
  <si>
    <t>Jeseník nad Odrou 256, Jeseník nad Odrou, 742 33, CZ</t>
  </si>
  <si>
    <t>5078</t>
  </si>
  <si>
    <t>Kuś</t>
  </si>
  <si>
    <t>Adrian Daniel</t>
  </si>
  <si>
    <t>0013321754</t>
  </si>
  <si>
    <t>+48 730 107 362</t>
  </si>
  <si>
    <t>Świerklańska 37, Jastrzebie Zdroj, 44-268, PL</t>
  </si>
  <si>
    <t>4833</t>
  </si>
  <si>
    <t>Mamala</t>
  </si>
  <si>
    <t>Szymon Piotr</t>
  </si>
  <si>
    <t>0012013869</t>
  </si>
  <si>
    <t>+48 515 835 416</t>
  </si>
  <si>
    <t>Ruchu Oporu 18/9, Jastrzębie-Zdrój, 44-335, PL</t>
  </si>
  <si>
    <t>5277</t>
  </si>
  <si>
    <t>Palucki</t>
  </si>
  <si>
    <t>Bartosz Jan</t>
  </si>
  <si>
    <t>0011978487</t>
  </si>
  <si>
    <t>+48 884 362 595</t>
  </si>
  <si>
    <t>Os. Ks. Wladyslawa 5C/18, Zory, 44-240, PL</t>
  </si>
  <si>
    <t>4564</t>
  </si>
  <si>
    <t>Politowicz</t>
  </si>
  <si>
    <t>Karina Maria</t>
  </si>
  <si>
    <t>0011990175</t>
  </si>
  <si>
    <t>+48 506 137 800</t>
  </si>
  <si>
    <t>Turska 20B, Wodzislaw Slaski, 44-300, PL</t>
  </si>
  <si>
    <t>4866</t>
  </si>
  <si>
    <t>Skulska</t>
  </si>
  <si>
    <t>Katarzyna</t>
  </si>
  <si>
    <t>0013366007</t>
  </si>
  <si>
    <t>+48 666 388 386</t>
  </si>
  <si>
    <t>Piastów 12/7, Jastrzębie-Zdrój, 44-335, PL</t>
  </si>
  <si>
    <t>5076</t>
  </si>
  <si>
    <t>Slaninová</t>
  </si>
  <si>
    <t>Tereza</t>
  </si>
  <si>
    <t>0013371367</t>
  </si>
  <si>
    <t>703 970 455</t>
  </si>
  <si>
    <t>Hukovice 24, Bartošovice - Hukovice, 742 13, CZ</t>
  </si>
  <si>
    <t>4310</t>
  </si>
  <si>
    <t>Szymala</t>
  </si>
  <si>
    <t>Estera Maria</t>
  </si>
  <si>
    <t>0013374163</t>
  </si>
  <si>
    <t>+48 663 754 640</t>
  </si>
  <si>
    <t>Przytulna 2, Wodzislaw Slaski, 44-300, PL</t>
  </si>
  <si>
    <t>4274</t>
  </si>
  <si>
    <t>Wegrzyn</t>
  </si>
  <si>
    <t>Aleksandra</t>
  </si>
  <si>
    <t>0013351534</t>
  </si>
  <si>
    <t>+48 515 340 616</t>
  </si>
  <si>
    <t>26 Marca 170/14, Wodzislaw Slaski, 44-286, PL</t>
  </si>
  <si>
    <t>5025</t>
  </si>
  <si>
    <t>Weissová</t>
  </si>
  <si>
    <t>Pavlína</t>
  </si>
  <si>
    <t>0013324311</t>
  </si>
  <si>
    <t>735 207 222</t>
  </si>
  <si>
    <t>Štursova 187, Nový Jičín - Žilina, 741 01, CZ</t>
  </si>
  <si>
    <t>4617</t>
  </si>
  <si>
    <t>Karkoszka</t>
  </si>
  <si>
    <t>Justyna Agnieszka</t>
  </si>
  <si>
    <t>0328432914</t>
  </si>
  <si>
    <t>48 576 673 042</t>
  </si>
  <si>
    <t>Tysiaclecia 18/7, Wodzislaw Slaski, 44-300</t>
  </si>
  <si>
    <t>5260</t>
  </si>
  <si>
    <t>Malec</t>
  </si>
  <si>
    <t>Julia Aleksandra</t>
  </si>
  <si>
    <t>0328454862</t>
  </si>
  <si>
    <t>48 572 902 549</t>
  </si>
  <si>
    <t>Malopolska 93/4, Jastrzebie-Zdrój, 44-335</t>
  </si>
  <si>
    <t>5129</t>
  </si>
  <si>
    <t>Buza</t>
  </si>
  <si>
    <t>Grazyna Aniela</t>
  </si>
  <si>
    <t>0328432941</t>
  </si>
  <si>
    <t>48 788 217 740</t>
  </si>
  <si>
    <t>Cicha 10, Gogolowa , 44-323</t>
  </si>
  <si>
    <t>5275</t>
  </si>
  <si>
    <t>Pogoda</t>
  </si>
  <si>
    <t>Beata Anita</t>
  </si>
  <si>
    <t>0348334221</t>
  </si>
  <si>
    <t>48 606 252 415</t>
  </si>
  <si>
    <t>Rymera 247, Radlin, 44-310</t>
  </si>
  <si>
    <t>5191</t>
  </si>
  <si>
    <t>Porebny</t>
  </si>
  <si>
    <t>Martyna Anna</t>
  </si>
  <si>
    <t>0370049130</t>
  </si>
  <si>
    <t>48 539 981 158</t>
  </si>
  <si>
    <t>Katowicka 7/5, Jastrzebie Zdroj, 44-335</t>
  </si>
  <si>
    <t>5005</t>
  </si>
  <si>
    <t>Surma</t>
  </si>
  <si>
    <t>Natalia Aurelia</t>
  </si>
  <si>
    <t>0370042869</t>
  </si>
  <si>
    <t>48 533 136 616</t>
  </si>
  <si>
    <t>Gagarina 108/3, Jastrzebie Zdroj, 44-268</t>
  </si>
  <si>
    <t>4163</t>
  </si>
  <si>
    <t>Smietana</t>
  </si>
  <si>
    <t>Mirela Barbara</t>
  </si>
  <si>
    <t>0301162261</t>
  </si>
  <si>
    <t>48 665 142 024</t>
  </si>
  <si>
    <t>Os. Alojzego Biernackiego 48, Pszow, 44-370</t>
  </si>
  <si>
    <t>4501</t>
  </si>
  <si>
    <t>Cyrzyk</t>
  </si>
  <si>
    <t>Grazyna Barbara</t>
  </si>
  <si>
    <t>0315325883</t>
  </si>
  <si>
    <t>48 507 397 115</t>
  </si>
  <si>
    <t>Folwarczna 19, Kończyce Małe, 43-410</t>
  </si>
  <si>
    <t>5270</t>
  </si>
  <si>
    <t>Warminska</t>
  </si>
  <si>
    <t>Katarzyna Barbara</t>
  </si>
  <si>
    <t>0301172878</t>
  </si>
  <si>
    <t>48 883 558 504</t>
  </si>
  <si>
    <t>Wielkopolska 65/15, Jastrzebie-Zdrój, 44-335</t>
  </si>
  <si>
    <t>4835</t>
  </si>
  <si>
    <t>Jerchewicz</t>
  </si>
  <si>
    <t>Iwona Beata</t>
  </si>
  <si>
    <t>0348342408</t>
  </si>
  <si>
    <t>48 517 946 990</t>
  </si>
  <si>
    <t>osiedle 1000-lecia 15/21, Jastrzębie-Zdrój, 44-268</t>
  </si>
  <si>
    <t>4105</t>
  </si>
  <si>
    <t>Monika Bernadeta</t>
  </si>
  <si>
    <t>0301180636</t>
  </si>
  <si>
    <t>48 503 350 812</t>
  </si>
  <si>
    <t>1000-lecia 38/7, Wodzislaw Slaski, 44-300</t>
  </si>
  <si>
    <t>4718</t>
  </si>
  <si>
    <t>Torzewska</t>
  </si>
  <si>
    <t>Ewelina Boguslawa</t>
  </si>
  <si>
    <t>0301162243</t>
  </si>
  <si>
    <t>48 573 476 005</t>
  </si>
  <si>
    <t>Osiedle Księcia Władysława 10F/5, Zory, 44-241</t>
  </si>
  <si>
    <t>5244</t>
  </si>
  <si>
    <t>Tanska</t>
  </si>
  <si>
    <t>Wioleta Brygida</t>
  </si>
  <si>
    <t>0370026929</t>
  </si>
  <si>
    <t>48 793 695 422</t>
  </si>
  <si>
    <t>Pszczynska 292/401 , Jastrzebie Zdroj ,44-335</t>
  </si>
  <si>
    <t>4632</t>
  </si>
  <si>
    <t>Witos</t>
  </si>
  <si>
    <t>Katarzyna Daria</t>
  </si>
  <si>
    <t>0328454857</t>
  </si>
  <si>
    <t>48 733 004 956</t>
  </si>
  <si>
    <t>Malchera 5/2, Jastrzebie-Zdrój, 44-335</t>
  </si>
  <si>
    <t>5249</t>
  </si>
  <si>
    <t>Koniecny</t>
  </si>
  <si>
    <t>Joanna Elzbieta</t>
  </si>
  <si>
    <t>0328443823</t>
  </si>
  <si>
    <t>48 452 375 689</t>
  </si>
  <si>
    <t>Czyzowicka 131A/208 , Wodzislaw Slaski, 44-300</t>
  </si>
  <si>
    <t>3040</t>
  </si>
  <si>
    <t>Osiewala</t>
  </si>
  <si>
    <t>Artur Grzegorz</t>
  </si>
  <si>
    <t>0301166901</t>
  </si>
  <si>
    <t>48 736 848 324</t>
  </si>
  <si>
    <t>Ofiar Faszyzmu 14/11, Jastrzebie-Zdrój , 44-335</t>
  </si>
  <si>
    <t>4955</t>
  </si>
  <si>
    <t>Dalemula</t>
  </si>
  <si>
    <t>Krysztof Grzegorz</t>
  </si>
  <si>
    <t>0370035234</t>
  </si>
  <si>
    <t>48 691 339 886</t>
  </si>
  <si>
    <t>26 marca 26/2, Wodzislaw Slaski, 44-300</t>
  </si>
  <si>
    <t>4834</t>
  </si>
  <si>
    <t>Blonski</t>
  </si>
  <si>
    <t>Marcin Ireneusz</t>
  </si>
  <si>
    <t>0328432923</t>
  </si>
  <si>
    <t>48 451 203 184</t>
  </si>
  <si>
    <t>Pomorska 23/2, Jastrzębie-Zdrój, 44-335</t>
  </si>
  <si>
    <t>5206</t>
  </si>
  <si>
    <t>Sopala</t>
  </si>
  <si>
    <t>Wioletta Iwona</t>
  </si>
  <si>
    <t>0301162084</t>
  </si>
  <si>
    <t>48 664 250 396</t>
  </si>
  <si>
    <t>Pszczynska 267C, Jastrzebie-Zdrój, 44-330</t>
  </si>
  <si>
    <t>4971</t>
  </si>
  <si>
    <t>Adranowicz</t>
  </si>
  <si>
    <t>Karolina Jadwiga</t>
  </si>
  <si>
    <t>0289896686</t>
  </si>
  <si>
    <t>48 570 460 356</t>
  </si>
  <si>
    <t>Jagodowa 1 , Zebrzydowice, 43-410</t>
  </si>
  <si>
    <t>4990</t>
  </si>
  <si>
    <t>Szatylo</t>
  </si>
  <si>
    <t>Heroním Jan</t>
  </si>
  <si>
    <t>0328608644</t>
  </si>
  <si>
    <t>48 517 651 935</t>
  </si>
  <si>
    <t>XXX-Lecia 83/1, Wodzislaw Slaski , 44-286</t>
  </si>
  <si>
    <t>4155</t>
  </si>
  <si>
    <t>Suchy</t>
  </si>
  <si>
    <t>Anna Katarzyna</t>
  </si>
  <si>
    <t>0328608658</t>
  </si>
  <si>
    <t>48 575 850 403</t>
  </si>
  <si>
    <t>1 Maja 153A, Mszana, 44-325</t>
  </si>
  <si>
    <t>4720</t>
  </si>
  <si>
    <t>Marczak</t>
  </si>
  <si>
    <t>Maria Katarzyna</t>
  </si>
  <si>
    <t>0348342948</t>
  </si>
  <si>
    <t>48 669 565 741</t>
  </si>
  <si>
    <t>Cieszyńska 202B, Jastrzebie-Zdrój, 44-335</t>
  </si>
  <si>
    <t>4987</t>
  </si>
  <si>
    <t>Skrzypiec</t>
  </si>
  <si>
    <t>Agnieszka Katarzyna</t>
  </si>
  <si>
    <t>0370037121</t>
  </si>
  <si>
    <t>48 793 987 575</t>
  </si>
  <si>
    <t>Tysiaclecia 62/5 , Wodzislaw Slaski , 44-30</t>
  </si>
  <si>
    <t>5250</t>
  </si>
  <si>
    <t>Chudala</t>
  </si>
  <si>
    <t>Kamila Katarzyna</t>
  </si>
  <si>
    <t>0301162065</t>
  </si>
  <si>
    <t>48 733 622 020</t>
  </si>
  <si>
    <t>Mlodziezowa 67B/2 , Wodzislaw Slaski, 44-373</t>
  </si>
  <si>
    <t>5251</t>
  </si>
  <si>
    <t>Skrobol</t>
  </si>
  <si>
    <t>Jolanta Kazimiera</t>
  </si>
  <si>
    <t>0315325884</t>
  </si>
  <si>
    <t>48 661 821 712</t>
  </si>
  <si>
    <t>Młodzieżowa 67B/3 , Wodzislaw Slaski , 44-373</t>
  </si>
  <si>
    <t>4075</t>
  </si>
  <si>
    <t>Czerwik</t>
  </si>
  <si>
    <t>Maksymilian Konrad</t>
  </si>
  <si>
    <t>0328608651</t>
  </si>
  <si>
    <t>48 728 262 157</t>
  </si>
  <si>
    <t>Gustawa Morcinka 5/3, Jastrzebie-Zdroj, 44-335</t>
  </si>
  <si>
    <t>3474</t>
  </si>
  <si>
    <t>Niznik</t>
  </si>
  <si>
    <t>Mariola Krystyna</t>
  </si>
  <si>
    <t>0328443809</t>
  </si>
  <si>
    <t>48 534 280 476</t>
  </si>
  <si>
    <t>Adolfa Dygasińskiego 33, Pszów, 44-370</t>
  </si>
  <si>
    <t>3937</t>
  </si>
  <si>
    <t>Tyminska</t>
  </si>
  <si>
    <t>Sylvia Malgorzata</t>
  </si>
  <si>
    <t>0272698648</t>
  </si>
  <si>
    <t>48 602 294 398</t>
  </si>
  <si>
    <t>Zielona 20/7, Jastrzebie-Zdroj, 44-335</t>
  </si>
  <si>
    <t>4828</t>
  </si>
  <si>
    <t>Stryjska</t>
  </si>
  <si>
    <t>Beata Malgorzata</t>
  </si>
  <si>
    <t>0348338812</t>
  </si>
  <si>
    <t>48 607 421 757</t>
  </si>
  <si>
    <t>Alojzego Milaty 1B/5, Cieszyn, 43-400</t>
  </si>
  <si>
    <t>2109</t>
  </si>
  <si>
    <t>Lesniak</t>
  </si>
  <si>
    <t>Robert Marek</t>
  </si>
  <si>
    <t>0289821104</t>
  </si>
  <si>
    <t>48 08 856 147</t>
  </si>
  <si>
    <t>Turystyczna 5/14, Jastrzebie-Zdrój, 44-335</t>
  </si>
  <si>
    <t>3396</t>
  </si>
  <si>
    <t>Matusiak</t>
  </si>
  <si>
    <t>Orfeusz Marek</t>
  </si>
  <si>
    <t>0370042379</t>
  </si>
  <si>
    <t>48 537 065 617</t>
  </si>
  <si>
    <t>osiedle 1000-lecia 18/7, Jasrtzebie-zdroj, 44-268</t>
  </si>
  <si>
    <t>4775</t>
  </si>
  <si>
    <t>Kotowski</t>
  </si>
  <si>
    <t>Zbigniew Marek</t>
  </si>
  <si>
    <t>0301166922</t>
  </si>
  <si>
    <t>48 539 242 677</t>
  </si>
  <si>
    <t>Śrutarska 28/1, Cieszyn, 43-400</t>
  </si>
  <si>
    <t>4092</t>
  </si>
  <si>
    <t>Sitek</t>
  </si>
  <si>
    <t>Karolina Maria</t>
  </si>
  <si>
    <t>0301166883</t>
  </si>
  <si>
    <t>48 726 113 843</t>
  </si>
  <si>
    <t>Dworcowa 49, Laziska, 44-340</t>
  </si>
  <si>
    <t>5224</t>
  </si>
  <si>
    <t>Gora</t>
  </si>
  <si>
    <t>Renata Maria</t>
  </si>
  <si>
    <t>0328443824</t>
  </si>
  <si>
    <t>48 887 691 372</t>
  </si>
  <si>
    <t>Chmielna 13, Konczyce Male, 43-410</t>
  </si>
  <si>
    <t>5257</t>
  </si>
  <si>
    <t>Kaminska</t>
  </si>
  <si>
    <t>Wioletta Maria</t>
  </si>
  <si>
    <t>0348314735</t>
  </si>
  <si>
    <t>48 513 775 887</t>
  </si>
  <si>
    <t>Slaska 31/12, Jastrzebie Zdroj, 44-335</t>
  </si>
  <si>
    <t>5259</t>
  </si>
  <si>
    <t>Izabela Maria</t>
  </si>
  <si>
    <t>0301165671</t>
  </si>
  <si>
    <t>48 791 042 779</t>
  </si>
  <si>
    <t>Ulica Wiejska 96/5, Jastrzebie-Zdroj , 44-338</t>
  </si>
  <si>
    <t>4773</t>
  </si>
  <si>
    <t>Pszonak</t>
  </si>
  <si>
    <t>Monika Marta</t>
  </si>
  <si>
    <t>0348333056</t>
  </si>
  <si>
    <t>48 728 349 041</t>
  </si>
  <si>
    <t>Tęczowa 20, Świerklany , 44-266</t>
  </si>
  <si>
    <t>3273</t>
  </si>
  <si>
    <t>Gawlok</t>
  </si>
  <si>
    <t>Maria Marzena</t>
  </si>
  <si>
    <t>0227604194</t>
  </si>
  <si>
    <t>48 609 564 610</t>
  </si>
  <si>
    <t>Powstancow Slaskich 244, Skrzyszow, 44-348</t>
  </si>
  <si>
    <t>4912</t>
  </si>
  <si>
    <t>Szymura</t>
  </si>
  <si>
    <t>Edyta Marzena</t>
  </si>
  <si>
    <t>0301165651</t>
  </si>
  <si>
    <t>48 514 925 449</t>
  </si>
  <si>
    <t>Cieszynska 221, Jastrzebie Zdroj, 44-337</t>
  </si>
  <si>
    <t>5065</t>
  </si>
  <si>
    <t>Olbrys</t>
  </si>
  <si>
    <t>Justyna Marzena</t>
  </si>
  <si>
    <t>0301173036</t>
  </si>
  <si>
    <t>48 721 988 899</t>
  </si>
  <si>
    <t>Wroclawska 21/22, Jastrzebie Zdroj , 44-335</t>
  </si>
  <si>
    <t>4514</t>
  </si>
  <si>
    <t>Sikora</t>
  </si>
  <si>
    <t>Teresa Michalina</t>
  </si>
  <si>
    <t>0315321893</t>
  </si>
  <si>
    <t>48 731 406 172</t>
  </si>
  <si>
    <t>Leśna 5/8, Gorzyczki, 44-350</t>
  </si>
  <si>
    <t>4515</t>
  </si>
  <si>
    <t>Karina Monika</t>
  </si>
  <si>
    <t>0301180379</t>
  </si>
  <si>
    <t>48 733 032 650</t>
  </si>
  <si>
    <t>Bolesława Prusa 12/3, Wodzislaw Slaski, 44-300</t>
  </si>
  <si>
    <t>0328443816</t>
  </si>
  <si>
    <t>48 510 087 467</t>
  </si>
  <si>
    <t>Tysiąclecia 38/7, Wodzisław Śląski, 44-300</t>
  </si>
  <si>
    <t>5131</t>
  </si>
  <si>
    <t>Worek</t>
  </si>
  <si>
    <t>Teresa Monika</t>
  </si>
  <si>
    <t>0216795672</t>
  </si>
  <si>
    <t>48 517 254 703</t>
  </si>
  <si>
    <t>Turystyczna 27/36, Jastrzebie Zdroj 44-335</t>
  </si>
  <si>
    <t>5271</t>
  </si>
  <si>
    <t>Kielkowska</t>
  </si>
  <si>
    <t>Agnieszka Monika</t>
  </si>
  <si>
    <t>0348325352</t>
  </si>
  <si>
    <t>48 519 481 259</t>
  </si>
  <si>
    <t>Mlynska 29A, Jastrzebie Zdroj, 44-335</t>
  </si>
  <si>
    <t>5261</t>
  </si>
  <si>
    <t>Kupczak</t>
  </si>
  <si>
    <t>Dominika Patrycja</t>
  </si>
  <si>
    <t>0301180517</t>
  </si>
  <si>
    <t>48 722 184 954</t>
  </si>
  <si>
    <t>Malopolska 103/9, Jastrzebie-Zdroj, 44-335</t>
  </si>
  <si>
    <t>5246</t>
  </si>
  <si>
    <t>Mozuch</t>
  </si>
  <si>
    <t>Damian Slawomir</t>
  </si>
  <si>
    <t>0301162047</t>
  </si>
  <si>
    <t>48 530 808 260</t>
  </si>
  <si>
    <t>Krakowska 3/10, Jastrzebie-Zdrój, 44-335</t>
  </si>
  <si>
    <t>4602</t>
  </si>
  <si>
    <t>Watroba</t>
  </si>
  <si>
    <t>Leszek Stanislaw</t>
  </si>
  <si>
    <t>0289896649</t>
  </si>
  <si>
    <t>48 796 408 373</t>
  </si>
  <si>
    <t>Zielona 33/9, Jastrzebie-Zdroj, 44-335</t>
  </si>
  <si>
    <t>5204</t>
  </si>
  <si>
    <t>Pozarowszczyk</t>
  </si>
  <si>
    <t>Alicja Stefania</t>
  </si>
  <si>
    <t>0301173029</t>
  </si>
  <si>
    <t>48 884 680 482</t>
  </si>
  <si>
    <t>Osiedle Tysiac-lecia 26/8, Wodzislaw Slaski, 44-300</t>
  </si>
  <si>
    <t>5273</t>
  </si>
  <si>
    <t>Daniel Sylweste</t>
  </si>
  <si>
    <t>0301172955</t>
  </si>
  <si>
    <t>48 733 080 489</t>
  </si>
  <si>
    <t>3394</t>
  </si>
  <si>
    <t>Stawowski</t>
  </si>
  <si>
    <t>Patryk Tomasz</t>
  </si>
  <si>
    <t>0301180452</t>
  </si>
  <si>
    <t>48 513 278 184</t>
  </si>
  <si>
    <t>osiedle 1000-lecia 19, Jastrzebie-Zdroj, 44-268</t>
  </si>
  <si>
    <t>4972</t>
  </si>
  <si>
    <t>Pajor</t>
  </si>
  <si>
    <t>Jolanta Wanda</t>
  </si>
  <si>
    <t>0328432680</t>
  </si>
  <si>
    <t>48 516 690 472</t>
  </si>
  <si>
    <t>Towarowa 7/15, Cieszyn, 43-400</t>
  </si>
  <si>
    <t>3648</t>
  </si>
  <si>
    <t>Urbas</t>
  </si>
  <si>
    <t>Monika Weronika</t>
  </si>
  <si>
    <t>0301166942</t>
  </si>
  <si>
    <t>48 536 396 825</t>
  </si>
  <si>
    <t>Zielona 37/22, Jastrzebie-Zdroj, 44-335</t>
  </si>
  <si>
    <t>4510</t>
  </si>
  <si>
    <t>Weczerek</t>
  </si>
  <si>
    <t>Adriana Weronika</t>
  </si>
  <si>
    <t>0328604588</t>
  </si>
  <si>
    <t>48 665 142 622</t>
  </si>
  <si>
    <t>5243</t>
  </si>
  <si>
    <t>Matelska</t>
  </si>
  <si>
    <t>Klaudia Weronika</t>
  </si>
  <si>
    <t>0301165646</t>
  </si>
  <si>
    <t>48 534 970 425</t>
  </si>
  <si>
    <t>Turystyczna 16/11, Jastrzebie-Zdrój, 44-335</t>
  </si>
  <si>
    <t>5009</t>
  </si>
  <si>
    <t>Ostafin</t>
  </si>
  <si>
    <t>Andrzej Zbigniew</t>
  </si>
  <si>
    <t>0370026717</t>
  </si>
  <si>
    <t>48 575 565 409</t>
  </si>
  <si>
    <t>Os. 1000-Lecia 15D/4 , Jastrzebie Zdroj, 44-268</t>
  </si>
  <si>
    <t>5229</t>
  </si>
  <si>
    <t>Szewczyk</t>
  </si>
  <si>
    <t>Wojciech Zdzislaw</t>
  </si>
  <si>
    <t>0370028638</t>
  </si>
  <si>
    <t>48 884 685 014</t>
  </si>
  <si>
    <t>Os. Wladyslawa Sikorskiego 9J/6, Zory, 44-240</t>
  </si>
  <si>
    <t>5194</t>
  </si>
  <si>
    <t>Moc</t>
  </si>
  <si>
    <t>Malgorzata Zofia</t>
  </si>
  <si>
    <t>0301173069</t>
  </si>
  <si>
    <t>48 519 399 747</t>
  </si>
  <si>
    <t>Harcerska 4/1, Jastrzebie Zdroj, 44-335</t>
  </si>
  <si>
    <t>4722</t>
  </si>
  <si>
    <t>Klimkowska</t>
  </si>
  <si>
    <t>Janina Žaneta</t>
  </si>
  <si>
    <t>0348323412</t>
  </si>
  <si>
    <t>48 534 868 808</t>
  </si>
  <si>
    <t>Jurija Gagarina 46, Jastrzębie-Zdrój, 44-268</t>
  </si>
  <si>
    <t>2738</t>
  </si>
  <si>
    <t>Olejniczak</t>
  </si>
  <si>
    <t>Danuta</t>
  </si>
  <si>
    <t>0315321954</t>
  </si>
  <si>
    <t>48 730 766 849</t>
  </si>
  <si>
    <t>Slaska 11/13, Jastrzebie-Zdrój, 44-335</t>
  </si>
  <si>
    <t>2069</t>
  </si>
  <si>
    <t>Debner</t>
  </si>
  <si>
    <t>Karolina</t>
  </si>
  <si>
    <t>0301165689</t>
  </si>
  <si>
    <t>48 739 218 695</t>
  </si>
  <si>
    <t>Promienna 5/201, Zory, 44-240</t>
  </si>
  <si>
    <t>2230</t>
  </si>
  <si>
    <t>Piechaczek</t>
  </si>
  <si>
    <t>Agnieszka</t>
  </si>
  <si>
    <t>0272698616</t>
  </si>
  <si>
    <t>Wiejska 21, Jastrzebie-Zdroj, 44-338</t>
  </si>
  <si>
    <t>2945</t>
  </si>
  <si>
    <t>Francová</t>
  </si>
  <si>
    <t>Karolína</t>
  </si>
  <si>
    <t>0289821261</t>
  </si>
  <si>
    <t>770 664 657</t>
  </si>
  <si>
    <t>Hrnčířská 2003, Rožnov pod Radhoštěm, 756 61</t>
  </si>
  <si>
    <t>5175</t>
  </si>
  <si>
    <t>Wywiol</t>
  </si>
  <si>
    <t>Romeusz</t>
  </si>
  <si>
    <t>0315321918</t>
  </si>
  <si>
    <t>48 574 677 081</t>
  </si>
  <si>
    <t>Turystyczna 1, Jastrzebie-Zdrój, 44-335</t>
  </si>
  <si>
    <t>3257</t>
  </si>
  <si>
    <t>Starzyczny</t>
  </si>
  <si>
    <t>Joanna</t>
  </si>
  <si>
    <t>0272698647</t>
  </si>
  <si>
    <t>48 693 474 209</t>
  </si>
  <si>
    <t>Wiejska 9 A m.1, Jastrzebie-Zdrój, 44-338</t>
  </si>
  <si>
    <t>3369</t>
  </si>
  <si>
    <t>Mottlová</t>
  </si>
  <si>
    <t>Markéta</t>
  </si>
  <si>
    <t>0315321940</t>
  </si>
  <si>
    <t>720 578 148</t>
  </si>
  <si>
    <t>Závodní 409/53, Ostrava - Hrabůvka, 700 30</t>
  </si>
  <si>
    <t>3078</t>
  </si>
  <si>
    <t>Boguslaw</t>
  </si>
  <si>
    <t>0315321941</t>
  </si>
  <si>
    <t>Dygasinskiego 33, Pszów, 44-370</t>
  </si>
  <si>
    <t>3721</t>
  </si>
  <si>
    <t>Fitrzyková</t>
  </si>
  <si>
    <t>Jana</t>
  </si>
  <si>
    <t>0328604658</t>
  </si>
  <si>
    <t>704 188 141</t>
  </si>
  <si>
    <t>Těšínská 87/281, Ostrava - Radvanice, 716 00</t>
  </si>
  <si>
    <t>3729</t>
  </si>
  <si>
    <t>Chodinský</t>
  </si>
  <si>
    <t>Jakub</t>
  </si>
  <si>
    <t>0328608672</t>
  </si>
  <si>
    <t>735 997 947</t>
  </si>
  <si>
    <t>Vyškovická 447/153 , Ostrava - Výškovice, 700 30</t>
  </si>
  <si>
    <t>3728</t>
  </si>
  <si>
    <t>Rostislav</t>
  </si>
  <si>
    <t>0301165667</t>
  </si>
  <si>
    <t>735 883 940</t>
  </si>
  <si>
    <t>4365</t>
  </si>
  <si>
    <t>Šostá</t>
  </si>
  <si>
    <t>Ivana</t>
  </si>
  <si>
    <t>0315325893</t>
  </si>
  <si>
    <t>702 897 627</t>
  </si>
  <si>
    <t>Hulvácká 1399/11a, Ostrava-Zábřeh , 700 30</t>
  </si>
  <si>
    <t>3284</t>
  </si>
  <si>
    <t>Matuszczyk</t>
  </si>
  <si>
    <t>Beata</t>
  </si>
  <si>
    <t>0328608668</t>
  </si>
  <si>
    <t>48 692 755 081</t>
  </si>
  <si>
    <t>Górnicza 38/23, Jastrzebie-Zdroj, 44-335</t>
  </si>
  <si>
    <t>4326</t>
  </si>
  <si>
    <t>Lázoková</t>
  </si>
  <si>
    <t>Darina</t>
  </si>
  <si>
    <t>0328608677</t>
  </si>
  <si>
    <t>705 926 915</t>
  </si>
  <si>
    <t>Lidická 539, Třinec - Lyžbice, 739 61</t>
  </si>
  <si>
    <t>4442</t>
  </si>
  <si>
    <t>Artur</t>
  </si>
  <si>
    <t>0301165649</t>
  </si>
  <si>
    <t>48 731 773 661</t>
  </si>
  <si>
    <t>Gustawa Morcinka 8/6, Jastrzebie-Zdroj, 44-335</t>
  </si>
  <si>
    <t>3871</t>
  </si>
  <si>
    <t>Neudert</t>
  </si>
  <si>
    <t>Pavel</t>
  </si>
  <si>
    <t>0370053055</t>
  </si>
  <si>
    <t>704 717 533</t>
  </si>
  <si>
    <t>Horní 791/3, Ostrava - Hrabůvka, 700 30</t>
  </si>
  <si>
    <t>3920</t>
  </si>
  <si>
    <t>Krzenek</t>
  </si>
  <si>
    <t>Ryszarda</t>
  </si>
  <si>
    <t>0315325856</t>
  </si>
  <si>
    <t>48 725 009 441</t>
  </si>
  <si>
    <t>Skrajna 4 m.6, Cieszyn, 43-400</t>
  </si>
  <si>
    <t>4622</t>
  </si>
  <si>
    <t>Starosta</t>
  </si>
  <si>
    <t>Barbara</t>
  </si>
  <si>
    <t>0328443818</t>
  </si>
  <si>
    <t>48 735 049 358</t>
  </si>
  <si>
    <t>Radlinska 147, Wodzislaw Slaski, 44-300</t>
  </si>
  <si>
    <t>4682</t>
  </si>
  <si>
    <t>Bugno</t>
  </si>
  <si>
    <t>0289896688</t>
  </si>
  <si>
    <t>48 785 427 469</t>
  </si>
  <si>
    <t>Okreźna 4, Zebrzydowice, 43-410</t>
  </si>
  <si>
    <t>4719</t>
  </si>
  <si>
    <t>Paczlowski</t>
  </si>
  <si>
    <t>Michal</t>
  </si>
  <si>
    <t>0328611446</t>
  </si>
  <si>
    <t>48 535 384 403</t>
  </si>
  <si>
    <t>Turnawiec 9,Turnawiec, 28-506</t>
  </si>
  <si>
    <t>2463</t>
  </si>
  <si>
    <t>Krensel</t>
  </si>
  <si>
    <t>Maria</t>
  </si>
  <si>
    <t>0289910254</t>
  </si>
  <si>
    <t>48 888 278 520</t>
  </si>
  <si>
    <t>Poprzeczna 16/8, Jastrzebie-Zdrój, 44-330</t>
  </si>
  <si>
    <t>4599</t>
  </si>
  <si>
    <t>Belej</t>
  </si>
  <si>
    <t>Karina</t>
  </si>
  <si>
    <t>0348342254</t>
  </si>
  <si>
    <t>48 723 005 113</t>
  </si>
  <si>
    <t>Miarki 2m.22, Jastrzebie-Zdroj , 44-330</t>
  </si>
  <si>
    <t>4132</t>
  </si>
  <si>
    <t>Adamiec</t>
  </si>
  <si>
    <t>Mariola</t>
  </si>
  <si>
    <t>0370025477</t>
  </si>
  <si>
    <t>48 514 328 225</t>
  </si>
  <si>
    <t>Marusarzowny 2/26, Jastrzebie-Zdroj, 44-330</t>
  </si>
  <si>
    <t>4838</t>
  </si>
  <si>
    <t>Bartoň</t>
  </si>
  <si>
    <t>Edyta</t>
  </si>
  <si>
    <t>0328608648</t>
  </si>
  <si>
    <t>48 793 386 811</t>
  </si>
  <si>
    <t>Cieszyńska 218/4, Jastrzębie-Zdrój, 44-337</t>
  </si>
  <si>
    <t>4928</t>
  </si>
  <si>
    <t>Zjadewicz</t>
  </si>
  <si>
    <t>Robert</t>
  </si>
  <si>
    <t>0301162227</t>
  </si>
  <si>
    <t>48 783 448 031</t>
  </si>
  <si>
    <t>Jasna 19/10, Jastrzebie Zdroj , 44-335</t>
  </si>
  <si>
    <t>4963</t>
  </si>
  <si>
    <t>Krzemiński</t>
  </si>
  <si>
    <t>Zbigniew</t>
  </si>
  <si>
    <t>0348330448</t>
  </si>
  <si>
    <t>48 510 280 238</t>
  </si>
  <si>
    <t>Gustawa Morcinka 17b/3 , Rybnik, 44-273</t>
  </si>
  <si>
    <t>5014</t>
  </si>
  <si>
    <t>Michalec</t>
  </si>
  <si>
    <t>Regina</t>
  </si>
  <si>
    <t>0370041446</t>
  </si>
  <si>
    <t>48 794 475 219</t>
  </si>
  <si>
    <t>Rynek 5/1, Strumien, 43-246</t>
  </si>
  <si>
    <t>5024</t>
  </si>
  <si>
    <t>Marinska</t>
  </si>
  <si>
    <t>Natalia</t>
  </si>
  <si>
    <t>0301172992</t>
  </si>
  <si>
    <t>48 602 506 260</t>
  </si>
  <si>
    <t>Lipowa 16, Hazlach , 43-419</t>
  </si>
  <si>
    <t>5155</t>
  </si>
  <si>
    <t>Vrlíková</t>
  </si>
  <si>
    <t>Monika</t>
  </si>
  <si>
    <t>0370059270</t>
  </si>
  <si>
    <t>48 792 058 912</t>
  </si>
  <si>
    <t>Beskidzka 30/2, Jastrzebie Zdroj, 44-335</t>
  </si>
  <si>
    <t>5180</t>
  </si>
  <si>
    <t>Motyl</t>
  </si>
  <si>
    <t>Slawomir</t>
  </si>
  <si>
    <t>0301172956</t>
  </si>
  <si>
    <t>48 512 640 222</t>
  </si>
  <si>
    <t>Pszczynska 189A, Jastrzebie Zdroj, 44-335</t>
  </si>
  <si>
    <t>5179</t>
  </si>
  <si>
    <t>Szymiczek</t>
  </si>
  <si>
    <t>Ewa</t>
  </si>
  <si>
    <t>0370026025</t>
  </si>
  <si>
    <t>48 534 483 104</t>
  </si>
  <si>
    <t>Marusarzowny 12/28, Jastrzebie-Zdrój, 44-335</t>
  </si>
  <si>
    <t>5176</t>
  </si>
  <si>
    <t>Skolarus</t>
  </si>
  <si>
    <t>Sebastian</t>
  </si>
  <si>
    <t>0301172958</t>
  </si>
  <si>
    <t>48 577 727 649</t>
  </si>
  <si>
    <t>Wiejska 20, Gorzyczki , 44-350</t>
  </si>
  <si>
    <t>5177</t>
  </si>
  <si>
    <t>Ogórek</t>
  </si>
  <si>
    <t>Bogdan</t>
  </si>
  <si>
    <t>0301162049</t>
  </si>
  <si>
    <t>48 531 467 802</t>
  </si>
  <si>
    <t>Wyszynskiego 67/11, Wodzislaw Slaski, 44-300</t>
  </si>
  <si>
    <t>5192</t>
  </si>
  <si>
    <t>Gasior</t>
  </si>
  <si>
    <t>Tomasz</t>
  </si>
  <si>
    <t>0301180406</t>
  </si>
  <si>
    <t>48 574 787 606</t>
  </si>
  <si>
    <t>Os. Ks. Wladyslawa 7C/37 , Zory, 44-240</t>
  </si>
  <si>
    <t>5209</t>
  </si>
  <si>
    <t>Klosek</t>
  </si>
  <si>
    <t>Andrzej</t>
  </si>
  <si>
    <t>0301162320</t>
  </si>
  <si>
    <t>48 667 542 463</t>
  </si>
  <si>
    <t>Orzeszkowej 12/18, Wodzislaw Slaski, 44-300</t>
  </si>
  <si>
    <t>5208</t>
  </si>
  <si>
    <t>0370023455</t>
  </si>
  <si>
    <t>48 789 625 101</t>
  </si>
  <si>
    <t>Plebiscytowa 20, Orzesze , 43-180</t>
  </si>
  <si>
    <t>5226</t>
  </si>
  <si>
    <t>Goralska</t>
  </si>
  <si>
    <t>Magdalena</t>
  </si>
  <si>
    <t>0370041265</t>
  </si>
  <si>
    <t>48 790 463 268</t>
  </si>
  <si>
    <t>Katowicka 111/2, Cieszyn, 43-400</t>
  </si>
  <si>
    <t>4568</t>
  </si>
  <si>
    <t>Bartoszewska</t>
  </si>
  <si>
    <t>Justyna Anna</t>
  </si>
  <si>
    <t>0011601691</t>
  </si>
  <si>
    <t>+48603109477</t>
  </si>
  <si>
    <t>Generala Okulickiego, 51N, Rybnik, 44-274, PL</t>
  </si>
  <si>
    <t>5074</t>
  </si>
  <si>
    <t>Bason</t>
  </si>
  <si>
    <t>Bartosz Pawel</t>
  </si>
  <si>
    <t>0011642700</t>
  </si>
  <si>
    <t>+48 881 513 086</t>
  </si>
  <si>
    <t>Modrzewiowa, 20, Kleszczowka, 44-240, PL</t>
  </si>
  <si>
    <t>5126</t>
  </si>
  <si>
    <t>Biezunski</t>
  </si>
  <si>
    <t>Janusz Leszek</t>
  </si>
  <si>
    <t>0012955543</t>
  </si>
  <si>
    <t>+48 692 565 321</t>
  </si>
  <si>
    <t>Os. Pawlikowskiego, 3G/2, Zory, 44-240, PL</t>
  </si>
  <si>
    <t>5112</t>
  </si>
  <si>
    <t>Bogucka</t>
  </si>
  <si>
    <t>Marta Monika</t>
  </si>
  <si>
    <t>0011686343</t>
  </si>
  <si>
    <t>+48 665 874 506</t>
  </si>
  <si>
    <t>Ludwika Warynskiego, 4/11, Wodzislaw Slaski, 44-300, PL</t>
  </si>
  <si>
    <t>5073</t>
  </si>
  <si>
    <t>Cieslar</t>
  </si>
  <si>
    <t>Daniel</t>
  </si>
  <si>
    <t>0011675122</t>
  </si>
  <si>
    <t>+48 731 712 224</t>
  </si>
  <si>
    <t>Szarych Szeregow, 18/8, Jastrzebie Zdroj, 44-330, PL</t>
  </si>
  <si>
    <t>5072</t>
  </si>
  <si>
    <t>0012985653</t>
  </si>
  <si>
    <t>+48 533 913 980</t>
  </si>
  <si>
    <t>4988</t>
  </si>
  <si>
    <t>Cygon</t>
  </si>
  <si>
    <t>Adam Marek</t>
  </si>
  <si>
    <t>0013067733</t>
  </si>
  <si>
    <t>+48 690 822 113</t>
  </si>
  <si>
    <t>ks. Henryka Joski, 27b/2, Rybnik, 44-217, PL</t>
  </si>
  <si>
    <t>5023</t>
  </si>
  <si>
    <t>Gozdur</t>
  </si>
  <si>
    <t>Oliwia Katarzyna</t>
  </si>
  <si>
    <t>0013058765</t>
  </si>
  <si>
    <t>+48 791 369 259</t>
  </si>
  <si>
    <t>Wroclawska, 15/33, Jastrzebie Zdroj, 44-335, PL</t>
  </si>
  <si>
    <t>4808</t>
  </si>
  <si>
    <t>Grabiec</t>
  </si>
  <si>
    <t>Joanna Ewelina</t>
  </si>
  <si>
    <t>0012991063</t>
  </si>
  <si>
    <t>+48 792 586 210</t>
  </si>
  <si>
    <t>Zorska, 83, Orzesze, 43-180, PL</t>
  </si>
  <si>
    <t>5068</t>
  </si>
  <si>
    <t>Guzowska</t>
  </si>
  <si>
    <t>Danuta Maria</t>
  </si>
  <si>
    <t>0011598583</t>
  </si>
  <si>
    <t>+48 693 063 451</t>
  </si>
  <si>
    <t>Prusa, 3/1, Wodzislaw Slaski, 44-300, PL</t>
  </si>
  <si>
    <t>4639</t>
  </si>
  <si>
    <t>Herman</t>
  </si>
  <si>
    <t>Zaneta Katarzyna</t>
  </si>
  <si>
    <t>0012971953</t>
  </si>
  <si>
    <t>661 051 789</t>
  </si>
  <si>
    <t>Irysowa, 13 B m.9, Radlin, 44-310, PL</t>
  </si>
  <si>
    <t>4691</t>
  </si>
  <si>
    <t>Hyla</t>
  </si>
  <si>
    <t>Mariola Weronika</t>
  </si>
  <si>
    <t>0012946852</t>
  </si>
  <si>
    <t>+48 697 411 499</t>
  </si>
  <si>
    <t>Gronowa, 9I, Rybnik, 44-251, PL</t>
  </si>
  <si>
    <t>4712</t>
  </si>
  <si>
    <t>Chrobok</t>
  </si>
  <si>
    <t>Aldona Paulina</t>
  </si>
  <si>
    <t>0013083707</t>
  </si>
  <si>
    <t>+48 797 351 014</t>
  </si>
  <si>
    <t>Gen. Leopolda Okulickiego, 51Y, Rybnik, 44-274, PL</t>
  </si>
  <si>
    <t>4417</t>
  </si>
  <si>
    <t>Kamený</t>
  </si>
  <si>
    <t>Ivo</t>
  </si>
  <si>
    <t>0013076933</t>
  </si>
  <si>
    <t>702 644 247</t>
  </si>
  <si>
    <t>Václava Košaře, 123/3, Ostrava - Dubina, 700 30, CZ</t>
  </si>
  <si>
    <t>4567</t>
  </si>
  <si>
    <t>Kastelik</t>
  </si>
  <si>
    <t>Malgorzata Barbara</t>
  </si>
  <si>
    <t>0011609291</t>
  </si>
  <si>
    <t>+48 888 830 956</t>
  </si>
  <si>
    <t>Katowicka, 22/35, Jastrzebie Zdroj, 44-335, PL</t>
  </si>
  <si>
    <t>4651</t>
  </si>
  <si>
    <t>Kolanowski</t>
  </si>
  <si>
    <t>Dawid Piotr</t>
  </si>
  <si>
    <t>0011675538</t>
  </si>
  <si>
    <t>+48 510 141 501</t>
  </si>
  <si>
    <t>Ruchu Oporu, 35 m.6, Jastrzebie-Zdrój, 44-335, PL</t>
  </si>
  <si>
    <t>4648</t>
  </si>
  <si>
    <t>Kolodziejczak</t>
  </si>
  <si>
    <t>Bartosz Szymon</t>
  </si>
  <si>
    <t>0011704646</t>
  </si>
  <si>
    <t>+48 506 338 175</t>
  </si>
  <si>
    <t>Dębowa, 9, Marklowice, 44-321, PL</t>
  </si>
  <si>
    <t>5032</t>
  </si>
  <si>
    <t>Kosak</t>
  </si>
  <si>
    <t>Dawid Wieslaw</t>
  </si>
  <si>
    <t>0013013030</t>
  </si>
  <si>
    <t>+48 660 645 044</t>
  </si>
  <si>
    <t>Zamkowa, 33, Tworkow, 47-451, PL</t>
  </si>
  <si>
    <t>4572</t>
  </si>
  <si>
    <t>Krzeminska</t>
  </si>
  <si>
    <t>Justyna Sylwia</t>
  </si>
  <si>
    <t>0011642035</t>
  </si>
  <si>
    <t>+48 726 770 619</t>
  </si>
  <si>
    <t>Stefana Batorego, 19/1, Wodzislaw Slaski, 44-300, PL</t>
  </si>
  <si>
    <t>5060</t>
  </si>
  <si>
    <t>Leszczynska</t>
  </si>
  <si>
    <t>Ewa Stefania</t>
  </si>
  <si>
    <t>0011766449</t>
  </si>
  <si>
    <t>+48 697 524 225</t>
  </si>
  <si>
    <t>Gustawa Morcinka, 13A/2, Rybnik, 44-273, PL</t>
  </si>
  <si>
    <t>4693</t>
  </si>
  <si>
    <t>Malina</t>
  </si>
  <si>
    <t>Kinga Laura</t>
  </si>
  <si>
    <t>0011765266</t>
  </si>
  <si>
    <t>+48 728 715 619</t>
  </si>
  <si>
    <t>Gronowa, 9K, Rybnik, 44-251, PL</t>
  </si>
  <si>
    <t>5067</t>
  </si>
  <si>
    <t>Merta</t>
  </si>
  <si>
    <t>Nikola Dorota</t>
  </si>
  <si>
    <t>0013050746</t>
  </si>
  <si>
    <t>+48 782 786 694</t>
  </si>
  <si>
    <t>Dabrowki, 15E/30, Rybnik, 44-210, PL</t>
  </si>
  <si>
    <t>5115</t>
  </si>
  <si>
    <t>Michalik</t>
  </si>
  <si>
    <t>Maryla Irena</t>
  </si>
  <si>
    <t>0013049688</t>
  </si>
  <si>
    <t>+48 691 900 888</t>
  </si>
  <si>
    <t>Wielkopolska, 49, Jastrzebie Zdroj, 44-335, PL</t>
  </si>
  <si>
    <t>3582</t>
  </si>
  <si>
    <t>Moch</t>
  </si>
  <si>
    <t>Roman</t>
  </si>
  <si>
    <t>0012001867</t>
  </si>
  <si>
    <t>604 577 499</t>
  </si>
  <si>
    <t>Těšínská, 87/281, Ostrava - Radvanice, 716 00, CZ</t>
  </si>
  <si>
    <t>5022</t>
  </si>
  <si>
    <t>Ogon</t>
  </si>
  <si>
    <t>Agata</t>
  </si>
  <si>
    <t>0013390528</t>
  </si>
  <si>
    <t>+48 532 571 498</t>
  </si>
  <si>
    <t>Osiedle Pawlikowskiego, 5E/3, Zory, 44-240, PL</t>
  </si>
  <si>
    <t>5016</t>
  </si>
  <si>
    <t>Paszek</t>
  </si>
  <si>
    <t>Marta Agnieszka</t>
  </si>
  <si>
    <t>0011962568</t>
  </si>
  <si>
    <t>+48 514 186 557</t>
  </si>
  <si>
    <t>Jozefa Pukowca, 10/3, Rybnik, 44-206, PL</t>
  </si>
  <si>
    <t>4909</t>
  </si>
  <si>
    <t>Pawliczek</t>
  </si>
  <si>
    <t>Malgorzata Anna</t>
  </si>
  <si>
    <t>0013390743</t>
  </si>
  <si>
    <t>+48 504 160 397</t>
  </si>
  <si>
    <t>Piaskowa, 12, Jankowice, 44-264, PL</t>
  </si>
  <si>
    <t>Piecha</t>
  </si>
  <si>
    <t>0013384755</t>
  </si>
  <si>
    <t>+48 661 732 025</t>
  </si>
  <si>
    <t>Jastrzebia, 2/1, Zory, 44-240, PL</t>
  </si>
  <si>
    <t>4989</t>
  </si>
  <si>
    <t>Wieslaw Jan</t>
  </si>
  <si>
    <t>0013308933</t>
  </si>
  <si>
    <t>+48 668 428 354</t>
  </si>
  <si>
    <t>Chrobrego, 15, Wodzislaw Slaski, 44-313, PL</t>
  </si>
  <si>
    <t>5031</t>
  </si>
  <si>
    <t>Pietrasz</t>
  </si>
  <si>
    <t>Wiktoria Grazyna</t>
  </si>
  <si>
    <t>0011995107</t>
  </si>
  <si>
    <t>+48 501 148 289</t>
  </si>
  <si>
    <t>Raciborska, 21, Tworkow, 47-451, PL</t>
  </si>
  <si>
    <t>5116</t>
  </si>
  <si>
    <t>Pírková</t>
  </si>
  <si>
    <t>Šárka</t>
  </si>
  <si>
    <t>0013373156</t>
  </si>
  <si>
    <t>+420 702 974 15</t>
  </si>
  <si>
    <t>Šimáčkova, 1011/25, Ostrava - Mariánské Hory, 709 00, CZ</t>
  </si>
  <si>
    <t>5019</t>
  </si>
  <si>
    <t>Poterala</t>
  </si>
  <si>
    <t>Anna Ewa</t>
  </si>
  <si>
    <t>0013335643</t>
  </si>
  <si>
    <t>+48 576 090 507</t>
  </si>
  <si>
    <t>Osiedle 700-Lecia, 4B/2, Zory, 44-240, PL</t>
  </si>
  <si>
    <t>4973</t>
  </si>
  <si>
    <t>Puchalska</t>
  </si>
  <si>
    <t>Monika Maria</t>
  </si>
  <si>
    <t>0011842666</t>
  </si>
  <si>
    <t>+48 798 789 269</t>
  </si>
  <si>
    <t>Os. Pawlikowskiego, 20A/22, Zory, 44-240, PL</t>
  </si>
  <si>
    <t>4900</t>
  </si>
  <si>
    <t>Rowinski</t>
  </si>
  <si>
    <t>Rafal Jacek</t>
  </si>
  <si>
    <t>0013055194</t>
  </si>
  <si>
    <t>+48 791 363 746</t>
  </si>
  <si>
    <t>Przemyslawa, 18E/6, Wodzislaw Slaski, 44-300, PL</t>
  </si>
  <si>
    <t>4969</t>
  </si>
  <si>
    <t>Szulik</t>
  </si>
  <si>
    <t>Aleksandra Beata</t>
  </si>
  <si>
    <t>0013069516</t>
  </si>
  <si>
    <t>+48 503 065 201</t>
  </si>
  <si>
    <t>Orzepowicka, 33, Rybnik, 44-217, PL</t>
  </si>
  <si>
    <t>4711</t>
  </si>
  <si>
    <t>Szymanska</t>
  </si>
  <si>
    <t>Alina Barbara</t>
  </si>
  <si>
    <t>0013068368</t>
  </si>
  <si>
    <t>+48 793 385 840</t>
  </si>
  <si>
    <t>Rericha, 38, Rybnik, 44-274, PL</t>
  </si>
  <si>
    <t>4538</t>
  </si>
  <si>
    <t>Šlehoferová</t>
  </si>
  <si>
    <t>Veronika</t>
  </si>
  <si>
    <t>0013122215</t>
  </si>
  <si>
    <t>+420 721 012 37</t>
  </si>
  <si>
    <t>Žižice, 31, Žižice, 273 21, CZ</t>
  </si>
  <si>
    <t>4999</t>
  </si>
  <si>
    <t>Tychowski</t>
  </si>
  <si>
    <t>Lukasz Tadeusz</t>
  </si>
  <si>
    <t>0013027539</t>
  </si>
  <si>
    <t>+31 623 247 402</t>
  </si>
  <si>
    <t>Gustawa Morcinka, 37/37, Rybnik, 44-273, PL</t>
  </si>
  <si>
    <t>4884</t>
  </si>
  <si>
    <t>Wezka</t>
  </si>
  <si>
    <t>Iwona</t>
  </si>
  <si>
    <t>0011613672</t>
  </si>
  <si>
    <t>+48 726 855 893</t>
  </si>
  <si>
    <t>Slaska, 17/60, Jastrzebie Zdroj, 44-335, PL</t>
  </si>
  <si>
    <t>5048</t>
  </si>
  <si>
    <t>Wojak</t>
  </si>
  <si>
    <t>0012017941</t>
  </si>
  <si>
    <t>+48 788 892 082</t>
  </si>
  <si>
    <t>Gornicza, 46/8, Wodzislaw Slaski, 44-307, PL</t>
  </si>
  <si>
    <t>5205</t>
  </si>
  <si>
    <t>Bach</t>
  </si>
  <si>
    <t>Michalina Wiktoria</t>
  </si>
  <si>
    <t>0B00613215</t>
  </si>
  <si>
    <t>+48 664 128 463</t>
  </si>
  <si>
    <t>Zgodna 7, Pniowek, 43-251</t>
  </si>
  <si>
    <t>5188</t>
  </si>
  <si>
    <t>Belica</t>
  </si>
  <si>
    <t>Bartosz Piotr</t>
  </si>
  <si>
    <t>0B00611DE7</t>
  </si>
  <si>
    <t>+48 721 505 226</t>
  </si>
  <si>
    <t>Wroclawska 35/4, Jastrzebie Zdroj, 44-335</t>
  </si>
  <si>
    <t>3951</t>
  </si>
  <si>
    <t>Brachman</t>
  </si>
  <si>
    <t>Piotr Leszek</t>
  </si>
  <si>
    <t>5B0010F740</t>
  </si>
  <si>
    <t>+48 516 350 901</t>
  </si>
  <si>
    <t>Bojownikow 128, Wodzislaw Slaski, 44-313</t>
  </si>
  <si>
    <t>4894</t>
  </si>
  <si>
    <t>Bujak</t>
  </si>
  <si>
    <t>Beniamin Salamon</t>
  </si>
  <si>
    <t>81008ED362</t>
  </si>
  <si>
    <t>+48 534 066 058</t>
  </si>
  <si>
    <t>Blogocka 30c/8, Cieszyn, 43-400</t>
  </si>
  <si>
    <t>3359</t>
  </si>
  <si>
    <t>Radoslaw Jakub</t>
  </si>
  <si>
    <t>5B00C04143</t>
  </si>
  <si>
    <t>+48 721 009447</t>
  </si>
  <si>
    <t>Adama Mickiewicza 6 m.4, Rydultowy, 44-280</t>
  </si>
  <si>
    <t>5267</t>
  </si>
  <si>
    <t>Deren</t>
  </si>
  <si>
    <t>Przemyslaw Marcin</t>
  </si>
  <si>
    <t>760017A4CA</t>
  </si>
  <si>
    <t>+48 698 346 757</t>
  </si>
  <si>
    <t>Malopolska 75/1, Jastrzebie Zdroj, 44-335</t>
  </si>
  <si>
    <t>5237</t>
  </si>
  <si>
    <t>Kaminski</t>
  </si>
  <si>
    <t>Seweryn Jan</t>
  </si>
  <si>
    <t>4700B501E5</t>
  </si>
  <si>
    <t>+48 507 781 005</t>
  </si>
  <si>
    <t>Aleja Armii Krajowej 31A/1, Zory, 44-240</t>
  </si>
  <si>
    <t>5265</t>
  </si>
  <si>
    <t>Klepczarek</t>
  </si>
  <si>
    <t>Michal Pawel</t>
  </si>
  <si>
    <t>0B0061325F</t>
  </si>
  <si>
    <t>+48 538 154 450</t>
  </si>
  <si>
    <t>Solskiego 37B, Radlin, 44-310</t>
  </si>
  <si>
    <t>5164</t>
  </si>
  <si>
    <t>Koscianska</t>
  </si>
  <si>
    <t>81008EE14E</t>
  </si>
  <si>
    <t>+48 784 402 775</t>
  </si>
  <si>
    <t>Gornicza 15/3, Wodzislaw Slaski, 44-300</t>
  </si>
  <si>
    <t>5030</t>
  </si>
  <si>
    <t>Kowalska</t>
  </si>
  <si>
    <t>Klaudia Maria</t>
  </si>
  <si>
    <t>78007C15C4</t>
  </si>
  <si>
    <t>+48 503 120 538</t>
  </si>
  <si>
    <t>Gleboka 17/3, Cieszyn, 43-400</t>
  </si>
  <si>
    <t>3262</t>
  </si>
  <si>
    <t>Lorenc</t>
  </si>
  <si>
    <t>Pawel Jan</t>
  </si>
  <si>
    <t>5B00C03C1C</t>
  </si>
  <si>
    <t>+48 663 474 887</t>
  </si>
  <si>
    <t>Osiedle Księcia Władysława 6B/22, Zory, 44-241</t>
  </si>
  <si>
    <t>Magiera</t>
  </si>
  <si>
    <t>Dorota Maria</t>
  </si>
  <si>
    <t>5B0012F377</t>
  </si>
  <si>
    <t>+48 600 583 590</t>
  </si>
  <si>
    <t>Lipowa 11, Zamarski, 43-419</t>
  </si>
  <si>
    <t>5138</t>
  </si>
  <si>
    <t>Maslowski</t>
  </si>
  <si>
    <t>Dominik Marek</t>
  </si>
  <si>
    <t>0B00613225</t>
  </si>
  <si>
    <t>+48 724 602 137</t>
  </si>
  <si>
    <t>Osiedle Wojciecha Korfantego 6A/23, Zory, 44-240</t>
  </si>
  <si>
    <t>5240</t>
  </si>
  <si>
    <t>Michon</t>
  </si>
  <si>
    <t>Adam Antoni</t>
  </si>
  <si>
    <t>5B00C450BF</t>
  </si>
  <si>
    <t>+48 789 720 605</t>
  </si>
  <si>
    <t>Kusocinskiego 37/8, Jastrzebie Zdroj, 44-335</t>
  </si>
  <si>
    <t>4392</t>
  </si>
  <si>
    <t>Milek</t>
  </si>
  <si>
    <t>Michal Jerzy</t>
  </si>
  <si>
    <t>5B00C3D571</t>
  </si>
  <si>
    <t>+48 730 393 595</t>
  </si>
  <si>
    <t>Krzyzkowicka 76, Rydultowy, 44280</t>
  </si>
  <si>
    <t>4482</t>
  </si>
  <si>
    <t>Mochnacz</t>
  </si>
  <si>
    <t>Lukasz Teodor</t>
  </si>
  <si>
    <t>78007BF8FB</t>
  </si>
  <si>
    <t>+48 534 996 548</t>
  </si>
  <si>
    <t>Budowlanych 45B/24, Rybnik, 44-217</t>
  </si>
  <si>
    <t>5225</t>
  </si>
  <si>
    <t>Nagi</t>
  </si>
  <si>
    <t>Daniel Kamil</t>
  </si>
  <si>
    <t>4700B4F856</t>
  </si>
  <si>
    <t>+48 786 100 892</t>
  </si>
  <si>
    <t>Gornicza 19C/4, Rybnik, 44-206</t>
  </si>
  <si>
    <t>5137</t>
  </si>
  <si>
    <t>Nalik</t>
  </si>
  <si>
    <t>Dawid Jozef</t>
  </si>
  <si>
    <t>0B00611DC5</t>
  </si>
  <si>
    <t>+48 504 764 435</t>
  </si>
  <si>
    <t>Sportowa 136, Rybnik, 44-273</t>
  </si>
  <si>
    <t>5266</t>
  </si>
  <si>
    <t>Nicinski</t>
  </si>
  <si>
    <t>Dawid Jerzy</t>
  </si>
  <si>
    <t>0B00613256</t>
  </si>
  <si>
    <t>+48 667 152 330</t>
  </si>
  <si>
    <t>Plebiscytowa 36/38, Rydultowy, 44-280</t>
  </si>
  <si>
    <t>4895</t>
  </si>
  <si>
    <t>Osowski</t>
  </si>
  <si>
    <t>Piotr Kondrad</t>
  </si>
  <si>
    <t>78007C193D</t>
  </si>
  <si>
    <t>+48 502 022 311</t>
  </si>
  <si>
    <t>Sikorskiego 3/15, Cieszyn, 43-400</t>
  </si>
  <si>
    <t>5169</t>
  </si>
  <si>
    <t>Paczkowska</t>
  </si>
  <si>
    <t>Sylwia Renata</t>
  </si>
  <si>
    <t>0B00611DC1</t>
  </si>
  <si>
    <t>+48 780 086 560</t>
  </si>
  <si>
    <t>Gorna 30/27, Cieszyn, 43-400</t>
  </si>
  <si>
    <t>3063</t>
  </si>
  <si>
    <t>Poloczek</t>
  </si>
  <si>
    <t>Jadwiga Barbara</t>
  </si>
  <si>
    <t>81008F1EDA</t>
  </si>
  <si>
    <t>+48502399526</t>
  </si>
  <si>
    <t>Gagarina 110/34, Jastrzebie-Zdroj, 44268</t>
  </si>
  <si>
    <t>5242</t>
  </si>
  <si>
    <t>Przewoznik</t>
  </si>
  <si>
    <t>Piotr Andrzej</t>
  </si>
  <si>
    <t>78007C1DA7</t>
  </si>
  <si>
    <t>+48 571 252 886</t>
  </si>
  <si>
    <t>Wolnosci 4/25, Radlin, 44-310</t>
  </si>
  <si>
    <t>2600</t>
  </si>
  <si>
    <t>Stanisz</t>
  </si>
  <si>
    <t>Pawel Piotr</t>
  </si>
  <si>
    <t>06003E5E2A</t>
  </si>
  <si>
    <t>+48 577 657 367</t>
  </si>
  <si>
    <t>Kusocinskiego Janusza 37/7, Jastrzebie-Zdrój, 44335</t>
  </si>
  <si>
    <t>Surowiec</t>
  </si>
  <si>
    <t>Dominik Szymon</t>
  </si>
  <si>
    <t>5B00C3CEAB</t>
  </si>
  <si>
    <t>+48 604 727 847</t>
  </si>
  <si>
    <t>Wiejska 29c/1, Jastrzebie Zdroj, 44-338</t>
  </si>
  <si>
    <t>5263</t>
  </si>
  <si>
    <t>Wiktorowicz</t>
  </si>
  <si>
    <t>Daniel Marek</t>
  </si>
  <si>
    <t>0B00613283</t>
  </si>
  <si>
    <t>+48 607 048 785</t>
  </si>
  <si>
    <t>Os. Powstancow Slaskich 7C/23, Zory, 44-240</t>
  </si>
  <si>
    <t>5241</t>
  </si>
  <si>
    <t>Wilczynski</t>
  </si>
  <si>
    <t>Kamil Adrian</t>
  </si>
  <si>
    <t>5B0012332C</t>
  </si>
  <si>
    <t>+48 667 104 348</t>
  </si>
  <si>
    <t>Ofiar Terroru 97/20, Rydultowy, 44-280</t>
  </si>
  <si>
    <t>5264</t>
  </si>
  <si>
    <t>Wisiorek</t>
  </si>
  <si>
    <t>Lukasz Jakub</t>
  </si>
  <si>
    <t>81008F1D06</t>
  </si>
  <si>
    <t>+48 574 144 290</t>
  </si>
  <si>
    <t>Kwiatowa 9, Osiek, 32-608</t>
  </si>
  <si>
    <t>4800</t>
  </si>
  <si>
    <t>Wójt</t>
  </si>
  <si>
    <t>Sebastian Slawomir</t>
  </si>
  <si>
    <t>5B00C42816</t>
  </si>
  <si>
    <t>+48 518 569 970</t>
  </si>
  <si>
    <t>Alfonsa Zgrzebnioka 2B/1, Rybnik, 44-200</t>
  </si>
  <si>
    <t>4810</t>
  </si>
  <si>
    <t>Wrona</t>
  </si>
  <si>
    <t>Dawid Sebastian</t>
  </si>
  <si>
    <t>81008EDB6A</t>
  </si>
  <si>
    <t>+48 792 303 447</t>
  </si>
  <si>
    <t>Cieszyńska 65, Bażanowice, 43-440</t>
  </si>
  <si>
    <t>5207</t>
  </si>
  <si>
    <t>Zydek</t>
  </si>
  <si>
    <t>Joanna Monika</t>
  </si>
  <si>
    <t>0B0061323E</t>
  </si>
  <si>
    <t>+48 692 317 326</t>
  </si>
  <si>
    <t>Spacerowa 104, Radlin, 44-310</t>
  </si>
  <si>
    <t>4933</t>
  </si>
  <si>
    <t>Balcerak</t>
  </si>
  <si>
    <t>Julia Sabina</t>
  </si>
  <si>
    <t>0001867369</t>
  </si>
  <si>
    <t>+48 519 681 362</t>
  </si>
  <si>
    <t>Krucza 10A/9, Pawłowice, 43-251</t>
  </si>
  <si>
    <t>4673</t>
  </si>
  <si>
    <t>Balwierz</t>
  </si>
  <si>
    <t>Piotr Marian</t>
  </si>
  <si>
    <t>0001325821</t>
  </si>
  <si>
    <t>+48 785 949 500</t>
  </si>
  <si>
    <t>Wrzosowa 23/2, Jastrzebie-Zdroj, 44-335</t>
  </si>
  <si>
    <t>4869</t>
  </si>
  <si>
    <t>Bassler</t>
  </si>
  <si>
    <t>Lukáš</t>
  </si>
  <si>
    <t>0001833613</t>
  </si>
  <si>
    <t>+420 722 755 97</t>
  </si>
  <si>
    <t>Dukelská 765, Třinec - Lyžbice, 739 61</t>
  </si>
  <si>
    <t>30</t>
  </si>
  <si>
    <t>Baszczynski</t>
  </si>
  <si>
    <t>Bogdan Adolf</t>
  </si>
  <si>
    <t>00013283478</t>
  </si>
  <si>
    <t>+48 792 742 229</t>
  </si>
  <si>
    <t>Pawla Bobka 5/10, Cieszyn, 43-400</t>
  </si>
  <si>
    <t>5136</t>
  </si>
  <si>
    <t>Bedla</t>
  </si>
  <si>
    <t>Pawel Roman</t>
  </si>
  <si>
    <t>0001985246</t>
  </si>
  <si>
    <t>+48 501 214 878</t>
  </si>
  <si>
    <t>Siedmiu Zrodel 33A, Kielce, 25-821</t>
  </si>
  <si>
    <t>4950</t>
  </si>
  <si>
    <t>Sebastian Maciej</t>
  </si>
  <si>
    <t>0001930126</t>
  </si>
  <si>
    <t>+48 696 473 540</t>
  </si>
  <si>
    <t>Sikorskiego 5/17, Cieszyn, 43-400</t>
  </si>
  <si>
    <t>5047</t>
  </si>
  <si>
    <t>Bialozyt</t>
  </si>
  <si>
    <t>0001988772</t>
  </si>
  <si>
    <t>+48 510 238 811</t>
  </si>
  <si>
    <t>Jasminowa 10, Ustron, 43-450</t>
  </si>
  <si>
    <t>5153</t>
  </si>
  <si>
    <t>Biniek</t>
  </si>
  <si>
    <t>0001937065</t>
  </si>
  <si>
    <t>+48 792 972 144</t>
  </si>
  <si>
    <t>Os. Sikorskiego 20J/2, Zory, 44-240</t>
  </si>
  <si>
    <t>5157</t>
  </si>
  <si>
    <t>Blahut</t>
  </si>
  <si>
    <t>Mateusz Pawel</t>
  </si>
  <si>
    <t>0001257912</t>
  </si>
  <si>
    <t>+48 516 918 197</t>
  </si>
  <si>
    <t>Lipowa 12A, Pruchna, 43-523</t>
  </si>
  <si>
    <t>4961</t>
  </si>
  <si>
    <t>Bochenek</t>
  </si>
  <si>
    <t>Adam Piotr</t>
  </si>
  <si>
    <t>0001928484</t>
  </si>
  <si>
    <t>+48 790 550 612</t>
  </si>
  <si>
    <t>Skrzypka 4/2, Cieszyn, 43-400</t>
  </si>
  <si>
    <t>4616</t>
  </si>
  <si>
    <t>Damian Krzysztof</t>
  </si>
  <si>
    <t>0001405843</t>
  </si>
  <si>
    <t>+48 600 636 889</t>
  </si>
  <si>
    <t>Cedrowa 5, Kiczyce, 43-430</t>
  </si>
  <si>
    <t>5061</t>
  </si>
  <si>
    <t>Borek</t>
  </si>
  <si>
    <t>Zuzanna Wladyslawa</t>
  </si>
  <si>
    <t>0001988512</t>
  </si>
  <si>
    <t>+48 572 845 201</t>
  </si>
  <si>
    <t>1 Maja 35/15, Wodzislaw Slaski, 44-304</t>
  </si>
  <si>
    <t>4721</t>
  </si>
  <si>
    <t>Borska</t>
  </si>
  <si>
    <t>0003370037</t>
  </si>
  <si>
    <t>+48 882 717 094</t>
  </si>
  <si>
    <t>Borynska 1, Warszowice, 43-254</t>
  </si>
  <si>
    <t>5008</t>
  </si>
  <si>
    <t>Borzecki</t>
  </si>
  <si>
    <t>Adam Stefan</t>
  </si>
  <si>
    <t>0002005358</t>
  </si>
  <si>
    <t>+48 609 177 888</t>
  </si>
  <si>
    <t>Zwirki i Wigury 14, Wodzislaw Slaski, 44-300</t>
  </si>
  <si>
    <t>4845</t>
  </si>
  <si>
    <t>Leszek Sylwester</t>
  </si>
  <si>
    <t>000291517620</t>
  </si>
  <si>
    <t>+48 799 082 871</t>
  </si>
  <si>
    <t>4898</t>
  </si>
  <si>
    <t>Cuber</t>
  </si>
  <si>
    <t>Sonia Katarzyna</t>
  </si>
  <si>
    <t>0003375097</t>
  </si>
  <si>
    <t>+48 783 193 669</t>
  </si>
  <si>
    <t>Wiejska 29a, Gorzyce, 44-350</t>
  </si>
  <si>
    <t>47</t>
  </si>
  <si>
    <t>Cwiklinska</t>
  </si>
  <si>
    <t>Alicja Katarzyna</t>
  </si>
  <si>
    <t>0013123141</t>
  </si>
  <si>
    <t>+48 573 239 948</t>
  </si>
  <si>
    <t>Wrebowa 14B m.20, Rybnik, 44-270</t>
  </si>
  <si>
    <t>5168</t>
  </si>
  <si>
    <t>Czerwinska</t>
  </si>
  <si>
    <t>Kinga Karolina</t>
  </si>
  <si>
    <t>0004489951</t>
  </si>
  <si>
    <t>+48 786 981 086</t>
  </si>
  <si>
    <t>Bobka 8/4, Cieszyn, 43-400</t>
  </si>
  <si>
    <t>Czyź</t>
  </si>
  <si>
    <t>Natalia Dominika</t>
  </si>
  <si>
    <t>0001867350</t>
  </si>
  <si>
    <t>+48 795 756 172</t>
  </si>
  <si>
    <t>Wyższa Brama 17, Cieszyn, 43-400</t>
  </si>
  <si>
    <t>49</t>
  </si>
  <si>
    <t>Damis</t>
  </si>
  <si>
    <t>Malgorzata Maria</t>
  </si>
  <si>
    <t>0009531966</t>
  </si>
  <si>
    <t>Jutrzenki 10, Zebrzydowice, 43-410</t>
  </si>
  <si>
    <t>286</t>
  </si>
  <si>
    <t>Dormowicz</t>
  </si>
  <si>
    <t>Marta Ewelina</t>
  </si>
  <si>
    <t>0005160737</t>
  </si>
  <si>
    <t>+48 518 679 641</t>
  </si>
  <si>
    <t>Czecha 4/1, Radlin, 44-310</t>
  </si>
  <si>
    <t>4865</t>
  </si>
  <si>
    <t>Wiktoria Marta</t>
  </si>
  <si>
    <t>0003514629</t>
  </si>
  <si>
    <t>+48 784 009 068</t>
  </si>
  <si>
    <t>Bronislawa Czecha 4/1, Radlin, 44-310</t>
  </si>
  <si>
    <t>4610</t>
  </si>
  <si>
    <t>Druzbanska</t>
  </si>
  <si>
    <t>Dorota Barbara</t>
  </si>
  <si>
    <t>0001303232</t>
  </si>
  <si>
    <t>+48 530 626 255</t>
  </si>
  <si>
    <t>Rybnicka 31, Szczerbice, 44-293</t>
  </si>
  <si>
    <t>5162</t>
  </si>
  <si>
    <t>Dziacko</t>
  </si>
  <si>
    <t>Marta Magdalena</t>
  </si>
  <si>
    <t>0004941641</t>
  </si>
  <si>
    <t>+48 731 070 755</t>
  </si>
  <si>
    <t>3 Maja 37, Jastrzebie Zdroj, 44-335</t>
  </si>
  <si>
    <t>Elišer</t>
  </si>
  <si>
    <t>Václav</t>
  </si>
  <si>
    <t>0005010380</t>
  </si>
  <si>
    <t>+420 704 495 69</t>
  </si>
  <si>
    <t>Československé armády 487, Frýdek-Místek, Místek, 738 01</t>
  </si>
  <si>
    <t>62</t>
  </si>
  <si>
    <t>Ferfecki</t>
  </si>
  <si>
    <t>Lukasz Wiktor</t>
  </si>
  <si>
    <t>0004222254</t>
  </si>
  <si>
    <t>+48 799 074 575</t>
  </si>
  <si>
    <t>Sw. Marcina 85, Ochaby Wielkie, 43430</t>
  </si>
  <si>
    <t>4886</t>
  </si>
  <si>
    <t>Filipiak</t>
  </si>
  <si>
    <t>Karolina Paulina</t>
  </si>
  <si>
    <t>0004688704</t>
  </si>
  <si>
    <t>+48 502 063 042</t>
  </si>
  <si>
    <t>1 Maja 43/4, Rybnik, 44-206</t>
  </si>
  <si>
    <t>5124</t>
  </si>
  <si>
    <t>Gabčo</t>
  </si>
  <si>
    <t>0001988791</t>
  </si>
  <si>
    <t>702806209</t>
  </si>
  <si>
    <t>Jablunkovská 407, Třinec - Lyžbice, 739 61</t>
  </si>
  <si>
    <t>114</t>
  </si>
  <si>
    <t>Gatner</t>
  </si>
  <si>
    <t>Dominika Weronika</t>
  </si>
  <si>
    <t>0008337713</t>
  </si>
  <si>
    <t>+48 501 971 657</t>
  </si>
  <si>
    <t>Jana Kochanowskiego 11, Zebrzydowice, 43-410</t>
  </si>
  <si>
    <t>5071</t>
  </si>
  <si>
    <t>Gawenda</t>
  </si>
  <si>
    <t>Ewa Maria</t>
  </si>
  <si>
    <t>0001988752</t>
  </si>
  <si>
    <t>+48 515 347 421</t>
  </si>
  <si>
    <t>Lanowa 67, Pszow, 44-370</t>
  </si>
  <si>
    <t>4879</t>
  </si>
  <si>
    <t>Golyszna</t>
  </si>
  <si>
    <t>Daria Anna</t>
  </si>
  <si>
    <t>0004521242</t>
  </si>
  <si>
    <t>+48 535 973 692</t>
  </si>
  <si>
    <t>Wroclawska 17/11, Jastrzebie Zdroj, 44-335</t>
  </si>
  <si>
    <t>4489</t>
  </si>
  <si>
    <t>Graczewski</t>
  </si>
  <si>
    <t>Piotr</t>
  </si>
  <si>
    <t>0002003331</t>
  </si>
  <si>
    <t>+48 577 121 655</t>
  </si>
  <si>
    <t>os 1.Mája 18/2/1, Wodzislaw - Slaski, 44-304</t>
  </si>
  <si>
    <t>117</t>
  </si>
  <si>
    <t>0009567977</t>
  </si>
  <si>
    <t>+48 536 114 106</t>
  </si>
  <si>
    <t>1 Maja 18/2, Wodzislaw Slaski, 44-304</t>
  </si>
  <si>
    <t>5143</t>
  </si>
  <si>
    <t>Groborz</t>
  </si>
  <si>
    <t>Paulina Dominika</t>
  </si>
  <si>
    <t>0002036733</t>
  </si>
  <si>
    <t>+48 537 603 885</t>
  </si>
  <si>
    <t>Lompy 11d/9, Rybnik, 44-253</t>
  </si>
  <si>
    <t>118</t>
  </si>
  <si>
    <t>Gromotka</t>
  </si>
  <si>
    <t>Pawel Artur</t>
  </si>
  <si>
    <t>0004234930</t>
  </si>
  <si>
    <t>+48 696 289 479</t>
  </si>
  <si>
    <t>Gustawa Morcinka 55/11, Rybnik, 44-273</t>
  </si>
  <si>
    <t>4842</t>
  </si>
  <si>
    <t>Habierska</t>
  </si>
  <si>
    <t>Anna Agnieszka</t>
  </si>
  <si>
    <t>0004689675</t>
  </si>
  <si>
    <t>+48 608 717 392</t>
  </si>
  <si>
    <t>Slaska 29/12, Jastrzebie Zdroj, 44-335</t>
  </si>
  <si>
    <t>4985</t>
  </si>
  <si>
    <t>Wiktoria Anna</t>
  </si>
  <si>
    <t>0002005366</t>
  </si>
  <si>
    <t>+48 668 310 575</t>
  </si>
  <si>
    <t>120</t>
  </si>
  <si>
    <t>Hanke</t>
  </si>
  <si>
    <t>Ewelina Magdalena</t>
  </si>
  <si>
    <t>0004507174</t>
  </si>
  <si>
    <t>+48 515 303 091</t>
  </si>
  <si>
    <t>Ks.K. Boleslawa Kominka 145, Radlin, 44-310</t>
  </si>
  <si>
    <t>4620</t>
  </si>
  <si>
    <t>Hase</t>
  </si>
  <si>
    <t>Karina Danuta</t>
  </si>
  <si>
    <t>0001406423</t>
  </si>
  <si>
    <t>+48 512 546 336</t>
  </si>
  <si>
    <t>Karsibór 2/1, Karsibór, 78-609</t>
  </si>
  <si>
    <t>5125</t>
  </si>
  <si>
    <t>Herok</t>
  </si>
  <si>
    <t>Natalia Magdalena</t>
  </si>
  <si>
    <t>0001218561</t>
  </si>
  <si>
    <t>+48 512 171 549</t>
  </si>
  <si>
    <t>Gminna 6A, Cieszyn, 43-400</t>
  </si>
  <si>
    <t>5041</t>
  </si>
  <si>
    <t>Hojka</t>
  </si>
  <si>
    <t>Dariusz Zygfryd</t>
  </si>
  <si>
    <t>0008791985</t>
  </si>
  <si>
    <t>+48 516 107 433</t>
  </si>
  <si>
    <t>Lipowa 44D, Pszow, 44-370</t>
  </si>
  <si>
    <t>4981</t>
  </si>
  <si>
    <t>Justyna Katarzyna</t>
  </si>
  <si>
    <t>0001974139</t>
  </si>
  <si>
    <t>+48 503 767 760</t>
  </si>
  <si>
    <t>4997</t>
  </si>
  <si>
    <t>Homa</t>
  </si>
  <si>
    <t>Dorota Helena</t>
  </si>
  <si>
    <t>0001928492</t>
  </si>
  <si>
    <t>+48 697 481 819</t>
  </si>
  <si>
    <t>Mysliwska 66, Ustron, 43-450</t>
  </si>
  <si>
    <t>4871</t>
  </si>
  <si>
    <t>Chlebek</t>
  </si>
  <si>
    <t>Aleksandra Ewa</t>
  </si>
  <si>
    <t>0004569962</t>
  </si>
  <si>
    <t>+48 668 506 467</t>
  </si>
  <si>
    <t>Pawia 30A, Wisla-Mala, 43-243</t>
  </si>
  <si>
    <t>4755</t>
  </si>
  <si>
    <t>Chodorowska</t>
  </si>
  <si>
    <t>Barbara Miroslawa</t>
  </si>
  <si>
    <t>0001045792</t>
  </si>
  <si>
    <t>+48 606 929 590</t>
  </si>
  <si>
    <t>Śląska 15/36, Jastrzebie-Zdroj, 44-335</t>
  </si>
  <si>
    <t>4728</t>
  </si>
  <si>
    <t>Chojna</t>
  </si>
  <si>
    <t>Karolina Teresa</t>
  </si>
  <si>
    <t>0001372880</t>
  </si>
  <si>
    <t>+48 533 961 505</t>
  </si>
  <si>
    <t>Wincentego Styczyńskiego 6/1, Wodzislaw Slaski, 44-300</t>
  </si>
  <si>
    <t>4918</t>
  </si>
  <si>
    <t>Chrupcala</t>
  </si>
  <si>
    <t>Karolina Edyta</t>
  </si>
  <si>
    <t>00013280140</t>
  </si>
  <si>
    <t>+48 794 043 205</t>
  </si>
  <si>
    <t>Slaska 51d, Pszow, 44-370</t>
  </si>
  <si>
    <t>4960</t>
  </si>
  <si>
    <t>Jakubiec</t>
  </si>
  <si>
    <t>Krzysztof Grzegorz</t>
  </si>
  <si>
    <t>0001985501</t>
  </si>
  <si>
    <t>+48 538 332 346</t>
  </si>
  <si>
    <t>Ofiar Terroru 14/1, Rydultowy, 44-280</t>
  </si>
  <si>
    <t>4600</t>
  </si>
  <si>
    <t>Jamry</t>
  </si>
  <si>
    <t>Kamil</t>
  </si>
  <si>
    <t>0005757754</t>
  </si>
  <si>
    <t>+48 570 470 732</t>
  </si>
  <si>
    <t>Zrodlana 2, Konczyce Male, 43-410</t>
  </si>
  <si>
    <t>123</t>
  </si>
  <si>
    <t>Janczuk</t>
  </si>
  <si>
    <t>Mariola Anna</t>
  </si>
  <si>
    <t>0007815411</t>
  </si>
  <si>
    <t>+48 791 781 568</t>
  </si>
  <si>
    <t>Elizy Oreszkowej 16/4, Wodzislaw Slaski, 44-300</t>
  </si>
  <si>
    <t>4978</t>
  </si>
  <si>
    <t>Joschko</t>
  </si>
  <si>
    <t>Edyta Elzbieta</t>
  </si>
  <si>
    <t>0004488158</t>
  </si>
  <si>
    <t>+48 724 490 466</t>
  </si>
  <si>
    <t>26-Marca 74/8, Wodzislaw Slaski, 44-300</t>
  </si>
  <si>
    <t>4475</t>
  </si>
  <si>
    <t>Kaluza-Mendroch</t>
  </si>
  <si>
    <t>Zyta Barbara</t>
  </si>
  <si>
    <t>0009082992</t>
  </si>
  <si>
    <t>+48 604 884 044</t>
  </si>
  <si>
    <t>Stolarska 12, Gorki Wielkie, 43-436</t>
  </si>
  <si>
    <t>5140</t>
  </si>
  <si>
    <t>Kamyczek</t>
  </si>
  <si>
    <t>Slawomir Krzysztof</t>
  </si>
  <si>
    <t>0003368361</t>
  </si>
  <si>
    <t>+48 600 217 909</t>
  </si>
  <si>
    <t>Budowlana 16, Jastrzebie Zdroj, 44-336</t>
  </si>
  <si>
    <t>4977</t>
  </si>
  <si>
    <t>Kasprzak</t>
  </si>
  <si>
    <t>Kamila Agnieszka</t>
  </si>
  <si>
    <t>0001989091</t>
  </si>
  <si>
    <t>+48 501 850 675</t>
  </si>
  <si>
    <t>Szotkowicka 25 J, Jastrzebie Zdroj, 44-338</t>
  </si>
  <si>
    <t>4968</t>
  </si>
  <si>
    <t>Kissová</t>
  </si>
  <si>
    <t>Andrea</t>
  </si>
  <si>
    <t>0005179390</t>
  </si>
  <si>
    <t>+420 602 812 41</t>
  </si>
  <si>
    <t>Vedlejší 282/3, Havířov - Šumbark, 736 01</t>
  </si>
  <si>
    <t>4591</t>
  </si>
  <si>
    <t>Klimek</t>
  </si>
  <si>
    <t>Beata Anna</t>
  </si>
  <si>
    <t>0002036536</t>
  </si>
  <si>
    <t>+48 451 618 607</t>
  </si>
  <si>
    <t>Piastów 16/8, Jastrzębie-Zdrój, 44-335</t>
  </si>
  <si>
    <t>Koczwara</t>
  </si>
  <si>
    <t>Sabina Beata</t>
  </si>
  <si>
    <t>0001415256</t>
  </si>
  <si>
    <t>+48 510 562 489</t>
  </si>
  <si>
    <t>Boleslawa Prusa 13/4, Wodzislaw Slaski, 44-300</t>
  </si>
  <si>
    <t>5038</t>
  </si>
  <si>
    <t>Koch</t>
  </si>
  <si>
    <t>Lukasz Adam</t>
  </si>
  <si>
    <t>0001938460</t>
  </si>
  <si>
    <t>+48 503 976 242</t>
  </si>
  <si>
    <t>Hoza 39, Rybnik, 44-200</t>
  </si>
  <si>
    <t>4836</t>
  </si>
  <si>
    <t>Kopera</t>
  </si>
  <si>
    <t>Agnieszka Renata</t>
  </si>
  <si>
    <t>0001406893</t>
  </si>
  <si>
    <t>+48 516 775 436</t>
  </si>
  <si>
    <t>Katowicka 25/1, Jastrzebie Zdroj, 44-335</t>
  </si>
  <si>
    <t>4664</t>
  </si>
  <si>
    <t>Kopinska</t>
  </si>
  <si>
    <t>0001354214</t>
  </si>
  <si>
    <t>+48 600 254 863</t>
  </si>
  <si>
    <t>osiedle 1000-lecia 15/17, Jastrzebie-Zdroj, 44-268</t>
  </si>
  <si>
    <t>126</t>
  </si>
  <si>
    <t>Korab</t>
  </si>
  <si>
    <t>Karina Weronika</t>
  </si>
  <si>
    <t>0002705732</t>
  </si>
  <si>
    <t>+48 785 912 038</t>
  </si>
  <si>
    <t>Orzechowa 19/25, Wroclaw, 50-540</t>
  </si>
  <si>
    <t>Koscik</t>
  </si>
  <si>
    <t>0002005474</t>
  </si>
  <si>
    <t>+48 576 751 608</t>
  </si>
  <si>
    <t>Katowicka 15/35, Jastrzebie Zdroj, 44-335</t>
  </si>
  <si>
    <t>127</t>
  </si>
  <si>
    <t>Kotas</t>
  </si>
  <si>
    <t>Barbara Mariola</t>
  </si>
  <si>
    <t>0009534092</t>
  </si>
  <si>
    <t>+48 531 077 296</t>
  </si>
  <si>
    <t>Moniuszki 20 m.1, Jastrzebie-Zdroj, 44-335</t>
  </si>
  <si>
    <t>4847</t>
  </si>
  <si>
    <t>Kowaczik</t>
  </si>
  <si>
    <t>Bozena Jadwiga</t>
  </si>
  <si>
    <t>0008651978</t>
  </si>
  <si>
    <t>+48 787 286 512</t>
  </si>
  <si>
    <t>Kochanowskiego 3, Cieszyn, 43-400</t>
  </si>
  <si>
    <t>4777</t>
  </si>
  <si>
    <t>Krajewska</t>
  </si>
  <si>
    <t>Karina Wanda</t>
  </si>
  <si>
    <t>0001260827</t>
  </si>
  <si>
    <t>+48 606 883 863</t>
  </si>
  <si>
    <t>Osiedle Księcia Władysława 14H/9, Zory, 44-244</t>
  </si>
  <si>
    <t>4970</t>
  </si>
  <si>
    <t>Krypczyk</t>
  </si>
  <si>
    <t>Barbara Bronislawa</t>
  </si>
  <si>
    <t>0001964381</t>
  </si>
  <si>
    <t>+48 795 113 939</t>
  </si>
  <si>
    <t>Karola Miarki 6/12, Jastrzebie Zdroj, 44-335</t>
  </si>
  <si>
    <t>4897</t>
  </si>
  <si>
    <t>Krzaczek</t>
  </si>
  <si>
    <t>Dominika Bogumila</t>
  </si>
  <si>
    <t>0003536341</t>
  </si>
  <si>
    <t>+48 603 458 236</t>
  </si>
  <si>
    <t>Irysowa 5a/6, Radlin, 44-310</t>
  </si>
  <si>
    <t>5154</t>
  </si>
  <si>
    <t>Krzystala</t>
  </si>
  <si>
    <t>Wioletta Aldona</t>
  </si>
  <si>
    <t>0005701504</t>
  </si>
  <si>
    <t>+48 666 692 315</t>
  </si>
  <si>
    <t>Szotkowicka 62L, Jastrzebie Zdroj, 44-338</t>
  </si>
  <si>
    <t>4607</t>
  </si>
  <si>
    <t>Kubica</t>
  </si>
  <si>
    <t>Elzbieta</t>
  </si>
  <si>
    <t>0004942265</t>
  </si>
  <si>
    <t>+48 881 328 424</t>
  </si>
  <si>
    <t>Jastrzebia 4, Bielsko-Biala, 43-300</t>
  </si>
  <si>
    <t>4778</t>
  </si>
  <si>
    <t>Kucab</t>
  </si>
  <si>
    <t>Marzena Irena</t>
  </si>
  <si>
    <t>0001265052</t>
  </si>
  <si>
    <t>+48 663 466 790</t>
  </si>
  <si>
    <t>Osiedle Księcia Władysława 16E/6, Zory, 44-244</t>
  </si>
  <si>
    <t>4736</t>
  </si>
  <si>
    <t>Kuczynska</t>
  </si>
  <si>
    <t>Roksana Magdalena</t>
  </si>
  <si>
    <t>0008770469</t>
  </si>
  <si>
    <t>+48 883 789 908</t>
  </si>
  <si>
    <t>Orla 3/15, Zory, 44-240</t>
  </si>
  <si>
    <t>4939</t>
  </si>
  <si>
    <t>Kuklinski</t>
  </si>
  <si>
    <t>Patryk Szymon</t>
  </si>
  <si>
    <t>0001867372</t>
  </si>
  <si>
    <t>+48 538 389 272</t>
  </si>
  <si>
    <t>Raciborska 47, Jankowice, 47-430</t>
  </si>
  <si>
    <t>5051</t>
  </si>
  <si>
    <t>Kultys</t>
  </si>
  <si>
    <t>Dawid Albert</t>
  </si>
  <si>
    <t>0001938445</t>
  </si>
  <si>
    <t>+48 530 061 768</t>
  </si>
  <si>
    <t>os. Wladyslawa Sikorskiego 9M/7, Zory, 44-240</t>
  </si>
  <si>
    <t>4663</t>
  </si>
  <si>
    <t>Kurasik</t>
  </si>
  <si>
    <t>Monika Dorota</t>
  </si>
  <si>
    <t>0001089809</t>
  </si>
  <si>
    <t>+48 603 702 376</t>
  </si>
  <si>
    <t>Kurpiowska 17/12, Jastrzebie-Zdroj, 44-335</t>
  </si>
  <si>
    <t>5122</t>
  </si>
  <si>
    <t>Kurzydlo</t>
  </si>
  <si>
    <t>Jaroslaw Grzegorz</t>
  </si>
  <si>
    <t>0002028989</t>
  </si>
  <si>
    <t>+48 884 830 743</t>
  </si>
  <si>
    <t>Aleja Armii Krajowej 31F/4, Zory, 44-240</t>
  </si>
  <si>
    <t>4752</t>
  </si>
  <si>
    <t>Kwasniewska</t>
  </si>
  <si>
    <t>Aleksandra Krystyna</t>
  </si>
  <si>
    <t>0001332377</t>
  </si>
  <si>
    <t>+48 577 338 985</t>
  </si>
  <si>
    <t>osiedle Gwarków 24b/13, Zory, 44-240</t>
  </si>
  <si>
    <t>5134</t>
  </si>
  <si>
    <t>Kwiatkowski</t>
  </si>
  <si>
    <t>Mateusz Jaroslaw</t>
  </si>
  <si>
    <t>0001085245</t>
  </si>
  <si>
    <t>+48 535 029 058</t>
  </si>
  <si>
    <t>Cicha 1/27, Gdansk, 83-000</t>
  </si>
  <si>
    <t>57</t>
  </si>
  <si>
    <t>Kwitek</t>
  </si>
  <si>
    <t>Halina Agnieszka</t>
  </si>
  <si>
    <t>0008310028</t>
  </si>
  <si>
    <t>+48 691 453 631</t>
  </si>
  <si>
    <t>Ligonia 5b/3, Czerwoinka-Leszczyny, 44238</t>
  </si>
  <si>
    <t>4853</t>
  </si>
  <si>
    <t>Laszczak</t>
  </si>
  <si>
    <t>Jakub Patryk</t>
  </si>
  <si>
    <t>0001210284</t>
  </si>
  <si>
    <t>+48 796 125 231</t>
  </si>
  <si>
    <t>Zrodlana 3, Konczyce Male, 43-410</t>
  </si>
  <si>
    <t>131</t>
  </si>
  <si>
    <t>Latka</t>
  </si>
  <si>
    <t>Ewelina Ewa</t>
  </si>
  <si>
    <t>0013264228</t>
  </si>
  <si>
    <t>+48 514 082 204</t>
  </si>
  <si>
    <t>Adolfa Wodeckiego 2/11, Jastrzebie-Zdroj, 44-335</t>
  </si>
  <si>
    <t>4956</t>
  </si>
  <si>
    <t>Lewandowski</t>
  </si>
  <si>
    <t>Klaudiusz</t>
  </si>
  <si>
    <t>0001928241</t>
  </si>
  <si>
    <t>+48 605 447 215</t>
  </si>
  <si>
    <t>Gorny Bor 46, Skoczow, 43-430</t>
  </si>
  <si>
    <t>5002</t>
  </si>
  <si>
    <t>Lubinska</t>
  </si>
  <si>
    <t>Malgorzata Monika</t>
  </si>
  <si>
    <t>0003535138</t>
  </si>
  <si>
    <t>+48 664 195 773</t>
  </si>
  <si>
    <t>Dworcowa 3A/2, Ustron, 43-450</t>
  </si>
  <si>
    <t>5150</t>
  </si>
  <si>
    <t>Luczak</t>
  </si>
  <si>
    <t>Jessica Katarzyna</t>
  </si>
  <si>
    <t>0001208734</t>
  </si>
  <si>
    <t>+48 721 168 370</t>
  </si>
  <si>
    <t>Malopolska 29/6, Jastrzebie Zdroj, 44-335</t>
  </si>
  <si>
    <t>Macura</t>
  </si>
  <si>
    <t>Dorota</t>
  </si>
  <si>
    <t>0001313338</t>
  </si>
  <si>
    <t>+48 530 059 563</t>
  </si>
  <si>
    <t>Katowicka 23/33, Jastrzebie Zdroj, 44-335</t>
  </si>
  <si>
    <t>4868</t>
  </si>
  <si>
    <t>Kamil Damian</t>
  </si>
  <si>
    <t>0003315873</t>
  </si>
  <si>
    <t>+48 696 165 354</t>
  </si>
  <si>
    <t>Lesna 8, Pogwizdow, 43-418</t>
  </si>
  <si>
    <t>5026</t>
  </si>
  <si>
    <t>Machej</t>
  </si>
  <si>
    <t>Adrian</t>
  </si>
  <si>
    <t>0001829340</t>
  </si>
  <si>
    <t>+48 532 151 110</t>
  </si>
  <si>
    <t>Glowna 49, Hazlach, 43-419</t>
  </si>
  <si>
    <t>5142</t>
  </si>
  <si>
    <t>Malczyk</t>
  </si>
  <si>
    <t>Dominika</t>
  </si>
  <si>
    <t>0003359710</t>
  </si>
  <si>
    <t>+48 790 821 494</t>
  </si>
  <si>
    <t>Hallera 25, Cieszyn, 43-400</t>
  </si>
  <si>
    <t>5117</t>
  </si>
  <si>
    <t>Marciniak</t>
  </si>
  <si>
    <t>Michał Zbigniew</t>
  </si>
  <si>
    <t>0001985619</t>
  </si>
  <si>
    <t>+48 665 680 833</t>
  </si>
  <si>
    <t>Os. Sikorskiego Wladyslawa 20I/7, Zory, 44-240</t>
  </si>
  <si>
    <t>Marosz</t>
  </si>
  <si>
    <t>Damian Daniel</t>
  </si>
  <si>
    <t>0002036718</t>
  </si>
  <si>
    <t>+48 536 830 322</t>
  </si>
  <si>
    <t>Borny Bor 4/3, Skoczow, 43-430</t>
  </si>
  <si>
    <t>4937</t>
  </si>
  <si>
    <t>Matuszczak</t>
  </si>
  <si>
    <t>Weronika Izabela</t>
  </si>
  <si>
    <t>0001983879</t>
  </si>
  <si>
    <t>+48 576 730 229</t>
  </si>
  <si>
    <t>Jana Kochanowskiego 14, Zebrzydowice, 43-410</t>
  </si>
  <si>
    <t>5156</t>
  </si>
  <si>
    <t>Matuszek</t>
  </si>
  <si>
    <t>Tomasz Piotr</t>
  </si>
  <si>
    <t>0004942260</t>
  </si>
  <si>
    <t>+48 571 990 332</t>
  </si>
  <si>
    <t>Os. Orlowiec 27/2, Rydultowy, 44-280</t>
  </si>
  <si>
    <t>5004</t>
  </si>
  <si>
    <t>Meller</t>
  </si>
  <si>
    <t>Michal Stanislaw</t>
  </si>
  <si>
    <t>0002029090</t>
  </si>
  <si>
    <t>+48 667 194 610</t>
  </si>
  <si>
    <t>Dworcowa 12B/4, Radostowo, 83-120</t>
  </si>
  <si>
    <t>134</t>
  </si>
  <si>
    <t>Meyer</t>
  </si>
  <si>
    <t>Beata Katarzyna</t>
  </si>
  <si>
    <t>0291536371</t>
  </si>
  <si>
    <t>+48 791 884 399</t>
  </si>
  <si>
    <t>Osiedle Pawlikowskiego 5F m.3, Zory, 44-240</t>
  </si>
  <si>
    <t>136</t>
  </si>
  <si>
    <t>Mienkowska</t>
  </si>
  <si>
    <t>Edyta Ewa</t>
  </si>
  <si>
    <t>0013247004</t>
  </si>
  <si>
    <t>+48 514 226 388</t>
  </si>
  <si>
    <t>Janusza Kusocinskiego 30/3, Jastrzebie-Zdroj, 44-335</t>
  </si>
  <si>
    <t>4480</t>
  </si>
  <si>
    <t>Michalak</t>
  </si>
  <si>
    <t>Dominika Ilona</t>
  </si>
  <si>
    <t>0352190627322</t>
  </si>
  <si>
    <t>+48 731 521 972</t>
  </si>
  <si>
    <t>Karola Miarki 2/23, Jastrzębie-Zdrój, 44-330</t>
  </si>
  <si>
    <t>19</t>
  </si>
  <si>
    <t>Mikus</t>
  </si>
  <si>
    <t>0008777013</t>
  </si>
  <si>
    <t>739 908 169</t>
  </si>
  <si>
    <t>Jablunkovská 160, Třinec - Staré Město, 739 61</t>
  </si>
  <si>
    <t>5055</t>
  </si>
  <si>
    <t>Myszak</t>
  </si>
  <si>
    <t>Marek Jakub</t>
  </si>
  <si>
    <t>0001828445</t>
  </si>
  <si>
    <t>+48 531 975 169</t>
  </si>
  <si>
    <t>Sportowa 30, Piece, 44-293</t>
  </si>
  <si>
    <t>140</t>
  </si>
  <si>
    <t>Niedziela</t>
  </si>
  <si>
    <t>Patrycja Barbara</t>
  </si>
  <si>
    <t>0009093072</t>
  </si>
  <si>
    <t>+48 518 661 191</t>
  </si>
  <si>
    <t>Tadeusza Kosciuszki 61C, Rybnik, 44-200</t>
  </si>
  <si>
    <t>4791</t>
  </si>
  <si>
    <t>Niemczyk</t>
  </si>
  <si>
    <t>Daniel Marcin</t>
  </si>
  <si>
    <t>0003520045</t>
  </si>
  <si>
    <t>+48 698 762 534</t>
  </si>
  <si>
    <t>Bażanowicka 18, Ogrodzona, 43-426</t>
  </si>
  <si>
    <t>5121</t>
  </si>
  <si>
    <t>Niepsuj</t>
  </si>
  <si>
    <t>Karolina Magdalena</t>
  </si>
  <si>
    <t>0002028995</t>
  </si>
  <si>
    <t>+48 573 180 361</t>
  </si>
  <si>
    <t>Rynek 10/3, Orzesze, 43-180</t>
  </si>
  <si>
    <t>147</t>
  </si>
  <si>
    <t>Nowak</t>
  </si>
  <si>
    <t>Zaneta Barbara</t>
  </si>
  <si>
    <t>0003845781</t>
  </si>
  <si>
    <t>+48 796 929 819</t>
  </si>
  <si>
    <t>Kardynala S. Wyszynskiego 42/9, Wodzislaw Slaski, 44-300</t>
  </si>
  <si>
    <t>4416</t>
  </si>
  <si>
    <t>Nowak-Plucińska</t>
  </si>
  <si>
    <t>Beata Renata</t>
  </si>
  <si>
    <t>0008317624</t>
  </si>
  <si>
    <t>+48 791 998 879</t>
  </si>
  <si>
    <t>Wielkopolska 59/27, Jastrzebie-Zdroj, 44-335</t>
  </si>
  <si>
    <t>4557</t>
  </si>
  <si>
    <t>Nowicki</t>
  </si>
  <si>
    <t>Marek Grzegorz</t>
  </si>
  <si>
    <t>0001221376</t>
  </si>
  <si>
    <t>+48 534 026 451</t>
  </si>
  <si>
    <t>Czuchowska 25, Hazlach, 43-419</t>
  </si>
  <si>
    <t>5028</t>
  </si>
  <si>
    <t>Obodzinska-Blazicek</t>
  </si>
  <si>
    <t>Agnieszka Izabela</t>
  </si>
  <si>
    <t>0001343778</t>
  </si>
  <si>
    <t>+48 576 660 646</t>
  </si>
  <si>
    <t>Armii Krajowej 31F/2, Zory, 44-240</t>
  </si>
  <si>
    <t>146</t>
  </si>
  <si>
    <t>Olszanecka</t>
  </si>
  <si>
    <t>Beata Magdalena</t>
  </si>
  <si>
    <t>0004744103</t>
  </si>
  <si>
    <t>+48 784 624 084</t>
  </si>
  <si>
    <t>Slaska 34/18, Jastrzebie-Zdroj, 44-335</t>
  </si>
  <si>
    <t>4851</t>
  </si>
  <si>
    <t>Osak</t>
  </si>
  <si>
    <t>Pawel Michal</t>
  </si>
  <si>
    <t>0003363838</t>
  </si>
  <si>
    <t>+48 515561544</t>
  </si>
  <si>
    <t>Pikiety 12, Cieszyn, 43-400</t>
  </si>
  <si>
    <t>4951</t>
  </si>
  <si>
    <t>Pachula</t>
  </si>
  <si>
    <t>Wieslaw Marek</t>
  </si>
  <si>
    <t>0001928538</t>
  </si>
  <si>
    <t>+48 795 110 905</t>
  </si>
  <si>
    <t>Gustawa Morcinka 13/17, Skoczow, 43-430</t>
  </si>
  <si>
    <t>4967</t>
  </si>
  <si>
    <t>Palczewski</t>
  </si>
  <si>
    <t>Piotr Pawel</t>
  </si>
  <si>
    <t>0001932289</t>
  </si>
  <si>
    <t>+48 600 162 991</t>
  </si>
  <si>
    <t>Polna 25B/10, Pawlowice, 43-251</t>
  </si>
  <si>
    <t>4745</t>
  </si>
  <si>
    <t>Paprota</t>
  </si>
  <si>
    <t>Dominik Patryk</t>
  </si>
  <si>
    <t>0001279913</t>
  </si>
  <si>
    <t>+48 510 692 186</t>
  </si>
  <si>
    <t>Ul. Pikiety 43, Cieszyn, 43-400</t>
  </si>
  <si>
    <t>5029</t>
  </si>
  <si>
    <t>Pasinska</t>
  </si>
  <si>
    <t>Barbara Beata</t>
  </si>
  <si>
    <t>0001815974</t>
  </si>
  <si>
    <t>+48 518 208 211</t>
  </si>
  <si>
    <t>Sobieskiego 50, Kaczyce, 43-417</t>
  </si>
  <si>
    <t>4790</t>
  </si>
  <si>
    <t>Pawlak</t>
  </si>
  <si>
    <t>Lidia Marzena</t>
  </si>
  <si>
    <t>0004503829</t>
  </si>
  <si>
    <t>+48 690 933 757</t>
  </si>
  <si>
    <t>Wrocławska 39/12, Jastrzębie-Zdrój, 44-335</t>
  </si>
  <si>
    <t>4661</t>
  </si>
  <si>
    <t>Tomasz Andrzej</t>
  </si>
  <si>
    <t>0001932079</t>
  </si>
  <si>
    <t>+48 669 581 089</t>
  </si>
  <si>
    <t>Osiedle Księcia Władysława 6C/33, Zory, 44-241</t>
  </si>
  <si>
    <t>4727</t>
  </si>
  <si>
    <t>Pawlas</t>
  </si>
  <si>
    <t>Klaudia Paulina</t>
  </si>
  <si>
    <t>0001221871</t>
  </si>
  <si>
    <t>+48 663 410 408</t>
  </si>
  <si>
    <t>Sportowa 24, Piece, 44-293</t>
  </si>
  <si>
    <t>4976</t>
  </si>
  <si>
    <t>Perek</t>
  </si>
  <si>
    <t>Patrycja Maria</t>
  </si>
  <si>
    <t>0001985496</t>
  </si>
  <si>
    <t>+48 795 375 369</t>
  </si>
  <si>
    <t>Moniuszki 8/59, Cieszyn, 43-400</t>
  </si>
  <si>
    <t>4893</t>
  </si>
  <si>
    <t>Piatek</t>
  </si>
  <si>
    <t>Joanna Barbara</t>
  </si>
  <si>
    <t>0001275790</t>
  </si>
  <si>
    <t>+48 661 766 217</t>
  </si>
  <si>
    <t>Katowicka 3/37, Jastrzebie Zdroj, 44-335</t>
  </si>
  <si>
    <t>5161</t>
  </si>
  <si>
    <t>Pietrek</t>
  </si>
  <si>
    <t>Grzegorz Piotr</t>
  </si>
  <si>
    <t>0001219223</t>
  </si>
  <si>
    <t>+48 519 456 499</t>
  </si>
  <si>
    <t>Wrebowa 4c/24, Rybnik, 44-270</t>
  </si>
  <si>
    <t>4867</t>
  </si>
  <si>
    <t>Piwowarska</t>
  </si>
  <si>
    <t>Roksana Maria</t>
  </si>
  <si>
    <t>0001343425</t>
  </si>
  <si>
    <t>+48 791 690 795</t>
  </si>
  <si>
    <t>Strazacka 24A/13, Zory, 44-240</t>
  </si>
  <si>
    <t>5144</t>
  </si>
  <si>
    <t>Plichta</t>
  </si>
  <si>
    <t>Lukasz</t>
  </si>
  <si>
    <t>0003628225</t>
  </si>
  <si>
    <t>+48 883 643 539</t>
  </si>
  <si>
    <t>Rostka 2c/10, Rybnik, 44-253</t>
  </si>
  <si>
    <t>148</t>
  </si>
  <si>
    <t>0291550143</t>
  </si>
  <si>
    <t>+48 572 316 095</t>
  </si>
  <si>
    <t>Gagarina 110m.34, Jastrzebie-Zdroj, 44-268</t>
  </si>
  <si>
    <t>4756</t>
  </si>
  <si>
    <t>0001226162</t>
  </si>
  <si>
    <t>+48 793 344 282</t>
  </si>
  <si>
    <t>Gagarina 110 m.34, Jastrzebie-Zdrój, 44-268</t>
  </si>
  <si>
    <t>5050</t>
  </si>
  <si>
    <t>Pompa</t>
  </si>
  <si>
    <t>Aleksandra Jadwiga</t>
  </si>
  <si>
    <t>0002036712</t>
  </si>
  <si>
    <t>+48 732 836 617</t>
  </si>
  <si>
    <t>Skowronkow 23, Rybnik, 44-207</t>
  </si>
  <si>
    <t>5151</t>
  </si>
  <si>
    <t>Portka</t>
  </si>
  <si>
    <t>Oskar</t>
  </si>
  <si>
    <t>0001260558</t>
  </si>
  <si>
    <t>+48 605 060 655</t>
  </si>
  <si>
    <t>Zielona 76E/5, Jastrzebie Zdroj, 44-335</t>
  </si>
  <si>
    <t>4861</t>
  </si>
  <si>
    <t>Porwolik</t>
  </si>
  <si>
    <t>Anna Malgorzata</t>
  </si>
  <si>
    <t>0001220221</t>
  </si>
  <si>
    <t>+48 510 809 585</t>
  </si>
  <si>
    <t>Os. Pawlikowskiego 12H/7, Zory, 44-240</t>
  </si>
  <si>
    <t>150</t>
  </si>
  <si>
    <t>Przybyla</t>
  </si>
  <si>
    <t>Danuta Anna</t>
  </si>
  <si>
    <t>0002036505</t>
  </si>
  <si>
    <t>+48 781935611</t>
  </si>
  <si>
    <t>Rynek 29/2, Wodzislaw Slaski, 44-300</t>
  </si>
  <si>
    <t>5114</t>
  </si>
  <si>
    <t>Ptak</t>
  </si>
  <si>
    <t>Monika Aleksandra</t>
  </si>
  <si>
    <t>0002029084</t>
  </si>
  <si>
    <t>+48 570 761 473</t>
  </si>
  <si>
    <t>Polna 19G/7, Pawlowice, 43-251</t>
  </si>
  <si>
    <t>5001</t>
  </si>
  <si>
    <t>Pustelnik</t>
  </si>
  <si>
    <t>Damian Jozef</t>
  </si>
  <si>
    <t>0003299932</t>
  </si>
  <si>
    <t>+48 511 663 644</t>
  </si>
  <si>
    <t>Zielona 9/30, Jastrzebie Zdroj, 44-335</t>
  </si>
  <si>
    <t>Puwel</t>
  </si>
  <si>
    <t>Miroslaw Stefan</t>
  </si>
  <si>
    <t>0001092313</t>
  </si>
  <si>
    <t>+48 731 001 788</t>
  </si>
  <si>
    <t>os. Korfantego 10D/10, Zory, 44-240</t>
  </si>
  <si>
    <t>5054</t>
  </si>
  <si>
    <t>Ratajczak</t>
  </si>
  <si>
    <t>Monika Anna</t>
  </si>
  <si>
    <t>0001953401</t>
  </si>
  <si>
    <t>+48 720 864 984</t>
  </si>
  <si>
    <t>Piastowska 5/5, Wodzislaw Slaski, 44-300</t>
  </si>
  <si>
    <t>5120</t>
  </si>
  <si>
    <t>Ratajczyk</t>
  </si>
  <si>
    <t>Patrycja Joanna</t>
  </si>
  <si>
    <t>0001985251</t>
  </si>
  <si>
    <t>+48 515 040 064</t>
  </si>
  <si>
    <t>Wyzwolenia 47B, Chybie, 43-520</t>
  </si>
  <si>
    <t>4713</t>
  </si>
  <si>
    <t>Rduch</t>
  </si>
  <si>
    <t>0004504028</t>
  </si>
  <si>
    <t>+48 732 665 221</t>
  </si>
  <si>
    <t>Mickiewicza 124, Mszana, 44-325</t>
  </si>
  <si>
    <t>261</t>
  </si>
  <si>
    <t>Rembielak</t>
  </si>
  <si>
    <t>Ewa Klaudia</t>
  </si>
  <si>
    <t>0352188369058</t>
  </si>
  <si>
    <t>+48 668 954 871</t>
  </si>
  <si>
    <t>plac Józefa Poniatowskiego 9/4, Cieszyn, 43-400</t>
  </si>
  <si>
    <t>5063</t>
  </si>
  <si>
    <t>Rubys</t>
  </si>
  <si>
    <t>Stanislaw Dominik</t>
  </si>
  <si>
    <t>0002028835</t>
  </si>
  <si>
    <t>+48 533 059 362</t>
  </si>
  <si>
    <t>Czarnieckiego 47, Wodzislaw Slaski, 44-304</t>
  </si>
  <si>
    <t>4763</t>
  </si>
  <si>
    <t>Rusiński</t>
  </si>
  <si>
    <t>Mateusz Kamil</t>
  </si>
  <si>
    <t>0352188629581</t>
  </si>
  <si>
    <t>+48 538 210 175</t>
  </si>
  <si>
    <t>Cieszyńska 192, Jastrzębie-Zdrój, 44-335</t>
  </si>
  <si>
    <t>Sadlo</t>
  </si>
  <si>
    <t>0001402179</t>
  </si>
  <si>
    <t>+48 798 205 702</t>
  </si>
  <si>
    <t>Powstancow 1A, Sosnicowice, 44-153</t>
  </si>
  <si>
    <t>4793</t>
  </si>
  <si>
    <t>Saganová</t>
  </si>
  <si>
    <t>Marie</t>
  </si>
  <si>
    <t>0003535704</t>
  </si>
  <si>
    <t>702 053 866</t>
  </si>
  <si>
    <t>Tř.17.listopadu 2351/7, Karviná - Mizerov, 734 01</t>
  </si>
  <si>
    <t>4744</t>
  </si>
  <si>
    <t>Satlawa</t>
  </si>
  <si>
    <t>Iwona Maria</t>
  </si>
  <si>
    <t>0001279904</t>
  </si>
  <si>
    <t>+48 503 387 054</t>
  </si>
  <si>
    <t>Janusza Korczaka 56, Konczyce Male, 43-410</t>
  </si>
  <si>
    <t>5147</t>
  </si>
  <si>
    <t>Sawicki</t>
  </si>
  <si>
    <t>Adam Grzegorz</t>
  </si>
  <si>
    <t>0001931855</t>
  </si>
  <si>
    <t>+48 572 495 864</t>
  </si>
  <si>
    <t>Partyzantow 46A, Rybnik, 44-203</t>
  </si>
  <si>
    <t>5006</t>
  </si>
  <si>
    <t>Setla</t>
  </si>
  <si>
    <t>Jakub Dominik</t>
  </si>
  <si>
    <t>0002028817</t>
  </si>
  <si>
    <t>+48 794 226 241</t>
  </si>
  <si>
    <t>Rydultowska 85, Gaszowice, 44-293</t>
  </si>
  <si>
    <t>4643</t>
  </si>
  <si>
    <t>Agnieszka Maria</t>
  </si>
  <si>
    <t>0003534880</t>
  </si>
  <si>
    <t>+48 603 221 451</t>
  </si>
  <si>
    <t>Fiołków 10, Cieszyn, 43-400</t>
  </si>
  <si>
    <t>4555</t>
  </si>
  <si>
    <t>Aleksandra Barbara</t>
  </si>
  <si>
    <t>0001337753</t>
  </si>
  <si>
    <t>+48 508 210 457</t>
  </si>
  <si>
    <t>Górnicza 40/5, Jastrzebie-Zdroj, 44-335</t>
  </si>
  <si>
    <t>153</t>
  </si>
  <si>
    <t>Piotr Robert</t>
  </si>
  <si>
    <t>0015501372</t>
  </si>
  <si>
    <t>+48 576 893 853</t>
  </si>
  <si>
    <t>Wieczorka 16m.4, Jastrzebie-Zdroj, 44-330</t>
  </si>
  <si>
    <t>4787</t>
  </si>
  <si>
    <t>Sikorski</t>
  </si>
  <si>
    <t>Maciej</t>
  </si>
  <si>
    <t>0001319636</t>
  </si>
  <si>
    <t>+48 698 725 476</t>
  </si>
  <si>
    <t>Katowicka 94, Cieszyn, 43-400</t>
  </si>
  <si>
    <t>154</t>
  </si>
  <si>
    <t>Siwonia</t>
  </si>
  <si>
    <t>Jedrzej Leszek</t>
  </si>
  <si>
    <t>0014964119</t>
  </si>
  <si>
    <t>+48 537 738 640</t>
  </si>
  <si>
    <t>Gornicza 4Bm.8, Pawlowice, 43-251</t>
  </si>
  <si>
    <t>155</t>
  </si>
  <si>
    <t>Skawinska</t>
  </si>
  <si>
    <t>Dorota Bernadeta</t>
  </si>
  <si>
    <t>000263873803</t>
  </si>
  <si>
    <t>+48 662 952 690</t>
  </si>
  <si>
    <t>Elizy Orzeszkowej 12/7, Wodzislaw Slaski, 44-300</t>
  </si>
  <si>
    <t>Slowiok</t>
  </si>
  <si>
    <t>0001932294</t>
  </si>
  <si>
    <t>+48 791 906 688</t>
  </si>
  <si>
    <t>Centralna 66/6, Ogrodzona, 43-426</t>
  </si>
  <si>
    <t>Slupik</t>
  </si>
  <si>
    <t>Anna</t>
  </si>
  <si>
    <t>0001310269</t>
  </si>
  <si>
    <t>+48 514 369 392</t>
  </si>
  <si>
    <t>Os. Powstancow Slaskich 6D/7, Zory, 43-254</t>
  </si>
  <si>
    <t>4920</t>
  </si>
  <si>
    <t>Soboczynska</t>
  </si>
  <si>
    <t>0001327728</t>
  </si>
  <si>
    <t>+48 733 209 427</t>
  </si>
  <si>
    <t>Korfantego 32b/2, Radlin, 44-310</t>
  </si>
  <si>
    <t>4797</t>
  </si>
  <si>
    <t>Sojka</t>
  </si>
  <si>
    <t>Janusz</t>
  </si>
  <si>
    <t>0003326894</t>
  </si>
  <si>
    <t>+48 577 916 565</t>
  </si>
  <si>
    <t>Srebrna 8, Zebrzydowice, 43-410</t>
  </si>
  <si>
    <t>Sosna</t>
  </si>
  <si>
    <t>0001985586</t>
  </si>
  <si>
    <t>+48 798 972 720</t>
  </si>
  <si>
    <t>Szotkowicka 58B, Jastrzebie Zdroj, 44-338</t>
  </si>
  <si>
    <t>5152</t>
  </si>
  <si>
    <t>Stafiej</t>
  </si>
  <si>
    <t>Lucyna Justyna</t>
  </si>
  <si>
    <t>0003371764</t>
  </si>
  <si>
    <t>+48 578 210 628</t>
  </si>
  <si>
    <t>Zawisle 21/5, Skoczow, 43-430</t>
  </si>
  <si>
    <t>176</t>
  </si>
  <si>
    <t>Stanek</t>
  </si>
  <si>
    <t>Martyna Katarzyna</t>
  </si>
  <si>
    <t>0005555530</t>
  </si>
  <si>
    <t>+48 733 480 284</t>
  </si>
  <si>
    <t>Osiedle 700 - Lecia Zor 20m.25, Zory, 44-240</t>
  </si>
  <si>
    <t>Stepien</t>
  </si>
  <si>
    <t>Damian</t>
  </si>
  <si>
    <t>0008777567</t>
  </si>
  <si>
    <t>+48 791 550 906</t>
  </si>
  <si>
    <t>Fabryczna 10C/11, Zory, 44-240</t>
  </si>
  <si>
    <t>5163</t>
  </si>
  <si>
    <t>Suwinski</t>
  </si>
  <si>
    <t>Jakub Joachim</t>
  </si>
  <si>
    <t>0001032304</t>
  </si>
  <si>
    <t>+48 663 626 222</t>
  </si>
  <si>
    <t>Malopolska 27/6, Jastrzebie Zdroj, 44-335</t>
  </si>
  <si>
    <t>4826</t>
  </si>
  <si>
    <t>Swiercz</t>
  </si>
  <si>
    <t>Lucyna Krystyna</t>
  </si>
  <si>
    <t>0003365841</t>
  </si>
  <si>
    <t>+48 604 534 713</t>
  </si>
  <si>
    <t>Frysztacka 161/206, Cieszyn, 43-400</t>
  </si>
  <si>
    <t>Świerczyński</t>
  </si>
  <si>
    <t>Rafal Tomasz</t>
  </si>
  <si>
    <t>0001254597</t>
  </si>
  <si>
    <t>+48 519 867 568</t>
  </si>
  <si>
    <t>Bolesława Prusa 16A/2, Malbork, 82-200</t>
  </si>
  <si>
    <t>4877</t>
  </si>
  <si>
    <t>Swiety</t>
  </si>
  <si>
    <t>Mateusz Czeslaw</t>
  </si>
  <si>
    <t>0001408958</t>
  </si>
  <si>
    <t>+48 600 946 633</t>
  </si>
  <si>
    <t>Mickiewicza 147, Mszana, 44-325</t>
  </si>
  <si>
    <t>4899</t>
  </si>
  <si>
    <t>Swoboda</t>
  </si>
  <si>
    <t>Martyna Alicja</t>
  </si>
  <si>
    <t>0003408083</t>
  </si>
  <si>
    <t>+48 519 720 150</t>
  </si>
  <si>
    <t>Wolnosci 1/11, Radlin, 44-310</t>
  </si>
  <si>
    <t>177</t>
  </si>
  <si>
    <t>Szczesny</t>
  </si>
  <si>
    <t>Agnieszka Joanna</t>
  </si>
  <si>
    <t>0009551583</t>
  </si>
  <si>
    <t>+48 509 182 239</t>
  </si>
  <si>
    <t>Marusarzowny 39m.7, Jastrzebie-Zdroj, 44-330</t>
  </si>
  <si>
    <t>4930</t>
  </si>
  <si>
    <t>Szeluga</t>
  </si>
  <si>
    <t>Magdalena Klaudia</t>
  </si>
  <si>
    <t>0352188403565</t>
  </si>
  <si>
    <t>+48 793 405 340</t>
  </si>
  <si>
    <t>Kaszubska 3/20, Jastrzębie-Zdrój, 44-335</t>
  </si>
  <si>
    <t>4822</t>
  </si>
  <si>
    <t>Szmul</t>
  </si>
  <si>
    <t>Alicja Malgorzata</t>
  </si>
  <si>
    <t>0001220227</t>
  </si>
  <si>
    <t>+48 784 975 111</t>
  </si>
  <si>
    <t>Gosciejow 51, Wisla, 43-460</t>
  </si>
  <si>
    <t>4957</t>
  </si>
  <si>
    <t>Szydlik</t>
  </si>
  <si>
    <t>Anna Krystyna</t>
  </si>
  <si>
    <t>0001931023</t>
  </si>
  <si>
    <t>+48 881 641 991</t>
  </si>
  <si>
    <t>26 Marca 78/1, Wodzislaw Slaski, 44-300</t>
  </si>
  <si>
    <t>276</t>
  </si>
  <si>
    <t>Tolwinski</t>
  </si>
  <si>
    <t>Patryk Artur</t>
  </si>
  <si>
    <t>0008736436</t>
  </si>
  <si>
    <t>+48 728 703 509</t>
  </si>
  <si>
    <t>Osiedle Księcia Władysława 5A/24, Zory, 44-241</t>
  </si>
  <si>
    <t>4959</t>
  </si>
  <si>
    <t>Tomica</t>
  </si>
  <si>
    <t>Janusz Franciszek</t>
  </si>
  <si>
    <t>0002013831</t>
  </si>
  <si>
    <t>+48 608 142 897</t>
  </si>
  <si>
    <t>Katowicka 44, Cieszyn, 43-419</t>
  </si>
  <si>
    <t>4724</t>
  </si>
  <si>
    <t>Tomiczek</t>
  </si>
  <si>
    <t>Sara Beata</t>
  </si>
  <si>
    <t>0001343515</t>
  </si>
  <si>
    <t>+48 516 631 702</t>
  </si>
  <si>
    <t>Reymonta 43, Cieszyn, 43-400</t>
  </si>
  <si>
    <t>4772</t>
  </si>
  <si>
    <t>Trebacz</t>
  </si>
  <si>
    <t>Mateusz Piotr</t>
  </si>
  <si>
    <t>0001255808</t>
  </si>
  <si>
    <t>+48 695 152 026</t>
  </si>
  <si>
    <t>Gminna 5/2, Kiczyce, 43-430</t>
  </si>
  <si>
    <t>4919</t>
  </si>
  <si>
    <t>Tuna</t>
  </si>
  <si>
    <t>0003785106</t>
  </si>
  <si>
    <t>+420 770 671 91</t>
  </si>
  <si>
    <t>Okružní 1764/20, Český Těšín, 737 01</t>
  </si>
  <si>
    <t>183</t>
  </si>
  <si>
    <t>Tytko</t>
  </si>
  <si>
    <t>Aleksandra Irmina</t>
  </si>
  <si>
    <t>0004468410</t>
  </si>
  <si>
    <t>+48 510 142 785</t>
  </si>
  <si>
    <t>Bronislawa Czecha 2/4, Radlin, 44-310</t>
  </si>
  <si>
    <t>4698</t>
  </si>
  <si>
    <t>Veselý</t>
  </si>
  <si>
    <t>Stanislav</t>
  </si>
  <si>
    <t>0004058686</t>
  </si>
  <si>
    <t>+420 774 071 86</t>
  </si>
  <si>
    <t>Bažantnice 452, Albrechtice, 735 43</t>
  </si>
  <si>
    <t>4611</t>
  </si>
  <si>
    <t>Waclawczyk</t>
  </si>
  <si>
    <t>Adam Krzysztof</t>
  </si>
  <si>
    <t>0001259068</t>
  </si>
  <si>
    <t>+48 532 484 452</t>
  </si>
  <si>
    <t>Kar. Stefana Wyszyńskiego 8/12, Wodzislaw Slaski, 44-300</t>
  </si>
  <si>
    <t>5069</t>
  </si>
  <si>
    <t>Wagner</t>
  </si>
  <si>
    <t>Irena Agnieszka</t>
  </si>
  <si>
    <t>0001985625</t>
  </si>
  <si>
    <t>+48 697 653 898</t>
  </si>
  <si>
    <t>Grabowa 36, Ustron, 43-450</t>
  </si>
  <si>
    <t>5160</t>
  </si>
  <si>
    <t>Walesa</t>
  </si>
  <si>
    <t>0001275384</t>
  </si>
  <si>
    <t>+48 511 123 230</t>
  </si>
  <si>
    <t>Sw. Maksymiliana 7a/5, Rybnik, 44-207</t>
  </si>
  <si>
    <t>4883</t>
  </si>
  <si>
    <t>Wasilewska</t>
  </si>
  <si>
    <t>Oliwia</t>
  </si>
  <si>
    <t>0352188709496</t>
  </si>
  <si>
    <t>+48 511 144 530</t>
  </si>
  <si>
    <t>Chabrowa 28a/41, Rybnik, 44-210</t>
  </si>
  <si>
    <t>185</t>
  </si>
  <si>
    <t>Wawrzyczny</t>
  </si>
  <si>
    <t>Leszek Adam</t>
  </si>
  <si>
    <t>0004741996</t>
  </si>
  <si>
    <t>+48 795 273 630</t>
  </si>
  <si>
    <t>Szkolna 3, Wodzislaw Slaski, 44-300</t>
  </si>
  <si>
    <t>4782</t>
  </si>
  <si>
    <t>Witak</t>
  </si>
  <si>
    <t>Danuta Dorota</t>
  </si>
  <si>
    <t>0001374770</t>
  </si>
  <si>
    <t>+48 888 962 901</t>
  </si>
  <si>
    <t>Os. Ksiecia Wladyslawa 8C/M38, Zory, 44-240</t>
  </si>
  <si>
    <t>4941</t>
  </si>
  <si>
    <t>Wiktoria Kinga</t>
  </si>
  <si>
    <t>0001863534</t>
  </si>
  <si>
    <t>+48 797 392 849</t>
  </si>
  <si>
    <t>Borynska 23, Zory, 44-240</t>
  </si>
  <si>
    <t>4780</t>
  </si>
  <si>
    <t>Wodecka</t>
  </si>
  <si>
    <t>Agnieszka Irena</t>
  </si>
  <si>
    <t>0001317903</t>
  </si>
  <si>
    <t>+48 784 354 219</t>
  </si>
  <si>
    <t>Wielkopolska 41/33, Jastrzebie-Zdroj, 44-335</t>
  </si>
  <si>
    <t>4638</t>
  </si>
  <si>
    <t>Wodyk</t>
  </si>
  <si>
    <t>Piotr Zbigniew</t>
  </si>
  <si>
    <t>0003351251</t>
  </si>
  <si>
    <t>+48 662 967 022</t>
  </si>
  <si>
    <t>Wiślańska 21/25, Cieszyn, 43-400</t>
  </si>
  <si>
    <t>5015</t>
  </si>
  <si>
    <t>Wojaczek</t>
  </si>
  <si>
    <t>Kornel Szymon</t>
  </si>
  <si>
    <t>0001815065</t>
  </si>
  <si>
    <t>+48 510 315 755</t>
  </si>
  <si>
    <t>Targoniny 19, Dziegielow, 43-445</t>
  </si>
  <si>
    <t>5141</t>
  </si>
  <si>
    <t>Zajac</t>
  </si>
  <si>
    <t>Mariusz Tomasz</t>
  </si>
  <si>
    <t>0001932034</t>
  </si>
  <si>
    <t>+48 791 423 037</t>
  </si>
  <si>
    <t>Os. Pawlikowskiego 14D/1, Zory, 44-240</t>
  </si>
  <si>
    <t>4704</t>
  </si>
  <si>
    <t>Zaleska</t>
  </si>
  <si>
    <t>Malgorzata Aneta</t>
  </si>
  <si>
    <t>0004833110</t>
  </si>
  <si>
    <t>+48 570 123 632</t>
  </si>
  <si>
    <t>Os. Pawlikowskiego 19C/34, Zory, 44-240</t>
  </si>
  <si>
    <t>4802</t>
  </si>
  <si>
    <t>Zamojc</t>
  </si>
  <si>
    <t>Rafal Grzegorz</t>
  </si>
  <si>
    <t>0001284272</t>
  </si>
  <si>
    <t>+48 535 118 036</t>
  </si>
  <si>
    <t>Wyspianskiego 28/1, Cieszyn, 43-400</t>
  </si>
  <si>
    <t>5017</t>
  </si>
  <si>
    <t>Zlik</t>
  </si>
  <si>
    <t>Kamil Michał</t>
  </si>
  <si>
    <t>0002010931</t>
  </si>
  <si>
    <t>+48 451 083 210</t>
  </si>
  <si>
    <t>Strazacka 10 , Konczyce Wielkie, 43-419</t>
  </si>
  <si>
    <t>4423</t>
  </si>
  <si>
    <t>Zmarzly</t>
  </si>
  <si>
    <t>Roksana Marzena</t>
  </si>
  <si>
    <t>0009057133</t>
  </si>
  <si>
    <t>+48 690 020 314</t>
  </si>
  <si>
    <t>Jana Kilińskiego 28a/16, Rybnik , 44-200</t>
  </si>
  <si>
    <t>188</t>
  </si>
  <si>
    <t>Zobek</t>
  </si>
  <si>
    <t>Izabela Jadwiga</t>
  </si>
  <si>
    <t>0009572218</t>
  </si>
  <si>
    <t>+48 519 795 644</t>
  </si>
  <si>
    <t>Turystyczna 12/11, Jastrzebie-Zdroj, 44-335</t>
  </si>
  <si>
    <t>5036</t>
  </si>
  <si>
    <t>Zubrzycka</t>
  </si>
  <si>
    <t>0001932033</t>
  </si>
  <si>
    <t>+48 889 168 210</t>
  </si>
  <si>
    <t>Jaworzynka 499, Jaworzynka, 43-476</t>
  </si>
  <si>
    <t>190</t>
  </si>
  <si>
    <t>Zytynski</t>
  </si>
  <si>
    <t>Lukasz Szymon</t>
  </si>
  <si>
    <t>0004193673</t>
  </si>
  <si>
    <t>+48 785 198 037</t>
  </si>
  <si>
    <t>Marusarzowny 4/1, Jastrzebie-Zdroj, 44-330</t>
  </si>
  <si>
    <t>2771</t>
  </si>
  <si>
    <t>Bugla</t>
  </si>
  <si>
    <t>0327017936</t>
  </si>
  <si>
    <t>605 973 646</t>
  </si>
  <si>
    <t>Jílová 210/28, Ostrava - Moravská, 702 00</t>
  </si>
  <si>
    <t>5217</t>
  </si>
  <si>
    <t>Dziedzic</t>
  </si>
  <si>
    <t>Grzegorz Tomasz</t>
  </si>
  <si>
    <t>0295414032</t>
  </si>
  <si>
    <t>+48 505 538 093</t>
  </si>
  <si>
    <t>Ogrodowa 3, Cieszyn, 43-400</t>
  </si>
  <si>
    <t>5110</t>
  </si>
  <si>
    <t>Gordienko</t>
  </si>
  <si>
    <t>Adam</t>
  </si>
  <si>
    <t>0295413742</t>
  </si>
  <si>
    <t>+48 793 946 629</t>
  </si>
  <si>
    <t>Osiedle Pawlikowskiego 2A/2, Zory, 44-240</t>
  </si>
  <si>
    <t>5216</t>
  </si>
  <si>
    <t>Gutan</t>
  </si>
  <si>
    <t>Slawomir Piotr</t>
  </si>
  <si>
    <t>0327017993</t>
  </si>
  <si>
    <t>Brozka 2/13, Cieszyn, 43-400</t>
  </si>
  <si>
    <t>5218</t>
  </si>
  <si>
    <t>0295413887</t>
  </si>
  <si>
    <t>5219</t>
  </si>
  <si>
    <t>Kamil Adam</t>
  </si>
  <si>
    <t>0261608424</t>
  </si>
  <si>
    <t>+48 881 345 224</t>
  </si>
  <si>
    <t>Zielona 33/10, Jastrzebie Zdroj, 44-335</t>
  </si>
  <si>
    <t>Szyszko</t>
  </si>
  <si>
    <t>Dawid Pawel</t>
  </si>
  <si>
    <t>0334327151</t>
  </si>
  <si>
    <t>+48 789 289 048</t>
  </si>
  <si>
    <t>Wspolna 5B, Jastrzebie Zdroj, 44-336</t>
  </si>
  <si>
    <t>3708</t>
  </si>
  <si>
    <t>Birtus</t>
  </si>
  <si>
    <t>Jozef</t>
  </si>
  <si>
    <t>0013100492</t>
  </si>
  <si>
    <t>737541900</t>
  </si>
  <si>
    <t>Skalité 337, Skalité, 023 14</t>
  </si>
  <si>
    <t>Boloch</t>
  </si>
  <si>
    <t>Marek Wladyslaw</t>
  </si>
  <si>
    <t>0369962441</t>
  </si>
  <si>
    <t>+48 692 199 209</t>
  </si>
  <si>
    <t>Zebrzydowicka 10/6, Rybnik, 44-200</t>
  </si>
  <si>
    <t>4817</t>
  </si>
  <si>
    <t>Büdi</t>
  </si>
  <si>
    <t>Alexander</t>
  </si>
  <si>
    <t>0013100865</t>
  </si>
  <si>
    <t>728 423 957</t>
  </si>
  <si>
    <t>Cestice 32, Cestice, 044 71</t>
  </si>
  <si>
    <t>4979</t>
  </si>
  <si>
    <t>Bykowski</t>
  </si>
  <si>
    <t>Marcin Ryszard</t>
  </si>
  <si>
    <t>0002998028</t>
  </si>
  <si>
    <t>+48 571 914 180</t>
  </si>
  <si>
    <t>Pomorska 49/2, Jastrzebie Zdroj, 44-335</t>
  </si>
  <si>
    <t>4785</t>
  </si>
  <si>
    <t>Cisiński</t>
  </si>
  <si>
    <t>Sebastian Tadeusz</t>
  </si>
  <si>
    <t>0378770295</t>
  </si>
  <si>
    <t>+48 508 565 205</t>
  </si>
  <si>
    <t>Turystyczna 13/27, Jastrzębie-Zdrój, 44-335</t>
  </si>
  <si>
    <t>5198</t>
  </si>
  <si>
    <t>Czuba</t>
  </si>
  <si>
    <t>Grzegorz</t>
  </si>
  <si>
    <t>0348404103</t>
  </si>
  <si>
    <t>+48 574 655 211</t>
  </si>
  <si>
    <t>Zeromskiego 7/1, Wodzislaw Slaski, 44-300</t>
  </si>
  <si>
    <t>5003</t>
  </si>
  <si>
    <t>Czurylo</t>
  </si>
  <si>
    <t>0369977072</t>
  </si>
  <si>
    <t>+48 884 642 785</t>
  </si>
  <si>
    <t>Gornicza 18C/7, Rybnik, 44-206</t>
  </si>
  <si>
    <t>5199</t>
  </si>
  <si>
    <t>Daga</t>
  </si>
  <si>
    <t>Daniel Krzysztof</t>
  </si>
  <si>
    <t>0348392541</t>
  </si>
  <si>
    <t>+48 798 498 277</t>
  </si>
  <si>
    <t>Zagloby 24, Rybnik, 44-270</t>
  </si>
  <si>
    <t>5276</t>
  </si>
  <si>
    <t>Frackiewicz</t>
  </si>
  <si>
    <t>Mateusz Dawid</t>
  </si>
  <si>
    <t>0348387302</t>
  </si>
  <si>
    <t>+48 570 980 131</t>
  </si>
  <si>
    <t>Os. Generala Sikorskiego 22 I/1, Zory, 44-240</t>
  </si>
  <si>
    <t>5228</t>
  </si>
  <si>
    <t>Galus</t>
  </si>
  <si>
    <t>Wojciech Jan</t>
  </si>
  <si>
    <t>0357229219</t>
  </si>
  <si>
    <t>+48 784 259 034</t>
  </si>
  <si>
    <t>Kaszubska 10/9, Jastrzebie Zdroj, 44-335</t>
  </si>
  <si>
    <t>Chmielewski</t>
  </si>
  <si>
    <t>Arkadiusz Antoni</t>
  </si>
  <si>
    <t>0369911673</t>
  </si>
  <si>
    <t>+48 574 635 493</t>
  </si>
  <si>
    <t>26 Marca 29/24, Wodzislaw Slaski, 44-300</t>
  </si>
  <si>
    <t>4768</t>
  </si>
  <si>
    <t>Jacewicz</t>
  </si>
  <si>
    <t>Jakub Jacek</t>
  </si>
  <si>
    <t>0369947420</t>
  </si>
  <si>
    <t>+48 500 754 433</t>
  </si>
  <si>
    <t>Mikołaja Witczaka 4c/7, Jastrzębie-Zdrój, 44-335</t>
  </si>
  <si>
    <t>5113</t>
  </si>
  <si>
    <t>Janiczek</t>
  </si>
  <si>
    <t>Kamil Patryk</t>
  </si>
  <si>
    <t>0369978365</t>
  </si>
  <si>
    <t>+48 884 337 008</t>
  </si>
  <si>
    <t>os. 1000-lecia 8/25, Jastrzebie Zdroj, 44-268</t>
  </si>
  <si>
    <t>5227</t>
  </si>
  <si>
    <t>Jazdzewski</t>
  </si>
  <si>
    <t>Robert Lukasz</t>
  </si>
  <si>
    <t>0357221234</t>
  </si>
  <si>
    <t>+48 789 769 471</t>
  </si>
  <si>
    <t>Os. 1000-Lecia 7/57, Jastrzebie Zdroj, 44-268</t>
  </si>
  <si>
    <t>4680</t>
  </si>
  <si>
    <t>Kala</t>
  </si>
  <si>
    <t>Janusz Eryk</t>
  </si>
  <si>
    <t>0000916535</t>
  </si>
  <si>
    <t>+48 537 097 454</t>
  </si>
  <si>
    <t>Boryńska 23, Zory, 44-244</t>
  </si>
  <si>
    <t>4998</t>
  </si>
  <si>
    <t>Michal Ireneusz</t>
  </si>
  <si>
    <t>+48 609 723 587</t>
  </si>
  <si>
    <t>1000-lecia 18/7, Wodzislaw Slaski, 44-300</t>
  </si>
  <si>
    <t>3695</t>
  </si>
  <si>
    <t>Kovařčik</t>
  </si>
  <si>
    <t>Tomáš</t>
  </si>
  <si>
    <t>739764081</t>
  </si>
  <si>
    <t>Lázky 1319, Vsetín, 755 01</t>
  </si>
  <si>
    <t>5034</t>
  </si>
  <si>
    <t>Kowalczyk</t>
  </si>
  <si>
    <t>Przemyslaw Krzysztof</t>
  </si>
  <si>
    <t>0369919018</t>
  </si>
  <si>
    <t>+48 537 100 679</t>
  </si>
  <si>
    <t>Aleja Wojska Polskiego 21/21, Zory, 44-240</t>
  </si>
  <si>
    <t>5149</t>
  </si>
  <si>
    <t>Lata</t>
  </si>
  <si>
    <t>Stanislaw</t>
  </si>
  <si>
    <t>+48 789 787 147</t>
  </si>
  <si>
    <t>Boleslawa Prusa 2/1, Wodzislaw Slaski, 44-300</t>
  </si>
  <si>
    <t>4850</t>
  </si>
  <si>
    <t>Loter</t>
  </si>
  <si>
    <t>Dawid Seweryn</t>
  </si>
  <si>
    <t>0009644271</t>
  </si>
  <si>
    <t>+48 794 581 733</t>
  </si>
  <si>
    <t>Rynek 27/7, Wodzisław Śląski, 44-300</t>
  </si>
  <si>
    <t>Lysejko</t>
  </si>
  <si>
    <t>Jaroslaw</t>
  </si>
  <si>
    <t>0009580102</t>
  </si>
  <si>
    <t>+48 797 697 888</t>
  </si>
  <si>
    <t>26 Marca 19/1, Wodzisław Śląski, 44-300</t>
  </si>
  <si>
    <t>4237</t>
  </si>
  <si>
    <t>Marczewski</t>
  </si>
  <si>
    <t>Robert Wieslaw</t>
  </si>
  <si>
    <t>0000904527</t>
  </si>
  <si>
    <t>+48 606 131 964</t>
  </si>
  <si>
    <t>Malchera 29/9, Jastrzebie-Zdroj, 44335</t>
  </si>
  <si>
    <t>1993</t>
  </si>
  <si>
    <t>Moravec</t>
  </si>
  <si>
    <t>0013055947</t>
  </si>
  <si>
    <t>736 120 949</t>
  </si>
  <si>
    <t>Čujkovova 1738/34, Ostrava-Zábřeh, 70030</t>
  </si>
  <si>
    <t>3379</t>
  </si>
  <si>
    <t>Nawara</t>
  </si>
  <si>
    <t>0009586730</t>
  </si>
  <si>
    <t>+48 507 556 613</t>
  </si>
  <si>
    <t>Krakowska 1/16, Jastrzebie-Zdrój, 44-335</t>
  </si>
  <si>
    <t>Wojciech Roman</t>
  </si>
  <si>
    <t>0000920818</t>
  </si>
  <si>
    <t>+48 510 626 854</t>
  </si>
  <si>
    <t>Jana Onufrego Zagłoby 24, Rybnik, 44-270</t>
  </si>
  <si>
    <t>4044</t>
  </si>
  <si>
    <t>Pitel</t>
  </si>
  <si>
    <t>Jiří</t>
  </si>
  <si>
    <t>0011818564</t>
  </si>
  <si>
    <t>731907245</t>
  </si>
  <si>
    <t>Dr.Čejky 1518, Příbor, 742 58</t>
  </si>
  <si>
    <t>5111</t>
  </si>
  <si>
    <t>Porczyk</t>
  </si>
  <si>
    <t>0369965510</t>
  </si>
  <si>
    <t>+48 792 561 006</t>
  </si>
  <si>
    <t>Patriotow 8B/7, Rybnik, 44-253</t>
  </si>
  <si>
    <t>5039</t>
  </si>
  <si>
    <t>Prudel</t>
  </si>
  <si>
    <t>Mateusz Stanislaw</t>
  </si>
  <si>
    <t>0369972253</t>
  </si>
  <si>
    <t>+48 694 806 434</t>
  </si>
  <si>
    <t>Kreta 1G/4, Pawlowice, 43-251</t>
  </si>
  <si>
    <t>5210</t>
  </si>
  <si>
    <t>Rost</t>
  </si>
  <si>
    <t>Szymon Mariusz</t>
  </si>
  <si>
    <t>0357225412</t>
  </si>
  <si>
    <t>+48 572 303 066</t>
  </si>
  <si>
    <t>Kurpiowska 11/5, Jastrzebie Zdroj, 44-335</t>
  </si>
  <si>
    <t>5087</t>
  </si>
  <si>
    <t>Rozy</t>
  </si>
  <si>
    <t>0369951690</t>
  </si>
  <si>
    <t>+48 787 366 585</t>
  </si>
  <si>
    <t>osiedle 1000-lecia 15B/34, Jastrzębie-Zdrój, 44-268</t>
  </si>
  <si>
    <t>Salapa</t>
  </si>
  <si>
    <t>0369916310</t>
  </si>
  <si>
    <t>+48 512 157 227</t>
  </si>
  <si>
    <t>Wielkopolska 11/19, Jastrzebie Zdroj, 44-335</t>
  </si>
  <si>
    <t>Smyczek</t>
  </si>
  <si>
    <t>Wojciech Tomasz</t>
  </si>
  <si>
    <t>0369924834</t>
  </si>
  <si>
    <t>+48 535 200 182</t>
  </si>
  <si>
    <t>Slawikow 19A/46, Rybnik, 44-200</t>
  </si>
  <si>
    <t>5095</t>
  </si>
  <si>
    <t>Sokol</t>
  </si>
  <si>
    <t>Dariusz</t>
  </si>
  <si>
    <t>0369971566</t>
  </si>
  <si>
    <t>+48 501 771 551</t>
  </si>
  <si>
    <t>Dabrowki 7B/1, Rybnik, 44-210</t>
  </si>
  <si>
    <t>Stoszko</t>
  </si>
  <si>
    <t>Mateusz</t>
  </si>
  <si>
    <t>0369916468</t>
  </si>
  <si>
    <t>+48 666 148 450</t>
  </si>
  <si>
    <t>Boguszowicka 14B, Jankowice, 44-264</t>
  </si>
  <si>
    <t>5220</t>
  </si>
  <si>
    <t>Weinreich</t>
  </si>
  <si>
    <t>Piotr Grzegorz</t>
  </si>
  <si>
    <t>0348370747</t>
  </si>
  <si>
    <t>+48 531 385 792</t>
  </si>
  <si>
    <t>Swietego Jozefa 18/19, Rybnik, 44-200</t>
  </si>
  <si>
    <t>5258</t>
  </si>
  <si>
    <t>Kamil Piotr</t>
  </si>
  <si>
    <t>+48 579 292 424</t>
  </si>
  <si>
    <t>Wankowicza 44D, Wodzislaw Slaski, 44-313</t>
  </si>
  <si>
    <t>4095</t>
  </si>
  <si>
    <t>Zmudzinski</t>
  </si>
  <si>
    <t>Marek</t>
  </si>
  <si>
    <t>0347606277</t>
  </si>
  <si>
    <t>+48 880 075 790</t>
  </si>
  <si>
    <t>Osiedle 30-Lecia 133/5, Wodzislaw Slaski, 44-286</t>
  </si>
  <si>
    <t>Zynda</t>
  </si>
  <si>
    <t>Wieslaw Józef</t>
  </si>
  <si>
    <t>0369912861</t>
  </si>
  <si>
    <t>Wielkopolska 5/4, Jastrzebie-Zdrój, 44335</t>
  </si>
  <si>
    <t>4748</t>
  </si>
  <si>
    <t>Kuklińska</t>
  </si>
  <si>
    <t>Malgorzata</t>
  </si>
  <si>
    <t>301165702</t>
  </si>
  <si>
    <t>48 782 905 236</t>
  </si>
  <si>
    <t>Janusza Kusocińskiego 33/10, Jastrzebie-Zdrój , 44-335</t>
  </si>
  <si>
    <t>5082</t>
  </si>
  <si>
    <t>Piotr Jozef</t>
  </si>
  <si>
    <t>348347824</t>
  </si>
  <si>
    <t>48 691 417 127</t>
  </si>
  <si>
    <t>Opolska 10/7, Jastrzebie Zdroj , 44-335</t>
  </si>
  <si>
    <t>5093</t>
  </si>
  <si>
    <t>Szybiak</t>
  </si>
  <si>
    <t>Zofia Grazyna</t>
  </si>
  <si>
    <t>328443819</t>
  </si>
  <si>
    <t>48 579 710 722</t>
  </si>
  <si>
    <t>Slaska 19/6 , Jastrzebie Zdroj , 44-335</t>
  </si>
  <si>
    <t>5269</t>
  </si>
  <si>
    <t>Zawada</t>
  </si>
  <si>
    <t>Krystian Kamil</t>
  </si>
  <si>
    <t>301172995</t>
  </si>
  <si>
    <t>48 694 861 466</t>
  </si>
  <si>
    <t>Os. Powstancow Slaskich 8G/9, Zory , 44-240</t>
  </si>
  <si>
    <t>Jan Ireneusz</t>
  </si>
  <si>
    <t>328443812</t>
  </si>
  <si>
    <t>48 531 216 62</t>
  </si>
  <si>
    <t>Cicha 10, Gogolowa, 44-323</t>
  </si>
  <si>
    <t>4922</t>
  </si>
  <si>
    <t>Wawrzyczek</t>
  </si>
  <si>
    <t>Mateusz Arkadiusz</t>
  </si>
  <si>
    <t>301180266</t>
  </si>
  <si>
    <t>48 452 513 149</t>
  </si>
  <si>
    <t>Chmielna 8A, Konczyce Male, 43-410</t>
  </si>
  <si>
    <t>4940</t>
  </si>
  <si>
    <t>Wutzke</t>
  </si>
  <si>
    <t>Ewa Sabina</t>
  </si>
  <si>
    <t>301162124</t>
  </si>
  <si>
    <t>48 604 950 674</t>
  </si>
  <si>
    <t>Slaska 59/10, Jastrzebie Zdroj, 44-335</t>
  </si>
  <si>
    <t>4936</t>
  </si>
  <si>
    <t>Cwiklak</t>
  </si>
  <si>
    <t>370049042</t>
  </si>
  <si>
    <t>48 661 575 386</t>
  </si>
  <si>
    <t>Grodzisko 35, Wodzislaw Slaski , 44-300</t>
  </si>
  <si>
    <t>Buza Bartosz Marcin</t>
  </si>
  <si>
    <t>301161919</t>
  </si>
  <si>
    <t>48 694 126 379</t>
  </si>
  <si>
    <t>Kozielski</t>
  </si>
  <si>
    <t>Kozielski Andrzej Jozef</t>
  </si>
  <si>
    <t>301173035</t>
  </si>
  <si>
    <t>48 698 656 111</t>
  </si>
  <si>
    <t>Chabrowa 10, Wodzislaw Slaski, 44-300</t>
  </si>
  <si>
    <t>5044</t>
  </si>
  <si>
    <t>Wesoly</t>
  </si>
  <si>
    <t>Rafal Pawel</t>
  </si>
  <si>
    <t>348319987</t>
  </si>
  <si>
    <t>48 459 450 547</t>
  </si>
  <si>
    <t>Widokowa 21, Marklowice , 44-321</t>
  </si>
  <si>
    <t>5096</t>
  </si>
  <si>
    <t>Zrabkowski</t>
  </si>
  <si>
    <t>Robert Sebastian</t>
  </si>
  <si>
    <t>348326520</t>
  </si>
  <si>
    <t>48 666 169 788</t>
  </si>
  <si>
    <t>Dojazdowa 7/6, Cieszyn , 43-400</t>
  </si>
  <si>
    <t>Patryk</t>
  </si>
  <si>
    <t>289896646</t>
  </si>
  <si>
    <t>48 661 899 771</t>
  </si>
  <si>
    <t>Boguminska 36B, Turza Slaska, 44-351</t>
  </si>
  <si>
    <t>5272</t>
  </si>
  <si>
    <t>Jedrysek</t>
  </si>
  <si>
    <t>Dorian</t>
  </si>
  <si>
    <t>328611457</t>
  </si>
  <si>
    <t>48 786 249 216</t>
  </si>
  <si>
    <t>Staszica 8/3, Jastrzebie Zdroj , 44-335</t>
  </si>
  <si>
    <t>5282</t>
  </si>
  <si>
    <t>Buko</t>
  </si>
  <si>
    <t>Adrian Dawid</t>
  </si>
  <si>
    <t>301165654</t>
  </si>
  <si>
    <t>48 514 269 190</t>
  </si>
  <si>
    <t>Jozefa Wieczorka 14/3, Radlin , 44-310</t>
  </si>
  <si>
    <t>5284</t>
  </si>
  <si>
    <t>Oslowski</t>
  </si>
  <si>
    <t>Arkadiusz Marek</t>
  </si>
  <si>
    <t>65287216</t>
  </si>
  <si>
    <t>48 661 799 661</t>
  </si>
  <si>
    <t>Szeroka 77, Ustron , 43-450</t>
  </si>
  <si>
    <t>spz</t>
  </si>
  <si>
    <t>oznaceni</t>
  </si>
  <si>
    <t>zastavka</t>
  </si>
  <si>
    <t>SK822SC SCANIA</t>
  </si>
  <si>
    <t>BATZ - Szeroka / Jastrzębie Zdrój / Wodzislaw Sl.</t>
  </si>
  <si>
    <t>1 Szeroka ul. Rybnicka</t>
  </si>
  <si>
    <t>2 Szeroka - Biedronka</t>
  </si>
  <si>
    <t>3 Szeroka - Wasbruck</t>
  </si>
  <si>
    <t>4 Jastr.Zd. - Pszczyńska/Rybnicka</t>
  </si>
  <si>
    <t>SPRINTER / OPEL</t>
  </si>
  <si>
    <t>BATZ - Źory / Cieszyn</t>
  </si>
  <si>
    <t>Źory - Sąd Rejonowy</t>
  </si>
  <si>
    <t>Źory - Bajerowka</t>
  </si>
  <si>
    <t>Ruptawa - Cisówka</t>
  </si>
  <si>
    <t>Zebrzydowice Ośrodek Zdrowia</t>
  </si>
  <si>
    <t>Zebrzydowice Rondo</t>
  </si>
  <si>
    <t>Kończyce Małe</t>
  </si>
  <si>
    <t>Hażlach za rondo Crab</t>
  </si>
  <si>
    <t>Hażlach obok GASTROMANIA</t>
  </si>
  <si>
    <t>Cieszyn McDonalds</t>
  </si>
  <si>
    <t>Cieszyn Liburnia</t>
  </si>
  <si>
    <t>5 Jastr.Zd. - Al. Piłsudskiego - Os. Morcinka / Urząd Miasta</t>
  </si>
  <si>
    <t>6 Jastr.Zd. - Aleje Piłsudskiego SUPERSAM</t>
  </si>
  <si>
    <t>7 Jastr.Zd. - Hala Sportowa</t>
  </si>
  <si>
    <t>8 Jastr.Zd. - Armii Krajowej</t>
  </si>
  <si>
    <t>9 Mszana</t>
  </si>
  <si>
    <t>10 Wodzisław Śląski stacja paliw Circle K/McDonalds</t>
  </si>
  <si>
    <t>11 Wodzisław Śląski Dworzec Autobus. Galeria Karuzela</t>
  </si>
  <si>
    <t>12 Wodzisław Śląski ul. Bogumińska - Cmentarz, działki</t>
  </si>
  <si>
    <t>13 Turza Śląska Turzyczka Skrzyżowanie</t>
  </si>
  <si>
    <t>14 Gorzyce Urząd Gminy</t>
  </si>
  <si>
    <t>15 UNIWAR</t>
  </si>
  <si>
    <t>16 Ostrava Dřevoprodej</t>
  </si>
  <si>
    <t>17 Frýdek - Místek autobusová zastávka Benzina - KMJ</t>
  </si>
  <si>
    <t>Pielasa</t>
  </si>
  <si>
    <t>TATRA 1</t>
  </si>
  <si>
    <t>Żory - Sąd</t>
  </si>
  <si>
    <t>Żory - Bajerówka</t>
  </si>
  <si>
    <t>Jastrzębie Zdroj - Szeroka</t>
  </si>
  <si>
    <t>Jastrzębie Zdroj - Aldi</t>
  </si>
  <si>
    <t>Jastrzębie Zdroj - Małopolska</t>
  </si>
  <si>
    <t>TATRA 2</t>
  </si>
  <si>
    <t>Spandel</t>
  </si>
  <si>
    <t>TATRA 3</t>
  </si>
  <si>
    <t>Jankowice Świerklańska 81 - DINO</t>
  </si>
  <si>
    <t>Chwałowice Rybnik Maja 95b - Biedronka</t>
  </si>
  <si>
    <t>Rybnik - Dworek</t>
  </si>
  <si>
    <t>Lauko</t>
  </si>
  <si>
    <t>HANON</t>
  </si>
  <si>
    <t>Szpital Wodzislaw Sl.</t>
  </si>
  <si>
    <t>Źory Bajerowka</t>
  </si>
  <si>
    <t>Szkola Wodzislaw Sl.</t>
  </si>
  <si>
    <t>Szeroka Biedronka</t>
  </si>
  <si>
    <t>PKP Wodzislaw Sl.</t>
  </si>
  <si>
    <t>HILITE 1</t>
  </si>
  <si>
    <t>Zastávka 1</t>
  </si>
  <si>
    <t>Zastávka 2</t>
  </si>
  <si>
    <t>Zastávka 3</t>
  </si>
  <si>
    <t>Zastávka 4</t>
  </si>
  <si>
    <t>Zastávka 5</t>
  </si>
  <si>
    <t>Gawelek</t>
  </si>
  <si>
    <t>HILITE 2</t>
  </si>
  <si>
    <t>Stare Boguszowice ul Stanisława Małachowskiego</t>
  </si>
  <si>
    <t>Jastrzębie Zdroj - Dubielec</t>
  </si>
  <si>
    <t>Źory - Netto ul. Dworcowa</t>
  </si>
  <si>
    <t>Źory - McDonalds al. Zjednoczonej Europy 43</t>
  </si>
  <si>
    <t>Źory - Sąd</t>
  </si>
  <si>
    <t>Oles</t>
  </si>
  <si>
    <t>DSC</t>
  </si>
  <si>
    <t>Rybnik - Paryź</t>
  </si>
  <si>
    <t>Rybnik, Raciborska 121 - BP</t>
  </si>
  <si>
    <t>Rybnik - Niewiadom</t>
  </si>
  <si>
    <t>Rydułtowy - Rynek</t>
  </si>
  <si>
    <t>Radlin - centrum</t>
  </si>
  <si>
    <t>Reserva 2</t>
  </si>
  <si>
    <t>Kontny</t>
  </si>
  <si>
    <t>Reserva 1</t>
  </si>
  <si>
    <t>SR7721J TURISMO</t>
  </si>
  <si>
    <t>Zastávka 6</t>
  </si>
  <si>
    <t>Zastávka 7</t>
  </si>
  <si>
    <t>DSC - Rybnik / Wodzislaw</t>
  </si>
  <si>
    <t>DSC - Źory / Jastrzębie Zdrój</t>
  </si>
  <si>
    <t>Janíček</t>
  </si>
  <si>
    <t>Reserva 3</t>
  </si>
  <si>
    <t>Vlastní auto</t>
  </si>
  <si>
    <t>Zaměstnanci, co jezdí vlastní dopravou</t>
  </si>
  <si>
    <t>Jastrzębie Zdroj - Urząd miasta</t>
  </si>
  <si>
    <t>Jastrzębie Zdroj - McDonalds</t>
  </si>
  <si>
    <t>Jastrzębie Zdroj - Supersam</t>
  </si>
  <si>
    <t>Jastrzębie Zdroj - Zdrój</t>
  </si>
  <si>
    <t>Borymia Jastr. Zd.</t>
  </si>
  <si>
    <t>Rondo Jastr. Zd.</t>
  </si>
  <si>
    <t>UNIWAR</t>
  </si>
  <si>
    <t>Cyganek Wodzislaw Sl.</t>
  </si>
  <si>
    <t>Dubielec Jastr. Zd.</t>
  </si>
  <si>
    <t>Leśmina Jastr. Zd.</t>
  </si>
  <si>
    <t>Polomska Wiadukt Jastr. Zd.</t>
  </si>
  <si>
    <t>Mszana</t>
  </si>
  <si>
    <t>Jastrzębie Zdroj - Czarny Rycerz</t>
  </si>
  <si>
    <t>Rybnik - Smolna</t>
  </si>
  <si>
    <t>Niedobczyce - PKP</t>
  </si>
  <si>
    <t>Radlin - Kościół</t>
  </si>
  <si>
    <t>Wodzisław Śląski, Rybnicka 15 - SHELL</t>
  </si>
  <si>
    <t>Wodzisław Śląski - PKP</t>
  </si>
  <si>
    <t>Radlin Ujejskiego - kopalnia Marcel</t>
  </si>
  <si>
    <t>Wodzisław Śl. - Szpital</t>
  </si>
  <si>
    <t>Wodzisław Śl. - PKP</t>
  </si>
  <si>
    <t>Wodzisław Śl. - Karuzela</t>
  </si>
  <si>
    <t>Wodzisław Śl. - Wilchwy</t>
  </si>
  <si>
    <t>Jastrzębie-Zdrój - 1 maja</t>
  </si>
  <si>
    <t>Skrzyszów</t>
  </si>
  <si>
    <t>Jastrzębie-Zdrój - Zofiówka</t>
  </si>
  <si>
    <t>Jastrzębie-Zd. Wodzisławska 1 - BP</t>
  </si>
  <si>
    <t>Jastrzębie-Zd. - POLO</t>
  </si>
  <si>
    <t>Jastrzębie-Zd. - Supersam</t>
  </si>
  <si>
    <t>Jastrzębie-Zd. - McDonalds</t>
  </si>
  <si>
    <t>Jastrzębie-Zd. - Dworzec Arki Bożka</t>
  </si>
  <si>
    <t>Male Kończyce - Skrzyź</t>
  </si>
  <si>
    <t>Rybnik Zamysłów</t>
  </si>
  <si>
    <t>Rybnik - Chabrowa</t>
  </si>
  <si>
    <t>Szeroka - Kaplica</t>
  </si>
  <si>
    <t>Szeroka - Gagarina Norwida</t>
  </si>
  <si>
    <t>Rydułtowy - Generała Józefa Bema</t>
  </si>
  <si>
    <t>Male Kończyce - Szkola</t>
  </si>
  <si>
    <t>Jastrzębie-Zd. - Wodociągi</t>
  </si>
  <si>
    <t>Zebrzydowice</t>
  </si>
  <si>
    <t>Kończyce Wielkie - Statek</t>
  </si>
  <si>
    <t>Źory - Zegar, aleja Niepodległości</t>
  </si>
  <si>
    <t>vyber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</si>
</sst>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workbookViewId="0">
      <selection activeCell="E5" sqref="E5"/>
    </sheetView>
  </sheetViews>
  <sheetFormatPr defaultRowHeight="15" x14ac:dyDescent="0.25"/>
  <cols>
    <col min="1" max="1" width="4" bestFit="1" customWidth="1"/>
    <col min="2" max="2" width="16.5703125" bestFit="1" customWidth="1"/>
    <col min="3" max="3" width="44.28515625" bestFit="1" customWidth="1"/>
    <col min="4" max="4" width="52.7109375" bestFit="1" customWidth="1"/>
    <col min="5" max="5" width="112.140625" bestFit="1" customWidth="1"/>
  </cols>
  <sheetData>
    <row r="1" spans="1:6" x14ac:dyDescent="0.25">
      <c r="A1" t="s">
        <v>0</v>
      </c>
      <c r="B1" t="s">
        <v>2551</v>
      </c>
      <c r="C1" t="s">
        <v>2552</v>
      </c>
      <c r="D1" t="s">
        <v>2553</v>
      </c>
      <c r="E1" t="s">
        <v>2679</v>
      </c>
    </row>
    <row r="2" spans="1:6" x14ac:dyDescent="0.25">
      <c r="A2">
        <v>1</v>
      </c>
      <c r="B2" t="s">
        <v>2554</v>
      </c>
      <c r="C2" t="s">
        <v>2555</v>
      </c>
      <c r="D2" t="s">
        <v>2556</v>
      </c>
      <c r="E2" t="str">
        <f>B2 &amp; " " &amp; C2 &amp; " " &amp; D2</f>
        <v>SK822SC SCANIA BATZ - Szeroka / Jastrzębie Zdrój / Wodzislaw Sl. 1 Szeroka ul. Rybnicka</v>
      </c>
      <c r="F2">
        <f>A2</f>
        <v>1</v>
      </c>
    </row>
    <row r="3" spans="1:6" x14ac:dyDescent="0.25">
      <c r="A3">
        <v>2</v>
      </c>
      <c r="B3" t="s">
        <v>2554</v>
      </c>
      <c r="C3" t="s">
        <v>2555</v>
      </c>
      <c r="D3" t="s">
        <v>2557</v>
      </c>
      <c r="E3" t="str">
        <f t="shared" ref="E3:E66" si="0">B3 &amp; " " &amp; C3 &amp; " " &amp; D3</f>
        <v>SK822SC SCANIA BATZ - Szeroka / Jastrzębie Zdrój / Wodzislaw Sl. 2 Szeroka - Biedronka</v>
      </c>
      <c r="F3">
        <f t="shared" ref="F3:F66" si="1">A3</f>
        <v>2</v>
      </c>
    </row>
    <row r="4" spans="1:6" x14ac:dyDescent="0.25">
      <c r="A4">
        <v>3</v>
      </c>
      <c r="B4" t="s">
        <v>2554</v>
      </c>
      <c r="C4" t="s">
        <v>2555</v>
      </c>
      <c r="D4" t="s">
        <v>2558</v>
      </c>
      <c r="E4" t="str">
        <f t="shared" si="0"/>
        <v>SK822SC SCANIA BATZ - Szeroka / Jastrzębie Zdrój / Wodzislaw Sl. 3 Szeroka - Wasbruck</v>
      </c>
      <c r="F4">
        <f t="shared" si="1"/>
        <v>3</v>
      </c>
    </row>
    <row r="5" spans="1:6" x14ac:dyDescent="0.25">
      <c r="A5">
        <v>4</v>
      </c>
      <c r="B5" t="s">
        <v>2554</v>
      </c>
      <c r="C5" t="s">
        <v>2555</v>
      </c>
      <c r="D5" t="s">
        <v>2559</v>
      </c>
      <c r="E5" t="str">
        <f t="shared" si="0"/>
        <v>SK822SC SCANIA BATZ - Szeroka / Jastrzębie Zdrój / Wodzislaw Sl. 4 Jastr.Zd. - Pszczyńska/Rybnicka</v>
      </c>
      <c r="F5">
        <f t="shared" si="1"/>
        <v>4</v>
      </c>
    </row>
    <row r="6" spans="1:6" x14ac:dyDescent="0.25">
      <c r="A6">
        <v>5</v>
      </c>
      <c r="B6" t="s">
        <v>2560</v>
      </c>
      <c r="C6" t="s">
        <v>2561</v>
      </c>
      <c r="D6" t="s">
        <v>2562</v>
      </c>
      <c r="E6" t="str">
        <f t="shared" si="0"/>
        <v>SPRINTER / OPEL BATZ - Źory / Cieszyn Źory - Sąd Rejonowy</v>
      </c>
      <c r="F6">
        <f t="shared" si="1"/>
        <v>5</v>
      </c>
    </row>
    <row r="7" spans="1:6" x14ac:dyDescent="0.25">
      <c r="A7">
        <v>6</v>
      </c>
      <c r="B7" t="s">
        <v>2560</v>
      </c>
      <c r="C7" t="s">
        <v>2561</v>
      </c>
      <c r="D7" t="s">
        <v>2563</v>
      </c>
      <c r="E7" t="str">
        <f t="shared" si="0"/>
        <v>SPRINTER / OPEL BATZ - Źory / Cieszyn Źory - Bajerowka</v>
      </c>
      <c r="F7">
        <f t="shared" si="1"/>
        <v>6</v>
      </c>
    </row>
    <row r="8" spans="1:6" x14ac:dyDescent="0.25">
      <c r="A8">
        <v>7</v>
      </c>
      <c r="B8" t="s">
        <v>2560</v>
      </c>
      <c r="C8" t="s">
        <v>2561</v>
      </c>
      <c r="D8" t="s">
        <v>2564</v>
      </c>
      <c r="E8" t="str">
        <f t="shared" si="0"/>
        <v>SPRINTER / OPEL BATZ - Źory / Cieszyn Ruptawa - Cisówka</v>
      </c>
      <c r="F8">
        <f t="shared" si="1"/>
        <v>7</v>
      </c>
    </row>
    <row r="9" spans="1:6" x14ac:dyDescent="0.25">
      <c r="A9">
        <v>9</v>
      </c>
      <c r="B9" t="s">
        <v>2560</v>
      </c>
      <c r="C9" t="s">
        <v>2561</v>
      </c>
      <c r="D9" t="s">
        <v>2565</v>
      </c>
      <c r="E9" t="str">
        <f t="shared" si="0"/>
        <v>SPRINTER / OPEL BATZ - Źory / Cieszyn Zebrzydowice Ośrodek Zdrowia</v>
      </c>
      <c r="F9">
        <f t="shared" si="1"/>
        <v>9</v>
      </c>
    </row>
    <row r="10" spans="1:6" x14ac:dyDescent="0.25">
      <c r="A10">
        <v>10</v>
      </c>
      <c r="B10" t="s">
        <v>2560</v>
      </c>
      <c r="C10" t="s">
        <v>2561</v>
      </c>
      <c r="D10" t="s">
        <v>2566</v>
      </c>
      <c r="E10" t="str">
        <f t="shared" si="0"/>
        <v>SPRINTER / OPEL BATZ - Źory / Cieszyn Zebrzydowice Rondo</v>
      </c>
      <c r="F10">
        <f t="shared" si="1"/>
        <v>10</v>
      </c>
    </row>
    <row r="11" spans="1:6" x14ac:dyDescent="0.25">
      <c r="A11">
        <v>11</v>
      </c>
      <c r="B11" t="s">
        <v>2560</v>
      </c>
      <c r="C11" t="s">
        <v>2561</v>
      </c>
      <c r="D11" t="s">
        <v>2567</v>
      </c>
      <c r="E11" t="str">
        <f t="shared" si="0"/>
        <v>SPRINTER / OPEL BATZ - Źory / Cieszyn Kończyce Małe</v>
      </c>
      <c r="F11">
        <f t="shared" si="1"/>
        <v>11</v>
      </c>
    </row>
    <row r="12" spans="1:6" x14ac:dyDescent="0.25">
      <c r="A12">
        <v>12</v>
      </c>
      <c r="B12" t="s">
        <v>2560</v>
      </c>
      <c r="C12" t="s">
        <v>2561</v>
      </c>
      <c r="D12" t="s">
        <v>2568</v>
      </c>
      <c r="E12" t="str">
        <f t="shared" si="0"/>
        <v>SPRINTER / OPEL BATZ - Źory / Cieszyn Hażlach za rondo Crab</v>
      </c>
      <c r="F12">
        <f t="shared" si="1"/>
        <v>12</v>
      </c>
    </row>
    <row r="13" spans="1:6" x14ac:dyDescent="0.25">
      <c r="A13">
        <v>13</v>
      </c>
      <c r="B13" t="s">
        <v>2560</v>
      </c>
      <c r="C13" t="s">
        <v>2561</v>
      </c>
      <c r="D13" t="s">
        <v>2569</v>
      </c>
      <c r="E13" t="str">
        <f t="shared" si="0"/>
        <v>SPRINTER / OPEL BATZ - Źory / Cieszyn Hażlach obok GASTROMANIA</v>
      </c>
      <c r="F13">
        <f t="shared" si="1"/>
        <v>13</v>
      </c>
    </row>
    <row r="14" spans="1:6" x14ac:dyDescent="0.25">
      <c r="A14">
        <v>14</v>
      </c>
      <c r="B14" t="s">
        <v>2560</v>
      </c>
      <c r="C14" t="s">
        <v>2561</v>
      </c>
      <c r="D14" t="s">
        <v>2570</v>
      </c>
      <c r="E14" t="str">
        <f t="shared" si="0"/>
        <v>SPRINTER / OPEL BATZ - Źory / Cieszyn Cieszyn McDonalds</v>
      </c>
      <c r="F14">
        <f t="shared" si="1"/>
        <v>14</v>
      </c>
    </row>
    <row r="15" spans="1:6" x14ac:dyDescent="0.25">
      <c r="A15">
        <v>15</v>
      </c>
      <c r="B15" t="s">
        <v>2560</v>
      </c>
      <c r="C15" t="s">
        <v>2561</v>
      </c>
      <c r="D15" t="s">
        <v>2571</v>
      </c>
      <c r="E15" t="str">
        <f t="shared" si="0"/>
        <v>SPRINTER / OPEL BATZ - Źory / Cieszyn Cieszyn Liburnia</v>
      </c>
      <c r="F15">
        <f t="shared" si="1"/>
        <v>15</v>
      </c>
    </row>
    <row r="16" spans="1:6" x14ac:dyDescent="0.25">
      <c r="A16">
        <v>16</v>
      </c>
      <c r="B16" t="s">
        <v>2554</v>
      </c>
      <c r="C16" t="s">
        <v>2555</v>
      </c>
      <c r="D16" t="s">
        <v>2572</v>
      </c>
      <c r="E16" t="str">
        <f t="shared" si="0"/>
        <v>SK822SC SCANIA BATZ - Szeroka / Jastrzębie Zdrój / Wodzislaw Sl. 5 Jastr.Zd. - Al. Piłsudskiego - Os. Morcinka / Urząd Miasta</v>
      </c>
      <c r="F16">
        <f t="shared" si="1"/>
        <v>16</v>
      </c>
    </row>
    <row r="17" spans="1:6" x14ac:dyDescent="0.25">
      <c r="A17">
        <v>17</v>
      </c>
      <c r="B17" t="s">
        <v>2554</v>
      </c>
      <c r="C17" t="s">
        <v>2555</v>
      </c>
      <c r="D17" t="s">
        <v>2573</v>
      </c>
      <c r="E17" t="str">
        <f t="shared" si="0"/>
        <v>SK822SC SCANIA BATZ - Szeroka / Jastrzębie Zdrój / Wodzislaw Sl. 6 Jastr.Zd. - Aleje Piłsudskiego SUPERSAM</v>
      </c>
      <c r="F17">
        <f t="shared" si="1"/>
        <v>17</v>
      </c>
    </row>
    <row r="18" spans="1:6" x14ac:dyDescent="0.25">
      <c r="A18">
        <v>18</v>
      </c>
      <c r="B18" t="s">
        <v>2554</v>
      </c>
      <c r="C18" t="s">
        <v>2555</v>
      </c>
      <c r="D18" t="s">
        <v>2574</v>
      </c>
      <c r="E18" t="str">
        <f t="shared" si="0"/>
        <v>SK822SC SCANIA BATZ - Szeroka / Jastrzębie Zdrój / Wodzislaw Sl. 7 Jastr.Zd. - Hala Sportowa</v>
      </c>
      <c r="F18">
        <f t="shared" si="1"/>
        <v>18</v>
      </c>
    </row>
    <row r="19" spans="1:6" x14ac:dyDescent="0.25">
      <c r="A19">
        <v>19</v>
      </c>
      <c r="B19" t="s">
        <v>2554</v>
      </c>
      <c r="C19" t="s">
        <v>2555</v>
      </c>
      <c r="D19" t="s">
        <v>2575</v>
      </c>
      <c r="E19" t="str">
        <f t="shared" si="0"/>
        <v>SK822SC SCANIA BATZ - Szeroka / Jastrzębie Zdrój / Wodzislaw Sl. 8 Jastr.Zd. - Armii Krajowej</v>
      </c>
      <c r="F19">
        <f t="shared" si="1"/>
        <v>19</v>
      </c>
    </row>
    <row r="20" spans="1:6" x14ac:dyDescent="0.25">
      <c r="A20">
        <v>20</v>
      </c>
      <c r="B20" t="s">
        <v>2554</v>
      </c>
      <c r="C20" t="s">
        <v>2555</v>
      </c>
      <c r="D20" t="s">
        <v>2576</v>
      </c>
      <c r="E20" t="str">
        <f t="shared" si="0"/>
        <v>SK822SC SCANIA BATZ - Szeroka / Jastrzębie Zdrój / Wodzislaw Sl. 9 Mszana</v>
      </c>
      <c r="F20">
        <f t="shared" si="1"/>
        <v>20</v>
      </c>
    </row>
    <row r="21" spans="1:6" x14ac:dyDescent="0.25">
      <c r="A21">
        <v>21</v>
      </c>
      <c r="B21" t="s">
        <v>2554</v>
      </c>
      <c r="C21" t="s">
        <v>2555</v>
      </c>
      <c r="D21" t="s">
        <v>2577</v>
      </c>
      <c r="E21" t="str">
        <f t="shared" si="0"/>
        <v>SK822SC SCANIA BATZ - Szeroka / Jastrzębie Zdrój / Wodzislaw Sl. 10 Wodzisław Śląski stacja paliw Circle K/McDonalds</v>
      </c>
      <c r="F21">
        <f t="shared" si="1"/>
        <v>21</v>
      </c>
    </row>
    <row r="22" spans="1:6" x14ac:dyDescent="0.25">
      <c r="A22">
        <v>22</v>
      </c>
      <c r="B22" t="s">
        <v>2554</v>
      </c>
      <c r="C22" t="s">
        <v>2555</v>
      </c>
      <c r="D22" t="s">
        <v>2578</v>
      </c>
      <c r="E22" t="str">
        <f t="shared" si="0"/>
        <v>SK822SC SCANIA BATZ - Szeroka / Jastrzębie Zdrój / Wodzislaw Sl. 11 Wodzisław Śląski Dworzec Autobus. Galeria Karuzela</v>
      </c>
      <c r="F22">
        <f t="shared" si="1"/>
        <v>22</v>
      </c>
    </row>
    <row r="23" spans="1:6" x14ac:dyDescent="0.25">
      <c r="A23">
        <v>23</v>
      </c>
      <c r="B23" t="s">
        <v>2554</v>
      </c>
      <c r="C23" t="s">
        <v>2555</v>
      </c>
      <c r="D23" t="s">
        <v>2579</v>
      </c>
      <c r="E23" t="str">
        <f t="shared" si="0"/>
        <v>SK822SC SCANIA BATZ - Szeroka / Jastrzębie Zdrój / Wodzislaw Sl. 12 Wodzisław Śląski ul. Bogumińska - Cmentarz, działki</v>
      </c>
      <c r="F23">
        <f t="shared" si="1"/>
        <v>23</v>
      </c>
    </row>
    <row r="24" spans="1:6" x14ac:dyDescent="0.25">
      <c r="A24">
        <v>24</v>
      </c>
      <c r="B24" t="s">
        <v>2554</v>
      </c>
      <c r="C24" t="s">
        <v>2555</v>
      </c>
      <c r="D24" t="s">
        <v>2580</v>
      </c>
      <c r="E24" t="str">
        <f t="shared" si="0"/>
        <v>SK822SC SCANIA BATZ - Szeroka / Jastrzębie Zdrój / Wodzislaw Sl. 13 Turza Śląska Turzyczka Skrzyżowanie</v>
      </c>
      <c r="F24">
        <f t="shared" si="1"/>
        <v>24</v>
      </c>
    </row>
    <row r="25" spans="1:6" x14ac:dyDescent="0.25">
      <c r="A25">
        <v>25</v>
      </c>
      <c r="B25" t="s">
        <v>2554</v>
      </c>
      <c r="C25" t="s">
        <v>2555</v>
      </c>
      <c r="D25" t="s">
        <v>2581</v>
      </c>
      <c r="E25" t="str">
        <f t="shared" si="0"/>
        <v>SK822SC SCANIA BATZ - Szeroka / Jastrzębie Zdrój / Wodzislaw Sl. 14 Gorzyce Urząd Gminy</v>
      </c>
      <c r="F25">
        <f t="shared" si="1"/>
        <v>25</v>
      </c>
    </row>
    <row r="26" spans="1:6" x14ac:dyDescent="0.25">
      <c r="A26">
        <v>26</v>
      </c>
      <c r="B26" t="s">
        <v>2554</v>
      </c>
      <c r="C26" t="s">
        <v>2555</v>
      </c>
      <c r="D26" t="s">
        <v>2582</v>
      </c>
      <c r="E26" t="str">
        <f t="shared" si="0"/>
        <v>SK822SC SCANIA BATZ - Szeroka / Jastrzębie Zdrój / Wodzislaw Sl. 15 UNIWAR</v>
      </c>
      <c r="F26">
        <f t="shared" si="1"/>
        <v>26</v>
      </c>
    </row>
    <row r="27" spans="1:6" x14ac:dyDescent="0.25">
      <c r="A27">
        <v>27</v>
      </c>
      <c r="B27" t="s">
        <v>2554</v>
      </c>
      <c r="C27" t="s">
        <v>2555</v>
      </c>
      <c r="D27" t="s">
        <v>2583</v>
      </c>
      <c r="E27" t="str">
        <f t="shared" si="0"/>
        <v>SK822SC SCANIA BATZ - Szeroka / Jastrzębie Zdrój / Wodzislaw Sl. 16 Ostrava Dřevoprodej</v>
      </c>
      <c r="F27">
        <f t="shared" si="1"/>
        <v>27</v>
      </c>
    </row>
    <row r="28" spans="1:6" x14ac:dyDescent="0.25">
      <c r="A28">
        <v>28</v>
      </c>
      <c r="B28" t="s">
        <v>2554</v>
      </c>
      <c r="C28" t="s">
        <v>2555</v>
      </c>
      <c r="D28" t="s">
        <v>2584</v>
      </c>
      <c r="E28" t="str">
        <f t="shared" si="0"/>
        <v>SK822SC SCANIA BATZ - Szeroka / Jastrzębie Zdrój / Wodzislaw Sl. 17 Frýdek - Místek autobusová zastávka Benzina - KMJ</v>
      </c>
      <c r="F28">
        <f t="shared" si="1"/>
        <v>28</v>
      </c>
    </row>
    <row r="29" spans="1:6" x14ac:dyDescent="0.25">
      <c r="A29">
        <v>29</v>
      </c>
      <c r="B29" t="s">
        <v>2585</v>
      </c>
      <c r="C29" t="s">
        <v>2586</v>
      </c>
      <c r="D29" t="s">
        <v>2587</v>
      </c>
      <c r="E29" t="str">
        <f t="shared" si="0"/>
        <v>Pielasa TATRA 1 Żory - Sąd</v>
      </c>
      <c r="F29">
        <f t="shared" si="1"/>
        <v>29</v>
      </c>
    </row>
    <row r="30" spans="1:6" x14ac:dyDescent="0.25">
      <c r="A30">
        <v>30</v>
      </c>
      <c r="B30" t="s">
        <v>2585</v>
      </c>
      <c r="C30" t="s">
        <v>2586</v>
      </c>
      <c r="D30" t="s">
        <v>2588</v>
      </c>
      <c r="E30" t="str">
        <f t="shared" si="0"/>
        <v>Pielasa TATRA 1 Żory - Bajerówka</v>
      </c>
      <c r="F30">
        <f t="shared" si="1"/>
        <v>30</v>
      </c>
    </row>
    <row r="31" spans="1:6" x14ac:dyDescent="0.25">
      <c r="A31">
        <v>31</v>
      </c>
      <c r="B31" t="s">
        <v>2585</v>
      </c>
      <c r="C31" t="s">
        <v>2586</v>
      </c>
      <c r="D31" t="s">
        <v>2589</v>
      </c>
      <c r="E31" t="str">
        <f t="shared" si="0"/>
        <v>Pielasa TATRA 1 Jastrzębie Zdroj - Szeroka</v>
      </c>
      <c r="F31">
        <f t="shared" si="1"/>
        <v>31</v>
      </c>
    </row>
    <row r="32" spans="1:6" x14ac:dyDescent="0.25">
      <c r="A32">
        <v>32</v>
      </c>
      <c r="B32" t="s">
        <v>2585</v>
      </c>
      <c r="C32" t="s">
        <v>2586</v>
      </c>
      <c r="D32" t="s">
        <v>2590</v>
      </c>
      <c r="E32" t="str">
        <f t="shared" si="0"/>
        <v>Pielasa TATRA 1 Jastrzębie Zdroj - Aldi</v>
      </c>
      <c r="F32">
        <f t="shared" si="1"/>
        <v>32</v>
      </c>
    </row>
    <row r="33" spans="1:6" x14ac:dyDescent="0.25">
      <c r="A33">
        <v>33</v>
      </c>
      <c r="B33" t="s">
        <v>2585</v>
      </c>
      <c r="C33" t="s">
        <v>2586</v>
      </c>
      <c r="D33" t="s">
        <v>2591</v>
      </c>
      <c r="E33" t="str">
        <f t="shared" si="0"/>
        <v>Pielasa TATRA 1 Jastrzębie Zdroj - Małopolska</v>
      </c>
      <c r="F33">
        <f t="shared" si="1"/>
        <v>33</v>
      </c>
    </row>
    <row r="34" spans="1:6" x14ac:dyDescent="0.25">
      <c r="A34">
        <v>34</v>
      </c>
      <c r="B34" t="s">
        <v>1546</v>
      </c>
      <c r="C34" t="s">
        <v>2592</v>
      </c>
      <c r="D34" t="s">
        <v>2587</v>
      </c>
      <c r="E34" t="str">
        <f t="shared" si="0"/>
        <v>Kubica TATRA 2 Żory - Sąd</v>
      </c>
      <c r="F34">
        <f t="shared" si="1"/>
        <v>34</v>
      </c>
    </row>
    <row r="35" spans="1:6" x14ac:dyDescent="0.25">
      <c r="A35">
        <v>35</v>
      </c>
      <c r="B35" t="s">
        <v>1546</v>
      </c>
      <c r="C35" t="s">
        <v>2592</v>
      </c>
      <c r="D35" t="s">
        <v>2588</v>
      </c>
      <c r="E35" t="str">
        <f t="shared" si="0"/>
        <v>Kubica TATRA 2 Żory - Bajerówka</v>
      </c>
      <c r="F35">
        <f t="shared" si="1"/>
        <v>35</v>
      </c>
    </row>
    <row r="36" spans="1:6" x14ac:dyDescent="0.25">
      <c r="A36">
        <v>36</v>
      </c>
      <c r="B36" t="s">
        <v>1546</v>
      </c>
      <c r="C36" t="s">
        <v>2592</v>
      </c>
      <c r="D36" t="s">
        <v>2589</v>
      </c>
      <c r="E36" t="str">
        <f t="shared" si="0"/>
        <v>Kubica TATRA 2 Jastrzębie Zdroj - Szeroka</v>
      </c>
      <c r="F36">
        <f t="shared" si="1"/>
        <v>36</v>
      </c>
    </row>
    <row r="37" spans="1:6" x14ac:dyDescent="0.25">
      <c r="A37">
        <v>37</v>
      </c>
      <c r="B37" t="s">
        <v>1546</v>
      </c>
      <c r="C37" t="s">
        <v>2592</v>
      </c>
      <c r="D37" t="s">
        <v>2590</v>
      </c>
      <c r="E37" t="str">
        <f t="shared" si="0"/>
        <v>Kubica TATRA 2 Jastrzębie Zdroj - Aldi</v>
      </c>
      <c r="F37">
        <f t="shared" si="1"/>
        <v>37</v>
      </c>
    </row>
    <row r="38" spans="1:6" x14ac:dyDescent="0.25">
      <c r="A38">
        <v>38</v>
      </c>
      <c r="B38" t="s">
        <v>1546</v>
      </c>
      <c r="C38" t="s">
        <v>2592</v>
      </c>
      <c r="D38" t="s">
        <v>2591</v>
      </c>
      <c r="E38" t="str">
        <f t="shared" si="0"/>
        <v>Kubica TATRA 2 Jastrzębie Zdroj - Małopolska</v>
      </c>
      <c r="F38">
        <f t="shared" si="1"/>
        <v>38</v>
      </c>
    </row>
    <row r="39" spans="1:6" x14ac:dyDescent="0.25">
      <c r="A39">
        <v>39</v>
      </c>
      <c r="B39" t="s">
        <v>2593</v>
      </c>
      <c r="C39" t="s">
        <v>2594</v>
      </c>
      <c r="D39" t="s">
        <v>2595</v>
      </c>
      <c r="E39" t="str">
        <f t="shared" si="0"/>
        <v>Spandel TATRA 3 Jankowice Świerklańska 81 - DINO</v>
      </c>
      <c r="F39">
        <f t="shared" si="1"/>
        <v>39</v>
      </c>
    </row>
    <row r="40" spans="1:6" x14ac:dyDescent="0.25">
      <c r="A40">
        <v>40</v>
      </c>
      <c r="B40" t="s">
        <v>2593</v>
      </c>
      <c r="C40" t="s">
        <v>2594</v>
      </c>
      <c r="D40" t="s">
        <v>2587</v>
      </c>
      <c r="E40" t="str">
        <f t="shared" si="0"/>
        <v>Spandel TATRA 3 Żory - Sąd</v>
      </c>
      <c r="F40">
        <f t="shared" si="1"/>
        <v>40</v>
      </c>
    </row>
    <row r="41" spans="1:6" x14ac:dyDescent="0.25">
      <c r="A41">
        <v>41</v>
      </c>
      <c r="B41" t="s">
        <v>2593</v>
      </c>
      <c r="C41" t="s">
        <v>2594</v>
      </c>
      <c r="D41" t="s">
        <v>2596</v>
      </c>
      <c r="E41" t="str">
        <f t="shared" si="0"/>
        <v>Spandel TATRA 3 Chwałowice Rybnik Maja 95b - Biedronka</v>
      </c>
      <c r="F41">
        <f t="shared" si="1"/>
        <v>41</v>
      </c>
    </row>
    <row r="42" spans="1:6" x14ac:dyDescent="0.25">
      <c r="A42">
        <v>42</v>
      </c>
      <c r="B42" t="s">
        <v>2593</v>
      </c>
      <c r="C42" t="s">
        <v>2594</v>
      </c>
      <c r="D42" t="s">
        <v>2597</v>
      </c>
      <c r="E42" t="str">
        <f t="shared" si="0"/>
        <v>Spandel TATRA 3 Rybnik - Dworek</v>
      </c>
      <c r="F42">
        <f t="shared" si="1"/>
        <v>42</v>
      </c>
    </row>
    <row r="43" spans="1:6" x14ac:dyDescent="0.25">
      <c r="A43">
        <v>43</v>
      </c>
      <c r="B43" t="s">
        <v>2593</v>
      </c>
      <c r="C43" t="s">
        <v>2594</v>
      </c>
      <c r="D43" t="s">
        <v>2588</v>
      </c>
      <c r="E43" t="str">
        <f t="shared" si="0"/>
        <v>Spandel TATRA 3 Żory - Bajerówka</v>
      </c>
      <c r="F43">
        <f t="shared" si="1"/>
        <v>43</v>
      </c>
    </row>
    <row r="44" spans="1:6" x14ac:dyDescent="0.25">
      <c r="A44">
        <v>44</v>
      </c>
      <c r="B44" t="s">
        <v>2598</v>
      </c>
      <c r="C44" t="s">
        <v>2599</v>
      </c>
      <c r="D44" t="s">
        <v>2600</v>
      </c>
      <c r="E44" t="str">
        <f t="shared" si="0"/>
        <v>Lauko HANON Szpital Wodzislaw Sl.</v>
      </c>
      <c r="F44">
        <f t="shared" si="1"/>
        <v>44</v>
      </c>
    </row>
    <row r="45" spans="1:6" x14ac:dyDescent="0.25">
      <c r="A45">
        <v>45</v>
      </c>
      <c r="B45" t="s">
        <v>2598</v>
      </c>
      <c r="C45" t="s">
        <v>2599</v>
      </c>
      <c r="D45" t="s">
        <v>2601</v>
      </c>
      <c r="E45" t="str">
        <f t="shared" si="0"/>
        <v>Lauko HANON Źory Bajerowka</v>
      </c>
      <c r="F45">
        <f t="shared" si="1"/>
        <v>45</v>
      </c>
    </row>
    <row r="46" spans="1:6" x14ac:dyDescent="0.25">
      <c r="A46">
        <v>46</v>
      </c>
      <c r="B46" t="s">
        <v>2598</v>
      </c>
      <c r="C46" t="s">
        <v>2599</v>
      </c>
      <c r="D46" t="s">
        <v>2602</v>
      </c>
      <c r="E46" t="str">
        <f t="shared" si="0"/>
        <v>Lauko HANON Szkola Wodzislaw Sl.</v>
      </c>
      <c r="F46">
        <f t="shared" si="1"/>
        <v>46</v>
      </c>
    </row>
    <row r="47" spans="1:6" x14ac:dyDescent="0.25">
      <c r="A47">
        <v>47</v>
      </c>
      <c r="B47" t="s">
        <v>2598</v>
      </c>
      <c r="C47" t="s">
        <v>2599</v>
      </c>
      <c r="D47" t="s">
        <v>2603</v>
      </c>
      <c r="E47" t="str">
        <f t="shared" si="0"/>
        <v>Lauko HANON Szeroka Biedronka</v>
      </c>
      <c r="F47">
        <f t="shared" si="1"/>
        <v>47</v>
      </c>
    </row>
    <row r="48" spans="1:6" x14ac:dyDescent="0.25">
      <c r="A48">
        <v>48</v>
      </c>
      <c r="B48" t="s">
        <v>2598</v>
      </c>
      <c r="C48" t="s">
        <v>2599</v>
      </c>
      <c r="D48" t="s">
        <v>2604</v>
      </c>
      <c r="E48" t="str">
        <f t="shared" si="0"/>
        <v>Lauko HANON PKP Wodzislaw Sl.</v>
      </c>
      <c r="F48">
        <f t="shared" si="1"/>
        <v>48</v>
      </c>
    </row>
    <row r="49" spans="1:6" x14ac:dyDescent="0.25">
      <c r="A49">
        <v>49</v>
      </c>
      <c r="B49" t="s">
        <v>814</v>
      </c>
      <c r="C49" t="s">
        <v>2605</v>
      </c>
      <c r="D49" t="s">
        <v>2606</v>
      </c>
      <c r="E49" t="str">
        <f t="shared" si="0"/>
        <v>Chrobok HILITE 1 Zastávka 1</v>
      </c>
      <c r="F49">
        <f t="shared" si="1"/>
        <v>49</v>
      </c>
    </row>
    <row r="50" spans="1:6" x14ac:dyDescent="0.25">
      <c r="A50">
        <v>50</v>
      </c>
      <c r="B50" t="s">
        <v>814</v>
      </c>
      <c r="C50" t="s">
        <v>2605</v>
      </c>
      <c r="D50" t="s">
        <v>2607</v>
      </c>
      <c r="E50" t="str">
        <f t="shared" si="0"/>
        <v>Chrobok HILITE 1 Zastávka 2</v>
      </c>
      <c r="F50">
        <f t="shared" si="1"/>
        <v>50</v>
      </c>
    </row>
    <row r="51" spans="1:6" x14ac:dyDescent="0.25">
      <c r="A51">
        <v>51</v>
      </c>
      <c r="B51" t="s">
        <v>814</v>
      </c>
      <c r="C51" t="s">
        <v>2605</v>
      </c>
      <c r="D51" t="s">
        <v>2608</v>
      </c>
      <c r="E51" t="str">
        <f t="shared" si="0"/>
        <v>Chrobok HILITE 1 Zastávka 3</v>
      </c>
      <c r="F51">
        <f t="shared" si="1"/>
        <v>51</v>
      </c>
    </row>
    <row r="52" spans="1:6" x14ac:dyDescent="0.25">
      <c r="A52">
        <v>52</v>
      </c>
      <c r="B52" t="s">
        <v>814</v>
      </c>
      <c r="C52" t="s">
        <v>2605</v>
      </c>
      <c r="D52" t="s">
        <v>2609</v>
      </c>
      <c r="E52" t="str">
        <f t="shared" si="0"/>
        <v>Chrobok HILITE 1 Zastávka 4</v>
      </c>
      <c r="F52">
        <f t="shared" si="1"/>
        <v>52</v>
      </c>
    </row>
    <row r="53" spans="1:6" x14ac:dyDescent="0.25">
      <c r="A53">
        <v>53</v>
      </c>
      <c r="B53" t="s">
        <v>814</v>
      </c>
      <c r="C53" t="s">
        <v>2605</v>
      </c>
      <c r="D53" t="s">
        <v>2610</v>
      </c>
      <c r="E53" t="str">
        <f t="shared" si="0"/>
        <v>Chrobok HILITE 1 Zastávka 5</v>
      </c>
      <c r="F53">
        <f t="shared" si="1"/>
        <v>53</v>
      </c>
    </row>
    <row r="54" spans="1:6" x14ac:dyDescent="0.25">
      <c r="A54">
        <v>54</v>
      </c>
      <c r="B54" t="s">
        <v>2611</v>
      </c>
      <c r="C54" t="s">
        <v>2612</v>
      </c>
      <c r="D54" t="s">
        <v>2613</v>
      </c>
      <c r="E54" t="str">
        <f t="shared" si="0"/>
        <v>Gawelek HILITE 2 Stare Boguszowice ul Stanisława Małachowskiego</v>
      </c>
      <c r="F54">
        <f t="shared" si="1"/>
        <v>54</v>
      </c>
    </row>
    <row r="55" spans="1:6" x14ac:dyDescent="0.25">
      <c r="A55">
        <v>55</v>
      </c>
      <c r="B55" t="s">
        <v>2611</v>
      </c>
      <c r="C55" t="s">
        <v>2612</v>
      </c>
      <c r="D55" t="s">
        <v>2614</v>
      </c>
      <c r="E55" t="str">
        <f t="shared" si="0"/>
        <v>Gawelek HILITE 2 Jastrzębie Zdroj - Dubielec</v>
      </c>
      <c r="F55">
        <f t="shared" si="1"/>
        <v>55</v>
      </c>
    </row>
    <row r="56" spans="1:6" x14ac:dyDescent="0.25">
      <c r="A56">
        <v>56</v>
      </c>
      <c r="B56" t="s">
        <v>2611</v>
      </c>
      <c r="C56" t="s">
        <v>2612</v>
      </c>
      <c r="D56" t="s">
        <v>2615</v>
      </c>
      <c r="E56" t="str">
        <f t="shared" si="0"/>
        <v>Gawelek HILITE 2 Źory - Netto ul. Dworcowa</v>
      </c>
      <c r="F56">
        <f t="shared" si="1"/>
        <v>56</v>
      </c>
    </row>
    <row r="57" spans="1:6" x14ac:dyDescent="0.25">
      <c r="A57">
        <v>57</v>
      </c>
      <c r="B57" t="s">
        <v>2611</v>
      </c>
      <c r="C57" t="s">
        <v>2612</v>
      </c>
      <c r="D57" t="s">
        <v>2616</v>
      </c>
      <c r="E57" t="str">
        <f t="shared" si="0"/>
        <v>Gawelek HILITE 2 Źory - McDonalds al. Zjednoczonej Europy 43</v>
      </c>
      <c r="F57">
        <f t="shared" si="1"/>
        <v>57</v>
      </c>
    </row>
    <row r="58" spans="1:6" x14ac:dyDescent="0.25">
      <c r="A58">
        <v>58</v>
      </c>
      <c r="B58" t="s">
        <v>2611</v>
      </c>
      <c r="C58" t="s">
        <v>2612</v>
      </c>
      <c r="D58" t="s">
        <v>2617</v>
      </c>
      <c r="E58" t="str">
        <f t="shared" si="0"/>
        <v>Gawelek HILITE 2 Źory - Sąd</v>
      </c>
      <c r="F58">
        <f t="shared" si="1"/>
        <v>58</v>
      </c>
    </row>
    <row r="59" spans="1:6" x14ac:dyDescent="0.25">
      <c r="A59">
        <v>59</v>
      </c>
      <c r="B59" t="s">
        <v>2618</v>
      </c>
      <c r="C59" t="s">
        <v>2619</v>
      </c>
      <c r="D59" t="s">
        <v>2620</v>
      </c>
      <c r="E59" t="str">
        <f t="shared" si="0"/>
        <v>Oles DSC Rybnik - Paryź</v>
      </c>
      <c r="F59">
        <f t="shared" si="1"/>
        <v>59</v>
      </c>
    </row>
    <row r="60" spans="1:6" x14ac:dyDescent="0.25">
      <c r="A60">
        <v>60</v>
      </c>
      <c r="B60" t="s">
        <v>2618</v>
      </c>
      <c r="C60" t="s">
        <v>2619</v>
      </c>
      <c r="D60" t="s">
        <v>2621</v>
      </c>
      <c r="E60" t="str">
        <f t="shared" si="0"/>
        <v>Oles DSC Rybnik, Raciborska 121 - BP</v>
      </c>
      <c r="F60">
        <f t="shared" si="1"/>
        <v>60</v>
      </c>
    </row>
    <row r="61" spans="1:6" x14ac:dyDescent="0.25">
      <c r="A61">
        <v>61</v>
      </c>
      <c r="B61" t="s">
        <v>2618</v>
      </c>
      <c r="C61" t="s">
        <v>2619</v>
      </c>
      <c r="D61" t="s">
        <v>2622</v>
      </c>
      <c r="E61" t="str">
        <f t="shared" si="0"/>
        <v>Oles DSC Rybnik - Niewiadom</v>
      </c>
      <c r="F61">
        <f t="shared" si="1"/>
        <v>61</v>
      </c>
    </row>
    <row r="62" spans="1:6" x14ac:dyDescent="0.25">
      <c r="A62">
        <v>62</v>
      </c>
      <c r="B62" t="s">
        <v>2618</v>
      </c>
      <c r="C62" t="s">
        <v>2619</v>
      </c>
      <c r="D62" t="s">
        <v>2623</v>
      </c>
      <c r="E62" t="str">
        <f t="shared" si="0"/>
        <v>Oles DSC Rydułtowy - Rynek</v>
      </c>
      <c r="F62">
        <f t="shared" si="1"/>
        <v>62</v>
      </c>
    </row>
    <row r="63" spans="1:6" x14ac:dyDescent="0.25">
      <c r="A63">
        <v>63</v>
      </c>
      <c r="B63" t="s">
        <v>2618</v>
      </c>
      <c r="C63" t="s">
        <v>2619</v>
      </c>
      <c r="D63" t="s">
        <v>2624</v>
      </c>
      <c r="E63" t="str">
        <f t="shared" si="0"/>
        <v>Oles DSC Radlin - centrum</v>
      </c>
      <c r="F63">
        <f t="shared" si="1"/>
        <v>63</v>
      </c>
    </row>
    <row r="64" spans="1:6" x14ac:dyDescent="0.25">
      <c r="A64">
        <v>64</v>
      </c>
      <c r="B64" t="s">
        <v>1460</v>
      </c>
      <c r="C64" t="s">
        <v>2625</v>
      </c>
      <c r="D64" t="s">
        <v>2606</v>
      </c>
      <c r="E64" t="str">
        <f t="shared" si="0"/>
        <v>Kasprzak Reserva 2 Zastávka 1</v>
      </c>
      <c r="F64">
        <f t="shared" si="1"/>
        <v>64</v>
      </c>
    </row>
    <row r="65" spans="1:6" x14ac:dyDescent="0.25">
      <c r="A65">
        <v>65</v>
      </c>
      <c r="B65" t="s">
        <v>1460</v>
      </c>
      <c r="C65" t="s">
        <v>2625</v>
      </c>
      <c r="D65" t="s">
        <v>2607</v>
      </c>
      <c r="E65" t="str">
        <f t="shared" si="0"/>
        <v>Kasprzak Reserva 2 Zastávka 2</v>
      </c>
      <c r="F65">
        <f t="shared" si="1"/>
        <v>65</v>
      </c>
    </row>
    <row r="66" spans="1:6" x14ac:dyDescent="0.25">
      <c r="A66">
        <v>66</v>
      </c>
      <c r="B66" t="s">
        <v>1460</v>
      </c>
      <c r="C66" t="s">
        <v>2625</v>
      </c>
      <c r="D66" t="s">
        <v>2608</v>
      </c>
      <c r="E66" t="str">
        <f t="shared" si="0"/>
        <v>Kasprzak Reserva 2 Zastávka 3</v>
      </c>
      <c r="F66">
        <f t="shared" si="1"/>
        <v>66</v>
      </c>
    </row>
    <row r="67" spans="1:6" x14ac:dyDescent="0.25">
      <c r="A67">
        <v>67</v>
      </c>
      <c r="B67" t="s">
        <v>1460</v>
      </c>
      <c r="C67" t="s">
        <v>2625</v>
      </c>
      <c r="D67" t="s">
        <v>2609</v>
      </c>
      <c r="E67" t="str">
        <f t="shared" ref="E67:E130" si="2">B67 &amp; " " &amp; C67 &amp; " " &amp; D67</f>
        <v>Kasprzak Reserva 2 Zastávka 4</v>
      </c>
      <c r="F67">
        <f t="shared" ref="F67:F130" si="3">A67</f>
        <v>67</v>
      </c>
    </row>
    <row r="68" spans="1:6" x14ac:dyDescent="0.25">
      <c r="A68">
        <v>68</v>
      </c>
      <c r="B68" t="s">
        <v>1460</v>
      </c>
      <c r="C68" t="s">
        <v>2625</v>
      </c>
      <c r="D68" t="s">
        <v>2610</v>
      </c>
      <c r="E68" t="str">
        <f t="shared" si="2"/>
        <v>Kasprzak Reserva 2 Zastávka 5</v>
      </c>
      <c r="F68">
        <f t="shared" si="3"/>
        <v>68</v>
      </c>
    </row>
    <row r="69" spans="1:6" x14ac:dyDescent="0.25">
      <c r="A69">
        <v>69</v>
      </c>
      <c r="B69" t="s">
        <v>2626</v>
      </c>
      <c r="C69" t="s">
        <v>2627</v>
      </c>
      <c r="D69" t="s">
        <v>2613</v>
      </c>
      <c r="E69" t="str">
        <f t="shared" si="2"/>
        <v>Kontny Reserva 1 Stare Boguszowice ul Stanisława Małachowskiego</v>
      </c>
      <c r="F69">
        <f t="shared" si="3"/>
        <v>69</v>
      </c>
    </row>
    <row r="70" spans="1:6" x14ac:dyDescent="0.25">
      <c r="A70">
        <v>70</v>
      </c>
      <c r="B70" t="s">
        <v>2626</v>
      </c>
      <c r="C70" t="s">
        <v>2627</v>
      </c>
      <c r="D70" t="s">
        <v>2615</v>
      </c>
      <c r="E70" t="str">
        <f t="shared" si="2"/>
        <v>Kontny Reserva 1 Źory - Netto ul. Dworcowa</v>
      </c>
      <c r="F70">
        <f t="shared" si="3"/>
        <v>70</v>
      </c>
    </row>
    <row r="71" spans="1:6" x14ac:dyDescent="0.25">
      <c r="A71">
        <v>71</v>
      </c>
      <c r="B71" t="s">
        <v>2626</v>
      </c>
      <c r="C71" t="s">
        <v>2627</v>
      </c>
      <c r="D71" t="s">
        <v>2617</v>
      </c>
      <c r="E71" t="str">
        <f t="shared" si="2"/>
        <v>Kontny Reserva 1 Źory - Sąd</v>
      </c>
      <c r="F71">
        <f t="shared" si="3"/>
        <v>71</v>
      </c>
    </row>
    <row r="72" spans="1:6" x14ac:dyDescent="0.25">
      <c r="A72">
        <v>72</v>
      </c>
      <c r="B72" t="s">
        <v>2626</v>
      </c>
      <c r="C72" t="s">
        <v>2627</v>
      </c>
      <c r="D72" t="s">
        <v>2616</v>
      </c>
      <c r="E72" t="str">
        <f t="shared" si="2"/>
        <v>Kontny Reserva 1 Źory - McDonalds al. Zjednoczonej Europy 43</v>
      </c>
      <c r="F72">
        <f t="shared" si="3"/>
        <v>72</v>
      </c>
    </row>
    <row r="73" spans="1:6" x14ac:dyDescent="0.25">
      <c r="A73">
        <v>73</v>
      </c>
      <c r="B73" t="s">
        <v>2626</v>
      </c>
      <c r="C73" t="s">
        <v>2627</v>
      </c>
      <c r="D73" t="s">
        <v>2614</v>
      </c>
      <c r="E73" t="str">
        <f t="shared" si="2"/>
        <v>Kontny Reserva 1 Jastrzębie Zdroj - Dubielec</v>
      </c>
      <c r="F73">
        <f t="shared" si="3"/>
        <v>73</v>
      </c>
    </row>
    <row r="74" spans="1:6" x14ac:dyDescent="0.25">
      <c r="A74">
        <v>74</v>
      </c>
      <c r="B74" t="s">
        <v>2628</v>
      </c>
      <c r="C74" t="s">
        <v>2619</v>
      </c>
      <c r="D74" t="s">
        <v>2606</v>
      </c>
      <c r="E74" t="str">
        <f t="shared" si="2"/>
        <v>SR7721J TURISMO DSC Zastávka 1</v>
      </c>
      <c r="F74">
        <f t="shared" si="3"/>
        <v>74</v>
      </c>
    </row>
    <row r="75" spans="1:6" x14ac:dyDescent="0.25">
      <c r="A75">
        <v>75</v>
      </c>
      <c r="B75" t="s">
        <v>2628</v>
      </c>
      <c r="C75" t="s">
        <v>2619</v>
      </c>
      <c r="D75" t="s">
        <v>2607</v>
      </c>
      <c r="E75" t="str">
        <f t="shared" si="2"/>
        <v>SR7721J TURISMO DSC Zastávka 2</v>
      </c>
      <c r="F75">
        <f t="shared" si="3"/>
        <v>75</v>
      </c>
    </row>
    <row r="76" spans="1:6" x14ac:dyDescent="0.25">
      <c r="A76">
        <v>76</v>
      </c>
      <c r="B76" t="s">
        <v>2628</v>
      </c>
      <c r="C76" t="s">
        <v>2619</v>
      </c>
      <c r="D76" t="s">
        <v>2608</v>
      </c>
      <c r="E76" t="str">
        <f t="shared" si="2"/>
        <v>SR7721J TURISMO DSC Zastávka 3</v>
      </c>
      <c r="F76">
        <f t="shared" si="3"/>
        <v>76</v>
      </c>
    </row>
    <row r="77" spans="1:6" x14ac:dyDescent="0.25">
      <c r="A77">
        <v>77</v>
      </c>
      <c r="B77" t="s">
        <v>2628</v>
      </c>
      <c r="C77" t="s">
        <v>2619</v>
      </c>
      <c r="D77" t="s">
        <v>2609</v>
      </c>
      <c r="E77" t="str">
        <f t="shared" si="2"/>
        <v>SR7721J TURISMO DSC Zastávka 4</v>
      </c>
      <c r="F77">
        <f t="shared" si="3"/>
        <v>77</v>
      </c>
    </row>
    <row r="78" spans="1:6" x14ac:dyDescent="0.25">
      <c r="A78">
        <v>78</v>
      </c>
      <c r="B78" t="s">
        <v>2628</v>
      </c>
      <c r="C78" t="s">
        <v>2619</v>
      </c>
      <c r="D78" t="s">
        <v>2610</v>
      </c>
      <c r="E78" t="str">
        <f t="shared" si="2"/>
        <v>SR7721J TURISMO DSC Zastávka 5</v>
      </c>
      <c r="F78">
        <f t="shared" si="3"/>
        <v>78</v>
      </c>
    </row>
    <row r="79" spans="1:6" x14ac:dyDescent="0.25">
      <c r="A79">
        <v>79</v>
      </c>
      <c r="B79" t="s">
        <v>2628</v>
      </c>
      <c r="C79" t="s">
        <v>2619</v>
      </c>
      <c r="D79" t="s">
        <v>2629</v>
      </c>
      <c r="E79" t="str">
        <f t="shared" si="2"/>
        <v>SR7721J TURISMO DSC Zastávka 6</v>
      </c>
      <c r="F79">
        <f t="shared" si="3"/>
        <v>79</v>
      </c>
    </row>
    <row r="80" spans="1:6" x14ac:dyDescent="0.25">
      <c r="A80">
        <v>80</v>
      </c>
      <c r="B80" t="s">
        <v>2628</v>
      </c>
      <c r="C80" t="s">
        <v>2619</v>
      </c>
      <c r="D80" t="s">
        <v>2630</v>
      </c>
      <c r="E80" t="str">
        <f t="shared" si="2"/>
        <v>SR7721J TURISMO DSC Zastávka 7</v>
      </c>
      <c r="F80">
        <f t="shared" si="3"/>
        <v>80</v>
      </c>
    </row>
    <row r="81" spans="1:6" x14ac:dyDescent="0.25">
      <c r="A81">
        <v>81</v>
      </c>
      <c r="B81" t="s">
        <v>2560</v>
      </c>
      <c r="C81" t="s">
        <v>2631</v>
      </c>
      <c r="D81" t="s">
        <v>2606</v>
      </c>
      <c r="E81" t="str">
        <f t="shared" si="2"/>
        <v>SPRINTER / OPEL DSC - Rybnik / Wodzislaw Zastávka 1</v>
      </c>
      <c r="F81">
        <f t="shared" si="3"/>
        <v>81</v>
      </c>
    </row>
    <row r="82" spans="1:6" x14ac:dyDescent="0.25">
      <c r="A82">
        <v>82</v>
      </c>
      <c r="B82" t="s">
        <v>2560</v>
      </c>
      <c r="C82" t="s">
        <v>2631</v>
      </c>
      <c r="D82" t="s">
        <v>2607</v>
      </c>
      <c r="E82" t="str">
        <f t="shared" si="2"/>
        <v>SPRINTER / OPEL DSC - Rybnik / Wodzislaw Zastávka 2</v>
      </c>
      <c r="F82">
        <f t="shared" si="3"/>
        <v>82</v>
      </c>
    </row>
    <row r="83" spans="1:6" x14ac:dyDescent="0.25">
      <c r="A83">
        <v>83</v>
      </c>
      <c r="B83" t="s">
        <v>2560</v>
      </c>
      <c r="C83" t="s">
        <v>2631</v>
      </c>
      <c r="D83" t="s">
        <v>2608</v>
      </c>
      <c r="E83" t="str">
        <f t="shared" si="2"/>
        <v>SPRINTER / OPEL DSC - Rybnik / Wodzislaw Zastávka 3</v>
      </c>
      <c r="F83">
        <f t="shared" si="3"/>
        <v>83</v>
      </c>
    </row>
    <row r="84" spans="1:6" x14ac:dyDescent="0.25">
      <c r="A84">
        <v>84</v>
      </c>
      <c r="B84" t="s">
        <v>2560</v>
      </c>
      <c r="C84" t="s">
        <v>2631</v>
      </c>
      <c r="D84" t="s">
        <v>2609</v>
      </c>
      <c r="E84" t="str">
        <f t="shared" si="2"/>
        <v>SPRINTER / OPEL DSC - Rybnik / Wodzislaw Zastávka 4</v>
      </c>
      <c r="F84">
        <f t="shared" si="3"/>
        <v>84</v>
      </c>
    </row>
    <row r="85" spans="1:6" x14ac:dyDescent="0.25">
      <c r="A85">
        <v>85</v>
      </c>
      <c r="B85" t="s">
        <v>2560</v>
      </c>
      <c r="C85" t="s">
        <v>2631</v>
      </c>
      <c r="D85" t="s">
        <v>2610</v>
      </c>
      <c r="E85" t="str">
        <f t="shared" si="2"/>
        <v>SPRINTER / OPEL DSC - Rybnik / Wodzislaw Zastávka 5</v>
      </c>
      <c r="F85">
        <f t="shared" si="3"/>
        <v>85</v>
      </c>
    </row>
    <row r="86" spans="1:6" x14ac:dyDescent="0.25">
      <c r="A86">
        <v>86</v>
      </c>
      <c r="B86" t="s">
        <v>2560</v>
      </c>
      <c r="C86" t="s">
        <v>2631</v>
      </c>
      <c r="D86" t="s">
        <v>2629</v>
      </c>
      <c r="E86" t="str">
        <f t="shared" si="2"/>
        <v>SPRINTER / OPEL DSC - Rybnik / Wodzislaw Zastávka 6</v>
      </c>
      <c r="F86">
        <f t="shared" si="3"/>
        <v>86</v>
      </c>
    </row>
    <row r="87" spans="1:6" x14ac:dyDescent="0.25">
      <c r="A87">
        <v>87</v>
      </c>
      <c r="B87" t="s">
        <v>2560</v>
      </c>
      <c r="C87" t="s">
        <v>2631</v>
      </c>
      <c r="D87" t="s">
        <v>2630</v>
      </c>
      <c r="E87" t="str">
        <f t="shared" si="2"/>
        <v>SPRINTER / OPEL DSC - Rybnik / Wodzislaw Zastávka 7</v>
      </c>
      <c r="F87">
        <f t="shared" si="3"/>
        <v>87</v>
      </c>
    </row>
    <row r="88" spans="1:6" x14ac:dyDescent="0.25">
      <c r="A88">
        <v>88</v>
      </c>
      <c r="B88" t="s">
        <v>2560</v>
      </c>
      <c r="C88" t="s">
        <v>2632</v>
      </c>
      <c r="D88" t="s">
        <v>2606</v>
      </c>
      <c r="E88" t="str">
        <f t="shared" si="2"/>
        <v>SPRINTER / OPEL DSC - Źory / Jastrzębie Zdrój Zastávka 1</v>
      </c>
      <c r="F88">
        <f t="shared" si="3"/>
        <v>88</v>
      </c>
    </row>
    <row r="89" spans="1:6" x14ac:dyDescent="0.25">
      <c r="A89">
        <v>89</v>
      </c>
      <c r="B89" t="s">
        <v>2560</v>
      </c>
      <c r="C89" t="s">
        <v>2632</v>
      </c>
      <c r="D89" t="s">
        <v>2607</v>
      </c>
      <c r="E89" t="str">
        <f t="shared" si="2"/>
        <v>SPRINTER / OPEL DSC - Źory / Jastrzębie Zdrój Zastávka 2</v>
      </c>
      <c r="F89">
        <f t="shared" si="3"/>
        <v>89</v>
      </c>
    </row>
    <row r="90" spans="1:6" x14ac:dyDescent="0.25">
      <c r="A90">
        <v>90</v>
      </c>
      <c r="B90" t="s">
        <v>2560</v>
      </c>
      <c r="C90" t="s">
        <v>2632</v>
      </c>
      <c r="D90" t="s">
        <v>2608</v>
      </c>
      <c r="E90" t="str">
        <f t="shared" si="2"/>
        <v>SPRINTER / OPEL DSC - Źory / Jastrzębie Zdrój Zastávka 3</v>
      </c>
      <c r="F90">
        <f t="shared" si="3"/>
        <v>90</v>
      </c>
    </row>
    <row r="91" spans="1:6" x14ac:dyDescent="0.25">
      <c r="A91">
        <v>91</v>
      </c>
      <c r="B91" t="s">
        <v>2560</v>
      </c>
      <c r="C91" t="s">
        <v>2632</v>
      </c>
      <c r="D91" t="s">
        <v>2610</v>
      </c>
      <c r="E91" t="str">
        <f t="shared" si="2"/>
        <v>SPRINTER / OPEL DSC - Źory / Jastrzębie Zdrój Zastávka 5</v>
      </c>
      <c r="F91">
        <f t="shared" si="3"/>
        <v>91</v>
      </c>
    </row>
    <row r="92" spans="1:6" x14ac:dyDescent="0.25">
      <c r="A92">
        <v>92</v>
      </c>
      <c r="B92" t="s">
        <v>2560</v>
      </c>
      <c r="C92" t="s">
        <v>2632</v>
      </c>
      <c r="D92" t="s">
        <v>2609</v>
      </c>
      <c r="E92" t="str">
        <f t="shared" si="2"/>
        <v>SPRINTER / OPEL DSC - Źory / Jastrzębie Zdrój Zastávka 4</v>
      </c>
      <c r="F92">
        <f t="shared" si="3"/>
        <v>92</v>
      </c>
    </row>
    <row r="93" spans="1:6" x14ac:dyDescent="0.25">
      <c r="A93">
        <v>93</v>
      </c>
      <c r="B93" t="s">
        <v>2560</v>
      </c>
      <c r="C93" t="s">
        <v>2632</v>
      </c>
      <c r="D93" t="s">
        <v>2629</v>
      </c>
      <c r="E93" t="str">
        <f t="shared" si="2"/>
        <v>SPRINTER / OPEL DSC - Źory / Jastrzębie Zdrój Zastávka 6</v>
      </c>
      <c r="F93">
        <f t="shared" si="3"/>
        <v>93</v>
      </c>
    </row>
    <row r="94" spans="1:6" x14ac:dyDescent="0.25">
      <c r="A94">
        <v>94</v>
      </c>
      <c r="B94" t="s">
        <v>2560</v>
      </c>
      <c r="C94" t="s">
        <v>2632</v>
      </c>
      <c r="D94" t="s">
        <v>2630</v>
      </c>
      <c r="E94" t="str">
        <f t="shared" si="2"/>
        <v>SPRINTER / OPEL DSC - Źory / Jastrzębie Zdrój Zastávka 7</v>
      </c>
      <c r="F94">
        <f t="shared" si="3"/>
        <v>94</v>
      </c>
    </row>
    <row r="95" spans="1:6" x14ac:dyDescent="0.25">
      <c r="A95">
        <v>95</v>
      </c>
      <c r="B95" t="s">
        <v>2633</v>
      </c>
      <c r="C95" t="s">
        <v>2634</v>
      </c>
      <c r="D95" t="s">
        <v>2606</v>
      </c>
      <c r="E95" t="str">
        <f t="shared" si="2"/>
        <v>Janíček Reserva 3 Zastávka 1</v>
      </c>
      <c r="F95">
        <f t="shared" si="3"/>
        <v>95</v>
      </c>
    </row>
    <row r="96" spans="1:6" x14ac:dyDescent="0.25">
      <c r="A96">
        <v>96</v>
      </c>
      <c r="B96" t="s">
        <v>2633</v>
      </c>
      <c r="C96" t="s">
        <v>2634</v>
      </c>
      <c r="D96" t="s">
        <v>2607</v>
      </c>
      <c r="E96" t="str">
        <f t="shared" si="2"/>
        <v>Janíček Reserva 3 Zastávka 2</v>
      </c>
      <c r="F96">
        <f t="shared" si="3"/>
        <v>96</v>
      </c>
    </row>
    <row r="97" spans="1:6" x14ac:dyDescent="0.25">
      <c r="A97">
        <v>97</v>
      </c>
      <c r="B97" t="s">
        <v>2633</v>
      </c>
      <c r="C97" t="s">
        <v>2634</v>
      </c>
      <c r="D97" t="s">
        <v>2608</v>
      </c>
      <c r="E97" t="str">
        <f t="shared" si="2"/>
        <v>Janíček Reserva 3 Zastávka 3</v>
      </c>
      <c r="F97">
        <f t="shared" si="3"/>
        <v>97</v>
      </c>
    </row>
    <row r="98" spans="1:6" x14ac:dyDescent="0.25">
      <c r="A98">
        <v>98</v>
      </c>
      <c r="B98" t="s">
        <v>2633</v>
      </c>
      <c r="C98" t="s">
        <v>2634</v>
      </c>
      <c r="D98" t="s">
        <v>2609</v>
      </c>
      <c r="E98" t="str">
        <f t="shared" si="2"/>
        <v>Janíček Reserva 3 Zastávka 4</v>
      </c>
      <c r="F98">
        <f t="shared" si="3"/>
        <v>98</v>
      </c>
    </row>
    <row r="99" spans="1:6" x14ac:dyDescent="0.25">
      <c r="A99">
        <v>99</v>
      </c>
      <c r="B99" t="s">
        <v>2633</v>
      </c>
      <c r="C99" t="s">
        <v>2634</v>
      </c>
      <c r="D99" t="s">
        <v>2610</v>
      </c>
      <c r="E99" t="str">
        <f t="shared" si="2"/>
        <v>Janíček Reserva 3 Zastávka 5</v>
      </c>
      <c r="F99">
        <f t="shared" si="3"/>
        <v>99</v>
      </c>
    </row>
    <row r="100" spans="1:6" x14ac:dyDescent="0.25">
      <c r="A100">
        <v>100</v>
      </c>
      <c r="B100" t="s">
        <v>2635</v>
      </c>
      <c r="C100" t="s">
        <v>2636</v>
      </c>
      <c r="D100" t="s">
        <v>2635</v>
      </c>
      <c r="E100" t="str">
        <f t="shared" si="2"/>
        <v>Vlastní auto Zaměstnanci, co jezdí vlastní dopravou Vlastní auto</v>
      </c>
      <c r="F100">
        <f t="shared" si="3"/>
        <v>100</v>
      </c>
    </row>
    <row r="101" spans="1:6" x14ac:dyDescent="0.25">
      <c r="A101">
        <v>101</v>
      </c>
      <c r="B101" t="s">
        <v>2611</v>
      </c>
      <c r="C101" t="s">
        <v>2612</v>
      </c>
      <c r="D101" t="s">
        <v>2637</v>
      </c>
      <c r="E101" t="str">
        <f t="shared" si="2"/>
        <v>Gawelek HILITE 2 Jastrzębie Zdroj - Urząd miasta</v>
      </c>
      <c r="F101">
        <f t="shared" si="3"/>
        <v>101</v>
      </c>
    </row>
    <row r="102" spans="1:6" x14ac:dyDescent="0.25">
      <c r="A102">
        <v>102</v>
      </c>
      <c r="B102" t="s">
        <v>2611</v>
      </c>
      <c r="C102" t="s">
        <v>2612</v>
      </c>
      <c r="D102" t="s">
        <v>2638</v>
      </c>
      <c r="E102" t="str">
        <f t="shared" si="2"/>
        <v>Gawelek HILITE 2 Jastrzębie Zdroj - McDonalds</v>
      </c>
      <c r="F102">
        <f t="shared" si="3"/>
        <v>102</v>
      </c>
    </row>
    <row r="103" spans="1:6" x14ac:dyDescent="0.25">
      <c r="A103">
        <v>103</v>
      </c>
      <c r="B103" t="s">
        <v>2611</v>
      </c>
      <c r="C103" t="s">
        <v>2612</v>
      </c>
      <c r="D103" t="s">
        <v>2639</v>
      </c>
      <c r="E103" t="str">
        <f t="shared" si="2"/>
        <v>Gawelek HILITE 2 Jastrzębie Zdroj - Supersam</v>
      </c>
      <c r="F103">
        <f t="shared" si="3"/>
        <v>103</v>
      </c>
    </row>
    <row r="104" spans="1:6" x14ac:dyDescent="0.25">
      <c r="A104">
        <v>104</v>
      </c>
      <c r="B104" t="s">
        <v>2611</v>
      </c>
      <c r="C104" t="s">
        <v>2612</v>
      </c>
      <c r="D104" t="s">
        <v>2640</v>
      </c>
      <c r="E104" t="str">
        <f t="shared" si="2"/>
        <v>Gawelek HILITE 2 Jastrzębie Zdroj - Zdrój</v>
      </c>
      <c r="F104">
        <f t="shared" si="3"/>
        <v>104</v>
      </c>
    </row>
    <row r="105" spans="1:6" x14ac:dyDescent="0.25">
      <c r="A105">
        <v>105</v>
      </c>
      <c r="B105" t="s">
        <v>2598</v>
      </c>
      <c r="C105" t="s">
        <v>2599</v>
      </c>
      <c r="D105" t="s">
        <v>2641</v>
      </c>
      <c r="E105" t="str">
        <f t="shared" si="2"/>
        <v>Lauko HANON Borymia Jastr. Zd.</v>
      </c>
      <c r="F105">
        <f t="shared" si="3"/>
        <v>105</v>
      </c>
    </row>
    <row r="106" spans="1:6" x14ac:dyDescent="0.25">
      <c r="A106">
        <v>106</v>
      </c>
      <c r="B106" t="s">
        <v>2598</v>
      </c>
      <c r="C106" t="s">
        <v>2599</v>
      </c>
      <c r="D106" t="s">
        <v>2642</v>
      </c>
      <c r="E106" t="str">
        <f t="shared" si="2"/>
        <v>Lauko HANON Rondo Jastr. Zd.</v>
      </c>
      <c r="F106">
        <f t="shared" si="3"/>
        <v>106</v>
      </c>
    </row>
    <row r="107" spans="1:6" x14ac:dyDescent="0.25">
      <c r="A107">
        <v>107</v>
      </c>
      <c r="B107" t="s">
        <v>2598</v>
      </c>
      <c r="C107" t="s">
        <v>2599</v>
      </c>
      <c r="D107" t="s">
        <v>2643</v>
      </c>
      <c r="E107" t="str">
        <f t="shared" si="2"/>
        <v>Lauko HANON UNIWAR</v>
      </c>
      <c r="F107">
        <f t="shared" si="3"/>
        <v>107</v>
      </c>
    </row>
    <row r="108" spans="1:6" x14ac:dyDescent="0.25">
      <c r="A108">
        <v>108</v>
      </c>
      <c r="B108" t="s">
        <v>2598</v>
      </c>
      <c r="C108" t="s">
        <v>2599</v>
      </c>
      <c r="D108" t="s">
        <v>2644</v>
      </c>
      <c r="E108" t="str">
        <f t="shared" si="2"/>
        <v>Lauko HANON Cyganek Wodzislaw Sl.</v>
      </c>
      <c r="F108">
        <f t="shared" si="3"/>
        <v>108</v>
      </c>
    </row>
    <row r="109" spans="1:6" x14ac:dyDescent="0.25">
      <c r="A109">
        <v>109</v>
      </c>
      <c r="B109" t="s">
        <v>2598</v>
      </c>
      <c r="C109" t="s">
        <v>2599</v>
      </c>
      <c r="D109" t="s">
        <v>2645</v>
      </c>
      <c r="E109" t="str">
        <f t="shared" si="2"/>
        <v>Lauko HANON Dubielec Jastr. Zd.</v>
      </c>
      <c r="F109">
        <f t="shared" si="3"/>
        <v>109</v>
      </c>
    </row>
    <row r="110" spans="1:6" x14ac:dyDescent="0.25">
      <c r="A110">
        <v>110</v>
      </c>
      <c r="B110" t="s">
        <v>2598</v>
      </c>
      <c r="C110" t="s">
        <v>2599</v>
      </c>
      <c r="D110" t="s">
        <v>2646</v>
      </c>
      <c r="E110" t="str">
        <f t="shared" si="2"/>
        <v>Lauko HANON Leśmina Jastr. Zd.</v>
      </c>
      <c r="F110">
        <f t="shared" si="3"/>
        <v>110</v>
      </c>
    </row>
    <row r="111" spans="1:6" x14ac:dyDescent="0.25">
      <c r="A111">
        <v>111</v>
      </c>
      <c r="B111" t="s">
        <v>2598</v>
      </c>
      <c r="C111" t="s">
        <v>2599</v>
      </c>
      <c r="D111" t="s">
        <v>2647</v>
      </c>
      <c r="E111" t="str">
        <f t="shared" si="2"/>
        <v>Lauko HANON Polomska Wiadukt Jastr. Zd.</v>
      </c>
      <c r="F111">
        <f t="shared" si="3"/>
        <v>111</v>
      </c>
    </row>
    <row r="112" spans="1:6" x14ac:dyDescent="0.25">
      <c r="A112">
        <v>112</v>
      </c>
      <c r="B112" t="s">
        <v>2598</v>
      </c>
      <c r="C112" t="s">
        <v>2599</v>
      </c>
      <c r="D112" t="s">
        <v>2648</v>
      </c>
      <c r="E112" t="str">
        <f t="shared" si="2"/>
        <v>Lauko HANON Mszana</v>
      </c>
      <c r="F112">
        <f t="shared" si="3"/>
        <v>112</v>
      </c>
    </row>
    <row r="113" spans="1:6" x14ac:dyDescent="0.25">
      <c r="A113">
        <v>113</v>
      </c>
      <c r="B113" t="s">
        <v>2585</v>
      </c>
      <c r="C113" t="s">
        <v>2586</v>
      </c>
      <c r="D113" t="s">
        <v>2649</v>
      </c>
      <c r="E113" t="str">
        <f t="shared" si="2"/>
        <v>Pielasa TATRA 1 Jastrzębie Zdroj - Czarny Rycerz</v>
      </c>
      <c r="F113">
        <f t="shared" si="3"/>
        <v>113</v>
      </c>
    </row>
    <row r="114" spans="1:6" x14ac:dyDescent="0.25">
      <c r="A114">
        <v>114</v>
      </c>
      <c r="B114" t="s">
        <v>2626</v>
      </c>
      <c r="C114" t="s">
        <v>2627</v>
      </c>
      <c r="D114" t="s">
        <v>2637</v>
      </c>
      <c r="E114" t="str">
        <f t="shared" si="2"/>
        <v>Kontny Reserva 1 Jastrzębie Zdroj - Urząd miasta</v>
      </c>
      <c r="F114">
        <f t="shared" si="3"/>
        <v>114</v>
      </c>
    </row>
    <row r="115" spans="1:6" x14ac:dyDescent="0.25">
      <c r="A115">
        <v>115</v>
      </c>
      <c r="B115" t="s">
        <v>2626</v>
      </c>
      <c r="C115" t="s">
        <v>2627</v>
      </c>
      <c r="D115" t="s">
        <v>2638</v>
      </c>
      <c r="E115" t="str">
        <f t="shared" si="2"/>
        <v>Kontny Reserva 1 Jastrzębie Zdroj - McDonalds</v>
      </c>
      <c r="F115">
        <f t="shared" si="3"/>
        <v>115</v>
      </c>
    </row>
    <row r="116" spans="1:6" x14ac:dyDescent="0.25">
      <c r="A116">
        <v>116</v>
      </c>
      <c r="B116" t="s">
        <v>2626</v>
      </c>
      <c r="C116" t="s">
        <v>2627</v>
      </c>
      <c r="D116" t="s">
        <v>2639</v>
      </c>
      <c r="E116" t="str">
        <f t="shared" si="2"/>
        <v>Kontny Reserva 1 Jastrzębie Zdroj - Supersam</v>
      </c>
      <c r="F116">
        <f t="shared" si="3"/>
        <v>116</v>
      </c>
    </row>
    <row r="117" spans="1:6" x14ac:dyDescent="0.25">
      <c r="A117">
        <v>117</v>
      </c>
      <c r="B117" t="s">
        <v>2626</v>
      </c>
      <c r="C117" t="s">
        <v>2627</v>
      </c>
      <c r="D117" t="s">
        <v>2640</v>
      </c>
      <c r="E117" t="str">
        <f t="shared" si="2"/>
        <v>Kontny Reserva 1 Jastrzębie Zdroj - Zdrój</v>
      </c>
      <c r="F117">
        <f t="shared" si="3"/>
        <v>117</v>
      </c>
    </row>
    <row r="118" spans="1:6" x14ac:dyDescent="0.25">
      <c r="A118">
        <v>118</v>
      </c>
      <c r="B118" t="s">
        <v>1546</v>
      </c>
      <c r="C118" t="s">
        <v>2592</v>
      </c>
      <c r="D118" t="s">
        <v>2649</v>
      </c>
      <c r="E118" t="str">
        <f t="shared" si="2"/>
        <v>Kubica TATRA 2 Jastrzębie Zdroj - Czarny Rycerz</v>
      </c>
      <c r="F118">
        <f t="shared" si="3"/>
        <v>118</v>
      </c>
    </row>
    <row r="119" spans="1:6" x14ac:dyDescent="0.25">
      <c r="A119">
        <v>119</v>
      </c>
      <c r="B119" t="s">
        <v>2585</v>
      </c>
      <c r="C119" t="s">
        <v>2586</v>
      </c>
      <c r="D119" t="s">
        <v>2595</v>
      </c>
      <c r="E119" t="str">
        <f t="shared" si="2"/>
        <v>Pielasa TATRA 1 Jankowice Świerklańska 81 - DINO</v>
      </c>
      <c r="F119">
        <f t="shared" si="3"/>
        <v>119</v>
      </c>
    </row>
    <row r="120" spans="1:6" x14ac:dyDescent="0.25">
      <c r="A120">
        <v>120</v>
      </c>
      <c r="B120" t="s">
        <v>1546</v>
      </c>
      <c r="C120" t="s">
        <v>2592</v>
      </c>
      <c r="D120" t="s">
        <v>2595</v>
      </c>
      <c r="E120" t="str">
        <f t="shared" si="2"/>
        <v>Kubica TATRA 2 Jankowice Świerklańska 81 - DINO</v>
      </c>
      <c r="F120">
        <f t="shared" si="3"/>
        <v>120</v>
      </c>
    </row>
    <row r="121" spans="1:6" x14ac:dyDescent="0.25">
      <c r="A121">
        <v>121</v>
      </c>
      <c r="B121" t="s">
        <v>2585</v>
      </c>
      <c r="C121" t="s">
        <v>2586</v>
      </c>
      <c r="D121" t="s">
        <v>2596</v>
      </c>
      <c r="E121" t="str">
        <f t="shared" si="2"/>
        <v>Pielasa TATRA 1 Chwałowice Rybnik Maja 95b - Biedronka</v>
      </c>
      <c r="F121">
        <f t="shared" si="3"/>
        <v>121</v>
      </c>
    </row>
    <row r="122" spans="1:6" x14ac:dyDescent="0.25">
      <c r="A122">
        <v>122</v>
      </c>
      <c r="B122" t="s">
        <v>1546</v>
      </c>
      <c r="C122" t="s">
        <v>2592</v>
      </c>
      <c r="D122" t="s">
        <v>2596</v>
      </c>
      <c r="E122" t="str">
        <f t="shared" si="2"/>
        <v>Kubica TATRA 2 Chwałowice Rybnik Maja 95b - Biedronka</v>
      </c>
      <c r="F122">
        <f t="shared" si="3"/>
        <v>122</v>
      </c>
    </row>
    <row r="123" spans="1:6" x14ac:dyDescent="0.25">
      <c r="A123">
        <v>123</v>
      </c>
      <c r="B123" t="s">
        <v>2585</v>
      </c>
      <c r="C123" t="s">
        <v>2586</v>
      </c>
      <c r="D123" t="s">
        <v>2597</v>
      </c>
      <c r="E123" t="str">
        <f t="shared" si="2"/>
        <v>Pielasa TATRA 1 Rybnik - Dworek</v>
      </c>
      <c r="F123">
        <f t="shared" si="3"/>
        <v>123</v>
      </c>
    </row>
    <row r="124" spans="1:6" x14ac:dyDescent="0.25">
      <c r="A124">
        <v>124</v>
      </c>
      <c r="B124" t="s">
        <v>1546</v>
      </c>
      <c r="C124" t="s">
        <v>2592</v>
      </c>
      <c r="D124" t="s">
        <v>2597</v>
      </c>
      <c r="E124" t="str">
        <f t="shared" si="2"/>
        <v>Kubica TATRA 2 Rybnik - Dworek</v>
      </c>
      <c r="F124">
        <f t="shared" si="3"/>
        <v>124</v>
      </c>
    </row>
    <row r="125" spans="1:6" x14ac:dyDescent="0.25">
      <c r="A125">
        <v>125</v>
      </c>
      <c r="B125" t="s">
        <v>2585</v>
      </c>
      <c r="C125" t="s">
        <v>2586</v>
      </c>
      <c r="D125" t="s">
        <v>2650</v>
      </c>
      <c r="E125" t="str">
        <f t="shared" si="2"/>
        <v>Pielasa TATRA 1 Rybnik - Smolna</v>
      </c>
      <c r="F125">
        <f t="shared" si="3"/>
        <v>125</v>
      </c>
    </row>
    <row r="126" spans="1:6" x14ac:dyDescent="0.25">
      <c r="A126">
        <v>126</v>
      </c>
      <c r="B126" t="s">
        <v>1546</v>
      </c>
      <c r="C126" t="s">
        <v>2592</v>
      </c>
      <c r="D126" t="s">
        <v>2650</v>
      </c>
      <c r="E126" t="str">
        <f t="shared" si="2"/>
        <v>Kubica TATRA 2 Rybnik - Smolna</v>
      </c>
      <c r="F126">
        <f t="shared" si="3"/>
        <v>126</v>
      </c>
    </row>
    <row r="127" spans="1:6" x14ac:dyDescent="0.25">
      <c r="A127">
        <v>127</v>
      </c>
      <c r="B127" t="s">
        <v>2585</v>
      </c>
      <c r="C127" t="s">
        <v>2586</v>
      </c>
      <c r="D127" t="s">
        <v>2651</v>
      </c>
      <c r="E127" t="str">
        <f t="shared" si="2"/>
        <v>Pielasa TATRA 1 Niedobczyce - PKP</v>
      </c>
      <c r="F127">
        <f t="shared" si="3"/>
        <v>127</v>
      </c>
    </row>
    <row r="128" spans="1:6" x14ac:dyDescent="0.25">
      <c r="A128">
        <v>128</v>
      </c>
      <c r="B128" t="s">
        <v>1546</v>
      </c>
      <c r="C128" t="s">
        <v>2592</v>
      </c>
      <c r="D128" t="s">
        <v>2651</v>
      </c>
      <c r="E128" t="str">
        <f t="shared" si="2"/>
        <v>Kubica TATRA 2 Niedobczyce - PKP</v>
      </c>
      <c r="F128">
        <f t="shared" si="3"/>
        <v>128</v>
      </c>
    </row>
    <row r="129" spans="1:6" x14ac:dyDescent="0.25">
      <c r="A129">
        <v>129</v>
      </c>
      <c r="B129" t="s">
        <v>2585</v>
      </c>
      <c r="C129" t="s">
        <v>2586</v>
      </c>
      <c r="D129" t="s">
        <v>2652</v>
      </c>
      <c r="E129" t="str">
        <f t="shared" si="2"/>
        <v>Pielasa TATRA 1 Radlin - Kościół</v>
      </c>
      <c r="F129">
        <f t="shared" si="3"/>
        <v>129</v>
      </c>
    </row>
    <row r="130" spans="1:6" x14ac:dyDescent="0.25">
      <c r="A130">
        <v>130</v>
      </c>
      <c r="B130" t="s">
        <v>1546</v>
      </c>
      <c r="C130" t="s">
        <v>2592</v>
      </c>
      <c r="D130" t="s">
        <v>2652</v>
      </c>
      <c r="E130" t="str">
        <f t="shared" si="2"/>
        <v>Kubica TATRA 2 Radlin - Kościół</v>
      </c>
      <c r="F130">
        <f t="shared" si="3"/>
        <v>130</v>
      </c>
    </row>
    <row r="131" spans="1:6" x14ac:dyDescent="0.25">
      <c r="A131">
        <v>131</v>
      </c>
      <c r="B131" t="s">
        <v>2585</v>
      </c>
      <c r="C131" t="s">
        <v>2586</v>
      </c>
      <c r="D131" t="s">
        <v>2653</v>
      </c>
      <c r="E131" t="str">
        <f t="shared" ref="E131:E171" si="4">B131 &amp; " " &amp; C131 &amp; " " &amp; D131</f>
        <v>Pielasa TATRA 1 Wodzisław Śląski, Rybnicka 15 - SHELL</v>
      </c>
      <c r="F131">
        <f t="shared" ref="F131:F171" si="5">A131</f>
        <v>131</v>
      </c>
    </row>
    <row r="132" spans="1:6" x14ac:dyDescent="0.25">
      <c r="A132">
        <v>132</v>
      </c>
      <c r="B132" t="s">
        <v>1546</v>
      </c>
      <c r="C132" t="s">
        <v>2592</v>
      </c>
      <c r="D132" t="s">
        <v>2653</v>
      </c>
      <c r="E132" t="str">
        <f t="shared" si="4"/>
        <v>Kubica TATRA 2 Wodzisław Śląski, Rybnicka 15 - SHELL</v>
      </c>
      <c r="F132">
        <f t="shared" si="5"/>
        <v>132</v>
      </c>
    </row>
    <row r="133" spans="1:6" x14ac:dyDescent="0.25">
      <c r="A133">
        <v>133</v>
      </c>
      <c r="B133" t="s">
        <v>2585</v>
      </c>
      <c r="C133" t="s">
        <v>2586</v>
      </c>
      <c r="D133" t="s">
        <v>2654</v>
      </c>
      <c r="E133" t="str">
        <f t="shared" si="4"/>
        <v>Pielasa TATRA 1 Wodzisław Śląski - PKP</v>
      </c>
      <c r="F133">
        <f t="shared" si="5"/>
        <v>133</v>
      </c>
    </row>
    <row r="134" spans="1:6" x14ac:dyDescent="0.25">
      <c r="A134">
        <v>134</v>
      </c>
      <c r="B134" t="s">
        <v>1546</v>
      </c>
      <c r="C134" t="s">
        <v>2592</v>
      </c>
      <c r="D134" t="s">
        <v>2654</v>
      </c>
      <c r="E134" t="str">
        <f t="shared" si="4"/>
        <v>Kubica TATRA 2 Wodzisław Śląski - PKP</v>
      </c>
      <c r="F134">
        <f t="shared" si="5"/>
        <v>134</v>
      </c>
    </row>
    <row r="135" spans="1:6" x14ac:dyDescent="0.25">
      <c r="A135">
        <v>135</v>
      </c>
      <c r="B135" t="s">
        <v>2593</v>
      </c>
      <c r="C135" t="s">
        <v>2594</v>
      </c>
      <c r="D135" t="s">
        <v>2589</v>
      </c>
      <c r="E135" t="str">
        <f t="shared" si="4"/>
        <v>Spandel TATRA 3 Jastrzębie Zdroj - Szeroka</v>
      </c>
      <c r="F135">
        <f t="shared" si="5"/>
        <v>135</v>
      </c>
    </row>
    <row r="136" spans="1:6" x14ac:dyDescent="0.25">
      <c r="A136">
        <v>136</v>
      </c>
      <c r="B136" t="s">
        <v>2593</v>
      </c>
      <c r="C136" t="s">
        <v>2594</v>
      </c>
      <c r="D136" t="s">
        <v>2650</v>
      </c>
      <c r="E136" t="str">
        <f t="shared" si="4"/>
        <v>Spandel TATRA 3 Rybnik - Smolna</v>
      </c>
      <c r="F136">
        <f t="shared" si="5"/>
        <v>136</v>
      </c>
    </row>
    <row r="137" spans="1:6" x14ac:dyDescent="0.25">
      <c r="A137">
        <v>137</v>
      </c>
      <c r="B137" t="s">
        <v>2593</v>
      </c>
      <c r="C137" t="s">
        <v>2594</v>
      </c>
      <c r="D137" t="s">
        <v>2651</v>
      </c>
      <c r="E137" t="str">
        <f t="shared" si="4"/>
        <v>Spandel TATRA 3 Niedobczyce - PKP</v>
      </c>
      <c r="F137">
        <f t="shared" si="5"/>
        <v>137</v>
      </c>
    </row>
    <row r="138" spans="1:6" x14ac:dyDescent="0.25">
      <c r="A138">
        <v>138</v>
      </c>
      <c r="B138" t="s">
        <v>2593</v>
      </c>
      <c r="C138" t="s">
        <v>2594</v>
      </c>
      <c r="D138" t="s">
        <v>2652</v>
      </c>
      <c r="E138" t="str">
        <f t="shared" si="4"/>
        <v>Spandel TATRA 3 Radlin - Kościół</v>
      </c>
      <c r="F138">
        <f t="shared" si="5"/>
        <v>138</v>
      </c>
    </row>
    <row r="139" spans="1:6" x14ac:dyDescent="0.25">
      <c r="A139">
        <v>139</v>
      </c>
      <c r="B139" t="s">
        <v>2593</v>
      </c>
      <c r="C139" t="s">
        <v>2594</v>
      </c>
      <c r="D139" t="s">
        <v>2653</v>
      </c>
      <c r="E139" t="str">
        <f t="shared" si="4"/>
        <v>Spandel TATRA 3 Wodzisław Śląski, Rybnicka 15 - SHELL</v>
      </c>
      <c r="F139">
        <f t="shared" si="5"/>
        <v>139</v>
      </c>
    </row>
    <row r="140" spans="1:6" x14ac:dyDescent="0.25">
      <c r="A140">
        <v>140</v>
      </c>
      <c r="B140" t="s">
        <v>2593</v>
      </c>
      <c r="C140" t="s">
        <v>2594</v>
      </c>
      <c r="D140" t="s">
        <v>2590</v>
      </c>
      <c r="E140" t="str">
        <f t="shared" si="4"/>
        <v>Spandel TATRA 3 Jastrzębie Zdroj - Aldi</v>
      </c>
      <c r="F140">
        <f t="shared" si="5"/>
        <v>140</v>
      </c>
    </row>
    <row r="141" spans="1:6" x14ac:dyDescent="0.25">
      <c r="A141">
        <v>141</v>
      </c>
      <c r="B141" t="s">
        <v>2593</v>
      </c>
      <c r="C141" t="s">
        <v>2594</v>
      </c>
      <c r="D141" t="s">
        <v>2591</v>
      </c>
      <c r="E141" t="str">
        <f t="shared" si="4"/>
        <v>Spandel TATRA 3 Jastrzębie Zdroj - Małopolska</v>
      </c>
      <c r="F141">
        <f t="shared" si="5"/>
        <v>141</v>
      </c>
    </row>
    <row r="142" spans="1:6" x14ac:dyDescent="0.25">
      <c r="A142">
        <v>142</v>
      </c>
      <c r="B142" t="s">
        <v>2593</v>
      </c>
      <c r="C142" t="s">
        <v>2594</v>
      </c>
      <c r="D142" t="s">
        <v>2654</v>
      </c>
      <c r="E142" t="str">
        <f t="shared" si="4"/>
        <v>Spandel TATRA 3 Wodzisław Śląski - PKP</v>
      </c>
      <c r="F142">
        <f t="shared" si="5"/>
        <v>142</v>
      </c>
    </row>
    <row r="143" spans="1:6" x14ac:dyDescent="0.25">
      <c r="A143">
        <v>143</v>
      </c>
      <c r="B143" t="s">
        <v>2593</v>
      </c>
      <c r="C143" t="s">
        <v>2594</v>
      </c>
      <c r="D143" t="s">
        <v>2649</v>
      </c>
      <c r="E143" t="str">
        <f t="shared" si="4"/>
        <v>Spandel TATRA 3 Jastrzębie Zdroj - Czarny Rycerz</v>
      </c>
      <c r="F143">
        <f t="shared" si="5"/>
        <v>143</v>
      </c>
    </row>
    <row r="144" spans="1:6" x14ac:dyDescent="0.25">
      <c r="A144">
        <v>144</v>
      </c>
      <c r="B144" t="s">
        <v>2618</v>
      </c>
      <c r="C144" t="s">
        <v>2619</v>
      </c>
      <c r="D144" t="s">
        <v>2655</v>
      </c>
      <c r="E144" t="str">
        <f t="shared" si="4"/>
        <v>Oles DSC Radlin Ujejskiego - kopalnia Marcel</v>
      </c>
      <c r="F144">
        <f t="shared" si="5"/>
        <v>144</v>
      </c>
    </row>
    <row r="145" spans="1:6" x14ac:dyDescent="0.25">
      <c r="A145">
        <v>145</v>
      </c>
      <c r="B145" t="s">
        <v>2618</v>
      </c>
      <c r="C145" t="s">
        <v>2619</v>
      </c>
      <c r="D145" t="s">
        <v>2656</v>
      </c>
      <c r="E145" t="str">
        <f t="shared" si="4"/>
        <v>Oles DSC Wodzisław Śl. - Szpital</v>
      </c>
      <c r="F145">
        <f t="shared" si="5"/>
        <v>145</v>
      </c>
    </row>
    <row r="146" spans="1:6" x14ac:dyDescent="0.25">
      <c r="A146">
        <v>146</v>
      </c>
      <c r="B146" t="s">
        <v>2618</v>
      </c>
      <c r="C146" t="s">
        <v>2619</v>
      </c>
      <c r="D146" t="s">
        <v>2657</v>
      </c>
      <c r="E146" t="str">
        <f t="shared" si="4"/>
        <v>Oles DSC Wodzisław Śl. - PKP</v>
      </c>
      <c r="F146">
        <f t="shared" si="5"/>
        <v>146</v>
      </c>
    </row>
    <row r="147" spans="1:6" x14ac:dyDescent="0.25">
      <c r="A147">
        <v>147</v>
      </c>
      <c r="B147" t="s">
        <v>2618</v>
      </c>
      <c r="C147" t="s">
        <v>2619</v>
      </c>
      <c r="D147" t="s">
        <v>2658</v>
      </c>
      <c r="E147" t="str">
        <f t="shared" si="4"/>
        <v>Oles DSC Wodzisław Śl. - Karuzela</v>
      </c>
      <c r="F147">
        <f t="shared" si="5"/>
        <v>147</v>
      </c>
    </row>
    <row r="148" spans="1:6" x14ac:dyDescent="0.25">
      <c r="A148">
        <v>148</v>
      </c>
      <c r="B148" t="s">
        <v>2618</v>
      </c>
      <c r="C148" t="s">
        <v>2619</v>
      </c>
      <c r="D148" t="s">
        <v>2659</v>
      </c>
      <c r="E148" t="str">
        <f t="shared" si="4"/>
        <v>Oles DSC Wodzisław Śl. - Wilchwy</v>
      </c>
      <c r="F148">
        <f t="shared" si="5"/>
        <v>148</v>
      </c>
    </row>
    <row r="149" spans="1:6" x14ac:dyDescent="0.25">
      <c r="A149">
        <v>149</v>
      </c>
      <c r="B149" t="s">
        <v>2618</v>
      </c>
      <c r="C149" t="s">
        <v>2619</v>
      </c>
      <c r="D149" t="s">
        <v>2660</v>
      </c>
      <c r="E149" t="str">
        <f t="shared" si="4"/>
        <v>Oles DSC Jastrzębie-Zdrój - 1 maja</v>
      </c>
      <c r="F149">
        <f t="shared" si="5"/>
        <v>149</v>
      </c>
    </row>
    <row r="150" spans="1:6" x14ac:dyDescent="0.25">
      <c r="A150">
        <v>150</v>
      </c>
      <c r="B150" t="s">
        <v>2618</v>
      </c>
      <c r="C150" t="s">
        <v>2619</v>
      </c>
      <c r="D150" t="s">
        <v>2661</v>
      </c>
      <c r="E150" t="str">
        <f t="shared" si="4"/>
        <v>Oles DSC Skrzyszów</v>
      </c>
      <c r="F150">
        <f t="shared" si="5"/>
        <v>150</v>
      </c>
    </row>
    <row r="151" spans="1:6" x14ac:dyDescent="0.25">
      <c r="A151">
        <v>151</v>
      </c>
      <c r="B151" t="s">
        <v>2618</v>
      </c>
      <c r="C151" t="s">
        <v>2619</v>
      </c>
      <c r="D151" t="s">
        <v>2587</v>
      </c>
      <c r="E151" t="str">
        <f t="shared" si="4"/>
        <v>Oles DSC Żory - Sąd</v>
      </c>
      <c r="F151">
        <f t="shared" si="5"/>
        <v>151</v>
      </c>
    </row>
    <row r="152" spans="1:6" x14ac:dyDescent="0.25">
      <c r="A152">
        <v>152</v>
      </c>
      <c r="B152" t="s">
        <v>2618</v>
      </c>
      <c r="C152" t="s">
        <v>2619</v>
      </c>
      <c r="D152" t="s">
        <v>2563</v>
      </c>
      <c r="E152" t="str">
        <f t="shared" si="4"/>
        <v>Oles DSC Źory - Bajerowka</v>
      </c>
      <c r="F152">
        <f t="shared" si="5"/>
        <v>152</v>
      </c>
    </row>
    <row r="153" spans="1:6" x14ac:dyDescent="0.25">
      <c r="A153">
        <v>153</v>
      </c>
      <c r="B153" t="s">
        <v>2618</v>
      </c>
      <c r="C153" t="s">
        <v>2619</v>
      </c>
      <c r="D153" t="s">
        <v>2662</v>
      </c>
      <c r="E153" t="str">
        <f t="shared" si="4"/>
        <v>Oles DSC Jastrzębie-Zdrój - Zofiówka</v>
      </c>
      <c r="F153">
        <f t="shared" si="5"/>
        <v>153</v>
      </c>
    </row>
    <row r="154" spans="1:6" x14ac:dyDescent="0.25">
      <c r="A154">
        <v>154</v>
      </c>
      <c r="B154" t="s">
        <v>2618</v>
      </c>
      <c r="C154" t="s">
        <v>2619</v>
      </c>
      <c r="D154" t="s">
        <v>2663</v>
      </c>
      <c r="E154" t="str">
        <f t="shared" si="4"/>
        <v>Oles DSC Jastrzębie-Zd. Wodzisławska 1 - BP</v>
      </c>
      <c r="F154">
        <f t="shared" si="5"/>
        <v>154</v>
      </c>
    </row>
    <row r="155" spans="1:6" x14ac:dyDescent="0.25">
      <c r="A155">
        <v>155</v>
      </c>
      <c r="B155" t="s">
        <v>2618</v>
      </c>
      <c r="C155" t="s">
        <v>2619</v>
      </c>
      <c r="D155" t="s">
        <v>2664</v>
      </c>
      <c r="E155" t="str">
        <f t="shared" si="4"/>
        <v>Oles DSC Jastrzębie-Zd. - POLO</v>
      </c>
      <c r="F155">
        <f t="shared" si="5"/>
        <v>155</v>
      </c>
    </row>
    <row r="156" spans="1:6" x14ac:dyDescent="0.25">
      <c r="A156">
        <v>156</v>
      </c>
      <c r="B156" t="s">
        <v>2618</v>
      </c>
      <c r="C156" t="s">
        <v>2619</v>
      </c>
      <c r="D156" t="s">
        <v>2665</v>
      </c>
      <c r="E156" t="str">
        <f t="shared" si="4"/>
        <v>Oles DSC Jastrzębie-Zd. - Supersam</v>
      </c>
      <c r="F156">
        <f t="shared" si="5"/>
        <v>156</v>
      </c>
    </row>
    <row r="157" spans="1:6" x14ac:dyDescent="0.25">
      <c r="A157">
        <v>157</v>
      </c>
      <c r="B157" t="s">
        <v>2618</v>
      </c>
      <c r="C157" t="s">
        <v>2619</v>
      </c>
      <c r="D157" t="s">
        <v>2666</v>
      </c>
      <c r="E157" t="str">
        <f t="shared" si="4"/>
        <v>Oles DSC Jastrzębie-Zd. - McDonalds</v>
      </c>
      <c r="F157">
        <f t="shared" si="5"/>
        <v>157</v>
      </c>
    </row>
    <row r="158" spans="1:6" x14ac:dyDescent="0.25">
      <c r="A158">
        <v>158</v>
      </c>
      <c r="B158" t="s">
        <v>2618</v>
      </c>
      <c r="C158" t="s">
        <v>2619</v>
      </c>
      <c r="D158" t="s">
        <v>2667</v>
      </c>
      <c r="E158" t="str">
        <f t="shared" si="4"/>
        <v>Oles DSC Jastrzębie-Zd. - Dworzec Arki Bożka</v>
      </c>
      <c r="F158">
        <f t="shared" si="5"/>
        <v>158</v>
      </c>
    </row>
    <row r="159" spans="1:6" x14ac:dyDescent="0.25">
      <c r="A159">
        <v>159</v>
      </c>
      <c r="B159" t="s">
        <v>2618</v>
      </c>
      <c r="C159" t="s">
        <v>2619</v>
      </c>
      <c r="D159" t="s">
        <v>2668</v>
      </c>
      <c r="E159" t="str">
        <f t="shared" si="4"/>
        <v>Oles DSC Male Kończyce - Skrzyź</v>
      </c>
      <c r="F159">
        <f t="shared" si="5"/>
        <v>159</v>
      </c>
    </row>
    <row r="160" spans="1:6" x14ac:dyDescent="0.25">
      <c r="A160">
        <v>160</v>
      </c>
      <c r="B160" t="s">
        <v>2618</v>
      </c>
      <c r="C160" t="s">
        <v>2619</v>
      </c>
      <c r="D160" t="s">
        <v>2669</v>
      </c>
      <c r="E160" t="str">
        <f t="shared" si="4"/>
        <v>Oles DSC Rybnik Zamysłów</v>
      </c>
      <c r="F160">
        <f t="shared" si="5"/>
        <v>160</v>
      </c>
    </row>
    <row r="161" spans="1:6" x14ac:dyDescent="0.25">
      <c r="A161">
        <v>161</v>
      </c>
      <c r="B161" t="s">
        <v>2618</v>
      </c>
      <c r="C161" t="s">
        <v>2619</v>
      </c>
      <c r="D161" t="s">
        <v>2670</v>
      </c>
      <c r="E161" t="str">
        <f t="shared" si="4"/>
        <v>Oles DSC Rybnik - Chabrowa</v>
      </c>
      <c r="F161">
        <f t="shared" si="5"/>
        <v>161</v>
      </c>
    </row>
    <row r="162" spans="1:6" x14ac:dyDescent="0.25">
      <c r="A162">
        <v>162</v>
      </c>
      <c r="B162" t="s">
        <v>2618</v>
      </c>
      <c r="C162" t="s">
        <v>2619</v>
      </c>
      <c r="D162" t="s">
        <v>2671</v>
      </c>
      <c r="E162" t="str">
        <f t="shared" si="4"/>
        <v>Oles DSC Szeroka - Kaplica</v>
      </c>
      <c r="F162">
        <f t="shared" si="5"/>
        <v>162</v>
      </c>
    </row>
    <row r="163" spans="1:6" x14ac:dyDescent="0.25">
      <c r="A163">
        <v>163</v>
      </c>
      <c r="B163" t="s">
        <v>2618</v>
      </c>
      <c r="C163" t="s">
        <v>2619</v>
      </c>
      <c r="D163" t="s">
        <v>2672</v>
      </c>
      <c r="E163" t="str">
        <f t="shared" si="4"/>
        <v>Oles DSC Szeroka - Gagarina Norwida</v>
      </c>
      <c r="F163">
        <f t="shared" si="5"/>
        <v>163</v>
      </c>
    </row>
    <row r="164" spans="1:6" x14ac:dyDescent="0.25">
      <c r="A164">
        <v>164</v>
      </c>
      <c r="B164" t="s">
        <v>2618</v>
      </c>
      <c r="C164" t="s">
        <v>2619</v>
      </c>
      <c r="D164" t="s">
        <v>2673</v>
      </c>
      <c r="E164" t="str">
        <f t="shared" si="4"/>
        <v>Oles DSC Rydułtowy - Generała Józefa Bema</v>
      </c>
      <c r="F164">
        <f t="shared" si="5"/>
        <v>164</v>
      </c>
    </row>
    <row r="165" spans="1:6" x14ac:dyDescent="0.25">
      <c r="A165">
        <v>165</v>
      </c>
      <c r="B165" t="s">
        <v>2618</v>
      </c>
      <c r="C165" t="s">
        <v>2619</v>
      </c>
      <c r="D165" t="s">
        <v>2674</v>
      </c>
      <c r="E165" t="str">
        <f t="shared" si="4"/>
        <v>Oles DSC Male Kończyce - Szkola</v>
      </c>
      <c r="F165">
        <f t="shared" si="5"/>
        <v>165</v>
      </c>
    </row>
    <row r="166" spans="1:6" x14ac:dyDescent="0.25">
      <c r="A166">
        <v>166</v>
      </c>
      <c r="B166" t="s">
        <v>2618</v>
      </c>
      <c r="C166" t="s">
        <v>2619</v>
      </c>
      <c r="D166" t="s">
        <v>2675</v>
      </c>
      <c r="E166" t="str">
        <f t="shared" si="4"/>
        <v>Oles DSC Jastrzębie-Zd. - Wodociągi</v>
      </c>
      <c r="F166">
        <f t="shared" si="5"/>
        <v>166</v>
      </c>
    </row>
    <row r="167" spans="1:6" x14ac:dyDescent="0.25">
      <c r="A167">
        <v>167</v>
      </c>
      <c r="B167" t="s">
        <v>2618</v>
      </c>
      <c r="C167" t="s">
        <v>2619</v>
      </c>
      <c r="D167" t="s">
        <v>2676</v>
      </c>
      <c r="E167" t="str">
        <f t="shared" si="4"/>
        <v>Oles DSC Zebrzydowice</v>
      </c>
      <c r="F167">
        <f t="shared" si="5"/>
        <v>167</v>
      </c>
    </row>
    <row r="168" spans="1:6" x14ac:dyDescent="0.25">
      <c r="A168">
        <v>168</v>
      </c>
      <c r="B168" t="s">
        <v>2618</v>
      </c>
      <c r="C168" t="s">
        <v>2619</v>
      </c>
      <c r="D168" t="s">
        <v>2677</v>
      </c>
      <c r="E168" t="str">
        <f t="shared" si="4"/>
        <v>Oles DSC Kończyce Wielkie - Statek</v>
      </c>
      <c r="F168">
        <f t="shared" si="5"/>
        <v>168</v>
      </c>
    </row>
    <row r="169" spans="1:6" x14ac:dyDescent="0.25">
      <c r="A169">
        <v>169</v>
      </c>
      <c r="B169" t="s">
        <v>2618</v>
      </c>
      <c r="C169" t="s">
        <v>2619</v>
      </c>
      <c r="D169" t="s">
        <v>2670</v>
      </c>
      <c r="E169" t="str">
        <f t="shared" si="4"/>
        <v>Oles DSC Rybnik - Chabrowa</v>
      </c>
      <c r="F169">
        <f t="shared" si="5"/>
        <v>169</v>
      </c>
    </row>
    <row r="170" spans="1:6" x14ac:dyDescent="0.25">
      <c r="A170">
        <v>170</v>
      </c>
      <c r="B170" t="s">
        <v>2618</v>
      </c>
      <c r="C170" t="s">
        <v>2619</v>
      </c>
      <c r="D170" t="s">
        <v>2650</v>
      </c>
      <c r="E170" t="str">
        <f t="shared" si="4"/>
        <v>Oles DSC Rybnik - Smolna</v>
      </c>
      <c r="F170">
        <f t="shared" si="5"/>
        <v>170</v>
      </c>
    </row>
    <row r="171" spans="1:6" x14ac:dyDescent="0.25">
      <c r="A171">
        <v>171</v>
      </c>
      <c r="B171" t="s">
        <v>2618</v>
      </c>
      <c r="C171" t="s">
        <v>2619</v>
      </c>
      <c r="D171" t="s">
        <v>2678</v>
      </c>
      <c r="E171" t="str">
        <f t="shared" si="4"/>
        <v>Oles DSC Źory - Zegar, aleja Niepodległości</v>
      </c>
      <c r="F171">
        <f t="shared" si="5"/>
        <v>171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4"/>
  <sheetViews>
    <sheetView tabSelected="1" workbookViewId="0">
      <selection activeCell="M12" sqref="M12"/>
    </sheetView>
  </sheetViews>
  <sheetFormatPr defaultRowHeight="15" x14ac:dyDescent="0.25"/>
  <cols>
    <col min="1" max="1" width="4" bestFit="1" customWidth="1"/>
    <col min="2" max="2" width="8" bestFit="1" customWidth="1"/>
    <col min="3" max="3" width="19.42578125" bestFit="1" customWidth="1"/>
    <col min="4" max="4" width="21.5703125" bestFit="1" customWidth="1"/>
    <col min="5" max="5" width="14.140625" bestFit="1" customWidth="1"/>
    <col min="6" max="6" width="8.7109375" customWidth="1"/>
    <col min="7" max="7" width="14.42578125" bestFit="1" customWidth="1"/>
    <col min="8" max="8" width="13.5703125" customWidth="1"/>
    <col min="9" max="9" width="5.7109375" bestFit="1" customWidth="1"/>
    <col min="10" max="10" width="6.85546875" bestFit="1" customWidth="1"/>
    <col min="11" max="11" width="13.28515625" bestFit="1" customWidth="1"/>
    <col min="12" max="12" width="7" bestFit="1" customWidth="1"/>
    <col min="13" max="13" width="100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2553</v>
      </c>
    </row>
    <row r="2" spans="1:13" x14ac:dyDescent="0.25">
      <c r="A2">
        <v>1</v>
      </c>
      <c r="B2" t="s">
        <v>12</v>
      </c>
      <c r="C2" t="s">
        <v>13</v>
      </c>
      <c r="D2" t="s">
        <v>14</v>
      </c>
      <c r="E2" t="s">
        <v>15</v>
      </c>
      <c r="F2" t="str">
        <f>IF(M2&lt;&gt;"",VLOOKUP(M2,zastavky!E:F,2,FALSE),"")</f>
        <v/>
      </c>
      <c r="G2" t="s">
        <v>16</v>
      </c>
      <c r="H2" t="s">
        <v>17</v>
      </c>
      <c r="I2">
        <v>1</v>
      </c>
      <c r="J2" t="s">
        <v>18</v>
      </c>
      <c r="L2">
        <v>1</v>
      </c>
    </row>
    <row r="3" spans="1:13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tr">
        <f>IF(M3&lt;&gt;"",VLOOKUP(M3,zastavky!E:F,2,FALSE),"")</f>
        <v/>
      </c>
      <c r="G3" t="s">
        <v>23</v>
      </c>
      <c r="H3" t="s">
        <v>24</v>
      </c>
      <c r="I3">
        <v>1</v>
      </c>
      <c r="J3" t="s">
        <v>18</v>
      </c>
      <c r="L3">
        <v>1</v>
      </c>
    </row>
    <row r="4" spans="1:13" x14ac:dyDescent="0.25">
      <c r="A4">
        <v>3</v>
      </c>
      <c r="B4" t="s">
        <v>25</v>
      </c>
      <c r="C4" t="s">
        <v>26</v>
      </c>
      <c r="D4" t="s">
        <v>27</v>
      </c>
      <c r="E4" t="s">
        <v>28</v>
      </c>
      <c r="F4" t="str">
        <f>IF(M4&lt;&gt;"",VLOOKUP(M4,zastavky!E:F,2,FALSE),"")</f>
        <v/>
      </c>
      <c r="G4" t="s">
        <v>29</v>
      </c>
      <c r="H4" t="s">
        <v>30</v>
      </c>
      <c r="I4">
        <v>1</v>
      </c>
      <c r="J4" t="s">
        <v>18</v>
      </c>
      <c r="L4">
        <v>1</v>
      </c>
    </row>
    <row r="5" spans="1:13" x14ac:dyDescent="0.25">
      <c r="A5">
        <v>4</v>
      </c>
      <c r="B5" t="s">
        <v>31</v>
      </c>
      <c r="C5" t="s">
        <v>32</v>
      </c>
      <c r="D5" t="s">
        <v>33</v>
      </c>
      <c r="E5" t="s">
        <v>34</v>
      </c>
      <c r="F5" t="str">
        <f>IF(M5&lt;&gt;"",VLOOKUP(M5,zastavky!E:F,2,FALSE),"")</f>
        <v/>
      </c>
      <c r="G5" t="s">
        <v>35</v>
      </c>
      <c r="H5" t="s">
        <v>36</v>
      </c>
      <c r="I5">
        <v>1</v>
      </c>
      <c r="J5" t="s">
        <v>18</v>
      </c>
      <c r="L5">
        <v>1</v>
      </c>
    </row>
    <row r="6" spans="1:13" x14ac:dyDescent="0.25">
      <c r="A6">
        <v>5</v>
      </c>
      <c r="B6" t="s">
        <v>37</v>
      </c>
      <c r="C6" t="s">
        <v>38</v>
      </c>
      <c r="D6" t="s">
        <v>39</v>
      </c>
      <c r="E6" t="s">
        <v>40</v>
      </c>
      <c r="F6" t="str">
        <f>IF(M6&lt;&gt;"",VLOOKUP(M6,zastavky!E:F,2,FALSE),"")</f>
        <v/>
      </c>
      <c r="G6" t="s">
        <v>41</v>
      </c>
      <c r="H6" t="s">
        <v>42</v>
      </c>
      <c r="I6">
        <v>1</v>
      </c>
      <c r="J6" t="s">
        <v>18</v>
      </c>
      <c r="L6">
        <v>1</v>
      </c>
    </row>
    <row r="7" spans="1:13" x14ac:dyDescent="0.25">
      <c r="A7">
        <v>6</v>
      </c>
      <c r="B7" t="s">
        <v>43</v>
      </c>
      <c r="C7" t="s">
        <v>44</v>
      </c>
      <c r="D7" t="s">
        <v>45</v>
      </c>
      <c r="E7" t="s">
        <v>46</v>
      </c>
      <c r="F7" t="str">
        <f>IF(M7&lt;&gt;"",VLOOKUP(M7,zastavky!E:F,2,FALSE),"")</f>
        <v/>
      </c>
      <c r="G7" t="s">
        <v>47</v>
      </c>
      <c r="H7" t="s">
        <v>48</v>
      </c>
      <c r="I7">
        <v>1</v>
      </c>
      <c r="J7" t="s">
        <v>18</v>
      </c>
      <c r="L7">
        <v>1</v>
      </c>
    </row>
    <row r="8" spans="1:13" x14ac:dyDescent="0.25">
      <c r="A8">
        <v>7</v>
      </c>
      <c r="B8" t="s">
        <v>49</v>
      </c>
      <c r="C8" t="s">
        <v>50</v>
      </c>
      <c r="D8" t="s">
        <v>51</v>
      </c>
      <c r="E8" t="s">
        <v>52</v>
      </c>
      <c r="F8" t="str">
        <f>IF(M8&lt;&gt;"",VLOOKUP(M8,zastavky!E:F,2,FALSE),"")</f>
        <v/>
      </c>
      <c r="G8" t="s">
        <v>53</v>
      </c>
      <c r="H8" t="s">
        <v>54</v>
      </c>
      <c r="I8">
        <v>1</v>
      </c>
      <c r="J8" t="s">
        <v>18</v>
      </c>
      <c r="L8">
        <v>1</v>
      </c>
    </row>
    <row r="9" spans="1:13" x14ac:dyDescent="0.25">
      <c r="A9">
        <v>8</v>
      </c>
      <c r="B9" t="s">
        <v>55</v>
      </c>
      <c r="C9" t="s">
        <v>56</v>
      </c>
      <c r="D9" t="s">
        <v>57</v>
      </c>
      <c r="E9" t="s">
        <v>58</v>
      </c>
      <c r="F9" t="str">
        <f>IF(M9&lt;&gt;"",VLOOKUP(M9,zastavky!E:F,2,FALSE),"")</f>
        <v/>
      </c>
      <c r="G9" t="s">
        <v>59</v>
      </c>
      <c r="H9" t="s">
        <v>30</v>
      </c>
      <c r="I9">
        <v>1</v>
      </c>
      <c r="J9" t="s">
        <v>18</v>
      </c>
      <c r="L9">
        <v>1</v>
      </c>
    </row>
    <row r="10" spans="1:13" x14ac:dyDescent="0.25">
      <c r="A10">
        <v>9</v>
      </c>
      <c r="B10" t="s">
        <v>60</v>
      </c>
      <c r="C10" t="s">
        <v>61</v>
      </c>
      <c r="D10" t="s">
        <v>62</v>
      </c>
      <c r="E10" t="s">
        <v>63</v>
      </c>
      <c r="F10" t="str">
        <f>IF(M10&lt;&gt;"",VLOOKUP(M10,zastavky!E:F,2,FALSE),"")</f>
        <v/>
      </c>
      <c r="G10" t="s">
        <v>64</v>
      </c>
      <c r="H10" t="s">
        <v>65</v>
      </c>
      <c r="I10">
        <v>2</v>
      </c>
      <c r="J10" t="s">
        <v>18</v>
      </c>
      <c r="L10">
        <v>1</v>
      </c>
    </row>
    <row r="11" spans="1:13" x14ac:dyDescent="0.25">
      <c r="A11">
        <v>10</v>
      </c>
      <c r="B11" t="s">
        <v>66</v>
      </c>
      <c r="C11" t="s">
        <v>67</v>
      </c>
      <c r="D11" t="s">
        <v>68</v>
      </c>
      <c r="E11" t="s">
        <v>69</v>
      </c>
      <c r="F11" t="str">
        <f>IF(M11&lt;&gt;"",VLOOKUP(M11,zastavky!E:F,2,FALSE),"")</f>
        <v/>
      </c>
      <c r="G11" t="s">
        <v>70</v>
      </c>
      <c r="H11" t="s">
        <v>71</v>
      </c>
      <c r="I11">
        <v>2</v>
      </c>
      <c r="J11" t="s">
        <v>18</v>
      </c>
      <c r="L11">
        <v>1</v>
      </c>
    </row>
    <row r="12" spans="1:13" x14ac:dyDescent="0.25">
      <c r="A12">
        <v>11</v>
      </c>
      <c r="B12" t="s">
        <v>72</v>
      </c>
      <c r="C12" t="s">
        <v>73</v>
      </c>
      <c r="D12" t="s">
        <v>74</v>
      </c>
      <c r="E12" t="s">
        <v>75</v>
      </c>
      <c r="F12" t="str">
        <f>IF(M12&lt;&gt;"",VLOOKUP(M12,zastavky!E:F,2,FALSE),"")</f>
        <v/>
      </c>
      <c r="G12" t="s">
        <v>76</v>
      </c>
      <c r="H12" t="s">
        <v>77</v>
      </c>
      <c r="I12">
        <v>2</v>
      </c>
      <c r="J12" t="s">
        <v>18</v>
      </c>
      <c r="L12">
        <v>1</v>
      </c>
    </row>
    <row r="13" spans="1:13" x14ac:dyDescent="0.25">
      <c r="A13">
        <v>12</v>
      </c>
      <c r="B13" t="s">
        <v>78</v>
      </c>
      <c r="C13" t="s">
        <v>79</v>
      </c>
      <c r="D13" t="s">
        <v>80</v>
      </c>
      <c r="E13" t="s">
        <v>81</v>
      </c>
      <c r="F13" t="str">
        <f>IF(M13&lt;&gt;"",VLOOKUP(M13,zastavky!E:F,2,FALSE),"")</f>
        <v/>
      </c>
      <c r="G13" t="s">
        <v>82</v>
      </c>
      <c r="H13" t="s">
        <v>83</v>
      </c>
      <c r="I13">
        <v>2</v>
      </c>
      <c r="J13" t="s">
        <v>18</v>
      </c>
      <c r="L13">
        <v>1</v>
      </c>
    </row>
    <row r="14" spans="1:13" x14ac:dyDescent="0.25">
      <c r="A14">
        <v>13</v>
      </c>
      <c r="B14" t="s">
        <v>84</v>
      </c>
      <c r="C14" t="s">
        <v>85</v>
      </c>
      <c r="D14" t="s">
        <v>86</v>
      </c>
      <c r="E14" t="s">
        <v>87</v>
      </c>
      <c r="F14" t="str">
        <f>IF(M14&lt;&gt;"",VLOOKUP(M14,zastavky!E:F,2,FALSE),"")</f>
        <v/>
      </c>
      <c r="G14" t="s">
        <v>88</v>
      </c>
      <c r="H14" t="s">
        <v>89</v>
      </c>
      <c r="I14">
        <v>2</v>
      </c>
      <c r="J14" t="s">
        <v>18</v>
      </c>
      <c r="L14">
        <v>1</v>
      </c>
    </row>
    <row r="15" spans="1:13" x14ac:dyDescent="0.25">
      <c r="A15">
        <v>14</v>
      </c>
      <c r="B15" t="s">
        <v>90</v>
      </c>
      <c r="C15" t="s">
        <v>91</v>
      </c>
      <c r="D15" t="s">
        <v>92</v>
      </c>
      <c r="E15" t="s">
        <v>93</v>
      </c>
      <c r="F15" t="str">
        <f>IF(M15&lt;&gt;"",VLOOKUP(M15,zastavky!E:F,2,FALSE),"")</f>
        <v/>
      </c>
      <c r="G15" t="s">
        <v>94</v>
      </c>
      <c r="H15" t="s">
        <v>95</v>
      </c>
      <c r="I15">
        <v>2</v>
      </c>
      <c r="J15" t="s">
        <v>18</v>
      </c>
      <c r="L15">
        <v>1</v>
      </c>
    </row>
    <row r="16" spans="1:13" x14ac:dyDescent="0.25">
      <c r="A16">
        <v>15</v>
      </c>
      <c r="B16" t="s">
        <v>96</v>
      </c>
      <c r="C16" t="s">
        <v>97</v>
      </c>
      <c r="D16" t="s">
        <v>98</v>
      </c>
      <c r="E16" t="s">
        <v>99</v>
      </c>
      <c r="F16" t="str">
        <f>IF(M16&lt;&gt;"",VLOOKUP(M16,zastavky!E:F,2,FALSE),"")</f>
        <v/>
      </c>
      <c r="G16" t="s">
        <v>100</v>
      </c>
      <c r="H16" t="s">
        <v>101</v>
      </c>
      <c r="I16">
        <v>2</v>
      </c>
      <c r="J16" t="s">
        <v>18</v>
      </c>
      <c r="L16">
        <v>1</v>
      </c>
    </row>
    <row r="17" spans="1:12" x14ac:dyDescent="0.25">
      <c r="A17">
        <v>16</v>
      </c>
      <c r="B17" t="s">
        <v>102</v>
      </c>
      <c r="C17" t="s">
        <v>103</v>
      </c>
      <c r="D17" t="s">
        <v>104</v>
      </c>
      <c r="E17" t="s">
        <v>105</v>
      </c>
      <c r="F17" t="str">
        <f>IF(M17&lt;&gt;"",VLOOKUP(M17,zastavky!E:F,2,FALSE),"")</f>
        <v/>
      </c>
      <c r="G17" t="s">
        <v>106</v>
      </c>
      <c r="H17" t="s">
        <v>107</v>
      </c>
      <c r="I17">
        <v>2</v>
      </c>
      <c r="J17" t="s">
        <v>18</v>
      </c>
      <c r="L17">
        <v>1</v>
      </c>
    </row>
    <row r="18" spans="1:12" x14ac:dyDescent="0.25">
      <c r="A18">
        <v>17</v>
      </c>
      <c r="B18" t="s">
        <v>108</v>
      </c>
      <c r="C18" t="s">
        <v>109</v>
      </c>
      <c r="D18" t="s">
        <v>110</v>
      </c>
      <c r="E18" t="s">
        <v>111</v>
      </c>
      <c r="F18" t="str">
        <f>IF(M18&lt;&gt;"",VLOOKUP(M18,zastavky!E:F,2,FALSE),"")</f>
        <v/>
      </c>
      <c r="G18" t="s">
        <v>112</v>
      </c>
      <c r="H18" t="s">
        <v>113</v>
      </c>
      <c r="I18">
        <v>2</v>
      </c>
      <c r="J18" t="s">
        <v>18</v>
      </c>
      <c r="L18">
        <v>1</v>
      </c>
    </row>
    <row r="19" spans="1:12" x14ac:dyDescent="0.25">
      <c r="A19">
        <v>18</v>
      </c>
      <c r="B19" t="s">
        <v>114</v>
      </c>
      <c r="C19" t="s">
        <v>115</v>
      </c>
      <c r="D19" t="s">
        <v>116</v>
      </c>
      <c r="E19" t="s">
        <v>117</v>
      </c>
      <c r="F19" t="str">
        <f>IF(M19&lt;&gt;"",VLOOKUP(M19,zastavky!E:F,2,FALSE),"")</f>
        <v/>
      </c>
      <c r="G19" t="s">
        <v>118</v>
      </c>
      <c r="H19" t="s">
        <v>119</v>
      </c>
      <c r="I19">
        <v>2</v>
      </c>
      <c r="J19" t="s">
        <v>18</v>
      </c>
      <c r="L19">
        <v>1</v>
      </c>
    </row>
    <row r="20" spans="1:12" x14ac:dyDescent="0.25">
      <c r="A20">
        <v>19</v>
      </c>
      <c r="B20" t="s">
        <v>120</v>
      </c>
      <c r="C20" t="s">
        <v>121</v>
      </c>
      <c r="D20" t="s">
        <v>122</v>
      </c>
      <c r="E20" t="s">
        <v>123</v>
      </c>
      <c r="F20" t="str">
        <f>IF(M20&lt;&gt;"",VLOOKUP(M20,zastavky!E:F,2,FALSE),"")</f>
        <v/>
      </c>
      <c r="G20" t="s">
        <v>124</v>
      </c>
      <c r="H20" t="s">
        <v>125</v>
      </c>
      <c r="I20">
        <v>2</v>
      </c>
      <c r="J20" t="s">
        <v>18</v>
      </c>
      <c r="L20">
        <v>1</v>
      </c>
    </row>
    <row r="21" spans="1:12" x14ac:dyDescent="0.25">
      <c r="A21">
        <v>20</v>
      </c>
      <c r="B21" t="s">
        <v>126</v>
      </c>
      <c r="C21" t="s">
        <v>127</v>
      </c>
      <c r="D21" t="s">
        <v>128</v>
      </c>
      <c r="E21" t="s">
        <v>129</v>
      </c>
      <c r="F21" t="str">
        <f>IF(M21&lt;&gt;"",VLOOKUP(M21,zastavky!E:F,2,FALSE),"")</f>
        <v/>
      </c>
      <c r="G21" t="s">
        <v>130</v>
      </c>
      <c r="H21" t="s">
        <v>131</v>
      </c>
      <c r="I21">
        <v>2</v>
      </c>
      <c r="J21" t="s">
        <v>18</v>
      </c>
      <c r="L21">
        <v>1</v>
      </c>
    </row>
    <row r="22" spans="1:12" x14ac:dyDescent="0.25">
      <c r="A22">
        <v>21</v>
      </c>
      <c r="B22" t="s">
        <v>132</v>
      </c>
      <c r="C22" t="s">
        <v>133</v>
      </c>
      <c r="D22" t="s">
        <v>134</v>
      </c>
      <c r="E22" t="s">
        <v>135</v>
      </c>
      <c r="F22" t="str">
        <f>IF(M22&lt;&gt;"",VLOOKUP(M22,zastavky!E:F,2,FALSE),"")</f>
        <v/>
      </c>
      <c r="G22" t="s">
        <v>136</v>
      </c>
      <c r="H22" t="s">
        <v>137</v>
      </c>
      <c r="I22">
        <v>2</v>
      </c>
      <c r="J22" t="s">
        <v>18</v>
      </c>
      <c r="L22">
        <v>1</v>
      </c>
    </row>
    <row r="23" spans="1:12" x14ac:dyDescent="0.25">
      <c r="A23">
        <v>22</v>
      </c>
      <c r="B23" t="s">
        <v>138</v>
      </c>
      <c r="C23" t="s">
        <v>139</v>
      </c>
      <c r="D23" t="s">
        <v>140</v>
      </c>
      <c r="E23" t="s">
        <v>141</v>
      </c>
      <c r="F23" t="str">
        <f>IF(M23&lt;&gt;"",VLOOKUP(M23,zastavky!E:F,2,FALSE),"")</f>
        <v/>
      </c>
      <c r="G23" t="s">
        <v>142</v>
      </c>
      <c r="H23" t="s">
        <v>143</v>
      </c>
      <c r="I23">
        <v>2</v>
      </c>
      <c r="J23" t="s">
        <v>18</v>
      </c>
      <c r="L23">
        <v>1</v>
      </c>
    </row>
    <row r="24" spans="1:12" x14ac:dyDescent="0.25">
      <c r="A24">
        <v>23</v>
      </c>
      <c r="B24" t="s">
        <v>144</v>
      </c>
      <c r="C24" t="s">
        <v>145</v>
      </c>
      <c r="D24" t="s">
        <v>146</v>
      </c>
      <c r="E24" t="s">
        <v>147</v>
      </c>
      <c r="F24" t="str">
        <f>IF(M24&lt;&gt;"",VLOOKUP(M24,zastavky!E:F,2,FALSE),"")</f>
        <v/>
      </c>
      <c r="G24" t="s">
        <v>148</v>
      </c>
      <c r="H24" t="s">
        <v>149</v>
      </c>
      <c r="I24">
        <v>2</v>
      </c>
      <c r="J24" t="s">
        <v>18</v>
      </c>
      <c r="L24">
        <v>1</v>
      </c>
    </row>
    <row r="25" spans="1:12" x14ac:dyDescent="0.25">
      <c r="A25">
        <v>24</v>
      </c>
      <c r="B25" t="s">
        <v>150</v>
      </c>
      <c r="C25" t="s">
        <v>151</v>
      </c>
      <c r="D25" t="s">
        <v>152</v>
      </c>
      <c r="E25" t="s">
        <v>153</v>
      </c>
      <c r="F25" t="str">
        <f>IF(M25&lt;&gt;"",VLOOKUP(M25,zastavky!E:F,2,FALSE),"")</f>
        <v/>
      </c>
      <c r="G25" t="s">
        <v>154</v>
      </c>
      <c r="H25" t="s">
        <v>155</v>
      </c>
      <c r="I25">
        <v>2</v>
      </c>
      <c r="J25" t="s">
        <v>18</v>
      </c>
      <c r="L25">
        <v>1</v>
      </c>
    </row>
    <row r="26" spans="1:12" x14ac:dyDescent="0.25">
      <c r="A26">
        <v>25</v>
      </c>
      <c r="B26" t="s">
        <v>156</v>
      </c>
      <c r="C26" t="s">
        <v>157</v>
      </c>
      <c r="D26" t="s">
        <v>158</v>
      </c>
      <c r="E26" t="s">
        <v>159</v>
      </c>
      <c r="F26" t="str">
        <f>IF(M26&lt;&gt;"",VLOOKUP(M26,zastavky!E:F,2,FALSE),"")</f>
        <v/>
      </c>
      <c r="G26" t="s">
        <v>160</v>
      </c>
      <c r="H26" t="s">
        <v>161</v>
      </c>
      <c r="I26">
        <v>2</v>
      </c>
      <c r="J26" t="s">
        <v>18</v>
      </c>
      <c r="L26">
        <v>1</v>
      </c>
    </row>
    <row r="27" spans="1:12" x14ac:dyDescent="0.25">
      <c r="A27">
        <v>26</v>
      </c>
      <c r="B27" t="s">
        <v>162</v>
      </c>
      <c r="C27" t="s">
        <v>163</v>
      </c>
      <c r="D27" t="s">
        <v>164</v>
      </c>
      <c r="E27" t="s">
        <v>165</v>
      </c>
      <c r="F27" t="str">
        <f>IF(M27&lt;&gt;"",VLOOKUP(M27,zastavky!E:F,2,FALSE),"")</f>
        <v/>
      </c>
      <c r="G27" t="s">
        <v>166</v>
      </c>
      <c r="H27" t="s">
        <v>167</v>
      </c>
      <c r="I27">
        <v>2</v>
      </c>
      <c r="J27" t="s">
        <v>18</v>
      </c>
      <c r="L27">
        <v>1</v>
      </c>
    </row>
    <row r="28" spans="1:12" x14ac:dyDescent="0.25">
      <c r="A28">
        <v>27</v>
      </c>
      <c r="B28" t="s">
        <v>168</v>
      </c>
      <c r="C28" t="s">
        <v>169</v>
      </c>
      <c r="D28" t="s">
        <v>170</v>
      </c>
      <c r="E28" t="s">
        <v>171</v>
      </c>
      <c r="F28" t="str">
        <f>IF(M28&lt;&gt;"",VLOOKUP(M28,zastavky!E:F,2,FALSE),"")</f>
        <v/>
      </c>
      <c r="G28" t="s">
        <v>172</v>
      </c>
      <c r="H28" t="s">
        <v>173</v>
      </c>
      <c r="I28">
        <v>2</v>
      </c>
      <c r="J28" t="s">
        <v>18</v>
      </c>
      <c r="L28">
        <v>1</v>
      </c>
    </row>
    <row r="29" spans="1:12" x14ac:dyDescent="0.25">
      <c r="A29">
        <v>28</v>
      </c>
      <c r="B29" t="s">
        <v>174</v>
      </c>
      <c r="C29" t="s">
        <v>175</v>
      </c>
      <c r="D29" t="s">
        <v>176</v>
      </c>
      <c r="E29" t="s">
        <v>177</v>
      </c>
      <c r="F29" t="str">
        <f>IF(M29&lt;&gt;"",VLOOKUP(M29,zastavky!E:F,2,FALSE),"")</f>
        <v/>
      </c>
      <c r="G29" t="s">
        <v>178</v>
      </c>
      <c r="H29" t="s">
        <v>179</v>
      </c>
      <c r="I29">
        <v>2</v>
      </c>
      <c r="J29" t="s">
        <v>18</v>
      </c>
      <c r="L29">
        <v>1</v>
      </c>
    </row>
    <row r="30" spans="1:12" x14ac:dyDescent="0.25">
      <c r="A30">
        <v>29</v>
      </c>
      <c r="B30" t="s">
        <v>180</v>
      </c>
      <c r="C30" t="s">
        <v>181</v>
      </c>
      <c r="D30" t="s">
        <v>182</v>
      </c>
      <c r="E30" t="s">
        <v>183</v>
      </c>
      <c r="F30" t="str">
        <f>IF(M30&lt;&gt;"",VLOOKUP(M30,zastavky!E:F,2,FALSE),"")</f>
        <v/>
      </c>
      <c r="G30" t="s">
        <v>184</v>
      </c>
      <c r="H30" t="s">
        <v>185</v>
      </c>
      <c r="I30">
        <v>1</v>
      </c>
      <c r="J30" t="s">
        <v>18</v>
      </c>
      <c r="L30">
        <v>1</v>
      </c>
    </row>
    <row r="31" spans="1:12" x14ac:dyDescent="0.25">
      <c r="A31">
        <v>30</v>
      </c>
      <c r="B31" t="s">
        <v>186</v>
      </c>
      <c r="C31" t="s">
        <v>187</v>
      </c>
      <c r="D31" t="s">
        <v>188</v>
      </c>
      <c r="E31" t="s">
        <v>189</v>
      </c>
      <c r="F31" t="str">
        <f>IF(M31&lt;&gt;"",VLOOKUP(M31,zastavky!E:F,2,FALSE),"")</f>
        <v/>
      </c>
      <c r="G31" t="s">
        <v>190</v>
      </c>
      <c r="H31" t="s">
        <v>191</v>
      </c>
      <c r="I31">
        <v>1</v>
      </c>
      <c r="J31" t="s">
        <v>18</v>
      </c>
      <c r="L31">
        <v>1</v>
      </c>
    </row>
    <row r="32" spans="1:12" x14ac:dyDescent="0.25">
      <c r="A32">
        <v>31</v>
      </c>
      <c r="B32" t="s">
        <v>192</v>
      </c>
      <c r="C32" t="s">
        <v>193</v>
      </c>
      <c r="D32" t="s">
        <v>194</v>
      </c>
      <c r="E32" t="s">
        <v>195</v>
      </c>
      <c r="F32" t="str">
        <f>IF(M32&lt;&gt;"",VLOOKUP(M32,zastavky!E:F,2,FALSE),"")</f>
        <v/>
      </c>
      <c r="G32" t="s">
        <v>196</v>
      </c>
      <c r="H32" t="s">
        <v>197</v>
      </c>
      <c r="I32">
        <v>1</v>
      </c>
      <c r="J32" t="s">
        <v>18</v>
      </c>
      <c r="L32">
        <v>1</v>
      </c>
    </row>
    <row r="33" spans="1:12" x14ac:dyDescent="0.25">
      <c r="A33">
        <v>32</v>
      </c>
      <c r="B33" t="s">
        <v>198</v>
      </c>
      <c r="C33" t="s">
        <v>199</v>
      </c>
      <c r="D33" t="s">
        <v>200</v>
      </c>
      <c r="E33" t="s">
        <v>201</v>
      </c>
      <c r="F33" t="str">
        <f>IF(M33&lt;&gt;"",VLOOKUP(M33,zastavky!E:F,2,FALSE),"")</f>
        <v/>
      </c>
      <c r="G33" t="s">
        <v>202</v>
      </c>
      <c r="H33" t="s">
        <v>203</v>
      </c>
      <c r="I33">
        <v>1</v>
      </c>
      <c r="J33" t="s">
        <v>18</v>
      </c>
      <c r="L33">
        <v>1</v>
      </c>
    </row>
    <row r="34" spans="1:12" x14ac:dyDescent="0.25">
      <c r="A34">
        <v>33</v>
      </c>
      <c r="B34" t="s">
        <v>204</v>
      </c>
      <c r="C34" t="s">
        <v>205</v>
      </c>
      <c r="D34" t="s">
        <v>206</v>
      </c>
      <c r="E34" t="s">
        <v>207</v>
      </c>
      <c r="F34" t="str">
        <f>IF(M34&lt;&gt;"",VLOOKUP(M34,zastavky!E:F,2,FALSE),"")</f>
        <v/>
      </c>
      <c r="G34" t="s">
        <v>208</v>
      </c>
      <c r="H34" t="s">
        <v>209</v>
      </c>
      <c r="I34">
        <v>1</v>
      </c>
      <c r="J34" t="s">
        <v>18</v>
      </c>
      <c r="L34">
        <v>1</v>
      </c>
    </row>
    <row r="35" spans="1:12" x14ac:dyDescent="0.25">
      <c r="A35">
        <v>34</v>
      </c>
      <c r="B35" t="s">
        <v>210</v>
      </c>
      <c r="C35" t="s">
        <v>211</v>
      </c>
      <c r="D35" t="s">
        <v>212</v>
      </c>
      <c r="E35" t="s">
        <v>213</v>
      </c>
      <c r="F35" t="str">
        <f>IF(M35&lt;&gt;"",VLOOKUP(M35,zastavky!E:F,2,FALSE),"")</f>
        <v/>
      </c>
      <c r="G35" t="s">
        <v>214</v>
      </c>
      <c r="H35" t="s">
        <v>215</v>
      </c>
      <c r="I35">
        <v>1</v>
      </c>
      <c r="J35" t="s">
        <v>18</v>
      </c>
      <c r="L35">
        <v>1</v>
      </c>
    </row>
    <row r="36" spans="1:12" x14ac:dyDescent="0.25">
      <c r="A36">
        <v>35</v>
      </c>
      <c r="B36" t="s">
        <v>216</v>
      </c>
      <c r="C36" t="s">
        <v>217</v>
      </c>
      <c r="D36" t="s">
        <v>218</v>
      </c>
      <c r="E36" t="s">
        <v>219</v>
      </c>
      <c r="F36" t="str">
        <f>IF(M36&lt;&gt;"",VLOOKUP(M36,zastavky!E:F,2,FALSE),"")</f>
        <v/>
      </c>
      <c r="G36" t="s">
        <v>220</v>
      </c>
      <c r="H36" t="s">
        <v>221</v>
      </c>
      <c r="I36">
        <v>1</v>
      </c>
      <c r="J36" t="s">
        <v>18</v>
      </c>
      <c r="L36">
        <v>1</v>
      </c>
    </row>
    <row r="37" spans="1:12" x14ac:dyDescent="0.25">
      <c r="A37">
        <v>36</v>
      </c>
      <c r="B37" t="s">
        <v>222</v>
      </c>
      <c r="C37" t="s">
        <v>223</v>
      </c>
      <c r="D37" t="s">
        <v>224</v>
      </c>
      <c r="E37" t="s">
        <v>225</v>
      </c>
      <c r="F37" t="str">
        <f>IF(M37&lt;&gt;"",VLOOKUP(M37,zastavky!E:F,2,FALSE),"")</f>
        <v/>
      </c>
      <c r="G37" t="s">
        <v>226</v>
      </c>
      <c r="H37" t="s">
        <v>227</v>
      </c>
      <c r="I37">
        <v>1</v>
      </c>
      <c r="J37" t="s">
        <v>18</v>
      </c>
      <c r="L37">
        <v>1</v>
      </c>
    </row>
    <row r="38" spans="1:12" x14ac:dyDescent="0.25">
      <c r="A38">
        <v>37</v>
      </c>
      <c r="B38" t="s">
        <v>228</v>
      </c>
      <c r="C38" t="s">
        <v>229</v>
      </c>
      <c r="D38" t="s">
        <v>230</v>
      </c>
      <c r="E38" t="s">
        <v>231</v>
      </c>
      <c r="F38" t="str">
        <f>IF(M38&lt;&gt;"",VLOOKUP(M38,zastavky!E:F,2,FALSE),"")</f>
        <v/>
      </c>
      <c r="G38" t="s">
        <v>232</v>
      </c>
      <c r="H38" t="s">
        <v>233</v>
      </c>
      <c r="I38">
        <v>1</v>
      </c>
      <c r="J38" t="s">
        <v>18</v>
      </c>
      <c r="L38">
        <v>1</v>
      </c>
    </row>
    <row r="39" spans="1:12" x14ac:dyDescent="0.25">
      <c r="A39">
        <v>38</v>
      </c>
      <c r="B39" t="s">
        <v>234</v>
      </c>
      <c r="C39" t="s">
        <v>235</v>
      </c>
      <c r="D39" t="s">
        <v>236</v>
      </c>
      <c r="E39" t="s">
        <v>237</v>
      </c>
      <c r="F39" t="str">
        <f>IF(M39&lt;&gt;"",VLOOKUP(M39,zastavky!E:F,2,FALSE),"")</f>
        <v/>
      </c>
      <c r="G39" t="s">
        <v>238</v>
      </c>
      <c r="H39" t="s">
        <v>239</v>
      </c>
      <c r="I39">
        <v>1</v>
      </c>
      <c r="J39" t="s">
        <v>18</v>
      </c>
      <c r="L39">
        <v>1</v>
      </c>
    </row>
    <row r="40" spans="1:12" x14ac:dyDescent="0.25">
      <c r="A40">
        <v>39</v>
      </c>
      <c r="B40" t="s">
        <v>240</v>
      </c>
      <c r="C40" t="s">
        <v>26</v>
      </c>
      <c r="D40" t="s">
        <v>241</v>
      </c>
      <c r="E40" t="s">
        <v>242</v>
      </c>
      <c r="F40" t="str">
        <f>IF(M40&lt;&gt;"",VLOOKUP(M40,zastavky!E:F,2,FALSE),"")</f>
        <v/>
      </c>
      <c r="G40" t="s">
        <v>243</v>
      </c>
      <c r="H40" t="s">
        <v>244</v>
      </c>
      <c r="I40">
        <v>1</v>
      </c>
      <c r="J40" t="s">
        <v>18</v>
      </c>
      <c r="L40">
        <v>1</v>
      </c>
    </row>
    <row r="41" spans="1:12" x14ac:dyDescent="0.25">
      <c r="A41">
        <v>40</v>
      </c>
      <c r="B41" t="s">
        <v>245</v>
      </c>
      <c r="C41" t="s">
        <v>246</v>
      </c>
      <c r="D41" t="s">
        <v>247</v>
      </c>
      <c r="E41" t="s">
        <v>248</v>
      </c>
      <c r="F41" t="str">
        <f>IF(M41&lt;&gt;"",VLOOKUP(M41,zastavky!E:F,2,FALSE),"")</f>
        <v/>
      </c>
      <c r="G41" t="s">
        <v>249</v>
      </c>
      <c r="H41" t="s">
        <v>250</v>
      </c>
      <c r="I41">
        <v>1</v>
      </c>
      <c r="J41" t="s">
        <v>18</v>
      </c>
      <c r="L41">
        <v>1</v>
      </c>
    </row>
    <row r="42" spans="1:12" x14ac:dyDescent="0.25">
      <c r="A42">
        <v>41</v>
      </c>
      <c r="B42" t="s">
        <v>251</v>
      </c>
      <c r="C42" t="s">
        <v>252</v>
      </c>
      <c r="D42" t="s">
        <v>253</v>
      </c>
      <c r="E42" t="s">
        <v>254</v>
      </c>
      <c r="F42" t="str">
        <f>IF(M42&lt;&gt;"",VLOOKUP(M42,zastavky!E:F,2,FALSE),"")</f>
        <v/>
      </c>
      <c r="G42" t="s">
        <v>255</v>
      </c>
      <c r="H42" t="s">
        <v>256</v>
      </c>
      <c r="I42">
        <v>1</v>
      </c>
      <c r="J42" t="s">
        <v>18</v>
      </c>
      <c r="L42">
        <v>1</v>
      </c>
    </row>
    <row r="43" spans="1:12" x14ac:dyDescent="0.25">
      <c r="A43">
        <v>42</v>
      </c>
      <c r="B43" t="s">
        <v>257</v>
      </c>
      <c r="C43" t="s">
        <v>258</v>
      </c>
      <c r="D43" t="s">
        <v>259</v>
      </c>
      <c r="E43" t="s">
        <v>260</v>
      </c>
      <c r="F43" t="str">
        <f>IF(M43&lt;&gt;"",VLOOKUP(M43,zastavky!E:F,2,FALSE),"")</f>
        <v/>
      </c>
      <c r="G43" t="s">
        <v>261</v>
      </c>
      <c r="H43" t="s">
        <v>262</v>
      </c>
      <c r="I43">
        <v>1</v>
      </c>
      <c r="J43" t="s">
        <v>18</v>
      </c>
      <c r="L43">
        <v>1</v>
      </c>
    </row>
    <row r="44" spans="1:12" x14ac:dyDescent="0.25">
      <c r="A44">
        <v>43</v>
      </c>
      <c r="B44" t="s">
        <v>263</v>
      </c>
      <c r="C44" t="s">
        <v>264</v>
      </c>
      <c r="D44" t="s">
        <v>265</v>
      </c>
      <c r="E44" t="s">
        <v>266</v>
      </c>
      <c r="F44" t="str">
        <f>IF(M44&lt;&gt;"",VLOOKUP(M44,zastavky!E:F,2,FALSE),"")</f>
        <v/>
      </c>
      <c r="G44" t="s">
        <v>267</v>
      </c>
      <c r="H44" t="s">
        <v>268</v>
      </c>
      <c r="I44">
        <v>1</v>
      </c>
      <c r="J44" t="s">
        <v>18</v>
      </c>
      <c r="L44">
        <v>1</v>
      </c>
    </row>
    <row r="45" spans="1:12" x14ac:dyDescent="0.25">
      <c r="A45">
        <v>44</v>
      </c>
      <c r="B45" t="s">
        <v>269</v>
      </c>
      <c r="C45" t="s">
        <v>270</v>
      </c>
      <c r="D45" t="s">
        <v>271</v>
      </c>
      <c r="E45" t="s">
        <v>272</v>
      </c>
      <c r="F45" t="str">
        <f>IF(M45&lt;&gt;"",VLOOKUP(M45,zastavky!E:F,2,FALSE),"")</f>
        <v/>
      </c>
      <c r="G45" t="s">
        <v>273</v>
      </c>
      <c r="H45" t="s">
        <v>274</v>
      </c>
      <c r="I45">
        <v>1</v>
      </c>
      <c r="J45" t="s">
        <v>18</v>
      </c>
      <c r="L45">
        <v>1</v>
      </c>
    </row>
    <row r="46" spans="1:12" x14ac:dyDescent="0.25">
      <c r="A46">
        <v>45</v>
      </c>
      <c r="B46" t="s">
        <v>275</v>
      </c>
      <c r="C46" t="s">
        <v>276</v>
      </c>
      <c r="D46" t="s">
        <v>277</v>
      </c>
      <c r="E46" t="s">
        <v>278</v>
      </c>
      <c r="F46" t="str">
        <f>IF(M46&lt;&gt;"",VLOOKUP(M46,zastavky!E:F,2,FALSE),"")</f>
        <v/>
      </c>
      <c r="G46" t="s">
        <v>279</v>
      </c>
      <c r="H46" t="s">
        <v>280</v>
      </c>
      <c r="I46">
        <v>1</v>
      </c>
      <c r="J46" t="s">
        <v>18</v>
      </c>
      <c r="L46">
        <v>1</v>
      </c>
    </row>
    <row r="47" spans="1:12" x14ac:dyDescent="0.25">
      <c r="A47">
        <v>46</v>
      </c>
      <c r="B47" t="s">
        <v>281</v>
      </c>
      <c r="C47" t="s">
        <v>282</v>
      </c>
      <c r="D47" t="s">
        <v>283</v>
      </c>
      <c r="E47" t="s">
        <v>284</v>
      </c>
      <c r="F47" t="str">
        <f>IF(M47&lt;&gt;"",VLOOKUP(M47,zastavky!E:F,2,FALSE),"")</f>
        <v/>
      </c>
      <c r="G47" t="s">
        <v>285</v>
      </c>
      <c r="H47" t="s">
        <v>286</v>
      </c>
      <c r="I47">
        <v>1</v>
      </c>
      <c r="J47" t="s">
        <v>18</v>
      </c>
      <c r="L47">
        <v>1</v>
      </c>
    </row>
    <row r="48" spans="1:12" x14ac:dyDescent="0.25">
      <c r="A48">
        <v>47</v>
      </c>
      <c r="B48" t="s">
        <v>287</v>
      </c>
      <c r="C48" t="s">
        <v>288</v>
      </c>
      <c r="D48" t="s">
        <v>289</v>
      </c>
      <c r="E48" t="s">
        <v>290</v>
      </c>
      <c r="F48" t="str">
        <f>IF(M48&lt;&gt;"",VLOOKUP(M48,zastavky!E:F,2,FALSE),"")</f>
        <v/>
      </c>
      <c r="G48" t="s">
        <v>291</v>
      </c>
      <c r="H48" t="s">
        <v>292</v>
      </c>
      <c r="I48">
        <v>1</v>
      </c>
      <c r="J48" t="s">
        <v>18</v>
      </c>
      <c r="L48">
        <v>1</v>
      </c>
    </row>
    <row r="49" spans="1:12" x14ac:dyDescent="0.25">
      <c r="A49">
        <v>48</v>
      </c>
      <c r="B49" t="s">
        <v>293</v>
      </c>
      <c r="C49" t="s">
        <v>294</v>
      </c>
      <c r="D49" t="s">
        <v>295</v>
      </c>
      <c r="E49" t="s">
        <v>296</v>
      </c>
      <c r="F49" t="str">
        <f>IF(M49&lt;&gt;"",VLOOKUP(M49,zastavky!E:F,2,FALSE),"")</f>
        <v/>
      </c>
      <c r="G49" t="s">
        <v>297</v>
      </c>
      <c r="H49" t="s">
        <v>298</v>
      </c>
      <c r="I49">
        <v>1</v>
      </c>
      <c r="J49" t="s">
        <v>18</v>
      </c>
      <c r="L49">
        <v>1</v>
      </c>
    </row>
    <row r="50" spans="1:12" x14ac:dyDescent="0.25">
      <c r="A50">
        <v>49</v>
      </c>
      <c r="B50" t="s">
        <v>299</v>
      </c>
      <c r="C50" t="s">
        <v>300</v>
      </c>
      <c r="D50" t="s">
        <v>301</v>
      </c>
      <c r="E50" t="s">
        <v>302</v>
      </c>
      <c r="F50" t="str">
        <f>IF(M50&lt;&gt;"",VLOOKUP(M50,zastavky!E:F,2,FALSE),"")</f>
        <v/>
      </c>
      <c r="G50" t="s">
        <v>303</v>
      </c>
      <c r="H50" t="s">
        <v>304</v>
      </c>
      <c r="I50">
        <v>1</v>
      </c>
      <c r="J50" t="s">
        <v>18</v>
      </c>
      <c r="L50">
        <v>1</v>
      </c>
    </row>
    <row r="51" spans="1:12" x14ac:dyDescent="0.25">
      <c r="A51">
        <v>50</v>
      </c>
      <c r="B51" t="s">
        <v>305</v>
      </c>
      <c r="C51" t="s">
        <v>306</v>
      </c>
      <c r="D51" t="s">
        <v>307</v>
      </c>
      <c r="E51" t="s">
        <v>308</v>
      </c>
      <c r="F51" t="str">
        <f>IF(M51&lt;&gt;"",VLOOKUP(M51,zastavky!E:F,2,FALSE),"")</f>
        <v/>
      </c>
      <c r="G51" t="s">
        <v>309</v>
      </c>
      <c r="H51" t="s">
        <v>310</v>
      </c>
      <c r="I51">
        <v>1</v>
      </c>
      <c r="J51" t="s">
        <v>18</v>
      </c>
      <c r="L51">
        <v>1</v>
      </c>
    </row>
    <row r="52" spans="1:12" x14ac:dyDescent="0.25">
      <c r="A52">
        <v>51</v>
      </c>
      <c r="B52" t="s">
        <v>311</v>
      </c>
      <c r="C52" t="s">
        <v>312</v>
      </c>
      <c r="D52" t="s">
        <v>313</v>
      </c>
      <c r="E52" t="s">
        <v>314</v>
      </c>
      <c r="F52" t="str">
        <f>IF(M52&lt;&gt;"",VLOOKUP(M52,zastavky!E:F,2,FALSE),"")</f>
        <v/>
      </c>
      <c r="G52" t="s">
        <v>315</v>
      </c>
      <c r="H52" t="s">
        <v>316</v>
      </c>
      <c r="I52">
        <v>1</v>
      </c>
      <c r="J52" t="s">
        <v>18</v>
      </c>
      <c r="L52">
        <v>1</v>
      </c>
    </row>
    <row r="53" spans="1:12" x14ac:dyDescent="0.25">
      <c r="A53">
        <v>52</v>
      </c>
      <c r="B53" t="s">
        <v>317</v>
      </c>
      <c r="C53" t="s">
        <v>318</v>
      </c>
      <c r="D53" t="s">
        <v>319</v>
      </c>
      <c r="E53" t="s">
        <v>320</v>
      </c>
      <c r="F53" t="str">
        <f>IF(M53&lt;&gt;"",VLOOKUP(M53,zastavky!E:F,2,FALSE),"")</f>
        <v/>
      </c>
      <c r="G53" t="s">
        <v>321</v>
      </c>
      <c r="H53" t="s">
        <v>322</v>
      </c>
      <c r="I53">
        <v>1</v>
      </c>
      <c r="J53" t="s">
        <v>18</v>
      </c>
      <c r="L53">
        <v>1</v>
      </c>
    </row>
    <row r="54" spans="1:12" x14ac:dyDescent="0.25">
      <c r="A54">
        <v>53</v>
      </c>
      <c r="B54" t="s">
        <v>323</v>
      </c>
      <c r="C54" t="s">
        <v>324</v>
      </c>
      <c r="D54" t="s">
        <v>325</v>
      </c>
      <c r="E54" t="s">
        <v>326</v>
      </c>
      <c r="F54" t="str">
        <f>IF(M54&lt;&gt;"",VLOOKUP(M54,zastavky!E:F,2,FALSE),"")</f>
        <v/>
      </c>
      <c r="G54" t="s">
        <v>327</v>
      </c>
      <c r="H54" t="s">
        <v>328</v>
      </c>
      <c r="I54">
        <v>1</v>
      </c>
      <c r="J54" t="s">
        <v>18</v>
      </c>
      <c r="L54">
        <v>1</v>
      </c>
    </row>
    <row r="55" spans="1:12" x14ac:dyDescent="0.25">
      <c r="A55">
        <v>54</v>
      </c>
      <c r="B55" t="s">
        <v>329</v>
      </c>
      <c r="C55" t="s">
        <v>330</v>
      </c>
      <c r="D55" t="s">
        <v>331</v>
      </c>
      <c r="E55" t="s">
        <v>332</v>
      </c>
      <c r="F55" t="str">
        <f>IF(M55&lt;&gt;"",VLOOKUP(M55,zastavky!E:F,2,FALSE),"")</f>
        <v/>
      </c>
      <c r="G55" t="s">
        <v>333</v>
      </c>
      <c r="H55" t="s">
        <v>334</v>
      </c>
      <c r="I55">
        <v>1</v>
      </c>
      <c r="J55" t="s">
        <v>18</v>
      </c>
      <c r="L55">
        <v>1</v>
      </c>
    </row>
    <row r="56" spans="1:12" x14ac:dyDescent="0.25">
      <c r="A56">
        <v>55</v>
      </c>
      <c r="B56" t="s">
        <v>335</v>
      </c>
      <c r="C56" t="s">
        <v>336</v>
      </c>
      <c r="D56" t="s">
        <v>337</v>
      </c>
      <c r="E56" t="s">
        <v>338</v>
      </c>
      <c r="F56" t="str">
        <f>IF(M56&lt;&gt;"",VLOOKUP(M56,zastavky!E:F,2,FALSE),"")</f>
        <v/>
      </c>
      <c r="G56" t="s">
        <v>339</v>
      </c>
      <c r="H56" t="s">
        <v>340</v>
      </c>
      <c r="I56">
        <v>1</v>
      </c>
      <c r="J56" t="s">
        <v>18</v>
      </c>
      <c r="L56">
        <v>1</v>
      </c>
    </row>
    <row r="57" spans="1:12" x14ac:dyDescent="0.25">
      <c r="A57">
        <v>56</v>
      </c>
      <c r="B57" t="s">
        <v>341</v>
      </c>
      <c r="C57" t="s">
        <v>342</v>
      </c>
      <c r="D57" t="s">
        <v>343</v>
      </c>
      <c r="E57" t="s">
        <v>344</v>
      </c>
      <c r="F57" t="str">
        <f>IF(M57&lt;&gt;"",VLOOKUP(M57,zastavky!E:F,2,FALSE),"")</f>
        <v/>
      </c>
      <c r="G57" t="s">
        <v>345</v>
      </c>
      <c r="H57" t="s">
        <v>346</v>
      </c>
      <c r="I57">
        <v>1</v>
      </c>
      <c r="J57" t="s">
        <v>18</v>
      </c>
      <c r="L57">
        <v>1</v>
      </c>
    </row>
    <row r="58" spans="1:12" x14ac:dyDescent="0.25">
      <c r="A58">
        <v>57</v>
      </c>
      <c r="B58" t="s">
        <v>347</v>
      </c>
      <c r="C58" t="s">
        <v>348</v>
      </c>
      <c r="D58" t="s">
        <v>349</v>
      </c>
      <c r="E58" t="s">
        <v>350</v>
      </c>
      <c r="F58" t="str">
        <f>IF(M58&lt;&gt;"",VLOOKUP(M58,zastavky!E:F,2,FALSE),"")</f>
        <v/>
      </c>
      <c r="G58" t="s">
        <v>351</v>
      </c>
      <c r="H58" t="s">
        <v>352</v>
      </c>
      <c r="I58">
        <v>1</v>
      </c>
      <c r="J58" t="s">
        <v>18</v>
      </c>
      <c r="L58">
        <v>1</v>
      </c>
    </row>
    <row r="59" spans="1:12" x14ac:dyDescent="0.25">
      <c r="A59">
        <v>58</v>
      </c>
      <c r="B59" t="s">
        <v>353</v>
      </c>
      <c r="C59" t="s">
        <v>354</v>
      </c>
      <c r="D59" t="s">
        <v>355</v>
      </c>
      <c r="E59" t="s">
        <v>356</v>
      </c>
      <c r="F59" t="str">
        <f>IF(M59&lt;&gt;"",VLOOKUP(M59,zastavky!E:F,2,FALSE),"")</f>
        <v/>
      </c>
      <c r="G59" t="s">
        <v>357</v>
      </c>
      <c r="H59" t="s">
        <v>358</v>
      </c>
      <c r="I59">
        <v>1</v>
      </c>
      <c r="J59" t="s">
        <v>18</v>
      </c>
      <c r="L59">
        <v>1</v>
      </c>
    </row>
    <row r="60" spans="1:12" x14ac:dyDescent="0.25">
      <c r="A60">
        <v>59</v>
      </c>
      <c r="B60" t="s">
        <v>359</v>
      </c>
      <c r="C60" t="s">
        <v>360</v>
      </c>
      <c r="D60" t="s">
        <v>361</v>
      </c>
      <c r="E60" t="s">
        <v>362</v>
      </c>
      <c r="F60" t="str">
        <f>IF(M60&lt;&gt;"",VLOOKUP(M60,zastavky!E:F,2,FALSE),"")</f>
        <v/>
      </c>
      <c r="G60" t="s">
        <v>363</v>
      </c>
      <c r="H60" t="s">
        <v>364</v>
      </c>
      <c r="I60">
        <v>1</v>
      </c>
      <c r="J60" t="s">
        <v>18</v>
      </c>
      <c r="L60">
        <v>1</v>
      </c>
    </row>
    <row r="61" spans="1:12" x14ac:dyDescent="0.25">
      <c r="A61">
        <v>60</v>
      </c>
      <c r="B61" t="s">
        <v>365</v>
      </c>
      <c r="C61" t="s">
        <v>366</v>
      </c>
      <c r="D61" t="s">
        <v>367</v>
      </c>
      <c r="E61" t="s">
        <v>368</v>
      </c>
      <c r="F61" t="str">
        <f>IF(M61&lt;&gt;"",VLOOKUP(M61,zastavky!E:F,2,FALSE),"")</f>
        <v/>
      </c>
      <c r="G61" t="s">
        <v>369</v>
      </c>
      <c r="H61" t="s">
        <v>370</v>
      </c>
      <c r="I61">
        <v>1</v>
      </c>
      <c r="J61" t="s">
        <v>18</v>
      </c>
      <c r="L61">
        <v>1</v>
      </c>
    </row>
    <row r="62" spans="1:12" x14ac:dyDescent="0.25">
      <c r="A62">
        <v>61</v>
      </c>
      <c r="B62" t="s">
        <v>371</v>
      </c>
      <c r="C62" t="s">
        <v>372</v>
      </c>
      <c r="D62" t="s">
        <v>373</v>
      </c>
      <c r="E62" t="s">
        <v>374</v>
      </c>
      <c r="F62" t="str">
        <f>IF(M62&lt;&gt;"",VLOOKUP(M62,zastavky!E:F,2,FALSE),"")</f>
        <v/>
      </c>
      <c r="G62" t="s">
        <v>375</v>
      </c>
      <c r="H62" t="s">
        <v>376</v>
      </c>
      <c r="I62">
        <v>1</v>
      </c>
      <c r="J62" t="s">
        <v>18</v>
      </c>
      <c r="L62">
        <v>1</v>
      </c>
    </row>
    <row r="63" spans="1:12" x14ac:dyDescent="0.25">
      <c r="A63">
        <v>62</v>
      </c>
      <c r="B63" t="s">
        <v>377</v>
      </c>
      <c r="C63" t="s">
        <v>378</v>
      </c>
      <c r="D63" t="s">
        <v>379</v>
      </c>
      <c r="E63" t="s">
        <v>380</v>
      </c>
      <c r="F63" t="str">
        <f>IF(M63&lt;&gt;"",VLOOKUP(M63,zastavky!E:F,2,FALSE),"")</f>
        <v/>
      </c>
      <c r="G63" t="s">
        <v>381</v>
      </c>
      <c r="H63" t="s">
        <v>382</v>
      </c>
      <c r="I63">
        <v>1</v>
      </c>
      <c r="J63" t="s">
        <v>18</v>
      </c>
      <c r="L63">
        <v>1</v>
      </c>
    </row>
    <row r="64" spans="1:12" x14ac:dyDescent="0.25">
      <c r="A64">
        <v>63</v>
      </c>
      <c r="B64" t="s">
        <v>383</v>
      </c>
      <c r="C64" t="s">
        <v>384</v>
      </c>
      <c r="D64" t="s">
        <v>385</v>
      </c>
      <c r="E64" t="s">
        <v>386</v>
      </c>
      <c r="F64" t="str">
        <f>IF(M64&lt;&gt;"",VLOOKUP(M64,zastavky!E:F,2,FALSE),"")</f>
        <v/>
      </c>
      <c r="G64" t="s">
        <v>387</v>
      </c>
      <c r="H64" t="s">
        <v>388</v>
      </c>
      <c r="I64">
        <v>1</v>
      </c>
      <c r="J64" t="s">
        <v>18</v>
      </c>
      <c r="L64">
        <v>1</v>
      </c>
    </row>
    <row r="65" spans="1:12" x14ac:dyDescent="0.25">
      <c r="A65">
        <v>64</v>
      </c>
      <c r="B65" t="s">
        <v>389</v>
      </c>
      <c r="C65" t="s">
        <v>390</v>
      </c>
      <c r="D65" t="s">
        <v>391</v>
      </c>
      <c r="E65" t="s">
        <v>392</v>
      </c>
      <c r="F65" t="str">
        <f>IF(M65&lt;&gt;"",VLOOKUP(M65,zastavky!E:F,2,FALSE),"")</f>
        <v/>
      </c>
      <c r="G65" t="s">
        <v>393</v>
      </c>
      <c r="H65" t="s">
        <v>394</v>
      </c>
      <c r="I65">
        <v>1</v>
      </c>
      <c r="J65" t="s">
        <v>18</v>
      </c>
      <c r="L65">
        <v>1</v>
      </c>
    </row>
    <row r="66" spans="1:12" x14ac:dyDescent="0.25">
      <c r="A66">
        <v>65</v>
      </c>
      <c r="B66" t="s">
        <v>395</v>
      </c>
      <c r="C66" t="s">
        <v>187</v>
      </c>
      <c r="D66" t="s">
        <v>396</v>
      </c>
      <c r="E66" t="s">
        <v>397</v>
      </c>
      <c r="F66" t="str">
        <f>IF(M66&lt;&gt;"",VLOOKUP(M66,zastavky!E:F,2,FALSE),"")</f>
        <v/>
      </c>
      <c r="G66" t="s">
        <v>398</v>
      </c>
      <c r="H66" t="s">
        <v>399</v>
      </c>
      <c r="I66">
        <v>1</v>
      </c>
      <c r="J66" t="s">
        <v>18</v>
      </c>
      <c r="L66">
        <v>1</v>
      </c>
    </row>
    <row r="67" spans="1:12" x14ac:dyDescent="0.25">
      <c r="A67">
        <v>66</v>
      </c>
      <c r="B67" t="s">
        <v>400</v>
      </c>
      <c r="C67" t="s">
        <v>401</v>
      </c>
      <c r="D67" t="s">
        <v>402</v>
      </c>
      <c r="E67" t="s">
        <v>403</v>
      </c>
      <c r="F67" t="str">
        <f>IF(M67&lt;&gt;"",VLOOKUP(M67,zastavky!E:F,2,FALSE),"")</f>
        <v/>
      </c>
      <c r="G67" t="s">
        <v>404</v>
      </c>
      <c r="H67" t="s">
        <v>405</v>
      </c>
      <c r="I67">
        <v>1</v>
      </c>
      <c r="J67" t="s">
        <v>18</v>
      </c>
      <c r="L67">
        <v>1</v>
      </c>
    </row>
    <row r="68" spans="1:12" x14ac:dyDescent="0.25">
      <c r="A68">
        <v>67</v>
      </c>
      <c r="B68" t="s">
        <v>406</v>
      </c>
      <c r="C68" t="s">
        <v>407</v>
      </c>
      <c r="D68" t="s">
        <v>408</v>
      </c>
      <c r="E68" t="s">
        <v>409</v>
      </c>
      <c r="F68" t="str">
        <f>IF(M68&lt;&gt;"",VLOOKUP(M68,zastavky!E:F,2,FALSE),"")</f>
        <v/>
      </c>
      <c r="G68" t="s">
        <v>410</v>
      </c>
      <c r="H68" t="s">
        <v>411</v>
      </c>
      <c r="I68">
        <v>1</v>
      </c>
      <c r="J68" t="s">
        <v>18</v>
      </c>
      <c r="L68">
        <v>1</v>
      </c>
    </row>
    <row r="69" spans="1:12" x14ac:dyDescent="0.25">
      <c r="A69">
        <v>68</v>
      </c>
      <c r="B69" t="s">
        <v>412</v>
      </c>
      <c r="C69" t="s">
        <v>413</v>
      </c>
      <c r="D69" t="s">
        <v>414</v>
      </c>
      <c r="E69" t="s">
        <v>415</v>
      </c>
      <c r="F69" t="str">
        <f>IF(M69&lt;&gt;"",VLOOKUP(M69,zastavky!E:F,2,FALSE),"")</f>
        <v/>
      </c>
      <c r="G69" t="s">
        <v>416</v>
      </c>
      <c r="H69" t="s">
        <v>417</v>
      </c>
      <c r="I69">
        <v>1</v>
      </c>
      <c r="J69" t="s">
        <v>18</v>
      </c>
      <c r="L69">
        <v>1</v>
      </c>
    </row>
    <row r="70" spans="1:12" x14ac:dyDescent="0.25">
      <c r="A70">
        <v>69</v>
      </c>
      <c r="B70" t="s">
        <v>418</v>
      </c>
      <c r="C70" t="s">
        <v>419</v>
      </c>
      <c r="D70" t="s">
        <v>420</v>
      </c>
      <c r="E70" t="s">
        <v>421</v>
      </c>
      <c r="F70" t="str">
        <f>IF(M70&lt;&gt;"",VLOOKUP(M70,zastavky!E:F,2,FALSE),"")</f>
        <v/>
      </c>
      <c r="G70" t="s">
        <v>422</v>
      </c>
      <c r="H70" t="s">
        <v>423</v>
      </c>
      <c r="I70">
        <v>1</v>
      </c>
      <c r="J70" t="s">
        <v>18</v>
      </c>
      <c r="L70">
        <v>1</v>
      </c>
    </row>
    <row r="71" spans="1:12" x14ac:dyDescent="0.25">
      <c r="A71">
        <v>70</v>
      </c>
      <c r="B71" t="s">
        <v>424</v>
      </c>
      <c r="C71" t="s">
        <v>425</v>
      </c>
      <c r="D71" t="s">
        <v>426</v>
      </c>
      <c r="E71" t="s">
        <v>427</v>
      </c>
      <c r="F71" t="str">
        <f>IF(M71&lt;&gt;"",VLOOKUP(M71,zastavky!E:F,2,FALSE),"")</f>
        <v/>
      </c>
      <c r="G71" t="s">
        <v>428</v>
      </c>
      <c r="H71" t="s">
        <v>429</v>
      </c>
      <c r="I71">
        <v>1</v>
      </c>
      <c r="J71" t="s">
        <v>18</v>
      </c>
      <c r="L71">
        <v>1</v>
      </c>
    </row>
    <row r="72" spans="1:12" x14ac:dyDescent="0.25">
      <c r="A72">
        <v>71</v>
      </c>
      <c r="B72" t="s">
        <v>430</v>
      </c>
      <c r="C72" t="s">
        <v>425</v>
      </c>
      <c r="D72" t="s">
        <v>431</v>
      </c>
      <c r="E72" t="s">
        <v>432</v>
      </c>
      <c r="F72" t="str">
        <f>IF(M72&lt;&gt;"",VLOOKUP(M72,zastavky!E:F,2,FALSE),"")</f>
        <v/>
      </c>
      <c r="G72" t="s">
        <v>433</v>
      </c>
      <c r="H72" t="s">
        <v>434</v>
      </c>
      <c r="I72">
        <v>1</v>
      </c>
      <c r="J72" t="s">
        <v>18</v>
      </c>
      <c r="L72">
        <v>1</v>
      </c>
    </row>
    <row r="73" spans="1:12" x14ac:dyDescent="0.25">
      <c r="A73">
        <v>72</v>
      </c>
      <c r="B73" t="s">
        <v>25</v>
      </c>
      <c r="C73" t="s">
        <v>26</v>
      </c>
      <c r="D73" t="s">
        <v>27</v>
      </c>
      <c r="E73" t="s">
        <v>435</v>
      </c>
      <c r="F73" t="str">
        <f>IF(M73&lt;&gt;"",VLOOKUP(M73,zastavky!E:F,2,FALSE),"")</f>
        <v/>
      </c>
      <c r="G73" t="s">
        <v>436</v>
      </c>
      <c r="H73" t="s">
        <v>437</v>
      </c>
      <c r="I73">
        <v>1</v>
      </c>
      <c r="J73" t="s">
        <v>18</v>
      </c>
      <c r="L73">
        <v>1</v>
      </c>
    </row>
    <row r="74" spans="1:12" x14ac:dyDescent="0.25">
      <c r="A74">
        <v>73</v>
      </c>
      <c r="B74" t="s">
        <v>438</v>
      </c>
      <c r="C74" t="s">
        <v>439</v>
      </c>
      <c r="D74" t="s">
        <v>440</v>
      </c>
      <c r="E74" t="s">
        <v>441</v>
      </c>
      <c r="F74" t="str">
        <f>IF(M74&lt;&gt;"",VLOOKUP(M74,zastavky!E:F,2,FALSE),"")</f>
        <v/>
      </c>
      <c r="G74" t="s">
        <v>442</v>
      </c>
      <c r="H74" t="s">
        <v>443</v>
      </c>
      <c r="I74">
        <v>1</v>
      </c>
      <c r="J74" t="s">
        <v>18</v>
      </c>
      <c r="L74">
        <v>1</v>
      </c>
    </row>
    <row r="75" spans="1:12" x14ac:dyDescent="0.25">
      <c r="A75">
        <v>74</v>
      </c>
      <c r="B75" t="s">
        <v>444</v>
      </c>
      <c r="C75" t="s">
        <v>445</v>
      </c>
      <c r="D75" t="s">
        <v>446</v>
      </c>
      <c r="E75" t="s">
        <v>447</v>
      </c>
      <c r="F75" t="str">
        <f>IF(M75&lt;&gt;"",VLOOKUP(M75,zastavky!E:F,2,FALSE),"")</f>
        <v/>
      </c>
      <c r="G75" t="s">
        <v>448</v>
      </c>
      <c r="H75" t="s">
        <v>449</v>
      </c>
      <c r="I75">
        <v>1</v>
      </c>
      <c r="J75" t="s">
        <v>18</v>
      </c>
      <c r="L75">
        <v>1</v>
      </c>
    </row>
    <row r="76" spans="1:12" x14ac:dyDescent="0.25">
      <c r="A76">
        <v>75</v>
      </c>
      <c r="B76" t="s">
        <v>450</v>
      </c>
      <c r="C76" t="s">
        <v>451</v>
      </c>
      <c r="D76" t="s">
        <v>452</v>
      </c>
      <c r="E76" t="s">
        <v>453</v>
      </c>
      <c r="F76" t="str">
        <f>IF(M76&lt;&gt;"",VLOOKUP(M76,zastavky!E:F,2,FALSE),"")</f>
        <v/>
      </c>
      <c r="G76" t="s">
        <v>454</v>
      </c>
      <c r="H76" t="s">
        <v>455</v>
      </c>
      <c r="I76">
        <v>1</v>
      </c>
      <c r="J76" t="s">
        <v>18</v>
      </c>
      <c r="L76">
        <v>1</v>
      </c>
    </row>
    <row r="77" spans="1:12" x14ac:dyDescent="0.25">
      <c r="A77">
        <v>76</v>
      </c>
      <c r="B77" t="s">
        <v>456</v>
      </c>
      <c r="C77" t="s">
        <v>457</v>
      </c>
      <c r="D77" t="s">
        <v>458</v>
      </c>
      <c r="E77" t="s">
        <v>459</v>
      </c>
      <c r="F77" t="str">
        <f>IF(M77&lt;&gt;"",VLOOKUP(M77,zastavky!E:F,2,FALSE),"")</f>
        <v/>
      </c>
      <c r="G77" t="s">
        <v>460</v>
      </c>
      <c r="H77" t="s">
        <v>461</v>
      </c>
      <c r="I77">
        <v>1</v>
      </c>
      <c r="J77" t="s">
        <v>18</v>
      </c>
      <c r="L77">
        <v>1</v>
      </c>
    </row>
    <row r="78" spans="1:12" x14ac:dyDescent="0.25">
      <c r="A78">
        <v>77</v>
      </c>
      <c r="B78" t="s">
        <v>462</v>
      </c>
      <c r="C78" t="s">
        <v>463</v>
      </c>
      <c r="D78" t="s">
        <v>464</v>
      </c>
      <c r="E78" t="s">
        <v>465</v>
      </c>
      <c r="F78" t="str">
        <f>IF(M78&lt;&gt;"",VLOOKUP(M78,zastavky!E:F,2,FALSE),"")</f>
        <v/>
      </c>
      <c r="G78" t="s">
        <v>466</v>
      </c>
      <c r="H78" t="s">
        <v>467</v>
      </c>
      <c r="I78">
        <v>1</v>
      </c>
      <c r="J78" t="s">
        <v>18</v>
      </c>
      <c r="L78">
        <v>1</v>
      </c>
    </row>
    <row r="79" spans="1:12" x14ac:dyDescent="0.25">
      <c r="A79">
        <v>78</v>
      </c>
      <c r="B79" t="s">
        <v>468</v>
      </c>
      <c r="C79" t="s">
        <v>469</v>
      </c>
      <c r="D79" t="s">
        <v>470</v>
      </c>
      <c r="E79" t="s">
        <v>471</v>
      </c>
      <c r="F79" t="str">
        <f>IF(M79&lt;&gt;"",VLOOKUP(M79,zastavky!E:F,2,FALSE),"")</f>
        <v/>
      </c>
      <c r="G79" t="s">
        <v>472</v>
      </c>
      <c r="H79" t="s">
        <v>473</v>
      </c>
      <c r="I79">
        <v>1</v>
      </c>
      <c r="J79" t="s">
        <v>18</v>
      </c>
      <c r="L79">
        <v>1</v>
      </c>
    </row>
    <row r="80" spans="1:12" x14ac:dyDescent="0.25">
      <c r="A80">
        <v>79</v>
      </c>
      <c r="B80" t="s">
        <v>474</v>
      </c>
      <c r="C80" t="s">
        <v>199</v>
      </c>
      <c r="D80" t="s">
        <v>475</v>
      </c>
      <c r="E80" t="s">
        <v>476</v>
      </c>
      <c r="F80" t="str">
        <f>IF(M80&lt;&gt;"",VLOOKUP(M80,zastavky!E:F,2,FALSE),"")</f>
        <v/>
      </c>
      <c r="G80" t="s">
        <v>477</v>
      </c>
      <c r="H80" t="s">
        <v>203</v>
      </c>
      <c r="I80">
        <v>1</v>
      </c>
      <c r="J80" t="s">
        <v>18</v>
      </c>
      <c r="L80">
        <v>1</v>
      </c>
    </row>
    <row r="81" spans="1:12" x14ac:dyDescent="0.25">
      <c r="A81">
        <v>80</v>
      </c>
      <c r="B81" t="s">
        <v>478</v>
      </c>
      <c r="C81" t="s">
        <v>479</v>
      </c>
      <c r="D81" t="s">
        <v>480</v>
      </c>
      <c r="E81" t="s">
        <v>481</v>
      </c>
      <c r="F81" t="str">
        <f>IF(M81&lt;&gt;"",VLOOKUP(M81,zastavky!E:F,2,FALSE),"")</f>
        <v/>
      </c>
      <c r="G81" t="s">
        <v>482</v>
      </c>
      <c r="H81" t="s">
        <v>483</v>
      </c>
      <c r="I81">
        <v>1</v>
      </c>
      <c r="J81" t="s">
        <v>18</v>
      </c>
      <c r="L81">
        <v>1</v>
      </c>
    </row>
    <row r="82" spans="1:12" x14ac:dyDescent="0.25">
      <c r="A82">
        <v>81</v>
      </c>
      <c r="B82" t="s">
        <v>484</v>
      </c>
      <c r="C82" t="s">
        <v>485</v>
      </c>
      <c r="D82" t="s">
        <v>486</v>
      </c>
      <c r="E82" t="s">
        <v>487</v>
      </c>
      <c r="F82" t="str">
        <f>IF(M82&lt;&gt;"",VLOOKUP(M82,zastavky!E:F,2,FALSE),"")</f>
        <v/>
      </c>
      <c r="G82" t="s">
        <v>488</v>
      </c>
      <c r="H82" t="s">
        <v>489</v>
      </c>
      <c r="I82">
        <v>1</v>
      </c>
      <c r="J82" t="s">
        <v>18</v>
      </c>
      <c r="L82">
        <v>1</v>
      </c>
    </row>
    <row r="83" spans="1:12" x14ac:dyDescent="0.25">
      <c r="A83">
        <v>82</v>
      </c>
      <c r="B83" t="s">
        <v>490</v>
      </c>
      <c r="C83" t="s">
        <v>491</v>
      </c>
      <c r="D83" t="s">
        <v>492</v>
      </c>
      <c r="E83" t="s">
        <v>493</v>
      </c>
      <c r="F83" t="str">
        <f>IF(M83&lt;&gt;"",VLOOKUP(M83,zastavky!E:F,2,FALSE),"")</f>
        <v/>
      </c>
      <c r="G83" t="s">
        <v>494</v>
      </c>
      <c r="H83" t="s">
        <v>495</v>
      </c>
      <c r="I83">
        <v>1</v>
      </c>
      <c r="J83" t="s">
        <v>18</v>
      </c>
      <c r="L83">
        <v>1</v>
      </c>
    </row>
    <row r="84" spans="1:12" x14ac:dyDescent="0.25">
      <c r="A84">
        <v>83</v>
      </c>
      <c r="B84" t="s">
        <v>496</v>
      </c>
      <c r="C84" t="s">
        <v>497</v>
      </c>
      <c r="D84" t="s">
        <v>498</v>
      </c>
      <c r="E84" t="s">
        <v>499</v>
      </c>
      <c r="F84" t="str">
        <f>IF(M84&lt;&gt;"",VLOOKUP(M84,zastavky!E:F,2,FALSE),"")</f>
        <v/>
      </c>
      <c r="G84" t="s">
        <v>500</v>
      </c>
      <c r="H84" t="s">
        <v>221</v>
      </c>
      <c r="I84">
        <v>1</v>
      </c>
      <c r="J84" t="s">
        <v>18</v>
      </c>
      <c r="L84">
        <v>1</v>
      </c>
    </row>
    <row r="85" spans="1:12" x14ac:dyDescent="0.25">
      <c r="A85">
        <v>84</v>
      </c>
      <c r="B85" t="s">
        <v>501</v>
      </c>
      <c r="C85" t="s">
        <v>502</v>
      </c>
      <c r="D85" t="s">
        <v>503</v>
      </c>
      <c r="E85" t="s">
        <v>504</v>
      </c>
      <c r="F85" t="str">
        <f>IF(M85&lt;&gt;"",VLOOKUP(M85,zastavky!E:F,2,FALSE),"")</f>
        <v/>
      </c>
      <c r="G85" t="s">
        <v>505</v>
      </c>
      <c r="H85" t="s">
        <v>506</v>
      </c>
      <c r="I85">
        <v>1</v>
      </c>
      <c r="J85" t="s">
        <v>18</v>
      </c>
      <c r="L85">
        <v>1</v>
      </c>
    </row>
    <row r="86" spans="1:12" x14ac:dyDescent="0.25">
      <c r="A86">
        <v>85</v>
      </c>
      <c r="B86" t="s">
        <v>507</v>
      </c>
      <c r="C86" t="s">
        <v>508</v>
      </c>
      <c r="D86" t="s">
        <v>509</v>
      </c>
      <c r="E86" t="s">
        <v>510</v>
      </c>
      <c r="F86" t="str">
        <f>IF(M86&lt;&gt;"",VLOOKUP(M86,zastavky!E:F,2,FALSE),"")</f>
        <v/>
      </c>
      <c r="G86" t="s">
        <v>511</v>
      </c>
      <c r="H86" t="s">
        <v>512</v>
      </c>
      <c r="I86">
        <v>1</v>
      </c>
      <c r="J86" t="s">
        <v>18</v>
      </c>
      <c r="L86">
        <v>1</v>
      </c>
    </row>
    <row r="87" spans="1:12" x14ac:dyDescent="0.25">
      <c r="A87">
        <v>86</v>
      </c>
      <c r="B87" t="s">
        <v>513</v>
      </c>
      <c r="C87" t="s">
        <v>514</v>
      </c>
      <c r="D87" t="s">
        <v>515</v>
      </c>
      <c r="E87" t="s">
        <v>516</v>
      </c>
      <c r="F87" t="str">
        <f>IF(M87&lt;&gt;"",VLOOKUP(M87,zastavky!E:F,2,FALSE),"")</f>
        <v/>
      </c>
      <c r="G87" t="s">
        <v>517</v>
      </c>
      <c r="H87" t="s">
        <v>518</v>
      </c>
      <c r="I87">
        <v>1</v>
      </c>
      <c r="J87" t="s">
        <v>18</v>
      </c>
      <c r="L87">
        <v>1</v>
      </c>
    </row>
    <row r="88" spans="1:12" x14ac:dyDescent="0.25">
      <c r="A88">
        <v>87</v>
      </c>
      <c r="B88" t="s">
        <v>519</v>
      </c>
      <c r="C88" t="s">
        <v>520</v>
      </c>
      <c r="D88" t="s">
        <v>521</v>
      </c>
      <c r="E88" t="s">
        <v>522</v>
      </c>
      <c r="F88" t="str">
        <f>IF(M88&lt;&gt;"",VLOOKUP(M88,zastavky!E:F,2,FALSE),"")</f>
        <v/>
      </c>
      <c r="G88" t="s">
        <v>523</v>
      </c>
      <c r="H88" t="s">
        <v>524</v>
      </c>
      <c r="I88">
        <v>1</v>
      </c>
      <c r="J88" t="s">
        <v>18</v>
      </c>
      <c r="L88">
        <v>1</v>
      </c>
    </row>
    <row r="89" spans="1:12" x14ac:dyDescent="0.25">
      <c r="A89">
        <v>88</v>
      </c>
      <c r="B89" t="s">
        <v>525</v>
      </c>
      <c r="C89" t="s">
        <v>526</v>
      </c>
      <c r="D89" t="s">
        <v>527</v>
      </c>
      <c r="E89" t="s">
        <v>528</v>
      </c>
      <c r="F89" t="str">
        <f>IF(M89&lt;&gt;"",VLOOKUP(M89,zastavky!E:F,2,FALSE),"")</f>
        <v/>
      </c>
      <c r="G89" t="s">
        <v>529</v>
      </c>
      <c r="H89" t="s">
        <v>530</v>
      </c>
      <c r="I89">
        <v>1</v>
      </c>
      <c r="J89" t="s">
        <v>18</v>
      </c>
      <c r="L89">
        <v>1</v>
      </c>
    </row>
    <row r="90" spans="1:12" x14ac:dyDescent="0.25">
      <c r="A90">
        <v>89</v>
      </c>
      <c r="B90" t="s">
        <v>531</v>
      </c>
      <c r="C90" t="s">
        <v>532</v>
      </c>
      <c r="D90" t="s">
        <v>533</v>
      </c>
      <c r="E90" t="s">
        <v>534</v>
      </c>
      <c r="F90" t="str">
        <f>IF(M90&lt;&gt;"",VLOOKUP(M90,zastavky!E:F,2,FALSE),"")</f>
        <v/>
      </c>
      <c r="G90" t="s">
        <v>535</v>
      </c>
      <c r="H90" t="s">
        <v>536</v>
      </c>
      <c r="I90">
        <v>1</v>
      </c>
      <c r="J90" t="s">
        <v>18</v>
      </c>
      <c r="L90">
        <v>1</v>
      </c>
    </row>
    <row r="91" spans="1:12" x14ac:dyDescent="0.25">
      <c r="A91">
        <v>90</v>
      </c>
      <c r="B91" t="s">
        <v>537</v>
      </c>
      <c r="C91" t="s">
        <v>538</v>
      </c>
      <c r="D91" t="s">
        <v>539</v>
      </c>
      <c r="E91" t="s">
        <v>540</v>
      </c>
      <c r="F91" t="str">
        <f>IF(M91&lt;&gt;"",VLOOKUP(M91,zastavky!E:F,2,FALSE),"")</f>
        <v/>
      </c>
      <c r="G91" t="s">
        <v>541</v>
      </c>
      <c r="H91" t="s">
        <v>542</v>
      </c>
      <c r="I91">
        <v>1</v>
      </c>
      <c r="J91" t="s">
        <v>18</v>
      </c>
      <c r="L91">
        <v>1</v>
      </c>
    </row>
    <row r="92" spans="1:12" x14ac:dyDescent="0.25">
      <c r="A92">
        <v>91</v>
      </c>
      <c r="B92" t="s">
        <v>543</v>
      </c>
      <c r="C92" t="s">
        <v>544</v>
      </c>
      <c r="D92" t="s">
        <v>545</v>
      </c>
      <c r="E92" t="s">
        <v>546</v>
      </c>
      <c r="F92" t="str">
        <f>IF(M92&lt;&gt;"",VLOOKUP(M92,zastavky!E:F,2,FALSE),"")</f>
        <v/>
      </c>
      <c r="H92" t="s">
        <v>547</v>
      </c>
      <c r="I92">
        <v>1</v>
      </c>
      <c r="J92" t="s">
        <v>18</v>
      </c>
      <c r="L92">
        <v>1</v>
      </c>
    </row>
    <row r="93" spans="1:12" x14ac:dyDescent="0.25">
      <c r="A93">
        <v>92</v>
      </c>
      <c r="B93" t="s">
        <v>548</v>
      </c>
      <c r="C93" t="s">
        <v>549</v>
      </c>
      <c r="D93" t="s">
        <v>550</v>
      </c>
      <c r="E93" t="s">
        <v>551</v>
      </c>
      <c r="F93" t="str">
        <f>IF(M93&lt;&gt;"",VLOOKUP(M93,zastavky!E:F,2,FALSE),"")</f>
        <v/>
      </c>
      <c r="G93" t="s">
        <v>552</v>
      </c>
      <c r="H93" t="s">
        <v>553</v>
      </c>
      <c r="I93">
        <v>1</v>
      </c>
      <c r="J93" t="s">
        <v>18</v>
      </c>
      <c r="L93">
        <v>1</v>
      </c>
    </row>
    <row r="94" spans="1:12" x14ac:dyDescent="0.25">
      <c r="A94">
        <v>93</v>
      </c>
      <c r="B94" t="s">
        <v>554</v>
      </c>
      <c r="C94" t="s">
        <v>555</v>
      </c>
      <c r="D94" t="s">
        <v>556</v>
      </c>
      <c r="E94" t="s">
        <v>557</v>
      </c>
      <c r="F94" t="str">
        <f>IF(M94&lt;&gt;"",VLOOKUP(M94,zastavky!E:F,2,FALSE),"")</f>
        <v/>
      </c>
      <c r="G94" t="s">
        <v>558</v>
      </c>
      <c r="H94" t="s">
        <v>559</v>
      </c>
      <c r="I94">
        <v>1</v>
      </c>
      <c r="J94" t="s">
        <v>18</v>
      </c>
      <c r="L94">
        <v>1</v>
      </c>
    </row>
    <row r="95" spans="1:12" x14ac:dyDescent="0.25">
      <c r="A95">
        <v>94</v>
      </c>
      <c r="B95" t="s">
        <v>560</v>
      </c>
      <c r="C95" t="s">
        <v>561</v>
      </c>
      <c r="D95" t="s">
        <v>562</v>
      </c>
      <c r="E95" t="s">
        <v>563</v>
      </c>
      <c r="F95" t="str">
        <f>IF(M95&lt;&gt;"",VLOOKUP(M95,zastavky!E:F,2,FALSE),"")</f>
        <v/>
      </c>
      <c r="G95" t="s">
        <v>564</v>
      </c>
      <c r="H95" t="s">
        <v>565</v>
      </c>
      <c r="I95">
        <v>1</v>
      </c>
      <c r="J95" t="s">
        <v>18</v>
      </c>
      <c r="L95">
        <v>1</v>
      </c>
    </row>
    <row r="96" spans="1:12" x14ac:dyDescent="0.25">
      <c r="A96">
        <v>95</v>
      </c>
      <c r="B96" t="s">
        <v>566</v>
      </c>
      <c r="C96" t="s">
        <v>567</v>
      </c>
      <c r="D96" t="s">
        <v>568</v>
      </c>
      <c r="E96" t="s">
        <v>569</v>
      </c>
      <c r="F96" t="str">
        <f>IF(M96&lt;&gt;"",VLOOKUP(M96,zastavky!E:F,2,FALSE),"")</f>
        <v/>
      </c>
      <c r="G96" t="s">
        <v>570</v>
      </c>
      <c r="H96" t="s">
        <v>571</v>
      </c>
      <c r="I96">
        <v>1</v>
      </c>
      <c r="J96" t="s">
        <v>18</v>
      </c>
      <c r="L96">
        <v>1</v>
      </c>
    </row>
    <row r="97" spans="1:12" x14ac:dyDescent="0.25">
      <c r="A97">
        <v>96</v>
      </c>
      <c r="B97" t="s">
        <v>572</v>
      </c>
      <c r="C97" t="s">
        <v>342</v>
      </c>
      <c r="D97" t="s">
        <v>573</v>
      </c>
      <c r="E97" t="s">
        <v>574</v>
      </c>
      <c r="F97" t="str">
        <f>IF(M97&lt;&gt;"",VLOOKUP(M97,zastavky!E:F,2,FALSE),"")</f>
        <v/>
      </c>
      <c r="H97" t="s">
        <v>575</v>
      </c>
      <c r="I97">
        <v>1</v>
      </c>
      <c r="J97" t="s">
        <v>18</v>
      </c>
      <c r="L97">
        <v>1</v>
      </c>
    </row>
    <row r="98" spans="1:12" x14ac:dyDescent="0.25">
      <c r="A98">
        <v>97</v>
      </c>
      <c r="B98" t="s">
        <v>576</v>
      </c>
      <c r="C98" t="s">
        <v>577</v>
      </c>
      <c r="D98" t="s">
        <v>578</v>
      </c>
      <c r="E98" t="s">
        <v>579</v>
      </c>
      <c r="F98" t="str">
        <f>IF(M98&lt;&gt;"",VLOOKUP(M98,zastavky!E:F,2,FALSE),"")</f>
        <v/>
      </c>
      <c r="G98" t="s">
        <v>580</v>
      </c>
      <c r="H98" t="s">
        <v>581</v>
      </c>
      <c r="I98">
        <v>1</v>
      </c>
      <c r="J98" t="s">
        <v>18</v>
      </c>
      <c r="L98">
        <v>1</v>
      </c>
    </row>
    <row r="99" spans="1:12" x14ac:dyDescent="0.25">
      <c r="A99">
        <v>98</v>
      </c>
      <c r="B99" t="s">
        <v>582</v>
      </c>
      <c r="C99" t="s">
        <v>583</v>
      </c>
      <c r="D99" t="s">
        <v>584</v>
      </c>
      <c r="E99" t="s">
        <v>585</v>
      </c>
      <c r="F99" t="str">
        <f>IF(M99&lt;&gt;"",VLOOKUP(M99,zastavky!E:F,2,FALSE),"")</f>
        <v/>
      </c>
      <c r="G99" t="s">
        <v>586</v>
      </c>
      <c r="H99" t="s">
        <v>587</v>
      </c>
      <c r="I99">
        <v>1</v>
      </c>
      <c r="J99" t="s">
        <v>18</v>
      </c>
      <c r="L99">
        <v>1</v>
      </c>
    </row>
    <row r="100" spans="1:12" x14ac:dyDescent="0.25">
      <c r="A100">
        <v>99</v>
      </c>
      <c r="B100" t="s">
        <v>588</v>
      </c>
      <c r="C100" t="s">
        <v>583</v>
      </c>
      <c r="D100" t="s">
        <v>589</v>
      </c>
      <c r="E100" t="s">
        <v>590</v>
      </c>
      <c r="F100" t="str">
        <f>IF(M100&lt;&gt;"",VLOOKUP(M100,zastavky!E:F,2,FALSE),"")</f>
        <v/>
      </c>
      <c r="G100" t="s">
        <v>591</v>
      </c>
      <c r="H100" t="s">
        <v>587</v>
      </c>
      <c r="I100">
        <v>1</v>
      </c>
      <c r="J100" t="s">
        <v>18</v>
      </c>
      <c r="L100">
        <v>1</v>
      </c>
    </row>
    <row r="101" spans="1:12" x14ac:dyDescent="0.25">
      <c r="A101">
        <v>100</v>
      </c>
      <c r="B101" t="s">
        <v>592</v>
      </c>
      <c r="C101" t="s">
        <v>593</v>
      </c>
      <c r="D101" t="s">
        <v>594</v>
      </c>
      <c r="E101" t="s">
        <v>595</v>
      </c>
      <c r="F101" t="str">
        <f>IF(M101&lt;&gt;"",VLOOKUP(M101,zastavky!E:F,2,FALSE),"")</f>
        <v/>
      </c>
      <c r="G101" t="s">
        <v>596</v>
      </c>
      <c r="H101" t="s">
        <v>597</v>
      </c>
      <c r="I101">
        <v>1</v>
      </c>
      <c r="J101" t="s">
        <v>18</v>
      </c>
      <c r="L101">
        <v>1</v>
      </c>
    </row>
    <row r="102" spans="1:12" x14ac:dyDescent="0.25">
      <c r="A102">
        <v>101</v>
      </c>
      <c r="B102" t="s">
        <v>598</v>
      </c>
      <c r="C102" t="s">
        <v>599</v>
      </c>
      <c r="D102" t="s">
        <v>600</v>
      </c>
      <c r="E102" t="s">
        <v>601</v>
      </c>
      <c r="F102" t="str">
        <f>IF(M102&lt;&gt;"",VLOOKUP(M102,zastavky!E:F,2,FALSE),"")</f>
        <v/>
      </c>
      <c r="G102" t="s">
        <v>602</v>
      </c>
      <c r="H102" t="s">
        <v>603</v>
      </c>
      <c r="I102">
        <v>1</v>
      </c>
      <c r="J102" t="s">
        <v>18</v>
      </c>
      <c r="L102">
        <v>1</v>
      </c>
    </row>
    <row r="103" spans="1:12" x14ac:dyDescent="0.25">
      <c r="A103">
        <v>102</v>
      </c>
      <c r="B103" t="s">
        <v>604</v>
      </c>
      <c r="C103" t="s">
        <v>605</v>
      </c>
      <c r="D103" t="s">
        <v>606</v>
      </c>
      <c r="E103" t="s">
        <v>607</v>
      </c>
      <c r="F103" t="str">
        <f>IF(M103&lt;&gt;"",VLOOKUP(M103,zastavky!E:F,2,FALSE),"")</f>
        <v/>
      </c>
      <c r="G103" t="s">
        <v>608</v>
      </c>
      <c r="H103" t="s">
        <v>609</v>
      </c>
      <c r="I103">
        <v>1</v>
      </c>
      <c r="J103" t="s">
        <v>18</v>
      </c>
      <c r="L103">
        <v>1</v>
      </c>
    </row>
    <row r="104" spans="1:12" x14ac:dyDescent="0.25">
      <c r="A104">
        <v>103</v>
      </c>
      <c r="B104" t="s">
        <v>610</v>
      </c>
      <c r="C104" t="s">
        <v>485</v>
      </c>
      <c r="D104" t="s">
        <v>611</v>
      </c>
      <c r="E104" t="s">
        <v>612</v>
      </c>
      <c r="F104" t="str">
        <f>IF(M104&lt;&gt;"",VLOOKUP(M104,zastavky!E:F,2,FALSE),"")</f>
        <v/>
      </c>
      <c r="G104" t="s">
        <v>613</v>
      </c>
      <c r="H104" t="s">
        <v>614</v>
      </c>
      <c r="I104">
        <v>1</v>
      </c>
      <c r="J104" t="s">
        <v>18</v>
      </c>
      <c r="L104">
        <v>1</v>
      </c>
    </row>
    <row r="105" spans="1:12" x14ac:dyDescent="0.25">
      <c r="A105">
        <v>104</v>
      </c>
      <c r="B105" t="s">
        <v>615</v>
      </c>
      <c r="C105" t="s">
        <v>616</v>
      </c>
      <c r="D105" t="s">
        <v>617</v>
      </c>
      <c r="E105" t="s">
        <v>618</v>
      </c>
      <c r="F105" t="str">
        <f>IF(M105&lt;&gt;"",VLOOKUP(M105,zastavky!E:F,2,FALSE),"")</f>
        <v/>
      </c>
      <c r="G105" t="s">
        <v>619</v>
      </c>
      <c r="H105" t="s">
        <v>620</v>
      </c>
      <c r="I105">
        <v>1</v>
      </c>
      <c r="J105" t="s">
        <v>18</v>
      </c>
      <c r="L105">
        <v>1</v>
      </c>
    </row>
    <row r="106" spans="1:12" x14ac:dyDescent="0.25">
      <c r="A106">
        <v>105</v>
      </c>
      <c r="B106" t="s">
        <v>621</v>
      </c>
      <c r="C106" t="s">
        <v>622</v>
      </c>
      <c r="D106" t="s">
        <v>623</v>
      </c>
      <c r="E106" t="s">
        <v>624</v>
      </c>
      <c r="F106" t="str">
        <f>IF(M106&lt;&gt;"",VLOOKUP(M106,zastavky!E:F,2,FALSE),"")</f>
        <v/>
      </c>
      <c r="G106" t="s">
        <v>625</v>
      </c>
      <c r="H106" t="s">
        <v>626</v>
      </c>
      <c r="I106">
        <v>1</v>
      </c>
      <c r="J106" t="s">
        <v>18</v>
      </c>
      <c r="L106">
        <v>1</v>
      </c>
    </row>
    <row r="107" spans="1:12" x14ac:dyDescent="0.25">
      <c r="A107">
        <v>106</v>
      </c>
      <c r="B107" t="s">
        <v>627</v>
      </c>
      <c r="C107" t="s">
        <v>628</v>
      </c>
      <c r="D107" t="s">
        <v>629</v>
      </c>
      <c r="E107" t="s">
        <v>630</v>
      </c>
      <c r="F107" t="str">
        <f>IF(M107&lt;&gt;"",VLOOKUP(M107,zastavky!E:F,2,FALSE),"")</f>
        <v/>
      </c>
      <c r="G107" t="s">
        <v>631</v>
      </c>
      <c r="H107" t="s">
        <v>632</v>
      </c>
      <c r="I107">
        <v>1</v>
      </c>
      <c r="J107" t="s">
        <v>18</v>
      </c>
      <c r="L107">
        <v>1</v>
      </c>
    </row>
    <row r="108" spans="1:12" x14ac:dyDescent="0.25">
      <c r="A108">
        <v>107</v>
      </c>
      <c r="B108" t="s">
        <v>633</v>
      </c>
      <c r="C108" t="s">
        <v>634</v>
      </c>
      <c r="D108" t="s">
        <v>545</v>
      </c>
      <c r="E108" t="s">
        <v>635</v>
      </c>
      <c r="F108" t="str">
        <f>IF(M108&lt;&gt;"",VLOOKUP(M108,zastavky!E:F,2,FALSE),"")</f>
        <v/>
      </c>
      <c r="G108" t="s">
        <v>636</v>
      </c>
      <c r="H108" t="s">
        <v>637</v>
      </c>
      <c r="I108">
        <v>1</v>
      </c>
      <c r="J108" t="s">
        <v>18</v>
      </c>
      <c r="L108">
        <v>1</v>
      </c>
    </row>
    <row r="109" spans="1:12" x14ac:dyDescent="0.25">
      <c r="A109">
        <v>108</v>
      </c>
      <c r="B109" t="s">
        <v>638</v>
      </c>
      <c r="C109" t="s">
        <v>639</v>
      </c>
      <c r="D109" t="s">
        <v>640</v>
      </c>
      <c r="E109" t="s">
        <v>641</v>
      </c>
      <c r="F109" t="str">
        <f>IF(M109&lt;&gt;"",VLOOKUP(M109,zastavky!E:F,2,FALSE),"")</f>
        <v/>
      </c>
      <c r="G109" t="s">
        <v>642</v>
      </c>
      <c r="H109" t="s">
        <v>643</v>
      </c>
      <c r="I109">
        <v>1</v>
      </c>
      <c r="J109" t="s">
        <v>18</v>
      </c>
      <c r="L109">
        <v>1</v>
      </c>
    </row>
    <row r="110" spans="1:12" x14ac:dyDescent="0.25">
      <c r="A110">
        <v>109</v>
      </c>
      <c r="B110" t="s">
        <v>644</v>
      </c>
      <c r="C110" t="s">
        <v>645</v>
      </c>
      <c r="D110" t="s">
        <v>646</v>
      </c>
      <c r="E110" t="s">
        <v>647</v>
      </c>
      <c r="F110" t="str">
        <f>IF(M110&lt;&gt;"",VLOOKUP(M110,zastavky!E:F,2,FALSE),"")</f>
        <v/>
      </c>
      <c r="G110" t="s">
        <v>648</v>
      </c>
      <c r="H110" t="s">
        <v>649</v>
      </c>
      <c r="I110">
        <v>1</v>
      </c>
      <c r="J110" t="s">
        <v>18</v>
      </c>
      <c r="L110">
        <v>1</v>
      </c>
    </row>
    <row r="111" spans="1:12" x14ac:dyDescent="0.25">
      <c r="A111">
        <v>110</v>
      </c>
      <c r="B111" t="s">
        <v>650</v>
      </c>
      <c r="C111" t="s">
        <v>651</v>
      </c>
      <c r="D111" t="s">
        <v>652</v>
      </c>
      <c r="E111" t="s">
        <v>653</v>
      </c>
      <c r="F111" t="str">
        <f>IF(M111&lt;&gt;"",VLOOKUP(M111,zastavky!E:F,2,FALSE),"")</f>
        <v/>
      </c>
      <c r="G111" t="s">
        <v>654</v>
      </c>
      <c r="H111" t="s">
        <v>655</v>
      </c>
      <c r="I111">
        <v>1</v>
      </c>
      <c r="J111" t="s">
        <v>18</v>
      </c>
      <c r="L111">
        <v>1</v>
      </c>
    </row>
    <row r="112" spans="1:12" x14ac:dyDescent="0.25">
      <c r="A112">
        <v>111</v>
      </c>
      <c r="B112" t="s">
        <v>656</v>
      </c>
      <c r="C112" t="s">
        <v>657</v>
      </c>
      <c r="D112" t="s">
        <v>658</v>
      </c>
      <c r="E112" t="s">
        <v>659</v>
      </c>
      <c r="F112" t="str">
        <f>IF(M112&lt;&gt;"",VLOOKUP(M112,zastavky!E:F,2,FALSE),"")</f>
        <v/>
      </c>
      <c r="G112" t="s">
        <v>660</v>
      </c>
      <c r="H112" t="s">
        <v>661</v>
      </c>
      <c r="I112">
        <v>1</v>
      </c>
      <c r="J112" t="s">
        <v>18</v>
      </c>
      <c r="L112">
        <v>1</v>
      </c>
    </row>
    <row r="113" spans="1:12" x14ac:dyDescent="0.25">
      <c r="A113">
        <v>112</v>
      </c>
      <c r="B113" t="s">
        <v>662</v>
      </c>
      <c r="C113" t="s">
        <v>663</v>
      </c>
      <c r="D113" t="s">
        <v>664</v>
      </c>
      <c r="E113" t="s">
        <v>665</v>
      </c>
      <c r="F113" t="str">
        <f>IF(M113&lt;&gt;"",VLOOKUP(M113,zastavky!E:F,2,FALSE),"")</f>
        <v/>
      </c>
      <c r="G113" t="s">
        <v>666</v>
      </c>
      <c r="H113" t="s">
        <v>667</v>
      </c>
      <c r="I113">
        <v>1</v>
      </c>
      <c r="J113" t="s">
        <v>18</v>
      </c>
      <c r="L113">
        <v>1</v>
      </c>
    </row>
    <row r="114" spans="1:12" x14ac:dyDescent="0.25">
      <c r="A114">
        <v>113</v>
      </c>
      <c r="B114" t="s">
        <v>668</v>
      </c>
      <c r="C114" t="s">
        <v>669</v>
      </c>
      <c r="D114" t="s">
        <v>670</v>
      </c>
      <c r="E114" t="s">
        <v>671</v>
      </c>
      <c r="F114" t="str">
        <f>IF(M114&lt;&gt;"",VLOOKUP(M114,zastavky!E:F,2,FALSE),"")</f>
        <v/>
      </c>
      <c r="G114" t="s">
        <v>672</v>
      </c>
      <c r="H114" t="s">
        <v>673</v>
      </c>
      <c r="I114">
        <v>1</v>
      </c>
      <c r="J114" t="s">
        <v>18</v>
      </c>
      <c r="L114">
        <v>1</v>
      </c>
    </row>
    <row r="115" spans="1:12" x14ac:dyDescent="0.25">
      <c r="A115">
        <v>114</v>
      </c>
      <c r="B115" t="s">
        <v>674</v>
      </c>
      <c r="C115" t="s">
        <v>675</v>
      </c>
      <c r="D115" t="s">
        <v>676</v>
      </c>
      <c r="E115" t="s">
        <v>677</v>
      </c>
      <c r="F115" t="str">
        <f>IF(M115&lt;&gt;"",VLOOKUP(M115,zastavky!E:F,2,FALSE),"")</f>
        <v/>
      </c>
      <c r="G115" t="s">
        <v>678</v>
      </c>
      <c r="H115" t="s">
        <v>679</v>
      </c>
      <c r="I115">
        <v>1</v>
      </c>
      <c r="J115" t="s">
        <v>18</v>
      </c>
      <c r="L115">
        <v>1</v>
      </c>
    </row>
    <row r="116" spans="1:12" x14ac:dyDescent="0.25">
      <c r="A116">
        <v>115</v>
      </c>
      <c r="B116" t="s">
        <v>680</v>
      </c>
      <c r="C116" t="s">
        <v>681</v>
      </c>
      <c r="D116" t="s">
        <v>682</v>
      </c>
      <c r="E116" t="s">
        <v>683</v>
      </c>
      <c r="F116" t="str">
        <f>IF(M116&lt;&gt;"",VLOOKUP(M116,zastavky!E:F,2,FALSE),"")</f>
        <v/>
      </c>
      <c r="G116" t="s">
        <v>684</v>
      </c>
      <c r="H116" t="s">
        <v>685</v>
      </c>
      <c r="I116">
        <v>1</v>
      </c>
      <c r="J116" t="s">
        <v>18</v>
      </c>
      <c r="L116">
        <v>1</v>
      </c>
    </row>
    <row r="117" spans="1:12" x14ac:dyDescent="0.25">
      <c r="A117">
        <v>116</v>
      </c>
      <c r="B117" t="s">
        <v>686</v>
      </c>
      <c r="C117" t="s">
        <v>687</v>
      </c>
      <c r="D117" t="s">
        <v>688</v>
      </c>
      <c r="E117" t="s">
        <v>689</v>
      </c>
      <c r="F117" t="str">
        <f>IF(M117&lt;&gt;"",VLOOKUP(M117,zastavky!E:F,2,FALSE),"")</f>
        <v/>
      </c>
      <c r="G117" t="s">
        <v>690</v>
      </c>
      <c r="H117" t="s">
        <v>691</v>
      </c>
      <c r="I117">
        <v>1</v>
      </c>
      <c r="J117" t="s">
        <v>18</v>
      </c>
      <c r="L117">
        <v>1</v>
      </c>
    </row>
    <row r="118" spans="1:12" x14ac:dyDescent="0.25">
      <c r="A118">
        <v>117</v>
      </c>
      <c r="B118" t="s">
        <v>692</v>
      </c>
      <c r="C118" t="s">
        <v>693</v>
      </c>
      <c r="D118" t="s">
        <v>694</v>
      </c>
      <c r="E118" t="s">
        <v>695</v>
      </c>
      <c r="F118" t="str">
        <f>IF(M118&lt;&gt;"",VLOOKUP(M118,zastavky!E:F,2,FALSE),"")</f>
        <v/>
      </c>
      <c r="G118" t="s">
        <v>696</v>
      </c>
      <c r="H118" t="s">
        <v>697</v>
      </c>
      <c r="I118">
        <v>1</v>
      </c>
      <c r="J118" t="s">
        <v>18</v>
      </c>
      <c r="L118">
        <v>1</v>
      </c>
    </row>
    <row r="119" spans="1:12" x14ac:dyDescent="0.25">
      <c r="A119">
        <v>118</v>
      </c>
      <c r="B119" t="s">
        <v>698</v>
      </c>
      <c r="C119" t="s">
        <v>699</v>
      </c>
      <c r="D119" t="s">
        <v>700</v>
      </c>
      <c r="E119" t="s">
        <v>701</v>
      </c>
      <c r="F119" t="str">
        <f>IF(M119&lt;&gt;"",VLOOKUP(M119,zastavky!E:F,2,FALSE),"")</f>
        <v/>
      </c>
      <c r="G119" t="s">
        <v>702</v>
      </c>
      <c r="H119" t="s">
        <v>703</v>
      </c>
      <c r="I119">
        <v>1</v>
      </c>
      <c r="J119" t="s">
        <v>18</v>
      </c>
      <c r="L119">
        <v>1</v>
      </c>
    </row>
    <row r="120" spans="1:12" x14ac:dyDescent="0.25">
      <c r="A120">
        <v>119</v>
      </c>
      <c r="B120" t="s">
        <v>704</v>
      </c>
      <c r="C120" t="s">
        <v>705</v>
      </c>
      <c r="D120" t="s">
        <v>706</v>
      </c>
      <c r="E120" t="s">
        <v>707</v>
      </c>
      <c r="F120" t="str">
        <f>IF(M120&lt;&gt;"",VLOOKUP(M120,zastavky!E:F,2,FALSE),"")</f>
        <v/>
      </c>
      <c r="G120" t="s">
        <v>708</v>
      </c>
      <c r="H120" t="s">
        <v>709</v>
      </c>
      <c r="I120">
        <v>1</v>
      </c>
      <c r="J120" t="s">
        <v>18</v>
      </c>
      <c r="L120">
        <v>1</v>
      </c>
    </row>
    <row r="121" spans="1:12" x14ac:dyDescent="0.25">
      <c r="A121">
        <v>120</v>
      </c>
      <c r="B121" t="s">
        <v>710</v>
      </c>
      <c r="C121" t="s">
        <v>711</v>
      </c>
      <c r="D121" t="s">
        <v>712</v>
      </c>
      <c r="E121" t="s">
        <v>713</v>
      </c>
      <c r="F121" t="str">
        <f>IF(M121&lt;&gt;"",VLOOKUP(M121,zastavky!E:F,2,FALSE),"")</f>
        <v/>
      </c>
      <c r="G121" t="s">
        <v>714</v>
      </c>
      <c r="H121" t="s">
        <v>715</v>
      </c>
      <c r="I121">
        <v>1</v>
      </c>
      <c r="J121" t="s">
        <v>18</v>
      </c>
      <c r="L121">
        <v>1</v>
      </c>
    </row>
    <row r="122" spans="1:12" x14ac:dyDescent="0.25">
      <c r="A122">
        <v>121</v>
      </c>
      <c r="B122" t="s">
        <v>716</v>
      </c>
      <c r="C122" t="s">
        <v>717</v>
      </c>
      <c r="D122" t="s">
        <v>718</v>
      </c>
      <c r="E122" t="s">
        <v>719</v>
      </c>
      <c r="F122" t="str">
        <f>IF(M122&lt;&gt;"",VLOOKUP(M122,zastavky!E:F,2,FALSE),"")</f>
        <v/>
      </c>
      <c r="G122" t="s">
        <v>720</v>
      </c>
      <c r="H122" t="s">
        <v>721</v>
      </c>
      <c r="I122">
        <v>1</v>
      </c>
      <c r="J122" t="s">
        <v>18</v>
      </c>
      <c r="L122">
        <v>1</v>
      </c>
    </row>
    <row r="123" spans="1:12" x14ac:dyDescent="0.25">
      <c r="A123">
        <v>122</v>
      </c>
      <c r="B123" t="s">
        <v>722</v>
      </c>
      <c r="C123" t="s">
        <v>723</v>
      </c>
      <c r="D123" t="s">
        <v>724</v>
      </c>
      <c r="E123" t="s">
        <v>725</v>
      </c>
      <c r="F123" t="str">
        <f>IF(M123&lt;&gt;"",VLOOKUP(M123,zastavky!E:F,2,FALSE),"")</f>
        <v/>
      </c>
      <c r="G123" t="s">
        <v>726</v>
      </c>
      <c r="H123" t="s">
        <v>727</v>
      </c>
      <c r="I123">
        <v>1</v>
      </c>
      <c r="J123" t="s">
        <v>18</v>
      </c>
      <c r="L123">
        <v>1</v>
      </c>
    </row>
    <row r="124" spans="1:12" x14ac:dyDescent="0.25">
      <c r="A124">
        <v>123</v>
      </c>
      <c r="B124" t="s">
        <v>728</v>
      </c>
      <c r="C124" t="s">
        <v>729</v>
      </c>
      <c r="D124" t="s">
        <v>730</v>
      </c>
      <c r="E124" t="s">
        <v>731</v>
      </c>
      <c r="F124" t="str">
        <f>IF(M124&lt;&gt;"",VLOOKUP(M124,zastavky!E:F,2,FALSE),"")</f>
        <v/>
      </c>
      <c r="G124" t="s">
        <v>732</v>
      </c>
      <c r="H124" t="s">
        <v>733</v>
      </c>
      <c r="I124">
        <v>1</v>
      </c>
      <c r="J124" t="s">
        <v>18</v>
      </c>
      <c r="L124">
        <v>1</v>
      </c>
    </row>
    <row r="125" spans="1:12" x14ac:dyDescent="0.25">
      <c r="A125">
        <v>124</v>
      </c>
      <c r="B125" t="s">
        <v>734</v>
      </c>
      <c r="C125" t="s">
        <v>413</v>
      </c>
      <c r="D125" t="s">
        <v>658</v>
      </c>
      <c r="E125" t="s">
        <v>735</v>
      </c>
      <c r="F125" t="str">
        <f>IF(M125&lt;&gt;"",VLOOKUP(M125,zastavky!E:F,2,FALSE),"")</f>
        <v/>
      </c>
      <c r="G125" t="s">
        <v>736</v>
      </c>
      <c r="H125" t="s">
        <v>737</v>
      </c>
      <c r="I125">
        <v>1</v>
      </c>
      <c r="J125" t="s">
        <v>18</v>
      </c>
      <c r="L125">
        <v>1</v>
      </c>
    </row>
    <row r="126" spans="1:12" x14ac:dyDescent="0.25">
      <c r="A126">
        <v>125</v>
      </c>
      <c r="B126" t="s">
        <v>738</v>
      </c>
      <c r="C126" t="s">
        <v>739</v>
      </c>
      <c r="D126" t="s">
        <v>740</v>
      </c>
      <c r="E126" t="s">
        <v>741</v>
      </c>
      <c r="F126" t="str">
        <f>IF(M126&lt;&gt;"",VLOOKUP(M126,zastavky!E:F,2,FALSE),"")</f>
        <v/>
      </c>
      <c r="G126" t="s">
        <v>742</v>
      </c>
      <c r="H126" t="s">
        <v>743</v>
      </c>
      <c r="I126">
        <v>1</v>
      </c>
      <c r="J126" t="s">
        <v>18</v>
      </c>
      <c r="L126">
        <v>1</v>
      </c>
    </row>
    <row r="127" spans="1:12" x14ac:dyDescent="0.25">
      <c r="A127">
        <v>126</v>
      </c>
      <c r="B127" t="s">
        <v>744</v>
      </c>
      <c r="C127" t="s">
        <v>745</v>
      </c>
      <c r="D127" t="s">
        <v>746</v>
      </c>
      <c r="E127" t="s">
        <v>747</v>
      </c>
      <c r="F127" t="str">
        <f>IF(M127&lt;&gt;"",VLOOKUP(M127,zastavky!E:F,2,FALSE),"")</f>
        <v/>
      </c>
      <c r="G127" t="s">
        <v>748</v>
      </c>
      <c r="H127" t="s">
        <v>749</v>
      </c>
      <c r="I127">
        <v>4</v>
      </c>
      <c r="J127" t="s">
        <v>18</v>
      </c>
      <c r="L127">
        <v>1</v>
      </c>
    </row>
    <row r="128" spans="1:12" x14ac:dyDescent="0.25">
      <c r="A128">
        <v>127</v>
      </c>
      <c r="B128" t="s">
        <v>750</v>
      </c>
      <c r="C128" t="s">
        <v>751</v>
      </c>
      <c r="D128" t="s">
        <v>752</v>
      </c>
      <c r="E128" t="s">
        <v>753</v>
      </c>
      <c r="F128" t="str">
        <f>IF(M128&lt;&gt;"",VLOOKUP(M128,zastavky!E:F,2,FALSE),"")</f>
        <v/>
      </c>
      <c r="G128" t="s">
        <v>754</v>
      </c>
      <c r="H128" t="s">
        <v>755</v>
      </c>
      <c r="I128">
        <v>4</v>
      </c>
      <c r="J128" t="s">
        <v>18</v>
      </c>
      <c r="L128">
        <v>1</v>
      </c>
    </row>
    <row r="129" spans="1:12" x14ac:dyDescent="0.25">
      <c r="A129">
        <v>128</v>
      </c>
      <c r="B129" t="s">
        <v>756</v>
      </c>
      <c r="C129" t="s">
        <v>757</v>
      </c>
      <c r="D129" t="s">
        <v>758</v>
      </c>
      <c r="E129" t="s">
        <v>759</v>
      </c>
      <c r="F129" t="str">
        <f>IF(M129&lt;&gt;"",VLOOKUP(M129,zastavky!E:F,2,FALSE),"")</f>
        <v/>
      </c>
      <c r="G129" t="s">
        <v>760</v>
      </c>
      <c r="H129" t="s">
        <v>761</v>
      </c>
      <c r="I129">
        <v>4</v>
      </c>
      <c r="J129" t="s">
        <v>18</v>
      </c>
      <c r="L129">
        <v>1</v>
      </c>
    </row>
    <row r="130" spans="1:12" x14ac:dyDescent="0.25">
      <c r="A130">
        <v>129</v>
      </c>
      <c r="B130" t="s">
        <v>762</v>
      </c>
      <c r="C130" t="s">
        <v>763</v>
      </c>
      <c r="D130" t="s">
        <v>764</v>
      </c>
      <c r="E130" t="s">
        <v>765</v>
      </c>
      <c r="F130" t="str">
        <f>IF(M130&lt;&gt;"",VLOOKUP(M130,zastavky!E:F,2,FALSE),"")</f>
        <v/>
      </c>
      <c r="G130" t="s">
        <v>766</v>
      </c>
      <c r="H130" t="s">
        <v>767</v>
      </c>
      <c r="I130">
        <v>4</v>
      </c>
      <c r="J130" t="s">
        <v>18</v>
      </c>
      <c r="L130">
        <v>1</v>
      </c>
    </row>
    <row r="131" spans="1:12" x14ac:dyDescent="0.25">
      <c r="A131">
        <v>130</v>
      </c>
      <c r="B131" t="s">
        <v>768</v>
      </c>
      <c r="C131" t="s">
        <v>769</v>
      </c>
      <c r="D131" t="s">
        <v>770</v>
      </c>
      <c r="E131" t="s">
        <v>771</v>
      </c>
      <c r="F131" t="str">
        <f>IF(M131&lt;&gt;"",VLOOKUP(M131,zastavky!E:F,2,FALSE),"")</f>
        <v/>
      </c>
      <c r="G131" t="s">
        <v>772</v>
      </c>
      <c r="H131" t="s">
        <v>773</v>
      </c>
      <c r="I131">
        <v>4</v>
      </c>
      <c r="J131" t="s">
        <v>18</v>
      </c>
      <c r="L131">
        <v>1</v>
      </c>
    </row>
    <row r="132" spans="1:12" x14ac:dyDescent="0.25">
      <c r="A132">
        <v>131</v>
      </c>
      <c r="B132" t="s">
        <v>774</v>
      </c>
      <c r="C132" t="s">
        <v>769</v>
      </c>
      <c r="D132" t="s">
        <v>706</v>
      </c>
      <c r="E132" t="s">
        <v>775</v>
      </c>
      <c r="F132" t="str">
        <f>IF(M132&lt;&gt;"",VLOOKUP(M132,zastavky!E:F,2,FALSE),"")</f>
        <v/>
      </c>
      <c r="G132" t="s">
        <v>776</v>
      </c>
      <c r="H132" t="s">
        <v>773</v>
      </c>
      <c r="I132">
        <v>4</v>
      </c>
      <c r="J132" t="s">
        <v>18</v>
      </c>
      <c r="L132">
        <v>1</v>
      </c>
    </row>
    <row r="133" spans="1:12" x14ac:dyDescent="0.25">
      <c r="A133">
        <v>132</v>
      </c>
      <c r="B133" t="s">
        <v>777</v>
      </c>
      <c r="C133" t="s">
        <v>778</v>
      </c>
      <c r="D133" t="s">
        <v>779</v>
      </c>
      <c r="E133" t="s">
        <v>780</v>
      </c>
      <c r="F133" t="str">
        <f>IF(M133&lt;&gt;"",VLOOKUP(M133,zastavky!E:F,2,FALSE),"")</f>
        <v/>
      </c>
      <c r="G133" t="s">
        <v>781</v>
      </c>
      <c r="H133" t="s">
        <v>782</v>
      </c>
      <c r="I133">
        <v>4</v>
      </c>
      <c r="J133" t="s">
        <v>18</v>
      </c>
      <c r="L133">
        <v>1</v>
      </c>
    </row>
    <row r="134" spans="1:12" x14ac:dyDescent="0.25">
      <c r="A134">
        <v>133</v>
      </c>
      <c r="B134" t="s">
        <v>783</v>
      </c>
      <c r="C134" t="s">
        <v>784</v>
      </c>
      <c r="D134" t="s">
        <v>785</v>
      </c>
      <c r="E134" t="s">
        <v>786</v>
      </c>
      <c r="F134" t="str">
        <f>IF(M134&lt;&gt;"",VLOOKUP(M134,zastavky!E:F,2,FALSE),"")</f>
        <v/>
      </c>
      <c r="G134" t="s">
        <v>787</v>
      </c>
      <c r="H134" t="s">
        <v>788</v>
      </c>
      <c r="I134">
        <v>4</v>
      </c>
      <c r="J134" t="s">
        <v>18</v>
      </c>
      <c r="L134">
        <v>1</v>
      </c>
    </row>
    <row r="135" spans="1:12" x14ac:dyDescent="0.25">
      <c r="A135">
        <v>134</v>
      </c>
      <c r="B135" t="s">
        <v>789</v>
      </c>
      <c r="C135" t="s">
        <v>790</v>
      </c>
      <c r="D135" t="s">
        <v>791</v>
      </c>
      <c r="E135" t="s">
        <v>792</v>
      </c>
      <c r="F135" t="str">
        <f>IF(M135&lt;&gt;"",VLOOKUP(M135,zastavky!E:F,2,FALSE),"")</f>
        <v/>
      </c>
      <c r="G135" t="s">
        <v>793</v>
      </c>
      <c r="H135" t="s">
        <v>794</v>
      </c>
      <c r="I135">
        <v>4</v>
      </c>
      <c r="J135" t="s">
        <v>18</v>
      </c>
      <c r="L135">
        <v>1</v>
      </c>
    </row>
    <row r="136" spans="1:12" x14ac:dyDescent="0.25">
      <c r="A136">
        <v>135</v>
      </c>
      <c r="B136" t="s">
        <v>795</v>
      </c>
      <c r="C136" t="s">
        <v>796</v>
      </c>
      <c r="D136" t="s">
        <v>797</v>
      </c>
      <c r="E136" t="s">
        <v>798</v>
      </c>
      <c r="F136" t="str">
        <f>IF(M136&lt;&gt;"",VLOOKUP(M136,zastavky!E:F,2,FALSE),"")</f>
        <v/>
      </c>
      <c r="G136" t="s">
        <v>799</v>
      </c>
      <c r="H136" t="s">
        <v>800</v>
      </c>
      <c r="I136">
        <v>4</v>
      </c>
      <c r="J136" t="s">
        <v>18</v>
      </c>
      <c r="L136">
        <v>1</v>
      </c>
    </row>
    <row r="137" spans="1:12" x14ac:dyDescent="0.25">
      <c r="A137">
        <v>136</v>
      </c>
      <c r="B137" t="s">
        <v>801</v>
      </c>
      <c r="C137" t="s">
        <v>802</v>
      </c>
      <c r="D137" t="s">
        <v>803</v>
      </c>
      <c r="E137" t="s">
        <v>804</v>
      </c>
      <c r="F137" t="str">
        <f>IF(M137&lt;&gt;"",VLOOKUP(M137,zastavky!E:F,2,FALSE),"")</f>
        <v/>
      </c>
      <c r="G137" t="s">
        <v>805</v>
      </c>
      <c r="H137" t="s">
        <v>806</v>
      </c>
      <c r="I137">
        <v>4</v>
      </c>
      <c r="J137" t="s">
        <v>18</v>
      </c>
      <c r="L137">
        <v>1</v>
      </c>
    </row>
    <row r="138" spans="1:12" x14ac:dyDescent="0.25">
      <c r="A138">
        <v>137</v>
      </c>
      <c r="B138" t="s">
        <v>807</v>
      </c>
      <c r="C138" t="s">
        <v>808</v>
      </c>
      <c r="D138" t="s">
        <v>809</v>
      </c>
      <c r="E138" t="s">
        <v>810</v>
      </c>
      <c r="F138" t="str">
        <f>IF(M138&lt;&gt;"",VLOOKUP(M138,zastavky!E:F,2,FALSE),"")</f>
        <v/>
      </c>
      <c r="G138" t="s">
        <v>811</v>
      </c>
      <c r="H138" t="s">
        <v>812</v>
      </c>
      <c r="I138">
        <v>4</v>
      </c>
      <c r="J138" t="s">
        <v>18</v>
      </c>
      <c r="L138">
        <v>1</v>
      </c>
    </row>
    <row r="139" spans="1:12" x14ac:dyDescent="0.25">
      <c r="A139">
        <v>138</v>
      </c>
      <c r="B139" t="s">
        <v>813</v>
      </c>
      <c r="C139" t="s">
        <v>814</v>
      </c>
      <c r="D139" t="s">
        <v>815</v>
      </c>
      <c r="E139" t="s">
        <v>816</v>
      </c>
      <c r="F139" t="str">
        <f>IF(M139&lt;&gt;"",VLOOKUP(M139,zastavky!E:F,2,FALSE),"")</f>
        <v/>
      </c>
      <c r="G139" t="s">
        <v>817</v>
      </c>
      <c r="H139" t="s">
        <v>818</v>
      </c>
      <c r="I139">
        <v>4</v>
      </c>
      <c r="J139" t="s">
        <v>18</v>
      </c>
      <c r="L139">
        <v>1</v>
      </c>
    </row>
    <row r="140" spans="1:12" x14ac:dyDescent="0.25">
      <c r="A140">
        <v>139</v>
      </c>
      <c r="B140" t="s">
        <v>819</v>
      </c>
      <c r="C140" t="s">
        <v>820</v>
      </c>
      <c r="D140" t="s">
        <v>821</v>
      </c>
      <c r="E140" t="s">
        <v>822</v>
      </c>
      <c r="F140" t="str">
        <f>IF(M140&lt;&gt;"",VLOOKUP(M140,zastavky!E:F,2,FALSE),"")</f>
        <v/>
      </c>
      <c r="G140" t="s">
        <v>823</v>
      </c>
      <c r="H140" t="s">
        <v>824</v>
      </c>
      <c r="I140">
        <v>4</v>
      </c>
      <c r="J140" t="s">
        <v>18</v>
      </c>
      <c r="L140">
        <v>1</v>
      </c>
    </row>
    <row r="141" spans="1:12" x14ac:dyDescent="0.25">
      <c r="A141">
        <v>140</v>
      </c>
      <c r="B141" t="s">
        <v>825</v>
      </c>
      <c r="C141" t="s">
        <v>826</v>
      </c>
      <c r="D141" t="s">
        <v>827</v>
      </c>
      <c r="E141" t="s">
        <v>828</v>
      </c>
      <c r="F141" t="str">
        <f>IF(M141&lt;&gt;"",VLOOKUP(M141,zastavky!E:F,2,FALSE),"")</f>
        <v/>
      </c>
      <c r="G141" t="s">
        <v>829</v>
      </c>
      <c r="H141" t="s">
        <v>830</v>
      </c>
      <c r="I141">
        <v>4</v>
      </c>
      <c r="J141" t="s">
        <v>18</v>
      </c>
      <c r="L141">
        <v>1</v>
      </c>
    </row>
    <row r="142" spans="1:12" x14ac:dyDescent="0.25">
      <c r="A142">
        <v>141</v>
      </c>
      <c r="B142" t="s">
        <v>831</v>
      </c>
      <c r="C142" t="s">
        <v>832</v>
      </c>
      <c r="D142" t="s">
        <v>833</v>
      </c>
      <c r="E142" t="s">
        <v>834</v>
      </c>
      <c r="F142" t="str">
        <f>IF(M142&lt;&gt;"",VLOOKUP(M142,zastavky!E:F,2,FALSE),"")</f>
        <v/>
      </c>
      <c r="G142" t="s">
        <v>835</v>
      </c>
      <c r="H142" t="s">
        <v>836</v>
      </c>
      <c r="I142">
        <v>4</v>
      </c>
      <c r="J142" t="s">
        <v>18</v>
      </c>
      <c r="L142">
        <v>1</v>
      </c>
    </row>
    <row r="143" spans="1:12" x14ac:dyDescent="0.25">
      <c r="A143">
        <v>142</v>
      </c>
      <c r="B143" t="s">
        <v>837</v>
      </c>
      <c r="C143" t="s">
        <v>838</v>
      </c>
      <c r="D143" t="s">
        <v>839</v>
      </c>
      <c r="E143" t="s">
        <v>840</v>
      </c>
      <c r="F143" t="str">
        <f>IF(M143&lt;&gt;"",VLOOKUP(M143,zastavky!E:F,2,FALSE),"")</f>
        <v/>
      </c>
      <c r="G143" t="s">
        <v>841</v>
      </c>
      <c r="H143" t="s">
        <v>842</v>
      </c>
      <c r="I143">
        <v>4</v>
      </c>
      <c r="J143" t="s">
        <v>18</v>
      </c>
      <c r="L143">
        <v>1</v>
      </c>
    </row>
    <row r="144" spans="1:12" x14ac:dyDescent="0.25">
      <c r="A144">
        <v>143</v>
      </c>
      <c r="B144" t="s">
        <v>843</v>
      </c>
      <c r="C144" t="s">
        <v>844</v>
      </c>
      <c r="D144" t="s">
        <v>845</v>
      </c>
      <c r="E144" t="s">
        <v>846</v>
      </c>
      <c r="F144" t="str">
        <f>IF(M144&lt;&gt;"",VLOOKUP(M144,zastavky!E:F,2,FALSE),"")</f>
        <v/>
      </c>
      <c r="G144" t="s">
        <v>847</v>
      </c>
      <c r="H144" t="s">
        <v>848</v>
      </c>
      <c r="I144">
        <v>4</v>
      </c>
      <c r="J144" t="s">
        <v>18</v>
      </c>
      <c r="L144">
        <v>1</v>
      </c>
    </row>
    <row r="145" spans="1:12" x14ac:dyDescent="0.25">
      <c r="A145">
        <v>144</v>
      </c>
      <c r="B145" t="s">
        <v>849</v>
      </c>
      <c r="C145" t="s">
        <v>850</v>
      </c>
      <c r="D145" t="s">
        <v>851</v>
      </c>
      <c r="E145" t="s">
        <v>852</v>
      </c>
      <c r="F145" t="str">
        <f>IF(M145&lt;&gt;"",VLOOKUP(M145,zastavky!E:F,2,FALSE),"")</f>
        <v/>
      </c>
      <c r="G145" t="s">
        <v>853</v>
      </c>
      <c r="H145" t="s">
        <v>854</v>
      </c>
      <c r="I145">
        <v>4</v>
      </c>
      <c r="J145" t="s">
        <v>18</v>
      </c>
      <c r="L145">
        <v>1</v>
      </c>
    </row>
    <row r="146" spans="1:12" x14ac:dyDescent="0.25">
      <c r="A146">
        <v>145</v>
      </c>
      <c r="B146" t="s">
        <v>855</v>
      </c>
      <c r="C146" t="s">
        <v>856</v>
      </c>
      <c r="D146" t="s">
        <v>857</v>
      </c>
      <c r="E146" t="s">
        <v>858</v>
      </c>
      <c r="F146" t="str">
        <f>IF(M146&lt;&gt;"",VLOOKUP(M146,zastavky!E:F,2,FALSE),"")</f>
        <v/>
      </c>
      <c r="G146" t="s">
        <v>859</v>
      </c>
      <c r="H146" t="s">
        <v>860</v>
      </c>
      <c r="I146">
        <v>4</v>
      </c>
      <c r="J146" t="s">
        <v>18</v>
      </c>
      <c r="L146">
        <v>1</v>
      </c>
    </row>
    <row r="147" spans="1:12" x14ac:dyDescent="0.25">
      <c r="A147">
        <v>146</v>
      </c>
      <c r="B147" t="s">
        <v>861</v>
      </c>
      <c r="C147" t="s">
        <v>862</v>
      </c>
      <c r="D147" t="s">
        <v>863</v>
      </c>
      <c r="E147" t="s">
        <v>864</v>
      </c>
      <c r="F147" t="str">
        <f>IF(M147&lt;&gt;"",VLOOKUP(M147,zastavky!E:F,2,FALSE),"")</f>
        <v/>
      </c>
      <c r="G147" t="s">
        <v>865</v>
      </c>
      <c r="H147" t="s">
        <v>866</v>
      </c>
      <c r="I147">
        <v>4</v>
      </c>
      <c r="J147" t="s">
        <v>18</v>
      </c>
      <c r="L147">
        <v>1</v>
      </c>
    </row>
    <row r="148" spans="1:12" x14ac:dyDescent="0.25">
      <c r="A148">
        <v>147</v>
      </c>
      <c r="B148" t="s">
        <v>867</v>
      </c>
      <c r="C148" t="s">
        <v>868</v>
      </c>
      <c r="D148" t="s">
        <v>869</v>
      </c>
      <c r="E148" t="s">
        <v>870</v>
      </c>
      <c r="F148" t="str">
        <f>IF(M148&lt;&gt;"",VLOOKUP(M148,zastavky!E:F,2,FALSE),"")</f>
        <v/>
      </c>
      <c r="G148" t="s">
        <v>871</v>
      </c>
      <c r="H148" t="s">
        <v>872</v>
      </c>
      <c r="I148">
        <v>4</v>
      </c>
      <c r="J148" t="s">
        <v>18</v>
      </c>
      <c r="L148">
        <v>1</v>
      </c>
    </row>
    <row r="149" spans="1:12" x14ac:dyDescent="0.25">
      <c r="A149">
        <v>148</v>
      </c>
      <c r="B149" t="s">
        <v>873</v>
      </c>
      <c r="C149" t="s">
        <v>874</v>
      </c>
      <c r="D149" t="s">
        <v>875</v>
      </c>
      <c r="E149" t="s">
        <v>876</v>
      </c>
      <c r="F149" t="str">
        <f>IF(M149&lt;&gt;"",VLOOKUP(M149,zastavky!E:F,2,FALSE),"")</f>
        <v/>
      </c>
      <c r="G149" t="s">
        <v>877</v>
      </c>
      <c r="H149" t="s">
        <v>878</v>
      </c>
      <c r="I149">
        <v>4</v>
      </c>
      <c r="J149" t="s">
        <v>18</v>
      </c>
      <c r="L149">
        <v>1</v>
      </c>
    </row>
    <row r="150" spans="1:12" x14ac:dyDescent="0.25">
      <c r="A150">
        <v>149</v>
      </c>
      <c r="B150" t="s">
        <v>879</v>
      </c>
      <c r="C150" t="s">
        <v>880</v>
      </c>
      <c r="D150" t="s">
        <v>881</v>
      </c>
      <c r="E150" t="s">
        <v>882</v>
      </c>
      <c r="F150" t="str">
        <f>IF(M150&lt;&gt;"",VLOOKUP(M150,zastavky!E:F,2,FALSE),"")</f>
        <v/>
      </c>
      <c r="G150" t="s">
        <v>883</v>
      </c>
      <c r="H150" t="s">
        <v>884</v>
      </c>
      <c r="I150">
        <v>4</v>
      </c>
      <c r="J150" t="s">
        <v>18</v>
      </c>
      <c r="L150">
        <v>1</v>
      </c>
    </row>
    <row r="151" spans="1:12" x14ac:dyDescent="0.25">
      <c r="A151">
        <v>150</v>
      </c>
      <c r="B151" t="s">
        <v>885</v>
      </c>
      <c r="C151" t="s">
        <v>886</v>
      </c>
      <c r="D151" t="s">
        <v>887</v>
      </c>
      <c r="E151" t="s">
        <v>888</v>
      </c>
      <c r="F151" t="str">
        <f>IF(M151&lt;&gt;"",VLOOKUP(M151,zastavky!E:F,2,FALSE),"")</f>
        <v/>
      </c>
      <c r="G151" t="s">
        <v>889</v>
      </c>
      <c r="H151" t="s">
        <v>890</v>
      </c>
      <c r="I151">
        <v>4</v>
      </c>
      <c r="J151" t="s">
        <v>18</v>
      </c>
      <c r="L151">
        <v>1</v>
      </c>
    </row>
    <row r="152" spans="1:12" x14ac:dyDescent="0.25">
      <c r="A152">
        <v>151</v>
      </c>
      <c r="B152" t="s">
        <v>891</v>
      </c>
      <c r="C152" t="s">
        <v>892</v>
      </c>
      <c r="D152" t="s">
        <v>893</v>
      </c>
      <c r="E152" t="s">
        <v>894</v>
      </c>
      <c r="F152" t="str">
        <f>IF(M152&lt;&gt;"",VLOOKUP(M152,zastavky!E:F,2,FALSE),"")</f>
        <v/>
      </c>
      <c r="G152" t="s">
        <v>895</v>
      </c>
      <c r="H152" t="s">
        <v>896</v>
      </c>
      <c r="I152">
        <v>4</v>
      </c>
      <c r="J152" t="s">
        <v>18</v>
      </c>
      <c r="L152">
        <v>1</v>
      </c>
    </row>
    <row r="153" spans="1:12" x14ac:dyDescent="0.25">
      <c r="A153">
        <v>152</v>
      </c>
      <c r="B153" t="s">
        <v>897</v>
      </c>
      <c r="C153" t="s">
        <v>898</v>
      </c>
      <c r="D153" t="s">
        <v>899</v>
      </c>
      <c r="E153" t="s">
        <v>900</v>
      </c>
      <c r="F153" t="str">
        <f>IF(M153&lt;&gt;"",VLOOKUP(M153,zastavky!E:F,2,FALSE),"")</f>
        <v/>
      </c>
      <c r="G153" t="s">
        <v>901</v>
      </c>
      <c r="H153" t="s">
        <v>902</v>
      </c>
      <c r="I153">
        <v>4</v>
      </c>
      <c r="J153" t="s">
        <v>18</v>
      </c>
      <c r="L153">
        <v>1</v>
      </c>
    </row>
    <row r="154" spans="1:12" x14ac:dyDescent="0.25">
      <c r="A154">
        <v>153</v>
      </c>
      <c r="B154" t="s">
        <v>484</v>
      </c>
      <c r="C154" t="s">
        <v>903</v>
      </c>
      <c r="D154" t="s">
        <v>664</v>
      </c>
      <c r="E154" t="s">
        <v>904</v>
      </c>
      <c r="F154" t="str">
        <f>IF(M154&lt;&gt;"",VLOOKUP(M154,zastavky!E:F,2,FALSE),"")</f>
        <v/>
      </c>
      <c r="G154" t="s">
        <v>905</v>
      </c>
      <c r="H154" t="s">
        <v>906</v>
      </c>
      <c r="I154">
        <v>4</v>
      </c>
      <c r="J154" t="s">
        <v>18</v>
      </c>
      <c r="L154">
        <v>1</v>
      </c>
    </row>
    <row r="155" spans="1:12" x14ac:dyDescent="0.25">
      <c r="A155">
        <v>154</v>
      </c>
      <c r="B155" t="s">
        <v>907</v>
      </c>
      <c r="C155" t="s">
        <v>544</v>
      </c>
      <c r="D155" t="s">
        <v>908</v>
      </c>
      <c r="E155" t="s">
        <v>909</v>
      </c>
      <c r="F155" t="str">
        <f>IF(M155&lt;&gt;"",VLOOKUP(M155,zastavky!E:F,2,FALSE),"")</f>
        <v/>
      </c>
      <c r="G155" t="s">
        <v>910</v>
      </c>
      <c r="H155" t="s">
        <v>911</v>
      </c>
      <c r="I155">
        <v>4</v>
      </c>
      <c r="J155" t="s">
        <v>18</v>
      </c>
      <c r="L155">
        <v>1</v>
      </c>
    </row>
    <row r="156" spans="1:12" x14ac:dyDescent="0.25">
      <c r="A156">
        <v>155</v>
      </c>
      <c r="B156" t="s">
        <v>912</v>
      </c>
      <c r="C156" t="s">
        <v>913</v>
      </c>
      <c r="D156" t="s">
        <v>914</v>
      </c>
      <c r="E156" t="s">
        <v>915</v>
      </c>
      <c r="F156" t="str">
        <f>IF(M156&lt;&gt;"",VLOOKUP(M156,zastavky!E:F,2,FALSE),"")</f>
        <v/>
      </c>
      <c r="G156" t="s">
        <v>916</v>
      </c>
      <c r="H156" t="s">
        <v>917</v>
      </c>
      <c r="I156">
        <v>4</v>
      </c>
      <c r="J156" t="s">
        <v>18</v>
      </c>
      <c r="L156">
        <v>1</v>
      </c>
    </row>
    <row r="157" spans="1:12" x14ac:dyDescent="0.25">
      <c r="A157">
        <v>156</v>
      </c>
      <c r="B157" t="s">
        <v>918</v>
      </c>
      <c r="C157" t="s">
        <v>919</v>
      </c>
      <c r="D157" t="s">
        <v>920</v>
      </c>
      <c r="E157" t="s">
        <v>921</v>
      </c>
      <c r="F157" t="str">
        <f>IF(M157&lt;&gt;"",VLOOKUP(M157,zastavky!E:F,2,FALSE),"")</f>
        <v/>
      </c>
      <c r="G157" t="s">
        <v>922</v>
      </c>
      <c r="H157" t="s">
        <v>923</v>
      </c>
      <c r="I157">
        <v>4</v>
      </c>
      <c r="J157" t="s">
        <v>18</v>
      </c>
      <c r="L157">
        <v>1</v>
      </c>
    </row>
    <row r="158" spans="1:12" x14ac:dyDescent="0.25">
      <c r="A158">
        <v>157</v>
      </c>
      <c r="B158" t="s">
        <v>924</v>
      </c>
      <c r="C158" t="s">
        <v>925</v>
      </c>
      <c r="D158" t="s">
        <v>926</v>
      </c>
      <c r="E158" t="s">
        <v>927</v>
      </c>
      <c r="F158" t="str">
        <f>IF(M158&lt;&gt;"",VLOOKUP(M158,zastavky!E:F,2,FALSE),"")</f>
        <v/>
      </c>
      <c r="G158" t="s">
        <v>928</v>
      </c>
      <c r="H158" t="s">
        <v>929</v>
      </c>
      <c r="I158">
        <v>4</v>
      </c>
      <c r="J158" t="s">
        <v>18</v>
      </c>
      <c r="L158">
        <v>1</v>
      </c>
    </row>
    <row r="159" spans="1:12" x14ac:dyDescent="0.25">
      <c r="A159">
        <v>158</v>
      </c>
      <c r="B159" t="s">
        <v>930</v>
      </c>
      <c r="C159" t="s">
        <v>931</v>
      </c>
      <c r="D159" t="s">
        <v>932</v>
      </c>
      <c r="E159" t="s">
        <v>933</v>
      </c>
      <c r="F159" t="str">
        <f>IF(M159&lt;&gt;"",VLOOKUP(M159,zastavky!E:F,2,FALSE),"")</f>
        <v/>
      </c>
      <c r="G159" t="s">
        <v>934</v>
      </c>
      <c r="H159" t="s">
        <v>935</v>
      </c>
      <c r="I159">
        <v>4</v>
      </c>
      <c r="J159" t="s">
        <v>18</v>
      </c>
      <c r="L159">
        <v>1</v>
      </c>
    </row>
    <row r="160" spans="1:12" x14ac:dyDescent="0.25">
      <c r="A160">
        <v>159</v>
      </c>
      <c r="B160" t="s">
        <v>936</v>
      </c>
      <c r="C160" t="s">
        <v>937</v>
      </c>
      <c r="D160" t="s">
        <v>938</v>
      </c>
      <c r="E160" t="s">
        <v>939</v>
      </c>
      <c r="F160" t="str">
        <f>IF(M160&lt;&gt;"",VLOOKUP(M160,zastavky!E:F,2,FALSE),"")</f>
        <v/>
      </c>
      <c r="G160" t="s">
        <v>940</v>
      </c>
      <c r="H160" t="s">
        <v>941</v>
      </c>
      <c r="I160">
        <v>4</v>
      </c>
      <c r="J160" t="s">
        <v>18</v>
      </c>
      <c r="L160">
        <v>1</v>
      </c>
    </row>
    <row r="161" spans="1:12" x14ac:dyDescent="0.25">
      <c r="A161">
        <v>160</v>
      </c>
      <c r="B161" t="s">
        <v>942</v>
      </c>
      <c r="C161" t="s">
        <v>943</v>
      </c>
      <c r="D161" t="s">
        <v>944</v>
      </c>
      <c r="E161" t="s">
        <v>945</v>
      </c>
      <c r="F161" t="str">
        <f>IF(M161&lt;&gt;"",VLOOKUP(M161,zastavky!E:F,2,FALSE),"")</f>
        <v/>
      </c>
      <c r="G161" t="s">
        <v>946</v>
      </c>
      <c r="H161" t="s">
        <v>947</v>
      </c>
      <c r="I161">
        <v>4</v>
      </c>
      <c r="J161" t="s">
        <v>18</v>
      </c>
      <c r="L161">
        <v>1</v>
      </c>
    </row>
    <row r="162" spans="1:12" x14ac:dyDescent="0.25">
      <c r="A162">
        <v>161</v>
      </c>
      <c r="B162" t="s">
        <v>948</v>
      </c>
      <c r="C162" t="s">
        <v>949</v>
      </c>
      <c r="D162" t="s">
        <v>950</v>
      </c>
      <c r="E162" t="s">
        <v>951</v>
      </c>
      <c r="F162" t="str">
        <f>IF(M162&lt;&gt;"",VLOOKUP(M162,zastavky!E:F,2,FALSE),"")</f>
        <v/>
      </c>
      <c r="G162" t="s">
        <v>952</v>
      </c>
      <c r="H162" t="s">
        <v>953</v>
      </c>
      <c r="I162">
        <v>4</v>
      </c>
      <c r="J162" t="s">
        <v>18</v>
      </c>
      <c r="L162">
        <v>1</v>
      </c>
    </row>
    <row r="163" spans="1:12" x14ac:dyDescent="0.25">
      <c r="A163">
        <v>162</v>
      </c>
      <c r="B163" t="s">
        <v>954</v>
      </c>
      <c r="C163" t="s">
        <v>955</v>
      </c>
      <c r="D163" t="s">
        <v>956</v>
      </c>
      <c r="E163" t="s">
        <v>957</v>
      </c>
      <c r="F163" t="str">
        <f>IF(M163&lt;&gt;"",VLOOKUP(M163,zastavky!E:F,2,FALSE),"")</f>
        <v/>
      </c>
      <c r="G163" t="s">
        <v>958</v>
      </c>
      <c r="H163" t="s">
        <v>959</v>
      </c>
      <c r="I163">
        <v>4</v>
      </c>
      <c r="J163" t="s">
        <v>18</v>
      </c>
      <c r="L163">
        <v>1</v>
      </c>
    </row>
    <row r="164" spans="1:12" x14ac:dyDescent="0.25">
      <c r="A164">
        <v>163</v>
      </c>
      <c r="B164" t="s">
        <v>960</v>
      </c>
      <c r="C164" t="s">
        <v>961</v>
      </c>
      <c r="D164" t="s">
        <v>962</v>
      </c>
      <c r="E164" t="s">
        <v>963</v>
      </c>
      <c r="F164" t="str">
        <f>IF(M164&lt;&gt;"",VLOOKUP(M164,zastavky!E:F,2,FALSE),"")</f>
        <v/>
      </c>
      <c r="G164" t="s">
        <v>964</v>
      </c>
      <c r="H164" t="s">
        <v>965</v>
      </c>
      <c r="I164">
        <v>4</v>
      </c>
      <c r="J164" t="s">
        <v>18</v>
      </c>
      <c r="L164">
        <v>1</v>
      </c>
    </row>
    <row r="165" spans="1:12" x14ac:dyDescent="0.25">
      <c r="A165">
        <v>164</v>
      </c>
      <c r="B165" t="s">
        <v>966</v>
      </c>
      <c r="C165" t="s">
        <v>967</v>
      </c>
      <c r="D165" t="s">
        <v>968</v>
      </c>
      <c r="E165" t="s">
        <v>969</v>
      </c>
      <c r="F165" t="str">
        <f>IF(M165&lt;&gt;"",VLOOKUP(M165,zastavky!E:F,2,FALSE),"")</f>
        <v/>
      </c>
      <c r="G165" t="s">
        <v>970</v>
      </c>
      <c r="H165" t="s">
        <v>971</v>
      </c>
      <c r="I165">
        <v>4</v>
      </c>
      <c r="J165" t="s">
        <v>18</v>
      </c>
      <c r="L165">
        <v>1</v>
      </c>
    </row>
    <row r="166" spans="1:12" x14ac:dyDescent="0.25">
      <c r="A166">
        <v>165</v>
      </c>
      <c r="B166" t="s">
        <v>972</v>
      </c>
      <c r="C166" t="s">
        <v>973</v>
      </c>
      <c r="D166" t="s">
        <v>539</v>
      </c>
      <c r="E166" t="s">
        <v>974</v>
      </c>
      <c r="F166" t="str">
        <f>IF(M166&lt;&gt;"",VLOOKUP(M166,zastavky!E:F,2,FALSE),"")</f>
        <v/>
      </c>
      <c r="G166" t="s">
        <v>975</v>
      </c>
      <c r="H166" t="s">
        <v>976</v>
      </c>
      <c r="I166">
        <v>4</v>
      </c>
      <c r="J166" t="s">
        <v>18</v>
      </c>
      <c r="L166">
        <v>1</v>
      </c>
    </row>
    <row r="167" spans="1:12" x14ac:dyDescent="0.25">
      <c r="A167">
        <v>166</v>
      </c>
      <c r="B167" t="s">
        <v>977</v>
      </c>
      <c r="C167" t="s">
        <v>978</v>
      </c>
      <c r="D167" t="s">
        <v>979</v>
      </c>
      <c r="E167" t="s">
        <v>980</v>
      </c>
      <c r="F167" t="str">
        <f>IF(M167&lt;&gt;"",VLOOKUP(M167,zastavky!E:F,2,FALSE),"")</f>
        <v/>
      </c>
      <c r="G167" t="s">
        <v>981</v>
      </c>
      <c r="H167" t="s">
        <v>982</v>
      </c>
      <c r="I167">
        <v>6</v>
      </c>
      <c r="J167" t="s">
        <v>18</v>
      </c>
      <c r="L167">
        <v>1</v>
      </c>
    </row>
    <row r="168" spans="1:12" x14ac:dyDescent="0.25">
      <c r="A168">
        <v>167</v>
      </c>
      <c r="B168" t="s">
        <v>983</v>
      </c>
      <c r="C168" t="s">
        <v>984</v>
      </c>
      <c r="D168" t="s">
        <v>985</v>
      </c>
      <c r="E168" t="s">
        <v>986</v>
      </c>
      <c r="F168" t="str">
        <f>IF(M168&lt;&gt;"",VLOOKUP(M168,zastavky!E:F,2,FALSE),"")</f>
        <v/>
      </c>
      <c r="G168" t="s">
        <v>987</v>
      </c>
      <c r="H168" t="s">
        <v>988</v>
      </c>
      <c r="I168">
        <v>6</v>
      </c>
      <c r="J168" t="s">
        <v>18</v>
      </c>
      <c r="L168">
        <v>1</v>
      </c>
    </row>
    <row r="169" spans="1:12" x14ac:dyDescent="0.25">
      <c r="A169">
        <v>168</v>
      </c>
      <c r="B169" t="s">
        <v>989</v>
      </c>
      <c r="C169" t="s">
        <v>990</v>
      </c>
      <c r="D169" t="s">
        <v>991</v>
      </c>
      <c r="E169" t="s">
        <v>992</v>
      </c>
      <c r="F169" t="str">
        <f>IF(M169&lt;&gt;"",VLOOKUP(M169,zastavky!E:F,2,FALSE),"")</f>
        <v/>
      </c>
      <c r="G169" t="s">
        <v>993</v>
      </c>
      <c r="H169" t="s">
        <v>994</v>
      </c>
      <c r="I169">
        <v>6</v>
      </c>
      <c r="J169" t="s">
        <v>18</v>
      </c>
      <c r="L169">
        <v>1</v>
      </c>
    </row>
    <row r="170" spans="1:12" x14ac:dyDescent="0.25">
      <c r="A170">
        <v>169</v>
      </c>
      <c r="B170" t="s">
        <v>995</v>
      </c>
      <c r="C170" t="s">
        <v>996</v>
      </c>
      <c r="D170" t="s">
        <v>997</v>
      </c>
      <c r="E170" t="s">
        <v>998</v>
      </c>
      <c r="F170" t="str">
        <f>IF(M170&lt;&gt;"",VLOOKUP(M170,zastavky!E:F,2,FALSE),"")</f>
        <v/>
      </c>
      <c r="G170" t="s">
        <v>999</v>
      </c>
      <c r="H170" t="s">
        <v>1000</v>
      </c>
      <c r="I170">
        <v>6</v>
      </c>
      <c r="J170" t="s">
        <v>18</v>
      </c>
      <c r="L170">
        <v>1</v>
      </c>
    </row>
    <row r="171" spans="1:12" x14ac:dyDescent="0.25">
      <c r="A171">
        <v>170</v>
      </c>
      <c r="B171" t="s">
        <v>1001</v>
      </c>
      <c r="C171" t="s">
        <v>276</v>
      </c>
      <c r="D171" t="s">
        <v>1002</v>
      </c>
      <c r="E171" t="s">
        <v>1003</v>
      </c>
      <c r="F171" t="str">
        <f>IF(M171&lt;&gt;"",VLOOKUP(M171,zastavky!E:F,2,FALSE),"")</f>
        <v/>
      </c>
      <c r="G171" t="s">
        <v>1004</v>
      </c>
      <c r="H171" t="s">
        <v>1005</v>
      </c>
      <c r="I171">
        <v>6</v>
      </c>
      <c r="J171" t="s">
        <v>18</v>
      </c>
      <c r="L171">
        <v>1</v>
      </c>
    </row>
    <row r="172" spans="1:12" x14ac:dyDescent="0.25">
      <c r="A172">
        <v>171</v>
      </c>
      <c r="B172" t="s">
        <v>1006</v>
      </c>
      <c r="C172" t="s">
        <v>1007</v>
      </c>
      <c r="D172" t="s">
        <v>1008</v>
      </c>
      <c r="E172" t="s">
        <v>1009</v>
      </c>
      <c r="F172" t="str">
        <f>IF(M172&lt;&gt;"",VLOOKUP(M172,zastavky!E:F,2,FALSE),"")</f>
        <v/>
      </c>
      <c r="G172" t="s">
        <v>1010</v>
      </c>
      <c r="H172" t="s">
        <v>1011</v>
      </c>
      <c r="I172">
        <v>6</v>
      </c>
      <c r="J172" t="s">
        <v>18</v>
      </c>
      <c r="L172">
        <v>1</v>
      </c>
    </row>
    <row r="173" spans="1:12" x14ac:dyDescent="0.25">
      <c r="A173">
        <v>172</v>
      </c>
      <c r="B173" t="s">
        <v>1012</v>
      </c>
      <c r="C173" t="s">
        <v>1013</v>
      </c>
      <c r="D173" t="s">
        <v>1014</v>
      </c>
      <c r="E173" t="s">
        <v>1015</v>
      </c>
      <c r="F173" t="str">
        <f>IF(M173&lt;&gt;"",VLOOKUP(M173,zastavky!E:F,2,FALSE),"")</f>
        <v/>
      </c>
      <c r="G173" t="s">
        <v>1016</v>
      </c>
      <c r="H173" t="s">
        <v>1017</v>
      </c>
      <c r="I173">
        <v>6</v>
      </c>
      <c r="J173" t="s">
        <v>18</v>
      </c>
      <c r="L173">
        <v>1</v>
      </c>
    </row>
    <row r="174" spans="1:12" x14ac:dyDescent="0.25">
      <c r="A174">
        <v>173</v>
      </c>
      <c r="B174" t="s">
        <v>1018</v>
      </c>
      <c r="C174" t="s">
        <v>1019</v>
      </c>
      <c r="D174" t="s">
        <v>1020</v>
      </c>
      <c r="E174" t="s">
        <v>1021</v>
      </c>
      <c r="F174" t="str">
        <f>IF(M174&lt;&gt;"",VLOOKUP(M174,zastavky!E:F,2,FALSE),"")</f>
        <v/>
      </c>
      <c r="G174" t="s">
        <v>1022</v>
      </c>
      <c r="H174" t="s">
        <v>1023</v>
      </c>
      <c r="I174">
        <v>6</v>
      </c>
      <c r="J174" t="s">
        <v>18</v>
      </c>
      <c r="L174">
        <v>1</v>
      </c>
    </row>
    <row r="175" spans="1:12" x14ac:dyDescent="0.25">
      <c r="A175">
        <v>174</v>
      </c>
      <c r="B175" t="s">
        <v>1024</v>
      </c>
      <c r="C175" t="s">
        <v>1025</v>
      </c>
      <c r="D175" t="s">
        <v>230</v>
      </c>
      <c r="E175" t="s">
        <v>1026</v>
      </c>
      <c r="F175" t="str">
        <f>IF(M175&lt;&gt;"",VLOOKUP(M175,zastavky!E:F,2,FALSE),"")</f>
        <v/>
      </c>
      <c r="G175" t="s">
        <v>1027</v>
      </c>
      <c r="H175" t="s">
        <v>1028</v>
      </c>
      <c r="I175">
        <v>6</v>
      </c>
      <c r="J175" t="s">
        <v>18</v>
      </c>
      <c r="L175">
        <v>1</v>
      </c>
    </row>
    <row r="176" spans="1:12" x14ac:dyDescent="0.25">
      <c r="A176">
        <v>175</v>
      </c>
      <c r="B176" t="s">
        <v>1029</v>
      </c>
      <c r="C176" t="s">
        <v>1030</v>
      </c>
      <c r="D176" t="s">
        <v>1031</v>
      </c>
      <c r="E176" t="s">
        <v>1032</v>
      </c>
      <c r="F176" t="str">
        <f>IF(M176&lt;&gt;"",VLOOKUP(M176,zastavky!E:F,2,FALSE),"")</f>
        <v/>
      </c>
      <c r="G176" t="s">
        <v>1033</v>
      </c>
      <c r="H176" t="s">
        <v>1034</v>
      </c>
      <c r="I176">
        <v>6</v>
      </c>
      <c r="J176" t="s">
        <v>18</v>
      </c>
      <c r="L176">
        <v>1</v>
      </c>
    </row>
    <row r="177" spans="1:12" x14ac:dyDescent="0.25">
      <c r="A177">
        <v>176</v>
      </c>
      <c r="B177" t="s">
        <v>1035</v>
      </c>
      <c r="C177" t="s">
        <v>1036</v>
      </c>
      <c r="D177" t="s">
        <v>1037</v>
      </c>
      <c r="E177" t="s">
        <v>1038</v>
      </c>
      <c r="F177" t="str">
        <f>IF(M177&lt;&gt;"",VLOOKUP(M177,zastavky!E:F,2,FALSE),"")</f>
        <v/>
      </c>
      <c r="G177" t="s">
        <v>1039</v>
      </c>
      <c r="H177" t="s">
        <v>1040</v>
      </c>
      <c r="I177">
        <v>6</v>
      </c>
      <c r="J177" t="s">
        <v>18</v>
      </c>
      <c r="L177">
        <v>1</v>
      </c>
    </row>
    <row r="178" spans="1:12" x14ac:dyDescent="0.25">
      <c r="A178">
        <v>177</v>
      </c>
      <c r="B178" t="s">
        <v>960</v>
      </c>
      <c r="C178" t="s">
        <v>1041</v>
      </c>
      <c r="D178" t="s">
        <v>1042</v>
      </c>
      <c r="E178" t="s">
        <v>1043</v>
      </c>
      <c r="F178" t="str">
        <f>IF(M178&lt;&gt;"",VLOOKUP(M178,zastavky!E:F,2,FALSE),"")</f>
        <v/>
      </c>
      <c r="G178" t="s">
        <v>1044</v>
      </c>
      <c r="H178" t="s">
        <v>1045</v>
      </c>
      <c r="I178">
        <v>6</v>
      </c>
      <c r="J178" t="s">
        <v>18</v>
      </c>
      <c r="L178">
        <v>1</v>
      </c>
    </row>
    <row r="179" spans="1:12" x14ac:dyDescent="0.25">
      <c r="A179">
        <v>178</v>
      </c>
      <c r="B179" t="s">
        <v>1046</v>
      </c>
      <c r="C179" t="s">
        <v>1047</v>
      </c>
      <c r="D179" t="s">
        <v>1048</v>
      </c>
      <c r="E179" t="s">
        <v>1049</v>
      </c>
      <c r="F179" t="str">
        <f>IF(M179&lt;&gt;"",VLOOKUP(M179,zastavky!E:F,2,FALSE),"")</f>
        <v/>
      </c>
      <c r="G179" t="s">
        <v>1050</v>
      </c>
      <c r="H179" t="s">
        <v>1051</v>
      </c>
      <c r="I179">
        <v>6</v>
      </c>
      <c r="J179" t="s">
        <v>18</v>
      </c>
      <c r="L179">
        <v>1</v>
      </c>
    </row>
    <row r="180" spans="1:12" x14ac:dyDescent="0.25">
      <c r="A180">
        <v>179</v>
      </c>
      <c r="B180" t="s">
        <v>1052</v>
      </c>
      <c r="C180" t="s">
        <v>1053</v>
      </c>
      <c r="D180" t="s">
        <v>1054</v>
      </c>
      <c r="E180" t="s">
        <v>1055</v>
      </c>
      <c r="F180" t="str">
        <f>IF(M180&lt;&gt;"",VLOOKUP(M180,zastavky!E:F,2,FALSE),"")</f>
        <v/>
      </c>
      <c r="G180" t="s">
        <v>1056</v>
      </c>
      <c r="H180" t="s">
        <v>1057</v>
      </c>
      <c r="I180">
        <v>6</v>
      </c>
      <c r="J180" t="s">
        <v>18</v>
      </c>
      <c r="L180">
        <v>1</v>
      </c>
    </row>
    <row r="181" spans="1:12" x14ac:dyDescent="0.25">
      <c r="A181">
        <v>180</v>
      </c>
      <c r="B181" t="s">
        <v>1058</v>
      </c>
      <c r="C181" t="s">
        <v>1059</v>
      </c>
      <c r="D181" t="s">
        <v>1060</v>
      </c>
      <c r="E181" t="s">
        <v>1061</v>
      </c>
      <c r="F181" t="str">
        <f>IF(M181&lt;&gt;"",VLOOKUP(M181,zastavky!E:F,2,FALSE),"")</f>
        <v/>
      </c>
      <c r="G181" t="s">
        <v>1062</v>
      </c>
      <c r="H181" t="s">
        <v>1063</v>
      </c>
      <c r="I181">
        <v>6</v>
      </c>
      <c r="J181" t="s">
        <v>18</v>
      </c>
      <c r="L181">
        <v>1</v>
      </c>
    </row>
    <row r="182" spans="1:12" x14ac:dyDescent="0.25">
      <c r="A182">
        <v>181</v>
      </c>
      <c r="B182" t="s">
        <v>1064</v>
      </c>
      <c r="C182" t="s">
        <v>1065</v>
      </c>
      <c r="D182" t="s">
        <v>1066</v>
      </c>
      <c r="E182" t="s">
        <v>1067</v>
      </c>
      <c r="F182" t="str">
        <f>IF(M182&lt;&gt;"",VLOOKUP(M182,zastavky!E:F,2,FALSE),"")</f>
        <v/>
      </c>
      <c r="G182" t="s">
        <v>1068</v>
      </c>
      <c r="H182" t="s">
        <v>1069</v>
      </c>
      <c r="I182">
        <v>6</v>
      </c>
      <c r="J182" t="s">
        <v>18</v>
      </c>
      <c r="L182">
        <v>1</v>
      </c>
    </row>
    <row r="183" spans="1:12" x14ac:dyDescent="0.25">
      <c r="A183">
        <v>182</v>
      </c>
      <c r="B183" t="s">
        <v>1070</v>
      </c>
      <c r="C183" t="s">
        <v>1071</v>
      </c>
      <c r="D183" t="s">
        <v>1072</v>
      </c>
      <c r="E183" t="s">
        <v>1073</v>
      </c>
      <c r="F183" t="str">
        <f>IF(M183&lt;&gt;"",VLOOKUP(M183,zastavky!E:F,2,FALSE),"")</f>
        <v/>
      </c>
      <c r="G183" t="s">
        <v>1074</v>
      </c>
      <c r="H183" t="s">
        <v>1075</v>
      </c>
      <c r="I183">
        <v>6</v>
      </c>
      <c r="J183" t="s">
        <v>18</v>
      </c>
      <c r="L183">
        <v>1</v>
      </c>
    </row>
    <row r="184" spans="1:12" x14ac:dyDescent="0.25">
      <c r="A184">
        <v>183</v>
      </c>
      <c r="B184" t="s">
        <v>1076</v>
      </c>
      <c r="C184" t="s">
        <v>1077</v>
      </c>
      <c r="D184" t="s">
        <v>1078</v>
      </c>
      <c r="E184" t="s">
        <v>1079</v>
      </c>
      <c r="F184" t="str">
        <f>IF(M184&lt;&gt;"",VLOOKUP(M184,zastavky!E:F,2,FALSE),"")</f>
        <v/>
      </c>
      <c r="G184" t="s">
        <v>1080</v>
      </c>
      <c r="H184" t="s">
        <v>1081</v>
      </c>
      <c r="I184">
        <v>6</v>
      </c>
      <c r="J184" t="s">
        <v>18</v>
      </c>
      <c r="L184">
        <v>1</v>
      </c>
    </row>
    <row r="185" spans="1:12" x14ac:dyDescent="0.25">
      <c r="A185">
        <v>184</v>
      </c>
      <c r="B185" t="s">
        <v>1082</v>
      </c>
      <c r="C185" t="s">
        <v>1083</v>
      </c>
      <c r="D185" t="s">
        <v>1084</v>
      </c>
      <c r="E185" t="s">
        <v>1085</v>
      </c>
      <c r="F185" t="str">
        <f>IF(M185&lt;&gt;"",VLOOKUP(M185,zastavky!E:F,2,FALSE),"")</f>
        <v/>
      </c>
      <c r="G185" t="s">
        <v>1086</v>
      </c>
      <c r="H185" t="s">
        <v>1087</v>
      </c>
      <c r="I185">
        <v>6</v>
      </c>
      <c r="J185" t="s">
        <v>18</v>
      </c>
      <c r="L185">
        <v>1</v>
      </c>
    </row>
    <row r="186" spans="1:12" x14ac:dyDescent="0.25">
      <c r="A186">
        <v>185</v>
      </c>
      <c r="B186" t="s">
        <v>1088</v>
      </c>
      <c r="C186" t="s">
        <v>1089</v>
      </c>
      <c r="D186" t="s">
        <v>1090</v>
      </c>
      <c r="E186" t="s">
        <v>1091</v>
      </c>
      <c r="F186" t="str">
        <f>IF(M186&lt;&gt;"",VLOOKUP(M186,zastavky!E:F,2,FALSE),"")</f>
        <v/>
      </c>
      <c r="G186" t="s">
        <v>1092</v>
      </c>
      <c r="H186" t="s">
        <v>1093</v>
      </c>
      <c r="I186">
        <v>6</v>
      </c>
      <c r="J186" t="s">
        <v>18</v>
      </c>
      <c r="L186">
        <v>1</v>
      </c>
    </row>
    <row r="187" spans="1:12" x14ac:dyDescent="0.25">
      <c r="A187">
        <v>186</v>
      </c>
      <c r="B187" t="s">
        <v>1094</v>
      </c>
      <c r="C187" t="s">
        <v>1095</v>
      </c>
      <c r="D187" t="s">
        <v>1096</v>
      </c>
      <c r="E187" t="s">
        <v>1097</v>
      </c>
      <c r="F187" t="str">
        <f>IF(M187&lt;&gt;"",VLOOKUP(M187,zastavky!E:F,2,FALSE),"")</f>
        <v/>
      </c>
      <c r="G187" t="s">
        <v>1098</v>
      </c>
      <c r="H187" t="s">
        <v>1099</v>
      </c>
      <c r="I187">
        <v>6</v>
      </c>
      <c r="J187" t="s">
        <v>18</v>
      </c>
      <c r="L187">
        <v>1</v>
      </c>
    </row>
    <row r="188" spans="1:12" x14ac:dyDescent="0.25">
      <c r="A188">
        <v>187</v>
      </c>
      <c r="B188" t="s">
        <v>1100</v>
      </c>
      <c r="C188" t="s">
        <v>1101</v>
      </c>
      <c r="D188" t="s">
        <v>1102</v>
      </c>
      <c r="E188" t="s">
        <v>1103</v>
      </c>
      <c r="F188" t="str">
        <f>IF(M188&lt;&gt;"",VLOOKUP(M188,zastavky!E:F,2,FALSE),"")</f>
        <v/>
      </c>
      <c r="G188" t="s">
        <v>1104</v>
      </c>
      <c r="H188" t="s">
        <v>1105</v>
      </c>
      <c r="I188">
        <v>6</v>
      </c>
      <c r="J188" t="s">
        <v>18</v>
      </c>
      <c r="L188">
        <v>1</v>
      </c>
    </row>
    <row r="189" spans="1:12" x14ac:dyDescent="0.25">
      <c r="A189">
        <v>188</v>
      </c>
      <c r="B189" t="s">
        <v>1106</v>
      </c>
      <c r="C189" t="s">
        <v>1107</v>
      </c>
      <c r="D189" t="s">
        <v>1108</v>
      </c>
      <c r="E189" t="s">
        <v>1109</v>
      </c>
      <c r="F189" t="str">
        <f>IF(M189&lt;&gt;"",VLOOKUP(M189,zastavky!E:F,2,FALSE),"")</f>
        <v/>
      </c>
      <c r="G189" t="s">
        <v>1110</v>
      </c>
      <c r="H189" t="s">
        <v>1111</v>
      </c>
      <c r="I189">
        <v>6</v>
      </c>
      <c r="J189" t="s">
        <v>18</v>
      </c>
      <c r="L189">
        <v>1</v>
      </c>
    </row>
    <row r="190" spans="1:12" x14ac:dyDescent="0.25">
      <c r="A190">
        <v>189</v>
      </c>
      <c r="B190" t="s">
        <v>1112</v>
      </c>
      <c r="C190" t="s">
        <v>1113</v>
      </c>
      <c r="D190" t="s">
        <v>1114</v>
      </c>
      <c r="E190" t="s">
        <v>1115</v>
      </c>
      <c r="F190" t="str">
        <f>IF(M190&lt;&gt;"",VLOOKUP(M190,zastavky!E:F,2,FALSE),"")</f>
        <v/>
      </c>
      <c r="G190" t="s">
        <v>1116</v>
      </c>
      <c r="H190" t="s">
        <v>1117</v>
      </c>
      <c r="I190">
        <v>6</v>
      </c>
      <c r="J190" t="s">
        <v>18</v>
      </c>
      <c r="L190">
        <v>1</v>
      </c>
    </row>
    <row r="191" spans="1:12" x14ac:dyDescent="0.25">
      <c r="A191">
        <v>190</v>
      </c>
      <c r="B191" t="s">
        <v>795</v>
      </c>
      <c r="C191" t="s">
        <v>1118</v>
      </c>
      <c r="D191" t="s">
        <v>1119</v>
      </c>
      <c r="E191" t="s">
        <v>1120</v>
      </c>
      <c r="F191" t="str">
        <f>IF(M191&lt;&gt;"",VLOOKUP(M191,zastavky!E:F,2,FALSE),"")</f>
        <v/>
      </c>
      <c r="G191" t="s">
        <v>1121</v>
      </c>
      <c r="H191" t="s">
        <v>1122</v>
      </c>
      <c r="I191">
        <v>6</v>
      </c>
      <c r="J191" t="s">
        <v>18</v>
      </c>
      <c r="L191">
        <v>1</v>
      </c>
    </row>
    <row r="192" spans="1:12" x14ac:dyDescent="0.25">
      <c r="A192">
        <v>191</v>
      </c>
      <c r="B192" t="s">
        <v>1123</v>
      </c>
      <c r="C192" t="s">
        <v>1124</v>
      </c>
      <c r="D192" t="s">
        <v>1125</v>
      </c>
      <c r="E192" t="s">
        <v>1126</v>
      </c>
      <c r="F192" t="str">
        <f>IF(M192&lt;&gt;"",VLOOKUP(M192,zastavky!E:F,2,FALSE),"")</f>
        <v/>
      </c>
      <c r="G192" t="s">
        <v>1127</v>
      </c>
      <c r="H192" t="s">
        <v>1128</v>
      </c>
      <c r="I192">
        <v>6</v>
      </c>
      <c r="J192" t="s">
        <v>18</v>
      </c>
      <c r="L192">
        <v>1</v>
      </c>
    </row>
    <row r="193" spans="1:12" x14ac:dyDescent="0.25">
      <c r="A193">
        <v>192</v>
      </c>
      <c r="B193" t="s">
        <v>1129</v>
      </c>
      <c r="C193" t="s">
        <v>1130</v>
      </c>
      <c r="D193" t="s">
        <v>1131</v>
      </c>
      <c r="E193" t="s">
        <v>1132</v>
      </c>
      <c r="F193" t="str">
        <f>IF(M193&lt;&gt;"",VLOOKUP(M193,zastavky!E:F,2,FALSE),"")</f>
        <v/>
      </c>
      <c r="G193" t="s">
        <v>1133</v>
      </c>
      <c r="H193" t="s">
        <v>1134</v>
      </c>
      <c r="I193">
        <v>6</v>
      </c>
      <c r="J193" t="s">
        <v>18</v>
      </c>
      <c r="L193">
        <v>1</v>
      </c>
    </row>
    <row r="194" spans="1:12" x14ac:dyDescent="0.25">
      <c r="A194">
        <v>193</v>
      </c>
      <c r="B194" t="s">
        <v>1135</v>
      </c>
      <c r="C194" t="s">
        <v>1136</v>
      </c>
      <c r="D194" t="s">
        <v>1137</v>
      </c>
      <c r="E194" t="s">
        <v>1138</v>
      </c>
      <c r="F194" t="str">
        <f>IF(M194&lt;&gt;"",VLOOKUP(M194,zastavky!E:F,2,FALSE),"")</f>
        <v/>
      </c>
      <c r="G194" t="s">
        <v>1139</v>
      </c>
      <c r="H194" t="s">
        <v>1140</v>
      </c>
      <c r="I194">
        <v>6</v>
      </c>
      <c r="J194" t="s">
        <v>18</v>
      </c>
      <c r="L194">
        <v>1</v>
      </c>
    </row>
    <row r="195" spans="1:12" x14ac:dyDescent="0.25">
      <c r="A195">
        <v>194</v>
      </c>
      <c r="B195" t="s">
        <v>1141</v>
      </c>
      <c r="C195" t="s">
        <v>1142</v>
      </c>
      <c r="D195" t="s">
        <v>1143</v>
      </c>
      <c r="E195" t="s">
        <v>1144</v>
      </c>
      <c r="F195" t="str">
        <f>IF(M195&lt;&gt;"",VLOOKUP(M195,zastavky!E:F,2,FALSE),"")</f>
        <v/>
      </c>
      <c r="G195" t="s">
        <v>1145</v>
      </c>
      <c r="H195" t="s">
        <v>1146</v>
      </c>
      <c r="I195">
        <v>6</v>
      </c>
      <c r="J195" t="s">
        <v>18</v>
      </c>
      <c r="L195">
        <v>1</v>
      </c>
    </row>
    <row r="196" spans="1:12" x14ac:dyDescent="0.25">
      <c r="A196">
        <v>195</v>
      </c>
      <c r="B196" t="s">
        <v>1147</v>
      </c>
      <c r="C196" t="s">
        <v>1148</v>
      </c>
      <c r="D196" t="s">
        <v>1149</v>
      </c>
      <c r="E196" t="s">
        <v>1150</v>
      </c>
      <c r="F196" t="str">
        <f>IF(M196&lt;&gt;"",VLOOKUP(M196,zastavky!E:F,2,FALSE),"")</f>
        <v/>
      </c>
      <c r="G196" t="s">
        <v>1151</v>
      </c>
      <c r="H196" t="s">
        <v>1152</v>
      </c>
      <c r="I196">
        <v>6</v>
      </c>
      <c r="J196" t="s">
        <v>18</v>
      </c>
      <c r="L196">
        <v>1</v>
      </c>
    </row>
    <row r="197" spans="1:12" x14ac:dyDescent="0.25">
      <c r="A197">
        <v>196</v>
      </c>
      <c r="B197" t="s">
        <v>1153</v>
      </c>
      <c r="C197" t="s">
        <v>1154</v>
      </c>
      <c r="D197" t="s">
        <v>1155</v>
      </c>
      <c r="E197" t="s">
        <v>1156</v>
      </c>
      <c r="F197" t="str">
        <f>IF(M197&lt;&gt;"",VLOOKUP(M197,zastavky!E:F,2,FALSE),"")</f>
        <v/>
      </c>
      <c r="G197" t="s">
        <v>1157</v>
      </c>
      <c r="H197" t="s">
        <v>1158</v>
      </c>
      <c r="I197">
        <v>6</v>
      </c>
      <c r="J197" t="s">
        <v>18</v>
      </c>
      <c r="L197">
        <v>1</v>
      </c>
    </row>
    <row r="198" spans="1:12" x14ac:dyDescent="0.25">
      <c r="A198">
        <v>383</v>
      </c>
      <c r="B198" t="s">
        <v>1159</v>
      </c>
      <c r="C198" t="s">
        <v>1160</v>
      </c>
      <c r="D198" t="s">
        <v>1161</v>
      </c>
      <c r="E198" t="s">
        <v>1162</v>
      </c>
      <c r="F198" t="str">
        <f>IF(M198&lt;&gt;"",VLOOKUP(M198,zastavky!E:F,2,FALSE),"")</f>
        <v/>
      </c>
      <c r="G198" t="s">
        <v>1163</v>
      </c>
      <c r="H198" t="s">
        <v>1164</v>
      </c>
      <c r="I198">
        <v>6</v>
      </c>
      <c r="J198" t="s">
        <v>18</v>
      </c>
      <c r="L198">
        <v>1</v>
      </c>
    </row>
    <row r="199" spans="1:12" x14ac:dyDescent="0.25">
      <c r="A199">
        <v>384</v>
      </c>
      <c r="B199" t="s">
        <v>1165</v>
      </c>
      <c r="C199" t="s">
        <v>1166</v>
      </c>
      <c r="D199" t="s">
        <v>1167</v>
      </c>
      <c r="E199" t="s">
        <v>1168</v>
      </c>
      <c r="F199" t="str">
        <f>IF(M199&lt;&gt;"",VLOOKUP(M199,zastavky!E:F,2,FALSE),"")</f>
        <v/>
      </c>
      <c r="G199" t="s">
        <v>1169</v>
      </c>
      <c r="H199" t="s">
        <v>1170</v>
      </c>
      <c r="I199">
        <v>6</v>
      </c>
      <c r="J199" t="s">
        <v>18</v>
      </c>
      <c r="L199">
        <v>1</v>
      </c>
    </row>
    <row r="200" spans="1:12" x14ac:dyDescent="0.25">
      <c r="A200">
        <v>385</v>
      </c>
      <c r="B200" t="s">
        <v>1171</v>
      </c>
      <c r="C200" t="s">
        <v>1172</v>
      </c>
      <c r="D200" t="s">
        <v>1173</v>
      </c>
      <c r="E200" t="s">
        <v>1174</v>
      </c>
      <c r="F200" t="str">
        <f>IF(M200&lt;&gt;"",VLOOKUP(M200,zastavky!E:F,2,FALSE),"")</f>
        <v/>
      </c>
      <c r="G200" t="s">
        <v>1175</v>
      </c>
      <c r="H200" t="s">
        <v>1176</v>
      </c>
      <c r="I200">
        <v>6</v>
      </c>
      <c r="J200" t="s">
        <v>18</v>
      </c>
      <c r="L200">
        <v>1</v>
      </c>
    </row>
    <row r="201" spans="1:12" x14ac:dyDescent="0.25">
      <c r="A201">
        <v>386</v>
      </c>
      <c r="B201" t="s">
        <v>1177</v>
      </c>
      <c r="C201" t="s">
        <v>1178</v>
      </c>
      <c r="D201" t="s">
        <v>1179</v>
      </c>
      <c r="E201" t="s">
        <v>1180</v>
      </c>
      <c r="F201" t="str">
        <f>IF(M201&lt;&gt;"",VLOOKUP(M201,zastavky!E:F,2,FALSE),"")</f>
        <v/>
      </c>
      <c r="G201" t="s">
        <v>1181</v>
      </c>
      <c r="H201" t="s">
        <v>1182</v>
      </c>
      <c r="I201">
        <v>6</v>
      </c>
      <c r="J201" t="s">
        <v>18</v>
      </c>
      <c r="L201">
        <v>1</v>
      </c>
    </row>
    <row r="202" spans="1:12" x14ac:dyDescent="0.25">
      <c r="A202">
        <v>387</v>
      </c>
      <c r="B202" t="s">
        <v>1183</v>
      </c>
      <c r="C202" t="s">
        <v>1184</v>
      </c>
      <c r="D202" t="s">
        <v>1185</v>
      </c>
      <c r="E202" t="s">
        <v>1186</v>
      </c>
      <c r="F202" t="str">
        <f>IF(M202&lt;&gt;"",VLOOKUP(M202,zastavky!E:F,2,FALSE),"")</f>
        <v/>
      </c>
      <c r="G202" t="s">
        <v>1187</v>
      </c>
      <c r="H202" t="s">
        <v>1188</v>
      </c>
      <c r="I202">
        <v>6</v>
      </c>
      <c r="J202" t="s">
        <v>18</v>
      </c>
      <c r="L202">
        <v>1</v>
      </c>
    </row>
    <row r="203" spans="1:12" x14ac:dyDescent="0.25">
      <c r="A203">
        <v>388</v>
      </c>
      <c r="B203" t="s">
        <v>1189</v>
      </c>
      <c r="C203" t="s">
        <v>1184</v>
      </c>
      <c r="D203" t="s">
        <v>1190</v>
      </c>
      <c r="E203" t="s">
        <v>1191</v>
      </c>
      <c r="F203" t="str">
        <f>IF(M203&lt;&gt;"",VLOOKUP(M203,zastavky!E:F,2,FALSE),"")</f>
        <v/>
      </c>
      <c r="G203" t="s">
        <v>1192</v>
      </c>
      <c r="H203" t="s">
        <v>1193</v>
      </c>
      <c r="I203">
        <v>6</v>
      </c>
      <c r="J203" t="s">
        <v>18</v>
      </c>
      <c r="L203">
        <v>1</v>
      </c>
    </row>
    <row r="204" spans="1:12" x14ac:dyDescent="0.25">
      <c r="A204">
        <v>389</v>
      </c>
      <c r="B204" t="s">
        <v>1194</v>
      </c>
      <c r="C204" t="s">
        <v>1195</v>
      </c>
      <c r="D204" t="s">
        <v>562</v>
      </c>
      <c r="E204" t="s">
        <v>1196</v>
      </c>
      <c r="F204" t="str">
        <f>IF(M204&lt;&gt;"",VLOOKUP(M204,zastavky!E:F,2,FALSE),"")</f>
        <v/>
      </c>
      <c r="G204" t="s">
        <v>1197</v>
      </c>
      <c r="H204" t="s">
        <v>1198</v>
      </c>
      <c r="I204">
        <v>6</v>
      </c>
      <c r="J204" t="s">
        <v>18</v>
      </c>
      <c r="L204">
        <v>1</v>
      </c>
    </row>
    <row r="205" spans="1:12" x14ac:dyDescent="0.25">
      <c r="A205">
        <v>390</v>
      </c>
      <c r="B205" t="s">
        <v>1199</v>
      </c>
      <c r="C205" t="s">
        <v>1200</v>
      </c>
      <c r="D205" t="s">
        <v>1037</v>
      </c>
      <c r="E205" t="s">
        <v>1201</v>
      </c>
      <c r="F205" t="str">
        <f>IF(M205&lt;&gt;"",VLOOKUP(M205,zastavky!E:F,2,FALSE),"")</f>
        <v/>
      </c>
      <c r="G205" t="s">
        <v>1202</v>
      </c>
      <c r="H205" t="s">
        <v>1203</v>
      </c>
      <c r="I205">
        <v>6</v>
      </c>
      <c r="J205" t="s">
        <v>18</v>
      </c>
      <c r="L205">
        <v>1</v>
      </c>
    </row>
    <row r="206" spans="1:12" x14ac:dyDescent="0.25">
      <c r="A206">
        <v>391</v>
      </c>
      <c r="B206" t="s">
        <v>1204</v>
      </c>
      <c r="C206" t="s">
        <v>1205</v>
      </c>
      <c r="D206" t="s">
        <v>1206</v>
      </c>
      <c r="E206" t="s">
        <v>1207</v>
      </c>
      <c r="F206" t="str">
        <f>IF(M206&lt;&gt;"",VLOOKUP(M206,zastavky!E:F,2,FALSE),"")</f>
        <v/>
      </c>
      <c r="G206" t="s">
        <v>1208</v>
      </c>
      <c r="H206" t="s">
        <v>1209</v>
      </c>
      <c r="I206">
        <v>6</v>
      </c>
      <c r="J206" t="s">
        <v>18</v>
      </c>
      <c r="L206">
        <v>1</v>
      </c>
    </row>
    <row r="207" spans="1:12" x14ac:dyDescent="0.25">
      <c r="A207">
        <v>392</v>
      </c>
      <c r="B207" t="s">
        <v>1210</v>
      </c>
      <c r="C207" t="s">
        <v>1211</v>
      </c>
      <c r="D207" t="s">
        <v>1212</v>
      </c>
      <c r="E207" t="s">
        <v>1213</v>
      </c>
      <c r="F207" t="str">
        <f>IF(M207&lt;&gt;"",VLOOKUP(M207,zastavky!E:F,2,FALSE),"")</f>
        <v/>
      </c>
      <c r="G207" t="s">
        <v>1214</v>
      </c>
      <c r="H207" t="s">
        <v>1215</v>
      </c>
      <c r="I207">
        <v>6</v>
      </c>
      <c r="J207" t="s">
        <v>18</v>
      </c>
      <c r="L207">
        <v>1</v>
      </c>
    </row>
    <row r="208" spans="1:12" x14ac:dyDescent="0.25">
      <c r="A208">
        <v>393</v>
      </c>
      <c r="B208" t="s">
        <v>1216</v>
      </c>
      <c r="C208" t="s">
        <v>1211</v>
      </c>
      <c r="D208" t="s">
        <v>1217</v>
      </c>
      <c r="E208" t="s">
        <v>1218</v>
      </c>
      <c r="F208" t="str">
        <f>IF(M208&lt;&gt;"",VLOOKUP(M208,zastavky!E:F,2,FALSE),"")</f>
        <v/>
      </c>
      <c r="G208" t="s">
        <v>1219</v>
      </c>
      <c r="H208" t="s">
        <v>1220</v>
      </c>
      <c r="I208">
        <v>6</v>
      </c>
      <c r="J208" t="s">
        <v>18</v>
      </c>
      <c r="L208">
        <v>1</v>
      </c>
    </row>
    <row r="209" spans="1:12" x14ac:dyDescent="0.25">
      <c r="A209">
        <v>394</v>
      </c>
      <c r="B209" t="s">
        <v>1221</v>
      </c>
      <c r="C209" t="s">
        <v>1222</v>
      </c>
      <c r="D209" t="s">
        <v>1223</v>
      </c>
      <c r="E209" t="s">
        <v>1224</v>
      </c>
      <c r="F209" t="str">
        <f>IF(M209&lt;&gt;"",VLOOKUP(M209,zastavky!E:F,2,FALSE),"")</f>
        <v/>
      </c>
      <c r="G209" t="s">
        <v>1225</v>
      </c>
      <c r="H209" t="s">
        <v>1226</v>
      </c>
      <c r="I209">
        <v>6</v>
      </c>
      <c r="J209" t="s">
        <v>18</v>
      </c>
      <c r="L209">
        <v>1</v>
      </c>
    </row>
    <row r="210" spans="1:12" x14ac:dyDescent="0.25">
      <c r="A210">
        <v>395</v>
      </c>
      <c r="B210" t="s">
        <v>1227</v>
      </c>
      <c r="C210" t="s">
        <v>1228</v>
      </c>
      <c r="D210" t="s">
        <v>706</v>
      </c>
      <c r="E210" t="s">
        <v>1229</v>
      </c>
      <c r="F210" t="str">
        <f>IF(M210&lt;&gt;"",VLOOKUP(M210,zastavky!E:F,2,FALSE),"")</f>
        <v/>
      </c>
      <c r="G210" t="s">
        <v>1230</v>
      </c>
      <c r="H210" t="s">
        <v>1231</v>
      </c>
      <c r="I210">
        <v>6</v>
      </c>
      <c r="J210" t="s">
        <v>18</v>
      </c>
      <c r="L210">
        <v>1</v>
      </c>
    </row>
    <row r="211" spans="1:12" x14ac:dyDescent="0.25">
      <c r="A211">
        <v>396</v>
      </c>
      <c r="B211" t="s">
        <v>1232</v>
      </c>
      <c r="C211" t="s">
        <v>1233</v>
      </c>
      <c r="D211" t="s">
        <v>1234</v>
      </c>
      <c r="E211" t="s">
        <v>1235</v>
      </c>
      <c r="F211" t="str">
        <f>IF(M211&lt;&gt;"",VLOOKUP(M211,zastavky!E:F,2,FALSE),"")</f>
        <v/>
      </c>
      <c r="G211" t="s">
        <v>1236</v>
      </c>
      <c r="H211" t="s">
        <v>1237</v>
      </c>
      <c r="I211">
        <v>6</v>
      </c>
      <c r="J211" t="s">
        <v>18</v>
      </c>
      <c r="L211">
        <v>1</v>
      </c>
    </row>
    <row r="212" spans="1:12" x14ac:dyDescent="0.25">
      <c r="A212">
        <v>397</v>
      </c>
      <c r="B212" t="s">
        <v>1238</v>
      </c>
      <c r="C212" t="s">
        <v>996</v>
      </c>
      <c r="D212" t="s">
        <v>1239</v>
      </c>
      <c r="E212" t="s">
        <v>1240</v>
      </c>
      <c r="F212" t="str">
        <f>IF(M212&lt;&gt;"",VLOOKUP(M212,zastavky!E:F,2,FALSE),"")</f>
        <v/>
      </c>
      <c r="G212" t="s">
        <v>1241</v>
      </c>
      <c r="H212" t="s">
        <v>1000</v>
      </c>
      <c r="I212">
        <v>6</v>
      </c>
      <c r="J212" t="s">
        <v>18</v>
      </c>
      <c r="L212">
        <v>1</v>
      </c>
    </row>
    <row r="213" spans="1:12" x14ac:dyDescent="0.25">
      <c r="A213">
        <v>398</v>
      </c>
      <c r="B213" t="s">
        <v>1242</v>
      </c>
      <c r="C213" t="s">
        <v>1243</v>
      </c>
      <c r="D213" t="s">
        <v>1244</v>
      </c>
      <c r="E213" t="s">
        <v>1245</v>
      </c>
      <c r="F213" t="str">
        <f>IF(M213&lt;&gt;"",VLOOKUP(M213,zastavky!E:F,2,FALSE),"")</f>
        <v/>
      </c>
      <c r="G213" t="s">
        <v>1246</v>
      </c>
      <c r="H213" t="s">
        <v>1247</v>
      </c>
      <c r="I213">
        <v>6</v>
      </c>
      <c r="J213" t="s">
        <v>18</v>
      </c>
      <c r="L213">
        <v>1</v>
      </c>
    </row>
    <row r="214" spans="1:12" x14ac:dyDescent="0.25">
      <c r="A214">
        <v>399</v>
      </c>
      <c r="B214" t="s">
        <v>1248</v>
      </c>
      <c r="C214" t="s">
        <v>1249</v>
      </c>
      <c r="D214" t="s">
        <v>1250</v>
      </c>
      <c r="E214" t="s">
        <v>1251</v>
      </c>
      <c r="F214" t="str">
        <f>IF(M214&lt;&gt;"",VLOOKUP(M214,zastavky!E:F,2,FALSE),"")</f>
        <v/>
      </c>
      <c r="G214" t="s">
        <v>1252</v>
      </c>
      <c r="H214" t="s">
        <v>1253</v>
      </c>
      <c r="I214">
        <v>6</v>
      </c>
      <c r="J214" t="s">
        <v>18</v>
      </c>
      <c r="L214">
        <v>1</v>
      </c>
    </row>
    <row r="215" spans="1:12" x14ac:dyDescent="0.25">
      <c r="A215">
        <v>400</v>
      </c>
      <c r="B215" t="s">
        <v>1254</v>
      </c>
      <c r="C215" t="s">
        <v>1255</v>
      </c>
      <c r="D215" t="s">
        <v>1256</v>
      </c>
      <c r="E215" t="s">
        <v>1257</v>
      </c>
      <c r="F215" t="str">
        <f>IF(M215&lt;&gt;"",VLOOKUP(M215,zastavky!E:F,2,FALSE),"")</f>
        <v/>
      </c>
      <c r="G215" t="s">
        <v>1258</v>
      </c>
      <c r="H215" t="s">
        <v>1259</v>
      </c>
      <c r="I215">
        <v>6</v>
      </c>
      <c r="J215" t="s">
        <v>18</v>
      </c>
      <c r="L215">
        <v>1</v>
      </c>
    </row>
    <row r="216" spans="1:12" x14ac:dyDescent="0.25">
      <c r="A216">
        <v>401</v>
      </c>
      <c r="B216" t="s">
        <v>668</v>
      </c>
      <c r="C216" t="s">
        <v>1260</v>
      </c>
      <c r="D216" t="s">
        <v>1261</v>
      </c>
      <c r="E216" t="s">
        <v>1262</v>
      </c>
      <c r="F216" t="str">
        <f>IF(M216&lt;&gt;"",VLOOKUP(M216,zastavky!E:F,2,FALSE),"")</f>
        <v/>
      </c>
      <c r="G216" t="s">
        <v>1263</v>
      </c>
      <c r="H216" t="s">
        <v>1264</v>
      </c>
      <c r="I216">
        <v>6</v>
      </c>
      <c r="J216" t="s">
        <v>18</v>
      </c>
      <c r="L216">
        <v>1</v>
      </c>
    </row>
    <row r="217" spans="1:12" x14ac:dyDescent="0.25">
      <c r="A217">
        <v>402</v>
      </c>
      <c r="B217" t="s">
        <v>1265</v>
      </c>
      <c r="C217" t="s">
        <v>1266</v>
      </c>
      <c r="D217" t="s">
        <v>1267</v>
      </c>
      <c r="E217" t="s">
        <v>1268</v>
      </c>
      <c r="F217" t="str">
        <f>IF(M217&lt;&gt;"",VLOOKUP(M217,zastavky!E:F,2,FALSE),"")</f>
        <v/>
      </c>
      <c r="H217" t="s">
        <v>1269</v>
      </c>
      <c r="I217">
        <v>6</v>
      </c>
      <c r="J217" t="s">
        <v>18</v>
      </c>
      <c r="L217">
        <v>1</v>
      </c>
    </row>
    <row r="218" spans="1:12" x14ac:dyDescent="0.25">
      <c r="A218">
        <v>403</v>
      </c>
      <c r="B218" t="s">
        <v>1270</v>
      </c>
      <c r="C218" t="s">
        <v>1271</v>
      </c>
      <c r="D218" t="s">
        <v>1272</v>
      </c>
      <c r="E218" t="s">
        <v>1273</v>
      </c>
      <c r="F218" t="str">
        <f>IF(M218&lt;&gt;"",VLOOKUP(M218,zastavky!E:F,2,FALSE),"")</f>
        <v/>
      </c>
      <c r="G218" t="s">
        <v>1274</v>
      </c>
      <c r="H218" t="s">
        <v>1275</v>
      </c>
      <c r="I218">
        <v>6</v>
      </c>
      <c r="J218" t="s">
        <v>18</v>
      </c>
      <c r="L218">
        <v>1</v>
      </c>
    </row>
    <row r="219" spans="1:12" x14ac:dyDescent="0.25">
      <c r="A219">
        <v>404</v>
      </c>
      <c r="B219" t="s">
        <v>1276</v>
      </c>
      <c r="C219" t="s">
        <v>1271</v>
      </c>
      <c r="D219" t="s">
        <v>1277</v>
      </c>
      <c r="E219" t="s">
        <v>1278</v>
      </c>
      <c r="F219" t="str">
        <f>IF(M219&lt;&gt;"",VLOOKUP(M219,zastavky!E:F,2,FALSE),"")</f>
        <v/>
      </c>
      <c r="G219" t="s">
        <v>1279</v>
      </c>
      <c r="H219" t="s">
        <v>1280</v>
      </c>
      <c r="I219">
        <v>6</v>
      </c>
      <c r="J219" t="s">
        <v>18</v>
      </c>
      <c r="L219">
        <v>1</v>
      </c>
    </row>
    <row r="220" spans="1:12" x14ac:dyDescent="0.25">
      <c r="A220">
        <v>405</v>
      </c>
      <c r="B220" t="s">
        <v>1281</v>
      </c>
      <c r="C220" t="s">
        <v>1282</v>
      </c>
      <c r="D220" t="s">
        <v>1283</v>
      </c>
      <c r="E220" t="s">
        <v>1284</v>
      </c>
      <c r="F220" t="str">
        <f>IF(M220&lt;&gt;"",VLOOKUP(M220,zastavky!E:F,2,FALSE),"")</f>
        <v/>
      </c>
      <c r="G220" t="s">
        <v>1285</v>
      </c>
      <c r="H220" t="s">
        <v>1286</v>
      </c>
      <c r="I220">
        <v>6</v>
      </c>
      <c r="J220" t="s">
        <v>18</v>
      </c>
      <c r="L220">
        <v>1</v>
      </c>
    </row>
    <row r="221" spans="1:12" x14ac:dyDescent="0.25">
      <c r="A221">
        <v>406</v>
      </c>
      <c r="B221" t="s">
        <v>1287</v>
      </c>
      <c r="C221" t="s">
        <v>1288</v>
      </c>
      <c r="D221" t="s">
        <v>1289</v>
      </c>
      <c r="E221" t="s">
        <v>1290</v>
      </c>
      <c r="F221" t="str">
        <f>IF(M221&lt;&gt;"",VLOOKUP(M221,zastavky!E:F,2,FALSE),"")</f>
        <v/>
      </c>
      <c r="G221" t="s">
        <v>1291</v>
      </c>
      <c r="H221" t="s">
        <v>1292</v>
      </c>
      <c r="I221">
        <v>6</v>
      </c>
      <c r="J221" t="s">
        <v>18</v>
      </c>
      <c r="L221">
        <v>1</v>
      </c>
    </row>
    <row r="222" spans="1:12" x14ac:dyDescent="0.25">
      <c r="A222">
        <v>407</v>
      </c>
      <c r="B222" t="s">
        <v>1024</v>
      </c>
      <c r="C222" t="s">
        <v>1293</v>
      </c>
      <c r="D222" t="s">
        <v>1294</v>
      </c>
      <c r="E222" t="s">
        <v>1295</v>
      </c>
      <c r="F222" t="str">
        <f>IF(M222&lt;&gt;"",VLOOKUP(M222,zastavky!E:F,2,FALSE),"")</f>
        <v/>
      </c>
      <c r="G222" t="s">
        <v>1296</v>
      </c>
      <c r="H222" t="s">
        <v>1297</v>
      </c>
      <c r="I222">
        <v>6</v>
      </c>
      <c r="J222" t="s">
        <v>18</v>
      </c>
      <c r="L222">
        <v>1</v>
      </c>
    </row>
    <row r="223" spans="1:12" x14ac:dyDescent="0.25">
      <c r="A223">
        <v>408</v>
      </c>
      <c r="B223" t="s">
        <v>1298</v>
      </c>
      <c r="C223" t="s">
        <v>1299</v>
      </c>
      <c r="D223" t="s">
        <v>1300</v>
      </c>
      <c r="E223" t="s">
        <v>1301</v>
      </c>
      <c r="F223" t="str">
        <f>IF(M223&lt;&gt;"",VLOOKUP(M223,zastavky!E:F,2,FALSE),"")</f>
        <v/>
      </c>
      <c r="G223" t="s">
        <v>1302</v>
      </c>
      <c r="H223" t="s">
        <v>1303</v>
      </c>
      <c r="I223">
        <v>6</v>
      </c>
      <c r="J223" t="s">
        <v>18</v>
      </c>
      <c r="L223">
        <v>1</v>
      </c>
    </row>
    <row r="224" spans="1:12" x14ac:dyDescent="0.25">
      <c r="A224">
        <v>409</v>
      </c>
      <c r="B224" t="s">
        <v>1304</v>
      </c>
      <c r="C224" t="s">
        <v>1305</v>
      </c>
      <c r="D224" t="s">
        <v>1306</v>
      </c>
      <c r="E224" t="s">
        <v>1307</v>
      </c>
      <c r="F224" t="str">
        <f>IF(M224&lt;&gt;"",VLOOKUP(M224,zastavky!E:F,2,FALSE),"")</f>
        <v/>
      </c>
      <c r="G224" t="s">
        <v>1308</v>
      </c>
      <c r="H224" t="s">
        <v>1309</v>
      </c>
      <c r="I224">
        <v>6</v>
      </c>
      <c r="J224" t="s">
        <v>18</v>
      </c>
      <c r="L224">
        <v>1</v>
      </c>
    </row>
    <row r="225" spans="1:12" x14ac:dyDescent="0.25">
      <c r="A225">
        <v>410</v>
      </c>
      <c r="B225" t="s">
        <v>1310</v>
      </c>
      <c r="C225" t="s">
        <v>1311</v>
      </c>
      <c r="D225" t="s">
        <v>881</v>
      </c>
      <c r="E225" t="s">
        <v>1312</v>
      </c>
      <c r="F225" t="str">
        <f>IF(M225&lt;&gt;"",VLOOKUP(M225,zastavky!E:F,2,FALSE),"")</f>
        <v/>
      </c>
      <c r="G225" t="s">
        <v>1313</v>
      </c>
      <c r="H225" t="s">
        <v>1314</v>
      </c>
      <c r="I225">
        <v>6</v>
      </c>
      <c r="J225" t="s">
        <v>18</v>
      </c>
      <c r="L225">
        <v>1</v>
      </c>
    </row>
    <row r="226" spans="1:12" x14ac:dyDescent="0.25">
      <c r="A226">
        <v>411</v>
      </c>
      <c r="B226" t="s">
        <v>1315</v>
      </c>
      <c r="C226" t="s">
        <v>1316</v>
      </c>
      <c r="D226" t="s">
        <v>1317</v>
      </c>
      <c r="E226" t="s">
        <v>1318</v>
      </c>
      <c r="F226" t="str">
        <f>IF(M226&lt;&gt;"",VLOOKUP(M226,zastavky!E:F,2,FALSE),"")</f>
        <v/>
      </c>
      <c r="G226" t="s">
        <v>1319</v>
      </c>
      <c r="H226" t="s">
        <v>1320</v>
      </c>
      <c r="I226">
        <v>6</v>
      </c>
      <c r="J226" t="s">
        <v>18</v>
      </c>
      <c r="L226">
        <v>1</v>
      </c>
    </row>
    <row r="227" spans="1:12" x14ac:dyDescent="0.25">
      <c r="A227">
        <v>412</v>
      </c>
      <c r="B227" t="s">
        <v>1321</v>
      </c>
      <c r="C227" t="s">
        <v>1322</v>
      </c>
      <c r="D227" t="s">
        <v>1323</v>
      </c>
      <c r="E227" t="s">
        <v>1324</v>
      </c>
      <c r="F227" t="str">
        <f>IF(M227&lt;&gt;"",VLOOKUP(M227,zastavky!E:F,2,FALSE),"")</f>
        <v/>
      </c>
      <c r="G227" t="s">
        <v>1325</v>
      </c>
      <c r="H227" t="s">
        <v>1326</v>
      </c>
      <c r="I227">
        <v>6</v>
      </c>
      <c r="J227" t="s">
        <v>18</v>
      </c>
      <c r="L227">
        <v>1</v>
      </c>
    </row>
    <row r="228" spans="1:12" x14ac:dyDescent="0.25">
      <c r="A228">
        <v>413</v>
      </c>
      <c r="B228" t="s">
        <v>1327</v>
      </c>
      <c r="C228" t="s">
        <v>1328</v>
      </c>
      <c r="D228" t="s">
        <v>1329</v>
      </c>
      <c r="E228" t="s">
        <v>1330</v>
      </c>
      <c r="F228" t="str">
        <f>IF(M228&lt;&gt;"",VLOOKUP(M228,zastavky!E:F,2,FALSE),"")</f>
        <v/>
      </c>
      <c r="G228" t="s">
        <v>1331</v>
      </c>
      <c r="H228" t="s">
        <v>1332</v>
      </c>
      <c r="I228">
        <v>6</v>
      </c>
      <c r="J228" t="s">
        <v>18</v>
      </c>
      <c r="L228">
        <v>1</v>
      </c>
    </row>
    <row r="229" spans="1:12" x14ac:dyDescent="0.25">
      <c r="A229">
        <v>414</v>
      </c>
      <c r="B229" t="s">
        <v>1333</v>
      </c>
      <c r="C229" t="s">
        <v>1334</v>
      </c>
      <c r="D229" t="s">
        <v>1335</v>
      </c>
      <c r="E229" t="s">
        <v>1336</v>
      </c>
      <c r="F229" t="str">
        <f>IF(M229&lt;&gt;"",VLOOKUP(M229,zastavky!E:F,2,FALSE),"")</f>
        <v/>
      </c>
      <c r="G229" t="s">
        <v>1337</v>
      </c>
      <c r="H229" t="s">
        <v>1338</v>
      </c>
      <c r="I229">
        <v>6</v>
      </c>
      <c r="J229" t="s">
        <v>18</v>
      </c>
      <c r="L229">
        <v>1</v>
      </c>
    </row>
    <row r="230" spans="1:12" x14ac:dyDescent="0.25">
      <c r="A230">
        <v>415</v>
      </c>
      <c r="B230" t="s">
        <v>1339</v>
      </c>
      <c r="C230" t="s">
        <v>1334</v>
      </c>
      <c r="D230" t="s">
        <v>676</v>
      </c>
      <c r="E230" t="s">
        <v>1340</v>
      </c>
      <c r="F230" t="str">
        <f>IF(M230&lt;&gt;"",VLOOKUP(M230,zastavky!E:F,2,FALSE),"")</f>
        <v/>
      </c>
      <c r="G230" t="s">
        <v>1341</v>
      </c>
      <c r="H230" t="s">
        <v>1342</v>
      </c>
      <c r="I230">
        <v>6</v>
      </c>
      <c r="J230" t="s">
        <v>18</v>
      </c>
      <c r="L230">
        <v>1</v>
      </c>
    </row>
    <row r="231" spans="1:12" x14ac:dyDescent="0.25">
      <c r="A231">
        <v>416</v>
      </c>
      <c r="B231" t="s">
        <v>1343</v>
      </c>
      <c r="C231" t="s">
        <v>1344</v>
      </c>
      <c r="D231" t="s">
        <v>1345</v>
      </c>
      <c r="E231" t="s">
        <v>1346</v>
      </c>
      <c r="F231" t="str">
        <f>IF(M231&lt;&gt;"",VLOOKUP(M231,zastavky!E:F,2,FALSE),"")</f>
        <v/>
      </c>
      <c r="G231" t="s">
        <v>1347</v>
      </c>
      <c r="H231" t="s">
        <v>1348</v>
      </c>
      <c r="I231">
        <v>6</v>
      </c>
      <c r="J231" t="s">
        <v>18</v>
      </c>
      <c r="L231">
        <v>1</v>
      </c>
    </row>
    <row r="232" spans="1:12" x14ac:dyDescent="0.25">
      <c r="A232">
        <v>417</v>
      </c>
      <c r="B232" t="s">
        <v>1349</v>
      </c>
      <c r="C232" t="s">
        <v>1350</v>
      </c>
      <c r="D232" t="s">
        <v>1351</v>
      </c>
      <c r="E232" t="s">
        <v>1352</v>
      </c>
      <c r="F232" t="str">
        <f>IF(M232&lt;&gt;"",VLOOKUP(M232,zastavky!E:F,2,FALSE),"")</f>
        <v/>
      </c>
      <c r="G232" t="s">
        <v>1353</v>
      </c>
      <c r="H232" t="s">
        <v>1354</v>
      </c>
      <c r="I232">
        <v>6</v>
      </c>
      <c r="J232" t="s">
        <v>18</v>
      </c>
      <c r="L232">
        <v>1</v>
      </c>
    </row>
    <row r="233" spans="1:12" x14ac:dyDescent="0.25">
      <c r="A233">
        <v>418</v>
      </c>
      <c r="B233" t="s">
        <v>1355</v>
      </c>
      <c r="C233" t="s">
        <v>1356</v>
      </c>
      <c r="D233" t="s">
        <v>1357</v>
      </c>
      <c r="E233" t="s">
        <v>1358</v>
      </c>
      <c r="F233" t="str">
        <f>IF(M233&lt;&gt;"",VLOOKUP(M233,zastavky!E:F,2,FALSE),"")</f>
        <v/>
      </c>
      <c r="G233" t="s">
        <v>1359</v>
      </c>
      <c r="H233" t="s">
        <v>1360</v>
      </c>
      <c r="I233">
        <v>6</v>
      </c>
      <c r="J233" t="s">
        <v>18</v>
      </c>
      <c r="L233">
        <v>1</v>
      </c>
    </row>
    <row r="234" spans="1:12" x14ac:dyDescent="0.25">
      <c r="A234">
        <v>419</v>
      </c>
      <c r="B234" t="s">
        <v>1361</v>
      </c>
      <c r="C234" t="s">
        <v>1356</v>
      </c>
      <c r="D234" t="s">
        <v>1362</v>
      </c>
      <c r="E234" t="s">
        <v>1363</v>
      </c>
      <c r="F234" t="str">
        <f>IF(M234&lt;&gt;"",VLOOKUP(M234,zastavky!E:F,2,FALSE),"")</f>
        <v/>
      </c>
      <c r="G234" t="s">
        <v>1364</v>
      </c>
      <c r="H234" t="s">
        <v>1360</v>
      </c>
      <c r="I234">
        <v>6</v>
      </c>
      <c r="J234" t="s">
        <v>18</v>
      </c>
      <c r="L234">
        <v>1</v>
      </c>
    </row>
    <row r="235" spans="1:12" x14ac:dyDescent="0.25">
      <c r="A235">
        <v>420</v>
      </c>
      <c r="B235" t="s">
        <v>1365</v>
      </c>
      <c r="C235" t="s">
        <v>1366</v>
      </c>
      <c r="D235" t="s">
        <v>1367</v>
      </c>
      <c r="E235" t="s">
        <v>1368</v>
      </c>
      <c r="F235" t="str">
        <f>IF(M235&lt;&gt;"",VLOOKUP(M235,zastavky!E:F,2,FALSE),"")</f>
        <v/>
      </c>
      <c r="G235" t="s">
        <v>1369</v>
      </c>
      <c r="H235" t="s">
        <v>1370</v>
      </c>
      <c r="I235">
        <v>6</v>
      </c>
      <c r="J235" t="s">
        <v>18</v>
      </c>
      <c r="L235">
        <v>1</v>
      </c>
    </row>
    <row r="236" spans="1:12" x14ac:dyDescent="0.25">
      <c r="A236">
        <v>421</v>
      </c>
      <c r="B236" t="s">
        <v>1371</v>
      </c>
      <c r="C236" t="s">
        <v>1372</v>
      </c>
      <c r="D236" t="s">
        <v>1373</v>
      </c>
      <c r="E236" t="s">
        <v>1374</v>
      </c>
      <c r="F236" t="str">
        <f>IF(M236&lt;&gt;"",VLOOKUP(M236,zastavky!E:F,2,FALSE),"")</f>
        <v/>
      </c>
      <c r="G236" t="s">
        <v>1375</v>
      </c>
      <c r="H236" t="s">
        <v>1376</v>
      </c>
      <c r="I236">
        <v>6</v>
      </c>
      <c r="J236" t="s">
        <v>18</v>
      </c>
      <c r="L236">
        <v>1</v>
      </c>
    </row>
    <row r="237" spans="1:12" x14ac:dyDescent="0.25">
      <c r="A237">
        <v>422</v>
      </c>
      <c r="B237" t="s">
        <v>1377</v>
      </c>
      <c r="C237" t="s">
        <v>1378</v>
      </c>
      <c r="D237" t="s">
        <v>1379</v>
      </c>
      <c r="E237" t="s">
        <v>1380</v>
      </c>
      <c r="F237" t="str">
        <f>IF(M237&lt;&gt;"",VLOOKUP(M237,zastavky!E:F,2,FALSE),"")</f>
        <v/>
      </c>
      <c r="G237" t="s">
        <v>1381</v>
      </c>
      <c r="H237" t="s">
        <v>1382</v>
      </c>
      <c r="I237">
        <v>6</v>
      </c>
      <c r="J237" t="s">
        <v>18</v>
      </c>
      <c r="L237">
        <v>1</v>
      </c>
    </row>
    <row r="238" spans="1:12" x14ac:dyDescent="0.25">
      <c r="A238">
        <v>423</v>
      </c>
      <c r="B238" t="s">
        <v>1383</v>
      </c>
      <c r="C238" t="s">
        <v>1384</v>
      </c>
      <c r="D238" t="s">
        <v>1385</v>
      </c>
      <c r="E238" t="s">
        <v>1386</v>
      </c>
      <c r="F238" t="str">
        <f>IF(M238&lt;&gt;"",VLOOKUP(M238,zastavky!E:F,2,FALSE),"")</f>
        <v/>
      </c>
      <c r="G238" t="s">
        <v>1387</v>
      </c>
      <c r="H238" t="s">
        <v>1388</v>
      </c>
      <c r="I238">
        <v>6</v>
      </c>
      <c r="J238" t="s">
        <v>18</v>
      </c>
      <c r="L238">
        <v>1</v>
      </c>
    </row>
    <row r="239" spans="1:12" x14ac:dyDescent="0.25">
      <c r="A239">
        <v>424</v>
      </c>
      <c r="B239" t="s">
        <v>1389</v>
      </c>
      <c r="C239" t="s">
        <v>1384</v>
      </c>
      <c r="D239" t="s">
        <v>1390</v>
      </c>
      <c r="E239" t="s">
        <v>1391</v>
      </c>
      <c r="F239" t="str">
        <f>IF(M239&lt;&gt;"",VLOOKUP(M239,zastavky!E:F,2,FALSE),"")</f>
        <v/>
      </c>
      <c r="G239" t="s">
        <v>1392</v>
      </c>
      <c r="H239" t="s">
        <v>1388</v>
      </c>
      <c r="I239">
        <v>6</v>
      </c>
      <c r="J239" t="s">
        <v>18</v>
      </c>
      <c r="L239">
        <v>1</v>
      </c>
    </row>
    <row r="240" spans="1:12" x14ac:dyDescent="0.25">
      <c r="A240">
        <v>425</v>
      </c>
      <c r="B240" t="s">
        <v>1393</v>
      </c>
      <c r="C240" t="s">
        <v>1394</v>
      </c>
      <c r="D240" t="s">
        <v>1395</v>
      </c>
      <c r="E240" t="s">
        <v>1396</v>
      </c>
      <c r="F240" t="str">
        <f>IF(M240&lt;&gt;"",VLOOKUP(M240,zastavky!E:F,2,FALSE),"")</f>
        <v/>
      </c>
      <c r="G240" t="s">
        <v>1397</v>
      </c>
      <c r="H240" t="s">
        <v>1398</v>
      </c>
      <c r="I240">
        <v>6</v>
      </c>
      <c r="J240" t="s">
        <v>18</v>
      </c>
      <c r="L240">
        <v>1</v>
      </c>
    </row>
    <row r="241" spans="1:12" x14ac:dyDescent="0.25">
      <c r="A241">
        <v>426</v>
      </c>
      <c r="B241" t="s">
        <v>1399</v>
      </c>
      <c r="C241" t="s">
        <v>1400</v>
      </c>
      <c r="D241" t="s">
        <v>1401</v>
      </c>
      <c r="E241" t="s">
        <v>1402</v>
      </c>
      <c r="F241" t="str">
        <f>IF(M241&lt;&gt;"",VLOOKUP(M241,zastavky!E:F,2,FALSE),"")</f>
        <v/>
      </c>
      <c r="G241" t="s">
        <v>1403</v>
      </c>
      <c r="H241" t="s">
        <v>1404</v>
      </c>
      <c r="I241">
        <v>6</v>
      </c>
      <c r="J241" t="s">
        <v>18</v>
      </c>
      <c r="L241">
        <v>1</v>
      </c>
    </row>
    <row r="242" spans="1:12" x14ac:dyDescent="0.25">
      <c r="A242">
        <v>427</v>
      </c>
      <c r="B242" t="s">
        <v>1405</v>
      </c>
      <c r="C242" t="s">
        <v>1406</v>
      </c>
      <c r="D242" t="s">
        <v>1407</v>
      </c>
      <c r="E242" t="s">
        <v>1408</v>
      </c>
      <c r="F242" t="str">
        <f>IF(M242&lt;&gt;"",VLOOKUP(M242,zastavky!E:F,2,FALSE),"")</f>
        <v/>
      </c>
      <c r="G242" t="s">
        <v>1409</v>
      </c>
      <c r="H242" t="s">
        <v>1410</v>
      </c>
      <c r="I242">
        <v>6</v>
      </c>
      <c r="J242" t="s">
        <v>18</v>
      </c>
      <c r="L242">
        <v>1</v>
      </c>
    </row>
    <row r="243" spans="1:12" x14ac:dyDescent="0.25">
      <c r="A243">
        <v>428</v>
      </c>
      <c r="B243" t="s">
        <v>1411</v>
      </c>
      <c r="C243" t="s">
        <v>1412</v>
      </c>
      <c r="D243" t="s">
        <v>1413</v>
      </c>
      <c r="E243" t="s">
        <v>1414</v>
      </c>
      <c r="F243" t="str">
        <f>IF(M243&lt;&gt;"",VLOOKUP(M243,zastavky!E:F,2,FALSE),"")</f>
        <v/>
      </c>
      <c r="G243" t="s">
        <v>1415</v>
      </c>
      <c r="H243" t="s">
        <v>1416</v>
      </c>
      <c r="I243">
        <v>6</v>
      </c>
      <c r="J243" t="s">
        <v>18</v>
      </c>
      <c r="L243">
        <v>1</v>
      </c>
    </row>
    <row r="244" spans="1:12" x14ac:dyDescent="0.25">
      <c r="A244">
        <v>429</v>
      </c>
      <c r="B244" t="s">
        <v>1417</v>
      </c>
      <c r="C244" t="s">
        <v>1418</v>
      </c>
      <c r="D244" t="s">
        <v>1419</v>
      </c>
      <c r="E244" t="s">
        <v>1420</v>
      </c>
      <c r="F244" t="str">
        <f>IF(M244&lt;&gt;"",VLOOKUP(M244,zastavky!E:F,2,FALSE),"")</f>
        <v/>
      </c>
      <c r="G244" t="s">
        <v>1421</v>
      </c>
      <c r="H244" t="s">
        <v>1422</v>
      </c>
      <c r="I244">
        <v>6</v>
      </c>
      <c r="J244" t="s">
        <v>18</v>
      </c>
      <c r="L244">
        <v>1</v>
      </c>
    </row>
    <row r="245" spans="1:12" x14ac:dyDescent="0.25">
      <c r="A245">
        <v>430</v>
      </c>
      <c r="B245" t="s">
        <v>1423</v>
      </c>
      <c r="C245" t="s">
        <v>1424</v>
      </c>
      <c r="D245" t="s">
        <v>1425</v>
      </c>
      <c r="E245" t="s">
        <v>1426</v>
      </c>
      <c r="F245" t="str">
        <f>IF(M245&lt;&gt;"",VLOOKUP(M245,zastavky!E:F,2,FALSE),"")</f>
        <v/>
      </c>
      <c r="G245" t="s">
        <v>1427</v>
      </c>
      <c r="H245" t="s">
        <v>1428</v>
      </c>
      <c r="I245">
        <v>6</v>
      </c>
      <c r="J245" t="s">
        <v>18</v>
      </c>
      <c r="L245">
        <v>1</v>
      </c>
    </row>
    <row r="246" spans="1:12" x14ac:dyDescent="0.25">
      <c r="A246">
        <v>431</v>
      </c>
      <c r="B246" t="s">
        <v>1429</v>
      </c>
      <c r="C246" t="s">
        <v>1430</v>
      </c>
      <c r="D246" t="s">
        <v>1431</v>
      </c>
      <c r="E246" t="s">
        <v>1432</v>
      </c>
      <c r="F246" t="str">
        <f>IF(M246&lt;&gt;"",VLOOKUP(M246,zastavky!E:F,2,FALSE),"")</f>
        <v/>
      </c>
      <c r="G246" t="s">
        <v>1433</v>
      </c>
      <c r="H246" t="s">
        <v>1434</v>
      </c>
      <c r="I246">
        <v>6</v>
      </c>
      <c r="J246" t="s">
        <v>18</v>
      </c>
      <c r="L246">
        <v>1</v>
      </c>
    </row>
    <row r="247" spans="1:12" x14ac:dyDescent="0.25">
      <c r="A247">
        <v>432</v>
      </c>
      <c r="B247" t="s">
        <v>1435</v>
      </c>
      <c r="C247" t="s">
        <v>1436</v>
      </c>
      <c r="D247" t="s">
        <v>1437</v>
      </c>
      <c r="E247" t="s">
        <v>1438</v>
      </c>
      <c r="F247" t="str">
        <f>IF(M247&lt;&gt;"",VLOOKUP(M247,zastavky!E:F,2,FALSE),"")</f>
        <v/>
      </c>
      <c r="G247" t="s">
        <v>1439</v>
      </c>
      <c r="H247" t="s">
        <v>1440</v>
      </c>
      <c r="I247">
        <v>6</v>
      </c>
      <c r="J247" t="s">
        <v>18</v>
      </c>
      <c r="L247">
        <v>1</v>
      </c>
    </row>
    <row r="248" spans="1:12" x14ac:dyDescent="0.25">
      <c r="A248">
        <v>433</v>
      </c>
      <c r="B248" t="s">
        <v>1441</v>
      </c>
      <c r="C248" t="s">
        <v>1442</v>
      </c>
      <c r="D248" t="s">
        <v>1443</v>
      </c>
      <c r="E248" t="s">
        <v>1444</v>
      </c>
      <c r="F248" t="str">
        <f>IF(M248&lt;&gt;"",VLOOKUP(M248,zastavky!E:F,2,FALSE),"")</f>
        <v/>
      </c>
      <c r="G248" t="s">
        <v>1445</v>
      </c>
      <c r="H248" t="s">
        <v>1446</v>
      </c>
      <c r="I248">
        <v>6</v>
      </c>
      <c r="J248" t="s">
        <v>18</v>
      </c>
      <c r="L248">
        <v>1</v>
      </c>
    </row>
    <row r="249" spans="1:12" x14ac:dyDescent="0.25">
      <c r="A249">
        <v>434</v>
      </c>
      <c r="B249" t="s">
        <v>1447</v>
      </c>
      <c r="C249" t="s">
        <v>1448</v>
      </c>
      <c r="D249" t="s">
        <v>1449</v>
      </c>
      <c r="E249" t="s">
        <v>1450</v>
      </c>
      <c r="F249" t="str">
        <f>IF(M249&lt;&gt;"",VLOOKUP(M249,zastavky!E:F,2,FALSE),"")</f>
        <v/>
      </c>
      <c r="G249" t="s">
        <v>1451</v>
      </c>
      <c r="H249" t="s">
        <v>1452</v>
      </c>
      <c r="I249">
        <v>6</v>
      </c>
      <c r="J249" t="s">
        <v>18</v>
      </c>
      <c r="L249">
        <v>1</v>
      </c>
    </row>
    <row r="250" spans="1:12" x14ac:dyDescent="0.25">
      <c r="A250">
        <v>435</v>
      </c>
      <c r="B250" t="s">
        <v>1453</v>
      </c>
      <c r="C250" t="s">
        <v>1454</v>
      </c>
      <c r="D250" t="s">
        <v>1455</v>
      </c>
      <c r="E250" t="s">
        <v>1456</v>
      </c>
      <c r="F250" t="str">
        <f>IF(M250&lt;&gt;"",VLOOKUP(M250,zastavky!E:F,2,FALSE),"")</f>
        <v/>
      </c>
      <c r="G250" t="s">
        <v>1457</v>
      </c>
      <c r="H250" t="s">
        <v>1458</v>
      </c>
      <c r="I250">
        <v>6</v>
      </c>
      <c r="J250" t="s">
        <v>18</v>
      </c>
      <c r="L250">
        <v>1</v>
      </c>
    </row>
    <row r="251" spans="1:12" x14ac:dyDescent="0.25">
      <c r="A251">
        <v>436</v>
      </c>
      <c r="B251" t="s">
        <v>1459</v>
      </c>
      <c r="C251" t="s">
        <v>1460</v>
      </c>
      <c r="D251" t="s">
        <v>1461</v>
      </c>
      <c r="E251" t="s">
        <v>1462</v>
      </c>
      <c r="F251" t="str">
        <f>IF(M251&lt;&gt;"",VLOOKUP(M251,zastavky!E:F,2,FALSE),"")</f>
        <v/>
      </c>
      <c r="G251" t="s">
        <v>1463</v>
      </c>
      <c r="H251" t="s">
        <v>1464</v>
      </c>
      <c r="I251">
        <v>6</v>
      </c>
      <c r="J251" t="s">
        <v>18</v>
      </c>
      <c r="L251">
        <v>1</v>
      </c>
    </row>
    <row r="252" spans="1:12" x14ac:dyDescent="0.25">
      <c r="A252">
        <v>437</v>
      </c>
      <c r="B252" t="s">
        <v>1465</v>
      </c>
      <c r="C252" t="s">
        <v>1466</v>
      </c>
      <c r="D252" t="s">
        <v>1467</v>
      </c>
      <c r="E252" t="s">
        <v>1468</v>
      </c>
      <c r="F252" t="str">
        <f>IF(M252&lt;&gt;"",VLOOKUP(M252,zastavky!E:F,2,FALSE),"")</f>
        <v/>
      </c>
      <c r="G252" t="s">
        <v>1469</v>
      </c>
      <c r="H252" t="s">
        <v>1470</v>
      </c>
      <c r="I252">
        <v>6</v>
      </c>
      <c r="J252" t="s">
        <v>18</v>
      </c>
      <c r="L252">
        <v>1</v>
      </c>
    </row>
    <row r="253" spans="1:12" x14ac:dyDescent="0.25">
      <c r="A253">
        <v>438</v>
      </c>
      <c r="B253" t="s">
        <v>1471</v>
      </c>
      <c r="C253" t="s">
        <v>1472</v>
      </c>
      <c r="D253" t="s">
        <v>1473</v>
      </c>
      <c r="E253" t="s">
        <v>1474</v>
      </c>
      <c r="F253" t="str">
        <f>IF(M253&lt;&gt;"",VLOOKUP(M253,zastavky!E:F,2,FALSE),"")</f>
        <v/>
      </c>
      <c r="G253" t="s">
        <v>1475</v>
      </c>
      <c r="H253" t="s">
        <v>1476</v>
      </c>
      <c r="I253">
        <v>6</v>
      </c>
      <c r="J253" t="s">
        <v>18</v>
      </c>
      <c r="L253">
        <v>1</v>
      </c>
    </row>
    <row r="254" spans="1:12" x14ac:dyDescent="0.25">
      <c r="A254">
        <v>439</v>
      </c>
      <c r="B254" t="s">
        <v>234</v>
      </c>
      <c r="C254" t="s">
        <v>1477</v>
      </c>
      <c r="D254" t="s">
        <v>1478</v>
      </c>
      <c r="E254" t="s">
        <v>1479</v>
      </c>
      <c r="F254" t="str">
        <f>IF(M254&lt;&gt;"",VLOOKUP(M254,zastavky!E:F,2,FALSE),"")</f>
        <v/>
      </c>
      <c r="G254" t="s">
        <v>1480</v>
      </c>
      <c r="H254" t="s">
        <v>1481</v>
      </c>
      <c r="I254">
        <v>6</v>
      </c>
      <c r="J254" t="s">
        <v>18</v>
      </c>
      <c r="L254">
        <v>1</v>
      </c>
    </row>
    <row r="255" spans="1:12" x14ac:dyDescent="0.25">
      <c r="A255">
        <v>440</v>
      </c>
      <c r="B255" t="s">
        <v>1482</v>
      </c>
      <c r="C255" t="s">
        <v>1483</v>
      </c>
      <c r="D255" t="s">
        <v>1484</v>
      </c>
      <c r="E255" t="s">
        <v>1485</v>
      </c>
      <c r="F255" t="str">
        <f>IF(M255&lt;&gt;"",VLOOKUP(M255,zastavky!E:F,2,FALSE),"")</f>
        <v/>
      </c>
      <c r="G255" t="s">
        <v>1486</v>
      </c>
      <c r="H255" t="s">
        <v>1487</v>
      </c>
      <c r="I255">
        <v>6</v>
      </c>
      <c r="J255" t="s">
        <v>18</v>
      </c>
      <c r="L255">
        <v>1</v>
      </c>
    </row>
    <row r="256" spans="1:12" x14ac:dyDescent="0.25">
      <c r="A256">
        <v>441</v>
      </c>
      <c r="B256" t="s">
        <v>1488</v>
      </c>
      <c r="C256" t="s">
        <v>1489</v>
      </c>
      <c r="D256" t="s">
        <v>1490</v>
      </c>
      <c r="E256" t="s">
        <v>1491</v>
      </c>
      <c r="F256" t="str">
        <f>IF(M256&lt;&gt;"",VLOOKUP(M256,zastavky!E:F,2,FALSE),"")</f>
        <v/>
      </c>
      <c r="G256" t="s">
        <v>1492</v>
      </c>
      <c r="H256" t="s">
        <v>1493</v>
      </c>
      <c r="I256">
        <v>6</v>
      </c>
      <c r="J256" t="s">
        <v>18</v>
      </c>
      <c r="L256">
        <v>1</v>
      </c>
    </row>
    <row r="257" spans="1:12" x14ac:dyDescent="0.25">
      <c r="A257">
        <v>442</v>
      </c>
      <c r="B257" t="s">
        <v>1494</v>
      </c>
      <c r="C257" t="s">
        <v>1495</v>
      </c>
      <c r="D257" t="s">
        <v>152</v>
      </c>
      <c r="E257" t="s">
        <v>1496</v>
      </c>
      <c r="F257" t="str">
        <f>IF(M257&lt;&gt;"",VLOOKUP(M257,zastavky!E:F,2,FALSE),"")</f>
        <v/>
      </c>
      <c r="G257" t="s">
        <v>1497</v>
      </c>
      <c r="H257" t="s">
        <v>1498</v>
      </c>
      <c r="I257">
        <v>6</v>
      </c>
      <c r="J257" t="s">
        <v>18</v>
      </c>
      <c r="L257">
        <v>1</v>
      </c>
    </row>
    <row r="258" spans="1:12" x14ac:dyDescent="0.25">
      <c r="A258">
        <v>443</v>
      </c>
      <c r="B258" t="s">
        <v>1499</v>
      </c>
      <c r="C258" t="s">
        <v>1500</v>
      </c>
      <c r="D258" t="s">
        <v>1501</v>
      </c>
      <c r="E258" t="s">
        <v>1502</v>
      </c>
      <c r="F258" t="str">
        <f>IF(M258&lt;&gt;"",VLOOKUP(M258,zastavky!E:F,2,FALSE),"")</f>
        <v/>
      </c>
      <c r="G258" t="s">
        <v>1503</v>
      </c>
      <c r="H258" t="s">
        <v>1504</v>
      </c>
      <c r="I258">
        <v>6</v>
      </c>
      <c r="J258" t="s">
        <v>18</v>
      </c>
      <c r="L258">
        <v>1</v>
      </c>
    </row>
    <row r="259" spans="1:12" x14ac:dyDescent="0.25">
      <c r="A259">
        <v>444</v>
      </c>
      <c r="B259" t="s">
        <v>1046</v>
      </c>
      <c r="C259" t="s">
        <v>1505</v>
      </c>
      <c r="D259" t="s">
        <v>396</v>
      </c>
      <c r="E259" t="s">
        <v>1506</v>
      </c>
      <c r="F259" t="str">
        <f>IF(M259&lt;&gt;"",VLOOKUP(M259,zastavky!E:F,2,FALSE),"")</f>
        <v/>
      </c>
      <c r="G259" t="s">
        <v>1507</v>
      </c>
      <c r="H259" t="s">
        <v>1508</v>
      </c>
      <c r="I259">
        <v>6</v>
      </c>
      <c r="J259" t="s">
        <v>18</v>
      </c>
      <c r="L259">
        <v>1</v>
      </c>
    </row>
    <row r="260" spans="1:12" x14ac:dyDescent="0.25">
      <c r="A260">
        <v>445</v>
      </c>
      <c r="B260" t="s">
        <v>1509</v>
      </c>
      <c r="C260" t="s">
        <v>1510</v>
      </c>
      <c r="D260" t="s">
        <v>1511</v>
      </c>
      <c r="E260" t="s">
        <v>1512</v>
      </c>
      <c r="F260" t="str">
        <f>IF(M260&lt;&gt;"",VLOOKUP(M260,zastavky!E:F,2,FALSE),"")</f>
        <v/>
      </c>
      <c r="G260" t="s">
        <v>1513</v>
      </c>
      <c r="H260" t="s">
        <v>1514</v>
      </c>
      <c r="I260">
        <v>6</v>
      </c>
      <c r="J260" t="s">
        <v>18</v>
      </c>
      <c r="L260">
        <v>1</v>
      </c>
    </row>
    <row r="261" spans="1:12" x14ac:dyDescent="0.25">
      <c r="A261">
        <v>446</v>
      </c>
      <c r="B261" t="s">
        <v>1515</v>
      </c>
      <c r="C261" t="s">
        <v>1516</v>
      </c>
      <c r="D261" t="s">
        <v>1517</v>
      </c>
      <c r="E261" t="s">
        <v>1518</v>
      </c>
      <c r="F261" t="str">
        <f>IF(M261&lt;&gt;"",VLOOKUP(M261,zastavky!E:F,2,FALSE),"")</f>
        <v/>
      </c>
      <c r="G261" t="s">
        <v>1519</v>
      </c>
      <c r="H261" t="s">
        <v>1520</v>
      </c>
      <c r="I261">
        <v>6</v>
      </c>
      <c r="J261" t="s">
        <v>18</v>
      </c>
      <c r="L261">
        <v>1</v>
      </c>
    </row>
    <row r="262" spans="1:12" x14ac:dyDescent="0.25">
      <c r="A262">
        <v>447</v>
      </c>
      <c r="B262" t="s">
        <v>1521</v>
      </c>
      <c r="C262" t="s">
        <v>1522</v>
      </c>
      <c r="D262" t="s">
        <v>1523</v>
      </c>
      <c r="E262" t="s">
        <v>1524</v>
      </c>
      <c r="F262" t="str">
        <f>IF(M262&lt;&gt;"",VLOOKUP(M262,zastavky!E:F,2,FALSE),"")</f>
        <v/>
      </c>
      <c r="G262" t="s">
        <v>1525</v>
      </c>
      <c r="H262" t="s">
        <v>1526</v>
      </c>
      <c r="I262">
        <v>6</v>
      </c>
      <c r="J262" t="s">
        <v>18</v>
      </c>
      <c r="L262">
        <v>1</v>
      </c>
    </row>
    <row r="263" spans="1:12" x14ac:dyDescent="0.25">
      <c r="A263">
        <v>448</v>
      </c>
      <c r="B263" t="s">
        <v>1527</v>
      </c>
      <c r="C263" t="s">
        <v>1528</v>
      </c>
      <c r="D263" t="s">
        <v>1529</v>
      </c>
      <c r="E263" t="s">
        <v>1530</v>
      </c>
      <c r="F263" t="str">
        <f>IF(M263&lt;&gt;"",VLOOKUP(M263,zastavky!E:F,2,FALSE),"")</f>
        <v/>
      </c>
      <c r="G263" t="s">
        <v>1531</v>
      </c>
      <c r="H263" t="s">
        <v>1532</v>
      </c>
      <c r="I263">
        <v>6</v>
      </c>
      <c r="J263" t="s">
        <v>18</v>
      </c>
      <c r="L263">
        <v>1</v>
      </c>
    </row>
    <row r="264" spans="1:12" x14ac:dyDescent="0.25">
      <c r="A264">
        <v>449</v>
      </c>
      <c r="B264" t="s">
        <v>1533</v>
      </c>
      <c r="C264" t="s">
        <v>1534</v>
      </c>
      <c r="D264" t="s">
        <v>1535</v>
      </c>
      <c r="E264" t="s">
        <v>1536</v>
      </c>
      <c r="F264" t="str">
        <f>IF(M264&lt;&gt;"",VLOOKUP(M264,zastavky!E:F,2,FALSE),"")</f>
        <v/>
      </c>
      <c r="G264" t="s">
        <v>1537</v>
      </c>
      <c r="H264" t="s">
        <v>1538</v>
      </c>
      <c r="I264">
        <v>6</v>
      </c>
      <c r="J264" t="s">
        <v>18</v>
      </c>
      <c r="L264">
        <v>1</v>
      </c>
    </row>
    <row r="265" spans="1:12" x14ac:dyDescent="0.25">
      <c r="A265">
        <v>450</v>
      </c>
      <c r="B265" t="s">
        <v>1539</v>
      </c>
      <c r="C265" t="s">
        <v>1540</v>
      </c>
      <c r="D265" t="s">
        <v>1541</v>
      </c>
      <c r="E265" t="s">
        <v>1542</v>
      </c>
      <c r="F265" t="str">
        <f>IF(M265&lt;&gt;"",VLOOKUP(M265,zastavky!E:F,2,FALSE),"")</f>
        <v/>
      </c>
      <c r="G265" t="s">
        <v>1543</v>
      </c>
      <c r="H265" t="s">
        <v>1544</v>
      </c>
      <c r="I265">
        <v>6</v>
      </c>
      <c r="J265" t="s">
        <v>18</v>
      </c>
      <c r="L265">
        <v>1</v>
      </c>
    </row>
    <row r="266" spans="1:12" x14ac:dyDescent="0.25">
      <c r="A266">
        <v>451</v>
      </c>
      <c r="B266" t="s">
        <v>1545</v>
      </c>
      <c r="C266" t="s">
        <v>1546</v>
      </c>
      <c r="D266" t="s">
        <v>1547</v>
      </c>
      <c r="E266" t="s">
        <v>1548</v>
      </c>
      <c r="F266" t="str">
        <f>IF(M266&lt;&gt;"",VLOOKUP(M266,zastavky!E:F,2,FALSE),"")</f>
        <v/>
      </c>
      <c r="G266" t="s">
        <v>1549</v>
      </c>
      <c r="H266" t="s">
        <v>1550</v>
      </c>
      <c r="I266">
        <v>6</v>
      </c>
      <c r="J266" t="s">
        <v>18</v>
      </c>
      <c r="L266">
        <v>1</v>
      </c>
    </row>
    <row r="267" spans="1:12" x14ac:dyDescent="0.25">
      <c r="A267">
        <v>452</v>
      </c>
      <c r="B267" t="s">
        <v>1551</v>
      </c>
      <c r="C267" t="s">
        <v>1552</v>
      </c>
      <c r="D267" t="s">
        <v>1553</v>
      </c>
      <c r="E267" t="s">
        <v>1554</v>
      </c>
      <c r="F267" t="str">
        <f>IF(M267&lt;&gt;"",VLOOKUP(M267,zastavky!E:F,2,FALSE),"")</f>
        <v/>
      </c>
      <c r="G267" t="s">
        <v>1555</v>
      </c>
      <c r="H267" t="s">
        <v>1556</v>
      </c>
      <c r="I267">
        <v>6</v>
      </c>
      <c r="J267" t="s">
        <v>18</v>
      </c>
      <c r="L267">
        <v>1</v>
      </c>
    </row>
    <row r="268" spans="1:12" x14ac:dyDescent="0.25">
      <c r="A268">
        <v>453</v>
      </c>
      <c r="B268" t="s">
        <v>1557</v>
      </c>
      <c r="C268" t="s">
        <v>1558</v>
      </c>
      <c r="D268" t="s">
        <v>1559</v>
      </c>
      <c r="E268" t="s">
        <v>1560</v>
      </c>
      <c r="F268" t="str">
        <f>IF(M268&lt;&gt;"",VLOOKUP(M268,zastavky!E:F,2,FALSE),"")</f>
        <v/>
      </c>
      <c r="G268" t="s">
        <v>1561</v>
      </c>
      <c r="H268" t="s">
        <v>1562</v>
      </c>
      <c r="I268">
        <v>6</v>
      </c>
      <c r="J268" t="s">
        <v>18</v>
      </c>
      <c r="L268">
        <v>1</v>
      </c>
    </row>
    <row r="269" spans="1:12" x14ac:dyDescent="0.25">
      <c r="A269">
        <v>454</v>
      </c>
      <c r="B269" t="s">
        <v>1563</v>
      </c>
      <c r="C269" t="s">
        <v>1564</v>
      </c>
      <c r="D269" t="s">
        <v>1565</v>
      </c>
      <c r="E269" t="s">
        <v>1566</v>
      </c>
      <c r="F269" t="str">
        <f>IF(M269&lt;&gt;"",VLOOKUP(M269,zastavky!E:F,2,FALSE),"")</f>
        <v/>
      </c>
      <c r="G269" t="s">
        <v>1567</v>
      </c>
      <c r="H269" t="s">
        <v>1568</v>
      </c>
      <c r="I269">
        <v>6</v>
      </c>
      <c r="J269" t="s">
        <v>18</v>
      </c>
      <c r="L269">
        <v>1</v>
      </c>
    </row>
    <row r="270" spans="1:12" x14ac:dyDescent="0.25">
      <c r="A270">
        <v>455</v>
      </c>
      <c r="B270" t="s">
        <v>1569</v>
      </c>
      <c r="C270" t="s">
        <v>1570</v>
      </c>
      <c r="D270" t="s">
        <v>1571</v>
      </c>
      <c r="E270" t="s">
        <v>1572</v>
      </c>
      <c r="F270" t="str">
        <f>IF(M270&lt;&gt;"",VLOOKUP(M270,zastavky!E:F,2,FALSE),"")</f>
        <v/>
      </c>
      <c r="G270" t="s">
        <v>1573</v>
      </c>
      <c r="H270" t="s">
        <v>1574</v>
      </c>
      <c r="I270">
        <v>6</v>
      </c>
      <c r="J270" t="s">
        <v>18</v>
      </c>
      <c r="L270">
        <v>1</v>
      </c>
    </row>
    <row r="271" spans="1:12" x14ac:dyDescent="0.25">
      <c r="A271">
        <v>456</v>
      </c>
      <c r="B271" t="s">
        <v>1575</v>
      </c>
      <c r="C271" t="s">
        <v>1576</v>
      </c>
      <c r="D271" t="s">
        <v>1577</v>
      </c>
      <c r="E271" t="s">
        <v>1578</v>
      </c>
      <c r="F271" t="str">
        <f>IF(M271&lt;&gt;"",VLOOKUP(M271,zastavky!E:F,2,FALSE),"")</f>
        <v/>
      </c>
      <c r="G271" t="s">
        <v>1579</v>
      </c>
      <c r="H271" t="s">
        <v>1580</v>
      </c>
      <c r="I271">
        <v>6</v>
      </c>
      <c r="J271" t="s">
        <v>18</v>
      </c>
      <c r="L271">
        <v>1</v>
      </c>
    </row>
    <row r="272" spans="1:12" x14ac:dyDescent="0.25">
      <c r="A272">
        <v>457</v>
      </c>
      <c r="B272" t="s">
        <v>1581</v>
      </c>
      <c r="C272" t="s">
        <v>1582</v>
      </c>
      <c r="D272" t="s">
        <v>1583</v>
      </c>
      <c r="E272" t="s">
        <v>1584</v>
      </c>
      <c r="F272" t="str">
        <f>IF(M272&lt;&gt;"",VLOOKUP(M272,zastavky!E:F,2,FALSE),"")</f>
        <v/>
      </c>
      <c r="G272" t="s">
        <v>1585</v>
      </c>
      <c r="H272" t="s">
        <v>1586</v>
      </c>
      <c r="I272">
        <v>6</v>
      </c>
      <c r="J272" t="s">
        <v>18</v>
      </c>
      <c r="L272">
        <v>1</v>
      </c>
    </row>
    <row r="273" spans="1:12" x14ac:dyDescent="0.25">
      <c r="A273">
        <v>458</v>
      </c>
      <c r="B273" t="s">
        <v>1587</v>
      </c>
      <c r="C273" t="s">
        <v>1588</v>
      </c>
      <c r="D273" t="s">
        <v>1589</v>
      </c>
      <c r="E273" t="s">
        <v>1590</v>
      </c>
      <c r="F273" t="str">
        <f>IF(M273&lt;&gt;"",VLOOKUP(M273,zastavky!E:F,2,FALSE),"")</f>
        <v/>
      </c>
      <c r="G273" t="s">
        <v>1591</v>
      </c>
      <c r="H273" t="s">
        <v>1592</v>
      </c>
      <c r="I273">
        <v>6</v>
      </c>
      <c r="J273" t="s">
        <v>18</v>
      </c>
      <c r="L273">
        <v>1</v>
      </c>
    </row>
    <row r="274" spans="1:12" x14ac:dyDescent="0.25">
      <c r="A274">
        <v>459</v>
      </c>
      <c r="B274" t="s">
        <v>1593</v>
      </c>
      <c r="C274" t="s">
        <v>1594</v>
      </c>
      <c r="D274" t="s">
        <v>1595</v>
      </c>
      <c r="E274" t="s">
        <v>1596</v>
      </c>
      <c r="F274" t="str">
        <f>IF(M274&lt;&gt;"",VLOOKUP(M274,zastavky!E:F,2,FALSE),"")</f>
        <v/>
      </c>
      <c r="G274" t="s">
        <v>1597</v>
      </c>
      <c r="H274" t="s">
        <v>1598</v>
      </c>
      <c r="I274">
        <v>6</v>
      </c>
      <c r="J274" t="s">
        <v>18</v>
      </c>
      <c r="L274">
        <v>1</v>
      </c>
    </row>
    <row r="275" spans="1:12" x14ac:dyDescent="0.25">
      <c r="A275">
        <v>460</v>
      </c>
      <c r="B275" t="s">
        <v>1599</v>
      </c>
      <c r="C275" t="s">
        <v>1600</v>
      </c>
      <c r="D275" t="s">
        <v>1601</v>
      </c>
      <c r="E275" t="s">
        <v>1602</v>
      </c>
      <c r="F275" t="str">
        <f>IF(M275&lt;&gt;"",VLOOKUP(M275,zastavky!E:F,2,FALSE),"")</f>
        <v/>
      </c>
      <c r="G275" t="s">
        <v>1603</v>
      </c>
      <c r="H275" t="s">
        <v>1604</v>
      </c>
      <c r="I275">
        <v>6</v>
      </c>
      <c r="J275" t="s">
        <v>18</v>
      </c>
      <c r="L275">
        <v>1</v>
      </c>
    </row>
    <row r="276" spans="1:12" x14ac:dyDescent="0.25">
      <c r="A276">
        <v>461</v>
      </c>
      <c r="B276" t="s">
        <v>1605</v>
      </c>
      <c r="C276" t="s">
        <v>1606</v>
      </c>
      <c r="D276" t="s">
        <v>1607</v>
      </c>
      <c r="E276" t="s">
        <v>1608</v>
      </c>
      <c r="F276" t="str">
        <f>IF(M276&lt;&gt;"",VLOOKUP(M276,zastavky!E:F,2,FALSE),"")</f>
        <v/>
      </c>
      <c r="G276" t="s">
        <v>1609</v>
      </c>
      <c r="H276" t="s">
        <v>1610</v>
      </c>
      <c r="I276">
        <v>6</v>
      </c>
      <c r="J276" t="s">
        <v>18</v>
      </c>
      <c r="L276">
        <v>1</v>
      </c>
    </row>
    <row r="277" spans="1:12" x14ac:dyDescent="0.25">
      <c r="A277">
        <v>462</v>
      </c>
      <c r="B277" t="s">
        <v>1611</v>
      </c>
      <c r="C277" t="s">
        <v>1612</v>
      </c>
      <c r="D277" t="s">
        <v>1613</v>
      </c>
      <c r="E277" t="s">
        <v>1614</v>
      </c>
      <c r="F277" t="str">
        <f>IF(M277&lt;&gt;"",VLOOKUP(M277,zastavky!E:F,2,FALSE),"")</f>
        <v/>
      </c>
      <c r="G277" t="s">
        <v>1615</v>
      </c>
      <c r="H277" t="s">
        <v>1616</v>
      </c>
      <c r="I277">
        <v>6</v>
      </c>
      <c r="J277" t="s">
        <v>18</v>
      </c>
      <c r="L277">
        <v>1</v>
      </c>
    </row>
    <row r="278" spans="1:12" x14ac:dyDescent="0.25">
      <c r="A278">
        <v>463</v>
      </c>
      <c r="B278" t="s">
        <v>1617</v>
      </c>
      <c r="C278" t="s">
        <v>1618</v>
      </c>
      <c r="D278" t="s">
        <v>1619</v>
      </c>
      <c r="E278" t="s">
        <v>1620</v>
      </c>
      <c r="F278" t="str">
        <f>IF(M278&lt;&gt;"",VLOOKUP(M278,zastavky!E:F,2,FALSE),"")</f>
        <v/>
      </c>
      <c r="G278" t="s">
        <v>1621</v>
      </c>
      <c r="H278" t="s">
        <v>1622</v>
      </c>
      <c r="I278">
        <v>6</v>
      </c>
      <c r="J278" t="s">
        <v>18</v>
      </c>
      <c r="L278">
        <v>1</v>
      </c>
    </row>
    <row r="279" spans="1:12" x14ac:dyDescent="0.25">
      <c r="A279">
        <v>464</v>
      </c>
      <c r="B279" t="s">
        <v>1623</v>
      </c>
      <c r="C279" t="s">
        <v>1624</v>
      </c>
      <c r="D279" t="s">
        <v>1625</v>
      </c>
      <c r="E279" t="s">
        <v>1626</v>
      </c>
      <c r="F279" t="str">
        <f>IF(M279&lt;&gt;"",VLOOKUP(M279,zastavky!E:F,2,FALSE),"")</f>
        <v/>
      </c>
      <c r="G279" t="s">
        <v>1627</v>
      </c>
      <c r="H279" t="s">
        <v>1628</v>
      </c>
      <c r="I279">
        <v>6</v>
      </c>
      <c r="J279" t="s">
        <v>18</v>
      </c>
      <c r="L279">
        <v>1</v>
      </c>
    </row>
    <row r="280" spans="1:12" x14ac:dyDescent="0.25">
      <c r="A280">
        <v>465</v>
      </c>
      <c r="B280" t="s">
        <v>1629</v>
      </c>
      <c r="C280" t="s">
        <v>1630</v>
      </c>
      <c r="D280" t="s">
        <v>1631</v>
      </c>
      <c r="E280" t="s">
        <v>1632</v>
      </c>
      <c r="F280" t="str">
        <f>IF(M280&lt;&gt;"",VLOOKUP(M280,zastavky!E:F,2,FALSE),"")</f>
        <v/>
      </c>
      <c r="G280" t="s">
        <v>1633</v>
      </c>
      <c r="H280" t="s">
        <v>1634</v>
      </c>
      <c r="I280">
        <v>6</v>
      </c>
      <c r="J280" t="s">
        <v>18</v>
      </c>
      <c r="L280">
        <v>1</v>
      </c>
    </row>
    <row r="281" spans="1:12" x14ac:dyDescent="0.25">
      <c r="A281">
        <v>466</v>
      </c>
      <c r="B281" t="s">
        <v>995</v>
      </c>
      <c r="C281" t="s">
        <v>1635</v>
      </c>
      <c r="D281" t="s">
        <v>1636</v>
      </c>
      <c r="E281" t="s">
        <v>1637</v>
      </c>
      <c r="F281" t="str">
        <f>IF(M281&lt;&gt;"",VLOOKUP(M281,zastavky!E:F,2,FALSE),"")</f>
        <v/>
      </c>
      <c r="G281" t="s">
        <v>1638</v>
      </c>
      <c r="H281" t="s">
        <v>1639</v>
      </c>
      <c r="I281">
        <v>6</v>
      </c>
      <c r="J281" t="s">
        <v>18</v>
      </c>
      <c r="L281">
        <v>1</v>
      </c>
    </row>
    <row r="282" spans="1:12" x14ac:dyDescent="0.25">
      <c r="A282">
        <v>467</v>
      </c>
      <c r="B282" t="s">
        <v>1640</v>
      </c>
      <c r="C282" t="s">
        <v>1635</v>
      </c>
      <c r="D282" t="s">
        <v>1641</v>
      </c>
      <c r="E282" t="s">
        <v>1642</v>
      </c>
      <c r="F282" t="str">
        <f>IF(M282&lt;&gt;"",VLOOKUP(M282,zastavky!E:F,2,FALSE),"")</f>
        <v/>
      </c>
      <c r="G282" t="s">
        <v>1643</v>
      </c>
      <c r="H282" t="s">
        <v>1644</v>
      </c>
      <c r="I282">
        <v>6</v>
      </c>
      <c r="J282" t="s">
        <v>18</v>
      </c>
      <c r="L282">
        <v>1</v>
      </c>
    </row>
    <row r="283" spans="1:12" x14ac:dyDescent="0.25">
      <c r="A283">
        <v>468</v>
      </c>
      <c r="B283" t="s">
        <v>1645</v>
      </c>
      <c r="C283" t="s">
        <v>1646</v>
      </c>
      <c r="D283" t="s">
        <v>1647</v>
      </c>
      <c r="E283" t="s">
        <v>1648</v>
      </c>
      <c r="F283" t="str">
        <f>IF(M283&lt;&gt;"",VLOOKUP(M283,zastavky!E:F,2,FALSE),"")</f>
        <v/>
      </c>
      <c r="G283" t="s">
        <v>1649</v>
      </c>
      <c r="H283" t="s">
        <v>1650</v>
      </c>
      <c r="I283">
        <v>6</v>
      </c>
      <c r="J283" t="s">
        <v>18</v>
      </c>
      <c r="L283">
        <v>1</v>
      </c>
    </row>
    <row r="284" spans="1:12" x14ac:dyDescent="0.25">
      <c r="A284">
        <v>469</v>
      </c>
      <c r="B284" t="s">
        <v>1651</v>
      </c>
      <c r="C284" t="s">
        <v>1652</v>
      </c>
      <c r="D284" t="s">
        <v>1653</v>
      </c>
      <c r="E284" t="s">
        <v>1654</v>
      </c>
      <c r="F284" t="str">
        <f>IF(M284&lt;&gt;"",VLOOKUP(M284,zastavky!E:F,2,FALSE),"")</f>
        <v/>
      </c>
      <c r="G284" t="s">
        <v>1655</v>
      </c>
      <c r="H284" t="s">
        <v>1656</v>
      </c>
      <c r="I284">
        <v>6</v>
      </c>
      <c r="J284" t="s">
        <v>18</v>
      </c>
      <c r="L284">
        <v>1</v>
      </c>
    </row>
    <row r="285" spans="1:12" x14ac:dyDescent="0.25">
      <c r="A285">
        <v>470</v>
      </c>
      <c r="B285" t="s">
        <v>1657</v>
      </c>
      <c r="C285" t="s">
        <v>1658</v>
      </c>
      <c r="D285" t="s">
        <v>1659</v>
      </c>
      <c r="E285" t="s">
        <v>1660</v>
      </c>
      <c r="F285" t="str">
        <f>IF(M285&lt;&gt;"",VLOOKUP(M285,zastavky!E:F,2,FALSE),"")</f>
        <v/>
      </c>
      <c r="G285" t="s">
        <v>1661</v>
      </c>
      <c r="H285" t="s">
        <v>1662</v>
      </c>
      <c r="I285">
        <v>6</v>
      </c>
      <c r="J285" t="s">
        <v>18</v>
      </c>
      <c r="L285">
        <v>1</v>
      </c>
    </row>
    <row r="286" spans="1:12" x14ac:dyDescent="0.25">
      <c r="A286">
        <v>471</v>
      </c>
      <c r="B286" t="s">
        <v>418</v>
      </c>
      <c r="C286" t="s">
        <v>1663</v>
      </c>
      <c r="D286" t="s">
        <v>1664</v>
      </c>
      <c r="E286" t="s">
        <v>1665</v>
      </c>
      <c r="F286" t="str">
        <f>IF(M286&lt;&gt;"",VLOOKUP(M286,zastavky!E:F,2,FALSE),"")</f>
        <v/>
      </c>
      <c r="G286" t="s">
        <v>1666</v>
      </c>
      <c r="H286" t="s">
        <v>1667</v>
      </c>
      <c r="I286">
        <v>6</v>
      </c>
      <c r="J286" t="s">
        <v>18</v>
      </c>
      <c r="L286">
        <v>1</v>
      </c>
    </row>
    <row r="287" spans="1:12" x14ac:dyDescent="0.25">
      <c r="A287">
        <v>472</v>
      </c>
      <c r="B287" t="s">
        <v>1668</v>
      </c>
      <c r="C287" t="s">
        <v>1669</v>
      </c>
      <c r="D287" t="s">
        <v>1670</v>
      </c>
      <c r="E287" t="s">
        <v>1671</v>
      </c>
      <c r="F287" t="str">
        <f>IF(M287&lt;&gt;"",VLOOKUP(M287,zastavky!E:F,2,FALSE),"")</f>
        <v/>
      </c>
      <c r="G287" t="s">
        <v>1672</v>
      </c>
      <c r="H287" t="s">
        <v>1673</v>
      </c>
      <c r="I287">
        <v>6</v>
      </c>
      <c r="J287" t="s">
        <v>18</v>
      </c>
      <c r="L287">
        <v>1</v>
      </c>
    </row>
    <row r="288" spans="1:12" x14ac:dyDescent="0.25">
      <c r="A288">
        <v>473</v>
      </c>
      <c r="B288" t="s">
        <v>1674</v>
      </c>
      <c r="C288" t="s">
        <v>1675</v>
      </c>
      <c r="D288" t="s">
        <v>1676</v>
      </c>
      <c r="E288" t="s">
        <v>1677</v>
      </c>
      <c r="F288" t="str">
        <f>IF(M288&lt;&gt;"",VLOOKUP(M288,zastavky!E:F,2,FALSE),"")</f>
        <v/>
      </c>
      <c r="G288" t="s">
        <v>1678</v>
      </c>
      <c r="H288" t="s">
        <v>1679</v>
      </c>
      <c r="I288">
        <v>6</v>
      </c>
      <c r="J288" t="s">
        <v>18</v>
      </c>
      <c r="L288">
        <v>1</v>
      </c>
    </row>
    <row r="289" spans="1:12" x14ac:dyDescent="0.25">
      <c r="A289">
        <v>474</v>
      </c>
      <c r="B289" t="s">
        <v>1680</v>
      </c>
      <c r="C289" t="s">
        <v>1681</v>
      </c>
      <c r="D289" t="s">
        <v>1682</v>
      </c>
      <c r="E289" t="s">
        <v>1683</v>
      </c>
      <c r="F289" t="str">
        <f>IF(M289&lt;&gt;"",VLOOKUP(M289,zastavky!E:F,2,FALSE),"")</f>
        <v/>
      </c>
      <c r="G289" t="s">
        <v>1684</v>
      </c>
      <c r="H289" t="s">
        <v>1685</v>
      </c>
      <c r="I289">
        <v>6</v>
      </c>
      <c r="J289" t="s">
        <v>18</v>
      </c>
      <c r="L289">
        <v>1</v>
      </c>
    </row>
    <row r="290" spans="1:12" x14ac:dyDescent="0.25">
      <c r="A290">
        <v>475</v>
      </c>
      <c r="B290" t="s">
        <v>1686</v>
      </c>
      <c r="C290" t="s">
        <v>1687</v>
      </c>
      <c r="D290" t="s">
        <v>1688</v>
      </c>
      <c r="E290" t="s">
        <v>1689</v>
      </c>
      <c r="F290" t="str">
        <f>IF(M290&lt;&gt;"",VLOOKUP(M290,zastavky!E:F,2,FALSE),"")</f>
        <v/>
      </c>
      <c r="G290" t="s">
        <v>1690</v>
      </c>
      <c r="H290" t="s">
        <v>1691</v>
      </c>
      <c r="I290">
        <v>6</v>
      </c>
      <c r="J290" t="s">
        <v>18</v>
      </c>
      <c r="L290">
        <v>1</v>
      </c>
    </row>
    <row r="291" spans="1:12" x14ac:dyDescent="0.25">
      <c r="A291">
        <v>476</v>
      </c>
      <c r="B291" t="s">
        <v>1692</v>
      </c>
      <c r="C291" t="s">
        <v>1693</v>
      </c>
      <c r="D291" t="s">
        <v>1694</v>
      </c>
      <c r="E291" t="s">
        <v>1695</v>
      </c>
      <c r="F291" t="str">
        <f>IF(M291&lt;&gt;"",VLOOKUP(M291,zastavky!E:F,2,FALSE),"")</f>
        <v/>
      </c>
      <c r="G291" t="s">
        <v>1696</v>
      </c>
      <c r="H291" t="s">
        <v>1697</v>
      </c>
      <c r="I291">
        <v>6</v>
      </c>
      <c r="J291" t="s">
        <v>18</v>
      </c>
      <c r="L291">
        <v>1</v>
      </c>
    </row>
    <row r="292" spans="1:12" x14ac:dyDescent="0.25">
      <c r="A292">
        <v>477</v>
      </c>
      <c r="B292" t="s">
        <v>1698</v>
      </c>
      <c r="C292" t="s">
        <v>1699</v>
      </c>
      <c r="D292" t="s">
        <v>1700</v>
      </c>
      <c r="E292" t="s">
        <v>1701</v>
      </c>
      <c r="F292" t="str">
        <f>IF(M292&lt;&gt;"",VLOOKUP(M292,zastavky!E:F,2,FALSE),"")</f>
        <v/>
      </c>
      <c r="G292" t="s">
        <v>1702</v>
      </c>
      <c r="H292" t="s">
        <v>1703</v>
      </c>
      <c r="I292">
        <v>6</v>
      </c>
      <c r="J292" t="s">
        <v>18</v>
      </c>
      <c r="L292">
        <v>1</v>
      </c>
    </row>
    <row r="293" spans="1:12" x14ac:dyDescent="0.25">
      <c r="A293">
        <v>478</v>
      </c>
      <c r="B293" t="s">
        <v>1704</v>
      </c>
      <c r="C293" t="s">
        <v>1705</v>
      </c>
      <c r="D293" t="s">
        <v>881</v>
      </c>
      <c r="E293" t="s">
        <v>1706</v>
      </c>
      <c r="F293" t="str">
        <f>IF(M293&lt;&gt;"",VLOOKUP(M293,zastavky!E:F,2,FALSE),"")</f>
        <v/>
      </c>
      <c r="G293" t="s">
        <v>1707</v>
      </c>
      <c r="H293" t="s">
        <v>1708</v>
      </c>
      <c r="I293">
        <v>6</v>
      </c>
      <c r="J293" t="s">
        <v>18</v>
      </c>
      <c r="L293">
        <v>1</v>
      </c>
    </row>
    <row r="294" spans="1:12" x14ac:dyDescent="0.25">
      <c r="A294">
        <v>479</v>
      </c>
      <c r="B294" t="s">
        <v>1709</v>
      </c>
      <c r="C294" t="s">
        <v>1710</v>
      </c>
      <c r="D294" t="s">
        <v>1711</v>
      </c>
      <c r="E294" t="s">
        <v>1712</v>
      </c>
      <c r="F294" t="str">
        <f>IF(M294&lt;&gt;"",VLOOKUP(M294,zastavky!E:F,2,FALSE),"")</f>
        <v/>
      </c>
      <c r="G294" t="s">
        <v>1713</v>
      </c>
      <c r="H294" t="s">
        <v>1714</v>
      </c>
      <c r="I294">
        <v>6</v>
      </c>
      <c r="J294" t="s">
        <v>18</v>
      </c>
      <c r="L294">
        <v>1</v>
      </c>
    </row>
    <row r="295" spans="1:12" x14ac:dyDescent="0.25">
      <c r="A295">
        <v>480</v>
      </c>
      <c r="B295" t="s">
        <v>1715</v>
      </c>
      <c r="C295" t="s">
        <v>1716</v>
      </c>
      <c r="D295" t="s">
        <v>1717</v>
      </c>
      <c r="E295" t="s">
        <v>1718</v>
      </c>
      <c r="F295" t="str">
        <f>IF(M295&lt;&gt;"",VLOOKUP(M295,zastavky!E:F,2,FALSE),"")</f>
        <v/>
      </c>
      <c r="G295" t="s">
        <v>1719</v>
      </c>
      <c r="H295" t="s">
        <v>1720</v>
      </c>
      <c r="I295">
        <v>6</v>
      </c>
      <c r="J295" t="s">
        <v>18</v>
      </c>
      <c r="L295">
        <v>1</v>
      </c>
    </row>
    <row r="296" spans="1:12" x14ac:dyDescent="0.25">
      <c r="A296">
        <v>481</v>
      </c>
      <c r="B296" t="s">
        <v>1721</v>
      </c>
      <c r="C296" t="s">
        <v>1722</v>
      </c>
      <c r="D296" t="s">
        <v>1723</v>
      </c>
      <c r="E296" t="s">
        <v>1724</v>
      </c>
      <c r="F296" t="str">
        <f>IF(M296&lt;&gt;"",VLOOKUP(M296,zastavky!E:F,2,FALSE),"")</f>
        <v/>
      </c>
      <c r="G296" t="s">
        <v>1725</v>
      </c>
      <c r="H296" t="s">
        <v>1726</v>
      </c>
      <c r="I296">
        <v>6</v>
      </c>
      <c r="J296" t="s">
        <v>18</v>
      </c>
      <c r="L296">
        <v>1</v>
      </c>
    </row>
    <row r="297" spans="1:12" x14ac:dyDescent="0.25">
      <c r="A297">
        <v>482</v>
      </c>
      <c r="B297" t="s">
        <v>1727</v>
      </c>
      <c r="C297" t="s">
        <v>1728</v>
      </c>
      <c r="D297" t="s">
        <v>1729</v>
      </c>
      <c r="E297" t="s">
        <v>1730</v>
      </c>
      <c r="F297" t="str">
        <f>IF(M297&lt;&gt;"",VLOOKUP(M297,zastavky!E:F,2,FALSE),"")</f>
        <v/>
      </c>
      <c r="G297" t="s">
        <v>1731</v>
      </c>
      <c r="H297" t="s">
        <v>1732</v>
      </c>
      <c r="I297">
        <v>6</v>
      </c>
      <c r="J297" t="s">
        <v>18</v>
      </c>
      <c r="L297">
        <v>1</v>
      </c>
    </row>
    <row r="298" spans="1:12" x14ac:dyDescent="0.25">
      <c r="A298">
        <v>483</v>
      </c>
      <c r="B298" t="s">
        <v>1733</v>
      </c>
      <c r="C298" t="s">
        <v>1734</v>
      </c>
      <c r="D298" t="s">
        <v>1735</v>
      </c>
      <c r="E298" t="s">
        <v>1736</v>
      </c>
      <c r="F298" t="str">
        <f>IF(M298&lt;&gt;"",VLOOKUP(M298,zastavky!E:F,2,FALSE),"")</f>
        <v/>
      </c>
      <c r="G298" t="s">
        <v>1737</v>
      </c>
      <c r="H298" t="s">
        <v>1738</v>
      </c>
      <c r="I298">
        <v>6</v>
      </c>
      <c r="J298" t="s">
        <v>18</v>
      </c>
      <c r="L298">
        <v>1</v>
      </c>
    </row>
    <row r="299" spans="1:12" x14ac:dyDescent="0.25">
      <c r="A299">
        <v>484</v>
      </c>
      <c r="B299" t="s">
        <v>1739</v>
      </c>
      <c r="C299" t="s">
        <v>1740</v>
      </c>
      <c r="D299" t="s">
        <v>1741</v>
      </c>
      <c r="E299" t="s">
        <v>1742</v>
      </c>
      <c r="F299" t="str">
        <f>IF(M299&lt;&gt;"",VLOOKUP(M299,zastavky!E:F,2,FALSE),"")</f>
        <v/>
      </c>
      <c r="G299" t="s">
        <v>1743</v>
      </c>
      <c r="H299" t="s">
        <v>1744</v>
      </c>
      <c r="I299">
        <v>6</v>
      </c>
      <c r="J299" t="s">
        <v>18</v>
      </c>
      <c r="L299">
        <v>1</v>
      </c>
    </row>
    <row r="300" spans="1:12" x14ac:dyDescent="0.25">
      <c r="A300">
        <v>485</v>
      </c>
      <c r="B300" t="s">
        <v>1745</v>
      </c>
      <c r="C300" t="s">
        <v>1746</v>
      </c>
      <c r="D300" t="s">
        <v>1747</v>
      </c>
      <c r="E300" t="s">
        <v>1748</v>
      </c>
      <c r="F300" t="str">
        <f>IF(M300&lt;&gt;"",VLOOKUP(M300,zastavky!E:F,2,FALSE),"")</f>
        <v/>
      </c>
      <c r="G300" t="s">
        <v>1749</v>
      </c>
      <c r="H300" t="s">
        <v>1750</v>
      </c>
      <c r="I300">
        <v>6</v>
      </c>
      <c r="J300" t="s">
        <v>18</v>
      </c>
      <c r="L300">
        <v>1</v>
      </c>
    </row>
    <row r="301" spans="1:12" x14ac:dyDescent="0.25">
      <c r="A301">
        <v>486</v>
      </c>
      <c r="B301" t="s">
        <v>1751</v>
      </c>
      <c r="C301" t="s">
        <v>1752</v>
      </c>
      <c r="D301" t="s">
        <v>1753</v>
      </c>
      <c r="E301" t="s">
        <v>1754</v>
      </c>
      <c r="F301" t="str">
        <f>IF(M301&lt;&gt;"",VLOOKUP(M301,zastavky!E:F,2,FALSE),"")</f>
        <v/>
      </c>
      <c r="G301" t="s">
        <v>1755</v>
      </c>
      <c r="H301" t="s">
        <v>1756</v>
      </c>
      <c r="I301">
        <v>6</v>
      </c>
      <c r="J301" t="s">
        <v>18</v>
      </c>
      <c r="L301">
        <v>1</v>
      </c>
    </row>
    <row r="302" spans="1:12" x14ac:dyDescent="0.25">
      <c r="A302">
        <v>487</v>
      </c>
      <c r="B302" t="s">
        <v>1757</v>
      </c>
      <c r="C302" t="s">
        <v>1758</v>
      </c>
      <c r="D302" t="s">
        <v>1759</v>
      </c>
      <c r="E302" t="s">
        <v>1760</v>
      </c>
      <c r="F302" t="str">
        <f>IF(M302&lt;&gt;"",VLOOKUP(M302,zastavky!E:F,2,FALSE),"")</f>
        <v/>
      </c>
      <c r="G302" t="s">
        <v>1761</v>
      </c>
      <c r="H302" t="s">
        <v>1762</v>
      </c>
      <c r="I302">
        <v>6</v>
      </c>
      <c r="J302" t="s">
        <v>18</v>
      </c>
      <c r="L302">
        <v>1</v>
      </c>
    </row>
    <row r="303" spans="1:12" x14ac:dyDescent="0.25">
      <c r="A303">
        <v>488</v>
      </c>
      <c r="B303" t="s">
        <v>1763</v>
      </c>
      <c r="C303" t="s">
        <v>1764</v>
      </c>
      <c r="D303" t="s">
        <v>1765</v>
      </c>
      <c r="E303" t="s">
        <v>1766</v>
      </c>
      <c r="F303" t="str">
        <f>IF(M303&lt;&gt;"",VLOOKUP(M303,zastavky!E:F,2,FALSE),"")</f>
        <v/>
      </c>
      <c r="G303" t="s">
        <v>1767</v>
      </c>
      <c r="H303" t="s">
        <v>1768</v>
      </c>
      <c r="I303">
        <v>6</v>
      </c>
      <c r="J303" t="s">
        <v>18</v>
      </c>
      <c r="L303">
        <v>1</v>
      </c>
    </row>
    <row r="304" spans="1:12" x14ac:dyDescent="0.25">
      <c r="A304">
        <v>489</v>
      </c>
      <c r="B304" t="s">
        <v>1769</v>
      </c>
      <c r="C304" t="s">
        <v>1770</v>
      </c>
      <c r="D304" t="s">
        <v>1771</v>
      </c>
      <c r="E304" t="s">
        <v>1772</v>
      </c>
      <c r="F304" t="str">
        <f>IF(M304&lt;&gt;"",VLOOKUP(M304,zastavky!E:F,2,FALSE),"")</f>
        <v/>
      </c>
      <c r="G304" t="s">
        <v>1773</v>
      </c>
      <c r="H304" t="s">
        <v>1774</v>
      </c>
      <c r="I304">
        <v>6</v>
      </c>
      <c r="J304" t="s">
        <v>18</v>
      </c>
      <c r="L304">
        <v>1</v>
      </c>
    </row>
    <row r="305" spans="1:12" x14ac:dyDescent="0.25">
      <c r="A305">
        <v>490</v>
      </c>
      <c r="B305" t="s">
        <v>1775</v>
      </c>
      <c r="C305" t="s">
        <v>1776</v>
      </c>
      <c r="D305" t="s">
        <v>1777</v>
      </c>
      <c r="E305" t="s">
        <v>1778</v>
      </c>
      <c r="F305" t="str">
        <f>IF(M305&lt;&gt;"",VLOOKUP(M305,zastavky!E:F,2,FALSE),"")</f>
        <v/>
      </c>
      <c r="G305" t="s">
        <v>1779</v>
      </c>
      <c r="H305" t="s">
        <v>1780</v>
      </c>
      <c r="I305">
        <v>6</v>
      </c>
      <c r="J305" t="s">
        <v>18</v>
      </c>
      <c r="L305">
        <v>1</v>
      </c>
    </row>
    <row r="306" spans="1:12" x14ac:dyDescent="0.25">
      <c r="A306">
        <v>491</v>
      </c>
      <c r="B306" t="s">
        <v>1781</v>
      </c>
      <c r="C306" t="s">
        <v>1782</v>
      </c>
      <c r="D306" t="s">
        <v>1783</v>
      </c>
      <c r="E306" t="s">
        <v>1784</v>
      </c>
      <c r="F306" t="str">
        <f>IF(M306&lt;&gt;"",VLOOKUP(M306,zastavky!E:F,2,FALSE),"")</f>
        <v/>
      </c>
      <c r="G306" t="s">
        <v>1785</v>
      </c>
      <c r="H306" t="s">
        <v>1786</v>
      </c>
      <c r="I306">
        <v>6</v>
      </c>
      <c r="J306" t="s">
        <v>18</v>
      </c>
      <c r="L306">
        <v>1</v>
      </c>
    </row>
    <row r="307" spans="1:12" x14ac:dyDescent="0.25">
      <c r="A307">
        <v>492</v>
      </c>
      <c r="B307" t="s">
        <v>1787</v>
      </c>
      <c r="C307" t="s">
        <v>1788</v>
      </c>
      <c r="D307" t="s">
        <v>1789</v>
      </c>
      <c r="E307" t="s">
        <v>1790</v>
      </c>
      <c r="F307" t="str">
        <f>IF(M307&lt;&gt;"",VLOOKUP(M307,zastavky!E:F,2,FALSE),"")</f>
        <v/>
      </c>
      <c r="G307" t="s">
        <v>1791</v>
      </c>
      <c r="H307" t="s">
        <v>1792</v>
      </c>
      <c r="I307">
        <v>6</v>
      </c>
      <c r="J307" t="s">
        <v>18</v>
      </c>
      <c r="L307">
        <v>1</v>
      </c>
    </row>
    <row r="308" spans="1:12" x14ac:dyDescent="0.25">
      <c r="A308">
        <v>493</v>
      </c>
      <c r="B308" t="s">
        <v>1793</v>
      </c>
      <c r="C308" t="s">
        <v>1794</v>
      </c>
      <c r="D308" t="s">
        <v>1795</v>
      </c>
      <c r="E308" t="s">
        <v>1796</v>
      </c>
      <c r="F308" t="str">
        <f>IF(M308&lt;&gt;"",VLOOKUP(M308,zastavky!E:F,2,FALSE),"")</f>
        <v/>
      </c>
      <c r="G308" t="s">
        <v>1797</v>
      </c>
      <c r="H308" t="s">
        <v>1798</v>
      </c>
      <c r="I308">
        <v>6</v>
      </c>
      <c r="J308" t="s">
        <v>18</v>
      </c>
      <c r="L308">
        <v>1</v>
      </c>
    </row>
    <row r="309" spans="1:12" x14ac:dyDescent="0.25">
      <c r="A309">
        <v>494</v>
      </c>
      <c r="B309" t="s">
        <v>1799</v>
      </c>
      <c r="C309" t="s">
        <v>1794</v>
      </c>
      <c r="D309" t="s">
        <v>1800</v>
      </c>
      <c r="E309" t="s">
        <v>1801</v>
      </c>
      <c r="F309" t="str">
        <f>IF(M309&lt;&gt;"",VLOOKUP(M309,zastavky!E:F,2,FALSE),"")</f>
        <v/>
      </c>
      <c r="G309" t="s">
        <v>1802</v>
      </c>
      <c r="H309" t="s">
        <v>1803</v>
      </c>
      <c r="I309">
        <v>6</v>
      </c>
      <c r="J309" t="s">
        <v>18</v>
      </c>
      <c r="L309">
        <v>1</v>
      </c>
    </row>
    <row r="310" spans="1:12" x14ac:dyDescent="0.25">
      <c r="A310">
        <v>495</v>
      </c>
      <c r="B310" t="s">
        <v>1804</v>
      </c>
      <c r="C310" t="s">
        <v>1805</v>
      </c>
      <c r="D310" t="s">
        <v>1806</v>
      </c>
      <c r="E310" t="s">
        <v>1807</v>
      </c>
      <c r="F310" t="str">
        <f>IF(M310&lt;&gt;"",VLOOKUP(M310,zastavky!E:F,2,FALSE),"")</f>
        <v/>
      </c>
      <c r="G310" t="s">
        <v>1808</v>
      </c>
      <c r="H310" t="s">
        <v>1809</v>
      </c>
      <c r="I310">
        <v>6</v>
      </c>
      <c r="J310" t="s">
        <v>18</v>
      </c>
      <c r="L310">
        <v>1</v>
      </c>
    </row>
    <row r="311" spans="1:12" x14ac:dyDescent="0.25">
      <c r="A311">
        <v>496</v>
      </c>
      <c r="B311" t="s">
        <v>1810</v>
      </c>
      <c r="C311" t="s">
        <v>1811</v>
      </c>
      <c r="D311" t="s">
        <v>1812</v>
      </c>
      <c r="E311" t="s">
        <v>1813</v>
      </c>
      <c r="F311" t="str">
        <f>IF(M311&lt;&gt;"",VLOOKUP(M311,zastavky!E:F,2,FALSE),"")</f>
        <v/>
      </c>
      <c r="G311" t="s">
        <v>1814</v>
      </c>
      <c r="H311" t="s">
        <v>1815</v>
      </c>
      <c r="I311">
        <v>6</v>
      </c>
      <c r="J311" t="s">
        <v>18</v>
      </c>
      <c r="L311">
        <v>1</v>
      </c>
    </row>
    <row r="312" spans="1:12" x14ac:dyDescent="0.25">
      <c r="A312">
        <v>497</v>
      </c>
      <c r="B312" t="s">
        <v>1816</v>
      </c>
      <c r="C312" t="s">
        <v>1817</v>
      </c>
      <c r="D312" t="s">
        <v>1818</v>
      </c>
      <c r="E312" t="s">
        <v>1819</v>
      </c>
      <c r="F312" t="str">
        <f>IF(M312&lt;&gt;"",VLOOKUP(M312,zastavky!E:F,2,FALSE),"")</f>
        <v/>
      </c>
      <c r="G312" t="s">
        <v>1820</v>
      </c>
      <c r="H312" t="s">
        <v>1821</v>
      </c>
      <c r="I312">
        <v>6</v>
      </c>
      <c r="J312" t="s">
        <v>18</v>
      </c>
      <c r="L312">
        <v>1</v>
      </c>
    </row>
    <row r="313" spans="1:12" x14ac:dyDescent="0.25">
      <c r="A313">
        <v>498</v>
      </c>
      <c r="B313" t="s">
        <v>1822</v>
      </c>
      <c r="C313" t="s">
        <v>1823</v>
      </c>
      <c r="D313" t="s">
        <v>1824</v>
      </c>
      <c r="E313" t="s">
        <v>1825</v>
      </c>
      <c r="F313" t="str">
        <f>IF(M313&lt;&gt;"",VLOOKUP(M313,zastavky!E:F,2,FALSE),"")</f>
        <v/>
      </c>
      <c r="G313" t="s">
        <v>1826</v>
      </c>
      <c r="H313" t="s">
        <v>1827</v>
      </c>
      <c r="I313">
        <v>6</v>
      </c>
      <c r="J313" t="s">
        <v>18</v>
      </c>
      <c r="L313">
        <v>1</v>
      </c>
    </row>
    <row r="314" spans="1:12" x14ac:dyDescent="0.25">
      <c r="A314">
        <v>499</v>
      </c>
      <c r="B314" t="s">
        <v>1828</v>
      </c>
      <c r="C314" t="s">
        <v>1829</v>
      </c>
      <c r="D314" t="s">
        <v>1830</v>
      </c>
      <c r="E314" t="s">
        <v>1831</v>
      </c>
      <c r="F314" t="str">
        <f>IF(M314&lt;&gt;"",VLOOKUP(M314,zastavky!E:F,2,FALSE),"")</f>
        <v/>
      </c>
      <c r="G314" t="s">
        <v>1832</v>
      </c>
      <c r="H314" t="s">
        <v>1833</v>
      </c>
      <c r="I314">
        <v>6</v>
      </c>
      <c r="J314" t="s">
        <v>18</v>
      </c>
      <c r="L314">
        <v>1</v>
      </c>
    </row>
    <row r="315" spans="1:12" x14ac:dyDescent="0.25">
      <c r="A315">
        <v>500</v>
      </c>
      <c r="B315" t="s">
        <v>1834</v>
      </c>
      <c r="C315" t="s">
        <v>1835</v>
      </c>
      <c r="D315" t="s">
        <v>1836</v>
      </c>
      <c r="E315" t="s">
        <v>1837</v>
      </c>
      <c r="F315" t="str">
        <f>IF(M315&lt;&gt;"",VLOOKUP(M315,zastavky!E:F,2,FALSE),"")</f>
        <v/>
      </c>
      <c r="G315" t="s">
        <v>1838</v>
      </c>
      <c r="H315" t="s">
        <v>1839</v>
      </c>
      <c r="I315">
        <v>6</v>
      </c>
      <c r="J315" t="s">
        <v>18</v>
      </c>
      <c r="L315">
        <v>1</v>
      </c>
    </row>
    <row r="316" spans="1:12" x14ac:dyDescent="0.25">
      <c r="A316">
        <v>501</v>
      </c>
      <c r="B316" t="s">
        <v>1840</v>
      </c>
      <c r="C316" t="s">
        <v>1101</v>
      </c>
      <c r="D316" t="s">
        <v>62</v>
      </c>
      <c r="E316" t="s">
        <v>1841</v>
      </c>
      <c r="F316" t="str">
        <f>IF(M316&lt;&gt;"",VLOOKUP(M316,zastavky!E:F,2,FALSE),"")</f>
        <v/>
      </c>
      <c r="G316" t="s">
        <v>1842</v>
      </c>
      <c r="H316" t="s">
        <v>1843</v>
      </c>
      <c r="I316">
        <v>6</v>
      </c>
      <c r="J316" t="s">
        <v>18</v>
      </c>
      <c r="L316">
        <v>1</v>
      </c>
    </row>
    <row r="317" spans="1:12" x14ac:dyDescent="0.25">
      <c r="A317">
        <v>502</v>
      </c>
      <c r="B317" t="s">
        <v>1844</v>
      </c>
      <c r="C317" t="s">
        <v>1101</v>
      </c>
      <c r="D317" t="s">
        <v>712</v>
      </c>
      <c r="E317" t="s">
        <v>1845</v>
      </c>
      <c r="F317" t="str">
        <f>IF(M317&lt;&gt;"",VLOOKUP(M317,zastavky!E:F,2,FALSE),"")</f>
        <v/>
      </c>
      <c r="G317" t="s">
        <v>1846</v>
      </c>
      <c r="H317" t="s">
        <v>1847</v>
      </c>
      <c r="I317">
        <v>6</v>
      </c>
      <c r="J317" t="s">
        <v>18</v>
      </c>
      <c r="L317">
        <v>1</v>
      </c>
    </row>
    <row r="318" spans="1:12" x14ac:dyDescent="0.25">
      <c r="A318">
        <v>503</v>
      </c>
      <c r="B318" t="s">
        <v>1848</v>
      </c>
      <c r="C318" t="s">
        <v>1849</v>
      </c>
      <c r="D318" t="s">
        <v>1850</v>
      </c>
      <c r="E318" t="s">
        <v>1851</v>
      </c>
      <c r="F318" t="str">
        <f>IF(M318&lt;&gt;"",VLOOKUP(M318,zastavky!E:F,2,FALSE),"")</f>
        <v/>
      </c>
      <c r="G318" t="s">
        <v>1852</v>
      </c>
      <c r="H318" t="s">
        <v>1853</v>
      </c>
      <c r="I318">
        <v>6</v>
      </c>
      <c r="J318" t="s">
        <v>18</v>
      </c>
      <c r="L318">
        <v>1</v>
      </c>
    </row>
    <row r="319" spans="1:12" x14ac:dyDescent="0.25">
      <c r="A319">
        <v>504</v>
      </c>
      <c r="B319" t="s">
        <v>1854</v>
      </c>
      <c r="C319" t="s">
        <v>1855</v>
      </c>
      <c r="D319" t="s">
        <v>1856</v>
      </c>
      <c r="E319" t="s">
        <v>1857</v>
      </c>
      <c r="F319" t="str">
        <f>IF(M319&lt;&gt;"",VLOOKUP(M319,zastavky!E:F,2,FALSE),"")</f>
        <v/>
      </c>
      <c r="G319" t="s">
        <v>1858</v>
      </c>
      <c r="H319" t="s">
        <v>1859</v>
      </c>
      <c r="I319">
        <v>6</v>
      </c>
      <c r="J319" t="s">
        <v>18</v>
      </c>
      <c r="L319">
        <v>1</v>
      </c>
    </row>
    <row r="320" spans="1:12" x14ac:dyDescent="0.25">
      <c r="A320">
        <v>505</v>
      </c>
      <c r="B320" t="s">
        <v>1860</v>
      </c>
      <c r="C320" t="s">
        <v>1861</v>
      </c>
      <c r="D320" t="s">
        <v>1862</v>
      </c>
      <c r="E320" t="s">
        <v>1863</v>
      </c>
      <c r="F320" t="str">
        <f>IF(M320&lt;&gt;"",VLOOKUP(M320,zastavky!E:F,2,FALSE),"")</f>
        <v/>
      </c>
      <c r="G320" t="s">
        <v>1864</v>
      </c>
      <c r="H320" t="s">
        <v>1865</v>
      </c>
      <c r="I320">
        <v>6</v>
      </c>
      <c r="J320" t="s">
        <v>18</v>
      </c>
      <c r="L320">
        <v>1</v>
      </c>
    </row>
    <row r="321" spans="1:12" x14ac:dyDescent="0.25">
      <c r="A321">
        <v>506</v>
      </c>
      <c r="B321" t="s">
        <v>1866</v>
      </c>
      <c r="C321" t="s">
        <v>1867</v>
      </c>
      <c r="D321" t="s">
        <v>1868</v>
      </c>
      <c r="E321" t="s">
        <v>1869</v>
      </c>
      <c r="F321" t="str">
        <f>IF(M321&lt;&gt;"",VLOOKUP(M321,zastavky!E:F,2,FALSE),"")</f>
        <v/>
      </c>
      <c r="G321" t="s">
        <v>1870</v>
      </c>
      <c r="H321" t="s">
        <v>1871</v>
      </c>
      <c r="I321">
        <v>6</v>
      </c>
      <c r="J321" t="s">
        <v>18</v>
      </c>
      <c r="L321">
        <v>1</v>
      </c>
    </row>
    <row r="322" spans="1:12" x14ac:dyDescent="0.25">
      <c r="A322">
        <v>507</v>
      </c>
      <c r="B322" t="s">
        <v>1872</v>
      </c>
      <c r="C322" t="s">
        <v>1873</v>
      </c>
      <c r="D322" t="s">
        <v>1874</v>
      </c>
      <c r="E322" t="s">
        <v>1875</v>
      </c>
      <c r="F322" t="str">
        <f>IF(M322&lt;&gt;"",VLOOKUP(M322,zastavky!E:F,2,FALSE),"")</f>
        <v/>
      </c>
      <c r="G322" t="s">
        <v>1876</v>
      </c>
      <c r="H322" t="s">
        <v>1877</v>
      </c>
      <c r="I322">
        <v>6</v>
      </c>
      <c r="J322" t="s">
        <v>18</v>
      </c>
      <c r="L322">
        <v>1</v>
      </c>
    </row>
    <row r="323" spans="1:12" x14ac:dyDescent="0.25">
      <c r="A323">
        <v>508</v>
      </c>
      <c r="B323" t="s">
        <v>1878</v>
      </c>
      <c r="C323" t="s">
        <v>1879</v>
      </c>
      <c r="D323" t="s">
        <v>1880</v>
      </c>
      <c r="E323" t="s">
        <v>1881</v>
      </c>
      <c r="F323" t="str">
        <f>IF(M323&lt;&gt;"",VLOOKUP(M323,zastavky!E:F,2,FALSE),"")</f>
        <v/>
      </c>
      <c r="G323" t="s">
        <v>1882</v>
      </c>
      <c r="H323" t="s">
        <v>1883</v>
      </c>
      <c r="I323">
        <v>6</v>
      </c>
      <c r="J323" t="s">
        <v>18</v>
      </c>
      <c r="L323">
        <v>1</v>
      </c>
    </row>
    <row r="324" spans="1:12" x14ac:dyDescent="0.25">
      <c r="A324">
        <v>509</v>
      </c>
      <c r="B324" t="s">
        <v>1088</v>
      </c>
      <c r="C324" t="s">
        <v>1884</v>
      </c>
      <c r="D324" t="s">
        <v>1885</v>
      </c>
      <c r="E324" t="s">
        <v>1886</v>
      </c>
      <c r="F324" t="str">
        <f>IF(M324&lt;&gt;"",VLOOKUP(M324,zastavky!E:F,2,FALSE),"")</f>
        <v/>
      </c>
      <c r="G324" t="s">
        <v>1887</v>
      </c>
      <c r="H324" t="s">
        <v>1888</v>
      </c>
      <c r="I324">
        <v>6</v>
      </c>
      <c r="J324" t="s">
        <v>18</v>
      </c>
      <c r="L324">
        <v>1</v>
      </c>
    </row>
    <row r="325" spans="1:12" x14ac:dyDescent="0.25">
      <c r="A325">
        <v>510</v>
      </c>
      <c r="B325" t="s">
        <v>1889</v>
      </c>
      <c r="C325" t="s">
        <v>1890</v>
      </c>
      <c r="D325" t="s">
        <v>1891</v>
      </c>
      <c r="E325" t="s">
        <v>1892</v>
      </c>
      <c r="F325" t="str">
        <f>IF(M325&lt;&gt;"",VLOOKUP(M325,zastavky!E:F,2,FALSE),"")</f>
        <v/>
      </c>
      <c r="G325" t="s">
        <v>1893</v>
      </c>
      <c r="H325" t="s">
        <v>1894</v>
      </c>
      <c r="I325">
        <v>6</v>
      </c>
      <c r="J325" t="s">
        <v>18</v>
      </c>
      <c r="L325">
        <v>1</v>
      </c>
    </row>
    <row r="326" spans="1:12" x14ac:dyDescent="0.25">
      <c r="A326">
        <v>511</v>
      </c>
      <c r="B326" t="s">
        <v>1895</v>
      </c>
      <c r="C326" t="s">
        <v>1896</v>
      </c>
      <c r="D326" t="s">
        <v>1897</v>
      </c>
      <c r="E326" t="s">
        <v>1898</v>
      </c>
      <c r="F326" t="str">
        <f>IF(M326&lt;&gt;"",VLOOKUP(M326,zastavky!E:F,2,FALSE),"")</f>
        <v/>
      </c>
      <c r="G326" t="s">
        <v>1899</v>
      </c>
      <c r="H326" t="s">
        <v>1900</v>
      </c>
      <c r="I326">
        <v>6</v>
      </c>
      <c r="J326" t="s">
        <v>18</v>
      </c>
      <c r="L326">
        <v>1</v>
      </c>
    </row>
    <row r="327" spans="1:12" x14ac:dyDescent="0.25">
      <c r="A327">
        <v>512</v>
      </c>
      <c r="B327" t="s">
        <v>1901</v>
      </c>
      <c r="C327" t="s">
        <v>1902</v>
      </c>
      <c r="D327" t="s">
        <v>1206</v>
      </c>
      <c r="E327" t="s">
        <v>1903</v>
      </c>
      <c r="F327" t="str">
        <f>IF(M327&lt;&gt;"",VLOOKUP(M327,zastavky!E:F,2,FALSE),"")</f>
        <v/>
      </c>
      <c r="G327" t="s">
        <v>1904</v>
      </c>
      <c r="H327" t="s">
        <v>1905</v>
      </c>
      <c r="I327">
        <v>6</v>
      </c>
      <c r="J327" t="s">
        <v>18</v>
      </c>
      <c r="L327">
        <v>1</v>
      </c>
    </row>
    <row r="328" spans="1:12" x14ac:dyDescent="0.25">
      <c r="A328">
        <v>513</v>
      </c>
      <c r="B328" t="s">
        <v>1906</v>
      </c>
      <c r="C328" t="s">
        <v>1907</v>
      </c>
      <c r="D328" t="s">
        <v>1908</v>
      </c>
      <c r="E328" t="s">
        <v>1909</v>
      </c>
      <c r="F328" t="str">
        <f>IF(M328&lt;&gt;"",VLOOKUP(M328,zastavky!E:F,2,FALSE),"")</f>
        <v/>
      </c>
      <c r="G328" t="s">
        <v>1910</v>
      </c>
      <c r="H328" t="s">
        <v>1911</v>
      </c>
      <c r="I328">
        <v>6</v>
      </c>
      <c r="J328" t="s">
        <v>18</v>
      </c>
      <c r="L328">
        <v>1</v>
      </c>
    </row>
    <row r="329" spans="1:12" x14ac:dyDescent="0.25">
      <c r="A329">
        <v>514</v>
      </c>
      <c r="B329" t="s">
        <v>1912</v>
      </c>
      <c r="C329" t="s">
        <v>1913</v>
      </c>
      <c r="D329" t="s">
        <v>1914</v>
      </c>
      <c r="E329" t="s">
        <v>1915</v>
      </c>
      <c r="F329" t="str">
        <f>IF(M329&lt;&gt;"",VLOOKUP(M329,zastavky!E:F,2,FALSE),"")</f>
        <v/>
      </c>
      <c r="G329" t="s">
        <v>1916</v>
      </c>
      <c r="H329" t="s">
        <v>1917</v>
      </c>
      <c r="I329">
        <v>6</v>
      </c>
      <c r="J329" t="s">
        <v>18</v>
      </c>
      <c r="L329">
        <v>1</v>
      </c>
    </row>
    <row r="330" spans="1:12" x14ac:dyDescent="0.25">
      <c r="A330">
        <v>515</v>
      </c>
      <c r="B330" t="s">
        <v>1918</v>
      </c>
      <c r="C330" t="s">
        <v>1919</v>
      </c>
      <c r="D330" t="s">
        <v>1920</v>
      </c>
      <c r="E330" t="s">
        <v>1921</v>
      </c>
      <c r="F330" t="str">
        <f>IF(M330&lt;&gt;"",VLOOKUP(M330,zastavky!E:F,2,FALSE),"")</f>
        <v/>
      </c>
      <c r="G330" t="s">
        <v>1922</v>
      </c>
      <c r="H330" t="s">
        <v>1923</v>
      </c>
      <c r="I330">
        <v>6</v>
      </c>
      <c r="J330" t="s">
        <v>18</v>
      </c>
      <c r="L330">
        <v>1</v>
      </c>
    </row>
    <row r="331" spans="1:12" x14ac:dyDescent="0.25">
      <c r="A331">
        <v>516</v>
      </c>
      <c r="B331" t="s">
        <v>1147</v>
      </c>
      <c r="C331" t="s">
        <v>1924</v>
      </c>
      <c r="D331" t="s">
        <v>764</v>
      </c>
      <c r="E331" t="s">
        <v>1925</v>
      </c>
      <c r="F331" t="str">
        <f>IF(M331&lt;&gt;"",VLOOKUP(M331,zastavky!E:F,2,FALSE),"")</f>
        <v/>
      </c>
      <c r="G331" t="s">
        <v>1926</v>
      </c>
      <c r="H331" t="s">
        <v>1927</v>
      </c>
      <c r="I331">
        <v>6</v>
      </c>
      <c r="J331" t="s">
        <v>18</v>
      </c>
      <c r="L331">
        <v>1</v>
      </c>
    </row>
    <row r="332" spans="1:12" x14ac:dyDescent="0.25">
      <c r="A332">
        <v>517</v>
      </c>
      <c r="B332" t="s">
        <v>1928</v>
      </c>
      <c r="C332" t="s">
        <v>1929</v>
      </c>
      <c r="D332" t="s">
        <v>1930</v>
      </c>
      <c r="E332" t="s">
        <v>1931</v>
      </c>
      <c r="F332" t="str">
        <f>IF(M332&lt;&gt;"",VLOOKUP(M332,zastavky!E:F,2,FALSE),"")</f>
        <v/>
      </c>
      <c r="G332" t="s">
        <v>1932</v>
      </c>
      <c r="H332" t="s">
        <v>1933</v>
      </c>
      <c r="I332">
        <v>6</v>
      </c>
      <c r="J332" t="s">
        <v>18</v>
      </c>
      <c r="L332">
        <v>1</v>
      </c>
    </row>
    <row r="333" spans="1:12" x14ac:dyDescent="0.25">
      <c r="A333">
        <v>518</v>
      </c>
      <c r="B333" t="s">
        <v>1934</v>
      </c>
      <c r="C333" t="s">
        <v>1935</v>
      </c>
      <c r="D333" t="s">
        <v>1936</v>
      </c>
      <c r="E333" t="s">
        <v>1937</v>
      </c>
      <c r="F333" t="str">
        <f>IF(M333&lt;&gt;"",VLOOKUP(M333,zastavky!E:F,2,FALSE),"")</f>
        <v/>
      </c>
      <c r="G333" t="s">
        <v>1938</v>
      </c>
      <c r="H333" t="s">
        <v>1939</v>
      </c>
      <c r="I333">
        <v>6</v>
      </c>
      <c r="J333" t="s">
        <v>18</v>
      </c>
      <c r="L333">
        <v>1</v>
      </c>
    </row>
    <row r="334" spans="1:12" x14ac:dyDescent="0.25">
      <c r="A334">
        <v>519</v>
      </c>
      <c r="B334" t="s">
        <v>1940</v>
      </c>
      <c r="C334" t="s">
        <v>1941</v>
      </c>
      <c r="D334" t="s">
        <v>1942</v>
      </c>
      <c r="E334" t="s">
        <v>1943</v>
      </c>
      <c r="F334" t="str">
        <f>IF(M334&lt;&gt;"",VLOOKUP(M334,zastavky!E:F,2,FALSE),"")</f>
        <v/>
      </c>
      <c r="G334" t="s">
        <v>1944</v>
      </c>
      <c r="H334" t="s">
        <v>1945</v>
      </c>
      <c r="I334">
        <v>6</v>
      </c>
      <c r="J334" t="s">
        <v>18</v>
      </c>
      <c r="L334">
        <v>1</v>
      </c>
    </row>
    <row r="335" spans="1:12" x14ac:dyDescent="0.25">
      <c r="A335">
        <v>520</v>
      </c>
      <c r="B335" t="s">
        <v>1946</v>
      </c>
      <c r="C335" t="s">
        <v>1947</v>
      </c>
      <c r="D335" t="s">
        <v>1948</v>
      </c>
      <c r="E335" t="s">
        <v>1949</v>
      </c>
      <c r="F335" t="str">
        <f>IF(M335&lt;&gt;"",VLOOKUP(M335,zastavky!E:F,2,FALSE),"")</f>
        <v/>
      </c>
      <c r="G335" t="s">
        <v>1950</v>
      </c>
      <c r="H335" t="s">
        <v>1951</v>
      </c>
      <c r="I335">
        <v>6</v>
      </c>
      <c r="J335" t="s">
        <v>18</v>
      </c>
      <c r="L335">
        <v>1</v>
      </c>
    </row>
    <row r="336" spans="1:12" x14ac:dyDescent="0.25">
      <c r="A336">
        <v>521</v>
      </c>
      <c r="B336" t="s">
        <v>1952</v>
      </c>
      <c r="C336" t="s">
        <v>425</v>
      </c>
      <c r="D336" t="s">
        <v>1953</v>
      </c>
      <c r="E336" t="s">
        <v>1954</v>
      </c>
      <c r="F336" t="str">
        <f>IF(M336&lt;&gt;"",VLOOKUP(M336,zastavky!E:F,2,FALSE),"")</f>
        <v/>
      </c>
      <c r="G336" t="s">
        <v>1955</v>
      </c>
      <c r="H336" t="s">
        <v>1956</v>
      </c>
      <c r="I336">
        <v>6</v>
      </c>
      <c r="J336" t="s">
        <v>18</v>
      </c>
      <c r="L336">
        <v>1</v>
      </c>
    </row>
    <row r="337" spans="1:12" x14ac:dyDescent="0.25">
      <c r="A337">
        <v>522</v>
      </c>
      <c r="B337" t="s">
        <v>1957</v>
      </c>
      <c r="C337" t="s">
        <v>425</v>
      </c>
      <c r="D337" t="s">
        <v>1958</v>
      </c>
      <c r="E337" t="s">
        <v>1959</v>
      </c>
      <c r="F337" t="str">
        <f>IF(M337&lt;&gt;"",VLOOKUP(M337,zastavky!E:F,2,FALSE),"")</f>
        <v/>
      </c>
      <c r="G337" t="s">
        <v>1960</v>
      </c>
      <c r="H337" t="s">
        <v>1961</v>
      </c>
      <c r="I337">
        <v>6</v>
      </c>
      <c r="J337" t="s">
        <v>18</v>
      </c>
      <c r="L337">
        <v>1</v>
      </c>
    </row>
    <row r="338" spans="1:12" x14ac:dyDescent="0.25">
      <c r="A338">
        <v>523</v>
      </c>
      <c r="B338" t="s">
        <v>1962</v>
      </c>
      <c r="C338" t="s">
        <v>425</v>
      </c>
      <c r="D338" t="s">
        <v>1963</v>
      </c>
      <c r="E338" t="s">
        <v>1964</v>
      </c>
      <c r="F338" t="str">
        <f>IF(M338&lt;&gt;"",VLOOKUP(M338,zastavky!E:F,2,FALSE),"")</f>
        <v/>
      </c>
      <c r="G338" t="s">
        <v>1965</v>
      </c>
      <c r="H338" t="s">
        <v>1966</v>
      </c>
      <c r="I338">
        <v>6</v>
      </c>
      <c r="J338" t="s">
        <v>18</v>
      </c>
      <c r="L338">
        <v>1</v>
      </c>
    </row>
    <row r="339" spans="1:12" x14ac:dyDescent="0.25">
      <c r="A339">
        <v>524</v>
      </c>
      <c r="B339" t="s">
        <v>1967</v>
      </c>
      <c r="C339" t="s">
        <v>1968</v>
      </c>
      <c r="D339" t="s">
        <v>1969</v>
      </c>
      <c r="E339" t="s">
        <v>1970</v>
      </c>
      <c r="F339" t="str">
        <f>IF(M339&lt;&gt;"",VLOOKUP(M339,zastavky!E:F,2,FALSE),"")</f>
        <v/>
      </c>
      <c r="G339" t="s">
        <v>1971</v>
      </c>
      <c r="H339" t="s">
        <v>1972</v>
      </c>
      <c r="I339">
        <v>6</v>
      </c>
      <c r="J339" t="s">
        <v>18</v>
      </c>
      <c r="L339">
        <v>1</v>
      </c>
    </row>
    <row r="340" spans="1:12" x14ac:dyDescent="0.25">
      <c r="A340">
        <v>525</v>
      </c>
      <c r="B340" t="s">
        <v>1973</v>
      </c>
      <c r="C340" t="s">
        <v>1974</v>
      </c>
      <c r="D340" t="s">
        <v>1975</v>
      </c>
      <c r="E340" t="s">
        <v>1976</v>
      </c>
      <c r="F340" t="str">
        <f>IF(M340&lt;&gt;"",VLOOKUP(M340,zastavky!E:F,2,FALSE),"")</f>
        <v/>
      </c>
      <c r="G340" t="s">
        <v>1977</v>
      </c>
      <c r="H340" t="s">
        <v>1978</v>
      </c>
      <c r="I340">
        <v>6</v>
      </c>
      <c r="J340" t="s">
        <v>18</v>
      </c>
      <c r="L340">
        <v>1</v>
      </c>
    </row>
    <row r="341" spans="1:12" x14ac:dyDescent="0.25">
      <c r="A341">
        <v>526</v>
      </c>
      <c r="B341" t="s">
        <v>1979</v>
      </c>
      <c r="C341" t="s">
        <v>1980</v>
      </c>
      <c r="D341" t="s">
        <v>1981</v>
      </c>
      <c r="E341" t="s">
        <v>1982</v>
      </c>
      <c r="F341" t="str">
        <f>IF(M341&lt;&gt;"",VLOOKUP(M341,zastavky!E:F,2,FALSE),"")</f>
        <v/>
      </c>
      <c r="G341" t="s">
        <v>1983</v>
      </c>
      <c r="H341" t="s">
        <v>1984</v>
      </c>
      <c r="I341">
        <v>6</v>
      </c>
      <c r="J341" t="s">
        <v>18</v>
      </c>
      <c r="L341">
        <v>1</v>
      </c>
    </row>
    <row r="342" spans="1:12" x14ac:dyDescent="0.25">
      <c r="A342">
        <v>527</v>
      </c>
      <c r="B342" t="s">
        <v>293</v>
      </c>
      <c r="C342" t="s">
        <v>1985</v>
      </c>
      <c r="D342" t="s">
        <v>1812</v>
      </c>
      <c r="E342" t="s">
        <v>1986</v>
      </c>
      <c r="F342" t="str">
        <f>IF(M342&lt;&gt;"",VLOOKUP(M342,zastavky!E:F,2,FALSE),"")</f>
        <v/>
      </c>
      <c r="G342" t="s">
        <v>1987</v>
      </c>
      <c r="H342" t="s">
        <v>1988</v>
      </c>
      <c r="I342">
        <v>6</v>
      </c>
      <c r="J342" t="s">
        <v>18</v>
      </c>
      <c r="L342">
        <v>1</v>
      </c>
    </row>
    <row r="343" spans="1:12" x14ac:dyDescent="0.25">
      <c r="A343">
        <v>528</v>
      </c>
      <c r="B343" t="s">
        <v>1141</v>
      </c>
      <c r="C343" t="s">
        <v>1989</v>
      </c>
      <c r="D343" t="s">
        <v>1990</v>
      </c>
      <c r="E343" t="s">
        <v>1991</v>
      </c>
      <c r="F343" t="str">
        <f>IF(M343&lt;&gt;"",VLOOKUP(M343,zastavky!E:F,2,FALSE),"")</f>
        <v/>
      </c>
      <c r="G343" t="s">
        <v>1992</v>
      </c>
      <c r="H343" t="s">
        <v>1993</v>
      </c>
      <c r="I343">
        <v>6</v>
      </c>
      <c r="J343" t="s">
        <v>18</v>
      </c>
      <c r="L343">
        <v>1</v>
      </c>
    </row>
    <row r="344" spans="1:12" x14ac:dyDescent="0.25">
      <c r="A344">
        <v>529</v>
      </c>
      <c r="B344" t="s">
        <v>1994</v>
      </c>
      <c r="C344" t="s">
        <v>1995</v>
      </c>
      <c r="D344" t="s">
        <v>1102</v>
      </c>
      <c r="E344" t="s">
        <v>1996</v>
      </c>
      <c r="F344" t="str">
        <f>IF(M344&lt;&gt;"",VLOOKUP(M344,zastavky!E:F,2,FALSE),"")</f>
        <v/>
      </c>
      <c r="G344" t="s">
        <v>1997</v>
      </c>
      <c r="H344" t="s">
        <v>1998</v>
      </c>
      <c r="I344">
        <v>6</v>
      </c>
      <c r="J344" t="s">
        <v>18</v>
      </c>
      <c r="L344">
        <v>1</v>
      </c>
    </row>
    <row r="345" spans="1:12" x14ac:dyDescent="0.25">
      <c r="A345">
        <v>530</v>
      </c>
      <c r="B345" t="s">
        <v>1999</v>
      </c>
      <c r="C345" t="s">
        <v>2000</v>
      </c>
      <c r="D345" t="s">
        <v>2001</v>
      </c>
      <c r="E345" t="s">
        <v>2002</v>
      </c>
      <c r="F345" t="str">
        <f>IF(M345&lt;&gt;"",VLOOKUP(M345,zastavky!E:F,2,FALSE),"")</f>
        <v/>
      </c>
      <c r="G345" t="s">
        <v>2003</v>
      </c>
      <c r="H345" t="s">
        <v>2004</v>
      </c>
      <c r="I345">
        <v>6</v>
      </c>
      <c r="J345" t="s">
        <v>18</v>
      </c>
      <c r="L345">
        <v>1</v>
      </c>
    </row>
    <row r="346" spans="1:12" x14ac:dyDescent="0.25">
      <c r="A346">
        <v>531</v>
      </c>
      <c r="B346" t="s">
        <v>1076</v>
      </c>
      <c r="C346" t="s">
        <v>2005</v>
      </c>
      <c r="D346" t="s">
        <v>899</v>
      </c>
      <c r="E346" t="s">
        <v>2006</v>
      </c>
      <c r="F346" t="str">
        <f>IF(M346&lt;&gt;"",VLOOKUP(M346,zastavky!E:F,2,FALSE),"")</f>
        <v/>
      </c>
      <c r="G346" t="s">
        <v>2007</v>
      </c>
      <c r="H346" t="s">
        <v>2008</v>
      </c>
      <c r="I346">
        <v>6</v>
      </c>
      <c r="J346" t="s">
        <v>18</v>
      </c>
      <c r="L346">
        <v>1</v>
      </c>
    </row>
    <row r="347" spans="1:12" x14ac:dyDescent="0.25">
      <c r="A347">
        <v>532</v>
      </c>
      <c r="B347" t="s">
        <v>2009</v>
      </c>
      <c r="C347" t="s">
        <v>2010</v>
      </c>
      <c r="D347" t="s">
        <v>2011</v>
      </c>
      <c r="E347" t="s">
        <v>2012</v>
      </c>
      <c r="F347" t="str">
        <f>IF(M347&lt;&gt;"",VLOOKUP(M347,zastavky!E:F,2,FALSE),"")</f>
        <v/>
      </c>
      <c r="G347" t="s">
        <v>2013</v>
      </c>
      <c r="H347" t="s">
        <v>2014</v>
      </c>
      <c r="I347">
        <v>6</v>
      </c>
      <c r="J347" t="s">
        <v>18</v>
      </c>
      <c r="L347">
        <v>1</v>
      </c>
    </row>
    <row r="348" spans="1:12" x14ac:dyDescent="0.25">
      <c r="A348">
        <v>533</v>
      </c>
      <c r="B348" t="s">
        <v>2015</v>
      </c>
      <c r="C348" t="s">
        <v>2016</v>
      </c>
      <c r="D348" t="s">
        <v>2017</v>
      </c>
      <c r="E348" t="s">
        <v>2018</v>
      </c>
      <c r="F348" t="str">
        <f>IF(M348&lt;&gt;"",VLOOKUP(M348,zastavky!E:F,2,FALSE),"")</f>
        <v/>
      </c>
      <c r="G348" t="s">
        <v>2019</v>
      </c>
      <c r="H348" t="s">
        <v>2020</v>
      </c>
      <c r="I348">
        <v>6</v>
      </c>
      <c r="J348" t="s">
        <v>18</v>
      </c>
      <c r="L348">
        <v>1</v>
      </c>
    </row>
    <row r="349" spans="1:12" x14ac:dyDescent="0.25">
      <c r="A349">
        <v>534</v>
      </c>
      <c r="B349" t="s">
        <v>299</v>
      </c>
      <c r="C349" t="s">
        <v>2021</v>
      </c>
      <c r="D349" t="s">
        <v>2022</v>
      </c>
      <c r="E349" t="s">
        <v>2023</v>
      </c>
      <c r="F349" t="str">
        <f>IF(M349&lt;&gt;"",VLOOKUP(M349,zastavky!E:F,2,FALSE),"")</f>
        <v/>
      </c>
      <c r="G349" t="s">
        <v>2024</v>
      </c>
      <c r="H349" t="s">
        <v>2025</v>
      </c>
      <c r="I349">
        <v>6</v>
      </c>
      <c r="J349" t="s">
        <v>18</v>
      </c>
      <c r="L349">
        <v>1</v>
      </c>
    </row>
    <row r="350" spans="1:12" x14ac:dyDescent="0.25">
      <c r="A350">
        <v>535</v>
      </c>
      <c r="B350" t="s">
        <v>2026</v>
      </c>
      <c r="C350" t="s">
        <v>2027</v>
      </c>
      <c r="D350" t="s">
        <v>2028</v>
      </c>
      <c r="E350" t="s">
        <v>2029</v>
      </c>
      <c r="F350" t="str">
        <f>IF(M350&lt;&gt;"",VLOOKUP(M350,zastavky!E:F,2,FALSE),"")</f>
        <v/>
      </c>
      <c r="G350" t="s">
        <v>2030</v>
      </c>
      <c r="H350" t="s">
        <v>2031</v>
      </c>
      <c r="I350">
        <v>6</v>
      </c>
      <c r="J350" t="s">
        <v>18</v>
      </c>
      <c r="L350">
        <v>1</v>
      </c>
    </row>
    <row r="351" spans="1:12" x14ac:dyDescent="0.25">
      <c r="A351">
        <v>536</v>
      </c>
      <c r="B351" t="s">
        <v>2032</v>
      </c>
      <c r="C351" t="s">
        <v>2033</v>
      </c>
      <c r="D351" t="s">
        <v>2034</v>
      </c>
      <c r="E351" t="s">
        <v>2035</v>
      </c>
      <c r="F351" t="str">
        <f>IF(M351&lt;&gt;"",VLOOKUP(M351,zastavky!E:F,2,FALSE),"")</f>
        <v/>
      </c>
      <c r="G351" t="s">
        <v>2036</v>
      </c>
      <c r="H351" t="s">
        <v>2037</v>
      </c>
      <c r="I351">
        <v>6</v>
      </c>
      <c r="J351" t="s">
        <v>18</v>
      </c>
      <c r="L351">
        <v>1</v>
      </c>
    </row>
    <row r="352" spans="1:12" x14ac:dyDescent="0.25">
      <c r="A352">
        <v>537</v>
      </c>
      <c r="B352" t="s">
        <v>400</v>
      </c>
      <c r="C352" t="s">
        <v>2038</v>
      </c>
      <c r="D352" t="s">
        <v>2039</v>
      </c>
      <c r="E352" t="s">
        <v>2040</v>
      </c>
      <c r="F352" t="str">
        <f>IF(M352&lt;&gt;"",VLOOKUP(M352,zastavky!E:F,2,FALSE),"")</f>
        <v/>
      </c>
      <c r="G352" t="s">
        <v>2041</v>
      </c>
      <c r="H352" t="s">
        <v>2042</v>
      </c>
      <c r="I352">
        <v>6</v>
      </c>
      <c r="J352" t="s">
        <v>18</v>
      </c>
      <c r="L352">
        <v>1</v>
      </c>
    </row>
    <row r="353" spans="1:12" x14ac:dyDescent="0.25">
      <c r="A353">
        <v>538</v>
      </c>
      <c r="B353" t="s">
        <v>2043</v>
      </c>
      <c r="C353" t="s">
        <v>2044</v>
      </c>
      <c r="D353" t="s">
        <v>2045</v>
      </c>
      <c r="E353" t="s">
        <v>2046</v>
      </c>
      <c r="F353" t="str">
        <f>IF(M353&lt;&gt;"",VLOOKUP(M353,zastavky!E:F,2,FALSE),"")</f>
        <v/>
      </c>
      <c r="G353" t="s">
        <v>2047</v>
      </c>
      <c r="H353" t="s">
        <v>2048</v>
      </c>
      <c r="I353">
        <v>6</v>
      </c>
      <c r="J353" t="s">
        <v>18</v>
      </c>
      <c r="L353">
        <v>1</v>
      </c>
    </row>
    <row r="354" spans="1:12" x14ac:dyDescent="0.25">
      <c r="A354">
        <v>539</v>
      </c>
      <c r="B354" t="s">
        <v>2049</v>
      </c>
      <c r="C354" t="s">
        <v>2050</v>
      </c>
      <c r="D354" t="s">
        <v>2051</v>
      </c>
      <c r="E354" t="s">
        <v>2052</v>
      </c>
      <c r="F354" t="str">
        <f>IF(M354&lt;&gt;"",VLOOKUP(M354,zastavky!E:F,2,FALSE),"")</f>
        <v/>
      </c>
      <c r="G354" t="s">
        <v>2053</v>
      </c>
      <c r="H354" t="s">
        <v>2054</v>
      </c>
      <c r="I354">
        <v>6</v>
      </c>
      <c r="J354" t="s">
        <v>18</v>
      </c>
      <c r="L354">
        <v>1</v>
      </c>
    </row>
    <row r="355" spans="1:12" x14ac:dyDescent="0.25">
      <c r="A355">
        <v>540</v>
      </c>
      <c r="B355" t="s">
        <v>2055</v>
      </c>
      <c r="C355" t="s">
        <v>2056</v>
      </c>
      <c r="D355" t="s">
        <v>2057</v>
      </c>
      <c r="E355" t="s">
        <v>2058</v>
      </c>
      <c r="F355" t="str">
        <f>IF(M355&lt;&gt;"",VLOOKUP(M355,zastavky!E:F,2,FALSE),"")</f>
        <v/>
      </c>
      <c r="G355" t="s">
        <v>2059</v>
      </c>
      <c r="H355" t="s">
        <v>2060</v>
      </c>
      <c r="I355">
        <v>6</v>
      </c>
      <c r="J355" t="s">
        <v>18</v>
      </c>
      <c r="L355">
        <v>1</v>
      </c>
    </row>
    <row r="356" spans="1:12" x14ac:dyDescent="0.25">
      <c r="A356">
        <v>541</v>
      </c>
      <c r="B356" t="s">
        <v>2061</v>
      </c>
      <c r="C356" t="s">
        <v>2062</v>
      </c>
      <c r="D356" t="s">
        <v>2063</v>
      </c>
      <c r="E356" t="s">
        <v>2064</v>
      </c>
      <c r="F356" t="str">
        <f>IF(M356&lt;&gt;"",VLOOKUP(M356,zastavky!E:F,2,FALSE),"")</f>
        <v/>
      </c>
      <c r="G356" t="s">
        <v>2065</v>
      </c>
      <c r="H356" t="s">
        <v>2066</v>
      </c>
      <c r="I356">
        <v>6</v>
      </c>
      <c r="J356" t="s">
        <v>18</v>
      </c>
      <c r="L356">
        <v>1</v>
      </c>
    </row>
    <row r="357" spans="1:12" x14ac:dyDescent="0.25">
      <c r="A357">
        <v>542</v>
      </c>
      <c r="B357" t="s">
        <v>2067</v>
      </c>
      <c r="C357" t="s">
        <v>2068</v>
      </c>
      <c r="D357" t="s">
        <v>2069</v>
      </c>
      <c r="E357" t="s">
        <v>2070</v>
      </c>
      <c r="F357" t="str">
        <f>IF(M357&lt;&gt;"",VLOOKUP(M357,zastavky!E:F,2,FALSE),"")</f>
        <v/>
      </c>
      <c r="G357" t="s">
        <v>2071</v>
      </c>
      <c r="H357" t="s">
        <v>2072</v>
      </c>
      <c r="I357">
        <v>6</v>
      </c>
      <c r="J357" t="s">
        <v>18</v>
      </c>
      <c r="L357">
        <v>1</v>
      </c>
    </row>
    <row r="358" spans="1:12" x14ac:dyDescent="0.25">
      <c r="A358">
        <v>543</v>
      </c>
      <c r="B358" t="s">
        <v>2073</v>
      </c>
      <c r="C358" t="s">
        <v>2074</v>
      </c>
      <c r="D358" t="s">
        <v>2075</v>
      </c>
      <c r="E358" t="s">
        <v>2076</v>
      </c>
      <c r="F358" t="str">
        <f>IF(M358&lt;&gt;"",VLOOKUP(M358,zastavky!E:F,2,FALSE),"")</f>
        <v/>
      </c>
      <c r="G358" t="s">
        <v>2077</v>
      </c>
      <c r="H358" t="s">
        <v>2078</v>
      </c>
      <c r="I358">
        <v>6</v>
      </c>
      <c r="J358" t="s">
        <v>18</v>
      </c>
      <c r="L358">
        <v>1</v>
      </c>
    </row>
    <row r="359" spans="1:12" x14ac:dyDescent="0.25">
      <c r="A359">
        <v>544</v>
      </c>
      <c r="B359" t="s">
        <v>2079</v>
      </c>
      <c r="C359" t="s">
        <v>2080</v>
      </c>
      <c r="D359" t="s">
        <v>2081</v>
      </c>
      <c r="E359" t="s">
        <v>2082</v>
      </c>
      <c r="F359" t="str">
        <f>IF(M359&lt;&gt;"",VLOOKUP(M359,zastavky!E:F,2,FALSE),"")</f>
        <v/>
      </c>
      <c r="G359" t="s">
        <v>2083</v>
      </c>
      <c r="H359" t="s">
        <v>2084</v>
      </c>
      <c r="I359">
        <v>6</v>
      </c>
      <c r="J359" t="s">
        <v>18</v>
      </c>
      <c r="L359">
        <v>1</v>
      </c>
    </row>
    <row r="360" spans="1:12" x14ac:dyDescent="0.25">
      <c r="A360">
        <v>545</v>
      </c>
      <c r="B360" t="s">
        <v>2085</v>
      </c>
      <c r="C360" t="s">
        <v>2086</v>
      </c>
      <c r="D360" t="s">
        <v>2087</v>
      </c>
      <c r="E360" t="s">
        <v>2088</v>
      </c>
      <c r="F360" t="str">
        <f>IF(M360&lt;&gt;"",VLOOKUP(M360,zastavky!E:F,2,FALSE),"")</f>
        <v/>
      </c>
      <c r="G360" t="s">
        <v>2089</v>
      </c>
      <c r="H360" t="s">
        <v>2090</v>
      </c>
      <c r="I360">
        <v>6</v>
      </c>
      <c r="J360" t="s">
        <v>18</v>
      </c>
      <c r="L360">
        <v>1</v>
      </c>
    </row>
    <row r="361" spans="1:12" x14ac:dyDescent="0.25">
      <c r="A361">
        <v>546</v>
      </c>
      <c r="B361" t="s">
        <v>2091</v>
      </c>
      <c r="C361" t="s">
        <v>2092</v>
      </c>
      <c r="D361" t="s">
        <v>2093</v>
      </c>
      <c r="E361" t="s">
        <v>2094</v>
      </c>
      <c r="F361" t="str">
        <f>IF(M361&lt;&gt;"",VLOOKUP(M361,zastavky!E:F,2,FALSE),"")</f>
        <v/>
      </c>
      <c r="G361" t="s">
        <v>2095</v>
      </c>
      <c r="H361" t="s">
        <v>2096</v>
      </c>
      <c r="I361">
        <v>6</v>
      </c>
      <c r="J361" t="s">
        <v>18</v>
      </c>
      <c r="L361">
        <v>1</v>
      </c>
    </row>
    <row r="362" spans="1:12" x14ac:dyDescent="0.25">
      <c r="A362">
        <v>547</v>
      </c>
      <c r="B362" t="s">
        <v>2097</v>
      </c>
      <c r="C362" t="s">
        <v>2098</v>
      </c>
      <c r="D362" t="s">
        <v>2099</v>
      </c>
      <c r="E362" t="s">
        <v>2100</v>
      </c>
      <c r="F362" t="str">
        <f>IF(M362&lt;&gt;"",VLOOKUP(M362,zastavky!E:F,2,FALSE),"")</f>
        <v/>
      </c>
      <c r="G362" t="s">
        <v>2101</v>
      </c>
      <c r="H362" t="s">
        <v>2102</v>
      </c>
      <c r="I362">
        <v>6</v>
      </c>
      <c r="J362" t="s">
        <v>18</v>
      </c>
      <c r="L362">
        <v>1</v>
      </c>
    </row>
    <row r="363" spans="1:12" x14ac:dyDescent="0.25">
      <c r="A363">
        <v>548</v>
      </c>
      <c r="B363" t="s">
        <v>2103</v>
      </c>
      <c r="C363" t="s">
        <v>2104</v>
      </c>
      <c r="D363" t="s">
        <v>1173</v>
      </c>
      <c r="E363" t="s">
        <v>2105</v>
      </c>
      <c r="F363" t="str">
        <f>IF(M363&lt;&gt;"",VLOOKUP(M363,zastavky!E:F,2,FALSE),"")</f>
        <v/>
      </c>
      <c r="G363" t="s">
        <v>2106</v>
      </c>
      <c r="H363" t="s">
        <v>2107</v>
      </c>
      <c r="I363">
        <v>6</v>
      </c>
      <c r="J363" t="s">
        <v>18</v>
      </c>
      <c r="L363">
        <v>1</v>
      </c>
    </row>
    <row r="364" spans="1:12" x14ac:dyDescent="0.25">
      <c r="A364">
        <v>549</v>
      </c>
      <c r="B364" t="s">
        <v>2108</v>
      </c>
      <c r="C364" t="s">
        <v>2109</v>
      </c>
      <c r="D364" t="s">
        <v>2110</v>
      </c>
      <c r="E364" t="s">
        <v>2111</v>
      </c>
      <c r="F364" t="str">
        <f>IF(M364&lt;&gt;"",VLOOKUP(M364,zastavky!E:F,2,FALSE),"")</f>
        <v/>
      </c>
      <c r="G364" t="s">
        <v>2112</v>
      </c>
      <c r="H364" t="s">
        <v>2113</v>
      </c>
      <c r="I364">
        <v>6</v>
      </c>
      <c r="J364" t="s">
        <v>18</v>
      </c>
      <c r="L364">
        <v>1</v>
      </c>
    </row>
    <row r="365" spans="1:12" x14ac:dyDescent="0.25">
      <c r="A365">
        <v>550</v>
      </c>
      <c r="B365" t="s">
        <v>2114</v>
      </c>
      <c r="C365" t="s">
        <v>2115</v>
      </c>
      <c r="D365" t="s">
        <v>2116</v>
      </c>
      <c r="E365" t="s">
        <v>2117</v>
      </c>
      <c r="F365" t="str">
        <f>IF(M365&lt;&gt;"",VLOOKUP(M365,zastavky!E:F,2,FALSE),"")</f>
        <v/>
      </c>
      <c r="G365" t="s">
        <v>2118</v>
      </c>
      <c r="H365" t="s">
        <v>2119</v>
      </c>
      <c r="I365">
        <v>6</v>
      </c>
      <c r="J365" t="s">
        <v>18</v>
      </c>
      <c r="L365">
        <v>1</v>
      </c>
    </row>
    <row r="366" spans="1:12" x14ac:dyDescent="0.25">
      <c r="A366">
        <v>551</v>
      </c>
      <c r="B366" t="s">
        <v>2120</v>
      </c>
      <c r="C366" t="s">
        <v>2121</v>
      </c>
      <c r="D366" t="s">
        <v>2122</v>
      </c>
      <c r="E366" t="s">
        <v>2123</v>
      </c>
      <c r="F366" t="str">
        <f>IF(M366&lt;&gt;"",VLOOKUP(M366,zastavky!E:F,2,FALSE),"")</f>
        <v/>
      </c>
      <c r="G366" t="s">
        <v>2124</v>
      </c>
      <c r="H366" t="s">
        <v>2125</v>
      </c>
      <c r="I366">
        <v>6</v>
      </c>
      <c r="J366" t="s">
        <v>18</v>
      </c>
      <c r="L366">
        <v>1</v>
      </c>
    </row>
    <row r="367" spans="1:12" x14ac:dyDescent="0.25">
      <c r="A367">
        <v>552</v>
      </c>
      <c r="B367" t="s">
        <v>2126</v>
      </c>
      <c r="C367" t="s">
        <v>2127</v>
      </c>
      <c r="D367" t="s">
        <v>2128</v>
      </c>
      <c r="E367" t="s">
        <v>2129</v>
      </c>
      <c r="F367" t="str">
        <f>IF(M367&lt;&gt;"",VLOOKUP(M367,zastavky!E:F,2,FALSE),"")</f>
        <v/>
      </c>
      <c r="G367" t="s">
        <v>2130</v>
      </c>
      <c r="H367" t="s">
        <v>2131</v>
      </c>
      <c r="I367">
        <v>6</v>
      </c>
      <c r="J367" t="s">
        <v>18</v>
      </c>
      <c r="L367">
        <v>1</v>
      </c>
    </row>
    <row r="368" spans="1:12" x14ac:dyDescent="0.25">
      <c r="A368">
        <v>553</v>
      </c>
      <c r="B368" t="s">
        <v>2132</v>
      </c>
      <c r="C368" t="s">
        <v>2133</v>
      </c>
      <c r="D368" t="s">
        <v>1990</v>
      </c>
      <c r="E368" t="s">
        <v>2134</v>
      </c>
      <c r="F368" t="str">
        <f>IF(M368&lt;&gt;"",VLOOKUP(M368,zastavky!E:F,2,FALSE),"")</f>
        <v/>
      </c>
      <c r="G368" t="s">
        <v>2135</v>
      </c>
      <c r="H368" t="s">
        <v>2136</v>
      </c>
      <c r="I368">
        <v>6</v>
      </c>
      <c r="J368" t="s">
        <v>18</v>
      </c>
      <c r="L368">
        <v>1</v>
      </c>
    </row>
    <row r="369" spans="1:12" x14ac:dyDescent="0.25">
      <c r="A369">
        <v>554</v>
      </c>
      <c r="B369" t="s">
        <v>2137</v>
      </c>
      <c r="C369" t="s">
        <v>2138</v>
      </c>
      <c r="D369" t="s">
        <v>2139</v>
      </c>
      <c r="E369" t="s">
        <v>2140</v>
      </c>
      <c r="F369" t="str">
        <f>IF(M369&lt;&gt;"",VLOOKUP(M369,zastavky!E:F,2,FALSE),"")</f>
        <v/>
      </c>
      <c r="G369" t="s">
        <v>2141</v>
      </c>
      <c r="H369" t="s">
        <v>2142</v>
      </c>
      <c r="I369">
        <v>6</v>
      </c>
      <c r="J369" t="s">
        <v>18</v>
      </c>
      <c r="L369">
        <v>1</v>
      </c>
    </row>
    <row r="370" spans="1:12" x14ac:dyDescent="0.25">
      <c r="A370">
        <v>555</v>
      </c>
      <c r="B370" t="s">
        <v>2143</v>
      </c>
      <c r="C370" t="s">
        <v>2144</v>
      </c>
      <c r="D370" t="s">
        <v>2145</v>
      </c>
      <c r="E370" t="s">
        <v>2146</v>
      </c>
      <c r="F370" t="str">
        <f>IF(M370&lt;&gt;"",VLOOKUP(M370,zastavky!E:F,2,FALSE),"")</f>
        <v/>
      </c>
      <c r="G370" t="s">
        <v>2147</v>
      </c>
      <c r="H370" t="s">
        <v>2148</v>
      </c>
      <c r="I370">
        <v>6</v>
      </c>
      <c r="J370" t="s">
        <v>18</v>
      </c>
      <c r="L370">
        <v>1</v>
      </c>
    </row>
    <row r="371" spans="1:12" x14ac:dyDescent="0.25">
      <c r="A371">
        <v>556</v>
      </c>
      <c r="B371" t="s">
        <v>2149</v>
      </c>
      <c r="C371" t="s">
        <v>2150</v>
      </c>
      <c r="D371" t="s">
        <v>2151</v>
      </c>
      <c r="E371" t="s">
        <v>2152</v>
      </c>
      <c r="F371" t="str">
        <f>IF(M371&lt;&gt;"",VLOOKUP(M371,zastavky!E:F,2,FALSE),"")</f>
        <v/>
      </c>
      <c r="G371" t="s">
        <v>2153</v>
      </c>
      <c r="H371" t="s">
        <v>2154</v>
      </c>
      <c r="I371">
        <v>6</v>
      </c>
      <c r="J371" t="s">
        <v>18</v>
      </c>
      <c r="L371">
        <v>1</v>
      </c>
    </row>
    <row r="372" spans="1:12" x14ac:dyDescent="0.25">
      <c r="A372">
        <v>557</v>
      </c>
      <c r="B372" t="s">
        <v>2155</v>
      </c>
      <c r="C372" t="s">
        <v>2150</v>
      </c>
      <c r="D372" t="s">
        <v>2156</v>
      </c>
      <c r="E372" t="s">
        <v>2157</v>
      </c>
      <c r="F372" t="str">
        <f>IF(M372&lt;&gt;"",VLOOKUP(M372,zastavky!E:F,2,FALSE),"")</f>
        <v/>
      </c>
      <c r="G372" t="s">
        <v>2158</v>
      </c>
      <c r="H372" t="s">
        <v>2159</v>
      </c>
      <c r="I372">
        <v>6</v>
      </c>
      <c r="J372" t="s">
        <v>18</v>
      </c>
      <c r="L372">
        <v>1</v>
      </c>
    </row>
    <row r="373" spans="1:12" x14ac:dyDescent="0.25">
      <c r="A373">
        <v>558</v>
      </c>
      <c r="B373" t="s">
        <v>2160</v>
      </c>
      <c r="C373" t="s">
        <v>2161</v>
      </c>
      <c r="D373" t="s">
        <v>2162</v>
      </c>
      <c r="E373" t="s">
        <v>2163</v>
      </c>
      <c r="F373" t="str">
        <f>IF(M373&lt;&gt;"",VLOOKUP(M373,zastavky!E:F,2,FALSE),"")</f>
        <v/>
      </c>
      <c r="G373" t="s">
        <v>2164</v>
      </c>
      <c r="H373" t="s">
        <v>2165</v>
      </c>
      <c r="I373">
        <v>6</v>
      </c>
      <c r="J373" t="s">
        <v>18</v>
      </c>
      <c r="L373">
        <v>1</v>
      </c>
    </row>
    <row r="374" spans="1:12" x14ac:dyDescent="0.25">
      <c r="A374">
        <v>559</v>
      </c>
      <c r="B374" t="s">
        <v>2166</v>
      </c>
      <c r="C374" t="s">
        <v>2167</v>
      </c>
      <c r="D374" t="s">
        <v>2168</v>
      </c>
      <c r="E374" t="s">
        <v>2169</v>
      </c>
      <c r="F374" t="str">
        <f>IF(M374&lt;&gt;"",VLOOKUP(M374,zastavky!E:F,2,FALSE),"")</f>
        <v/>
      </c>
      <c r="G374" t="s">
        <v>2170</v>
      </c>
      <c r="H374" t="s">
        <v>2171</v>
      </c>
      <c r="I374">
        <v>6</v>
      </c>
      <c r="J374" t="s">
        <v>18</v>
      </c>
      <c r="L374">
        <v>1</v>
      </c>
    </row>
    <row r="375" spans="1:12" x14ac:dyDescent="0.25">
      <c r="A375">
        <v>560</v>
      </c>
      <c r="B375" t="s">
        <v>2172</v>
      </c>
      <c r="C375" t="s">
        <v>2173</v>
      </c>
      <c r="D375" t="s">
        <v>2174</v>
      </c>
      <c r="E375" t="s">
        <v>2175</v>
      </c>
      <c r="F375" t="str">
        <f>IF(M375&lt;&gt;"",VLOOKUP(M375,zastavky!E:F,2,FALSE),"")</f>
        <v/>
      </c>
      <c r="G375" t="s">
        <v>2176</v>
      </c>
      <c r="H375" t="s">
        <v>2177</v>
      </c>
      <c r="I375">
        <v>6</v>
      </c>
      <c r="J375" t="s">
        <v>18</v>
      </c>
      <c r="L375">
        <v>1</v>
      </c>
    </row>
    <row r="376" spans="1:12" x14ac:dyDescent="0.25">
      <c r="A376">
        <v>561</v>
      </c>
      <c r="B376" t="s">
        <v>2178</v>
      </c>
      <c r="C376" t="s">
        <v>2179</v>
      </c>
      <c r="D376" t="s">
        <v>2180</v>
      </c>
      <c r="E376" t="s">
        <v>2181</v>
      </c>
      <c r="F376" t="str">
        <f>IF(M376&lt;&gt;"",VLOOKUP(M376,zastavky!E:F,2,FALSE),"")</f>
        <v/>
      </c>
      <c r="G376" t="s">
        <v>2182</v>
      </c>
      <c r="H376" t="s">
        <v>2183</v>
      </c>
      <c r="I376">
        <v>6</v>
      </c>
      <c r="J376" t="s">
        <v>18</v>
      </c>
      <c r="L376">
        <v>1</v>
      </c>
    </row>
    <row r="377" spans="1:12" x14ac:dyDescent="0.25">
      <c r="A377">
        <v>562</v>
      </c>
      <c r="B377" t="s">
        <v>2184</v>
      </c>
      <c r="C377" t="s">
        <v>2185</v>
      </c>
      <c r="D377" t="s">
        <v>2186</v>
      </c>
      <c r="E377" t="s">
        <v>2187</v>
      </c>
      <c r="F377" t="str">
        <f>IF(M377&lt;&gt;"",VLOOKUP(M377,zastavky!E:F,2,FALSE),"")</f>
        <v/>
      </c>
      <c r="G377" t="s">
        <v>2188</v>
      </c>
      <c r="H377" t="s">
        <v>2189</v>
      </c>
      <c r="I377">
        <v>6</v>
      </c>
      <c r="J377" t="s">
        <v>18</v>
      </c>
      <c r="L377">
        <v>1</v>
      </c>
    </row>
    <row r="378" spans="1:12" x14ac:dyDescent="0.25">
      <c r="A378">
        <v>563</v>
      </c>
      <c r="B378" t="s">
        <v>2190</v>
      </c>
      <c r="C378" t="s">
        <v>2191</v>
      </c>
      <c r="D378" t="s">
        <v>2192</v>
      </c>
      <c r="E378" t="s">
        <v>2193</v>
      </c>
      <c r="F378" t="str">
        <f>IF(M378&lt;&gt;"",VLOOKUP(M378,zastavky!E:F,2,FALSE),"")</f>
        <v/>
      </c>
      <c r="G378" t="s">
        <v>2194</v>
      </c>
      <c r="H378" t="s">
        <v>2195</v>
      </c>
      <c r="I378">
        <v>6</v>
      </c>
      <c r="J378" t="s">
        <v>18</v>
      </c>
      <c r="L378">
        <v>1</v>
      </c>
    </row>
    <row r="379" spans="1:12" x14ac:dyDescent="0.25">
      <c r="A379">
        <v>564</v>
      </c>
      <c r="B379" t="s">
        <v>2196</v>
      </c>
      <c r="C379" t="s">
        <v>2197</v>
      </c>
      <c r="D379" t="s">
        <v>2198</v>
      </c>
      <c r="E379" t="s">
        <v>2199</v>
      </c>
      <c r="F379" t="str">
        <f>IF(M379&lt;&gt;"",VLOOKUP(M379,zastavky!E:F,2,FALSE),"")</f>
        <v/>
      </c>
      <c r="G379" t="s">
        <v>2200</v>
      </c>
      <c r="H379" t="s">
        <v>2201</v>
      </c>
      <c r="I379">
        <v>6</v>
      </c>
      <c r="J379" t="s">
        <v>18</v>
      </c>
      <c r="L379">
        <v>1</v>
      </c>
    </row>
    <row r="380" spans="1:12" x14ac:dyDescent="0.25">
      <c r="A380">
        <v>565</v>
      </c>
      <c r="B380" t="s">
        <v>2202</v>
      </c>
      <c r="C380" t="s">
        <v>2203</v>
      </c>
      <c r="D380" t="s">
        <v>2204</v>
      </c>
      <c r="E380" t="s">
        <v>2205</v>
      </c>
      <c r="F380" t="str">
        <f>IF(M380&lt;&gt;"",VLOOKUP(M380,zastavky!E:F,2,FALSE),"")</f>
        <v/>
      </c>
      <c r="G380" t="s">
        <v>2206</v>
      </c>
      <c r="H380" t="s">
        <v>2207</v>
      </c>
      <c r="I380">
        <v>6</v>
      </c>
      <c r="J380" t="s">
        <v>18</v>
      </c>
      <c r="L380">
        <v>1</v>
      </c>
    </row>
    <row r="381" spans="1:12" x14ac:dyDescent="0.25">
      <c r="A381">
        <v>566</v>
      </c>
      <c r="B381" t="s">
        <v>2208</v>
      </c>
      <c r="C381" t="s">
        <v>2209</v>
      </c>
      <c r="D381" t="s">
        <v>2210</v>
      </c>
      <c r="E381" t="s">
        <v>2211</v>
      </c>
      <c r="F381" t="str">
        <f>IF(M381&lt;&gt;"",VLOOKUP(M381,zastavky!E:F,2,FALSE),"")</f>
        <v/>
      </c>
      <c r="G381" t="s">
        <v>2212</v>
      </c>
      <c r="H381" t="s">
        <v>2213</v>
      </c>
      <c r="I381">
        <v>6</v>
      </c>
      <c r="J381" t="s">
        <v>18</v>
      </c>
      <c r="L381">
        <v>1</v>
      </c>
    </row>
    <row r="382" spans="1:12" x14ac:dyDescent="0.25">
      <c r="A382">
        <v>567</v>
      </c>
      <c r="B382" t="s">
        <v>2214</v>
      </c>
      <c r="C382" t="s">
        <v>2215</v>
      </c>
      <c r="D382" t="s">
        <v>629</v>
      </c>
      <c r="E382" t="s">
        <v>2216</v>
      </c>
      <c r="F382" t="str">
        <f>IF(M382&lt;&gt;"",VLOOKUP(M382,zastavky!E:F,2,FALSE),"")</f>
        <v/>
      </c>
      <c r="G382" t="s">
        <v>2217</v>
      </c>
      <c r="H382" t="s">
        <v>2218</v>
      </c>
      <c r="I382">
        <v>6</v>
      </c>
      <c r="J382" t="s">
        <v>18</v>
      </c>
      <c r="L382">
        <v>1</v>
      </c>
    </row>
    <row r="383" spans="1:12" x14ac:dyDescent="0.25">
      <c r="A383">
        <v>568</v>
      </c>
      <c r="B383" t="s">
        <v>2219</v>
      </c>
      <c r="C383" t="s">
        <v>2220</v>
      </c>
      <c r="D383" t="s">
        <v>2221</v>
      </c>
      <c r="E383" t="s">
        <v>2222</v>
      </c>
      <c r="F383" t="str">
        <f>IF(M383&lt;&gt;"",VLOOKUP(M383,zastavky!E:F,2,FALSE),"")</f>
        <v/>
      </c>
      <c r="G383" t="s">
        <v>2223</v>
      </c>
      <c r="H383" t="s">
        <v>2224</v>
      </c>
      <c r="I383">
        <v>6</v>
      </c>
      <c r="J383" t="s">
        <v>18</v>
      </c>
      <c r="L383">
        <v>1</v>
      </c>
    </row>
    <row r="384" spans="1:12" x14ac:dyDescent="0.25">
      <c r="A384">
        <v>569</v>
      </c>
      <c r="B384" t="s">
        <v>2225</v>
      </c>
      <c r="C384" t="s">
        <v>2226</v>
      </c>
      <c r="D384" t="s">
        <v>670</v>
      </c>
      <c r="E384" t="s">
        <v>2227</v>
      </c>
      <c r="F384" t="str">
        <f>IF(M384&lt;&gt;"",VLOOKUP(M384,zastavky!E:F,2,FALSE),"")</f>
        <v/>
      </c>
      <c r="G384" t="s">
        <v>2228</v>
      </c>
      <c r="H384" t="s">
        <v>2229</v>
      </c>
      <c r="I384">
        <v>1</v>
      </c>
      <c r="J384" t="s">
        <v>18</v>
      </c>
      <c r="L384">
        <v>1</v>
      </c>
    </row>
    <row r="385" spans="1:12" x14ac:dyDescent="0.25">
      <c r="A385">
        <v>570</v>
      </c>
      <c r="B385" t="s">
        <v>2230</v>
      </c>
      <c r="C385" t="s">
        <v>2231</v>
      </c>
      <c r="D385" t="s">
        <v>2232</v>
      </c>
      <c r="E385" t="s">
        <v>2233</v>
      </c>
      <c r="F385" t="str">
        <f>IF(M385&lt;&gt;"",VLOOKUP(M385,zastavky!E:F,2,FALSE),"")</f>
        <v/>
      </c>
      <c r="G385" t="s">
        <v>2234</v>
      </c>
      <c r="H385" t="s">
        <v>2235</v>
      </c>
      <c r="I385">
        <v>1</v>
      </c>
      <c r="J385" t="s">
        <v>18</v>
      </c>
      <c r="L385">
        <v>1</v>
      </c>
    </row>
    <row r="386" spans="1:12" x14ac:dyDescent="0.25">
      <c r="A386">
        <v>571</v>
      </c>
      <c r="B386" t="s">
        <v>2236</v>
      </c>
      <c r="C386" t="s">
        <v>2237</v>
      </c>
      <c r="D386" t="s">
        <v>2238</v>
      </c>
      <c r="E386" t="s">
        <v>2239</v>
      </c>
      <c r="F386" t="str">
        <f>IF(M386&lt;&gt;"",VLOOKUP(M386,zastavky!E:F,2,FALSE),"")</f>
        <v/>
      </c>
      <c r="G386" t="s">
        <v>2240</v>
      </c>
      <c r="H386" t="s">
        <v>2241</v>
      </c>
      <c r="I386">
        <v>1</v>
      </c>
      <c r="J386" t="s">
        <v>18</v>
      </c>
      <c r="L386">
        <v>1</v>
      </c>
    </row>
    <row r="387" spans="1:12" x14ac:dyDescent="0.25">
      <c r="A387">
        <v>572</v>
      </c>
      <c r="B387" t="s">
        <v>2242</v>
      </c>
      <c r="C387" t="s">
        <v>2243</v>
      </c>
      <c r="D387" t="s">
        <v>2244</v>
      </c>
      <c r="E387" t="s">
        <v>2245</v>
      </c>
      <c r="F387" t="str">
        <f>IF(M387&lt;&gt;"",VLOOKUP(M387,zastavky!E:F,2,FALSE),"")</f>
        <v/>
      </c>
      <c r="G387" t="s">
        <v>2234</v>
      </c>
      <c r="H387" t="s">
        <v>2246</v>
      </c>
      <c r="I387">
        <v>1</v>
      </c>
      <c r="J387" t="s">
        <v>18</v>
      </c>
      <c r="L387">
        <v>1</v>
      </c>
    </row>
    <row r="388" spans="1:12" x14ac:dyDescent="0.25">
      <c r="A388">
        <v>573</v>
      </c>
      <c r="B388" t="s">
        <v>2247</v>
      </c>
      <c r="C388" t="s">
        <v>2243</v>
      </c>
      <c r="D388" t="s">
        <v>134</v>
      </c>
      <c r="E388" t="s">
        <v>2248</v>
      </c>
      <c r="F388" t="str">
        <f>IF(M388&lt;&gt;"",VLOOKUP(M388,zastavky!E:F,2,FALSE),"")</f>
        <v/>
      </c>
      <c r="G388" t="s">
        <v>2234</v>
      </c>
      <c r="H388" t="s">
        <v>2246</v>
      </c>
      <c r="I388">
        <v>1</v>
      </c>
      <c r="J388" t="s">
        <v>18</v>
      </c>
      <c r="L388">
        <v>1</v>
      </c>
    </row>
    <row r="389" spans="1:12" x14ac:dyDescent="0.25">
      <c r="A389">
        <v>574</v>
      </c>
      <c r="B389" t="s">
        <v>2249</v>
      </c>
      <c r="C389" t="s">
        <v>360</v>
      </c>
      <c r="D389" t="s">
        <v>2250</v>
      </c>
      <c r="E389" t="s">
        <v>2251</v>
      </c>
      <c r="F389" t="str">
        <f>IF(M389&lt;&gt;"",VLOOKUP(M389,zastavky!E:F,2,FALSE),"")</f>
        <v/>
      </c>
      <c r="G389" t="s">
        <v>2252</v>
      </c>
      <c r="H389" t="s">
        <v>2253</v>
      </c>
      <c r="I389">
        <v>1</v>
      </c>
      <c r="J389" t="s">
        <v>18</v>
      </c>
      <c r="L389">
        <v>1</v>
      </c>
    </row>
    <row r="390" spans="1:12" x14ac:dyDescent="0.25">
      <c r="A390">
        <v>575</v>
      </c>
      <c r="B390" t="s">
        <v>1822</v>
      </c>
      <c r="C390" t="s">
        <v>2254</v>
      </c>
      <c r="D390" t="s">
        <v>2255</v>
      </c>
      <c r="E390" t="s">
        <v>2256</v>
      </c>
      <c r="F390" t="str">
        <f>IF(M390&lt;&gt;"",VLOOKUP(M390,zastavky!E:F,2,FALSE),"")</f>
        <v/>
      </c>
      <c r="G390" t="s">
        <v>2257</v>
      </c>
      <c r="H390" t="s">
        <v>2258</v>
      </c>
      <c r="I390">
        <v>1</v>
      </c>
      <c r="J390" t="s">
        <v>18</v>
      </c>
      <c r="L390">
        <v>1</v>
      </c>
    </row>
    <row r="391" spans="1:12" x14ac:dyDescent="0.25">
      <c r="A391">
        <v>576</v>
      </c>
      <c r="B391" t="s">
        <v>2259</v>
      </c>
      <c r="C391" t="s">
        <v>2260</v>
      </c>
      <c r="D391" t="s">
        <v>2261</v>
      </c>
      <c r="E391" t="s">
        <v>2262</v>
      </c>
      <c r="F391" t="str">
        <f>IF(M391&lt;&gt;"",VLOOKUP(M391,zastavky!E:F,2,FALSE),"")</f>
        <v/>
      </c>
      <c r="G391" t="s">
        <v>2263</v>
      </c>
      <c r="H391" t="s">
        <v>2264</v>
      </c>
      <c r="I391">
        <v>3</v>
      </c>
      <c r="J391" t="s">
        <v>18</v>
      </c>
      <c r="L391">
        <v>1</v>
      </c>
    </row>
    <row r="392" spans="1:12" x14ac:dyDescent="0.25">
      <c r="A392">
        <v>577</v>
      </c>
      <c r="B392" t="s">
        <v>918</v>
      </c>
      <c r="C392" t="s">
        <v>2265</v>
      </c>
      <c r="D392" t="s">
        <v>2266</v>
      </c>
      <c r="E392" t="s">
        <v>2267</v>
      </c>
      <c r="F392" t="str">
        <f>IF(M392&lt;&gt;"",VLOOKUP(M392,zastavky!E:F,2,FALSE),"")</f>
        <v/>
      </c>
      <c r="G392" t="s">
        <v>2268</v>
      </c>
      <c r="H392" t="s">
        <v>2269</v>
      </c>
      <c r="I392">
        <v>3</v>
      </c>
      <c r="J392" t="s">
        <v>18</v>
      </c>
      <c r="L392">
        <v>1</v>
      </c>
    </row>
    <row r="393" spans="1:12" x14ac:dyDescent="0.25">
      <c r="A393">
        <v>578</v>
      </c>
      <c r="B393" t="s">
        <v>2270</v>
      </c>
      <c r="C393" t="s">
        <v>2271</v>
      </c>
      <c r="D393" t="s">
        <v>2272</v>
      </c>
      <c r="E393" t="s">
        <v>2273</v>
      </c>
      <c r="F393" t="str">
        <f>IF(M393&lt;&gt;"",VLOOKUP(M393,zastavky!E:F,2,FALSE),"")</f>
        <v/>
      </c>
      <c r="G393" t="s">
        <v>2274</v>
      </c>
      <c r="H393" t="s">
        <v>2275</v>
      </c>
      <c r="I393">
        <v>3</v>
      </c>
      <c r="J393" t="s">
        <v>18</v>
      </c>
      <c r="L393">
        <v>1</v>
      </c>
    </row>
    <row r="394" spans="1:12" x14ac:dyDescent="0.25">
      <c r="A394">
        <v>579</v>
      </c>
      <c r="B394" t="s">
        <v>2276</v>
      </c>
      <c r="C394" t="s">
        <v>2277</v>
      </c>
      <c r="D394" t="s">
        <v>2278</v>
      </c>
      <c r="E394" t="s">
        <v>2279</v>
      </c>
      <c r="F394" t="str">
        <f>IF(M394&lt;&gt;"",VLOOKUP(M394,zastavky!E:F,2,FALSE),"")</f>
        <v/>
      </c>
      <c r="G394" t="s">
        <v>2280</v>
      </c>
      <c r="H394" t="s">
        <v>2281</v>
      </c>
      <c r="I394">
        <v>3</v>
      </c>
      <c r="J394" t="s">
        <v>18</v>
      </c>
      <c r="L394">
        <v>1</v>
      </c>
    </row>
    <row r="395" spans="1:12" x14ac:dyDescent="0.25">
      <c r="A395">
        <v>580</v>
      </c>
      <c r="B395" t="s">
        <v>2282</v>
      </c>
      <c r="C395" t="s">
        <v>2283</v>
      </c>
      <c r="D395" t="s">
        <v>2284</v>
      </c>
      <c r="E395" t="s">
        <v>2285</v>
      </c>
      <c r="F395" t="str">
        <f>IF(M395&lt;&gt;"",VLOOKUP(M395,zastavky!E:F,2,FALSE),"")</f>
        <v/>
      </c>
      <c r="G395" t="s">
        <v>2286</v>
      </c>
      <c r="H395" t="s">
        <v>2287</v>
      </c>
      <c r="I395">
        <v>3</v>
      </c>
      <c r="J395" t="s">
        <v>18</v>
      </c>
      <c r="L395">
        <v>1</v>
      </c>
    </row>
    <row r="396" spans="1:12" x14ac:dyDescent="0.25">
      <c r="A396">
        <v>581</v>
      </c>
      <c r="B396" t="s">
        <v>2288</v>
      </c>
      <c r="C396" t="s">
        <v>2289</v>
      </c>
      <c r="D396" t="s">
        <v>2290</v>
      </c>
      <c r="E396" t="s">
        <v>2291</v>
      </c>
      <c r="F396" t="str">
        <f>IF(M396&lt;&gt;"",VLOOKUP(M396,zastavky!E:F,2,FALSE),"")</f>
        <v/>
      </c>
      <c r="G396" t="s">
        <v>2292</v>
      </c>
      <c r="H396" t="s">
        <v>2293</v>
      </c>
      <c r="I396">
        <v>3</v>
      </c>
      <c r="J396" t="s">
        <v>18</v>
      </c>
      <c r="L396">
        <v>1</v>
      </c>
    </row>
    <row r="397" spans="1:12" x14ac:dyDescent="0.25">
      <c r="A397">
        <v>582</v>
      </c>
      <c r="B397" t="s">
        <v>2294</v>
      </c>
      <c r="C397" t="s">
        <v>2295</v>
      </c>
      <c r="D397" t="s">
        <v>724</v>
      </c>
      <c r="E397" t="s">
        <v>2296</v>
      </c>
      <c r="F397" t="str">
        <f>IF(M397&lt;&gt;"",VLOOKUP(M397,zastavky!E:F,2,FALSE),"")</f>
        <v/>
      </c>
      <c r="G397" t="s">
        <v>2297</v>
      </c>
      <c r="H397" t="s">
        <v>2298</v>
      </c>
      <c r="I397">
        <v>3</v>
      </c>
      <c r="J397" t="s">
        <v>18</v>
      </c>
      <c r="L397">
        <v>1</v>
      </c>
    </row>
    <row r="398" spans="1:12" x14ac:dyDescent="0.25">
      <c r="A398">
        <v>583</v>
      </c>
      <c r="B398" t="s">
        <v>2299</v>
      </c>
      <c r="C398" t="s">
        <v>2300</v>
      </c>
      <c r="D398" t="s">
        <v>2301</v>
      </c>
      <c r="E398" t="s">
        <v>2302</v>
      </c>
      <c r="F398" t="str">
        <f>IF(M398&lt;&gt;"",VLOOKUP(M398,zastavky!E:F,2,FALSE),"")</f>
        <v/>
      </c>
      <c r="G398" t="s">
        <v>2303</v>
      </c>
      <c r="H398" t="s">
        <v>2304</v>
      </c>
      <c r="I398">
        <v>3</v>
      </c>
      <c r="J398" t="s">
        <v>18</v>
      </c>
      <c r="L398">
        <v>1</v>
      </c>
    </row>
    <row r="399" spans="1:12" x14ac:dyDescent="0.25">
      <c r="A399">
        <v>584</v>
      </c>
      <c r="B399" t="s">
        <v>2305</v>
      </c>
      <c r="C399" t="s">
        <v>2306</v>
      </c>
      <c r="D399" t="s">
        <v>2307</v>
      </c>
      <c r="E399" t="s">
        <v>2308</v>
      </c>
      <c r="F399" t="str">
        <f>IF(M399&lt;&gt;"",VLOOKUP(M399,zastavky!E:F,2,FALSE),"")</f>
        <v/>
      </c>
      <c r="G399" t="s">
        <v>2309</v>
      </c>
      <c r="H399" t="s">
        <v>2310</v>
      </c>
      <c r="I399">
        <v>3</v>
      </c>
      <c r="J399" t="s">
        <v>18</v>
      </c>
      <c r="L399">
        <v>1</v>
      </c>
    </row>
    <row r="400" spans="1:12" x14ac:dyDescent="0.25">
      <c r="A400">
        <v>585</v>
      </c>
      <c r="B400" t="s">
        <v>2311</v>
      </c>
      <c r="C400" t="s">
        <v>2312</v>
      </c>
      <c r="D400" t="s">
        <v>2313</v>
      </c>
      <c r="E400" t="s">
        <v>2314</v>
      </c>
      <c r="F400" t="str">
        <f>IF(M400&lt;&gt;"",VLOOKUP(M400,zastavky!E:F,2,FALSE),"")</f>
        <v/>
      </c>
      <c r="G400" t="s">
        <v>2315</v>
      </c>
      <c r="H400" t="s">
        <v>2316</v>
      </c>
      <c r="I400">
        <v>3</v>
      </c>
      <c r="J400" t="s">
        <v>18</v>
      </c>
      <c r="L400">
        <v>1</v>
      </c>
    </row>
    <row r="401" spans="1:12" x14ac:dyDescent="0.25">
      <c r="A401">
        <v>586</v>
      </c>
      <c r="B401" t="s">
        <v>1709</v>
      </c>
      <c r="C401" t="s">
        <v>2317</v>
      </c>
      <c r="D401" t="s">
        <v>2318</v>
      </c>
      <c r="E401" t="s">
        <v>2319</v>
      </c>
      <c r="F401" t="str">
        <f>IF(M401&lt;&gt;"",VLOOKUP(M401,zastavky!E:F,2,FALSE),"")</f>
        <v/>
      </c>
      <c r="G401" t="s">
        <v>2320</v>
      </c>
      <c r="H401" t="s">
        <v>2321</v>
      </c>
      <c r="I401">
        <v>3</v>
      </c>
      <c r="J401" t="s">
        <v>18</v>
      </c>
      <c r="L401">
        <v>1</v>
      </c>
    </row>
    <row r="402" spans="1:12" x14ac:dyDescent="0.25">
      <c r="A402">
        <v>587</v>
      </c>
      <c r="B402" t="s">
        <v>2322</v>
      </c>
      <c r="C402" t="s">
        <v>2323</v>
      </c>
      <c r="D402" t="s">
        <v>2324</v>
      </c>
      <c r="E402" t="s">
        <v>2325</v>
      </c>
      <c r="F402" t="str">
        <f>IF(M402&lt;&gt;"",VLOOKUP(M402,zastavky!E:F,2,FALSE),"")</f>
        <v/>
      </c>
      <c r="G402" t="s">
        <v>2326</v>
      </c>
      <c r="H402" t="s">
        <v>2327</v>
      </c>
      <c r="I402">
        <v>3</v>
      </c>
      <c r="J402" t="s">
        <v>18</v>
      </c>
      <c r="L402">
        <v>1</v>
      </c>
    </row>
    <row r="403" spans="1:12" x14ac:dyDescent="0.25">
      <c r="A403">
        <v>588</v>
      </c>
      <c r="B403" t="s">
        <v>2328</v>
      </c>
      <c r="C403" t="s">
        <v>2329</v>
      </c>
      <c r="D403" t="s">
        <v>2330</v>
      </c>
      <c r="E403" t="s">
        <v>2331</v>
      </c>
      <c r="F403" t="str">
        <f>IF(M403&lt;&gt;"",VLOOKUP(M403,zastavky!E:F,2,FALSE),"")</f>
        <v/>
      </c>
      <c r="G403" t="s">
        <v>2332</v>
      </c>
      <c r="H403" t="s">
        <v>2333</v>
      </c>
      <c r="I403">
        <v>3</v>
      </c>
      <c r="J403" t="s">
        <v>18</v>
      </c>
      <c r="L403">
        <v>1</v>
      </c>
    </row>
    <row r="404" spans="1:12" x14ac:dyDescent="0.25">
      <c r="A404">
        <v>589</v>
      </c>
      <c r="B404" t="s">
        <v>2334</v>
      </c>
      <c r="C404" t="s">
        <v>2335</v>
      </c>
      <c r="D404" t="s">
        <v>2336</v>
      </c>
      <c r="E404" t="s">
        <v>2337</v>
      </c>
      <c r="F404" t="str">
        <f>IF(M404&lt;&gt;"",VLOOKUP(M404,zastavky!E:F,2,FALSE),"")</f>
        <v/>
      </c>
      <c r="G404" t="s">
        <v>2338</v>
      </c>
      <c r="H404" t="s">
        <v>2339</v>
      </c>
      <c r="I404">
        <v>3</v>
      </c>
      <c r="J404" t="s">
        <v>18</v>
      </c>
      <c r="L404">
        <v>1</v>
      </c>
    </row>
    <row r="405" spans="1:12" x14ac:dyDescent="0.25">
      <c r="A405">
        <v>590</v>
      </c>
      <c r="B405" t="s">
        <v>2340</v>
      </c>
      <c r="C405" t="s">
        <v>2341</v>
      </c>
      <c r="D405" t="s">
        <v>2342</v>
      </c>
      <c r="E405" t="s">
        <v>2343</v>
      </c>
      <c r="F405" t="str">
        <f>IF(M405&lt;&gt;"",VLOOKUP(M405,zastavky!E:F,2,FALSE),"")</f>
        <v/>
      </c>
      <c r="G405" t="s">
        <v>2344</v>
      </c>
      <c r="H405" t="s">
        <v>2345</v>
      </c>
      <c r="I405">
        <v>3</v>
      </c>
      <c r="J405" t="s">
        <v>18</v>
      </c>
      <c r="L405">
        <v>1</v>
      </c>
    </row>
    <row r="406" spans="1:12" x14ac:dyDescent="0.25">
      <c r="A406">
        <v>591</v>
      </c>
      <c r="B406" t="s">
        <v>2346</v>
      </c>
      <c r="C406" t="s">
        <v>181</v>
      </c>
      <c r="D406" t="s">
        <v>2347</v>
      </c>
      <c r="F406" t="str">
        <f>IF(M406&lt;&gt;"",VLOOKUP(M406,zastavky!E:F,2,FALSE),"")</f>
        <v/>
      </c>
      <c r="G406" t="s">
        <v>2348</v>
      </c>
      <c r="H406" t="s">
        <v>2349</v>
      </c>
      <c r="I406">
        <v>3</v>
      </c>
      <c r="J406" t="s">
        <v>18</v>
      </c>
      <c r="L406">
        <v>1</v>
      </c>
    </row>
    <row r="407" spans="1:12" x14ac:dyDescent="0.25">
      <c r="A407">
        <v>592</v>
      </c>
      <c r="B407" t="s">
        <v>2350</v>
      </c>
      <c r="C407" t="s">
        <v>2351</v>
      </c>
      <c r="D407" t="s">
        <v>2352</v>
      </c>
      <c r="F407" t="str">
        <f>IF(M407&lt;&gt;"",VLOOKUP(M407,zastavky!E:F,2,FALSE),"")</f>
        <v/>
      </c>
      <c r="G407" t="s">
        <v>2353</v>
      </c>
      <c r="H407" t="s">
        <v>2354</v>
      </c>
      <c r="I407">
        <v>3</v>
      </c>
      <c r="J407" t="s">
        <v>18</v>
      </c>
      <c r="L407">
        <v>1</v>
      </c>
    </row>
    <row r="408" spans="1:12" x14ac:dyDescent="0.25">
      <c r="A408">
        <v>593</v>
      </c>
      <c r="B408" t="s">
        <v>2355</v>
      </c>
      <c r="C408" t="s">
        <v>2356</v>
      </c>
      <c r="D408" t="s">
        <v>2357</v>
      </c>
      <c r="E408" t="s">
        <v>2358</v>
      </c>
      <c r="F408" t="str">
        <f>IF(M408&lt;&gt;"",VLOOKUP(M408,zastavky!E:F,2,FALSE),"")</f>
        <v/>
      </c>
      <c r="G408" t="s">
        <v>2359</v>
      </c>
      <c r="H408" t="s">
        <v>2360</v>
      </c>
      <c r="I408">
        <v>3</v>
      </c>
      <c r="J408" t="s">
        <v>18</v>
      </c>
      <c r="L408">
        <v>1</v>
      </c>
    </row>
    <row r="409" spans="1:12" x14ac:dyDescent="0.25">
      <c r="A409">
        <v>594</v>
      </c>
      <c r="B409" t="s">
        <v>2361</v>
      </c>
      <c r="C409" t="s">
        <v>2362</v>
      </c>
      <c r="D409" t="s">
        <v>2363</v>
      </c>
      <c r="F409" t="str">
        <f>IF(M409&lt;&gt;"",VLOOKUP(M409,zastavky!E:F,2,FALSE),"")</f>
        <v/>
      </c>
      <c r="G409" t="s">
        <v>2364</v>
      </c>
      <c r="H409" t="s">
        <v>2365</v>
      </c>
      <c r="I409">
        <v>3</v>
      </c>
      <c r="J409" t="s">
        <v>18</v>
      </c>
      <c r="L409">
        <v>1</v>
      </c>
    </row>
    <row r="410" spans="1:12" x14ac:dyDescent="0.25">
      <c r="A410">
        <v>595</v>
      </c>
      <c r="B410" t="s">
        <v>2366</v>
      </c>
      <c r="C410" t="s">
        <v>2367</v>
      </c>
      <c r="D410" t="s">
        <v>2368</v>
      </c>
      <c r="E410" t="s">
        <v>2369</v>
      </c>
      <c r="F410" t="str">
        <f>IF(M410&lt;&gt;"",VLOOKUP(M410,zastavky!E:F,2,FALSE),"")</f>
        <v/>
      </c>
      <c r="G410" t="s">
        <v>2370</v>
      </c>
      <c r="H410" t="s">
        <v>2371</v>
      </c>
      <c r="I410">
        <v>3</v>
      </c>
      <c r="J410" t="s">
        <v>18</v>
      </c>
      <c r="L410">
        <v>1</v>
      </c>
    </row>
    <row r="411" spans="1:12" x14ac:dyDescent="0.25">
      <c r="A411">
        <v>596</v>
      </c>
      <c r="B411" t="s">
        <v>1763</v>
      </c>
      <c r="C411" t="s">
        <v>2372</v>
      </c>
      <c r="D411" t="s">
        <v>2373</v>
      </c>
      <c r="E411" t="s">
        <v>2374</v>
      </c>
      <c r="F411" t="str">
        <f>IF(M411&lt;&gt;"",VLOOKUP(M411,zastavky!E:F,2,FALSE),"")</f>
        <v/>
      </c>
      <c r="G411" t="s">
        <v>2375</v>
      </c>
      <c r="H411" t="s">
        <v>2376</v>
      </c>
      <c r="I411">
        <v>3</v>
      </c>
      <c r="J411" t="s">
        <v>18</v>
      </c>
      <c r="L411">
        <v>1</v>
      </c>
    </row>
    <row r="412" spans="1:12" x14ac:dyDescent="0.25">
      <c r="A412">
        <v>597</v>
      </c>
      <c r="B412" t="s">
        <v>2377</v>
      </c>
      <c r="C412" t="s">
        <v>2378</v>
      </c>
      <c r="D412" t="s">
        <v>2379</v>
      </c>
      <c r="E412" t="s">
        <v>2380</v>
      </c>
      <c r="F412" t="str">
        <f>IF(M412&lt;&gt;"",VLOOKUP(M412,zastavky!E:F,2,FALSE),"")</f>
        <v/>
      </c>
      <c r="G412" t="s">
        <v>2381</v>
      </c>
      <c r="H412" t="s">
        <v>2382</v>
      </c>
      <c r="I412">
        <v>3</v>
      </c>
      <c r="J412" t="s">
        <v>18</v>
      </c>
      <c r="L412">
        <v>1</v>
      </c>
    </row>
    <row r="413" spans="1:12" x14ac:dyDescent="0.25">
      <c r="A413">
        <v>598</v>
      </c>
      <c r="B413" t="s">
        <v>2383</v>
      </c>
      <c r="C413" t="s">
        <v>2384</v>
      </c>
      <c r="D413" t="s">
        <v>62</v>
      </c>
      <c r="E413" t="s">
        <v>2385</v>
      </c>
      <c r="F413" t="str">
        <f>IF(M413&lt;&gt;"",VLOOKUP(M413,zastavky!E:F,2,FALSE),"")</f>
        <v/>
      </c>
      <c r="G413" t="s">
        <v>2386</v>
      </c>
      <c r="H413" t="s">
        <v>2387</v>
      </c>
      <c r="I413">
        <v>3</v>
      </c>
      <c r="J413" t="s">
        <v>18</v>
      </c>
      <c r="L413">
        <v>1</v>
      </c>
    </row>
    <row r="414" spans="1:12" x14ac:dyDescent="0.25">
      <c r="A414">
        <v>599</v>
      </c>
      <c r="B414" t="s">
        <v>2388</v>
      </c>
      <c r="C414" t="s">
        <v>2389</v>
      </c>
      <c r="D414" t="s">
        <v>752</v>
      </c>
      <c r="E414" t="s">
        <v>2390</v>
      </c>
      <c r="F414" t="str">
        <f>IF(M414&lt;&gt;"",VLOOKUP(M414,zastavky!E:F,2,FALSE),"")</f>
        <v/>
      </c>
      <c r="G414" t="s">
        <v>2391</v>
      </c>
      <c r="H414" t="s">
        <v>2392</v>
      </c>
      <c r="I414">
        <v>3</v>
      </c>
      <c r="J414" t="s">
        <v>18</v>
      </c>
      <c r="L414">
        <v>1</v>
      </c>
    </row>
    <row r="415" spans="1:12" x14ac:dyDescent="0.25">
      <c r="A415">
        <v>600</v>
      </c>
      <c r="B415" t="s">
        <v>861</v>
      </c>
      <c r="C415" t="s">
        <v>898</v>
      </c>
      <c r="D415" t="s">
        <v>2393</v>
      </c>
      <c r="E415" t="s">
        <v>2394</v>
      </c>
      <c r="F415" t="str">
        <f>IF(M415&lt;&gt;"",VLOOKUP(M415,zastavky!E:F,2,FALSE),"")</f>
        <v/>
      </c>
      <c r="G415" t="s">
        <v>2395</v>
      </c>
      <c r="H415" t="s">
        <v>2396</v>
      </c>
      <c r="I415">
        <v>3</v>
      </c>
      <c r="J415" t="s">
        <v>18</v>
      </c>
      <c r="L415">
        <v>1</v>
      </c>
    </row>
    <row r="416" spans="1:12" x14ac:dyDescent="0.25">
      <c r="A416">
        <v>601</v>
      </c>
      <c r="B416" t="s">
        <v>2397</v>
      </c>
      <c r="C416" t="s">
        <v>2398</v>
      </c>
      <c r="D416" t="s">
        <v>2399</v>
      </c>
      <c r="E416" t="s">
        <v>2400</v>
      </c>
      <c r="F416" t="str">
        <f>IF(M416&lt;&gt;"",VLOOKUP(M416,zastavky!E:F,2,FALSE),"")</f>
        <v/>
      </c>
      <c r="G416" t="s">
        <v>2401</v>
      </c>
      <c r="H416" t="s">
        <v>2402</v>
      </c>
      <c r="I416">
        <v>3</v>
      </c>
      <c r="J416" t="s">
        <v>18</v>
      </c>
      <c r="L416">
        <v>1</v>
      </c>
    </row>
    <row r="417" spans="1:12" x14ac:dyDescent="0.25">
      <c r="A417">
        <v>602</v>
      </c>
      <c r="B417" t="s">
        <v>2403</v>
      </c>
      <c r="C417" t="s">
        <v>2404</v>
      </c>
      <c r="D417" t="s">
        <v>1565</v>
      </c>
      <c r="E417" t="s">
        <v>2405</v>
      </c>
      <c r="F417" t="str">
        <f>IF(M417&lt;&gt;"",VLOOKUP(M417,zastavky!E:F,2,FALSE),"")</f>
        <v/>
      </c>
      <c r="G417" t="s">
        <v>2406</v>
      </c>
      <c r="H417" t="s">
        <v>2407</v>
      </c>
      <c r="I417">
        <v>3</v>
      </c>
      <c r="J417" t="s">
        <v>18</v>
      </c>
      <c r="L417">
        <v>1</v>
      </c>
    </row>
    <row r="418" spans="1:12" x14ac:dyDescent="0.25">
      <c r="A418">
        <v>603</v>
      </c>
      <c r="B418" t="s">
        <v>2408</v>
      </c>
      <c r="C418" t="s">
        <v>2409</v>
      </c>
      <c r="D418" t="s">
        <v>2410</v>
      </c>
      <c r="E418" t="s">
        <v>2411</v>
      </c>
      <c r="F418" t="str">
        <f>IF(M418&lt;&gt;"",VLOOKUP(M418,zastavky!E:F,2,FALSE),"")</f>
        <v/>
      </c>
      <c r="G418" t="s">
        <v>2412</v>
      </c>
      <c r="H418" t="s">
        <v>2413</v>
      </c>
      <c r="I418">
        <v>3</v>
      </c>
      <c r="J418" t="s">
        <v>18</v>
      </c>
      <c r="L418">
        <v>1</v>
      </c>
    </row>
    <row r="419" spans="1:12" x14ac:dyDescent="0.25">
      <c r="A419">
        <v>604</v>
      </c>
      <c r="B419" t="s">
        <v>2414</v>
      </c>
      <c r="C419" t="s">
        <v>2415</v>
      </c>
      <c r="D419" t="s">
        <v>2416</v>
      </c>
      <c r="E419" t="s">
        <v>2417</v>
      </c>
      <c r="F419" t="str">
        <f>IF(M419&lt;&gt;"",VLOOKUP(M419,zastavky!E:F,2,FALSE),"")</f>
        <v/>
      </c>
      <c r="G419" t="s">
        <v>2418</v>
      </c>
      <c r="H419" t="s">
        <v>2419</v>
      </c>
      <c r="I419">
        <v>3</v>
      </c>
      <c r="J419" t="s">
        <v>18</v>
      </c>
      <c r="L419">
        <v>1</v>
      </c>
    </row>
    <row r="420" spans="1:12" x14ac:dyDescent="0.25">
      <c r="A420">
        <v>605</v>
      </c>
      <c r="B420" t="s">
        <v>2420</v>
      </c>
      <c r="C420" t="s">
        <v>2421</v>
      </c>
      <c r="D420" t="s">
        <v>1836</v>
      </c>
      <c r="E420" t="s">
        <v>2422</v>
      </c>
      <c r="F420" t="str">
        <f>IF(M420&lt;&gt;"",VLOOKUP(M420,zastavky!E:F,2,FALSE),"")</f>
        <v/>
      </c>
      <c r="G420" t="s">
        <v>2423</v>
      </c>
      <c r="H420" t="s">
        <v>2424</v>
      </c>
      <c r="I420">
        <v>3</v>
      </c>
      <c r="J420" t="s">
        <v>18</v>
      </c>
      <c r="L420">
        <v>1</v>
      </c>
    </row>
    <row r="421" spans="1:12" x14ac:dyDescent="0.25">
      <c r="A421">
        <v>606</v>
      </c>
      <c r="B421" t="s">
        <v>750</v>
      </c>
      <c r="C421" t="s">
        <v>2425</v>
      </c>
      <c r="D421" t="s">
        <v>458</v>
      </c>
      <c r="E421" t="s">
        <v>2426</v>
      </c>
      <c r="F421" t="str">
        <f>IF(M421&lt;&gt;"",VLOOKUP(M421,zastavky!E:F,2,FALSE),"")</f>
        <v/>
      </c>
      <c r="G421" t="s">
        <v>2427</v>
      </c>
      <c r="H421" t="s">
        <v>2428</v>
      </c>
      <c r="I421">
        <v>3</v>
      </c>
      <c r="J421" t="s">
        <v>18</v>
      </c>
      <c r="L421">
        <v>1</v>
      </c>
    </row>
    <row r="422" spans="1:12" x14ac:dyDescent="0.25">
      <c r="A422">
        <v>607</v>
      </c>
      <c r="B422" t="s">
        <v>924</v>
      </c>
      <c r="C422" t="s">
        <v>2429</v>
      </c>
      <c r="D422" t="s">
        <v>2430</v>
      </c>
      <c r="E422" t="s">
        <v>2431</v>
      </c>
      <c r="F422" t="str">
        <f>IF(M422&lt;&gt;"",VLOOKUP(M422,zastavky!E:F,2,FALSE),"")</f>
        <v/>
      </c>
      <c r="G422" t="s">
        <v>2432</v>
      </c>
      <c r="H422" t="s">
        <v>2433</v>
      </c>
      <c r="I422">
        <v>3</v>
      </c>
      <c r="J422" t="s">
        <v>18</v>
      </c>
      <c r="L422">
        <v>1</v>
      </c>
    </row>
    <row r="423" spans="1:12" x14ac:dyDescent="0.25">
      <c r="A423">
        <v>608</v>
      </c>
      <c r="B423" t="s">
        <v>2434</v>
      </c>
      <c r="C423" t="s">
        <v>2435</v>
      </c>
      <c r="D423" t="s">
        <v>2436</v>
      </c>
      <c r="E423" t="s">
        <v>2437</v>
      </c>
      <c r="F423" t="str">
        <f>IF(M423&lt;&gt;"",VLOOKUP(M423,zastavky!E:F,2,FALSE),"")</f>
        <v/>
      </c>
      <c r="G423" t="s">
        <v>2438</v>
      </c>
      <c r="H423" t="s">
        <v>2439</v>
      </c>
      <c r="I423">
        <v>3</v>
      </c>
      <c r="J423" t="s">
        <v>18</v>
      </c>
      <c r="L423">
        <v>1</v>
      </c>
    </row>
    <row r="424" spans="1:12" x14ac:dyDescent="0.25">
      <c r="A424">
        <v>609</v>
      </c>
      <c r="B424" t="s">
        <v>762</v>
      </c>
      <c r="C424" t="s">
        <v>2440</v>
      </c>
      <c r="D424" t="s">
        <v>2441</v>
      </c>
      <c r="E424" t="s">
        <v>2442</v>
      </c>
      <c r="F424" t="str">
        <f>IF(M424&lt;&gt;"",VLOOKUP(M424,zastavky!E:F,2,FALSE),"")</f>
        <v/>
      </c>
      <c r="G424" t="s">
        <v>2443</v>
      </c>
      <c r="H424" t="s">
        <v>2444</v>
      </c>
      <c r="I424">
        <v>3</v>
      </c>
      <c r="J424" t="s">
        <v>18</v>
      </c>
      <c r="L424">
        <v>1</v>
      </c>
    </row>
    <row r="425" spans="1:12" x14ac:dyDescent="0.25">
      <c r="A425">
        <v>610</v>
      </c>
      <c r="B425" t="s">
        <v>2445</v>
      </c>
      <c r="C425" t="s">
        <v>2446</v>
      </c>
      <c r="D425" t="s">
        <v>2447</v>
      </c>
      <c r="E425" t="s">
        <v>2448</v>
      </c>
      <c r="F425" t="str">
        <f>IF(M425&lt;&gt;"",VLOOKUP(M425,zastavky!E:F,2,FALSE),"")</f>
        <v/>
      </c>
      <c r="G425" t="s">
        <v>2449</v>
      </c>
      <c r="H425" t="s">
        <v>2450</v>
      </c>
      <c r="I425">
        <v>3</v>
      </c>
      <c r="J425" t="s">
        <v>18</v>
      </c>
      <c r="L425">
        <v>1</v>
      </c>
    </row>
    <row r="426" spans="1:12" x14ac:dyDescent="0.25">
      <c r="A426">
        <v>611</v>
      </c>
      <c r="B426" t="s">
        <v>2451</v>
      </c>
      <c r="C426" t="s">
        <v>2173</v>
      </c>
      <c r="D426" t="s">
        <v>2452</v>
      </c>
      <c r="F426" t="str">
        <f>IF(M426&lt;&gt;"",VLOOKUP(M426,zastavky!E:F,2,FALSE),"")</f>
        <v/>
      </c>
      <c r="G426" t="s">
        <v>2453</v>
      </c>
      <c r="H426" t="s">
        <v>2454</v>
      </c>
      <c r="I426">
        <v>3</v>
      </c>
      <c r="J426" t="s">
        <v>18</v>
      </c>
      <c r="L426">
        <v>1</v>
      </c>
    </row>
    <row r="427" spans="1:12" x14ac:dyDescent="0.25">
      <c r="A427">
        <v>612</v>
      </c>
      <c r="B427" t="s">
        <v>2455</v>
      </c>
      <c r="C427" t="s">
        <v>2456</v>
      </c>
      <c r="D427" t="s">
        <v>2457</v>
      </c>
      <c r="E427" t="s">
        <v>2458</v>
      </c>
      <c r="F427" t="str">
        <f>IF(M427&lt;&gt;"",VLOOKUP(M427,zastavky!E:F,2,FALSE),"")</f>
        <v/>
      </c>
      <c r="G427" t="s">
        <v>2459</v>
      </c>
      <c r="H427" t="s">
        <v>2460</v>
      </c>
      <c r="I427">
        <v>3</v>
      </c>
      <c r="J427" t="s">
        <v>18</v>
      </c>
      <c r="L427">
        <v>1</v>
      </c>
    </row>
    <row r="428" spans="1:12" x14ac:dyDescent="0.25">
      <c r="A428">
        <v>613</v>
      </c>
      <c r="B428" t="s">
        <v>768</v>
      </c>
      <c r="C428" t="s">
        <v>2461</v>
      </c>
      <c r="D428" t="s">
        <v>2462</v>
      </c>
      <c r="E428" t="s">
        <v>2463</v>
      </c>
      <c r="F428" t="str">
        <f>IF(M428&lt;&gt;"",VLOOKUP(M428,zastavky!E:F,2,FALSE),"")</f>
        <v/>
      </c>
      <c r="H428" t="s">
        <v>2464</v>
      </c>
      <c r="I428">
        <v>3</v>
      </c>
      <c r="J428" t="s">
        <v>18</v>
      </c>
      <c r="L428">
        <v>1</v>
      </c>
    </row>
    <row r="429" spans="1:12" x14ac:dyDescent="0.25">
      <c r="A429">
        <v>614</v>
      </c>
      <c r="B429" t="s">
        <v>2465</v>
      </c>
      <c r="C429" t="s">
        <v>2466</v>
      </c>
      <c r="D429" t="s">
        <v>2467</v>
      </c>
      <c r="E429" t="s">
        <v>2468</v>
      </c>
      <c r="F429" t="str">
        <f>IF(M429&lt;&gt;"",VLOOKUP(M429,zastavky!E:F,2,FALSE),"")</f>
        <v/>
      </c>
      <c r="G429" t="s">
        <v>2469</v>
      </c>
      <c r="H429" t="s">
        <v>2470</v>
      </c>
      <c r="I429">
        <v>1</v>
      </c>
      <c r="J429" t="s">
        <v>18</v>
      </c>
      <c r="L429">
        <v>1</v>
      </c>
    </row>
    <row r="430" spans="1:12" x14ac:dyDescent="0.25">
      <c r="A430">
        <v>615</v>
      </c>
      <c r="B430" t="s">
        <v>2471</v>
      </c>
      <c r="C430" t="s">
        <v>205</v>
      </c>
      <c r="D430" t="s">
        <v>2472</v>
      </c>
      <c r="E430" t="s">
        <v>2473</v>
      </c>
      <c r="F430" t="str">
        <f>IF(M430&lt;&gt;"",VLOOKUP(M430,zastavky!E:F,2,FALSE),"")</f>
        <v/>
      </c>
      <c r="G430" t="s">
        <v>2474</v>
      </c>
      <c r="H430" t="s">
        <v>2475</v>
      </c>
      <c r="I430">
        <v>1</v>
      </c>
      <c r="J430" t="s">
        <v>18</v>
      </c>
      <c r="L430">
        <v>1</v>
      </c>
    </row>
    <row r="431" spans="1:12" x14ac:dyDescent="0.25">
      <c r="A431">
        <v>616</v>
      </c>
      <c r="B431" t="s">
        <v>2476</v>
      </c>
      <c r="C431" t="s">
        <v>2477</v>
      </c>
      <c r="D431" t="s">
        <v>2478</v>
      </c>
      <c r="E431" t="s">
        <v>2479</v>
      </c>
      <c r="F431" t="str">
        <f>IF(M431&lt;&gt;"",VLOOKUP(M431,zastavky!E:F,2,FALSE),"")</f>
        <v/>
      </c>
      <c r="G431" t="s">
        <v>2480</v>
      </c>
      <c r="H431" t="s">
        <v>2481</v>
      </c>
      <c r="I431">
        <v>1</v>
      </c>
      <c r="J431" t="s">
        <v>18</v>
      </c>
      <c r="L431">
        <v>1</v>
      </c>
    </row>
    <row r="432" spans="1:12" x14ac:dyDescent="0.25">
      <c r="A432">
        <v>617</v>
      </c>
      <c r="B432" t="s">
        <v>2482</v>
      </c>
      <c r="C432" t="s">
        <v>2483</v>
      </c>
      <c r="D432" t="s">
        <v>2484</v>
      </c>
      <c r="E432" t="s">
        <v>2485</v>
      </c>
      <c r="F432" t="str">
        <f>IF(M432&lt;&gt;"",VLOOKUP(M432,zastavky!E:F,2,FALSE),"")</f>
        <v/>
      </c>
      <c r="G432" t="s">
        <v>2486</v>
      </c>
      <c r="H432" t="s">
        <v>2487</v>
      </c>
      <c r="I432">
        <v>1</v>
      </c>
      <c r="J432" t="s">
        <v>18</v>
      </c>
      <c r="L432">
        <v>1</v>
      </c>
    </row>
    <row r="433" spans="1:12" x14ac:dyDescent="0.25">
      <c r="A433">
        <v>618</v>
      </c>
      <c r="B433" t="s">
        <v>2103</v>
      </c>
      <c r="C433" t="s">
        <v>193</v>
      </c>
      <c r="D433" t="s">
        <v>2488</v>
      </c>
      <c r="E433" t="s">
        <v>2489</v>
      </c>
      <c r="F433" t="str">
        <f>IF(M433&lt;&gt;"",VLOOKUP(M433,zastavky!E:F,2,FALSE),"")</f>
        <v/>
      </c>
      <c r="G433" t="s">
        <v>2490</v>
      </c>
      <c r="H433" t="s">
        <v>2491</v>
      </c>
      <c r="I433">
        <v>1</v>
      </c>
      <c r="J433" t="s">
        <v>18</v>
      </c>
      <c r="L433">
        <v>1</v>
      </c>
    </row>
    <row r="434" spans="1:12" x14ac:dyDescent="0.25">
      <c r="A434">
        <v>619</v>
      </c>
      <c r="B434" t="s">
        <v>2492</v>
      </c>
      <c r="C434" t="s">
        <v>2493</v>
      </c>
      <c r="D434" t="s">
        <v>2494</v>
      </c>
      <c r="E434" t="s">
        <v>2495</v>
      </c>
      <c r="F434" t="str">
        <f>IF(M434&lt;&gt;"",VLOOKUP(M434,zastavky!E:F,2,FALSE),"")</f>
        <v/>
      </c>
      <c r="G434" t="s">
        <v>2496</v>
      </c>
      <c r="H434" t="s">
        <v>2497</v>
      </c>
      <c r="I434">
        <v>1</v>
      </c>
      <c r="J434" t="s">
        <v>18</v>
      </c>
      <c r="L434">
        <v>1</v>
      </c>
    </row>
    <row r="435" spans="1:12" x14ac:dyDescent="0.25">
      <c r="A435">
        <v>620</v>
      </c>
      <c r="B435" t="s">
        <v>2498</v>
      </c>
      <c r="C435" t="s">
        <v>2499</v>
      </c>
      <c r="D435" t="s">
        <v>2500</v>
      </c>
      <c r="E435" t="s">
        <v>2501</v>
      </c>
      <c r="F435" t="str">
        <f>IF(M435&lt;&gt;"",VLOOKUP(M435,zastavky!E:F,2,FALSE),"")</f>
        <v/>
      </c>
      <c r="G435" t="s">
        <v>2502</v>
      </c>
      <c r="H435" t="s">
        <v>2503</v>
      </c>
      <c r="I435">
        <v>1</v>
      </c>
      <c r="J435" t="s">
        <v>18</v>
      </c>
      <c r="L435">
        <v>1</v>
      </c>
    </row>
    <row r="436" spans="1:12" x14ac:dyDescent="0.25">
      <c r="A436">
        <v>621</v>
      </c>
      <c r="B436" t="s">
        <v>2504</v>
      </c>
      <c r="C436" t="s">
        <v>2505</v>
      </c>
      <c r="D436" t="s">
        <v>670</v>
      </c>
      <c r="E436" t="s">
        <v>2506</v>
      </c>
      <c r="F436" t="str">
        <f>IF(M436&lt;&gt;"",VLOOKUP(M436,zastavky!E:F,2,FALSE),"")</f>
        <v/>
      </c>
      <c r="G436" t="s">
        <v>2507</v>
      </c>
      <c r="H436" t="s">
        <v>2508</v>
      </c>
      <c r="I436">
        <v>1</v>
      </c>
      <c r="J436" t="s">
        <v>18</v>
      </c>
      <c r="L436">
        <v>1</v>
      </c>
    </row>
    <row r="437" spans="1:12" x14ac:dyDescent="0.25">
      <c r="A437">
        <v>622</v>
      </c>
      <c r="B437" t="s">
        <v>891</v>
      </c>
      <c r="C437" t="s">
        <v>193</v>
      </c>
      <c r="D437" t="s">
        <v>2509</v>
      </c>
      <c r="E437" t="s">
        <v>2510</v>
      </c>
      <c r="F437" t="str">
        <f>IF(M437&lt;&gt;"",VLOOKUP(M437,zastavky!E:F,2,FALSE),"")</f>
        <v/>
      </c>
      <c r="G437" t="s">
        <v>2511</v>
      </c>
      <c r="H437" t="s">
        <v>2491</v>
      </c>
      <c r="I437">
        <v>1</v>
      </c>
      <c r="J437" t="s">
        <v>18</v>
      </c>
      <c r="L437">
        <v>1</v>
      </c>
    </row>
    <row r="438" spans="1:12" x14ac:dyDescent="0.25">
      <c r="A438">
        <v>623</v>
      </c>
      <c r="B438" t="s">
        <v>885</v>
      </c>
      <c r="C438" t="s">
        <v>2512</v>
      </c>
      <c r="D438" t="s">
        <v>2513</v>
      </c>
      <c r="E438" t="s">
        <v>2514</v>
      </c>
      <c r="F438" t="str">
        <f>IF(M438&lt;&gt;"",VLOOKUP(M438,zastavky!E:F,2,FALSE),"")</f>
        <v/>
      </c>
      <c r="G438" t="s">
        <v>2515</v>
      </c>
      <c r="H438" t="s">
        <v>2516</v>
      </c>
      <c r="I438">
        <v>1</v>
      </c>
      <c r="J438" t="s">
        <v>18</v>
      </c>
      <c r="L438">
        <v>1</v>
      </c>
    </row>
    <row r="439" spans="1:12" x14ac:dyDescent="0.25">
      <c r="A439">
        <v>624</v>
      </c>
      <c r="B439" t="s">
        <v>2517</v>
      </c>
      <c r="C439" t="s">
        <v>2518</v>
      </c>
      <c r="D439" t="s">
        <v>2519</v>
      </c>
      <c r="E439" t="s">
        <v>2520</v>
      </c>
      <c r="F439" t="str">
        <f>IF(M439&lt;&gt;"",VLOOKUP(M439,zastavky!E:F,2,FALSE),"")</f>
        <v/>
      </c>
      <c r="G439" t="s">
        <v>2521</v>
      </c>
      <c r="H439" t="s">
        <v>2522</v>
      </c>
      <c r="I439">
        <v>1</v>
      </c>
      <c r="J439" t="s">
        <v>18</v>
      </c>
      <c r="L439">
        <v>1</v>
      </c>
    </row>
    <row r="440" spans="1:12" x14ac:dyDescent="0.25">
      <c r="A440">
        <v>625</v>
      </c>
      <c r="B440" t="s">
        <v>2523</v>
      </c>
      <c r="C440" t="s">
        <v>2524</v>
      </c>
      <c r="D440" t="s">
        <v>2525</v>
      </c>
      <c r="E440" t="s">
        <v>2526</v>
      </c>
      <c r="F440" t="str">
        <f>IF(M440&lt;&gt;"",VLOOKUP(M440,zastavky!E:F,2,FALSE),"")</f>
        <v/>
      </c>
      <c r="G440" t="s">
        <v>2527</v>
      </c>
      <c r="H440" t="s">
        <v>2528</v>
      </c>
      <c r="I440">
        <v>1</v>
      </c>
      <c r="J440" t="s">
        <v>18</v>
      </c>
      <c r="L440">
        <v>1</v>
      </c>
    </row>
    <row r="441" spans="1:12" x14ac:dyDescent="0.25">
      <c r="A441">
        <v>626</v>
      </c>
      <c r="B441" t="s">
        <v>1727</v>
      </c>
      <c r="C441" t="s">
        <v>1699</v>
      </c>
      <c r="D441" t="s">
        <v>2529</v>
      </c>
      <c r="E441" t="s">
        <v>2530</v>
      </c>
      <c r="F441" t="str">
        <f>IF(M441&lt;&gt;"",VLOOKUP(M441,zastavky!E:F,2,FALSE),"")</f>
        <v/>
      </c>
      <c r="G441" t="s">
        <v>2531</v>
      </c>
      <c r="H441" t="s">
        <v>2532</v>
      </c>
      <c r="I441">
        <v>1</v>
      </c>
      <c r="J441" t="s">
        <v>18</v>
      </c>
      <c r="L441">
        <v>1</v>
      </c>
    </row>
    <row r="442" spans="1:12" x14ac:dyDescent="0.25">
      <c r="A442">
        <v>627</v>
      </c>
      <c r="B442" t="s">
        <v>2533</v>
      </c>
      <c r="C442" t="s">
        <v>2534</v>
      </c>
      <c r="D442" t="s">
        <v>2535</v>
      </c>
      <c r="E442" t="s">
        <v>2536</v>
      </c>
      <c r="F442" t="str">
        <f>IF(M442&lt;&gt;"",VLOOKUP(M442,zastavky!E:F,2,FALSE),"")</f>
        <v/>
      </c>
      <c r="G442" t="s">
        <v>2537</v>
      </c>
      <c r="H442" t="s">
        <v>2538</v>
      </c>
      <c r="I442">
        <v>1</v>
      </c>
      <c r="J442" t="s">
        <v>18</v>
      </c>
      <c r="L442">
        <v>1</v>
      </c>
    </row>
    <row r="443" spans="1:12" x14ac:dyDescent="0.25">
      <c r="A443">
        <v>628</v>
      </c>
      <c r="B443" t="s">
        <v>2539</v>
      </c>
      <c r="C443" t="s">
        <v>2540</v>
      </c>
      <c r="D443" t="s">
        <v>2541</v>
      </c>
      <c r="E443" t="s">
        <v>2542</v>
      </c>
      <c r="F443" t="str">
        <f>IF(M443&lt;&gt;"",VLOOKUP(M443,zastavky!E:F,2,FALSE),"")</f>
        <v/>
      </c>
      <c r="G443" t="s">
        <v>2543</v>
      </c>
      <c r="H443" t="s">
        <v>2544</v>
      </c>
      <c r="I443">
        <v>1</v>
      </c>
      <c r="J443" t="s">
        <v>18</v>
      </c>
      <c r="L443">
        <v>1</v>
      </c>
    </row>
    <row r="444" spans="1:12" x14ac:dyDescent="0.25">
      <c r="A444">
        <v>629</v>
      </c>
      <c r="B444" t="s">
        <v>2545</v>
      </c>
      <c r="C444" t="s">
        <v>2546</v>
      </c>
      <c r="D444" t="s">
        <v>2547</v>
      </c>
      <c r="E444" t="s">
        <v>2548</v>
      </c>
      <c r="F444" t="str">
        <f>IF(M444&lt;&gt;"",VLOOKUP(M444,zastavky!E:F,2,FALSE),"")</f>
        <v/>
      </c>
      <c r="G444" t="s">
        <v>2549</v>
      </c>
      <c r="H444" t="s">
        <v>2550</v>
      </c>
      <c r="I444">
        <v>1</v>
      </c>
      <c r="J444" t="s">
        <v>18</v>
      </c>
      <c r="L444">
        <v>1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zastavky!$E$2:$E$171</xm:f>
          </x14:formula1>
          <xm:sqref>M2:M444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zastavky</vt:lpstr>
      <vt:lpstr>zamestnanci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phpMyAdmin 5.2.1</dc:creator>
  <cp:lastModifiedBy>Aleš Kadlec</cp:lastModifiedBy>
  <dcterms:created xsi:type="dcterms:W3CDTF">2023-10-17T09:52:54Z</dcterms:created>
  <dcterms:modified xsi:type="dcterms:W3CDTF">2023-10-17T10:05:12Z</dcterms:modified>
</cp:coreProperties>
</file>