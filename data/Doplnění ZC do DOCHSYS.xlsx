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5.4\intranet\recra\data\"/>
    </mc:Choice>
  </mc:AlternateContent>
  <xr:revisionPtr revIDLastSave="0" documentId="13_ncr:1_{7C786028-EC7F-4E56-A521-4C1CD786046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ersonal_" sheetId="1" r:id="rId1"/>
  </sheets>
  <definedNames>
    <definedName name="_xlnm.Database">personal_!$A$1:$H$11</definedName>
  </definedNames>
  <calcPr calcId="191029"/>
</workbook>
</file>

<file path=xl/calcChain.xml><?xml version="1.0" encoding="utf-8"?>
<calcChain xmlns="http://schemas.openxmlformats.org/spreadsheetml/2006/main">
  <c r="L11" i="1" l="1"/>
  <c r="L9" i="1"/>
  <c r="L6" i="1"/>
  <c r="L5" i="1"/>
  <c r="L4" i="1"/>
  <c r="L13" i="1"/>
  <c r="L12" i="1"/>
  <c r="L10" i="1"/>
  <c r="L8" i="1"/>
  <c r="L7" i="1"/>
  <c r="L2" i="1"/>
  <c r="L3" i="1"/>
</calcChain>
</file>

<file path=xl/sharedStrings.xml><?xml version="1.0" encoding="utf-8"?>
<sst xmlns="http://schemas.openxmlformats.org/spreadsheetml/2006/main" count="132" uniqueCount="103">
  <si>
    <t>Drozdz</t>
  </si>
  <si>
    <t>Iwona Elzbieta</t>
  </si>
  <si>
    <t>+48 733 801 365</t>
  </si>
  <si>
    <t>Slaska</t>
  </si>
  <si>
    <t>59/14</t>
  </si>
  <si>
    <t>Jastrzebie Zdroj</t>
  </si>
  <si>
    <t>44-335</t>
  </si>
  <si>
    <t>Frackiewicz</t>
  </si>
  <si>
    <t>Mateusz Dawid</t>
  </si>
  <si>
    <t>+48 570 980 131</t>
  </si>
  <si>
    <t>Osiedle Generała Sikorskiego</t>
  </si>
  <si>
    <t>22I/1</t>
  </si>
  <si>
    <t>Zory</t>
  </si>
  <si>
    <t>44-244</t>
  </si>
  <si>
    <t>Gonera</t>
  </si>
  <si>
    <t>Anna Maria</t>
  </si>
  <si>
    <t>+48 797 514 977</t>
  </si>
  <si>
    <t>Podmiejska</t>
  </si>
  <si>
    <t>10/10</t>
  </si>
  <si>
    <t>Rydultowy</t>
  </si>
  <si>
    <t>44-280</t>
  </si>
  <si>
    <t>Jakubowska</t>
  </si>
  <si>
    <t>Marta</t>
  </si>
  <si>
    <t>+48 607 542 303</t>
  </si>
  <si>
    <t>Miodowa</t>
  </si>
  <si>
    <t>3/15</t>
  </si>
  <si>
    <t>Janecki</t>
  </si>
  <si>
    <t>Dawid Kamil</t>
  </si>
  <si>
    <t>+48 576 817 522</t>
  </si>
  <si>
    <t>Turystyczna</t>
  </si>
  <si>
    <t>27/36</t>
  </si>
  <si>
    <t>Nowak</t>
  </si>
  <si>
    <t>Malgorzata Elzbieta</t>
  </si>
  <si>
    <t>+48 669 229 276</t>
  </si>
  <si>
    <t>Norwiela</t>
  </si>
  <si>
    <t>1/2</t>
  </si>
  <si>
    <t>Radzionkow</t>
  </si>
  <si>
    <t>41-914</t>
  </si>
  <si>
    <t>Rak</t>
  </si>
  <si>
    <t>Barbara Irena</t>
  </si>
  <si>
    <t>+48 725 370 816</t>
  </si>
  <si>
    <t>Kurpiowska</t>
  </si>
  <si>
    <t>4/35</t>
  </si>
  <si>
    <t>Rewolinska-Doluk</t>
  </si>
  <si>
    <t>Edyta Justyna</t>
  </si>
  <si>
    <t>+48 785 346 192</t>
  </si>
  <si>
    <t>Jastrzębie-Zdrój</t>
  </si>
  <si>
    <t>Sojka</t>
  </si>
  <si>
    <t>Irena Zofia</t>
  </si>
  <si>
    <t>+48 721 840 609</t>
  </si>
  <si>
    <t>Tadeusza Kosciuszki</t>
  </si>
  <si>
    <t>5/8</t>
  </si>
  <si>
    <t>Sojka-Tomala</t>
  </si>
  <si>
    <t>Agnieszka Alicja</t>
  </si>
  <si>
    <t>+48 508 233 510</t>
  </si>
  <si>
    <t>Tetmajera</t>
  </si>
  <si>
    <t>16</t>
  </si>
  <si>
    <t>Příjmení</t>
  </si>
  <si>
    <t>Jméno</t>
  </si>
  <si>
    <t>Telefon</t>
  </si>
  <si>
    <t>Ulice</t>
  </si>
  <si>
    <t>číslo popisné</t>
  </si>
  <si>
    <t>Město</t>
  </si>
  <si>
    <t>PSČ</t>
  </si>
  <si>
    <t xml:space="preserve">Osobní číslo </t>
  </si>
  <si>
    <t>RDIF</t>
  </si>
  <si>
    <t>Zastávka</t>
  </si>
  <si>
    <t>Směna</t>
  </si>
  <si>
    <t>Bujok</t>
  </si>
  <si>
    <t>Dominik</t>
  </si>
  <si>
    <t>Majchrowicz</t>
  </si>
  <si>
    <t>Antonina Ewa</t>
  </si>
  <si>
    <t>+48 664 483 449</t>
  </si>
  <si>
    <t>+48 795 139 997</t>
  </si>
  <si>
    <t>Cieszyn Liburnia</t>
  </si>
  <si>
    <t>odpolední</t>
  </si>
  <si>
    <t>Wodzislaw McDonald/Circle K</t>
  </si>
  <si>
    <t>J-Z Supersam</t>
  </si>
  <si>
    <t>Źory Bajerowka</t>
  </si>
  <si>
    <t>J-Z Úřad Města</t>
  </si>
  <si>
    <t>J-Z Hala Sportowa</t>
  </si>
  <si>
    <t>ranní</t>
  </si>
  <si>
    <t>Tysiaclecia</t>
  </si>
  <si>
    <t>20/3</t>
  </si>
  <si>
    <t>Wodzislaw Slaski</t>
  </si>
  <si>
    <t>44-300</t>
  </si>
  <si>
    <t>Korfandego</t>
  </si>
  <si>
    <t>5/6</t>
  </si>
  <si>
    <t>Cieszyn</t>
  </si>
  <si>
    <t>43-400</t>
  </si>
  <si>
    <t>453</t>
  </si>
  <si>
    <t>0301165646</t>
  </si>
  <si>
    <t>0301172923</t>
  </si>
  <si>
    <t>0301173034</t>
  </si>
  <si>
    <t>0301173075</t>
  </si>
  <si>
    <t>0301162122</t>
  </si>
  <si>
    <t>0301162092</t>
  </si>
  <si>
    <t>0301162090</t>
  </si>
  <si>
    <t>0370058977</t>
  </si>
  <si>
    <t>0065287035</t>
  </si>
  <si>
    <t>0328608644</t>
  </si>
  <si>
    <t>0328432909</t>
  </si>
  <si>
    <t>0289896688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</si>
</sst>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8"/>
      <color indexed="9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9" fontId="18" fillId="0" borderId="0" xfId="0" applyNumberFormat="1" applyFont="1"/>
    <xf numFmtId="49" fontId="19" fillId="33" borderId="10" xfId="0" quotePrefix="1" applyNumberFormat="1" applyFont="1" applyFill="1" applyBorder="1" applyAlignment="1">
      <alignment horizontal="center"/>
    </xf>
    <xf numFmtId="49" fontId="18" fillId="0" borderId="0" xfId="0" applyNumberFormat="1" applyFont="1" applyAlignment="1">
      <alignment horizontal="center"/>
    </xf>
    <xf numFmtId="49" fontId="18" fillId="34" borderId="11" xfId="0" applyNumberFormat="1" applyFont="1" applyFill="1" applyBorder="1" applyAlignment="1">
      <alignment horizontal="center"/>
    </xf>
    <xf numFmtId="49" fontId="18" fillId="0" borderId="11" xfId="0" applyNumberFormat="1" applyFont="1" applyBorder="1" applyAlignment="1">
      <alignment horizontal="center"/>
    </xf>
    <xf numFmtId="0" fontId="18" fillId="0" borderId="11" xfId="0" applyFont="1" applyBorder="1" applyAlignment="1">
      <alignment horizontal="left"/>
    </xf>
    <xf numFmtId="49" fontId="19" fillId="33" borderId="0" xfId="0" applyNumberFormat="1" applyFont="1" applyFill="1" applyAlignment="1">
      <alignment horizontal="center"/>
    </xf>
    <xf numFmtId="0" fontId="18" fillId="0" borderId="0" xfId="0" applyFont="1"/>
    <xf numFmtId="0" fontId="20" fillId="0" borderId="0" xfId="0" applyFont="1" applyAlignment="1">
      <alignment horizontal="left"/>
    </xf>
    <xf numFmtId="49" fontId="18" fillId="0" borderId="11" xfId="0" applyNumberFormat="1" applyFont="1" applyBorder="1" applyAlignment="1">
      <alignment horizontal="left"/>
    </xf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showZeros="0" tabSelected="1" topLeftCell="I1" workbookViewId="0">
      <selection activeCell="O18" sqref="O18"/>
    </sheetView>
  </sheetViews>
  <sheetFormatPr defaultRowHeight="15" x14ac:dyDescent="0.25"/>
  <cols>
    <col min="1" max="1" width="18.7109375" style="1" customWidth="1"/>
    <col min="2" max="2" width="15.140625" style="1" customWidth="1"/>
    <col min="3" max="3" width="8.7109375" style="1" bestFit="1" customWidth="1"/>
    <col min="4" max="4" width="12.7109375" style="1" customWidth="1"/>
    <col min="5" max="5" width="21.140625" style="1" customWidth="1"/>
    <col min="6" max="6" width="8.85546875" style="3" bestFit="1" customWidth="1"/>
    <col min="7" max="7" width="15.42578125" style="3" customWidth="1"/>
    <col min="8" max="8" width="9.7109375" style="3" customWidth="1"/>
    <col min="9" max="10" width="29.7109375" customWidth="1"/>
    <col min="11" max="11" width="15.5703125" customWidth="1"/>
  </cols>
  <sheetData>
    <row r="1" spans="1:12" x14ac:dyDescent="0.25">
      <c r="A1" s="2" t="s">
        <v>57</v>
      </c>
      <c r="B1" s="2" t="s">
        <v>58</v>
      </c>
      <c r="C1" s="2" t="s">
        <v>64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7" t="s">
        <v>65</v>
      </c>
      <c r="J1" s="7" t="s">
        <v>66</v>
      </c>
      <c r="K1" s="7" t="s">
        <v>67</v>
      </c>
    </row>
    <row r="2" spans="1:12" x14ac:dyDescent="0.25">
      <c r="A2" s="4" t="s">
        <v>0</v>
      </c>
      <c r="B2" s="5" t="s">
        <v>1</v>
      </c>
      <c r="C2" s="6">
        <v>464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10" t="s">
        <v>91</v>
      </c>
      <c r="J2" s="10" t="s">
        <v>77</v>
      </c>
      <c r="K2" s="10" t="s">
        <v>75</v>
      </c>
      <c r="L2" t="str">
        <f>"insert into zamestnanci (os_cislo,prijmeni,jmeno,rfid,telefon,adresa,firma,smena,aktivni,cilova) values ('" &amp; C2 &amp; "','" &amp; A2 &amp; "','" &amp; B2 &amp; "','" &amp; I2 &amp; "','" &amp; D2 &amp; "','" &amp; E2 &amp; " " &amp; F2 &amp; ", " &amp; G2 &amp; " " &amp; H2 &amp; "','1','O','1','BATZ');"</f>
        <v>insert into zamestnanci (os_cislo,prijmeni,jmeno,rfid,telefon,adresa,firma,smena,aktivni,cilova) values ('464','Drozdz','Iwona Elzbieta','0301165646','+48 733 801 365','Slaska 59/14, Jastrzebie Zdroj 44-335','1','O','1','BATZ');</v>
      </c>
    </row>
    <row r="3" spans="1:12" x14ac:dyDescent="0.25">
      <c r="A3" s="4" t="s">
        <v>7</v>
      </c>
      <c r="B3" s="5" t="s">
        <v>8</v>
      </c>
      <c r="C3" s="6">
        <v>465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10" t="s">
        <v>92</v>
      </c>
      <c r="J3" s="10" t="s">
        <v>78</v>
      </c>
      <c r="K3" s="10" t="s">
        <v>81</v>
      </c>
      <c r="L3" t="str">
        <f>"insert into zamestnanci (os_cislo,prijmeni,jmeno,rfid,telefon,adresa,firma,smena,aktivni,cilova) values ('" &amp; C3 &amp; "','" &amp; A3 &amp; "','" &amp; B3 &amp; "','" &amp; I3 &amp; "','" &amp; D3 &amp; "','" &amp; E3 &amp; " " &amp; F3 &amp; ", " &amp; G3 &amp; " " &amp; H3 &amp; "','1','R','1','BATZ');"</f>
        <v>insert into zamestnanci (os_cislo,prijmeni,jmeno,rfid,telefon,adresa,firma,smena,aktivni,cilova) values ('465','Frackiewicz','Mateusz Dawid','0301172923','+48 570 980 131','Osiedle Generała Sikorskiego 22I/1, Zory 44-244','1','R','1','BATZ');</v>
      </c>
    </row>
    <row r="4" spans="1:12" x14ac:dyDescent="0.25">
      <c r="A4" s="4" t="s">
        <v>14</v>
      </c>
      <c r="B4" s="5" t="s">
        <v>15</v>
      </c>
      <c r="C4" s="6">
        <v>466</v>
      </c>
      <c r="D4" s="5" t="s">
        <v>16</v>
      </c>
      <c r="E4" s="5" t="s">
        <v>17</v>
      </c>
      <c r="F4" s="5" t="s">
        <v>18</v>
      </c>
      <c r="G4" s="5" t="s">
        <v>5</v>
      </c>
      <c r="H4" s="5" t="s">
        <v>6</v>
      </c>
      <c r="I4" s="10" t="s">
        <v>93</v>
      </c>
      <c r="J4" s="10" t="s">
        <v>77</v>
      </c>
      <c r="K4" s="10" t="s">
        <v>81</v>
      </c>
      <c r="L4" t="str">
        <f>"insert into zamestnanci (os_cislo,prijmeni,jmeno,rfid,telefon,adresa,firma,smena,aktivni,cilova) values ('" &amp; C4 &amp; "','" &amp; A4 &amp; "','" &amp; B4 &amp; "','" &amp; I4 &amp; "','" &amp; D4 &amp; "','" &amp; E4 &amp; " " &amp; F4 &amp; ", " &amp; G4 &amp; " " &amp; H4 &amp; "','1','R','1','BATZ');"</f>
        <v>insert into zamestnanci (os_cislo,prijmeni,jmeno,rfid,telefon,adresa,firma,smena,aktivni,cilova) values ('466','Gonera','Anna Maria','0301173034','+48 797 514 977','Podmiejska 10/10, Jastrzebie Zdroj 44-335','1','R','1','BATZ');</v>
      </c>
    </row>
    <row r="5" spans="1:12" x14ac:dyDescent="0.25">
      <c r="A5" s="4" t="s">
        <v>21</v>
      </c>
      <c r="B5" s="5" t="s">
        <v>22</v>
      </c>
      <c r="C5" s="6">
        <v>467</v>
      </c>
      <c r="D5" s="5" t="s">
        <v>23</v>
      </c>
      <c r="E5" s="5" t="s">
        <v>24</v>
      </c>
      <c r="F5" s="5" t="s">
        <v>25</v>
      </c>
      <c r="G5" s="5" t="s">
        <v>5</v>
      </c>
      <c r="H5" s="5" t="s">
        <v>6</v>
      </c>
      <c r="I5" s="10" t="s">
        <v>94</v>
      </c>
      <c r="J5" s="10" t="s">
        <v>79</v>
      </c>
      <c r="K5" s="10" t="s">
        <v>81</v>
      </c>
      <c r="L5" t="str">
        <f>"insert into zamestnanci (os_cislo,prijmeni,jmeno,rfid,telefon,adresa,firma,smena,aktivni,cilova) values ('" &amp; C5 &amp; "','" &amp; A5 &amp; "','" &amp; B5 &amp; "','" &amp; I5 &amp; "','" &amp; D5 &amp; "','" &amp; E5 &amp; " " &amp; F5 &amp; ", " &amp; G5 &amp; " " &amp; H5 &amp; "','1','R','1','BATZ');"</f>
        <v>insert into zamestnanci (os_cislo,prijmeni,jmeno,rfid,telefon,adresa,firma,smena,aktivni,cilova) values ('467','Jakubowska','Marta','0301173075','+48 607 542 303','Miodowa 3/15, Jastrzebie Zdroj 44-335','1','R','1','BATZ');</v>
      </c>
    </row>
    <row r="6" spans="1:12" x14ac:dyDescent="0.25">
      <c r="A6" s="4" t="s">
        <v>26</v>
      </c>
      <c r="B6" s="5" t="s">
        <v>27</v>
      </c>
      <c r="C6" s="6">
        <v>468</v>
      </c>
      <c r="D6" s="5" t="s">
        <v>28</v>
      </c>
      <c r="E6" s="5" t="s">
        <v>29</v>
      </c>
      <c r="F6" s="5" t="s">
        <v>30</v>
      </c>
      <c r="G6" s="5" t="s">
        <v>5</v>
      </c>
      <c r="H6" s="5" t="s">
        <v>6</v>
      </c>
      <c r="I6" s="10" t="s">
        <v>95</v>
      </c>
      <c r="J6" s="10" t="s">
        <v>79</v>
      </c>
      <c r="K6" s="10" t="s">
        <v>81</v>
      </c>
      <c r="L6" t="str">
        <f>"insert into zamestnanci (os_cislo,prijmeni,jmeno,rfid,telefon,adresa,firma,smena,aktivni,cilova) values ('" &amp; C6 &amp; "','" &amp; A6 &amp; "','" &amp; B6 &amp; "','" &amp; I6 &amp; "','" &amp; D6 &amp; "','" &amp; E6 &amp; " " &amp; F6 &amp; ", " &amp; G6 &amp; " " &amp; H6 &amp; "','1','R','1','BATZ');"</f>
        <v>insert into zamestnanci (os_cislo,prijmeni,jmeno,rfid,telefon,adresa,firma,smena,aktivni,cilova) values ('468','Janecki','Dawid Kamil','0301162122','+48 576 817 522','Turystyczna 27/36, Jastrzebie Zdroj 44-335','1','R','1','BATZ');</v>
      </c>
    </row>
    <row r="7" spans="1:12" x14ac:dyDescent="0.25">
      <c r="A7" s="4" t="s">
        <v>31</v>
      </c>
      <c r="B7" s="5" t="s">
        <v>32</v>
      </c>
      <c r="C7" s="6">
        <v>469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10" t="s">
        <v>96</v>
      </c>
      <c r="J7" s="10" t="s">
        <v>80</v>
      </c>
      <c r="K7" s="10" t="s">
        <v>75</v>
      </c>
      <c r="L7" t="str">
        <f>"insert into zamestnanci (os_cislo,prijmeni,jmeno,rfid,telefon,adresa,firma,smena,aktivni,cilova) values ('" &amp; C7 &amp; "','" &amp; A7 &amp; "','" &amp; B7 &amp; "','" &amp; I7 &amp; "','" &amp; D7 &amp; "','" &amp; E7 &amp; " " &amp; F7 &amp; ", " &amp; G7 &amp; " " &amp; H7 &amp; "','1','O','1','BATZ');"</f>
        <v>insert into zamestnanci (os_cislo,prijmeni,jmeno,rfid,telefon,adresa,firma,smena,aktivni,cilova) values ('469','Nowak','Malgorzata Elzbieta','0301162092','+48 669 229 276','Norwiela 1/2, Radzionkow 41-914','1','O','1','BATZ');</v>
      </c>
    </row>
    <row r="8" spans="1:12" x14ac:dyDescent="0.25">
      <c r="A8" s="4" t="s">
        <v>38</v>
      </c>
      <c r="B8" s="5" t="s">
        <v>39</v>
      </c>
      <c r="C8" s="6">
        <v>470</v>
      </c>
      <c r="D8" s="5" t="s">
        <v>40</v>
      </c>
      <c r="E8" s="5" t="s">
        <v>41</v>
      </c>
      <c r="F8" s="5" t="s">
        <v>42</v>
      </c>
      <c r="G8" s="5" t="s">
        <v>5</v>
      </c>
      <c r="H8" s="5" t="s">
        <v>6</v>
      </c>
      <c r="I8" s="10" t="s">
        <v>97</v>
      </c>
      <c r="J8" s="10" t="s">
        <v>77</v>
      </c>
      <c r="K8" s="10" t="s">
        <v>75</v>
      </c>
      <c r="L8" t="str">
        <f>"insert into zamestnanci (os_cislo,prijmeni,jmeno,rfid,telefon,adresa,firma,smena,aktivni,cilova) values ('" &amp; C8 &amp; "','" &amp; A8 &amp; "','" &amp; B8 &amp; "','" &amp; I8 &amp; "','" &amp; D8 &amp; "','" &amp; E8 &amp; " " &amp; F8 &amp; ", " &amp; G8 &amp; " " &amp; H8 &amp; "','1','O','1','BATZ');"</f>
        <v>insert into zamestnanci (os_cislo,prijmeni,jmeno,rfid,telefon,adresa,firma,smena,aktivni,cilova) values ('470','Rak','Barbara Irena','0301162090','+48 725 370 816','Kurpiowska 4/35, Jastrzebie Zdroj 44-335','1','O','1','BATZ');</v>
      </c>
    </row>
    <row r="9" spans="1:12" x14ac:dyDescent="0.25">
      <c r="A9" s="4" t="s">
        <v>43</v>
      </c>
      <c r="B9" s="5" t="s">
        <v>44</v>
      </c>
      <c r="C9" s="6">
        <v>471</v>
      </c>
      <c r="D9" s="5" t="s">
        <v>45</v>
      </c>
      <c r="E9" s="5" t="s">
        <v>29</v>
      </c>
      <c r="F9" s="5" t="s">
        <v>30</v>
      </c>
      <c r="G9" s="5" t="s">
        <v>46</v>
      </c>
      <c r="H9" s="5" t="s">
        <v>6</v>
      </c>
      <c r="I9" s="10" t="s">
        <v>98</v>
      </c>
      <c r="J9" s="10" t="s">
        <v>79</v>
      </c>
      <c r="K9" s="10" t="s">
        <v>81</v>
      </c>
      <c r="L9" t="str">
        <f>"insert into zamestnanci (os_cislo,prijmeni,jmeno,rfid,telefon,adresa,firma,smena,aktivni,cilova) values ('" &amp; C9 &amp; "','" &amp; A9 &amp; "','" &amp; B9 &amp; "','" &amp; I9 &amp; "','" &amp; D9 &amp; "','" &amp; E9 &amp; " " &amp; F9 &amp; ", " &amp; G9 &amp; " " &amp; H9 &amp; "','1','R','1','BATZ');"</f>
        <v>insert into zamestnanci (os_cislo,prijmeni,jmeno,rfid,telefon,adresa,firma,smena,aktivni,cilova) values ('471','Rewolinska-Doluk','Edyta Justyna','0370058977','+48 785 346 192','Turystyczna 27/36, Jastrzębie-Zdrój 44-335','1','R','1','BATZ');</v>
      </c>
    </row>
    <row r="10" spans="1:12" x14ac:dyDescent="0.25">
      <c r="A10" s="4" t="s">
        <v>47</v>
      </c>
      <c r="B10" s="5" t="s">
        <v>48</v>
      </c>
      <c r="C10" s="6">
        <v>472</v>
      </c>
      <c r="D10" s="5" t="s">
        <v>49</v>
      </c>
      <c r="E10" s="5" t="s">
        <v>50</v>
      </c>
      <c r="F10" s="5" t="s">
        <v>51</v>
      </c>
      <c r="G10" s="5" t="s">
        <v>5</v>
      </c>
      <c r="H10" s="5" t="s">
        <v>6</v>
      </c>
      <c r="I10" s="10" t="s">
        <v>99</v>
      </c>
      <c r="J10" s="10" t="s">
        <v>80</v>
      </c>
      <c r="K10" s="10" t="s">
        <v>75</v>
      </c>
      <c r="L10" t="str">
        <f>"insert into zamestnanci (os_cislo,prijmeni,jmeno,rfid,telefon,adresa,firma,smena,aktivni,cilova) values ('" &amp; C10 &amp; "','" &amp; A10 &amp; "','" &amp; B10 &amp; "','" &amp; I10 &amp; "','" &amp; D10 &amp; "','" &amp; E10 &amp; " " &amp; F10 &amp; ", " &amp; G10 &amp; " " &amp; H10 &amp; "','1','O','1','BATZ');"</f>
        <v>insert into zamestnanci (os_cislo,prijmeni,jmeno,rfid,telefon,adresa,firma,smena,aktivni,cilova) values ('472','Sojka','Irena Zofia','0065287035','+48 721 840 609','Tadeusza Kosciuszki 5/8, Jastrzebie Zdroj 44-335','1','O','1','BATZ');</v>
      </c>
    </row>
    <row r="11" spans="1:12" x14ac:dyDescent="0.25">
      <c r="A11" s="4" t="s">
        <v>52</v>
      </c>
      <c r="B11" s="5" t="s">
        <v>53</v>
      </c>
      <c r="C11" s="6">
        <v>473</v>
      </c>
      <c r="D11" s="5" t="s">
        <v>54</v>
      </c>
      <c r="E11" s="5" t="s">
        <v>55</v>
      </c>
      <c r="F11" s="5" t="s">
        <v>56</v>
      </c>
      <c r="G11" s="5" t="s">
        <v>19</v>
      </c>
      <c r="H11" s="5" t="s">
        <v>20</v>
      </c>
      <c r="I11" s="10" t="s">
        <v>100</v>
      </c>
      <c r="J11" s="10" t="s">
        <v>76</v>
      </c>
      <c r="K11" s="10" t="s">
        <v>81</v>
      </c>
      <c r="L11" t="str">
        <f>"insert into zamestnanci (os_cislo,prijmeni,jmeno,rfid,telefon,adresa,firma,smena,aktivni,cilova) values ('" &amp; C11 &amp; "','" &amp; A11 &amp; "','" &amp; B11 &amp; "','" &amp; I11 &amp; "','" &amp; D11 &amp; "','" &amp; E11 &amp; " " &amp; F11 &amp; ", " &amp; G11 &amp; " " &amp; H11 &amp; "','1','R','1','BATZ');"</f>
        <v>insert into zamestnanci (os_cislo,prijmeni,jmeno,rfid,telefon,adresa,firma,smena,aktivni,cilova) values ('473','Sojka-Tomala','Agnieszka Alicja','0328608644','+48 508 233 510','Tetmajera 16, Rydultowy 44-280','1','R','1','BATZ');</v>
      </c>
    </row>
    <row r="12" spans="1:12" x14ac:dyDescent="0.25">
      <c r="A12" s="4" t="s">
        <v>68</v>
      </c>
      <c r="B12" s="5" t="s">
        <v>69</v>
      </c>
      <c r="C12" s="6">
        <v>450</v>
      </c>
      <c r="D12" s="5" t="s">
        <v>73</v>
      </c>
      <c r="E12" s="5" t="s">
        <v>86</v>
      </c>
      <c r="F12" s="5" t="s">
        <v>87</v>
      </c>
      <c r="G12" s="5" t="s">
        <v>88</v>
      </c>
      <c r="H12" s="5" t="s">
        <v>89</v>
      </c>
      <c r="I12" s="10" t="s">
        <v>101</v>
      </c>
      <c r="J12" s="10" t="s">
        <v>74</v>
      </c>
      <c r="K12" s="6" t="s">
        <v>75</v>
      </c>
      <c r="L12" t="str">
        <f>"insert into zamestnanci (os_cislo,prijmeni,jmeno,rfid,telefon,adresa,firma,smena,aktivni,cilova) values ('" &amp; C12 &amp; "','" &amp; A12 &amp; "','" &amp; B12 &amp; "','" &amp; I12 &amp; "','" &amp; D12 &amp; "','" &amp; E12 &amp; " " &amp; F12 &amp; ", " &amp; G12 &amp; " " &amp; H12 &amp; "','1','O','1','BATZ');"</f>
        <v>insert into zamestnanci (os_cislo,prijmeni,jmeno,rfid,telefon,adresa,firma,smena,aktivni,cilova) values ('450','Bujok','Dominik','0328432909','+48 795 139 997','Korfandego 5/6, Cieszyn 43-400','1','O','1','BATZ');</v>
      </c>
    </row>
    <row r="13" spans="1:12" x14ac:dyDescent="0.25">
      <c r="A13" s="4" t="s">
        <v>70</v>
      </c>
      <c r="B13" s="5" t="s">
        <v>71</v>
      </c>
      <c r="C13" s="10" t="s">
        <v>90</v>
      </c>
      <c r="D13" s="5" t="s">
        <v>72</v>
      </c>
      <c r="E13" s="5" t="s">
        <v>82</v>
      </c>
      <c r="F13" s="5" t="s">
        <v>83</v>
      </c>
      <c r="G13" s="5" t="s">
        <v>84</v>
      </c>
      <c r="H13" s="5" t="s">
        <v>85</v>
      </c>
      <c r="I13" s="10" t="s">
        <v>102</v>
      </c>
      <c r="J13" s="10" t="s">
        <v>76</v>
      </c>
      <c r="K13" s="6" t="s">
        <v>75</v>
      </c>
      <c r="L13" t="str">
        <f>"insert into zamestnanci (os_cislo,prijmeni,jmeno,rfid,telefon,adresa,firma,smena,aktivni,cilova) values ('" &amp; C13 &amp; "','" &amp; A13 &amp; "','" &amp; B13 &amp; "','" &amp; I13 &amp; "','" &amp; D13 &amp; "','" &amp; E13 &amp; " " &amp; F13 &amp; ", " &amp; G13 &amp; " " &amp; H13 &amp; "','1','O','1','BATZ');"</f>
        <v>insert into zamestnanci (os_cislo,prijmeni,jmeno,rfid,telefon,adresa,firma,smena,aktivni,cilova) values ('453','Majchrowicz','Antonina Ewa','0289896688','+48 664 483 449','Tysiaclecia 20/3, Wodzislaw Slaski 44-300','1','O','1','BATZ');</v>
      </c>
    </row>
    <row r="14" spans="1:12" x14ac:dyDescent="0.25">
      <c r="I14" s="8"/>
      <c r="J14" s="8"/>
      <c r="K14" s="8"/>
      <c r="L14" s="8"/>
    </row>
    <row r="21" spans="2:2" ht="18.75" x14ac:dyDescent="0.3">
      <c r="B21" s="9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personal_</vt:lpstr>
      <vt:lpstr>Databaze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Slavíková</dc:creator>
  <cp:lastModifiedBy>Aleš Kadlec</cp:lastModifiedBy>
  <dcterms:created xsi:type="dcterms:W3CDTF">2023-10-27T11:21:52Z</dcterms:created>
  <dcterms:modified xsi:type="dcterms:W3CDTF">2023-10-31T10:54:36Z</dcterms:modified>
</cp:coreProperties>
</file>