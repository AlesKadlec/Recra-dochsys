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4. zastavky\"/>
    </mc:Choice>
  </mc:AlternateContent>
  <xr:revisionPtr revIDLastSave="0" documentId="13_ncr:1_{DD155246-D907-46DC-B8CD-5BE2D2E09DD4}" xr6:coauthVersionLast="47" xr6:coauthVersionMax="47" xr10:uidLastSave="{00000000-0000-0000-0000-000000000000}"/>
  <bookViews>
    <workbookView xWindow="-51720" yWindow="-120" windowWidth="51840" windowHeight="21240" firstSheet="1" activeTab="3" xr2:uid="{4CD57DCE-9580-43F7-907E-B9E15F67AAB4}"/>
  </bookViews>
  <sheets>
    <sheet name="List1" sheetId="1" r:id="rId1"/>
    <sheet name="zastavky" sheetId="2" r:id="rId2"/>
    <sheet name="auta" sheetId="3" r:id="rId3"/>
    <sheet name="novatabulka" sheetId="4" r:id="rId4"/>
    <sheet name="TRASY" sheetId="6" r:id="rId5"/>
    <sheet name="PIVOT" sheetId="7" r:id="rId6"/>
  </sheets>
  <definedNames>
    <definedName name="_xlnm._FilterDatabase" localSheetId="4" hidden="1">TRASY!$C$2:$O$130</definedName>
    <definedName name="_xlnm._FilterDatabase" localSheetId="1" hidden="1">zastavky!$F$1:$H$114</definedName>
    <definedName name="Průřez_Trasa">#N/A</definedName>
  </definedNames>
  <calcPr calcId="191028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5" i="2"/>
  <c r="I16" i="2"/>
  <c r="I27" i="2"/>
  <c r="I28" i="2"/>
  <c r="I36" i="2"/>
  <c r="I55" i="2"/>
  <c r="I56" i="2"/>
  <c r="I57" i="2"/>
  <c r="D110" i="2"/>
  <c r="H95" i="2"/>
  <c r="I95" i="2" s="1"/>
  <c r="D109" i="2"/>
  <c r="D103" i="2"/>
  <c r="D104" i="2"/>
  <c r="D105" i="2"/>
  <c r="E87" i="6" s="1"/>
  <c r="A87" i="6" s="1"/>
  <c r="D106" i="2"/>
  <c r="D107" i="2"/>
  <c r="D108" i="2"/>
  <c r="E77" i="6" s="1"/>
  <c r="A77" i="6" s="1"/>
  <c r="D101" i="2"/>
  <c r="D102" i="2"/>
  <c r="E88" i="6" s="1"/>
  <c r="A88" i="6" s="1"/>
  <c r="D99" i="2"/>
  <c r="E100" i="6" s="1"/>
  <c r="A100" i="6" s="1"/>
  <c r="D100" i="2"/>
  <c r="D94" i="2"/>
  <c r="D95" i="2"/>
  <c r="D96" i="2"/>
  <c r="D97" i="2"/>
  <c r="E70" i="6" s="1"/>
  <c r="A70" i="6" s="1"/>
  <c r="D98" i="2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10" i="2"/>
  <c r="H112" i="2"/>
  <c r="H113" i="2"/>
  <c r="H114" i="2"/>
  <c r="H115" i="2"/>
  <c r="H116" i="2"/>
  <c r="H117" i="2"/>
  <c r="H118" i="2"/>
  <c r="H119" i="2"/>
  <c r="H120" i="2"/>
  <c r="D2" i="2"/>
  <c r="D3" i="2"/>
  <c r="D4" i="2"/>
  <c r="E125" i="6" s="1"/>
  <c r="A125" i="6" s="1"/>
  <c r="D5" i="2"/>
  <c r="E103" i="6" s="1"/>
  <c r="A103" i="6" s="1"/>
  <c r="D6" i="2"/>
  <c r="E128" i="6" s="1"/>
  <c r="A128" i="6" s="1"/>
  <c r="D7" i="2"/>
  <c r="D8" i="2"/>
  <c r="D9" i="2"/>
  <c r="D10" i="2"/>
  <c r="D11" i="2"/>
  <c r="E59" i="6" s="1"/>
  <c r="A59" i="6" s="1"/>
  <c r="D12" i="2"/>
  <c r="E31" i="6" s="1"/>
  <c r="D13" i="2"/>
  <c r="D14" i="2"/>
  <c r="E101" i="6" s="1"/>
  <c r="A101" i="6" s="1"/>
  <c r="D15" i="2"/>
  <c r="D16" i="2"/>
  <c r="D17" i="2"/>
  <c r="D18" i="2"/>
  <c r="E81" i="6" s="1"/>
  <c r="A81" i="6" s="1"/>
  <c r="D19" i="2"/>
  <c r="E84" i="6" s="1"/>
  <c r="A84" i="6" s="1"/>
  <c r="D20" i="2"/>
  <c r="E94" i="6" s="1"/>
  <c r="A94" i="6" s="1"/>
  <c r="D21" i="2"/>
  <c r="E95" i="6" s="1"/>
  <c r="A95" i="6" s="1"/>
  <c r="D22" i="2"/>
  <c r="D23" i="2"/>
  <c r="D24" i="2"/>
  <c r="E92" i="6" s="1"/>
  <c r="A92" i="6" s="1"/>
  <c r="D25" i="2"/>
  <c r="D26" i="2"/>
  <c r="E83" i="6" s="1"/>
  <c r="A83" i="6" s="1"/>
  <c r="D27" i="2"/>
  <c r="D28" i="2"/>
  <c r="D29" i="2"/>
  <c r="D30" i="2"/>
  <c r="D31" i="2"/>
  <c r="D32" i="2"/>
  <c r="D33" i="2"/>
  <c r="E96" i="6" s="1"/>
  <c r="A96" i="6" s="1"/>
  <c r="D34" i="2"/>
  <c r="D35" i="2"/>
  <c r="E98" i="6" s="1"/>
  <c r="A98" i="6" s="1"/>
  <c r="D36" i="2"/>
  <c r="E97" i="6" s="1"/>
  <c r="A97" i="6" s="1"/>
  <c r="D37" i="2"/>
  <c r="E89" i="6" s="1"/>
  <c r="A89" i="6" s="1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E93" i="6" s="1"/>
  <c r="A93" i="6" s="1"/>
  <c r="D51" i="2"/>
  <c r="D52" i="2"/>
  <c r="D53" i="2"/>
  <c r="D54" i="2"/>
  <c r="D55" i="2"/>
  <c r="D56" i="2"/>
  <c r="D57" i="2"/>
  <c r="D58" i="2"/>
  <c r="E99" i="6" s="1"/>
  <c r="A99" i="6" s="1"/>
  <c r="D59" i="2"/>
  <c r="D60" i="2"/>
  <c r="D61" i="2"/>
  <c r="D62" i="2"/>
  <c r="D63" i="2"/>
  <c r="D64" i="2"/>
  <c r="D78" i="2"/>
  <c r="D79" i="2"/>
  <c r="D80" i="2"/>
  <c r="D65" i="2"/>
  <c r="D67" i="2"/>
  <c r="D66" i="2"/>
  <c r="D68" i="2"/>
  <c r="D69" i="2"/>
  <c r="D70" i="2"/>
  <c r="D71" i="2"/>
  <c r="D72" i="2"/>
  <c r="D73" i="2"/>
  <c r="D74" i="2"/>
  <c r="D75" i="2"/>
  <c r="D76" i="2"/>
  <c r="D77" i="2"/>
  <c r="D81" i="2"/>
  <c r="D82" i="2"/>
  <c r="D83" i="2"/>
  <c r="D84" i="2"/>
  <c r="E123" i="6" s="1"/>
  <c r="A123" i="6" s="1"/>
  <c r="D85" i="2"/>
  <c r="D86" i="2"/>
  <c r="D87" i="2"/>
  <c r="D88" i="2"/>
  <c r="D89" i="2"/>
  <c r="D90" i="2"/>
  <c r="D91" i="2"/>
  <c r="D92" i="2"/>
  <c r="D93" i="2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6" i="2"/>
  <c r="I96" i="2" s="1"/>
  <c r="H97" i="2"/>
  <c r="I97" i="2" s="1"/>
  <c r="H98" i="2"/>
  <c r="I98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H16" i="2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H28" i="2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H56" i="2"/>
  <c r="H57" i="2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109" i="2"/>
  <c r="I109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2" i="2"/>
  <c r="I2" i="2" s="1"/>
  <c r="E121" i="6" l="1"/>
  <c r="A121" i="6" s="1"/>
  <c r="E130" i="6"/>
  <c r="A130" i="6" s="1"/>
  <c r="E119" i="6"/>
  <c r="A119" i="6" s="1"/>
  <c r="E106" i="6"/>
  <c r="A106" i="6" s="1"/>
  <c r="E113" i="6"/>
  <c r="A113" i="6" s="1"/>
  <c r="E111" i="6"/>
  <c r="A111" i="6" s="1"/>
  <c r="E114" i="6"/>
  <c r="A114" i="6" s="1"/>
  <c r="E108" i="6"/>
  <c r="A108" i="6" s="1"/>
  <c r="E112" i="6"/>
  <c r="A112" i="6" s="1"/>
  <c r="E117" i="6"/>
  <c r="A117" i="6" s="1"/>
  <c r="E120" i="6"/>
  <c r="A120" i="6" s="1"/>
  <c r="E129" i="6"/>
  <c r="A129" i="6" s="1"/>
  <c r="E127" i="6"/>
  <c r="A127" i="6" s="1"/>
  <c r="E126" i="6"/>
  <c r="A126" i="6" s="1"/>
  <c r="E124" i="6"/>
  <c r="A124" i="6" s="1"/>
  <c r="E122" i="6"/>
  <c r="A122" i="6" s="1"/>
  <c r="E110" i="6"/>
  <c r="A110" i="6" s="1"/>
  <c r="E78" i="6"/>
  <c r="A78" i="6" s="1"/>
  <c r="E90" i="6"/>
  <c r="A90" i="6" s="1"/>
  <c r="E107" i="6"/>
  <c r="A107" i="6" s="1"/>
  <c r="E105" i="6"/>
  <c r="A105" i="6" s="1"/>
  <c r="E115" i="6"/>
  <c r="A115" i="6" s="1"/>
  <c r="E91" i="6"/>
  <c r="A91" i="6" s="1"/>
  <c r="E86" i="6"/>
  <c r="A86" i="6" s="1"/>
  <c r="E25" i="6"/>
  <c r="E109" i="6"/>
  <c r="A109" i="6" s="1"/>
  <c r="E116" i="6"/>
  <c r="A116" i="6" s="1"/>
  <c r="E118" i="6"/>
  <c r="A118" i="6" s="1"/>
  <c r="E85" i="6"/>
  <c r="A85" i="6" s="1"/>
  <c r="E104" i="6"/>
  <c r="A104" i="6" s="1"/>
  <c r="E79" i="6"/>
  <c r="A79" i="6" s="1"/>
  <c r="E82" i="6"/>
  <c r="A82" i="6" s="1"/>
  <c r="E102" i="6"/>
  <c r="A102" i="6" s="1"/>
  <c r="E74" i="6"/>
  <c r="A74" i="6" s="1"/>
  <c r="E80" i="6"/>
  <c r="A80" i="6" s="1"/>
  <c r="E50" i="6"/>
  <c r="A50" i="6" s="1"/>
  <c r="E75" i="6"/>
  <c r="A75" i="6" s="1"/>
  <c r="E13" i="6"/>
  <c r="E48" i="6"/>
  <c r="A48" i="6" s="1"/>
  <c r="E11" i="6"/>
  <c r="E56" i="6"/>
  <c r="A56" i="6" s="1"/>
  <c r="E33" i="6"/>
  <c r="E26" i="6"/>
  <c r="E34" i="6"/>
  <c r="E49" i="6"/>
  <c r="A49" i="6" s="1"/>
  <c r="E30" i="6"/>
  <c r="E57" i="6"/>
  <c r="A57" i="6" s="1"/>
  <c r="E27" i="6"/>
  <c r="E22" i="6"/>
  <c r="E29" i="6"/>
  <c r="E55" i="6"/>
  <c r="A55" i="6" s="1"/>
  <c r="E12" i="6"/>
  <c r="A12" i="6" s="1"/>
  <c r="E67" i="6"/>
  <c r="A67" i="6" s="1"/>
  <c r="E73" i="6"/>
  <c r="A73" i="6" s="1"/>
  <c r="E10" i="6"/>
  <c r="E28" i="6"/>
  <c r="E21" i="6"/>
  <c r="E16" i="6"/>
  <c r="E68" i="6"/>
  <c r="A68" i="6" s="1"/>
  <c r="E9" i="6"/>
  <c r="E35" i="6"/>
  <c r="E19" i="6"/>
  <c r="E17" i="6"/>
  <c r="E66" i="6"/>
  <c r="A66" i="6" s="1"/>
  <c r="E8" i="6"/>
  <c r="E46" i="6"/>
  <c r="E65" i="6"/>
  <c r="A65" i="6" s="1"/>
  <c r="E7" i="6"/>
  <c r="E36" i="6"/>
  <c r="E71" i="6"/>
  <c r="A71" i="6" s="1"/>
  <c r="E20" i="6"/>
  <c r="E15" i="6"/>
  <c r="E64" i="6"/>
  <c r="A64" i="6" s="1"/>
  <c r="E6" i="6"/>
  <c r="E24" i="6"/>
  <c r="E63" i="6"/>
  <c r="A63" i="6" s="1"/>
  <c r="E45" i="6"/>
  <c r="E37" i="6"/>
  <c r="E4" i="6"/>
  <c r="E38" i="6"/>
  <c r="E62" i="6"/>
  <c r="A62" i="6" s="1"/>
  <c r="E44" i="6"/>
  <c r="E76" i="6"/>
  <c r="A76" i="6" s="1"/>
  <c r="E5" i="6"/>
  <c r="E18" i="6"/>
  <c r="E61" i="6"/>
  <c r="A61" i="6" s="1"/>
  <c r="E43" i="6"/>
  <c r="A31" i="6"/>
  <c r="E14" i="6"/>
  <c r="E60" i="6"/>
  <c r="A60" i="6" s="1"/>
  <c r="E42" i="6"/>
  <c r="E58" i="6"/>
  <c r="A58" i="6" s="1"/>
  <c r="E52" i="6"/>
  <c r="A52" i="6" s="1"/>
  <c r="E32" i="6"/>
  <c r="E54" i="6"/>
  <c r="A54" i="6" s="1"/>
  <c r="E41" i="6"/>
  <c r="E40" i="6"/>
  <c r="E47" i="6"/>
  <c r="A47" i="6" s="1"/>
  <c r="E3" i="6"/>
  <c r="E53" i="6"/>
  <c r="A53" i="6" s="1"/>
  <c r="E39" i="6"/>
  <c r="E72" i="6"/>
  <c r="A72" i="6" s="1"/>
  <c r="E23" i="6"/>
  <c r="E51" i="6"/>
  <c r="A51" i="6" s="1"/>
  <c r="E69" i="6"/>
  <c r="A69" i="6" s="1"/>
  <c r="A34" i="6" l="1"/>
  <c r="A25" i="6"/>
  <c r="A28" i="6"/>
  <c r="A13" i="6"/>
  <c r="A19" i="6"/>
  <c r="A7" i="6"/>
  <c r="A22" i="6"/>
  <c r="A27" i="6"/>
  <c r="A30" i="6"/>
  <c r="A5" i="6"/>
  <c r="A20" i="6"/>
  <c r="A46" i="6"/>
  <c r="A26" i="6"/>
  <c r="A21" i="6"/>
  <c r="A24" i="6"/>
  <c r="A35" i="6"/>
  <c r="A4" i="6"/>
  <c r="A33" i="6"/>
  <c r="A17" i="6"/>
  <c r="A15" i="6"/>
  <c r="A10" i="6"/>
  <c r="A38" i="6"/>
  <c r="A9" i="6"/>
  <c r="A36" i="6"/>
  <c r="A39" i="6"/>
  <c r="A11" i="6"/>
  <c r="A40" i="6"/>
  <c r="A32" i="6"/>
  <c r="A23" i="6"/>
  <c r="A18" i="6"/>
  <c r="A37" i="6"/>
  <c r="A41" i="6"/>
  <c r="A29" i="6"/>
  <c r="A43" i="6"/>
  <c r="A14" i="6"/>
  <c r="A16" i="6"/>
  <c r="A44" i="6"/>
  <c r="A45" i="6"/>
  <c r="A42" i="6"/>
  <c r="A3" i="6"/>
  <c r="A8" i="6"/>
  <c r="A6" i="6"/>
  <c r="I3" i="4" l="1"/>
</calcChain>
</file>

<file path=xl/sharedStrings.xml><?xml version="1.0" encoding="utf-8"?>
<sst xmlns="http://schemas.openxmlformats.org/spreadsheetml/2006/main" count="1465" uniqueCount="527">
  <si>
    <t>zastavky</t>
  </si>
  <si>
    <t>auta</t>
  </si>
  <si>
    <t>list auta</t>
  </si>
  <si>
    <t>nova tabulka spojeni</t>
  </si>
  <si>
    <t>ID</t>
  </si>
  <si>
    <t>Trasa</t>
  </si>
  <si>
    <t>beze zmeny</t>
  </si>
  <si>
    <t>zastavka ID</t>
  </si>
  <si>
    <t>ID z auta</t>
  </si>
  <si>
    <t>R</t>
  </si>
  <si>
    <t>O</t>
  </si>
  <si>
    <t>N</t>
  </si>
  <si>
    <t>Kostel</t>
  </si>
  <si>
    <t>tatra 1</t>
  </si>
  <si>
    <t>Benzinka</t>
  </si>
  <si>
    <t>tatra 2</t>
  </si>
  <si>
    <t>Zastávka</t>
  </si>
  <si>
    <t>Sloupec1</t>
  </si>
  <si>
    <t>Miasto (Město)</t>
  </si>
  <si>
    <t>Przystanek / Lokalizacja (Zastávka)</t>
  </si>
  <si>
    <t>01</t>
  </si>
  <si>
    <t>Cieszyn, Brama Myta (dawne przejście graniczne)</t>
  </si>
  <si>
    <t>Cieszyn</t>
  </si>
  <si>
    <t>Brama Myta (dawne przejście graniczne)</t>
  </si>
  <si>
    <t>02</t>
  </si>
  <si>
    <t>Cieszyn, McDonald's</t>
  </si>
  <si>
    <t>03</t>
  </si>
  <si>
    <t>Cieszyn, ul. Katowicka (Cmentarz / Orlen / Biedronka)</t>
  </si>
  <si>
    <t>ul. Katowicka (Cmentarz / Orlen / Biedronka)</t>
  </si>
  <si>
    <t>04</t>
  </si>
  <si>
    <t>Cieszyn, ul. Liburnia (Kaufland)</t>
  </si>
  <si>
    <t>ul. Liburnia (Kaufland)</t>
  </si>
  <si>
    <t>05</t>
  </si>
  <si>
    <t>Cieszyn, ul. Liburnia (Kościół)</t>
  </si>
  <si>
    <t>ul. Liburnia (Kościół)</t>
  </si>
  <si>
    <t>06</t>
  </si>
  <si>
    <t>Cieszyn, ul. Liburnia (Starostwo Powiatowe)</t>
  </si>
  <si>
    <t>ul. Liburnia (Starostwo Powiatowe)</t>
  </si>
  <si>
    <t>07</t>
  </si>
  <si>
    <t>Cieszyn, ul. Liburnia (Warsztat)</t>
  </si>
  <si>
    <t>ul. Liburnia (Warsztat)</t>
  </si>
  <si>
    <t>08</t>
  </si>
  <si>
    <t>Cieszyn, ul. Stawowa (Pastwiska)</t>
  </si>
  <si>
    <t>ul. Stawowa (Pastwiska)</t>
  </si>
  <si>
    <t>09</t>
  </si>
  <si>
    <t>Frýdek-Místek (CZ), Stacja Benzina / KMJ</t>
  </si>
  <si>
    <t>Frýdek-Místek (CZ)</t>
  </si>
  <si>
    <t>Stacja Benzina / KMJ</t>
  </si>
  <si>
    <t>10</t>
  </si>
  <si>
    <t>Gołkowice, ul. 1 Maja (Centrum)</t>
  </si>
  <si>
    <t>Gołkowice</t>
  </si>
  <si>
    <t>ul. 1 Maja (Centrum)</t>
  </si>
  <si>
    <t>11</t>
  </si>
  <si>
    <t>Gorzyce, Urząd Gminy</t>
  </si>
  <si>
    <t>Gorzyce</t>
  </si>
  <si>
    <t>Urząd Gminy</t>
  </si>
  <si>
    <t>12</t>
  </si>
  <si>
    <t>Gorzyczki, UNIWAR</t>
  </si>
  <si>
    <t>Gorzyczki</t>
  </si>
  <si>
    <t>UNIWAR</t>
  </si>
  <si>
    <t>13</t>
  </si>
  <si>
    <t>Hażlach, Centrum (Skrzyżowanie obok stacji Crab)</t>
  </si>
  <si>
    <t>Hażlach</t>
  </si>
  <si>
    <t>Centrum (Skrzyżowanie obok stacji Crab)</t>
  </si>
  <si>
    <t>14</t>
  </si>
  <si>
    <t>Hażlach, Restauracja Parkowa</t>
  </si>
  <si>
    <t>Restauracja Parkowa</t>
  </si>
  <si>
    <t>15</t>
  </si>
  <si>
    <t>Hażlach, Sklep Gastronomia</t>
  </si>
  <si>
    <t>Sklep Gastronomia</t>
  </si>
  <si>
    <t>16</t>
  </si>
  <si>
    <t>Jastrzębie-Zdrój, Al. Jana Pawła II (Hala Sportowa)</t>
  </si>
  <si>
    <t>Jastrzębie-Zdrój</t>
  </si>
  <si>
    <t>Al. Jana Pawła II (Hala Sportowa)</t>
  </si>
  <si>
    <t>17</t>
  </si>
  <si>
    <t>Jastrzębie-Zdrój, Al. Piłsudskiego (Dubielec)</t>
  </si>
  <si>
    <t>Al. Piłsudskiego (Dubielec)</t>
  </si>
  <si>
    <t>18</t>
  </si>
  <si>
    <t>Jastrzębie-Zdrój, Al. Piłsudskiego (McDonald's)</t>
  </si>
  <si>
    <t>19</t>
  </si>
  <si>
    <t>Jastrzębie-Zdrój, Al. Piłsudskiego (Osiedle Gwarków)</t>
  </si>
  <si>
    <t>Al. Piłsudskiego (Osiedle Gwarków)</t>
  </si>
  <si>
    <t>20</t>
  </si>
  <si>
    <t>Jastrzębie-Zdrój, Al. Piłsudskiego (Osiedle Pionierów)</t>
  </si>
  <si>
    <t>Al. Piłsudskiego (Osiedle Pionierów)</t>
  </si>
  <si>
    <t>21</t>
  </si>
  <si>
    <t>Jastrzębie-Zdrój, Al. Piłsudskiego (Osiedle Staszica)</t>
  </si>
  <si>
    <t>Al. Piłsudskiego (Osiedle Staszica)</t>
  </si>
  <si>
    <t>22</t>
  </si>
  <si>
    <t>Jastrzębie-Zdrój, Al. Piłsudskiego (Pszczyńska/Rybnicka)</t>
  </si>
  <si>
    <t>Al. Piłsudskiego (Pszczyńska/Rybnicka)</t>
  </si>
  <si>
    <t>23</t>
  </si>
  <si>
    <t>Jastrzębie-Zdrój, Al. Piłsudskiego (Rondo Dolne)</t>
  </si>
  <si>
    <t>Al. Piłsudskiego (Rondo Dolne)</t>
  </si>
  <si>
    <t>24</t>
  </si>
  <si>
    <t>Jastrzębie-Zdrój, Al. Piłsudskiego (Supersam/Kaufland)</t>
  </si>
  <si>
    <t>Al. Piłsudskiego (Supersam/Kaufland)</t>
  </si>
  <si>
    <t>25</t>
  </si>
  <si>
    <t>Jastrzębie-Zdrój, Al. Piłsudskiego (Urząd Miasta)</t>
  </si>
  <si>
    <t>Al. Piłsudskiego (Urząd Miasta)</t>
  </si>
  <si>
    <t>26</t>
  </si>
  <si>
    <t>Jastrzębie-Zdrój, Armii Krajowej</t>
  </si>
  <si>
    <t>Armii Krajowej</t>
  </si>
  <si>
    <t>27</t>
  </si>
  <si>
    <t>Jastrzębie-Zdrój, Dworzec Autobusowy (ul. Sybiraków - Mała Strona)</t>
  </si>
  <si>
    <t>Dworzec Autobusowy (ul. Sybiraków - Mała Strona)</t>
  </si>
  <si>
    <t>28</t>
  </si>
  <si>
    <t>Jastrzębie-Zdrój, Dworzec Zdrój (ul. Broniewskiego)</t>
  </si>
  <si>
    <t>Dworzec Zdrój (ul. Broniewskiego)</t>
  </si>
  <si>
    <t>29</t>
  </si>
  <si>
    <t>Jastrzębie-Zdrój, Górne</t>
  </si>
  <si>
    <t>Górne</t>
  </si>
  <si>
    <t>30</t>
  </si>
  <si>
    <t>Jastrzębie-Zdrój, Małopolska</t>
  </si>
  <si>
    <t>Małopolska</t>
  </si>
  <si>
    <t>31</t>
  </si>
  <si>
    <t>Jastrzębie-Zdrój, Moszczenica (Urząd Miasta/Zdrój)</t>
  </si>
  <si>
    <t>Moszczenica (Urząd Miasta/Zdrój)</t>
  </si>
  <si>
    <t>32</t>
  </si>
  <si>
    <t>Jastrzębie-Zdrój, Podhalańska (Wodociągi)</t>
  </si>
  <si>
    <t>Podhalańska (Wodociągi)</t>
  </si>
  <si>
    <t>33</t>
  </si>
  <si>
    <t>Jastrzębie-Zdrój, Ranoszka</t>
  </si>
  <si>
    <t>Ranoszka</t>
  </si>
  <si>
    <t>34</t>
  </si>
  <si>
    <t>Jastrzębie-Zdrój, Ruptawa (Cisówka)</t>
  </si>
  <si>
    <t>Ruptawa (Cisówka)</t>
  </si>
  <si>
    <t>35</t>
  </si>
  <si>
    <t>Jastrzębie-Zdrój, Ruptawa (Ośrodek Zdrowia)</t>
  </si>
  <si>
    <t>Ruptawa (Ośrodek Zdrowia)</t>
  </si>
  <si>
    <t>36</t>
  </si>
  <si>
    <t>Jastrzębie-Zdrój, Szeroka (Kaplica)</t>
  </si>
  <si>
    <t>Szeroka (Kaplica)</t>
  </si>
  <si>
    <t>37</t>
  </si>
  <si>
    <t>Jastrzębie-Zdrój, Szeroka (Kościół)</t>
  </si>
  <si>
    <t>Szeroka (Kościół)</t>
  </si>
  <si>
    <t>38</t>
  </si>
  <si>
    <t>Jastrzębie-Zdrój, Szeroka (ul. Gagarina)</t>
  </si>
  <si>
    <t>Szeroka (ul. Gagarina)</t>
  </si>
  <si>
    <t>39</t>
  </si>
  <si>
    <t>Jastrzębie-Zdrój, Szeroka (ul. Powstańców Śląskich/Biedronka)</t>
  </si>
  <si>
    <t>Szeroka (ul. Powstańców Śląskich/Biedronka)</t>
  </si>
  <si>
    <t>40</t>
  </si>
  <si>
    <t>Jastrzębie-Zdrój, Szeroka (ul. Rybnicka)</t>
  </si>
  <si>
    <t>Szeroka (ul. Rybnicka)</t>
  </si>
  <si>
    <t>41</t>
  </si>
  <si>
    <t>Jastrzębie-Zdrój, ul. 11 Listopada (Urząd Skarbowy)</t>
  </si>
  <si>
    <t>ul. 11 Listopada (Urząd Skarbowy)</t>
  </si>
  <si>
    <t>42</t>
  </si>
  <si>
    <t>Jastrzębie-Zdrój, ul. Arki Bożka</t>
  </si>
  <si>
    <t>ul. Arki Bożka</t>
  </si>
  <si>
    <t>43</t>
  </si>
  <si>
    <t>Jastrzębie-Zdrój, ul. Cieszyńska (Bzie)</t>
  </si>
  <si>
    <t>ul. Cieszyńska (Bzie)</t>
  </si>
  <si>
    <t>44</t>
  </si>
  <si>
    <t>Jastrzębie-Zdrój, ul. Graniczna (Stacja Paliw)</t>
  </si>
  <si>
    <t>ul. Graniczna (Stacja Paliw)</t>
  </si>
  <si>
    <t>45</t>
  </si>
  <si>
    <t>Jastrzębie-Zdrój, ul. Jagiełły (OD Krokus)</t>
  </si>
  <si>
    <t>ul. Jagiełły (OD Krokus)</t>
  </si>
  <si>
    <t>46</t>
  </si>
  <si>
    <t>Jastrzębie-Zdrój, ul. Katowicka</t>
  </si>
  <si>
    <t>ul. Katowicka</t>
  </si>
  <si>
    <t>47</t>
  </si>
  <si>
    <t>Jastrzębie-Zdrój, ul. Turystyczna</t>
  </si>
  <si>
    <t>ul. Turystyczna</t>
  </si>
  <si>
    <t>48</t>
  </si>
  <si>
    <t>Jastrzębie-Zdrój, ul. Wodzisławska (Hotel Czarny Rycerz)</t>
  </si>
  <si>
    <t>ul. Wodzisławska (Hotel Czarny Rycerz)</t>
  </si>
  <si>
    <t>49</t>
  </si>
  <si>
    <t>Jastrzębie-Zdrój, ul. Zdrojowa</t>
  </si>
  <si>
    <t>ul. Zdrojowa</t>
  </si>
  <si>
    <t>50</t>
  </si>
  <si>
    <t>Jastrzębie-Zdrój, Zofiówka (Kopalnia)</t>
  </si>
  <si>
    <t>Zofiówka (Kopalnia)</t>
  </si>
  <si>
    <t>51</t>
  </si>
  <si>
    <t>Karwina (CZ), Frysztat (Dworzec Autobusowy)</t>
  </si>
  <si>
    <t>Karwina (CZ)</t>
  </si>
  <si>
    <t>Frysztat (Dworzec Autobusowy)</t>
  </si>
  <si>
    <t>52</t>
  </si>
  <si>
    <t>Kończyce Małe, Sklep</t>
  </si>
  <si>
    <t>Kończyce Małe</t>
  </si>
  <si>
    <t>Sklep</t>
  </si>
  <si>
    <t>53</t>
  </si>
  <si>
    <t>Kończyce Małe, Skrzyżowanie</t>
  </si>
  <si>
    <t>Skrzyżowanie</t>
  </si>
  <si>
    <t>54</t>
  </si>
  <si>
    <t>Kończyce Małe, Szkoła</t>
  </si>
  <si>
    <t>Szkoła</t>
  </si>
  <si>
    <t>55</t>
  </si>
  <si>
    <t>Kończyce Wielkie, Odnóżka</t>
  </si>
  <si>
    <t>Kończyce Wielkie</t>
  </si>
  <si>
    <t>Odnóżka</t>
  </si>
  <si>
    <t>56</t>
  </si>
  <si>
    <t>Kończyce Wielkie, Ośrodek Zdrowia</t>
  </si>
  <si>
    <t>Ośrodek Zdrowia</t>
  </si>
  <si>
    <t>57</t>
  </si>
  <si>
    <t>Kończyce Wielkie, Spółdzielnia</t>
  </si>
  <si>
    <t>Spółdzielnia</t>
  </si>
  <si>
    <t>58</t>
  </si>
  <si>
    <t>Łaziska, UNIWAR</t>
  </si>
  <si>
    <t>Łaziska</t>
  </si>
  <si>
    <t>59</t>
  </si>
  <si>
    <t>Mszana, Centrum / Urząd Gminy</t>
  </si>
  <si>
    <t>Mszana</t>
  </si>
  <si>
    <t>Centrum / Urząd Gminy</t>
  </si>
  <si>
    <t>60</t>
  </si>
  <si>
    <t>Ostrava (CZ), Dřevoprodej</t>
  </si>
  <si>
    <t>Ostrava (CZ)</t>
  </si>
  <si>
    <t>Dřevoprodej</t>
  </si>
  <si>
    <t>61</t>
  </si>
  <si>
    <t>Piotrowice / Petrovice (CZ), Przejście graniczne</t>
  </si>
  <si>
    <t>Piotrowice / Petrovice (CZ)</t>
  </si>
  <si>
    <t>Przejście graniczne</t>
  </si>
  <si>
    <t>62</t>
  </si>
  <si>
    <t>Radlin, Korfantego (Centrum)</t>
  </si>
  <si>
    <t>Radlin</t>
  </si>
  <si>
    <t>Korfantego (Centrum)</t>
  </si>
  <si>
    <t>63</t>
  </si>
  <si>
    <t>Radlin, Maja (Dworzec Autobusowy/KWK)</t>
  </si>
  <si>
    <t>Maja (Dworzec Autobusowy/KWK)</t>
  </si>
  <si>
    <t>64</t>
  </si>
  <si>
    <t>Rydułtowy, Dworzec Autobusowy</t>
  </si>
  <si>
    <t>Rydułtowy</t>
  </si>
  <si>
    <t>Dworzec Autobusowy</t>
  </si>
  <si>
    <t>65</t>
  </si>
  <si>
    <t>Rydułtowy, Orłowiec</t>
  </si>
  <si>
    <t>Orłowiec</t>
  </si>
  <si>
    <t>66</t>
  </si>
  <si>
    <t>Rydułtowy, ul. Ładna (McDonald's)</t>
  </si>
  <si>
    <t>67</t>
  </si>
  <si>
    <t>Rybnik, Boguszowice (Stary Kościół)</t>
  </si>
  <si>
    <t>Rybnik</t>
  </si>
  <si>
    <t>Boguszowice (Stary Kościół)</t>
  </si>
  <si>
    <t>68</t>
  </si>
  <si>
    <t>Rybnik, Chwałowice (Kopalnia)</t>
  </si>
  <si>
    <t>Chwałowice (Kopalnia)</t>
  </si>
  <si>
    <t>69</t>
  </si>
  <si>
    <t>Rybnik, Dworzec Autobusowy (KM/PKS)</t>
  </si>
  <si>
    <t>Dworzec Autobusowy (KM/PKS)</t>
  </si>
  <si>
    <t>70</t>
  </si>
  <si>
    <t>Rybnik, Niedobczyce (Stadion/Karolinka)</t>
  </si>
  <si>
    <t>Niedobczyce (Stadion/Karolinka)</t>
  </si>
  <si>
    <t>71</t>
  </si>
  <si>
    <t>Rybnik, Paruszowiec (Piaski)</t>
  </si>
  <si>
    <t>Paruszowiec (Piaski)</t>
  </si>
  <si>
    <t>72</t>
  </si>
  <si>
    <t>Rybnik, Popielów (Kościół / ul. Konarskiego)</t>
  </si>
  <si>
    <t>Popielów (Kościół / ul. Konarskiego)</t>
  </si>
  <si>
    <t>73</t>
  </si>
  <si>
    <t>Rybnik, Smolna (Franciszek)</t>
  </si>
  <si>
    <t>Smolna (Franciszek)</t>
  </si>
  <si>
    <t>74</t>
  </si>
  <si>
    <t>Rybnik, Smolna (obok Biedronki)</t>
  </si>
  <si>
    <t>Smolna (obok Biedronki)</t>
  </si>
  <si>
    <t>75</t>
  </si>
  <si>
    <t>Rybnik, Śródmieście (Dworek)</t>
  </si>
  <si>
    <t>Śródmieście (Dworek)</t>
  </si>
  <si>
    <t>76</t>
  </si>
  <si>
    <t>Rybnik, Śródmieście (ul. 3 Maja / Plac Wolności)</t>
  </si>
  <si>
    <t>Śródmieście (ul. 3 Maja / Plac Wolności)</t>
  </si>
  <si>
    <t>77</t>
  </si>
  <si>
    <t>Rybnik, ul. Budowlanych (Stacja Paliw BP)</t>
  </si>
  <si>
    <t>ul. Budowlanych (Stacja Paliw BP)</t>
  </si>
  <si>
    <t>78</t>
  </si>
  <si>
    <t>Rybnik, ul. Władysława Reymonta (Stacja Paliw AMIC Energy)</t>
  </si>
  <si>
    <t>ul. Władysława Reymonta (Stacja Paliw AMIC Energy)</t>
  </si>
  <si>
    <t>79</t>
  </si>
  <si>
    <t>Rybnik, ul. Zebrzydowicka (Parking Biedronka)</t>
  </si>
  <si>
    <t>ul. Zebrzydowicka (Parking Biedronka)</t>
  </si>
  <si>
    <t>80</t>
  </si>
  <si>
    <t>Skrzyszów, ul. 1 Maja (Centrum)</t>
  </si>
  <si>
    <t>Skrzyszów</t>
  </si>
  <si>
    <t>81</t>
  </si>
  <si>
    <t>Wodzisław Śląski, Dworzec Autobusowy (Galeria Karuzela)</t>
  </si>
  <si>
    <t>Wodzisław Śląski</t>
  </si>
  <si>
    <t>Dworzec Autobusowy (Galeria Karuzela)</t>
  </si>
  <si>
    <t>82</t>
  </si>
  <si>
    <t>Wodzisław Śląski, Kopernika</t>
  </si>
  <si>
    <t>Kopernika</t>
  </si>
  <si>
    <t>83</t>
  </si>
  <si>
    <t>Wodzisław Śląski, PKS / PKP</t>
  </si>
  <si>
    <t>PKS / PKP</t>
  </si>
  <si>
    <t>84</t>
  </si>
  <si>
    <t>Wodzisław Śląski, Radlin II (Dworzec PKP)</t>
  </si>
  <si>
    <t>Radlin II (Dworzec PKP)</t>
  </si>
  <si>
    <t>85</t>
  </si>
  <si>
    <t>Wodzisław Śląski, Radlin II (ul. Chrobrego / Żabka)</t>
  </si>
  <si>
    <t>Radlin II (ul. Chrobrego / Żabka)</t>
  </si>
  <si>
    <t>86</t>
  </si>
  <si>
    <t>Wodzisław Śląski, Radlin II (ul. Rybnicka)</t>
  </si>
  <si>
    <t>Radlin II (ul. Rybnicka)</t>
  </si>
  <si>
    <t>87</t>
  </si>
  <si>
    <t>Wodzisław Śląski, Stacja Paliw Circle K / McDonald's</t>
  </si>
  <si>
    <t>88</t>
  </si>
  <si>
    <t>Wodzisław Śląski, Trzy Wzgórza</t>
  </si>
  <si>
    <t>Trzy Wzgórza</t>
  </si>
  <si>
    <t>89</t>
  </si>
  <si>
    <t>Wodzisław Śląski, ul. Bogumińska (Cmentarz/Działki)</t>
  </si>
  <si>
    <t>ul. Bogumińska (Cmentarz/Działki)</t>
  </si>
  <si>
    <t>90</t>
  </si>
  <si>
    <t>Wodzisław Śląski, ul. Kubsza (Market Mrówka)</t>
  </si>
  <si>
    <t>ul. Kubsza (Market Mrówka)</t>
  </si>
  <si>
    <t>91</t>
  </si>
  <si>
    <t>Wodzisław Śląski, ul. Radlińska (Piekarnia Kłos)</t>
  </si>
  <si>
    <t>ul. Radlińska (Piekarnia Kłos)</t>
  </si>
  <si>
    <t>92</t>
  </si>
  <si>
    <t>Wodzisław Śląski, Wilchwy (Blazy)</t>
  </si>
  <si>
    <t>Wilchwy (Blazy)</t>
  </si>
  <si>
    <t>93</t>
  </si>
  <si>
    <t>Wodzisław Śląski, Wilchwy (Osiedle)</t>
  </si>
  <si>
    <t>Wilchwy (Osiedle)</t>
  </si>
  <si>
    <t>94</t>
  </si>
  <si>
    <t>Wodzisław Śląski, Wilchwy (Szkoła)</t>
  </si>
  <si>
    <t>Wilchwy (Szkoła)</t>
  </si>
  <si>
    <t>95</t>
  </si>
  <si>
    <t>Zebrzydowice, Kino</t>
  </si>
  <si>
    <t>Zebrzydowice</t>
  </si>
  <si>
    <t>Kino</t>
  </si>
  <si>
    <t>96</t>
  </si>
  <si>
    <t>Zebrzydowice, Ośrodek Zdrowia</t>
  </si>
  <si>
    <t>97</t>
  </si>
  <si>
    <t>Zebrzydowice, Pętla/Bar (poblíž hranic)</t>
  </si>
  <si>
    <t>Pętla/Bar (poblíž hranic)</t>
  </si>
  <si>
    <t>98</t>
  </si>
  <si>
    <t>Zebrzydowice, Rondo</t>
  </si>
  <si>
    <t>Rondo</t>
  </si>
  <si>
    <t>99</t>
  </si>
  <si>
    <t>Żory, Al. Niepodległości (Zegar)</t>
  </si>
  <si>
    <t>Żory</t>
  </si>
  <si>
    <t>Al. Niepodległości (Zegar)</t>
  </si>
  <si>
    <t>100</t>
  </si>
  <si>
    <t>Żory, Al. Zjednoczonej Europy (McDonald's)</t>
  </si>
  <si>
    <t>101</t>
  </si>
  <si>
    <t>Żory, Bajerówka (ul. Jana Pawła II)</t>
  </si>
  <si>
    <t>Bajerówka (ul. Jana Pawła II)</t>
  </si>
  <si>
    <t>102</t>
  </si>
  <si>
    <t>Żory, Centrum Przesiadkowe (Dworzec PKS)</t>
  </si>
  <si>
    <t>Centrum Przesiadkowe (Dworzec PKS)</t>
  </si>
  <si>
    <t>103</t>
  </si>
  <si>
    <t>Żory, Sąd Rejonowy (Al. Jana Pawła II)</t>
  </si>
  <si>
    <t>Sąd Rejonowy (Al. Jana Pawła II)</t>
  </si>
  <si>
    <t>104</t>
  </si>
  <si>
    <t>Żory, ul. Dąbrowskiego (Sąd)</t>
  </si>
  <si>
    <t>ul. Dąbrowskiego (Sąd)</t>
  </si>
  <si>
    <t>105</t>
  </si>
  <si>
    <t>Żory, ul. Dworcowa (Parking Netto)</t>
  </si>
  <si>
    <t>ul. Dworcowa (Parking Netto)</t>
  </si>
  <si>
    <t>106</t>
  </si>
  <si>
    <t>Żory, ul. Męczenników Oświęcimskich</t>
  </si>
  <si>
    <t>ul. Męczenników Oświęcimskich</t>
  </si>
  <si>
    <t>107</t>
  </si>
  <si>
    <t>Żory, ul. Wodzisławska (Milla)</t>
  </si>
  <si>
    <t>ul. Wodzisławska (Milla)</t>
  </si>
  <si>
    <t>108</t>
  </si>
  <si>
    <t>Vlastní auto</t>
  </si>
  <si>
    <t>Popis</t>
  </si>
  <si>
    <t>ALLIANCE LAUNDRY 3</t>
  </si>
  <si>
    <t>TRASA 3</t>
  </si>
  <si>
    <t>ALLIANCE LAUNDRY 4</t>
  </si>
  <si>
    <t>TRASA 4, 1 BUS</t>
  </si>
  <si>
    <t>BATZ 1</t>
  </si>
  <si>
    <t>BATZ/KMJ/THERMA - JASTRZEBIE/WODZISLAW/OSTRAVA</t>
  </si>
  <si>
    <t>BATZ 2</t>
  </si>
  <si>
    <t>BATZ/KMJ/THERMA - ŽORY/CIESZYN</t>
  </si>
  <si>
    <t>DSC 1</t>
  </si>
  <si>
    <t>DSC/DONGHEE - RYBNIK/WODZISLAW</t>
  </si>
  <si>
    <t>DSC 2</t>
  </si>
  <si>
    <t>DSC/DONGHEE - ŽORY/JASTRZEBIE</t>
  </si>
  <si>
    <t>GUZU 1</t>
  </si>
  <si>
    <t>Universal ZORY-Jastrzebie, Wodzislaw, Cieszyn</t>
  </si>
  <si>
    <t>HILITE 1</t>
  </si>
  <si>
    <t>HILITE - RYBNIK/WODZISLAW</t>
  </si>
  <si>
    <t>HILITE 2</t>
  </si>
  <si>
    <t>HILITE - TRASA ŹORY/JASTRZEBIE ZDRÓJ</t>
  </si>
  <si>
    <t>TATRA - ALS - SPRINT</t>
  </si>
  <si>
    <t>TATRA/ALS - ŽORY_JASTRZEBIE</t>
  </si>
  <si>
    <t>TATRA METALURGIE</t>
  </si>
  <si>
    <t>CELÁ TRASA PL/CZ</t>
  </si>
  <si>
    <t>zastavka</t>
  </si>
  <si>
    <t>trasa</t>
  </si>
  <si>
    <t>ID#1</t>
  </si>
  <si>
    <t>Kontrola</t>
  </si>
  <si>
    <t>Čas R</t>
  </si>
  <si>
    <t>Čas O</t>
  </si>
  <si>
    <t>Čas N</t>
  </si>
  <si>
    <t>Čas NN</t>
  </si>
  <si>
    <t>Čas NR</t>
  </si>
  <si>
    <t>Čas VK</t>
  </si>
  <si>
    <t>Čas PR</t>
  </si>
  <si>
    <t>Editace</t>
  </si>
  <si>
    <t>Smaž</t>
  </si>
  <si>
    <t>Radlin Centrum</t>
  </si>
  <si>
    <t>Wodzislaw PKP, trasa 3</t>
  </si>
  <si>
    <t>Jastrzębie Wodzisławska Czarny Rycerz</t>
  </si>
  <si>
    <t>Zory Bajerowka</t>
  </si>
  <si>
    <t>Szeroka Kaplica</t>
  </si>
  <si>
    <t>Jastr.Zd. - Skrzyzovanie Pszczyńska/Rybnicka</t>
  </si>
  <si>
    <t>Jastrzebie Urzad Miasta Morcinka</t>
  </si>
  <si>
    <t>Jastrzebie McDonalds</t>
  </si>
  <si>
    <t>Jastrzebie Supersam</t>
  </si>
  <si>
    <t>Jastrzebie Urzad Skarbowy</t>
  </si>
  <si>
    <t>Zebrzydowice kino</t>
  </si>
  <si>
    <t>Halách Skrzyzowanie (Crab)</t>
  </si>
  <si>
    <t>Cieszyn Katowicka Orlen</t>
  </si>
  <si>
    <t>Cieszyn Liburnia Starostwo</t>
  </si>
  <si>
    <t>Cieszyn Liburnia Kosciol</t>
  </si>
  <si>
    <t>Szeroka ul. Rybnicka</t>
  </si>
  <si>
    <t>Szeroka - Biedronka</t>
  </si>
  <si>
    <t>Szeroka - Dubielec</t>
  </si>
  <si>
    <t>Jastr.Zd. - Pszczyńska/Rybnicka</t>
  </si>
  <si>
    <t>Jastr.Zd. - Al. Piłsudskiego - Os. Morcinka / Urząd Miasta</t>
  </si>
  <si>
    <t>Jastr.Zd. - Aleje Piłsudskiego SUPERSAM</t>
  </si>
  <si>
    <t>Jastr.Zd. - Hala Sportowa</t>
  </si>
  <si>
    <t>Jastrzebie Zdroj Dworzec autobusowy</t>
  </si>
  <si>
    <t>Jastr.Zd. - Armii Krajowej</t>
  </si>
  <si>
    <t>Wodzisław Śląski stacja paliw Circle K/McDonalds</t>
  </si>
  <si>
    <t>Wodzisław Śląski Dworzec Autobus. Galeria Karuzela</t>
  </si>
  <si>
    <t>Wodzisław Śląski ul. Bogumińska - Cmentarz, działki</t>
  </si>
  <si>
    <t>Gorzyce Urząd Gminy</t>
  </si>
  <si>
    <t>Ostrava Dřevoprodej</t>
  </si>
  <si>
    <t>Frýdek - Místek autobusová zastávka Benzina - KMJ</t>
  </si>
  <si>
    <t>Źory - Netto (ulica Dworcowa parking)</t>
  </si>
  <si>
    <t>Źory - Sąd Rejonowy</t>
  </si>
  <si>
    <t>Źory - Bajerowka</t>
  </si>
  <si>
    <t>Ruptawa - Cisówka</t>
  </si>
  <si>
    <t>Zebrzydowice Rondo</t>
  </si>
  <si>
    <t>Zebrzydowice Ośrodek Zdrowia</t>
  </si>
  <si>
    <t>Kończyce Małe - Skrzyzowanie</t>
  </si>
  <si>
    <t>Końzyce Male - Szkola</t>
  </si>
  <si>
    <t>Hażlach za rondo Crab</t>
  </si>
  <si>
    <t>Hażlach obok GASTROMANIA</t>
  </si>
  <si>
    <t>Cieszyn McDonalds</t>
  </si>
  <si>
    <t>Cieszyn Liburnia</t>
  </si>
  <si>
    <t>Rybnik - Stacja paliw AMIC Energy ul. Władysława Stanisława Reymonta 45</t>
  </si>
  <si>
    <t>Rybnik - Stacja paliw BP ul. Budowlanych</t>
  </si>
  <si>
    <t>Rydultowy Orlowiec</t>
  </si>
  <si>
    <t>Rydultowy Dworzec Autobusowy</t>
  </si>
  <si>
    <t>Radlin - Centrum przystanek autobus. Korfantego</t>
  </si>
  <si>
    <t>Radlin - Marcel przyst. autobus. Korfantego KWK</t>
  </si>
  <si>
    <t>Radlin II. PKP</t>
  </si>
  <si>
    <t>Wodzisław Śląski - Dworzec PKP przystanek autobusowy</t>
  </si>
  <si>
    <t>Wodzisław Śląski Mrowka</t>
  </si>
  <si>
    <t>Wilchwy przystanek autobusowy Szkola</t>
  </si>
  <si>
    <t>Wilchwy przystanek autobusowy Osiedle</t>
  </si>
  <si>
    <t>Golkowice</t>
  </si>
  <si>
    <t>Źory - Zegar przystanek autobusowy Al. Niepodległości</t>
  </si>
  <si>
    <t>Źory Sąd przyst. autobus. Al. Jana Pawła II Sąd</t>
  </si>
  <si>
    <t>Źory Bajerówka przyst. autobus. Al. Jana Pawła II Bajerówka</t>
  </si>
  <si>
    <t>Szeroka - Kaplica przystanek autobusowy</t>
  </si>
  <si>
    <t>Szeroka - Gagarina przyst.autobus.</t>
  </si>
  <si>
    <t>Jastrzębie-Zdrój - KWK Zofiówka przystanek autobusowy</t>
  </si>
  <si>
    <t>Jastrzębie-Zdrój - Urząd Miasta przyst. autobus. Al. Piłsudskiego - Os. Morcinka</t>
  </si>
  <si>
    <t>Jastrzębie-Zdrój - SUPERSAM przyst. autobus. Al.Piłsudskiego - os. Staszica</t>
  </si>
  <si>
    <t>Jastrzębie-Zdrój HALA przyst. autobus. Hala Sportowa</t>
  </si>
  <si>
    <t>Male Konczyce</t>
  </si>
  <si>
    <t>Cieszyn ul. Katowicka przystanek obok Biedronki</t>
  </si>
  <si>
    <t>Zory Sad</t>
  </si>
  <si>
    <t>Radlin - Korfantego</t>
  </si>
  <si>
    <t>Wodzisław Śląski - Piekarnia Klos (ul. Radlinska - przystanek Os XXX - lecia)</t>
  </si>
  <si>
    <t>Wodzisław Śląski - przystanek autobusowy PKP</t>
  </si>
  <si>
    <t>Źory Wodzislawska Mila (ul. Wodzislawska - przystanek kierunek swierklany)</t>
  </si>
  <si>
    <t>Źory McDonald (al. zjednocz. Europy - Archiwum)</t>
  </si>
  <si>
    <t>Źory Bajerówka (al. Jana Pawla - przystanek)</t>
  </si>
  <si>
    <t>Jastrzebie Zdrój - Szeroka Biedronka (ul. Powstancow slaskich - parking naprzeciwko Biedronki)</t>
  </si>
  <si>
    <t>Jastrzebie Zdrój - Dubielec (ul. Rybnicka - przystanek)</t>
  </si>
  <si>
    <t>Jastrzebie Zdrój - Ranoszka</t>
  </si>
  <si>
    <t>Jastrzebie Zdrój - UM (al. J. Pilsudskiego - przystanek)</t>
  </si>
  <si>
    <t>Jastrzebie Zdrój McDonald (al. J. Pilsudskiego - przystanek)</t>
  </si>
  <si>
    <t>Jastrzebie Zdrój - Stokrotka (al. J. Pilsudskiego os. Staszica - przystanek)</t>
  </si>
  <si>
    <t>Jastrzebie Zdrój - Dworzec Zdrój (ul. W. Broniewskiego)</t>
  </si>
  <si>
    <t>Žory - Bajerowka</t>
  </si>
  <si>
    <t>Szeroka - Gagarina</t>
  </si>
  <si>
    <t>Ostrava dřevoprodej</t>
  </si>
  <si>
    <t>Zory - Sad</t>
  </si>
  <si>
    <t>Žory - Bajerowska</t>
  </si>
  <si>
    <t>Szeroka - Kaplica</t>
  </si>
  <si>
    <t>Zory - Dubielec</t>
  </si>
  <si>
    <t>Jastrzębie Zdroj - dolne Rondo</t>
  </si>
  <si>
    <t>Jastrzębie Zdroj - Zdrojowa</t>
  </si>
  <si>
    <t>Jastrzębie Zdroj - Pilsudskiego Gwarkow</t>
  </si>
  <si>
    <t>Jastrzębie Zdroj - Pilsudskiego Pionierow</t>
  </si>
  <si>
    <t>Jastrzębie Zdroj - Podhalanska Wodociagi</t>
  </si>
  <si>
    <t>Jastrzębie Zdroj - Ruptawa osrodek</t>
  </si>
  <si>
    <t>Końzyce Spóldzielnia</t>
  </si>
  <si>
    <t>Haźlach Crab</t>
  </si>
  <si>
    <t>Cieszyn Orlen</t>
  </si>
  <si>
    <t>Cieszyn - Liburnia Kaufland</t>
  </si>
  <si>
    <t>Cieszyn - Liburnia Kościól</t>
  </si>
  <si>
    <t>Żory Sąd</t>
  </si>
  <si>
    <t>Szeroka Gagarina</t>
  </si>
  <si>
    <t>Jastrzebie Zdrój - Dubielec</t>
  </si>
  <si>
    <t>Wodzisław PKP</t>
  </si>
  <si>
    <t>VLASTNÍ AUTO</t>
  </si>
  <si>
    <t>ALLIANCE LAUNDRY 3 Celkem</t>
  </si>
  <si>
    <t>ALLIANCE LAUNDRY 4 Celkem</t>
  </si>
  <si>
    <t>BATZ 1 Celkem</t>
  </si>
  <si>
    <t>BATZ 2 Celkem</t>
  </si>
  <si>
    <t>DSC 1 Celkem</t>
  </si>
  <si>
    <t>DSC 2 Celkem</t>
  </si>
  <si>
    <t>GUZU 1 Celkem</t>
  </si>
  <si>
    <t>HILITE 1 Celkem</t>
  </si>
  <si>
    <t>HILITE 2 Celkem</t>
  </si>
  <si>
    <t>TATRA - ALS - SPRINT Celkem</t>
  </si>
  <si>
    <t>TATRA METALURGIE Celkem</t>
  </si>
  <si>
    <t>Celkový součet</t>
  </si>
  <si>
    <t>není</t>
  </si>
  <si>
    <t>rybnik dworek parking trafo</t>
  </si>
  <si>
    <t>rybnik smolna biedronka</t>
  </si>
  <si>
    <t>Niedobczyce stadion</t>
  </si>
  <si>
    <t>Jastrzębie Zdroj - dolni Rondo</t>
  </si>
  <si>
    <t>Jastrzębie Zdroj - Zrojowa</t>
  </si>
  <si>
    <t>radlin korfantego centrum</t>
  </si>
  <si>
    <t>Rydultowy dworzec autobusovy</t>
  </si>
  <si>
    <t>Jastrzębie Zdroj - ruptawa ošrodek</t>
  </si>
  <si>
    <t>wodzislaw supersam parking</t>
  </si>
  <si>
    <t>Gorzyczki Uniwar</t>
  </si>
  <si>
    <t>Wodzislaw ul. 26. marca, Szpital</t>
  </si>
  <si>
    <t>ul. 26. Marca (Szpital)</t>
  </si>
  <si>
    <t>Wodzisław Śląski, ul. 26. Marca (Szpital)</t>
  </si>
  <si>
    <t>Spolu</t>
  </si>
  <si>
    <t>McDonalds</t>
  </si>
  <si>
    <t>Al. Piłsudskiego (McDonalds)</t>
  </si>
  <si>
    <t>ul. Ładna (McDonalds)</t>
  </si>
  <si>
    <t>Stacja Paliw Circle K / McDonalds</t>
  </si>
  <si>
    <t>Al. Zjednoczonej Europy (McDonalds)</t>
  </si>
  <si>
    <t>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</si>
</sst>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3" borderId="0" xfId="0" applyFill="1"/>
    <xf numFmtId="21" fontId="0" fillId="0" borderId="0" xfId="0" applyNumberFormat="1"/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/>
    <xf numFmtId="0" fontId="0" fillId="6" borderId="0" xfId="0" applyFill="1"/>
    <xf numFmtId="49" fontId="0" fillId="0" borderId="0" xfId="0" applyNumberFormat="1"/>
    <xf numFmtId="164" fontId="0" fillId="0" borderId="0" xfId="0" applyNumberFormat="1"/>
    <xf numFmtId="20" fontId="0" fillId="0" borderId="0" xfId="0" applyNumberFormat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7" borderId="0" xfId="0" applyNumberFormat="1" applyFill="1"/>
    <xf numFmtId="49" fontId="0" fillId="5" borderId="2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pivotButton="1"/>
    <xf numFmtId="0" fontId="0" fillId="0" borderId="1" xfId="0" applyBorder="1"/>
    <xf numFmtId="0" fontId="0" fillId="5" borderId="0" xfId="0" applyFill="1"/>
    <xf numFmtId="17" fontId="0" fillId="0" borderId="0" xfId="0" applyNumberFormat="1"/>
    <xf numFmtId="22" fontId="0" fillId="0" borderId="0" xfId="0" applyNumberFormat="1"/>
    <xf numFmtId="49" fontId="0" fillId="0" borderId="3" xfId="0" applyNumberFormat="1" applyBorder="1" applyAlignment="1">
      <alignment horizontal="center" vertical="center"/>
    </xf>
    <xf numFmtId="49" fontId="0" fillId="7" borderId="3" xfId="0" applyNumberFormat="1" applyFill="1" applyBorder="1"/>
    <xf numFmtId="0" fontId="0" fillId="6" borderId="4" xfId="0" applyFill="1" applyBorder="1"/>
    <xf numFmtId="0" fontId="0" fillId="6" borderId="5" xfId="0" applyFill="1" applyBorder="1"/>
  </cellXfs>
  <cellStyles count="1">
    <cellStyle name="Normální" xfId="0" builtinId="0"/>
  </cellStyles>
  <dxfs count="16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numFmt numFmtId="25" formatCode="h:mm"/>
      <alignment horizontal="center" vertical="center" textRotation="0" wrapText="0" indent="0" justifyLastLine="0" shrinkToFit="0" readingOrder="0"/>
    </dxf>
    <dxf>
      <numFmt numFmtId="25" formatCode="h:mm"/>
      <alignment horizontal="center" vertical="center" textRotation="0" wrapText="0" indent="0" justifyLastLine="0" shrinkToFit="0" readingOrder="0"/>
    </dxf>
    <dxf>
      <numFmt numFmtId="25" formatCode="h:mm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164" formatCode="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1" defaultTableStyle="TableStyleMedium2" defaultPivotStyle="PivotStyleLight16">
    <tableStyle name="Invisible" pivot="0" table="0" count="0" xr9:uid="{C9CB6594-C9AB-4CF8-A645-9E14E139AC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320040</xdr:colOff>
      <xdr:row>1</xdr:row>
      <xdr:rowOff>76200</xdr:rowOff>
    </xdr:from>
    <xdr:to>
      <xdr:col>11</xdr:col>
      <xdr:colOff>198120</xdr:colOff>
      <xdr:row>14</xdr:row>
      <xdr:rowOff>165735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rasa">
              <a:extLst>
                <a:ext uri="{FF2B5EF4-FFF2-40B4-BE49-F238E27FC236}">
                  <a16:creationId xmlns:a16="http://schemas.microsoft.com/office/drawing/2014/main" id="{792545FB-710B-46CB-6BBF-6F58ED3592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8800" y="2590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f Šimko" refreshedDate="46006.351249074076" createdVersion="8" refreshedVersion="8" minRefreshableVersion="3" recordCount="118" xr:uid="{7ED1AC42-9AE9-4A90-98CC-A875630E2899}">
  <cacheSource type="worksheet">
    <worksheetSource ref="B2:I120" sheet="TRASY"/>
  </cacheSource>
  <cacheFields count="8">
    <cacheField name="ID#1" numFmtId="49">
      <sharedItems/>
    </cacheField>
    <cacheField name="Trasa" numFmtId="0">
      <sharedItems count="13">
        <s v="ALLIANCE LAUNDRY 3"/>
        <s v="ALLIANCE LAUNDRY 4"/>
        <s v="BATZ 1"/>
        <s v="BATZ 2"/>
        <s v="DSC 1"/>
        <s v="DSC 2"/>
        <s v="GUZU 1"/>
        <s v="HILITE 1"/>
        <s v="HILITE 2"/>
        <s v="TATRA - ALS - SPRINT"/>
        <s v="TATRA METALURGIE"/>
        <s v="TATRA - ALS" u="1"/>
        <s v="VLASTNÍ AUTO" u="1"/>
      </sharedItems>
    </cacheField>
    <cacheField name="Zastávka" numFmtId="0">
      <sharedItems count="84">
        <s v="Radlin, Korfantego (Centrum)"/>
        <s v="Wodzisław Śląski, PKS / PKP"/>
        <s v="Jastrzębie-Zdrój, ul. Wodzisławska (Hotel Czarny Rycerz)"/>
        <s v="Żory, Bajerówka (ul. Jana Pawła II)"/>
        <s v="Jastrzębie-Zdrój, Szeroka (Kaplica)"/>
        <s v="Jastrzębie-Zdrój, Al. Piłsudskiego (Pszczyńska/Rybnicka)"/>
        <s v="Jastrzębie-Zdrój, Al. Piłsudskiego (Urząd Miasta)"/>
        <s v="Jastrzębie-Zdrój, Al. Piłsudskiego (McDonald's)"/>
        <s v="Jastrzębie-Zdrój, Al. Piłsudskiego (Supersam/Kaufland)"/>
        <s v="Jastrzębie-Zdrój, ul. 11 Listopada (Urząd Skarbowy)"/>
        <s v="Zebrzydowice, Kino"/>
        <s v="Hażlach, Centrum (Skrzyżowanie obok stacji Crab)"/>
        <s v="Cieszyn, ul. Katowicka (Cmentarz / Orlen / Biedronka)"/>
        <s v="Cieszyn, ul. Liburnia (Starostwo Powiatowe)"/>
        <s v="Cieszyn, ul. Liburnia (Kościół)"/>
        <s v="Jastrzębie-Zdrój, Szeroka (ul. Rybnicka)"/>
        <s v="Jastrzębie-Zdrój, Szeroka (ul. Powstańców Śląskich/Biedronka)"/>
        <s v="Jastrzębie-Zdrój, Al. Piłsudskiego (Dubielec)"/>
        <s v="Jastrzębie-Zdrój, Al. Jana Pawła II (Hala Sportowa)"/>
        <s v="Jastrzębie-Zdrój, Dworzec Autobusowy (ul. Sybiraków - Mała Strona)"/>
        <s v="Jastrzębie-Zdrój, Armii Krajowej"/>
        <s v="Mszana, Centrum / Urząd Gminy"/>
        <s v="Wodzisław Śląski, Stacja Paliw Circle K / McDonald's"/>
        <s v="Wodzisław Śląski, Dworzec Autobusowy (Galeria Karuzela)"/>
        <s v="Wodzisław Śląski, ul. Bogumińska (Cmentarz/Działki)"/>
        <s v="Gorzyce, Urząd Gminy"/>
        <s v="Gorzyczki, UNIWAR"/>
        <s v="Ostrava (CZ), Dřevoprodej"/>
        <s v="Frýdek-Místek (CZ), Stacja Benzina / KMJ"/>
        <s v="Żory, ul. Dworcowa (Parking Netto)"/>
        <s v="Żory, Sąd Rejonowy (Al. Jana Pawła II)"/>
        <s v="Jastrzębie-Zdrój, Ruptawa (Cisówka)"/>
        <s v="Zebrzydowice, Rondo"/>
        <s v="Zebrzydowice, Ośrodek Zdrowia"/>
        <s v="Kończyce Małe, Skrzyżowanie"/>
        <s v="Kończyce Małe, Szkoła"/>
        <s v="Hażlach, Sklep Gastronomia"/>
        <s v="Cieszyn, McDonald's"/>
        <s v="Cieszyn, ul. Liburnia (Kaufland)"/>
        <s v="Rybnik, ul. Władysława Reymonta (Stacja Paliw AMIC Energy)"/>
        <s v="Rybnik, ul. Budowlanych (Stacja Paliw BP)"/>
        <s v="Rydułtowy, Orłowiec"/>
        <s v="Rydułtowy, Dworzec Autobusowy"/>
        <s v="Radlin, Maja (Dworzec Autobusowy/KWK)"/>
        <s v="Wodzisław Śląski, Radlin II (Dworzec PKP)"/>
        <s v="Wodzisław Śląski, ul. Kubsza (Market Mrówka)"/>
        <s v="Wodzisław Śląski, Wilchwy (Szkoła)"/>
        <s v="Wodzisław Śląski, Wilchwy (Osiedle)"/>
        <s v="Skrzyszów, ul. 1 Maja (Centrum)"/>
        <s v="Gołkowice, ul. 1 Maja (Centrum)"/>
        <s v="Żory, Al. Niepodległości (Zegar)"/>
        <s v="Jastrzębie-Zdrój, Szeroka (ul. Gagarina)"/>
        <s v="Jastrzębie-Zdrój, Zofiówka (Kopalnia)"/>
        <s v="Kończyce Małe, Sklep"/>
        <s v="Wodzisław Śląski, Wilchwy (Blazy)"/>
        <s v="Wodzisław Śląski, ul. Radlińska (Piekarnia Kłos)"/>
        <s v="Żory, ul. Wodzisławska (Milla)"/>
        <s v="Żory, Al. Zjednoczonej Europy (McDonald's)"/>
        <s v="Jastrzębie-Zdrój, Ranoszka"/>
        <s v="Jastrzębie-Zdrój, Al. Piłsudskiego (Osiedle Staszica)"/>
        <s v="Jastrzębie-Zdrój, Dworzec Zdrój (ul. Broniewskiego)"/>
        <s v="Żory, ul. Dąbrowskiego (Sąd)"/>
        <s v="Jastrzębie-Zdrój, Al. Piłsudskiego (Rondo Dolne)"/>
        <s v="Jastrzębie-Zdrój, ul. Zdrojowa"/>
        <s v="Jastrzębie-Zdrój, Al. Piłsudskiego (Osiedle Gwarków)"/>
        <s v="Jastrzębie-Zdrój, Al. Piłsudskiego (Osiedle Pionierów)"/>
        <s v="Jastrzębie-Zdrój, Podhalańska (Wodociągi)"/>
        <s v="Jastrzębie-Zdrój, Ruptawa (Ośrodek Zdrowia)"/>
        <s v="Kończyce Wielkie, Spółdzielnia"/>
        <s v="Rybnik, Śródmieście (Dworek)"/>
        <s v="Rybnik, Smolna (obok Biedronki)"/>
        <s v="Rybnik, Niedobczyce (Stadion/Karolinka)"/>
        <s v="Kończyce Wielkie, Ośrodek Zdrowia" u="1"/>
        <s v="Łaziska, UNIWAR" u="1"/>
        <s v="Jastrzębie-Zdrój, ul. Jagiełły (OD Krokus)" u="1"/>
        <s v="Rybnik, ul. Zebrzydowicka (Parking Biedronka)" u="1"/>
        <s v="Rydułtowy, ul. Ładna (McDonald's)" u="1"/>
        <s v="Rybnik, Popielów (Kościół / ul. Konarskiego)" u="1"/>
        <s v="Wodzisław Śląski, Radlin II (ul. Chrobrego / Żabka)" u="1"/>
        <s v="Jastrzębie-Zdrój, ul. Arki Bożka" u="1"/>
        <s v="Jastrzębie-Zdrój, Małopolska" u="1"/>
        <s v="Kończyce Wielkie, Odnóżka" u="1"/>
        <s v="Cieszyn, ul. Stawowa (Pastwiska)" u="1"/>
        <s v="Vlastní auto" u="1"/>
      </sharedItems>
    </cacheField>
    <cacheField name="Kontrola" numFmtId="49">
      <sharedItems/>
    </cacheField>
    <cacheField name="Zastávka2" numFmtId="0">
      <sharedItems containsBlank="1"/>
    </cacheField>
    <cacheField name="Čas R" numFmtId="21">
      <sharedItems containsSemiMixedTypes="0" containsNonDate="0" containsDate="1" containsString="0" minDate="1899-12-30T00:00:00" maxDate="1899-12-30T05:20:00" count="54">
        <d v="1899-12-30T04:15:00"/>
        <d v="1899-12-30T04:40:00"/>
        <d v="1899-12-30T04:45:00"/>
        <d v="1899-12-30T04:00:00"/>
        <d v="1899-12-30T04:10:00"/>
        <d v="1899-12-30T04:17:00"/>
        <d v="1899-12-30T04:19:00"/>
        <d v="1899-12-30T04:21:00"/>
        <d v="1899-12-30T04:25:00"/>
        <d v="1899-12-30T04:48:00"/>
        <d v="1899-12-30T04:55:00"/>
        <d v="1899-12-30T04:57:00"/>
        <d v="1899-12-30T05:00:00"/>
        <d v="1899-12-30T03:50:00"/>
        <d v="1899-12-30T03:52:00"/>
        <d v="1899-12-30T03:54:00"/>
        <d v="1899-12-30T03:58:00"/>
        <d v="1899-12-30T04:02:00"/>
        <d v="1899-12-30T04:04:00"/>
        <d v="1899-12-30T04:08:00"/>
        <d v="1899-12-30T04:13:00"/>
        <d v="1899-12-30T04:20:00"/>
        <d v="1899-12-30T04:30:00"/>
        <d v="1899-12-30T04:33:00"/>
        <d v="1899-12-30T04:36:00"/>
        <d v="1899-12-30T04:50:00"/>
        <d v="1899-12-30T05:10:00"/>
        <d v="1899-12-30T05:20:00"/>
        <d v="1899-12-30T04:43:00"/>
        <d v="1899-12-30T04:46:00"/>
        <d v="1899-12-30T05:03:00"/>
        <d v="1899-12-30T03:45:00"/>
        <d v="1899-12-30T04:05:00"/>
        <d v="1899-12-30T04:09:00"/>
        <d v="1899-12-30T04:28:00"/>
        <d v="1899-12-30T04:37:00"/>
        <d v="1899-12-30T04:41:00"/>
        <d v="1899-12-30T04:34:00"/>
        <d v="1899-12-30T04:42:00"/>
        <d v="1899-12-30T04:58:00"/>
        <d v="1899-12-30T05:01:00"/>
        <d v="1899-12-30T04:35:00"/>
        <d v="1899-12-30T04:52:00"/>
        <d v="1899-12-30T04:54:00"/>
        <d v="1899-12-30T03:47:00"/>
        <d v="1899-12-30T04:12:00"/>
        <d v="1899-12-30T04:14:00"/>
        <d v="1899-12-30T04:26:00"/>
        <d v="1899-12-30T04:47:00"/>
        <d v="1899-12-30T03:55:00"/>
        <d v="1899-12-30T04:18:00"/>
        <d v="1899-12-30T05:05:00" u="1"/>
        <d v="1899-12-30T00:00:00" u="1"/>
        <d v="1899-12-30T04:23:00" u="1"/>
      </sharedItems>
    </cacheField>
    <cacheField name="Čas O" numFmtId="21">
      <sharedItems containsSemiMixedTypes="0" containsNonDate="0" containsDate="1" containsString="0" minDate="1899-12-30T00:00:00" maxDate="1899-12-31T00:00:00" count="54">
        <d v="1899-12-30T00:00:00"/>
        <d v="1899-12-30T11:50:00"/>
        <d v="1899-12-30T11:52:00"/>
        <d v="1899-12-30T11:54:00"/>
        <d v="1899-12-30T11:58:00"/>
        <d v="1899-12-30T12:02:00"/>
        <d v="1899-12-30T12:04:00"/>
        <d v="1899-12-30T12:08:00"/>
        <d v="1899-12-30T12:10:00"/>
        <d v="1899-12-30T12:13:00"/>
        <d v="1899-12-30T12:20:00"/>
        <d v="1899-12-30T12:30:00"/>
        <d v="1899-12-30T12:33:00"/>
        <d v="1899-12-30T12:36:00"/>
        <d v="1899-12-30T12:45:00"/>
        <d v="1899-12-30T12:50:00"/>
        <d v="1899-12-30T13:10:00"/>
        <d v="1899-12-30T13:20:00"/>
        <d v="1899-12-30T12:15:00"/>
        <d v="1899-12-30T12:17:00"/>
        <d v="1899-12-30T12:40:00"/>
        <d v="1899-12-30T12:43:00"/>
        <d v="1899-12-30T12:46:00"/>
        <d v="1899-12-30T12:48:00"/>
        <d v="1899-12-30T12:55:00"/>
        <d v="1899-12-30T12:57:00"/>
        <d v="1899-12-30T13:00:00"/>
        <d v="1899-12-30T13:03:00"/>
        <d v="1899-12-30T11:45:00"/>
        <d v="1899-12-30T12:05:00"/>
        <d v="1899-12-30T12:09:00"/>
        <d v="1899-12-30T12:19:00"/>
        <d v="1899-12-30T12:25:00"/>
        <d v="1899-12-30T12:28:00"/>
        <d v="1899-12-30T12:37:00"/>
        <d v="1899-12-30T12:41:00"/>
        <d v="1899-12-30T12:34:00"/>
        <d v="1899-12-30T12:42:00"/>
        <d v="1899-12-30T12:58:00"/>
        <d v="1899-12-30T13:01:00"/>
        <d v="1899-12-30T16:20:00"/>
        <d v="1899-12-30T12:35:00"/>
        <d v="1899-12-30T12:52:00"/>
        <d v="1899-12-30T12:54:00"/>
        <d v="1899-12-30T11:47:00"/>
        <d v="1899-12-30T12:00:00"/>
        <d v="1899-12-30T12:12:00"/>
        <d v="1899-12-30T12:14:00"/>
        <d v="1899-12-30T12:26:00"/>
        <d v="1899-12-30T12:47:00"/>
        <d v="1899-12-30T11:55:00"/>
        <d v="1899-12-30T12:18:00"/>
        <d v="1899-12-30T13:05:00" u="1"/>
        <d v="1899-12-30T12:23:00" u="1"/>
      </sharedItems>
    </cacheField>
    <cacheField name="Čas N" numFmtId="21">
      <sharedItems containsSemiMixedTypes="0" containsNonDate="0" containsDate="1" containsString="0" minDate="1899-12-30T00:00:00" maxDate="1899-12-31T00:00:00" count="55">
        <d v="1899-12-30T00:00:00"/>
        <d v="1899-12-30T19:50:00"/>
        <d v="1899-12-30T19:52:00"/>
        <d v="1899-12-30T19:54:00"/>
        <d v="1899-12-30T19:58:00"/>
        <d v="1899-12-30T20:02:00"/>
        <d v="1899-12-30T20:04:00"/>
        <d v="1899-12-30T20:08:00"/>
        <d v="1899-12-30T20:10:00"/>
        <d v="1899-12-30T20:13:00"/>
        <d v="1899-12-30T20:20:00"/>
        <d v="1899-12-30T20:30:00"/>
        <d v="1899-12-30T20:33:00"/>
        <d v="1899-12-30T20:36:00"/>
        <d v="1899-12-30T20:45:00"/>
        <d v="1899-12-30T20:50:00"/>
        <d v="1899-12-30T21:10:00"/>
        <d v="1899-12-30T21:20:00"/>
        <d v="1899-12-30T20:15:00"/>
        <d v="1899-12-30T20:17:00"/>
        <d v="1899-12-30T20:40:00"/>
        <d v="1899-12-30T20:43:00"/>
        <d v="1899-12-30T20:46:00"/>
        <d v="1899-12-30T20:48:00"/>
        <d v="1899-12-30T20:55:00"/>
        <d v="1899-12-30T20:57:00"/>
        <d v="1899-12-30T21:00:00"/>
        <d v="1899-12-30T21:03:00"/>
        <d v="1899-12-30T19:45:00"/>
        <d v="1899-12-30T20:05:00"/>
        <d v="1899-12-30T20:09:00"/>
        <d v="1899-12-30T20:19:00"/>
        <d v="1899-12-30T20:25:00"/>
        <d v="1899-12-30T20:28:00"/>
        <d v="1899-12-30T20:37:00"/>
        <d v="1899-12-30T20:41:00"/>
        <d v="1899-12-30T20:34:00"/>
        <d v="1899-12-30T20:42:00"/>
        <d v="1899-12-30T20:58:00"/>
        <d v="1899-12-30T21:01:00"/>
        <d v="1899-12-30T20:52:00"/>
        <d v="1899-12-30T20:54:00"/>
        <d v="1899-12-30T19:47:00"/>
        <d v="1899-12-30T20:00:00"/>
        <d v="1899-12-30T20:12:00"/>
        <d v="1899-12-30T20:14:00"/>
        <d v="1899-12-30T20:26:00"/>
        <d v="1899-12-30T20:47:00"/>
        <d v="1899-12-30T19:55:00"/>
        <d v="1899-12-30T00:00:20"/>
        <d v="1899-12-30T20:18:00"/>
        <d v="1899-12-30T21:05:00" u="1"/>
        <d v="1899-12-30T21:30:00" u="1"/>
        <d v="1899-12-30T20:35:00" u="1"/>
        <d v="1899-12-30T20:23:00" u="1"/>
      </sharedItems>
    </cacheField>
  </cacheFields>
  <extLst>
    <ext xmlns:x14="http://schemas.microsoft.com/office/spreadsheetml/2009/9/main" uri="{725AE2AE-9491-48be-B2B4-4EB974FC3084}">
      <x14:pivotCacheDefinition pivotCacheId="11045639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01"/>
    <x v="0"/>
    <x v="0"/>
    <s v="62"/>
    <s v="Radlin Centrum"/>
    <x v="0"/>
    <x v="0"/>
    <x v="0"/>
  </r>
  <r>
    <s v="01"/>
    <x v="0"/>
    <x v="1"/>
    <s v="82"/>
    <s v="Wodzislaw PKP, trasa 3"/>
    <x v="1"/>
    <x v="0"/>
    <x v="0"/>
  </r>
  <r>
    <s v="01"/>
    <x v="0"/>
    <x v="2"/>
    <s v="48"/>
    <s v="Jastrzębie Wodzisławska Czarny Rycerz"/>
    <x v="2"/>
    <x v="0"/>
    <x v="0"/>
  </r>
  <r>
    <s v="02"/>
    <x v="1"/>
    <x v="3"/>
    <s v="101"/>
    <s v="Zory Bajerowka"/>
    <x v="3"/>
    <x v="0"/>
    <x v="0"/>
  </r>
  <r>
    <s v="02"/>
    <x v="1"/>
    <x v="4"/>
    <s v="36"/>
    <s v="Szeroka Kaplica"/>
    <x v="4"/>
    <x v="0"/>
    <x v="0"/>
  </r>
  <r>
    <s v="02"/>
    <x v="1"/>
    <x v="5"/>
    <s v="22"/>
    <s v="Jastr.Zd. - Skrzyzovanie Pszczyńska/Rybnicka"/>
    <x v="0"/>
    <x v="0"/>
    <x v="0"/>
  </r>
  <r>
    <s v="02"/>
    <x v="1"/>
    <x v="6"/>
    <s v="25"/>
    <s v="Jastrzebie Urzad Miasta Morcinka"/>
    <x v="5"/>
    <x v="0"/>
    <x v="0"/>
  </r>
  <r>
    <s v="02"/>
    <x v="1"/>
    <x v="7"/>
    <s v="18"/>
    <s v="Jastrzebie McDonalds"/>
    <x v="6"/>
    <x v="0"/>
    <x v="0"/>
  </r>
  <r>
    <s v="02"/>
    <x v="1"/>
    <x v="8"/>
    <s v="24"/>
    <s v="Jastrzebie Supersam"/>
    <x v="7"/>
    <x v="0"/>
    <x v="0"/>
  </r>
  <r>
    <s v="02"/>
    <x v="1"/>
    <x v="9"/>
    <s v="41"/>
    <s v="Jastrzebie Urzad Skarbowy"/>
    <x v="8"/>
    <x v="0"/>
    <x v="0"/>
  </r>
  <r>
    <s v="02"/>
    <x v="1"/>
    <x v="10"/>
    <s v="95"/>
    <s v="Zebrzydowice kino"/>
    <x v="1"/>
    <x v="0"/>
    <x v="0"/>
  </r>
  <r>
    <s v="02"/>
    <x v="1"/>
    <x v="11"/>
    <s v="13"/>
    <s v="Halách Skrzyzowanie (Crab)"/>
    <x v="9"/>
    <x v="0"/>
    <x v="0"/>
  </r>
  <r>
    <s v="02"/>
    <x v="1"/>
    <x v="12"/>
    <s v="03"/>
    <s v="Cieszyn Katowicka Orlen"/>
    <x v="10"/>
    <x v="0"/>
    <x v="0"/>
  </r>
  <r>
    <s v="02"/>
    <x v="1"/>
    <x v="13"/>
    <s v="06"/>
    <s v="Cieszyn Liburnia Starostwo"/>
    <x v="11"/>
    <x v="0"/>
    <x v="0"/>
  </r>
  <r>
    <s v="02"/>
    <x v="1"/>
    <x v="14"/>
    <s v="05"/>
    <s v="Cieszyn Liburnia Kosciol"/>
    <x v="12"/>
    <x v="0"/>
    <x v="0"/>
  </r>
  <r>
    <s v="03"/>
    <x v="2"/>
    <x v="15"/>
    <s v="40"/>
    <s v="Szeroka ul. Rybnicka"/>
    <x v="13"/>
    <x v="1"/>
    <x v="1"/>
  </r>
  <r>
    <s v="03"/>
    <x v="2"/>
    <x v="16"/>
    <s v="39"/>
    <s v="Szeroka - Biedronka"/>
    <x v="14"/>
    <x v="2"/>
    <x v="2"/>
  </r>
  <r>
    <s v="03"/>
    <x v="2"/>
    <x v="17"/>
    <s v="17"/>
    <s v="Szeroka - Dubielec"/>
    <x v="15"/>
    <x v="3"/>
    <x v="3"/>
  </r>
  <r>
    <s v="03"/>
    <x v="2"/>
    <x v="5"/>
    <s v="22"/>
    <s v="Jastr.Zd. - Pszczyńska/Rybnicka"/>
    <x v="16"/>
    <x v="4"/>
    <x v="4"/>
  </r>
  <r>
    <s v="03"/>
    <x v="2"/>
    <x v="6"/>
    <s v="25"/>
    <s v="Jastr.Zd. - Al. Piłsudskiego - Os. Morcinka / Urząd Miasta"/>
    <x v="17"/>
    <x v="5"/>
    <x v="5"/>
  </r>
  <r>
    <s v="03"/>
    <x v="2"/>
    <x v="8"/>
    <s v="24"/>
    <s v="Jastr.Zd. - Aleje Piłsudskiego SUPERSAM"/>
    <x v="18"/>
    <x v="6"/>
    <x v="6"/>
  </r>
  <r>
    <s v="03"/>
    <x v="2"/>
    <x v="18"/>
    <s v="16"/>
    <s v="Jastr.Zd. - Hala Sportowa"/>
    <x v="19"/>
    <x v="7"/>
    <x v="7"/>
  </r>
  <r>
    <s v="03"/>
    <x v="2"/>
    <x v="19"/>
    <s v="27"/>
    <s v="Jastrzebie Zdroj Dworzec autobusowy"/>
    <x v="4"/>
    <x v="8"/>
    <x v="8"/>
  </r>
  <r>
    <s v="03"/>
    <x v="2"/>
    <x v="20"/>
    <s v="26"/>
    <s v="Jastr.Zd. - Armii Krajowej"/>
    <x v="20"/>
    <x v="9"/>
    <x v="9"/>
  </r>
  <r>
    <s v="03"/>
    <x v="2"/>
    <x v="21"/>
    <s v="59"/>
    <s v="Mszana"/>
    <x v="21"/>
    <x v="10"/>
    <x v="10"/>
  </r>
  <r>
    <s v="03"/>
    <x v="2"/>
    <x v="22"/>
    <s v="86"/>
    <s v="Wodzisław Śląski stacja paliw Circle K/McDonalds"/>
    <x v="22"/>
    <x v="11"/>
    <x v="11"/>
  </r>
  <r>
    <s v="03"/>
    <x v="2"/>
    <x v="23"/>
    <s v="108"/>
    <s v="Wodzisław Śląski Dworzec Autobus. Galeria Karuzela"/>
    <x v="23"/>
    <x v="12"/>
    <x v="12"/>
  </r>
  <r>
    <s v="03"/>
    <x v="2"/>
    <x v="24"/>
    <s v="88"/>
    <s v="Wodzisław Śląski ul. Bogumińska - Cmentarz, działki"/>
    <x v="24"/>
    <x v="13"/>
    <x v="13"/>
  </r>
  <r>
    <s v="03"/>
    <x v="2"/>
    <x v="25"/>
    <s v="11"/>
    <s v="Gorzyce Urząd Gminy"/>
    <x v="2"/>
    <x v="14"/>
    <x v="14"/>
  </r>
  <r>
    <s v="03"/>
    <x v="2"/>
    <x v="26"/>
    <s v="12"/>
    <s v="UNIWAR"/>
    <x v="25"/>
    <x v="15"/>
    <x v="15"/>
  </r>
  <r>
    <s v="03"/>
    <x v="2"/>
    <x v="27"/>
    <s v="60"/>
    <s v="Ostrava Dřevoprodej"/>
    <x v="26"/>
    <x v="16"/>
    <x v="16"/>
  </r>
  <r>
    <s v="03"/>
    <x v="2"/>
    <x v="28"/>
    <s v="09"/>
    <s v="Frýdek - Místek autobusová zastávka Benzina - KMJ"/>
    <x v="27"/>
    <x v="17"/>
    <x v="17"/>
  </r>
  <r>
    <s v="04"/>
    <x v="3"/>
    <x v="29"/>
    <s v="105"/>
    <s v="Źory - Netto (ulica Dworcowa parking)"/>
    <x v="4"/>
    <x v="8"/>
    <x v="8"/>
  </r>
  <r>
    <s v="04"/>
    <x v="3"/>
    <x v="30"/>
    <s v="103"/>
    <s v="Źory - Sąd Rejonowy"/>
    <x v="0"/>
    <x v="18"/>
    <x v="18"/>
  </r>
  <r>
    <s v="04"/>
    <x v="3"/>
    <x v="3"/>
    <s v="101"/>
    <s v="Źory - Bajerowka"/>
    <x v="5"/>
    <x v="19"/>
    <x v="19"/>
  </r>
  <r>
    <s v="04"/>
    <x v="3"/>
    <x v="31"/>
    <s v="34"/>
    <s v="Ruptawa - Cisówka"/>
    <x v="1"/>
    <x v="20"/>
    <x v="20"/>
  </r>
  <r>
    <s v="04"/>
    <x v="3"/>
    <x v="32"/>
    <s v="98"/>
    <s v="Zebrzydowice Rondo"/>
    <x v="28"/>
    <x v="21"/>
    <x v="21"/>
  </r>
  <r>
    <s v="04"/>
    <x v="3"/>
    <x v="33"/>
    <s v="96"/>
    <s v="Zebrzydowice Ośrodek Zdrowia"/>
    <x v="29"/>
    <x v="22"/>
    <x v="22"/>
  </r>
  <r>
    <s v="04"/>
    <x v="3"/>
    <x v="34"/>
    <s v="53"/>
    <s v="Kończyce Małe - Skrzyzowanie"/>
    <x v="9"/>
    <x v="23"/>
    <x v="23"/>
  </r>
  <r>
    <s v="04"/>
    <x v="3"/>
    <x v="35"/>
    <s v="54"/>
    <s v="Końzyce Male - Szkola"/>
    <x v="25"/>
    <x v="15"/>
    <x v="15"/>
  </r>
  <r>
    <s v="04"/>
    <x v="3"/>
    <x v="11"/>
    <s v="13"/>
    <s v="Hażlach za rondo Crab"/>
    <x v="10"/>
    <x v="24"/>
    <x v="24"/>
  </r>
  <r>
    <s v="04"/>
    <x v="3"/>
    <x v="36"/>
    <s v="15"/>
    <s v="Hażlach obok GASTROMANIA"/>
    <x v="11"/>
    <x v="25"/>
    <x v="25"/>
  </r>
  <r>
    <s v="04"/>
    <x v="3"/>
    <x v="37"/>
    <s v="02"/>
    <s v="Cieszyn McDonalds"/>
    <x v="12"/>
    <x v="26"/>
    <x v="26"/>
  </r>
  <r>
    <s v="04"/>
    <x v="3"/>
    <x v="38"/>
    <s v="04"/>
    <s v="Cieszyn Liburnia"/>
    <x v="30"/>
    <x v="27"/>
    <x v="27"/>
  </r>
  <r>
    <s v="05"/>
    <x v="4"/>
    <x v="39"/>
    <s v="65"/>
    <s v="Rybnik - Stacja paliw AMIC Energy ul. Władysława Stanisława Reymonta 45"/>
    <x v="31"/>
    <x v="28"/>
    <x v="28"/>
  </r>
  <r>
    <s v="05"/>
    <x v="4"/>
    <x v="40"/>
    <s v="64"/>
    <s v="Rybnik - Stacja paliw BP ul. Budowlanych"/>
    <x v="13"/>
    <x v="1"/>
    <x v="1"/>
  </r>
  <r>
    <s v="05"/>
    <x v="4"/>
    <x v="41"/>
    <s v="69"/>
    <s v="Rydultowy Orlowiec"/>
    <x v="32"/>
    <x v="29"/>
    <x v="29"/>
  </r>
  <r>
    <s v="05"/>
    <x v="4"/>
    <x v="42"/>
    <s v="67"/>
    <s v="Rydultowy Dworzec Autobusowy"/>
    <x v="33"/>
    <x v="30"/>
    <x v="30"/>
  </r>
  <r>
    <s v="05"/>
    <x v="4"/>
    <x v="0"/>
    <s v="62"/>
    <s v="Radlin - Centrum przystanek autobus. Korfantego"/>
    <x v="5"/>
    <x v="19"/>
    <x v="19"/>
  </r>
  <r>
    <s v="05"/>
    <x v="4"/>
    <x v="43"/>
    <s v="63"/>
    <s v="Radlin - Marcel przyst. autobus. Korfantego KWK"/>
    <x v="6"/>
    <x v="31"/>
    <x v="31"/>
  </r>
  <r>
    <s v="05"/>
    <x v="4"/>
    <x v="44"/>
    <s v="83"/>
    <s v="Radlin II. PKP"/>
    <x v="8"/>
    <x v="32"/>
    <x v="32"/>
  </r>
  <r>
    <s v="05"/>
    <x v="4"/>
    <x v="1"/>
    <s v="82"/>
    <s v="Wodzisław Śląski - Dworzec PKP przystanek autobusowy"/>
    <x v="34"/>
    <x v="33"/>
    <x v="33"/>
  </r>
  <r>
    <s v="05"/>
    <x v="4"/>
    <x v="45"/>
    <s v="89"/>
    <s v="Wodzisław Śląski Mrowka"/>
    <x v="22"/>
    <x v="11"/>
    <x v="11"/>
  </r>
  <r>
    <s v="05"/>
    <x v="4"/>
    <x v="46"/>
    <s v="93"/>
    <s v="Wilchwy przystanek autobusowy Szkola"/>
    <x v="23"/>
    <x v="12"/>
    <x v="12"/>
  </r>
  <r>
    <s v="05"/>
    <x v="4"/>
    <x v="47"/>
    <s v="92"/>
    <s v="Wilchwy przystanek autobusowy Osiedle"/>
    <x v="35"/>
    <x v="34"/>
    <x v="34"/>
  </r>
  <r>
    <s v="05"/>
    <x v="4"/>
    <x v="48"/>
    <s v="80"/>
    <s v="Skrzyszów"/>
    <x v="36"/>
    <x v="35"/>
    <x v="35"/>
  </r>
  <r>
    <s v="05"/>
    <x v="4"/>
    <x v="49"/>
    <s v="10"/>
    <s v="Golkowice"/>
    <x v="9"/>
    <x v="23"/>
    <x v="23"/>
  </r>
  <r>
    <s v="06"/>
    <x v="5"/>
    <x v="50"/>
    <s v="99"/>
    <s v="Źory - Zegar przystanek autobusowy Al. Niepodległości"/>
    <x v="0"/>
    <x v="18"/>
    <x v="18"/>
  </r>
  <r>
    <s v="06"/>
    <x v="5"/>
    <x v="30"/>
    <s v="103"/>
    <s v="Źory Sąd przyst. autobus. Al. Jana Pawła II Sąd"/>
    <x v="5"/>
    <x v="19"/>
    <x v="19"/>
  </r>
  <r>
    <s v="06"/>
    <x v="5"/>
    <x v="3"/>
    <s v="101"/>
    <s v="Źory Bajerówka przyst. autobus. Al. Jana Pawła II Bajerówka"/>
    <x v="6"/>
    <x v="31"/>
    <x v="31"/>
  </r>
  <r>
    <s v="06"/>
    <x v="5"/>
    <x v="4"/>
    <s v="36"/>
    <s v="Szeroka - Kaplica przystanek autobusowy"/>
    <x v="34"/>
    <x v="33"/>
    <x v="33"/>
  </r>
  <r>
    <s v="06"/>
    <x v="5"/>
    <x v="51"/>
    <s v="38"/>
    <s v="Szeroka - Gagarina przyst.autobus."/>
    <x v="34"/>
    <x v="33"/>
    <x v="33"/>
  </r>
  <r>
    <s v="06"/>
    <x v="5"/>
    <x v="52"/>
    <s v="50"/>
    <s v="Jastrzębie-Zdrój - KWK Zofiówka przystanek autobusowy"/>
    <x v="37"/>
    <x v="36"/>
    <x v="36"/>
  </r>
  <r>
    <s v="06"/>
    <x v="5"/>
    <x v="6"/>
    <s v="25"/>
    <s v="Jastrzębie-Zdrój - Urząd Miasta przyst. autobus. Al. Piłsudskiego - Os. Morcinka"/>
    <x v="1"/>
    <x v="20"/>
    <x v="20"/>
  </r>
  <r>
    <s v="06"/>
    <x v="5"/>
    <x v="8"/>
    <s v="24"/>
    <s v="Jastrzębie-Zdrój - SUPERSAM przyst. autobus. Al.Piłsudskiego - os. Staszica"/>
    <x v="38"/>
    <x v="37"/>
    <x v="37"/>
  </r>
  <r>
    <s v="06"/>
    <x v="5"/>
    <x v="18"/>
    <s v="16"/>
    <s v="Jastrzębie-Zdrój HALA przyst. autobus. Hala Sportowa"/>
    <x v="2"/>
    <x v="14"/>
    <x v="14"/>
  </r>
  <r>
    <s v="06"/>
    <x v="5"/>
    <x v="10"/>
    <s v="95"/>
    <s v="Zebrzydowice Rondo"/>
    <x v="11"/>
    <x v="25"/>
    <x v="25"/>
  </r>
  <r>
    <s v="06"/>
    <x v="5"/>
    <x v="33"/>
    <s v="96"/>
    <s v="Zebrzydowice Ośrodek Zdrowia"/>
    <x v="39"/>
    <x v="38"/>
    <x v="38"/>
  </r>
  <r>
    <s v="06"/>
    <x v="5"/>
    <x v="53"/>
    <s v="52"/>
    <s v="Male Konczyce"/>
    <x v="40"/>
    <x v="39"/>
    <x v="39"/>
  </r>
  <r>
    <s v="06"/>
    <x v="5"/>
    <x v="12"/>
    <s v="03"/>
    <s v="Cieszyn ul. Katowicka przystanek obok Biedronki"/>
    <x v="26"/>
    <x v="16"/>
    <x v="16"/>
  </r>
  <r>
    <s v="07"/>
    <x v="6"/>
    <x v="54"/>
    <s v="91"/>
    <s v="Zory Sad"/>
    <x v="21"/>
    <x v="40"/>
    <x v="0"/>
  </r>
  <r>
    <s v="08"/>
    <x v="7"/>
    <x v="0"/>
    <s v="62"/>
    <s v="Radlin - Korfantego"/>
    <x v="41"/>
    <x v="41"/>
    <x v="32"/>
  </r>
  <r>
    <s v="08"/>
    <x v="7"/>
    <x v="55"/>
    <s v="90"/>
    <s v="Wodzisław Śląski - Piekarnia Klos (ul. Radlinska - przystanek Os XXX - lecia)"/>
    <x v="25"/>
    <x v="15"/>
    <x v="15"/>
  </r>
  <r>
    <s v="08"/>
    <x v="7"/>
    <x v="1"/>
    <s v="82"/>
    <s v="Wodzisław Śląski - przystanek autobusowy PKP"/>
    <x v="10"/>
    <x v="24"/>
    <x v="24"/>
  </r>
  <r>
    <s v="09"/>
    <x v="8"/>
    <x v="56"/>
    <s v="107"/>
    <s v="Źory Wodzislawska Mila (ul. Wodzislawska - przystanek kierunek swierklany)"/>
    <x v="8"/>
    <x v="32"/>
    <x v="32"/>
  </r>
  <r>
    <s v="09"/>
    <x v="8"/>
    <x v="57"/>
    <s v="100"/>
    <s v="Źory McDonald (al. zjednocz. Europy - Archiwum)"/>
    <x v="22"/>
    <x v="11"/>
    <x v="11"/>
  </r>
  <r>
    <s v="09"/>
    <x v="8"/>
    <x v="3"/>
    <s v="101"/>
    <s v="Źory Bajerówka (al. Jana Pawla - przystanek)"/>
    <x v="23"/>
    <x v="12"/>
    <x v="12"/>
  </r>
  <r>
    <s v="09"/>
    <x v="8"/>
    <x v="16"/>
    <s v="39"/>
    <s v="Jastrzebie Zdrój - Szeroka Biedronka (ul. Powstancow slaskich - parking naprzeciwko Biedronki)"/>
    <x v="1"/>
    <x v="20"/>
    <x v="20"/>
  </r>
  <r>
    <s v="09"/>
    <x v="8"/>
    <x v="17"/>
    <s v="17"/>
    <s v="Jastrzebie Zdrój - Dubielec (ul. Rybnicka - przystanek)"/>
    <x v="2"/>
    <x v="14"/>
    <x v="14"/>
  </r>
  <r>
    <s v="09"/>
    <x v="8"/>
    <x v="58"/>
    <s v="33"/>
    <s v="Jastrzebie Zdrój - Ranoszka"/>
    <x v="9"/>
    <x v="23"/>
    <x v="23"/>
  </r>
  <r>
    <s v="09"/>
    <x v="8"/>
    <x v="6"/>
    <s v="25"/>
    <s v="Jastrzebie Zdrój - UM (al. J. Pilsudskiego - przystanek)"/>
    <x v="25"/>
    <x v="15"/>
    <x v="15"/>
  </r>
  <r>
    <s v="09"/>
    <x v="8"/>
    <x v="7"/>
    <s v="18"/>
    <s v="Jastrzebie Zdrój McDonald (al. J. Pilsudskiego - przystanek)"/>
    <x v="42"/>
    <x v="42"/>
    <x v="40"/>
  </r>
  <r>
    <s v="09"/>
    <x v="8"/>
    <x v="59"/>
    <s v="21"/>
    <s v="Jastrzebie Zdrój - Stokrotka (al. J. Pilsudskiego os. Staszica - przystanek)"/>
    <x v="43"/>
    <x v="43"/>
    <x v="41"/>
  </r>
  <r>
    <s v="09"/>
    <x v="8"/>
    <x v="60"/>
    <s v="28"/>
    <s v="Jastrzebie Zdrój - Dworzec Zdrój (ul. W. Broniewskiego)"/>
    <x v="39"/>
    <x v="38"/>
    <x v="38"/>
  </r>
  <r>
    <s v="10"/>
    <x v="9"/>
    <x v="61"/>
    <s v="104"/>
    <s v="Zory - Sad"/>
    <x v="44"/>
    <x v="44"/>
    <x v="42"/>
  </r>
  <r>
    <s v="10"/>
    <x v="9"/>
    <x v="3"/>
    <s v="101"/>
    <s v="Žory - Bajerowska"/>
    <x v="13"/>
    <x v="1"/>
    <x v="1"/>
  </r>
  <r>
    <s v="10"/>
    <x v="9"/>
    <x v="4"/>
    <s v="36"/>
    <s v="Szeroka - Kaplica"/>
    <x v="16"/>
    <x v="4"/>
    <x v="4"/>
  </r>
  <r>
    <s v="10"/>
    <x v="9"/>
    <x v="51"/>
    <s v="38"/>
    <s v="Szeroka - Gagarina"/>
    <x v="3"/>
    <x v="45"/>
    <x v="43"/>
  </r>
  <r>
    <s v="10"/>
    <x v="9"/>
    <x v="17"/>
    <s v="17"/>
    <s v="Zory - Dubielec"/>
    <x v="17"/>
    <x v="5"/>
    <x v="5"/>
  </r>
  <r>
    <s v="10"/>
    <x v="9"/>
    <x v="62"/>
    <s v="23"/>
    <s v="Jastrzębie Zdroj - dolne Rondo"/>
    <x v="4"/>
    <x v="8"/>
    <x v="8"/>
  </r>
  <r>
    <s v="10"/>
    <x v="9"/>
    <x v="63"/>
    <s v="49"/>
    <s v="Jastrzębie Zdroj - Zdrojowa"/>
    <x v="45"/>
    <x v="46"/>
    <x v="44"/>
  </r>
  <r>
    <s v="10"/>
    <x v="9"/>
    <x v="64"/>
    <s v="19"/>
    <s v="Jastrzębie Zdroj - Pilsudskiego Gwarkow"/>
    <x v="46"/>
    <x v="47"/>
    <x v="45"/>
  </r>
  <r>
    <s v="10"/>
    <x v="9"/>
    <x v="65"/>
    <s v="20"/>
    <s v="Jastrzębie Zdroj - Pilsudskiego Pionierow"/>
    <x v="0"/>
    <x v="18"/>
    <x v="18"/>
  </r>
  <r>
    <s v="10"/>
    <x v="9"/>
    <x v="66"/>
    <s v="32"/>
    <s v="Jastrzębie Zdroj - Podhalanska Wodociagi"/>
    <x v="5"/>
    <x v="19"/>
    <x v="19"/>
  </r>
  <r>
    <s v="10"/>
    <x v="9"/>
    <x v="67"/>
    <s v="35"/>
    <s v="Jastrzębie Zdroj - Ruptawa osrodek"/>
    <x v="21"/>
    <x v="10"/>
    <x v="10"/>
  </r>
  <r>
    <s v="10"/>
    <x v="9"/>
    <x v="31"/>
    <s v="34"/>
    <m/>
    <x v="8"/>
    <x v="32"/>
    <x v="32"/>
  </r>
  <r>
    <s v="10"/>
    <x v="9"/>
    <x v="68"/>
    <s v="57"/>
    <s v="Końzyce Spóldzielnia"/>
    <x v="47"/>
    <x v="48"/>
    <x v="46"/>
  </r>
  <r>
    <s v="10"/>
    <x v="9"/>
    <x v="32"/>
    <s v="98"/>
    <s v="Zebrzydowice Rondo"/>
    <x v="34"/>
    <x v="33"/>
    <x v="33"/>
  </r>
  <r>
    <s v="10"/>
    <x v="9"/>
    <x v="11"/>
    <s v="13"/>
    <s v="Haźlach Crab"/>
    <x v="1"/>
    <x v="20"/>
    <x v="20"/>
  </r>
  <r>
    <s v="10"/>
    <x v="9"/>
    <x v="12"/>
    <s v="03"/>
    <s v="Cieszyn Orlen"/>
    <x v="2"/>
    <x v="14"/>
    <x v="14"/>
  </r>
  <r>
    <s v="10"/>
    <x v="9"/>
    <x v="38"/>
    <s v="04"/>
    <s v="Cieszyn - Liburnia Kaufland"/>
    <x v="48"/>
    <x v="49"/>
    <x v="47"/>
  </r>
  <r>
    <s v="10"/>
    <x v="9"/>
    <x v="14"/>
    <s v="05"/>
    <s v="Cieszyn - Liburnia Kościól"/>
    <x v="25"/>
    <x v="15"/>
    <x v="15"/>
  </r>
  <r>
    <s v="11"/>
    <x v="10"/>
    <x v="61"/>
    <s v="104"/>
    <s v="Żory Sąd"/>
    <x v="44"/>
    <x v="44"/>
    <x v="42"/>
  </r>
  <r>
    <s v="11"/>
    <x v="10"/>
    <x v="3"/>
    <s v="101"/>
    <s v="Žory - Bajerowka"/>
    <x v="13"/>
    <x v="1"/>
    <x v="1"/>
  </r>
  <r>
    <s v="11"/>
    <x v="10"/>
    <x v="69"/>
    <s v="78"/>
    <s v="rybnik dworek parking trafo"/>
    <x v="49"/>
    <x v="50"/>
    <x v="48"/>
  </r>
  <r>
    <s v="11"/>
    <x v="10"/>
    <x v="70"/>
    <s v="77"/>
    <s v="rybnik smolna biedronka"/>
    <x v="16"/>
    <x v="4"/>
    <x v="4"/>
  </r>
  <r>
    <s v="11"/>
    <x v="10"/>
    <x v="4"/>
    <s v="36"/>
    <s v="Szeroka - Kaplica"/>
    <x v="16"/>
    <x v="4"/>
    <x v="4"/>
  </r>
  <r>
    <s v="11"/>
    <x v="10"/>
    <x v="51"/>
    <s v="38"/>
    <s v="Szeroka Gagarina"/>
    <x v="3"/>
    <x v="45"/>
    <x v="49"/>
  </r>
  <r>
    <s v="11"/>
    <x v="10"/>
    <x v="17"/>
    <s v="17"/>
    <s v="Jastrzebie Zdrój - Dubielec"/>
    <x v="17"/>
    <x v="5"/>
    <x v="10"/>
  </r>
  <r>
    <s v="11"/>
    <x v="10"/>
    <x v="71"/>
    <s v="73"/>
    <s v="Niedobczyce stadion"/>
    <x v="18"/>
    <x v="6"/>
    <x v="6"/>
  </r>
  <r>
    <s v="11"/>
    <x v="10"/>
    <x v="62"/>
    <s v="23"/>
    <s v="Jastrzębie Zdroj - dolni Rondo"/>
    <x v="19"/>
    <x v="7"/>
    <x v="7"/>
  </r>
  <r>
    <s v="11"/>
    <x v="10"/>
    <x v="63"/>
    <s v="49"/>
    <s v="Jastrzębie Zdroj - Zrojowa"/>
    <x v="4"/>
    <x v="8"/>
    <x v="8"/>
  </r>
  <r>
    <s v="11"/>
    <x v="10"/>
    <x v="0"/>
    <s v="62"/>
    <s v="radlin korfantego centrum"/>
    <x v="4"/>
    <x v="8"/>
    <x v="8"/>
  </r>
  <r>
    <s v="11"/>
    <x v="10"/>
    <x v="64"/>
    <s v="19"/>
    <s v="Jastrzębie Zdroj - Pilsudskiego Gwarkow"/>
    <x v="20"/>
    <x v="9"/>
    <x v="9"/>
  </r>
  <r>
    <s v="11"/>
    <x v="10"/>
    <x v="65"/>
    <s v="20"/>
    <s v="Jastrzębie Zdroj - Pilsudskiego Pionierow"/>
    <x v="0"/>
    <x v="18"/>
    <x v="18"/>
  </r>
  <r>
    <s v="11"/>
    <x v="10"/>
    <x v="66"/>
    <s v="32"/>
    <s v="Jastrzębie Zdroj - Podhalanska Wodociagi"/>
    <x v="5"/>
    <x v="19"/>
    <x v="19"/>
  </r>
  <r>
    <s v="11"/>
    <x v="10"/>
    <x v="42"/>
    <s v="67"/>
    <s v="Rydultowy dworzec autobusovy"/>
    <x v="50"/>
    <x v="51"/>
    <x v="50"/>
  </r>
  <r>
    <s v="11"/>
    <x v="10"/>
    <x v="67"/>
    <s v="35"/>
    <s v="Jastrzębie Zdroj - ruptawa ošrodek"/>
    <x v="21"/>
    <x v="1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AC35-D624-4F8D-87D7-0002CCA5CCA8}" name="Kontingenční tabulka1" cacheId="0" applyNumberFormats="0" applyBorderFormats="0" applyFontFormats="0" applyPatternFormats="0" applyAlignmentFormats="0" applyWidthHeightFormats="1" dataCaption="Hodnoty" updatedVersion="8" minRefreshableVersion="3" itemPrintTitles="1" createdVersion="8" indent="0" compact="0" compactData="0" multipleFieldFilters="0">
  <location ref="A1:E131" firstHeaderRow="1" firstDataRow="1" firstDataCol="5"/>
  <pivotFields count="8">
    <pivotField compact="0" outline="0" showAll="0"/>
    <pivotField axis="axisRow" compact="0" outline="0" showAll="0" sortType="ascending">
      <items count="14">
        <item x="0"/>
        <item x="1"/>
        <item x="2"/>
        <item x="3"/>
        <item x="4"/>
        <item x="5"/>
        <item x="6"/>
        <item x="7"/>
        <item x="8"/>
        <item m="1" x="11"/>
        <item x="9"/>
        <item x="10"/>
        <item m="1" x="12"/>
        <item t="default"/>
      </items>
    </pivotField>
    <pivotField axis="axisRow" compact="0" outline="0" showAll="0" defaultSubtotal="0">
      <items count="84">
        <item x="29"/>
        <item x="50"/>
        <item x="30"/>
        <item x="56"/>
        <item x="57"/>
        <item x="61"/>
        <item x="3"/>
        <item x="69"/>
        <item x="70"/>
        <item x="4"/>
        <item x="51"/>
        <item x="17"/>
        <item x="71"/>
        <item x="62"/>
        <item x="0"/>
        <item x="63"/>
        <item x="64"/>
        <item x="65"/>
        <item x="66"/>
        <item x="42"/>
        <item x="67"/>
        <item x="31"/>
        <item x="68"/>
        <item x="32"/>
        <item x="34"/>
        <item x="35"/>
        <item x="11"/>
        <item x="36"/>
        <item x="37"/>
        <item x="15"/>
        <item x="16"/>
        <item x="5"/>
        <item x="58"/>
        <item x="52"/>
        <item x="6"/>
        <item x="7"/>
        <item x="8"/>
        <item x="9"/>
        <item x="18"/>
        <item x="10"/>
        <item x="33"/>
        <item x="53"/>
        <item x="12"/>
        <item x="38"/>
        <item x="13"/>
        <item x="14"/>
        <item m="1" x="82"/>
        <item x="19"/>
        <item x="20"/>
        <item x="21"/>
        <item x="22"/>
        <item x="23"/>
        <item x="24"/>
        <item x="25"/>
        <item x="26"/>
        <item x="27"/>
        <item x="28"/>
        <item x="39"/>
        <item x="40"/>
        <item x="41"/>
        <item x="43"/>
        <item x="44"/>
        <item x="1"/>
        <item x="45"/>
        <item x="46"/>
        <item x="47"/>
        <item x="48"/>
        <item x="49"/>
        <item x="59"/>
        <item x="60"/>
        <item m="1" x="80"/>
        <item m="1" x="79"/>
        <item m="1" x="74"/>
        <item x="55"/>
        <item x="2"/>
        <item m="1" x="81"/>
        <item m="1" x="72"/>
        <item m="1" x="73"/>
        <item m="1" x="77"/>
        <item m="1" x="75"/>
        <item m="1" x="76"/>
        <item m="1" x="83"/>
        <item m="1" x="78"/>
        <item x="54"/>
      </items>
    </pivotField>
    <pivotField compact="0" outline="0" showAll="0"/>
    <pivotField compact="0" outline="0" showAll="0"/>
    <pivotField axis="axisRow" compact="0" numFmtId="21" outline="0" showAll="0" sortType="ascending" defaultSubtotal="0">
      <items count="54">
        <item m="1" x="52"/>
        <item x="31"/>
        <item x="44"/>
        <item x="13"/>
        <item x="14"/>
        <item x="15"/>
        <item x="49"/>
        <item x="16"/>
        <item x="3"/>
        <item x="17"/>
        <item x="18"/>
        <item x="32"/>
        <item x="19"/>
        <item x="33"/>
        <item x="4"/>
        <item x="45"/>
        <item x="20"/>
        <item x="46"/>
        <item x="0"/>
        <item x="5"/>
        <item x="50"/>
        <item x="6"/>
        <item x="21"/>
        <item x="7"/>
        <item m="1" x="53"/>
        <item x="8"/>
        <item x="47"/>
        <item x="34"/>
        <item x="22"/>
        <item x="23"/>
        <item x="37"/>
        <item x="41"/>
        <item x="24"/>
        <item x="35"/>
        <item x="1"/>
        <item x="36"/>
        <item x="38"/>
        <item x="28"/>
        <item x="2"/>
        <item x="29"/>
        <item x="48"/>
        <item x="9"/>
        <item x="25"/>
        <item x="42"/>
        <item x="43"/>
        <item x="10"/>
        <item x="11"/>
        <item x="39"/>
        <item x="12"/>
        <item x="40"/>
        <item x="30"/>
        <item m="1" x="51"/>
        <item x="26"/>
        <item x="27"/>
      </items>
    </pivotField>
    <pivotField axis="axisRow" compact="0" numFmtId="21" outline="0" showAll="0" defaultSubtotal="0">
      <items count="54">
        <item x="0"/>
        <item x="28"/>
        <item x="44"/>
        <item x="1"/>
        <item x="2"/>
        <item x="3"/>
        <item x="50"/>
        <item x="4"/>
        <item x="45"/>
        <item x="5"/>
        <item x="6"/>
        <item x="29"/>
        <item x="7"/>
        <item x="30"/>
        <item x="8"/>
        <item x="46"/>
        <item x="9"/>
        <item x="47"/>
        <item x="18"/>
        <item x="19"/>
        <item x="31"/>
        <item x="10"/>
        <item m="1" x="53"/>
        <item x="32"/>
        <item x="48"/>
        <item x="33"/>
        <item x="11"/>
        <item x="12"/>
        <item x="36"/>
        <item x="41"/>
        <item x="13"/>
        <item x="34"/>
        <item x="20"/>
        <item x="35"/>
        <item x="37"/>
        <item x="21"/>
        <item x="14"/>
        <item x="22"/>
        <item x="49"/>
        <item x="23"/>
        <item x="15"/>
        <item x="42"/>
        <item x="43"/>
        <item x="24"/>
        <item x="25"/>
        <item x="38"/>
        <item x="26"/>
        <item x="39"/>
        <item x="27"/>
        <item m="1" x="52"/>
        <item x="16"/>
        <item x="17"/>
        <item x="40"/>
        <item x="51"/>
      </items>
    </pivotField>
    <pivotField axis="axisRow" compact="0" numFmtId="21" outline="0" showAll="0" defaultSubtotal="0">
      <items count="55">
        <item x="0"/>
        <item x="49"/>
        <item x="28"/>
        <item x="42"/>
        <item x="1"/>
        <item x="2"/>
        <item x="3"/>
        <item x="48"/>
        <item x="4"/>
        <item x="43"/>
        <item x="5"/>
        <item x="6"/>
        <item x="29"/>
        <item x="7"/>
        <item x="30"/>
        <item x="8"/>
        <item x="44"/>
        <item x="9"/>
        <item x="45"/>
        <item x="18"/>
        <item x="19"/>
        <item x="31"/>
        <item x="10"/>
        <item m="1" x="54"/>
        <item x="32"/>
        <item x="46"/>
        <item x="33"/>
        <item x="11"/>
        <item x="12"/>
        <item x="36"/>
        <item m="1" x="53"/>
        <item x="13"/>
        <item x="34"/>
        <item x="20"/>
        <item x="35"/>
        <item x="37"/>
        <item x="21"/>
        <item x="14"/>
        <item x="22"/>
        <item x="47"/>
        <item x="23"/>
        <item x="15"/>
        <item x="40"/>
        <item x="41"/>
        <item x="24"/>
        <item x="25"/>
        <item x="38"/>
        <item x="26"/>
        <item x="39"/>
        <item x="27"/>
        <item m="1" x="51"/>
        <item x="16"/>
        <item x="17"/>
        <item m="1" x="52"/>
        <item x="50"/>
      </items>
    </pivotField>
  </pivotFields>
  <rowFields count="5">
    <field x="1"/>
    <field x="2"/>
    <field x="5"/>
    <field x="6"/>
    <field x="7"/>
  </rowFields>
  <rowItems count="130">
    <i>
      <x/>
      <x v="14"/>
      <x v="18"/>
      <x/>
      <x/>
    </i>
    <i r="1">
      <x v="62"/>
      <x v="34"/>
      <x/>
      <x/>
    </i>
    <i r="1">
      <x v="74"/>
      <x v="38"/>
      <x/>
      <x/>
    </i>
    <i t="default">
      <x/>
    </i>
    <i>
      <x v="1"/>
      <x v="6"/>
      <x v="8"/>
      <x/>
      <x/>
    </i>
    <i r="1">
      <x v="9"/>
      <x v="14"/>
      <x/>
      <x/>
    </i>
    <i r="1">
      <x v="26"/>
      <x v="41"/>
      <x/>
      <x/>
    </i>
    <i r="1">
      <x v="31"/>
      <x v="18"/>
      <x/>
      <x/>
    </i>
    <i r="1">
      <x v="34"/>
      <x v="19"/>
      <x/>
      <x/>
    </i>
    <i r="1">
      <x v="35"/>
      <x v="21"/>
      <x/>
      <x/>
    </i>
    <i r="1">
      <x v="36"/>
      <x v="23"/>
      <x/>
      <x/>
    </i>
    <i r="1">
      <x v="37"/>
      <x v="25"/>
      <x/>
      <x/>
    </i>
    <i r="1">
      <x v="39"/>
      <x v="34"/>
      <x/>
      <x/>
    </i>
    <i r="1">
      <x v="42"/>
      <x v="45"/>
      <x/>
      <x/>
    </i>
    <i r="1">
      <x v="44"/>
      <x v="46"/>
      <x/>
      <x/>
    </i>
    <i r="1">
      <x v="45"/>
      <x v="48"/>
      <x/>
      <x/>
    </i>
    <i t="default">
      <x v="1"/>
    </i>
    <i>
      <x v="2"/>
      <x v="11"/>
      <x v="5"/>
      <x v="5"/>
      <x v="6"/>
    </i>
    <i r="1">
      <x v="29"/>
      <x v="3"/>
      <x v="3"/>
      <x v="4"/>
    </i>
    <i r="1">
      <x v="30"/>
      <x v="4"/>
      <x v="4"/>
      <x v="5"/>
    </i>
    <i r="1">
      <x v="31"/>
      <x v="7"/>
      <x v="7"/>
      <x v="8"/>
    </i>
    <i r="1">
      <x v="34"/>
      <x v="9"/>
      <x v="9"/>
      <x v="10"/>
    </i>
    <i r="1">
      <x v="36"/>
      <x v="10"/>
      <x v="10"/>
      <x v="11"/>
    </i>
    <i r="1">
      <x v="38"/>
      <x v="12"/>
      <x v="12"/>
      <x v="13"/>
    </i>
    <i r="1">
      <x v="47"/>
      <x v="14"/>
      <x v="14"/>
      <x v="15"/>
    </i>
    <i r="1">
      <x v="48"/>
      <x v="16"/>
      <x v="16"/>
      <x v="17"/>
    </i>
    <i r="1">
      <x v="49"/>
      <x v="22"/>
      <x v="21"/>
      <x v="22"/>
    </i>
    <i r="1">
      <x v="50"/>
      <x v="28"/>
      <x v="26"/>
      <x v="27"/>
    </i>
    <i r="1">
      <x v="51"/>
      <x v="29"/>
      <x v="27"/>
      <x v="28"/>
    </i>
    <i r="1">
      <x v="52"/>
      <x v="32"/>
      <x v="30"/>
      <x v="31"/>
    </i>
    <i r="1">
      <x v="53"/>
      <x v="38"/>
      <x v="36"/>
      <x v="37"/>
    </i>
    <i r="1">
      <x v="54"/>
      <x v="42"/>
      <x v="40"/>
      <x v="41"/>
    </i>
    <i r="1">
      <x v="55"/>
      <x v="52"/>
      <x v="50"/>
      <x v="51"/>
    </i>
    <i r="1">
      <x v="56"/>
      <x v="53"/>
      <x v="51"/>
      <x v="52"/>
    </i>
    <i t="default">
      <x v="2"/>
    </i>
    <i>
      <x v="3"/>
      <x/>
      <x v="14"/>
      <x v="14"/>
      <x v="15"/>
    </i>
    <i r="1">
      <x v="2"/>
      <x v="18"/>
      <x v="18"/>
      <x v="19"/>
    </i>
    <i r="1">
      <x v="6"/>
      <x v="19"/>
      <x v="19"/>
      <x v="20"/>
    </i>
    <i r="1">
      <x v="21"/>
      <x v="34"/>
      <x v="32"/>
      <x v="33"/>
    </i>
    <i r="1">
      <x v="23"/>
      <x v="37"/>
      <x v="35"/>
      <x v="36"/>
    </i>
    <i r="1">
      <x v="24"/>
      <x v="41"/>
      <x v="39"/>
      <x v="40"/>
    </i>
    <i r="1">
      <x v="25"/>
      <x v="42"/>
      <x v="40"/>
      <x v="41"/>
    </i>
    <i r="1">
      <x v="26"/>
      <x v="45"/>
      <x v="43"/>
      <x v="44"/>
    </i>
    <i r="1">
      <x v="27"/>
      <x v="46"/>
      <x v="44"/>
      <x v="45"/>
    </i>
    <i r="1">
      <x v="28"/>
      <x v="48"/>
      <x v="46"/>
      <x v="47"/>
    </i>
    <i r="1">
      <x v="40"/>
      <x v="39"/>
      <x v="37"/>
      <x v="38"/>
    </i>
    <i r="1">
      <x v="43"/>
      <x v="50"/>
      <x v="48"/>
      <x v="49"/>
    </i>
    <i t="default">
      <x v="3"/>
    </i>
    <i>
      <x v="4"/>
      <x v="14"/>
      <x v="19"/>
      <x v="19"/>
      <x v="20"/>
    </i>
    <i r="1">
      <x v="19"/>
      <x v="13"/>
      <x v="13"/>
      <x v="14"/>
    </i>
    <i r="1">
      <x v="57"/>
      <x v="1"/>
      <x v="1"/>
      <x v="2"/>
    </i>
    <i r="1">
      <x v="58"/>
      <x v="3"/>
      <x v="3"/>
      <x v="4"/>
    </i>
    <i r="1">
      <x v="59"/>
      <x v="11"/>
      <x v="11"/>
      <x v="12"/>
    </i>
    <i r="1">
      <x v="60"/>
      <x v="21"/>
      <x v="20"/>
      <x v="21"/>
    </i>
    <i r="1">
      <x v="61"/>
      <x v="25"/>
      <x v="23"/>
      <x v="24"/>
    </i>
    <i r="1">
      <x v="62"/>
      <x v="27"/>
      <x v="25"/>
      <x v="26"/>
    </i>
    <i r="1">
      <x v="63"/>
      <x v="28"/>
      <x v="26"/>
      <x v="27"/>
    </i>
    <i r="1">
      <x v="64"/>
      <x v="29"/>
      <x v="27"/>
      <x v="28"/>
    </i>
    <i r="1">
      <x v="65"/>
      <x v="33"/>
      <x v="31"/>
      <x v="32"/>
    </i>
    <i r="1">
      <x v="66"/>
      <x v="35"/>
      <x v="33"/>
      <x v="34"/>
    </i>
    <i r="1">
      <x v="67"/>
      <x v="41"/>
      <x v="39"/>
      <x v="40"/>
    </i>
    <i t="default">
      <x v="4"/>
    </i>
    <i>
      <x v="5"/>
      <x v="1"/>
      <x v="18"/>
      <x v="18"/>
      <x v="19"/>
    </i>
    <i r="1">
      <x v="2"/>
      <x v="19"/>
      <x v="19"/>
      <x v="20"/>
    </i>
    <i r="1">
      <x v="6"/>
      <x v="21"/>
      <x v="20"/>
      <x v="21"/>
    </i>
    <i r="1">
      <x v="9"/>
      <x v="27"/>
      <x v="25"/>
      <x v="26"/>
    </i>
    <i r="1">
      <x v="10"/>
      <x v="27"/>
      <x v="25"/>
      <x v="26"/>
    </i>
    <i r="1">
      <x v="33"/>
      <x v="30"/>
      <x v="28"/>
      <x v="29"/>
    </i>
    <i r="1">
      <x v="34"/>
      <x v="34"/>
      <x v="32"/>
      <x v="33"/>
    </i>
    <i r="1">
      <x v="36"/>
      <x v="36"/>
      <x v="34"/>
      <x v="35"/>
    </i>
    <i r="1">
      <x v="38"/>
      <x v="38"/>
      <x v="36"/>
      <x v="37"/>
    </i>
    <i r="1">
      <x v="39"/>
      <x v="46"/>
      <x v="44"/>
      <x v="45"/>
    </i>
    <i r="1">
      <x v="40"/>
      <x v="47"/>
      <x v="45"/>
      <x v="46"/>
    </i>
    <i r="1">
      <x v="41"/>
      <x v="49"/>
      <x v="47"/>
      <x v="48"/>
    </i>
    <i r="1">
      <x v="42"/>
      <x v="52"/>
      <x v="50"/>
      <x v="51"/>
    </i>
    <i t="default">
      <x v="5"/>
    </i>
    <i>
      <x v="6"/>
      <x v="83"/>
      <x v="22"/>
      <x v="52"/>
      <x/>
    </i>
    <i t="default">
      <x v="6"/>
    </i>
    <i>
      <x v="7"/>
      <x v="14"/>
      <x v="31"/>
      <x v="29"/>
      <x v="24"/>
    </i>
    <i r="1">
      <x v="62"/>
      <x v="45"/>
      <x v="43"/>
      <x v="44"/>
    </i>
    <i r="1">
      <x v="73"/>
      <x v="42"/>
      <x v="40"/>
      <x v="41"/>
    </i>
    <i t="default">
      <x v="7"/>
    </i>
    <i>
      <x v="8"/>
      <x v="3"/>
      <x v="25"/>
      <x v="23"/>
      <x v="24"/>
    </i>
    <i r="1">
      <x v="4"/>
      <x v="28"/>
      <x v="26"/>
      <x v="27"/>
    </i>
    <i r="1">
      <x v="6"/>
      <x v="29"/>
      <x v="27"/>
      <x v="28"/>
    </i>
    <i r="1">
      <x v="11"/>
      <x v="38"/>
      <x v="36"/>
      <x v="37"/>
    </i>
    <i r="1">
      <x v="30"/>
      <x v="34"/>
      <x v="32"/>
      <x v="33"/>
    </i>
    <i r="1">
      <x v="32"/>
      <x v="41"/>
      <x v="39"/>
      <x v="40"/>
    </i>
    <i r="1">
      <x v="34"/>
      <x v="42"/>
      <x v="40"/>
      <x v="41"/>
    </i>
    <i r="1">
      <x v="35"/>
      <x v="43"/>
      <x v="41"/>
      <x v="42"/>
    </i>
    <i r="1">
      <x v="68"/>
      <x v="44"/>
      <x v="42"/>
      <x v="43"/>
    </i>
    <i r="1">
      <x v="69"/>
      <x v="47"/>
      <x v="45"/>
      <x v="46"/>
    </i>
    <i t="default">
      <x v="8"/>
    </i>
    <i>
      <x v="10"/>
      <x v="5"/>
      <x v="2"/>
      <x v="2"/>
      <x v="3"/>
    </i>
    <i r="1">
      <x v="6"/>
      <x v="3"/>
      <x v="3"/>
      <x v="4"/>
    </i>
    <i r="1">
      <x v="9"/>
      <x v="7"/>
      <x v="7"/>
      <x v="8"/>
    </i>
    <i r="1">
      <x v="10"/>
      <x v="8"/>
      <x v="8"/>
      <x v="9"/>
    </i>
    <i r="1">
      <x v="11"/>
      <x v="9"/>
      <x v="9"/>
      <x v="10"/>
    </i>
    <i r="1">
      <x v="13"/>
      <x v="14"/>
      <x v="14"/>
      <x v="15"/>
    </i>
    <i r="1">
      <x v="15"/>
      <x v="15"/>
      <x v="15"/>
      <x v="16"/>
    </i>
    <i r="1">
      <x v="16"/>
      <x v="17"/>
      <x v="17"/>
      <x v="18"/>
    </i>
    <i r="1">
      <x v="17"/>
      <x v="18"/>
      <x v="18"/>
      <x v="19"/>
    </i>
    <i r="1">
      <x v="18"/>
      <x v="19"/>
      <x v="19"/>
      <x v="20"/>
    </i>
    <i r="1">
      <x v="20"/>
      <x v="22"/>
      <x v="21"/>
      <x v="22"/>
    </i>
    <i r="1">
      <x v="21"/>
      <x v="25"/>
      <x v="23"/>
      <x v="24"/>
    </i>
    <i r="1">
      <x v="22"/>
      <x v="26"/>
      <x v="24"/>
      <x v="25"/>
    </i>
    <i r="1">
      <x v="23"/>
      <x v="27"/>
      <x v="25"/>
      <x v="26"/>
    </i>
    <i r="1">
      <x v="26"/>
      <x v="34"/>
      <x v="32"/>
      <x v="33"/>
    </i>
    <i r="1">
      <x v="42"/>
      <x v="38"/>
      <x v="36"/>
      <x v="37"/>
    </i>
    <i r="1">
      <x v="43"/>
      <x v="40"/>
      <x v="38"/>
      <x v="39"/>
    </i>
    <i r="1">
      <x v="45"/>
      <x v="42"/>
      <x v="40"/>
      <x v="41"/>
    </i>
    <i t="default">
      <x v="10"/>
    </i>
    <i>
      <x v="11"/>
      <x v="5"/>
      <x v="2"/>
      <x v="2"/>
      <x v="3"/>
    </i>
    <i r="1">
      <x v="6"/>
      <x v="3"/>
      <x v="3"/>
      <x v="4"/>
    </i>
    <i r="1">
      <x v="7"/>
      <x v="6"/>
      <x v="6"/>
      <x v="7"/>
    </i>
    <i r="1">
      <x v="8"/>
      <x v="7"/>
      <x v="7"/>
      <x v="8"/>
    </i>
    <i r="1">
      <x v="9"/>
      <x v="7"/>
      <x v="7"/>
      <x v="8"/>
    </i>
    <i r="1">
      <x v="10"/>
      <x v="8"/>
      <x v="8"/>
      <x v="1"/>
    </i>
    <i r="1">
      <x v="11"/>
      <x v="9"/>
      <x v="9"/>
      <x v="22"/>
    </i>
    <i r="1">
      <x v="12"/>
      <x v="10"/>
      <x v="10"/>
      <x v="11"/>
    </i>
    <i r="1">
      <x v="13"/>
      <x v="12"/>
      <x v="12"/>
      <x v="13"/>
    </i>
    <i r="1">
      <x v="14"/>
      <x v="14"/>
      <x v="14"/>
      <x v="15"/>
    </i>
    <i r="1">
      <x v="15"/>
      <x v="14"/>
      <x v="14"/>
      <x v="15"/>
    </i>
    <i r="1">
      <x v="16"/>
      <x v="16"/>
      <x v="16"/>
      <x v="17"/>
    </i>
    <i r="1">
      <x v="17"/>
      <x v="18"/>
      <x v="18"/>
      <x v="19"/>
    </i>
    <i r="1">
      <x v="18"/>
      <x v="19"/>
      <x v="19"/>
      <x v="20"/>
    </i>
    <i r="1">
      <x v="19"/>
      <x v="20"/>
      <x v="53"/>
      <x v="54"/>
    </i>
    <i r="1">
      <x v="20"/>
      <x v="22"/>
      <x v="21"/>
      <x v="22"/>
    </i>
    <i t="default">
      <x v="11"/>
    </i>
    <i t="grand">
      <x/>
    </i>
  </rowItems>
  <colItems count="1">
    <i/>
  </colItems>
  <formats count="1">
    <format dxfId="1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Trasa" xr10:uid="{16E255A9-6548-4F44-829F-EAFCB8DC53BF}" sourceName="Trasa">
  <pivotTables>
    <pivotTable tabId="7" name="Kontingenční tabulka1"/>
  </pivotTables>
  <data>
    <tabular pivotCacheId="1104563922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 nd="1"/>
        <i x="1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sa" xr10:uid="{387F52A0-3C31-40E5-816F-F021A0CB64A1}" cache="Průřez_Trasa" caption="Tras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1BE48D-C8AA-4D64-B870-069E55BA8A83}" name="Tab_Zast" displayName="Tab_Zast" ref="B1:D110" totalsRowShown="0" tableBorderDxfId="15">
  <autoFilter ref="B1:D110" xr:uid="{4D1BE48D-C8AA-4D64-B870-069E55BA8A83}"/>
  <sortState xmlns:xlrd2="http://schemas.microsoft.com/office/spreadsheetml/2017/richdata2" ref="B2:D108">
    <sortCondition ref="C1:C108"/>
  </sortState>
  <tableColumns count="3">
    <tableColumn id="1" xr3:uid="{F1675B82-5807-4674-89BB-9D4135132C3E}" name="ID" dataDxfId="14"/>
    <tableColumn id="2" xr3:uid="{0BE5DAEA-73C8-46EA-B82F-C42432D0A32F}" name="Zastávka" dataDxfId="13"/>
    <tableColumn id="3" xr3:uid="{9B4956C0-B81F-420E-A8AE-24BF5A829B83}" name="Sloupec1" dataDxfId="12">
      <calculatedColumnFormula>Tab_Zast[[#This Row],[ID]]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78A83F-1B9D-4E5A-AD81-F2DF3DE1C75B}" name="Tabulka2" displayName="Tabulka2" ref="B1:D13" totalsRowShown="0">
  <autoFilter ref="B1:D13" xr:uid="{C278A83F-1B9D-4E5A-AD81-F2DF3DE1C75B}"/>
  <tableColumns count="3">
    <tableColumn id="1" xr3:uid="{D233A606-8994-43E2-A592-C062D3429AB7}" name="ID" dataDxfId="11"/>
    <tableColumn id="2" xr3:uid="{342BA7CF-8E70-476A-90CE-0885D756BB61}" name="Trasa" dataDxfId="10"/>
    <tableColumn id="3" xr3:uid="{081F538A-B974-40B3-8F37-E0B9FEBD80E7}" name="Popis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2DEE05-C1C0-4A33-BEEA-38F2CB5C530B}" name="Tabulka4" displayName="Tabulka4" ref="B2:F130" totalsRowShown="0" headerRowDxfId="8" dataDxfId="7">
  <autoFilter ref="B2:F130" xr:uid="{4A2DEE05-C1C0-4A33-BEEA-38F2CB5C530B}"/>
  <tableColumns count="5">
    <tableColumn id="1" xr3:uid="{0E75C964-5AC8-4283-BACA-126791BAD76B}" name="zastavka" dataDxfId="6"/>
    <tableColumn id="2" xr3:uid="{48124AA4-9733-471E-8B4F-8204D1911771}" name="trasa" dataDxfId="5"/>
    <tableColumn id="3" xr3:uid="{578604CF-E2EC-4584-A2E1-613479E4081E}" name="R" dataDxfId="4"/>
    <tableColumn id="4" xr3:uid="{F8A4AAA7-C172-469F-A775-5016BC2CB740}" name="O" dataDxfId="3"/>
    <tableColumn id="5" xr3:uid="{E4C54A9A-F6F8-477C-915F-E1D1A55792EA}" name="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71CE-2ACB-4D4C-B5C1-374B389C15C7}">
  <dimension ref="C3:N6"/>
  <sheetViews>
    <sheetView workbookViewId="0">
      <selection activeCell="E11" sqref="E11"/>
    </sheetView>
  </sheetViews>
  <sheetFormatPr defaultRowHeight="15" x14ac:dyDescent="0.25"/>
  <cols>
    <col min="8" max="8" width="11.5703125" bestFit="1" customWidth="1"/>
    <col min="10" max="10" width="19.5703125" bestFit="1" customWidth="1"/>
    <col min="11" max="11" width="14" customWidth="1"/>
  </cols>
  <sheetData>
    <row r="3" spans="3:14" x14ac:dyDescent="0.25">
      <c r="C3" t="s">
        <v>0</v>
      </c>
      <c r="G3" t="s">
        <v>1</v>
      </c>
      <c r="H3" t="s">
        <v>2</v>
      </c>
      <c r="J3" t="s">
        <v>3</v>
      </c>
    </row>
    <row r="4" spans="3:14" x14ac:dyDescent="0.25">
      <c r="F4" t="s">
        <v>4</v>
      </c>
      <c r="G4" t="s">
        <v>5</v>
      </c>
      <c r="H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</row>
    <row r="5" spans="3:14" x14ac:dyDescent="0.25">
      <c r="C5" s="3">
        <v>1</v>
      </c>
      <c r="D5" t="s">
        <v>12</v>
      </c>
      <c r="F5" s="2">
        <v>1</v>
      </c>
      <c r="G5" t="s">
        <v>13</v>
      </c>
      <c r="J5" s="3">
        <v>1</v>
      </c>
      <c r="K5" s="2">
        <v>1</v>
      </c>
      <c r="L5" s="1">
        <v>0.22916666666666666</v>
      </c>
      <c r="M5" s="1">
        <v>0.58333333333333337</v>
      </c>
      <c r="N5" s="1">
        <v>0.91666666666666663</v>
      </c>
    </row>
    <row r="6" spans="3:14" x14ac:dyDescent="0.25">
      <c r="C6" s="3">
        <v>2</v>
      </c>
      <c r="D6" t="s">
        <v>14</v>
      </c>
      <c r="F6" s="2">
        <v>2</v>
      </c>
      <c r="G6" t="s">
        <v>15</v>
      </c>
      <c r="J6" s="3">
        <v>2</v>
      </c>
      <c r="K6" s="2">
        <v>2</v>
      </c>
      <c r="L6" s="1">
        <v>0.22222222222222221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08D9-B08A-451E-B951-FC6E34B6379F}">
  <sheetPr>
    <tabColor rgb="FFFF0000"/>
  </sheetPr>
  <dimension ref="B1:I120"/>
  <sheetViews>
    <sheetView topLeftCell="A64" zoomScale="85" zoomScaleNormal="85" workbookViewId="0">
      <selection activeCell="G111" sqref="G111"/>
    </sheetView>
  </sheetViews>
  <sheetFormatPr defaultRowHeight="15" x14ac:dyDescent="0.25"/>
  <cols>
    <col min="2" max="2" width="8.85546875" style="5"/>
    <col min="3" max="3" width="87" bestFit="1" customWidth="1"/>
    <col min="6" max="6" width="23.85546875" bestFit="1" customWidth="1"/>
    <col min="7" max="7" width="47.28515625" bestFit="1" customWidth="1"/>
    <col min="8" max="8" width="64.28515625" bestFit="1" customWidth="1"/>
    <col min="9" max="9" width="85.5703125" bestFit="1" customWidth="1"/>
  </cols>
  <sheetData>
    <row r="1" spans="2:9" x14ac:dyDescent="0.25">
      <c r="B1" s="6" t="s">
        <v>4</v>
      </c>
      <c r="C1" s="7" t="s">
        <v>16</v>
      </c>
      <c r="D1" t="s">
        <v>17</v>
      </c>
      <c r="F1" t="s">
        <v>18</v>
      </c>
      <c r="G1" t="s">
        <v>19</v>
      </c>
      <c r="H1" t="s">
        <v>520</v>
      </c>
    </row>
    <row r="2" spans="2:9" x14ac:dyDescent="0.25">
      <c r="B2" s="13" t="s">
        <v>20</v>
      </c>
      <c r="C2" t="s">
        <v>21</v>
      </c>
      <c r="D2" s="10" t="str">
        <f>Tab_Zast[[#This Row],[ID]]</f>
        <v>01</v>
      </c>
      <c r="F2" t="s">
        <v>22</v>
      </c>
      <c r="G2" t="s">
        <v>23</v>
      </c>
      <c r="H2" t="str">
        <f>F2&amp;", "&amp;G2</f>
        <v>Cieszyn, Brama Myta (dawne przejście graniczne)</v>
      </c>
      <c r="I2" t="str">
        <f>"insert into nastupy (zastavka) values ('" &amp; H2 &amp; "');"</f>
        <v>insert into nastupy (zastavka) values ('Cieszyn, Brama Myta (dawne przejście graniczne)');</v>
      </c>
    </row>
    <row r="3" spans="2:9" x14ac:dyDescent="0.25">
      <c r="B3" s="14" t="s">
        <v>24</v>
      </c>
      <c r="C3" t="s">
        <v>25</v>
      </c>
      <c r="D3" s="10" t="str">
        <f>Tab_Zast[[#This Row],[ID]]</f>
        <v>02</v>
      </c>
      <c r="F3" t="s">
        <v>22</v>
      </c>
      <c r="G3" t="s">
        <v>521</v>
      </c>
      <c r="H3" t="str">
        <f t="shared" ref="H3:H66" si="0">F3&amp;", "&amp;G3</f>
        <v>Cieszyn, McDonalds</v>
      </c>
      <c r="I3" t="str">
        <f t="shared" ref="I3:I66" si="1">"insert into nastupy (zastavka) values ('" &amp; H3 &amp; "');"</f>
        <v>insert into nastupy (zastavka) values ('Cieszyn, McDonalds');</v>
      </c>
    </row>
    <row r="4" spans="2:9" x14ac:dyDescent="0.25">
      <c r="B4" s="14" t="s">
        <v>26</v>
      </c>
      <c r="C4" t="s">
        <v>27</v>
      </c>
      <c r="D4" s="10" t="str">
        <f>Tab_Zast[[#This Row],[ID]]</f>
        <v>03</v>
      </c>
      <c r="F4" t="s">
        <v>22</v>
      </c>
      <c r="G4" t="s">
        <v>28</v>
      </c>
      <c r="H4" t="str">
        <f t="shared" si="0"/>
        <v>Cieszyn, ul. Katowicka (Cmentarz / Orlen / Biedronka)</v>
      </c>
      <c r="I4" t="str">
        <f t="shared" si="1"/>
        <v>insert into nastupy (zastavka) values ('Cieszyn, ul. Katowicka (Cmentarz / Orlen / Biedronka)');</v>
      </c>
    </row>
    <row r="5" spans="2:9" x14ac:dyDescent="0.25">
      <c r="B5" s="14" t="s">
        <v>29</v>
      </c>
      <c r="C5" t="s">
        <v>30</v>
      </c>
      <c r="D5" s="10" t="str">
        <f>Tab_Zast[[#This Row],[ID]]</f>
        <v>04</v>
      </c>
      <c r="F5" t="s">
        <v>22</v>
      </c>
      <c r="G5" t="s">
        <v>31</v>
      </c>
      <c r="H5" t="str">
        <f t="shared" si="0"/>
        <v>Cieszyn, ul. Liburnia (Kaufland)</v>
      </c>
      <c r="I5" t="str">
        <f t="shared" si="1"/>
        <v>insert into nastupy (zastavka) values ('Cieszyn, ul. Liburnia (Kaufland)');</v>
      </c>
    </row>
    <row r="6" spans="2:9" x14ac:dyDescent="0.25">
      <c r="B6" s="14" t="s">
        <v>32</v>
      </c>
      <c r="C6" t="s">
        <v>33</v>
      </c>
      <c r="D6" s="10" t="str">
        <f>Tab_Zast[[#This Row],[ID]]</f>
        <v>05</v>
      </c>
      <c r="F6" t="s">
        <v>22</v>
      </c>
      <c r="G6" t="s">
        <v>34</v>
      </c>
      <c r="H6" t="str">
        <f t="shared" si="0"/>
        <v>Cieszyn, ul. Liburnia (Kościół)</v>
      </c>
      <c r="I6" t="str">
        <f t="shared" si="1"/>
        <v>insert into nastupy (zastavka) values ('Cieszyn, ul. Liburnia (Kościół)');</v>
      </c>
    </row>
    <row r="7" spans="2:9" x14ac:dyDescent="0.25">
      <c r="B7" s="14" t="s">
        <v>35</v>
      </c>
      <c r="C7" t="s">
        <v>36</v>
      </c>
      <c r="D7" s="10" t="str">
        <f>Tab_Zast[[#This Row],[ID]]</f>
        <v>06</v>
      </c>
      <c r="F7" t="s">
        <v>22</v>
      </c>
      <c r="G7" t="s">
        <v>37</v>
      </c>
      <c r="H7" t="str">
        <f t="shared" si="0"/>
        <v>Cieszyn, ul. Liburnia (Starostwo Powiatowe)</v>
      </c>
      <c r="I7" t="str">
        <f t="shared" si="1"/>
        <v>insert into nastupy (zastavka) values ('Cieszyn, ul. Liburnia (Starostwo Powiatowe)');</v>
      </c>
    </row>
    <row r="8" spans="2:9" x14ac:dyDescent="0.25">
      <c r="B8" s="14" t="s">
        <v>38</v>
      </c>
      <c r="C8" t="s">
        <v>39</v>
      </c>
      <c r="D8" s="10" t="str">
        <f>Tab_Zast[[#This Row],[ID]]</f>
        <v>07</v>
      </c>
      <c r="F8" t="s">
        <v>22</v>
      </c>
      <c r="G8" t="s">
        <v>40</v>
      </c>
      <c r="H8" t="str">
        <f t="shared" si="0"/>
        <v>Cieszyn, ul. Liburnia (Warsztat)</v>
      </c>
      <c r="I8" t="str">
        <f t="shared" si="1"/>
        <v>insert into nastupy (zastavka) values ('Cieszyn, ul. Liburnia (Warsztat)');</v>
      </c>
    </row>
    <row r="9" spans="2:9" x14ac:dyDescent="0.25">
      <c r="B9" s="14" t="s">
        <v>41</v>
      </c>
      <c r="C9" t="s">
        <v>42</v>
      </c>
      <c r="D9" s="10" t="str">
        <f>Tab_Zast[[#This Row],[ID]]</f>
        <v>08</v>
      </c>
      <c r="F9" t="s">
        <v>22</v>
      </c>
      <c r="G9" t="s">
        <v>43</v>
      </c>
      <c r="H9" t="str">
        <f t="shared" si="0"/>
        <v>Cieszyn, ul. Stawowa (Pastwiska)</v>
      </c>
      <c r="I9" t="str">
        <f t="shared" si="1"/>
        <v>insert into nastupy (zastavka) values ('Cieszyn, ul. Stawowa (Pastwiska)');</v>
      </c>
    </row>
    <row r="10" spans="2:9" x14ac:dyDescent="0.25">
      <c r="B10" s="14" t="s">
        <v>44</v>
      </c>
      <c r="C10" t="s">
        <v>45</v>
      </c>
      <c r="D10" s="10" t="str">
        <f>Tab_Zast[[#This Row],[ID]]</f>
        <v>09</v>
      </c>
      <c r="F10" t="s">
        <v>46</v>
      </c>
      <c r="G10" t="s">
        <v>47</v>
      </c>
      <c r="H10" t="str">
        <f t="shared" si="0"/>
        <v>Frýdek-Místek (CZ), Stacja Benzina / KMJ</v>
      </c>
      <c r="I10" t="str">
        <f t="shared" si="1"/>
        <v>insert into nastupy (zastavka) values ('Frýdek-Místek (CZ), Stacja Benzina / KMJ');</v>
      </c>
    </row>
    <row r="11" spans="2:9" x14ac:dyDescent="0.25">
      <c r="B11" s="14" t="s">
        <v>48</v>
      </c>
      <c r="C11" t="s">
        <v>49</v>
      </c>
      <c r="D11" s="10" t="str">
        <f>Tab_Zast[[#This Row],[ID]]</f>
        <v>10</v>
      </c>
      <c r="F11" t="s">
        <v>50</v>
      </c>
      <c r="G11" t="s">
        <v>51</v>
      </c>
      <c r="H11" t="str">
        <f t="shared" si="0"/>
        <v>Gołkowice, ul. 1 Maja (Centrum)</v>
      </c>
      <c r="I11" t="str">
        <f t="shared" si="1"/>
        <v>insert into nastupy (zastavka) values ('Gołkowice, ul. 1 Maja (Centrum)');</v>
      </c>
    </row>
    <row r="12" spans="2:9" x14ac:dyDescent="0.25">
      <c r="B12" s="14" t="s">
        <v>52</v>
      </c>
      <c r="C12" t="s">
        <v>53</v>
      </c>
      <c r="D12" s="10" t="str">
        <f>Tab_Zast[[#This Row],[ID]]</f>
        <v>11</v>
      </c>
      <c r="F12" t="s">
        <v>54</v>
      </c>
      <c r="G12" t="s">
        <v>55</v>
      </c>
      <c r="H12" t="str">
        <f t="shared" si="0"/>
        <v>Gorzyce, Urząd Gminy</v>
      </c>
      <c r="I12" t="str">
        <f t="shared" si="1"/>
        <v>insert into nastupy (zastavka) values ('Gorzyce, Urząd Gminy');</v>
      </c>
    </row>
    <row r="13" spans="2:9" x14ac:dyDescent="0.25">
      <c r="B13" s="14" t="s">
        <v>56</v>
      </c>
      <c r="C13" t="s">
        <v>57</v>
      </c>
      <c r="D13" s="10" t="str">
        <f>Tab_Zast[[#This Row],[ID]]</f>
        <v>12</v>
      </c>
      <c r="F13" t="s">
        <v>58</v>
      </c>
      <c r="G13" t="s">
        <v>59</v>
      </c>
      <c r="H13" t="str">
        <f t="shared" si="0"/>
        <v>Gorzyczki, UNIWAR</v>
      </c>
      <c r="I13" t="str">
        <f t="shared" si="1"/>
        <v>insert into nastupy (zastavka) values ('Gorzyczki, UNIWAR');</v>
      </c>
    </row>
    <row r="14" spans="2:9" x14ac:dyDescent="0.25">
      <c r="B14" s="14" t="s">
        <v>60</v>
      </c>
      <c r="C14" t="s">
        <v>61</v>
      </c>
      <c r="D14" s="10" t="str">
        <f>Tab_Zast[[#This Row],[ID]]</f>
        <v>13</v>
      </c>
      <c r="F14" t="s">
        <v>62</v>
      </c>
      <c r="G14" t="s">
        <v>63</v>
      </c>
      <c r="H14" t="str">
        <f t="shared" si="0"/>
        <v>Hażlach, Centrum (Skrzyżowanie obok stacji Crab)</v>
      </c>
      <c r="I14" t="str">
        <f t="shared" si="1"/>
        <v>insert into nastupy (zastavka) values ('Hażlach, Centrum (Skrzyżowanie obok stacji Crab)');</v>
      </c>
    </row>
    <row r="15" spans="2:9" x14ac:dyDescent="0.25">
      <c r="B15" s="14" t="s">
        <v>64</v>
      </c>
      <c r="C15" t="s">
        <v>65</v>
      </c>
      <c r="D15" s="10" t="str">
        <f>Tab_Zast[[#This Row],[ID]]</f>
        <v>14</v>
      </c>
      <c r="F15" t="s">
        <v>62</v>
      </c>
      <c r="G15" t="s">
        <v>66</v>
      </c>
      <c r="H15" t="str">
        <f t="shared" si="0"/>
        <v>Hażlach, Restauracja Parkowa</v>
      </c>
      <c r="I15" t="str">
        <f t="shared" si="1"/>
        <v>insert into nastupy (zastavka) values ('Hażlach, Restauracja Parkowa');</v>
      </c>
    </row>
    <row r="16" spans="2:9" x14ac:dyDescent="0.25">
      <c r="B16" s="14" t="s">
        <v>67</v>
      </c>
      <c r="C16" t="s">
        <v>68</v>
      </c>
      <c r="D16" s="10" t="str">
        <f>Tab_Zast[[#This Row],[ID]]</f>
        <v>15</v>
      </c>
      <c r="F16" t="s">
        <v>62</v>
      </c>
      <c r="G16" t="s">
        <v>69</v>
      </c>
      <c r="H16" t="str">
        <f t="shared" si="0"/>
        <v>Hażlach, Sklep Gastronomia</v>
      </c>
      <c r="I16" t="str">
        <f t="shared" si="1"/>
        <v>insert into nastupy (zastavka) values ('Hażlach, Sklep Gastronomia');</v>
      </c>
    </row>
    <row r="17" spans="2:9" x14ac:dyDescent="0.25">
      <c r="B17" s="14" t="s">
        <v>70</v>
      </c>
      <c r="C17" t="s">
        <v>71</v>
      </c>
      <c r="D17" s="10" t="str">
        <f>Tab_Zast[[#This Row],[ID]]</f>
        <v>16</v>
      </c>
      <c r="F17" t="s">
        <v>72</v>
      </c>
      <c r="G17" t="s">
        <v>73</v>
      </c>
      <c r="H17" t="str">
        <f t="shared" si="0"/>
        <v>Jastrzębie-Zdrój, Al. Jana Pawła II (Hala Sportowa)</v>
      </c>
      <c r="I17" t="str">
        <f t="shared" si="1"/>
        <v>insert into nastupy (zastavka) values ('Jastrzębie-Zdrój, Al. Jana Pawła II (Hala Sportowa)');</v>
      </c>
    </row>
    <row r="18" spans="2:9" x14ac:dyDescent="0.25">
      <c r="B18" s="14" t="s">
        <v>74</v>
      </c>
      <c r="C18" t="s">
        <v>75</v>
      </c>
      <c r="D18" s="10" t="str">
        <f>Tab_Zast[[#This Row],[ID]]</f>
        <v>17</v>
      </c>
      <c r="F18" t="s">
        <v>72</v>
      </c>
      <c r="G18" t="s">
        <v>76</v>
      </c>
      <c r="H18" t="str">
        <f t="shared" si="0"/>
        <v>Jastrzębie-Zdrój, Al. Piłsudskiego (Dubielec)</v>
      </c>
      <c r="I18" t="str">
        <f t="shared" si="1"/>
        <v>insert into nastupy (zastavka) values ('Jastrzębie-Zdrój, Al. Piłsudskiego (Dubielec)');</v>
      </c>
    </row>
    <row r="19" spans="2:9" x14ac:dyDescent="0.25">
      <c r="B19" s="14" t="s">
        <v>77</v>
      </c>
      <c r="C19" t="s">
        <v>78</v>
      </c>
      <c r="D19" s="10" t="str">
        <f>Tab_Zast[[#This Row],[ID]]</f>
        <v>18</v>
      </c>
      <c r="F19" t="s">
        <v>72</v>
      </c>
      <c r="G19" t="s">
        <v>522</v>
      </c>
      <c r="H19" t="str">
        <f t="shared" si="0"/>
        <v>Jastrzębie-Zdrój, Al. Piłsudskiego (McDonalds)</v>
      </c>
      <c r="I19" t="str">
        <f t="shared" si="1"/>
        <v>insert into nastupy (zastavka) values ('Jastrzębie-Zdrój, Al. Piłsudskiego (McDonalds)');</v>
      </c>
    </row>
    <row r="20" spans="2:9" x14ac:dyDescent="0.25">
      <c r="B20" s="14" t="s">
        <v>79</v>
      </c>
      <c r="C20" t="s">
        <v>80</v>
      </c>
      <c r="D20" s="10" t="str">
        <f>Tab_Zast[[#This Row],[ID]]</f>
        <v>19</v>
      </c>
      <c r="F20" t="s">
        <v>72</v>
      </c>
      <c r="G20" t="s">
        <v>81</v>
      </c>
      <c r="H20" t="str">
        <f t="shared" si="0"/>
        <v>Jastrzębie-Zdrój, Al. Piłsudskiego (Osiedle Gwarków)</v>
      </c>
      <c r="I20" t="str">
        <f t="shared" si="1"/>
        <v>insert into nastupy (zastavka) values ('Jastrzębie-Zdrój, Al. Piłsudskiego (Osiedle Gwarków)');</v>
      </c>
    </row>
    <row r="21" spans="2:9" x14ac:dyDescent="0.25">
      <c r="B21" s="14" t="s">
        <v>82</v>
      </c>
      <c r="C21" t="s">
        <v>83</v>
      </c>
      <c r="D21" s="10" t="str">
        <f>Tab_Zast[[#This Row],[ID]]</f>
        <v>20</v>
      </c>
      <c r="F21" t="s">
        <v>72</v>
      </c>
      <c r="G21" t="s">
        <v>84</v>
      </c>
      <c r="H21" t="str">
        <f t="shared" si="0"/>
        <v>Jastrzębie-Zdrój, Al. Piłsudskiego (Osiedle Pionierów)</v>
      </c>
      <c r="I21" t="str">
        <f t="shared" si="1"/>
        <v>insert into nastupy (zastavka) values ('Jastrzębie-Zdrój, Al. Piłsudskiego (Osiedle Pionierów)');</v>
      </c>
    </row>
    <row r="22" spans="2:9" x14ac:dyDescent="0.25">
      <c r="B22" s="14" t="s">
        <v>85</v>
      </c>
      <c r="C22" t="s">
        <v>86</v>
      </c>
      <c r="D22" s="10" t="str">
        <f>Tab_Zast[[#This Row],[ID]]</f>
        <v>21</v>
      </c>
      <c r="F22" t="s">
        <v>72</v>
      </c>
      <c r="G22" t="s">
        <v>87</v>
      </c>
      <c r="H22" t="str">
        <f t="shared" si="0"/>
        <v>Jastrzębie-Zdrój, Al. Piłsudskiego (Osiedle Staszica)</v>
      </c>
      <c r="I22" t="str">
        <f t="shared" si="1"/>
        <v>insert into nastupy (zastavka) values ('Jastrzębie-Zdrój, Al. Piłsudskiego (Osiedle Staszica)');</v>
      </c>
    </row>
    <row r="23" spans="2:9" x14ac:dyDescent="0.25">
      <c r="B23" s="14" t="s">
        <v>88</v>
      </c>
      <c r="C23" t="s">
        <v>89</v>
      </c>
      <c r="D23" s="10" t="str">
        <f>Tab_Zast[[#This Row],[ID]]</f>
        <v>22</v>
      </c>
      <c r="F23" t="s">
        <v>72</v>
      </c>
      <c r="G23" t="s">
        <v>90</v>
      </c>
      <c r="H23" t="str">
        <f t="shared" si="0"/>
        <v>Jastrzębie-Zdrój, Al. Piłsudskiego (Pszczyńska/Rybnicka)</v>
      </c>
      <c r="I23" t="str">
        <f t="shared" si="1"/>
        <v>insert into nastupy (zastavka) values ('Jastrzębie-Zdrój, Al. Piłsudskiego (Pszczyńska/Rybnicka)');</v>
      </c>
    </row>
    <row r="24" spans="2:9" x14ac:dyDescent="0.25">
      <c r="B24" s="14" t="s">
        <v>91</v>
      </c>
      <c r="C24" t="s">
        <v>92</v>
      </c>
      <c r="D24" s="10" t="str">
        <f>Tab_Zast[[#This Row],[ID]]</f>
        <v>23</v>
      </c>
      <c r="F24" t="s">
        <v>72</v>
      </c>
      <c r="G24" t="s">
        <v>93</v>
      </c>
      <c r="H24" t="str">
        <f t="shared" si="0"/>
        <v>Jastrzębie-Zdrój, Al. Piłsudskiego (Rondo Dolne)</v>
      </c>
      <c r="I24" t="str">
        <f t="shared" si="1"/>
        <v>insert into nastupy (zastavka) values ('Jastrzębie-Zdrój, Al. Piłsudskiego (Rondo Dolne)');</v>
      </c>
    </row>
    <row r="25" spans="2:9" x14ac:dyDescent="0.25">
      <c r="B25" s="14" t="s">
        <v>94</v>
      </c>
      <c r="C25" t="s">
        <v>95</v>
      </c>
      <c r="D25" s="10" t="str">
        <f>Tab_Zast[[#This Row],[ID]]</f>
        <v>24</v>
      </c>
      <c r="F25" t="s">
        <v>72</v>
      </c>
      <c r="G25" t="s">
        <v>96</v>
      </c>
      <c r="H25" t="str">
        <f t="shared" si="0"/>
        <v>Jastrzębie-Zdrój, Al. Piłsudskiego (Supersam/Kaufland)</v>
      </c>
      <c r="I25" t="str">
        <f t="shared" si="1"/>
        <v>insert into nastupy (zastavka) values ('Jastrzębie-Zdrój, Al. Piłsudskiego (Supersam/Kaufland)');</v>
      </c>
    </row>
    <row r="26" spans="2:9" x14ac:dyDescent="0.25">
      <c r="B26" s="14" t="s">
        <v>97</v>
      </c>
      <c r="C26" t="s">
        <v>98</v>
      </c>
      <c r="D26" s="10" t="str">
        <f>Tab_Zast[[#This Row],[ID]]</f>
        <v>25</v>
      </c>
      <c r="F26" t="s">
        <v>72</v>
      </c>
      <c r="G26" t="s">
        <v>99</v>
      </c>
      <c r="H26" t="str">
        <f t="shared" si="0"/>
        <v>Jastrzębie-Zdrój, Al. Piłsudskiego (Urząd Miasta)</v>
      </c>
      <c r="I26" t="str">
        <f t="shared" si="1"/>
        <v>insert into nastupy (zastavka) values ('Jastrzębie-Zdrój, Al. Piłsudskiego (Urząd Miasta)');</v>
      </c>
    </row>
    <row r="27" spans="2:9" x14ac:dyDescent="0.25">
      <c r="B27" s="14" t="s">
        <v>100</v>
      </c>
      <c r="C27" t="s">
        <v>101</v>
      </c>
      <c r="D27" s="10" t="str">
        <f>Tab_Zast[[#This Row],[ID]]</f>
        <v>26</v>
      </c>
      <c r="F27" t="s">
        <v>72</v>
      </c>
      <c r="G27" t="s">
        <v>102</v>
      </c>
      <c r="H27" t="str">
        <f t="shared" si="0"/>
        <v>Jastrzębie-Zdrój, Armii Krajowej</v>
      </c>
      <c r="I27" t="str">
        <f t="shared" si="1"/>
        <v>insert into nastupy (zastavka) values ('Jastrzębie-Zdrój, Armii Krajowej');</v>
      </c>
    </row>
    <row r="28" spans="2:9" x14ac:dyDescent="0.25">
      <c r="B28" s="14" t="s">
        <v>103</v>
      </c>
      <c r="C28" t="s">
        <v>104</v>
      </c>
      <c r="D28" s="10" t="str">
        <f>Tab_Zast[[#This Row],[ID]]</f>
        <v>27</v>
      </c>
      <c r="F28" t="s">
        <v>72</v>
      </c>
      <c r="G28" t="s">
        <v>105</v>
      </c>
      <c r="H28" t="str">
        <f t="shared" si="0"/>
        <v>Jastrzębie-Zdrój, Dworzec Autobusowy (ul. Sybiraków - Mała Strona)</v>
      </c>
      <c r="I28" t="str">
        <f t="shared" si="1"/>
        <v>insert into nastupy (zastavka) values ('Jastrzębie-Zdrój, Dworzec Autobusowy (ul. Sybiraków - Mała Strona)');</v>
      </c>
    </row>
    <row r="29" spans="2:9" x14ac:dyDescent="0.25">
      <c r="B29" s="14" t="s">
        <v>106</v>
      </c>
      <c r="C29" t="s">
        <v>107</v>
      </c>
      <c r="D29" s="10" t="str">
        <f>Tab_Zast[[#This Row],[ID]]</f>
        <v>28</v>
      </c>
      <c r="F29" t="s">
        <v>72</v>
      </c>
      <c r="G29" t="s">
        <v>108</v>
      </c>
      <c r="H29" t="str">
        <f t="shared" si="0"/>
        <v>Jastrzębie-Zdrój, Dworzec Zdrój (ul. Broniewskiego)</v>
      </c>
      <c r="I29" t="str">
        <f t="shared" si="1"/>
        <v>insert into nastupy (zastavka) values ('Jastrzębie-Zdrój, Dworzec Zdrój (ul. Broniewskiego)');</v>
      </c>
    </row>
    <row r="30" spans="2:9" x14ac:dyDescent="0.25">
      <c r="B30" s="14" t="s">
        <v>109</v>
      </c>
      <c r="C30" t="s">
        <v>110</v>
      </c>
      <c r="D30" s="10" t="str">
        <f>Tab_Zast[[#This Row],[ID]]</f>
        <v>29</v>
      </c>
      <c r="F30" t="s">
        <v>72</v>
      </c>
      <c r="G30" t="s">
        <v>111</v>
      </c>
      <c r="H30" t="str">
        <f t="shared" si="0"/>
        <v>Jastrzębie-Zdrój, Górne</v>
      </c>
      <c r="I30" t="str">
        <f t="shared" si="1"/>
        <v>insert into nastupy (zastavka) values ('Jastrzębie-Zdrój, Górne');</v>
      </c>
    </row>
    <row r="31" spans="2:9" x14ac:dyDescent="0.25">
      <c r="B31" s="14" t="s">
        <v>112</v>
      </c>
      <c r="C31" t="s">
        <v>113</v>
      </c>
      <c r="D31" s="10" t="str">
        <f>Tab_Zast[[#This Row],[ID]]</f>
        <v>30</v>
      </c>
      <c r="F31" t="s">
        <v>72</v>
      </c>
      <c r="G31" t="s">
        <v>114</v>
      </c>
      <c r="H31" t="str">
        <f t="shared" si="0"/>
        <v>Jastrzębie-Zdrój, Małopolska</v>
      </c>
      <c r="I31" t="str">
        <f t="shared" si="1"/>
        <v>insert into nastupy (zastavka) values ('Jastrzębie-Zdrój, Małopolska');</v>
      </c>
    </row>
    <row r="32" spans="2:9" x14ac:dyDescent="0.25">
      <c r="B32" s="14" t="s">
        <v>115</v>
      </c>
      <c r="C32" t="s">
        <v>116</v>
      </c>
      <c r="D32" s="10" t="str">
        <f>Tab_Zast[[#This Row],[ID]]</f>
        <v>31</v>
      </c>
      <c r="F32" t="s">
        <v>72</v>
      </c>
      <c r="G32" t="s">
        <v>117</v>
      </c>
      <c r="H32" t="str">
        <f t="shared" si="0"/>
        <v>Jastrzębie-Zdrój, Moszczenica (Urząd Miasta/Zdrój)</v>
      </c>
      <c r="I32" t="str">
        <f t="shared" si="1"/>
        <v>insert into nastupy (zastavka) values ('Jastrzębie-Zdrój, Moszczenica (Urząd Miasta/Zdrój)');</v>
      </c>
    </row>
    <row r="33" spans="2:9" x14ac:dyDescent="0.25">
      <c r="B33" s="14" t="s">
        <v>118</v>
      </c>
      <c r="C33" t="s">
        <v>119</v>
      </c>
      <c r="D33" s="10" t="str">
        <f>Tab_Zast[[#This Row],[ID]]</f>
        <v>32</v>
      </c>
      <c r="F33" t="s">
        <v>72</v>
      </c>
      <c r="G33" t="s">
        <v>120</v>
      </c>
      <c r="H33" t="str">
        <f t="shared" si="0"/>
        <v>Jastrzębie-Zdrój, Podhalańska (Wodociągi)</v>
      </c>
      <c r="I33" t="str">
        <f t="shared" si="1"/>
        <v>insert into nastupy (zastavka) values ('Jastrzębie-Zdrój, Podhalańska (Wodociągi)');</v>
      </c>
    </row>
    <row r="34" spans="2:9" x14ac:dyDescent="0.25">
      <c r="B34" s="14" t="s">
        <v>121</v>
      </c>
      <c r="C34" t="s">
        <v>122</v>
      </c>
      <c r="D34" s="10" t="str">
        <f>Tab_Zast[[#This Row],[ID]]</f>
        <v>33</v>
      </c>
      <c r="F34" t="s">
        <v>72</v>
      </c>
      <c r="G34" t="s">
        <v>123</v>
      </c>
      <c r="H34" t="str">
        <f t="shared" si="0"/>
        <v>Jastrzębie-Zdrój, Ranoszka</v>
      </c>
      <c r="I34" t="str">
        <f t="shared" si="1"/>
        <v>insert into nastupy (zastavka) values ('Jastrzębie-Zdrój, Ranoszka');</v>
      </c>
    </row>
    <row r="35" spans="2:9" x14ac:dyDescent="0.25">
      <c r="B35" s="14" t="s">
        <v>124</v>
      </c>
      <c r="C35" t="s">
        <v>125</v>
      </c>
      <c r="D35" s="10" t="str">
        <f>Tab_Zast[[#This Row],[ID]]</f>
        <v>34</v>
      </c>
      <c r="F35" t="s">
        <v>72</v>
      </c>
      <c r="G35" t="s">
        <v>126</v>
      </c>
      <c r="H35" t="str">
        <f t="shared" si="0"/>
        <v>Jastrzębie-Zdrój, Ruptawa (Cisówka)</v>
      </c>
      <c r="I35" t="str">
        <f t="shared" si="1"/>
        <v>insert into nastupy (zastavka) values ('Jastrzębie-Zdrój, Ruptawa (Cisówka)');</v>
      </c>
    </row>
    <row r="36" spans="2:9" x14ac:dyDescent="0.25">
      <c r="B36" s="14" t="s">
        <v>127</v>
      </c>
      <c r="C36" t="s">
        <v>128</v>
      </c>
      <c r="D36" s="10" t="str">
        <f>Tab_Zast[[#This Row],[ID]]</f>
        <v>35</v>
      </c>
      <c r="F36" t="s">
        <v>72</v>
      </c>
      <c r="G36" t="s">
        <v>129</v>
      </c>
      <c r="H36" t="str">
        <f t="shared" si="0"/>
        <v>Jastrzębie-Zdrój, Ruptawa (Ośrodek Zdrowia)</v>
      </c>
      <c r="I36" t="str">
        <f t="shared" si="1"/>
        <v>insert into nastupy (zastavka) values ('Jastrzębie-Zdrój, Ruptawa (Ośrodek Zdrowia)');</v>
      </c>
    </row>
    <row r="37" spans="2:9" x14ac:dyDescent="0.25">
      <c r="B37" s="14" t="s">
        <v>130</v>
      </c>
      <c r="C37" t="s">
        <v>131</v>
      </c>
      <c r="D37" s="10" t="str">
        <f>Tab_Zast[[#This Row],[ID]]</f>
        <v>36</v>
      </c>
      <c r="F37" t="s">
        <v>72</v>
      </c>
      <c r="G37" t="s">
        <v>132</v>
      </c>
      <c r="H37" t="str">
        <f t="shared" si="0"/>
        <v>Jastrzębie-Zdrój, Szeroka (Kaplica)</v>
      </c>
      <c r="I37" t="str">
        <f t="shared" si="1"/>
        <v>insert into nastupy (zastavka) values ('Jastrzębie-Zdrój, Szeroka (Kaplica)');</v>
      </c>
    </row>
    <row r="38" spans="2:9" x14ac:dyDescent="0.25">
      <c r="B38" s="14" t="s">
        <v>133</v>
      </c>
      <c r="C38" t="s">
        <v>134</v>
      </c>
      <c r="D38" s="10" t="str">
        <f>Tab_Zast[[#This Row],[ID]]</f>
        <v>37</v>
      </c>
      <c r="F38" t="s">
        <v>72</v>
      </c>
      <c r="G38" t="s">
        <v>135</v>
      </c>
      <c r="H38" t="str">
        <f t="shared" si="0"/>
        <v>Jastrzębie-Zdrój, Szeroka (Kościół)</v>
      </c>
      <c r="I38" t="str">
        <f t="shared" si="1"/>
        <v>insert into nastupy (zastavka) values ('Jastrzębie-Zdrój, Szeroka (Kościół)');</v>
      </c>
    </row>
    <row r="39" spans="2:9" x14ac:dyDescent="0.25">
      <c r="B39" s="14" t="s">
        <v>136</v>
      </c>
      <c r="C39" t="s">
        <v>137</v>
      </c>
      <c r="D39" s="10" t="str">
        <f>Tab_Zast[[#This Row],[ID]]</f>
        <v>38</v>
      </c>
      <c r="F39" t="s">
        <v>72</v>
      </c>
      <c r="G39" t="s">
        <v>138</v>
      </c>
      <c r="H39" t="str">
        <f t="shared" si="0"/>
        <v>Jastrzębie-Zdrój, Szeroka (ul. Gagarina)</v>
      </c>
      <c r="I39" t="str">
        <f t="shared" si="1"/>
        <v>insert into nastupy (zastavka) values ('Jastrzębie-Zdrój, Szeroka (ul. Gagarina)');</v>
      </c>
    </row>
    <row r="40" spans="2:9" x14ac:dyDescent="0.25">
      <c r="B40" s="14" t="s">
        <v>139</v>
      </c>
      <c r="C40" t="s">
        <v>140</v>
      </c>
      <c r="D40" s="10" t="str">
        <f>Tab_Zast[[#This Row],[ID]]</f>
        <v>39</v>
      </c>
      <c r="F40" t="s">
        <v>72</v>
      </c>
      <c r="G40" t="s">
        <v>141</v>
      </c>
      <c r="H40" t="str">
        <f t="shared" si="0"/>
        <v>Jastrzębie-Zdrój, Szeroka (ul. Powstańców Śląskich/Biedronka)</v>
      </c>
      <c r="I40" t="str">
        <f t="shared" si="1"/>
        <v>insert into nastupy (zastavka) values ('Jastrzębie-Zdrój, Szeroka (ul. Powstańców Śląskich/Biedronka)');</v>
      </c>
    </row>
    <row r="41" spans="2:9" x14ac:dyDescent="0.25">
      <c r="B41" s="14" t="s">
        <v>142</v>
      </c>
      <c r="C41" t="s">
        <v>143</v>
      </c>
      <c r="D41" s="10" t="str">
        <f>Tab_Zast[[#This Row],[ID]]</f>
        <v>40</v>
      </c>
      <c r="F41" t="s">
        <v>72</v>
      </c>
      <c r="G41" t="s">
        <v>144</v>
      </c>
      <c r="H41" t="str">
        <f t="shared" si="0"/>
        <v>Jastrzębie-Zdrój, Szeroka (ul. Rybnicka)</v>
      </c>
      <c r="I41" t="str">
        <f t="shared" si="1"/>
        <v>insert into nastupy (zastavka) values ('Jastrzębie-Zdrój, Szeroka (ul. Rybnicka)');</v>
      </c>
    </row>
    <row r="42" spans="2:9" x14ac:dyDescent="0.25">
      <c r="B42" s="14" t="s">
        <v>145</v>
      </c>
      <c r="C42" t="s">
        <v>146</v>
      </c>
      <c r="D42" s="10" t="str">
        <f>Tab_Zast[[#This Row],[ID]]</f>
        <v>41</v>
      </c>
      <c r="F42" t="s">
        <v>72</v>
      </c>
      <c r="G42" t="s">
        <v>147</v>
      </c>
      <c r="H42" t="str">
        <f t="shared" si="0"/>
        <v>Jastrzębie-Zdrój, ul. 11 Listopada (Urząd Skarbowy)</v>
      </c>
      <c r="I42" t="str">
        <f t="shared" si="1"/>
        <v>insert into nastupy (zastavka) values ('Jastrzębie-Zdrój, ul. 11 Listopada (Urząd Skarbowy)');</v>
      </c>
    </row>
    <row r="43" spans="2:9" x14ac:dyDescent="0.25">
      <c r="B43" s="14" t="s">
        <v>148</v>
      </c>
      <c r="C43" t="s">
        <v>149</v>
      </c>
      <c r="D43" s="10" t="str">
        <f>Tab_Zast[[#This Row],[ID]]</f>
        <v>42</v>
      </c>
      <c r="F43" t="s">
        <v>72</v>
      </c>
      <c r="G43" t="s">
        <v>150</v>
      </c>
      <c r="H43" t="str">
        <f t="shared" si="0"/>
        <v>Jastrzębie-Zdrój, ul. Arki Bożka</v>
      </c>
      <c r="I43" t="str">
        <f t="shared" si="1"/>
        <v>insert into nastupy (zastavka) values ('Jastrzębie-Zdrój, ul. Arki Bożka');</v>
      </c>
    </row>
    <row r="44" spans="2:9" x14ac:dyDescent="0.25">
      <c r="B44" s="14" t="s">
        <v>151</v>
      </c>
      <c r="C44" t="s">
        <v>152</v>
      </c>
      <c r="D44" s="10" t="str">
        <f>Tab_Zast[[#This Row],[ID]]</f>
        <v>43</v>
      </c>
      <c r="F44" t="s">
        <v>72</v>
      </c>
      <c r="G44" t="s">
        <v>153</v>
      </c>
      <c r="H44" t="str">
        <f t="shared" si="0"/>
        <v>Jastrzębie-Zdrój, ul. Cieszyńska (Bzie)</v>
      </c>
      <c r="I44" t="str">
        <f t="shared" si="1"/>
        <v>insert into nastupy (zastavka) values ('Jastrzębie-Zdrój, ul. Cieszyńska (Bzie)');</v>
      </c>
    </row>
    <row r="45" spans="2:9" x14ac:dyDescent="0.25">
      <c r="B45" s="14" t="s">
        <v>154</v>
      </c>
      <c r="C45" t="s">
        <v>155</v>
      </c>
      <c r="D45" s="10" t="str">
        <f>Tab_Zast[[#This Row],[ID]]</f>
        <v>44</v>
      </c>
      <c r="F45" t="s">
        <v>72</v>
      </c>
      <c r="G45" t="s">
        <v>156</v>
      </c>
      <c r="H45" t="str">
        <f t="shared" si="0"/>
        <v>Jastrzębie-Zdrój, ul. Graniczna (Stacja Paliw)</v>
      </c>
      <c r="I45" t="str">
        <f t="shared" si="1"/>
        <v>insert into nastupy (zastavka) values ('Jastrzębie-Zdrój, ul. Graniczna (Stacja Paliw)');</v>
      </c>
    </row>
    <row r="46" spans="2:9" x14ac:dyDescent="0.25">
      <c r="B46" s="14" t="s">
        <v>157</v>
      </c>
      <c r="C46" t="s">
        <v>158</v>
      </c>
      <c r="D46" s="10" t="str">
        <f>Tab_Zast[[#This Row],[ID]]</f>
        <v>45</v>
      </c>
      <c r="F46" t="s">
        <v>72</v>
      </c>
      <c r="G46" t="s">
        <v>159</v>
      </c>
      <c r="H46" t="str">
        <f t="shared" si="0"/>
        <v>Jastrzębie-Zdrój, ul. Jagiełły (OD Krokus)</v>
      </c>
      <c r="I46" t="str">
        <f t="shared" si="1"/>
        <v>insert into nastupy (zastavka) values ('Jastrzębie-Zdrój, ul. Jagiełły (OD Krokus)');</v>
      </c>
    </row>
    <row r="47" spans="2:9" x14ac:dyDescent="0.25">
      <c r="B47" s="14" t="s">
        <v>160</v>
      </c>
      <c r="C47" t="s">
        <v>161</v>
      </c>
      <c r="D47" s="10" t="str">
        <f>Tab_Zast[[#This Row],[ID]]</f>
        <v>46</v>
      </c>
      <c r="F47" t="s">
        <v>72</v>
      </c>
      <c r="G47" t="s">
        <v>162</v>
      </c>
      <c r="H47" t="str">
        <f t="shared" si="0"/>
        <v>Jastrzębie-Zdrój, ul. Katowicka</v>
      </c>
      <c r="I47" t="str">
        <f t="shared" si="1"/>
        <v>insert into nastupy (zastavka) values ('Jastrzębie-Zdrój, ul. Katowicka');</v>
      </c>
    </row>
    <row r="48" spans="2:9" x14ac:dyDescent="0.25">
      <c r="B48" s="14" t="s">
        <v>163</v>
      </c>
      <c r="C48" t="s">
        <v>164</v>
      </c>
      <c r="D48" s="10" t="str">
        <f>Tab_Zast[[#This Row],[ID]]</f>
        <v>47</v>
      </c>
      <c r="F48" t="s">
        <v>72</v>
      </c>
      <c r="G48" t="s">
        <v>165</v>
      </c>
      <c r="H48" t="str">
        <f t="shared" si="0"/>
        <v>Jastrzębie-Zdrój, ul. Turystyczna</v>
      </c>
      <c r="I48" t="str">
        <f t="shared" si="1"/>
        <v>insert into nastupy (zastavka) values ('Jastrzębie-Zdrój, ul. Turystyczna');</v>
      </c>
    </row>
    <row r="49" spans="2:9" x14ac:dyDescent="0.25">
      <c r="B49" s="14" t="s">
        <v>166</v>
      </c>
      <c r="C49" t="s">
        <v>167</v>
      </c>
      <c r="D49" s="10" t="str">
        <f>Tab_Zast[[#This Row],[ID]]</f>
        <v>48</v>
      </c>
      <c r="F49" t="s">
        <v>72</v>
      </c>
      <c r="G49" t="s">
        <v>168</v>
      </c>
      <c r="H49" t="str">
        <f t="shared" si="0"/>
        <v>Jastrzębie-Zdrój, ul. Wodzisławska (Hotel Czarny Rycerz)</v>
      </c>
      <c r="I49" t="str">
        <f t="shared" si="1"/>
        <v>insert into nastupy (zastavka) values ('Jastrzębie-Zdrój, ul. Wodzisławska (Hotel Czarny Rycerz)');</v>
      </c>
    </row>
    <row r="50" spans="2:9" x14ac:dyDescent="0.25">
      <c r="B50" s="14" t="s">
        <v>169</v>
      </c>
      <c r="C50" t="s">
        <v>170</v>
      </c>
      <c r="D50" s="10" t="str">
        <f>Tab_Zast[[#This Row],[ID]]</f>
        <v>49</v>
      </c>
      <c r="F50" t="s">
        <v>72</v>
      </c>
      <c r="G50" t="s">
        <v>171</v>
      </c>
      <c r="H50" t="str">
        <f t="shared" si="0"/>
        <v>Jastrzębie-Zdrój, ul. Zdrojowa</v>
      </c>
      <c r="I50" t="str">
        <f t="shared" si="1"/>
        <v>insert into nastupy (zastavka) values ('Jastrzębie-Zdrój, ul. Zdrojowa');</v>
      </c>
    </row>
    <row r="51" spans="2:9" x14ac:dyDescent="0.25">
      <c r="B51" s="14" t="s">
        <v>172</v>
      </c>
      <c r="C51" t="s">
        <v>173</v>
      </c>
      <c r="D51" s="10" t="str">
        <f>Tab_Zast[[#This Row],[ID]]</f>
        <v>50</v>
      </c>
      <c r="F51" t="s">
        <v>72</v>
      </c>
      <c r="G51" t="s">
        <v>174</v>
      </c>
      <c r="H51" t="str">
        <f t="shared" si="0"/>
        <v>Jastrzębie-Zdrój, Zofiówka (Kopalnia)</v>
      </c>
      <c r="I51" t="str">
        <f t="shared" si="1"/>
        <v>insert into nastupy (zastavka) values ('Jastrzębie-Zdrój, Zofiówka (Kopalnia)');</v>
      </c>
    </row>
    <row r="52" spans="2:9" x14ac:dyDescent="0.25">
      <c r="B52" s="14" t="s">
        <v>175</v>
      </c>
      <c r="C52" t="s">
        <v>176</v>
      </c>
      <c r="D52" s="10" t="str">
        <f>Tab_Zast[[#This Row],[ID]]</f>
        <v>51</v>
      </c>
      <c r="F52" t="s">
        <v>177</v>
      </c>
      <c r="G52" t="s">
        <v>178</v>
      </c>
      <c r="H52" t="str">
        <f t="shared" si="0"/>
        <v>Karwina (CZ), Frysztat (Dworzec Autobusowy)</v>
      </c>
      <c r="I52" t="str">
        <f t="shared" si="1"/>
        <v>insert into nastupy (zastavka) values ('Karwina (CZ), Frysztat (Dworzec Autobusowy)');</v>
      </c>
    </row>
    <row r="53" spans="2:9" x14ac:dyDescent="0.25">
      <c r="B53" s="14" t="s">
        <v>179</v>
      </c>
      <c r="C53" t="s">
        <v>180</v>
      </c>
      <c r="D53" s="10" t="str">
        <f>Tab_Zast[[#This Row],[ID]]</f>
        <v>52</v>
      </c>
      <c r="F53" t="s">
        <v>181</v>
      </c>
      <c r="G53" t="s">
        <v>182</v>
      </c>
      <c r="H53" t="str">
        <f t="shared" si="0"/>
        <v>Kończyce Małe, Sklep</v>
      </c>
      <c r="I53" t="str">
        <f t="shared" si="1"/>
        <v>insert into nastupy (zastavka) values ('Kończyce Małe, Sklep');</v>
      </c>
    </row>
    <row r="54" spans="2:9" x14ac:dyDescent="0.25">
      <c r="B54" s="14" t="s">
        <v>183</v>
      </c>
      <c r="C54" t="s">
        <v>184</v>
      </c>
      <c r="D54" s="10" t="str">
        <f>Tab_Zast[[#This Row],[ID]]</f>
        <v>53</v>
      </c>
      <c r="F54" t="s">
        <v>181</v>
      </c>
      <c r="G54" t="s">
        <v>185</v>
      </c>
      <c r="H54" t="str">
        <f t="shared" si="0"/>
        <v>Kończyce Małe, Skrzyżowanie</v>
      </c>
      <c r="I54" t="str">
        <f t="shared" si="1"/>
        <v>insert into nastupy (zastavka) values ('Kończyce Małe, Skrzyżowanie');</v>
      </c>
    </row>
    <row r="55" spans="2:9" x14ac:dyDescent="0.25">
      <c r="B55" s="14" t="s">
        <v>186</v>
      </c>
      <c r="C55" t="s">
        <v>187</v>
      </c>
      <c r="D55" s="10" t="str">
        <f>Tab_Zast[[#This Row],[ID]]</f>
        <v>54</v>
      </c>
      <c r="F55" t="s">
        <v>181</v>
      </c>
      <c r="G55" t="s">
        <v>188</v>
      </c>
      <c r="H55" t="str">
        <f t="shared" si="0"/>
        <v>Kończyce Małe, Szkoła</v>
      </c>
      <c r="I55" t="str">
        <f t="shared" si="1"/>
        <v>insert into nastupy (zastavka) values ('Kończyce Małe, Szkoła');</v>
      </c>
    </row>
    <row r="56" spans="2:9" x14ac:dyDescent="0.25">
      <c r="B56" s="14" t="s">
        <v>189</v>
      </c>
      <c r="C56" t="s">
        <v>190</v>
      </c>
      <c r="D56" s="10" t="str">
        <f>Tab_Zast[[#This Row],[ID]]</f>
        <v>55</v>
      </c>
      <c r="F56" t="s">
        <v>191</v>
      </c>
      <c r="G56" t="s">
        <v>192</v>
      </c>
      <c r="H56" t="str">
        <f t="shared" si="0"/>
        <v>Kończyce Wielkie, Odnóżka</v>
      </c>
      <c r="I56" t="str">
        <f t="shared" si="1"/>
        <v>insert into nastupy (zastavka) values ('Kończyce Wielkie, Odnóżka');</v>
      </c>
    </row>
    <row r="57" spans="2:9" x14ac:dyDescent="0.25">
      <c r="B57" s="14" t="s">
        <v>193</v>
      </c>
      <c r="C57" t="s">
        <v>194</v>
      </c>
      <c r="D57" s="10" t="str">
        <f>Tab_Zast[[#This Row],[ID]]</f>
        <v>56</v>
      </c>
      <c r="F57" t="s">
        <v>191</v>
      </c>
      <c r="G57" t="s">
        <v>195</v>
      </c>
      <c r="H57" t="str">
        <f t="shared" si="0"/>
        <v>Kończyce Wielkie, Ośrodek Zdrowia</v>
      </c>
      <c r="I57" t="str">
        <f t="shared" si="1"/>
        <v>insert into nastupy (zastavka) values ('Kończyce Wielkie, Ośrodek Zdrowia');</v>
      </c>
    </row>
    <row r="58" spans="2:9" x14ac:dyDescent="0.25">
      <c r="B58" s="14" t="s">
        <v>196</v>
      </c>
      <c r="C58" t="s">
        <v>197</v>
      </c>
      <c r="D58" s="10" t="str">
        <f>Tab_Zast[[#This Row],[ID]]</f>
        <v>57</v>
      </c>
      <c r="F58" t="s">
        <v>191</v>
      </c>
      <c r="G58" t="s">
        <v>198</v>
      </c>
      <c r="H58" t="str">
        <f t="shared" si="0"/>
        <v>Kończyce Wielkie, Spółdzielnia</v>
      </c>
      <c r="I58" t="str">
        <f t="shared" si="1"/>
        <v>insert into nastupy (zastavka) values ('Kończyce Wielkie, Spółdzielnia');</v>
      </c>
    </row>
    <row r="59" spans="2:9" x14ac:dyDescent="0.25">
      <c r="B59" s="14" t="s">
        <v>199</v>
      </c>
      <c r="C59" t="s">
        <v>200</v>
      </c>
      <c r="D59" s="10" t="str">
        <f>Tab_Zast[[#This Row],[ID]]</f>
        <v>58</v>
      </c>
      <c r="F59" t="s">
        <v>201</v>
      </c>
      <c r="G59" t="s">
        <v>59</v>
      </c>
      <c r="H59" t="str">
        <f t="shared" si="0"/>
        <v>Łaziska, UNIWAR</v>
      </c>
      <c r="I59" t="str">
        <f t="shared" si="1"/>
        <v>insert into nastupy (zastavka) values ('Łaziska, UNIWAR');</v>
      </c>
    </row>
    <row r="60" spans="2:9" x14ac:dyDescent="0.25">
      <c r="B60" s="14" t="s">
        <v>202</v>
      </c>
      <c r="C60" t="s">
        <v>203</v>
      </c>
      <c r="D60" s="10" t="str">
        <f>Tab_Zast[[#This Row],[ID]]</f>
        <v>59</v>
      </c>
      <c r="F60" t="s">
        <v>204</v>
      </c>
      <c r="G60" t="s">
        <v>205</v>
      </c>
      <c r="H60" t="str">
        <f t="shared" si="0"/>
        <v>Mszana, Centrum / Urząd Gminy</v>
      </c>
      <c r="I60" t="str">
        <f t="shared" si="1"/>
        <v>insert into nastupy (zastavka) values ('Mszana, Centrum / Urząd Gminy');</v>
      </c>
    </row>
    <row r="61" spans="2:9" x14ac:dyDescent="0.25">
      <c r="B61" s="14" t="s">
        <v>206</v>
      </c>
      <c r="C61" t="s">
        <v>207</v>
      </c>
      <c r="D61" s="10" t="str">
        <f>Tab_Zast[[#This Row],[ID]]</f>
        <v>60</v>
      </c>
      <c r="F61" t="s">
        <v>208</v>
      </c>
      <c r="G61" t="s">
        <v>209</v>
      </c>
      <c r="H61" t="str">
        <f t="shared" si="0"/>
        <v>Ostrava (CZ), Dřevoprodej</v>
      </c>
      <c r="I61" t="str">
        <f t="shared" si="1"/>
        <v>insert into nastupy (zastavka) values ('Ostrava (CZ), Dřevoprodej');</v>
      </c>
    </row>
    <row r="62" spans="2:9" x14ac:dyDescent="0.25">
      <c r="B62" s="14" t="s">
        <v>210</v>
      </c>
      <c r="C62" t="s">
        <v>211</v>
      </c>
      <c r="D62" s="10" t="str">
        <f>Tab_Zast[[#This Row],[ID]]</f>
        <v>61</v>
      </c>
      <c r="F62" t="s">
        <v>212</v>
      </c>
      <c r="G62" t="s">
        <v>213</v>
      </c>
      <c r="H62" t="str">
        <f t="shared" si="0"/>
        <v>Piotrowice / Petrovice (CZ), Przejście graniczne</v>
      </c>
      <c r="I62" t="str">
        <f t="shared" si="1"/>
        <v>insert into nastupy (zastavka) values ('Piotrowice / Petrovice (CZ), Przejście graniczne');</v>
      </c>
    </row>
    <row r="63" spans="2:9" x14ac:dyDescent="0.25">
      <c r="B63" s="14" t="s">
        <v>214</v>
      </c>
      <c r="C63" t="s">
        <v>215</v>
      </c>
      <c r="D63" s="10" t="str">
        <f>Tab_Zast[[#This Row],[ID]]</f>
        <v>62</v>
      </c>
      <c r="F63" t="s">
        <v>216</v>
      </c>
      <c r="G63" t="s">
        <v>217</v>
      </c>
      <c r="H63" t="str">
        <f t="shared" si="0"/>
        <v>Radlin, Korfantego (Centrum)</v>
      </c>
      <c r="I63" t="str">
        <f t="shared" si="1"/>
        <v>insert into nastupy (zastavka) values ('Radlin, Korfantego (Centrum)');</v>
      </c>
    </row>
    <row r="64" spans="2:9" x14ac:dyDescent="0.25">
      <c r="B64" s="14" t="s">
        <v>218</v>
      </c>
      <c r="C64" t="s">
        <v>219</v>
      </c>
      <c r="D64" s="10" t="str">
        <f>Tab_Zast[[#This Row],[ID]]</f>
        <v>63</v>
      </c>
      <c r="F64" t="s">
        <v>216</v>
      </c>
      <c r="G64" t="s">
        <v>220</v>
      </c>
      <c r="H64" t="str">
        <f t="shared" si="0"/>
        <v>Radlin, Maja (Dworzec Autobusowy/KWK)</v>
      </c>
      <c r="I64" t="str">
        <f t="shared" si="1"/>
        <v>insert into nastupy (zastavka) values ('Radlin, Maja (Dworzec Autobusowy/KWK)');</v>
      </c>
    </row>
    <row r="65" spans="2:9" x14ac:dyDescent="0.25">
      <c r="B65" s="14" t="s">
        <v>230</v>
      </c>
      <c r="C65" t="s">
        <v>222</v>
      </c>
      <c r="D65" s="10" t="str">
        <f>Tab_Zast[[#This Row],[ID]]</f>
        <v>67</v>
      </c>
      <c r="F65" t="s">
        <v>223</v>
      </c>
      <c r="G65" t="s">
        <v>224</v>
      </c>
      <c r="H65" t="str">
        <f t="shared" si="0"/>
        <v>Rydułtowy, Dworzec Autobusowy</v>
      </c>
      <c r="I65" t="str">
        <f t="shared" si="1"/>
        <v>insert into nastupy (zastavka) values ('Rydułtowy, Dworzec Autobusowy');</v>
      </c>
    </row>
    <row r="66" spans="2:9" x14ac:dyDescent="0.25">
      <c r="B66" s="14" t="s">
        <v>237</v>
      </c>
      <c r="C66" t="s">
        <v>226</v>
      </c>
      <c r="D66" s="10" t="str">
        <f>Tab_Zast[[#This Row],[ID]]</f>
        <v>69</v>
      </c>
      <c r="F66" t="s">
        <v>223</v>
      </c>
      <c r="G66" t="s">
        <v>227</v>
      </c>
      <c r="H66" t="str">
        <f t="shared" si="0"/>
        <v>Rydułtowy, Orłowiec</v>
      </c>
      <c r="I66" t="str">
        <f t="shared" si="1"/>
        <v>insert into nastupy (zastavka) values ('Rydułtowy, Orłowiec');</v>
      </c>
    </row>
    <row r="67" spans="2:9" x14ac:dyDescent="0.25">
      <c r="B67" s="14" t="s">
        <v>234</v>
      </c>
      <c r="C67" t="s">
        <v>229</v>
      </c>
      <c r="D67" s="10" t="str">
        <f>Tab_Zast[[#This Row],[ID]]</f>
        <v>68</v>
      </c>
      <c r="F67" t="s">
        <v>223</v>
      </c>
      <c r="G67" t="s">
        <v>523</v>
      </c>
      <c r="H67" t="str">
        <f t="shared" ref="H67:H120" si="2">F67&amp;", "&amp;G67</f>
        <v>Rydułtowy, ul. Ładna (McDonalds)</v>
      </c>
      <c r="I67" t="str">
        <f t="shared" ref="I67:I108" si="3">"insert into nastupy (zastavka) values ('" &amp; H67 &amp; "');"</f>
        <v>insert into nastupy (zastavka) values ('Rydułtowy, ul. Ładna (McDonalds)');</v>
      </c>
    </row>
    <row r="68" spans="2:9" x14ac:dyDescent="0.25">
      <c r="B68" s="14" t="s">
        <v>240</v>
      </c>
      <c r="C68" t="s">
        <v>231</v>
      </c>
      <c r="D68" s="10" t="str">
        <f>Tab_Zast[[#This Row],[ID]]</f>
        <v>70</v>
      </c>
      <c r="F68" t="s">
        <v>232</v>
      </c>
      <c r="G68" t="s">
        <v>233</v>
      </c>
      <c r="H68" t="str">
        <f t="shared" si="2"/>
        <v>Rybnik, Boguszowice (Stary Kościół)</v>
      </c>
      <c r="I68" t="str">
        <f t="shared" si="3"/>
        <v>insert into nastupy (zastavka) values ('Rybnik, Boguszowice (Stary Kościół)');</v>
      </c>
    </row>
    <row r="69" spans="2:9" x14ac:dyDescent="0.25">
      <c r="B69" s="14" t="s">
        <v>243</v>
      </c>
      <c r="C69" t="s">
        <v>235</v>
      </c>
      <c r="D69" s="10" t="str">
        <f>Tab_Zast[[#This Row],[ID]]</f>
        <v>71</v>
      </c>
      <c r="F69" t="s">
        <v>232</v>
      </c>
      <c r="G69" t="s">
        <v>236</v>
      </c>
      <c r="H69" t="str">
        <f t="shared" si="2"/>
        <v>Rybnik, Chwałowice (Kopalnia)</v>
      </c>
      <c r="I69" t="str">
        <f t="shared" si="3"/>
        <v>insert into nastupy (zastavka) values ('Rybnik, Chwałowice (Kopalnia)');</v>
      </c>
    </row>
    <row r="70" spans="2:9" x14ac:dyDescent="0.25">
      <c r="B70" s="14" t="s">
        <v>246</v>
      </c>
      <c r="C70" t="s">
        <v>238</v>
      </c>
      <c r="D70" s="10" t="str">
        <f>Tab_Zast[[#This Row],[ID]]</f>
        <v>72</v>
      </c>
      <c r="F70" t="s">
        <v>232</v>
      </c>
      <c r="G70" t="s">
        <v>239</v>
      </c>
      <c r="H70" t="str">
        <f t="shared" si="2"/>
        <v>Rybnik, Dworzec Autobusowy (KM/PKS)</v>
      </c>
      <c r="I70" t="str">
        <f t="shared" si="3"/>
        <v>insert into nastupy (zastavka) values ('Rybnik, Dworzec Autobusowy (KM/PKS)');</v>
      </c>
    </row>
    <row r="71" spans="2:9" x14ac:dyDescent="0.25">
      <c r="B71" s="14" t="s">
        <v>249</v>
      </c>
      <c r="C71" t="s">
        <v>241</v>
      </c>
      <c r="D71" s="10" t="str">
        <f>Tab_Zast[[#This Row],[ID]]</f>
        <v>73</v>
      </c>
      <c r="F71" t="s">
        <v>232</v>
      </c>
      <c r="G71" t="s">
        <v>242</v>
      </c>
      <c r="H71" t="str">
        <f t="shared" si="2"/>
        <v>Rybnik, Niedobczyce (Stadion/Karolinka)</v>
      </c>
      <c r="I71" t="str">
        <f t="shared" si="3"/>
        <v>insert into nastupy (zastavka) values ('Rybnik, Niedobczyce (Stadion/Karolinka)');</v>
      </c>
    </row>
    <row r="72" spans="2:9" x14ac:dyDescent="0.25">
      <c r="B72" s="14" t="s">
        <v>252</v>
      </c>
      <c r="C72" t="s">
        <v>244</v>
      </c>
      <c r="D72" s="10" t="str">
        <f>Tab_Zast[[#This Row],[ID]]</f>
        <v>74</v>
      </c>
      <c r="F72" t="s">
        <v>232</v>
      </c>
      <c r="G72" t="s">
        <v>245</v>
      </c>
      <c r="H72" t="str">
        <f t="shared" si="2"/>
        <v>Rybnik, Paruszowiec (Piaski)</v>
      </c>
      <c r="I72" t="str">
        <f t="shared" si="3"/>
        <v>insert into nastupy (zastavka) values ('Rybnik, Paruszowiec (Piaski)');</v>
      </c>
    </row>
    <row r="73" spans="2:9" x14ac:dyDescent="0.25">
      <c r="B73" s="14" t="s">
        <v>255</v>
      </c>
      <c r="C73" t="s">
        <v>247</v>
      </c>
      <c r="D73" s="10" t="str">
        <f>Tab_Zast[[#This Row],[ID]]</f>
        <v>75</v>
      </c>
      <c r="F73" t="s">
        <v>232</v>
      </c>
      <c r="G73" t="s">
        <v>248</v>
      </c>
      <c r="H73" t="str">
        <f t="shared" si="2"/>
        <v>Rybnik, Popielów (Kościół / ul. Konarskiego)</v>
      </c>
      <c r="I73" t="str">
        <f t="shared" si="3"/>
        <v>insert into nastupy (zastavka) values ('Rybnik, Popielów (Kościół / ul. Konarskiego)');</v>
      </c>
    </row>
    <row r="74" spans="2:9" x14ac:dyDescent="0.25">
      <c r="B74" s="14" t="s">
        <v>258</v>
      </c>
      <c r="C74" t="s">
        <v>250</v>
      </c>
      <c r="D74" s="10" t="str">
        <f>Tab_Zast[[#This Row],[ID]]</f>
        <v>76</v>
      </c>
      <c r="F74" t="s">
        <v>232</v>
      </c>
      <c r="G74" t="s">
        <v>251</v>
      </c>
      <c r="H74" t="str">
        <f t="shared" si="2"/>
        <v>Rybnik, Smolna (Franciszek)</v>
      </c>
      <c r="I74" t="str">
        <f t="shared" si="3"/>
        <v>insert into nastupy (zastavka) values ('Rybnik, Smolna (Franciszek)');</v>
      </c>
    </row>
    <row r="75" spans="2:9" x14ac:dyDescent="0.25">
      <c r="B75" s="14" t="s">
        <v>261</v>
      </c>
      <c r="C75" t="s">
        <v>253</v>
      </c>
      <c r="D75" s="10" t="str">
        <f>Tab_Zast[[#This Row],[ID]]</f>
        <v>77</v>
      </c>
      <c r="F75" t="s">
        <v>232</v>
      </c>
      <c r="G75" t="s">
        <v>254</v>
      </c>
      <c r="H75" t="str">
        <f t="shared" si="2"/>
        <v>Rybnik, Smolna (obok Biedronki)</v>
      </c>
      <c r="I75" t="str">
        <f t="shared" si="3"/>
        <v>insert into nastupy (zastavka) values ('Rybnik, Smolna (obok Biedronki)');</v>
      </c>
    </row>
    <row r="76" spans="2:9" x14ac:dyDescent="0.25">
      <c r="B76" s="14" t="s">
        <v>264</v>
      </c>
      <c r="C76" t="s">
        <v>256</v>
      </c>
      <c r="D76" s="10" t="str">
        <f>Tab_Zast[[#This Row],[ID]]</f>
        <v>78</v>
      </c>
      <c r="F76" t="s">
        <v>232</v>
      </c>
      <c r="G76" t="s">
        <v>257</v>
      </c>
      <c r="H76" t="str">
        <f t="shared" si="2"/>
        <v>Rybnik, Śródmieście (Dworek)</v>
      </c>
      <c r="I76" t="str">
        <f t="shared" si="3"/>
        <v>insert into nastupy (zastavka) values ('Rybnik, Śródmieście (Dworek)');</v>
      </c>
    </row>
    <row r="77" spans="2:9" x14ac:dyDescent="0.25">
      <c r="B77" s="14" t="s">
        <v>267</v>
      </c>
      <c r="C77" t="s">
        <v>259</v>
      </c>
      <c r="D77" s="10" t="str">
        <f>Tab_Zast[[#This Row],[ID]]</f>
        <v>79</v>
      </c>
      <c r="F77" t="s">
        <v>232</v>
      </c>
      <c r="G77" t="s">
        <v>260</v>
      </c>
      <c r="H77" t="str">
        <f t="shared" si="2"/>
        <v>Rybnik, Śródmieście (ul. 3 Maja / Plac Wolności)</v>
      </c>
      <c r="I77" t="str">
        <f t="shared" si="3"/>
        <v>insert into nastupy (zastavka) values ('Rybnik, Śródmieście (ul. 3 Maja / Plac Wolności)');</v>
      </c>
    </row>
    <row r="78" spans="2:9" x14ac:dyDescent="0.25">
      <c r="B78" s="14" t="s">
        <v>221</v>
      </c>
      <c r="C78" t="s">
        <v>262</v>
      </c>
      <c r="D78" s="10" t="str">
        <f>Tab_Zast[[#This Row],[ID]]</f>
        <v>64</v>
      </c>
      <c r="F78" t="s">
        <v>232</v>
      </c>
      <c r="G78" t="s">
        <v>263</v>
      </c>
      <c r="H78" t="str">
        <f t="shared" si="2"/>
        <v>Rybnik, ul. Budowlanych (Stacja Paliw BP)</v>
      </c>
      <c r="I78" t="str">
        <f t="shared" si="3"/>
        <v>insert into nastupy (zastavka) values ('Rybnik, ul. Budowlanych (Stacja Paliw BP)');</v>
      </c>
    </row>
    <row r="79" spans="2:9" x14ac:dyDescent="0.25">
      <c r="B79" s="14" t="s">
        <v>225</v>
      </c>
      <c r="C79" t="s">
        <v>265</v>
      </c>
      <c r="D79" s="10" t="str">
        <f>Tab_Zast[[#This Row],[ID]]</f>
        <v>65</v>
      </c>
      <c r="F79" t="s">
        <v>232</v>
      </c>
      <c r="G79" t="s">
        <v>266</v>
      </c>
      <c r="H79" t="str">
        <f t="shared" si="2"/>
        <v>Rybnik, ul. Władysława Reymonta (Stacja Paliw AMIC Energy)</v>
      </c>
      <c r="I79" t="str">
        <f t="shared" si="3"/>
        <v>insert into nastupy (zastavka) values ('Rybnik, ul. Władysława Reymonta (Stacja Paliw AMIC Energy)');</v>
      </c>
    </row>
    <row r="80" spans="2:9" x14ac:dyDescent="0.25">
      <c r="B80" s="14" t="s">
        <v>228</v>
      </c>
      <c r="C80" t="s">
        <v>268</v>
      </c>
      <c r="D80" s="10" t="str">
        <f>Tab_Zast[[#This Row],[ID]]</f>
        <v>66</v>
      </c>
      <c r="F80" t="s">
        <v>232</v>
      </c>
      <c r="G80" t="s">
        <v>269</v>
      </c>
      <c r="H80" t="str">
        <f t="shared" si="2"/>
        <v>Rybnik, ul. Zebrzydowicka (Parking Biedronka)</v>
      </c>
      <c r="I80" t="str">
        <f t="shared" si="3"/>
        <v>insert into nastupy (zastavka) values ('Rybnik, ul. Zebrzydowicka (Parking Biedronka)');</v>
      </c>
    </row>
    <row r="81" spans="2:9" x14ac:dyDescent="0.25">
      <c r="B81" s="14" t="s">
        <v>270</v>
      </c>
      <c r="C81" t="s">
        <v>271</v>
      </c>
      <c r="D81" s="10" t="str">
        <f>Tab_Zast[[#This Row],[ID]]</f>
        <v>80</v>
      </c>
      <c r="F81" t="s">
        <v>272</v>
      </c>
      <c r="G81" t="s">
        <v>51</v>
      </c>
      <c r="H81" t="str">
        <f t="shared" si="2"/>
        <v>Skrzyszów, ul. 1 Maja (Centrum)</v>
      </c>
      <c r="I81" t="str">
        <f t="shared" si="3"/>
        <v>insert into nastupy (zastavka) values ('Skrzyszów, ul. 1 Maja (Centrum)');</v>
      </c>
    </row>
    <row r="82" spans="2:9" x14ac:dyDescent="0.25">
      <c r="B82" s="14" t="s">
        <v>273</v>
      </c>
      <c r="C82" t="s">
        <v>278</v>
      </c>
      <c r="D82" s="10" t="str">
        <f>Tab_Zast[[#This Row],[ID]]</f>
        <v>81</v>
      </c>
      <c r="F82" t="s">
        <v>275</v>
      </c>
      <c r="G82" t="s">
        <v>279</v>
      </c>
      <c r="H82" t="str">
        <f t="shared" si="2"/>
        <v>Wodzisław Śląski, Kopernika</v>
      </c>
      <c r="I82" t="str">
        <f t="shared" si="3"/>
        <v>insert into nastupy (zastavka) values ('Wodzisław Śląski, Kopernika');</v>
      </c>
    </row>
    <row r="83" spans="2:9" x14ac:dyDescent="0.25">
      <c r="B83" s="14" t="s">
        <v>277</v>
      </c>
      <c r="C83" t="s">
        <v>281</v>
      </c>
      <c r="D83" s="10" t="str">
        <f>Tab_Zast[[#This Row],[ID]]</f>
        <v>82</v>
      </c>
      <c r="F83" t="s">
        <v>275</v>
      </c>
      <c r="G83" t="s">
        <v>282</v>
      </c>
      <c r="H83" t="str">
        <f t="shared" si="2"/>
        <v>Wodzisław Śląski, PKS / PKP</v>
      </c>
      <c r="I83" t="str">
        <f t="shared" si="3"/>
        <v>insert into nastupy (zastavka) values ('Wodzisław Śląski, PKS / PKP');</v>
      </c>
    </row>
    <row r="84" spans="2:9" x14ac:dyDescent="0.25">
      <c r="B84" s="14" t="s">
        <v>280</v>
      </c>
      <c r="C84" t="s">
        <v>284</v>
      </c>
      <c r="D84" s="10" t="str">
        <f>Tab_Zast[[#This Row],[ID]]</f>
        <v>83</v>
      </c>
      <c r="F84" t="s">
        <v>275</v>
      </c>
      <c r="G84" t="s">
        <v>285</v>
      </c>
      <c r="H84" t="str">
        <f t="shared" si="2"/>
        <v>Wodzisław Śląski, Radlin II (Dworzec PKP)</v>
      </c>
      <c r="I84" t="str">
        <f t="shared" si="3"/>
        <v>insert into nastupy (zastavka) values ('Wodzisław Śląski, Radlin II (Dworzec PKP)');</v>
      </c>
    </row>
    <row r="85" spans="2:9" x14ac:dyDescent="0.25">
      <c r="B85" s="14" t="s">
        <v>283</v>
      </c>
      <c r="C85" t="s">
        <v>287</v>
      </c>
      <c r="D85" s="10" t="str">
        <f>Tab_Zast[[#This Row],[ID]]</f>
        <v>84</v>
      </c>
      <c r="F85" t="s">
        <v>275</v>
      </c>
      <c r="G85" t="s">
        <v>288</v>
      </c>
      <c r="H85" t="str">
        <f t="shared" si="2"/>
        <v>Wodzisław Śląski, Radlin II (ul. Chrobrego / Żabka)</v>
      </c>
      <c r="I85" t="str">
        <f t="shared" si="3"/>
        <v>insert into nastupy (zastavka) values ('Wodzisław Śląski, Radlin II (ul. Chrobrego / Żabka)');</v>
      </c>
    </row>
    <row r="86" spans="2:9" x14ac:dyDescent="0.25">
      <c r="B86" s="14" t="s">
        <v>286</v>
      </c>
      <c r="C86" t="s">
        <v>290</v>
      </c>
      <c r="D86" s="10" t="str">
        <f>Tab_Zast[[#This Row],[ID]]</f>
        <v>85</v>
      </c>
      <c r="F86" t="s">
        <v>275</v>
      </c>
      <c r="G86" t="s">
        <v>291</v>
      </c>
      <c r="H86" t="str">
        <f t="shared" si="2"/>
        <v>Wodzisław Śląski, Radlin II (ul. Rybnicka)</v>
      </c>
      <c r="I86" t="str">
        <f t="shared" si="3"/>
        <v>insert into nastupy (zastavka) values ('Wodzisław Śląski, Radlin II (ul. Rybnicka)');</v>
      </c>
    </row>
    <row r="87" spans="2:9" x14ac:dyDescent="0.25">
      <c r="B87" s="14" t="s">
        <v>289</v>
      </c>
      <c r="C87" t="s">
        <v>293</v>
      </c>
      <c r="D87" s="10" t="str">
        <f>Tab_Zast[[#This Row],[ID]]</f>
        <v>86</v>
      </c>
      <c r="F87" t="s">
        <v>275</v>
      </c>
      <c r="G87" t="s">
        <v>524</v>
      </c>
      <c r="H87" t="str">
        <f t="shared" si="2"/>
        <v>Wodzisław Śląski, Stacja Paliw Circle K / McDonalds</v>
      </c>
      <c r="I87" t="str">
        <f t="shared" si="3"/>
        <v>insert into nastupy (zastavka) values ('Wodzisław Śląski, Stacja Paliw Circle K / McDonalds');</v>
      </c>
    </row>
    <row r="88" spans="2:9" x14ac:dyDescent="0.25">
      <c r="B88" s="14" t="s">
        <v>292</v>
      </c>
      <c r="C88" t="s">
        <v>295</v>
      </c>
      <c r="D88" s="10" t="str">
        <f>Tab_Zast[[#This Row],[ID]]</f>
        <v>87</v>
      </c>
      <c r="F88" t="s">
        <v>275</v>
      </c>
      <c r="G88" t="s">
        <v>296</v>
      </c>
      <c r="H88" t="str">
        <f t="shared" si="2"/>
        <v>Wodzisław Śląski, Trzy Wzgórza</v>
      </c>
      <c r="I88" t="str">
        <f t="shared" si="3"/>
        <v>insert into nastupy (zastavka) values ('Wodzisław Śląski, Trzy Wzgórza');</v>
      </c>
    </row>
    <row r="89" spans="2:9" x14ac:dyDescent="0.25">
      <c r="B89" s="14" t="s">
        <v>294</v>
      </c>
      <c r="C89" t="s">
        <v>298</v>
      </c>
      <c r="D89" s="10" t="str">
        <f>Tab_Zast[[#This Row],[ID]]</f>
        <v>88</v>
      </c>
      <c r="F89" t="s">
        <v>275</v>
      </c>
      <c r="G89" t="s">
        <v>299</v>
      </c>
      <c r="H89" t="str">
        <f t="shared" si="2"/>
        <v>Wodzisław Śląski, ul. Bogumińska (Cmentarz/Działki)</v>
      </c>
      <c r="I89" t="str">
        <f t="shared" si="3"/>
        <v>insert into nastupy (zastavka) values ('Wodzisław Śląski, ul. Bogumińska (Cmentarz/Działki)');</v>
      </c>
    </row>
    <row r="90" spans="2:9" x14ac:dyDescent="0.25">
      <c r="B90" s="14" t="s">
        <v>297</v>
      </c>
      <c r="C90" t="s">
        <v>301</v>
      </c>
      <c r="D90" s="10" t="str">
        <f>Tab_Zast[[#This Row],[ID]]</f>
        <v>89</v>
      </c>
      <c r="F90" t="s">
        <v>275</v>
      </c>
      <c r="G90" t="s">
        <v>302</v>
      </c>
      <c r="H90" t="str">
        <f t="shared" si="2"/>
        <v>Wodzisław Śląski, ul. Kubsza (Market Mrówka)</v>
      </c>
      <c r="I90" t="str">
        <f t="shared" si="3"/>
        <v>insert into nastupy (zastavka) values ('Wodzisław Śląski, ul. Kubsza (Market Mrówka)');</v>
      </c>
    </row>
    <row r="91" spans="2:9" x14ac:dyDescent="0.25">
      <c r="B91" s="14" t="s">
        <v>300</v>
      </c>
      <c r="C91" t="s">
        <v>304</v>
      </c>
      <c r="D91" s="10" t="str">
        <f>Tab_Zast[[#This Row],[ID]]</f>
        <v>90</v>
      </c>
      <c r="F91" t="s">
        <v>275</v>
      </c>
      <c r="G91" t="s">
        <v>305</v>
      </c>
      <c r="H91" t="str">
        <f t="shared" si="2"/>
        <v>Wodzisław Śląski, ul. Radlińska (Piekarnia Kłos)</v>
      </c>
      <c r="I91" t="str">
        <f t="shared" si="3"/>
        <v>insert into nastupy (zastavka) values ('Wodzisław Śląski, ul. Radlińska (Piekarnia Kłos)');</v>
      </c>
    </row>
    <row r="92" spans="2:9" x14ac:dyDescent="0.25">
      <c r="B92" s="14" t="s">
        <v>303</v>
      </c>
      <c r="C92" t="s">
        <v>307</v>
      </c>
      <c r="D92" s="10" t="str">
        <f>Tab_Zast[[#This Row],[ID]]</f>
        <v>91</v>
      </c>
      <c r="F92" t="s">
        <v>275</v>
      </c>
      <c r="G92" t="s">
        <v>308</v>
      </c>
      <c r="H92" t="str">
        <f t="shared" si="2"/>
        <v>Wodzisław Śląski, Wilchwy (Blazy)</v>
      </c>
      <c r="I92" t="str">
        <f t="shared" si="3"/>
        <v>insert into nastupy (zastavka) values ('Wodzisław Śląski, Wilchwy (Blazy)');</v>
      </c>
    </row>
    <row r="93" spans="2:9" x14ac:dyDescent="0.25">
      <c r="B93" s="14" t="s">
        <v>306</v>
      </c>
      <c r="C93" t="s">
        <v>310</v>
      </c>
      <c r="D93" s="10" t="str">
        <f>Tab_Zast[[#This Row],[ID]]</f>
        <v>92</v>
      </c>
      <c r="F93" t="s">
        <v>275</v>
      </c>
      <c r="G93" t="s">
        <v>311</v>
      </c>
      <c r="H93" t="str">
        <f t="shared" si="2"/>
        <v>Wodzisław Śląski, Wilchwy (Osiedle)</v>
      </c>
      <c r="I93" t="str">
        <f t="shared" si="3"/>
        <v>insert into nastupy (zastavka) values ('Wodzisław Śląski, Wilchwy (Osiedle)');</v>
      </c>
    </row>
    <row r="94" spans="2:9" x14ac:dyDescent="0.25">
      <c r="B94" s="14" t="s">
        <v>309</v>
      </c>
      <c r="C94" t="s">
        <v>313</v>
      </c>
      <c r="D94" s="10" t="str">
        <f>Tab_Zast[[#This Row],[ID]]</f>
        <v>93</v>
      </c>
      <c r="F94" t="s">
        <v>275</v>
      </c>
      <c r="G94" t="s">
        <v>314</v>
      </c>
      <c r="H94" t="str">
        <f t="shared" si="2"/>
        <v>Wodzisław Śląski, Wilchwy (Szkoła)</v>
      </c>
      <c r="I94" t="str">
        <f t="shared" si="3"/>
        <v>insert into nastupy (zastavka) values ('Wodzisław Śląski, Wilchwy (Szkoła)');</v>
      </c>
    </row>
    <row r="95" spans="2:9" x14ac:dyDescent="0.25">
      <c r="B95" s="14" t="s">
        <v>312</v>
      </c>
      <c r="C95" t="s">
        <v>519</v>
      </c>
      <c r="D95" s="10" t="str">
        <f>Tab_Zast[[#This Row],[ID]]</f>
        <v>94</v>
      </c>
      <c r="F95" t="s">
        <v>275</v>
      </c>
      <c r="G95" t="s">
        <v>518</v>
      </c>
      <c r="H95" t="str">
        <f t="shared" si="2"/>
        <v>Wodzisław Śląski, ul. 26. Marca (Szpital)</v>
      </c>
      <c r="I95" t="str">
        <f t="shared" si="3"/>
        <v>insert into nastupy (zastavka) values ('Wodzisław Śląski, ul. 26. Marca (Szpital)');</v>
      </c>
    </row>
    <row r="96" spans="2:9" x14ac:dyDescent="0.25">
      <c r="B96" s="14" t="s">
        <v>315</v>
      </c>
      <c r="C96" t="s">
        <v>316</v>
      </c>
      <c r="D96" s="10" t="str">
        <f>Tab_Zast[[#This Row],[ID]]</f>
        <v>95</v>
      </c>
      <c r="F96" t="s">
        <v>317</v>
      </c>
      <c r="G96" t="s">
        <v>318</v>
      </c>
      <c r="H96" t="str">
        <f t="shared" si="2"/>
        <v>Zebrzydowice, Kino</v>
      </c>
      <c r="I96" t="str">
        <f t="shared" si="3"/>
        <v>insert into nastupy (zastavka) values ('Zebrzydowice, Kino');</v>
      </c>
    </row>
    <row r="97" spans="2:9" x14ac:dyDescent="0.25">
      <c r="B97" s="14" t="s">
        <v>319</v>
      </c>
      <c r="C97" t="s">
        <v>320</v>
      </c>
      <c r="D97" s="10" t="str">
        <f>Tab_Zast[[#This Row],[ID]]</f>
        <v>96</v>
      </c>
      <c r="F97" t="s">
        <v>317</v>
      </c>
      <c r="G97" t="s">
        <v>195</v>
      </c>
      <c r="H97" t="str">
        <f t="shared" si="2"/>
        <v>Zebrzydowice, Ośrodek Zdrowia</v>
      </c>
      <c r="I97" t="str">
        <f t="shared" si="3"/>
        <v>insert into nastupy (zastavka) values ('Zebrzydowice, Ośrodek Zdrowia');</v>
      </c>
    </row>
    <row r="98" spans="2:9" x14ac:dyDescent="0.25">
      <c r="B98" s="14" t="s">
        <v>321</v>
      </c>
      <c r="C98" s="20" t="s">
        <v>322</v>
      </c>
      <c r="D98" s="10" t="str">
        <f>Tab_Zast[[#This Row],[ID]]</f>
        <v>97</v>
      </c>
      <c r="F98" t="s">
        <v>317</v>
      </c>
      <c r="G98" t="s">
        <v>323</v>
      </c>
      <c r="H98" t="str">
        <f t="shared" si="2"/>
        <v>Zebrzydowice, Pętla/Bar (poblíž hranic)</v>
      </c>
      <c r="I98" t="str">
        <f t="shared" si="3"/>
        <v>insert into nastupy (zastavka) values ('Zebrzydowice, Pętla/Bar (poblíž hranic)');</v>
      </c>
    </row>
    <row r="99" spans="2:9" x14ac:dyDescent="0.25">
      <c r="B99" s="14" t="s">
        <v>324</v>
      </c>
      <c r="C99" s="18" t="s">
        <v>325</v>
      </c>
      <c r="D99" s="10" t="str">
        <f>Tab_Zast[[#This Row],[ID]]</f>
        <v>98</v>
      </c>
      <c r="F99" t="s">
        <v>317</v>
      </c>
      <c r="G99" t="s">
        <v>326</v>
      </c>
      <c r="H99" t="str">
        <f t="shared" si="2"/>
        <v>Zebrzydowice, Rondo</v>
      </c>
      <c r="I99" t="str">
        <f t="shared" si="3"/>
        <v>insert into nastupy (zastavka) values ('Zebrzydowice, Rondo');</v>
      </c>
    </row>
    <row r="100" spans="2:9" x14ac:dyDescent="0.25">
      <c r="B100" s="14" t="s">
        <v>327</v>
      </c>
      <c r="C100" s="18" t="s">
        <v>328</v>
      </c>
      <c r="D100" s="10" t="str">
        <f>Tab_Zast[[#This Row],[ID]]</f>
        <v>99</v>
      </c>
      <c r="F100" t="s">
        <v>329</v>
      </c>
      <c r="G100" t="s">
        <v>330</v>
      </c>
      <c r="H100" t="str">
        <f t="shared" si="2"/>
        <v>Żory, Al. Niepodległości (Zegar)</v>
      </c>
      <c r="I100" t="str">
        <f t="shared" si="3"/>
        <v>insert into nastupy (zastavka) values ('Żory, Al. Niepodległości (Zegar)');</v>
      </c>
    </row>
    <row r="101" spans="2:9" x14ac:dyDescent="0.25">
      <c r="B101" s="14" t="s">
        <v>331</v>
      </c>
      <c r="C101" s="18" t="s">
        <v>332</v>
      </c>
      <c r="D101" s="10" t="str">
        <f>Tab_Zast[[#This Row],[ID]]</f>
        <v>100</v>
      </c>
      <c r="F101" t="s">
        <v>329</v>
      </c>
      <c r="G101" t="s">
        <v>525</v>
      </c>
      <c r="H101" t="str">
        <f t="shared" si="2"/>
        <v>Żory, Al. Zjednoczonej Europy (McDonalds)</v>
      </c>
      <c r="I101" t="str">
        <f t="shared" si="3"/>
        <v>insert into nastupy (zastavka) values ('Żory, Al. Zjednoczonej Europy (McDonalds)');</v>
      </c>
    </row>
    <row r="102" spans="2:9" x14ac:dyDescent="0.25">
      <c r="B102" s="14" t="s">
        <v>333</v>
      </c>
      <c r="C102" s="18" t="s">
        <v>334</v>
      </c>
      <c r="D102" s="10" t="str">
        <f>Tab_Zast[[#This Row],[ID]]</f>
        <v>101</v>
      </c>
      <c r="F102" t="s">
        <v>329</v>
      </c>
      <c r="G102" t="s">
        <v>335</v>
      </c>
      <c r="H102" t="str">
        <f t="shared" si="2"/>
        <v>Żory, Bajerówka (ul. Jana Pawła II)</v>
      </c>
      <c r="I102" t="str">
        <f t="shared" si="3"/>
        <v>insert into nastupy (zastavka) values ('Żory, Bajerówka (ul. Jana Pawła II)');</v>
      </c>
    </row>
    <row r="103" spans="2:9" x14ac:dyDescent="0.25">
      <c r="B103" s="14" t="s">
        <v>336</v>
      </c>
      <c r="C103" s="18" t="s">
        <v>337</v>
      </c>
      <c r="D103" s="10" t="str">
        <f>Tab_Zast[[#This Row],[ID]]</f>
        <v>102</v>
      </c>
      <c r="F103" t="s">
        <v>329</v>
      </c>
      <c r="G103" t="s">
        <v>338</v>
      </c>
      <c r="H103" t="str">
        <f t="shared" si="2"/>
        <v>Żory, Centrum Przesiadkowe (Dworzec PKS)</v>
      </c>
      <c r="I103" t="str">
        <f t="shared" si="3"/>
        <v>insert into nastupy (zastavka) values ('Żory, Centrum Przesiadkowe (Dworzec PKS)');</v>
      </c>
    </row>
    <row r="104" spans="2:9" x14ac:dyDescent="0.25">
      <c r="B104" s="14" t="s">
        <v>339</v>
      </c>
      <c r="C104" s="18" t="s">
        <v>340</v>
      </c>
      <c r="D104" s="10" t="str">
        <f>Tab_Zast[[#This Row],[ID]]</f>
        <v>103</v>
      </c>
      <c r="F104" t="s">
        <v>329</v>
      </c>
      <c r="G104" t="s">
        <v>341</v>
      </c>
      <c r="H104" t="str">
        <f t="shared" si="2"/>
        <v>Żory, Sąd Rejonowy (Al. Jana Pawła II)</v>
      </c>
      <c r="I104" t="str">
        <f t="shared" si="3"/>
        <v>insert into nastupy (zastavka) values ('Żory, Sąd Rejonowy (Al. Jana Pawła II)');</v>
      </c>
    </row>
    <row r="105" spans="2:9" x14ac:dyDescent="0.25">
      <c r="B105" s="14" t="s">
        <v>342</v>
      </c>
      <c r="C105" s="18" t="s">
        <v>343</v>
      </c>
      <c r="D105" s="10" t="str">
        <f>Tab_Zast[[#This Row],[ID]]</f>
        <v>104</v>
      </c>
      <c r="F105" t="s">
        <v>329</v>
      </c>
      <c r="G105" t="s">
        <v>344</v>
      </c>
      <c r="H105" t="str">
        <f t="shared" si="2"/>
        <v>Żory, ul. Dąbrowskiego (Sąd)</v>
      </c>
      <c r="I105" t="str">
        <f t="shared" si="3"/>
        <v>insert into nastupy (zastavka) values ('Żory, ul. Dąbrowskiego (Sąd)');</v>
      </c>
    </row>
    <row r="106" spans="2:9" x14ac:dyDescent="0.25">
      <c r="B106" s="14" t="s">
        <v>345</v>
      </c>
      <c r="C106" s="18" t="s">
        <v>346</v>
      </c>
      <c r="D106" s="10" t="str">
        <f>Tab_Zast[[#This Row],[ID]]</f>
        <v>105</v>
      </c>
      <c r="F106" t="s">
        <v>329</v>
      </c>
      <c r="G106" t="s">
        <v>347</v>
      </c>
      <c r="H106" t="str">
        <f t="shared" si="2"/>
        <v>Żory, ul. Dworcowa (Parking Netto)</v>
      </c>
      <c r="I106" t="str">
        <f t="shared" si="3"/>
        <v>insert into nastupy (zastavka) values ('Żory, ul. Dworcowa (Parking Netto)');</v>
      </c>
    </row>
    <row r="107" spans="2:9" x14ac:dyDescent="0.25">
      <c r="B107" s="14" t="s">
        <v>348</v>
      </c>
      <c r="C107" s="18" t="s">
        <v>349</v>
      </c>
      <c r="D107" s="10" t="str">
        <f>Tab_Zast[[#This Row],[ID]]</f>
        <v>106</v>
      </c>
      <c r="F107" t="s">
        <v>329</v>
      </c>
      <c r="G107" t="s">
        <v>350</v>
      </c>
      <c r="H107" t="str">
        <f t="shared" si="2"/>
        <v>Żory, ul. Męczenników Oświęcimskich</v>
      </c>
      <c r="I107" t="str">
        <f t="shared" si="3"/>
        <v>insert into nastupy (zastavka) values ('Żory, ul. Męczenników Oświęcimskich');</v>
      </c>
    </row>
    <row r="108" spans="2:9" x14ac:dyDescent="0.25">
      <c r="B108" s="14" t="s">
        <v>351</v>
      </c>
      <c r="C108" s="18" t="s">
        <v>352</v>
      </c>
      <c r="D108" s="10" t="str">
        <f>Tab_Zast[[#This Row],[ID]]</f>
        <v>107</v>
      </c>
      <c r="F108" t="s">
        <v>329</v>
      </c>
      <c r="G108" t="s">
        <v>353</v>
      </c>
      <c r="H108" t="str">
        <f t="shared" si="2"/>
        <v>Żory, ul. Wodzisławska (Milla)</v>
      </c>
      <c r="I108" t="str">
        <f t="shared" si="3"/>
        <v>insert into nastupy (zastavka) values ('Żory, ul. Wodzisławska (Milla)');</v>
      </c>
    </row>
    <row r="109" spans="2:9" x14ac:dyDescent="0.25">
      <c r="B109" s="14" t="s">
        <v>354</v>
      </c>
      <c r="C109" s="21" t="s">
        <v>274</v>
      </c>
      <c r="D109" s="10" t="str">
        <f>Tab_Zast[[#This Row],[ID]]</f>
        <v>108</v>
      </c>
      <c r="F109" t="s">
        <v>275</v>
      </c>
      <c r="G109" t="s">
        <v>276</v>
      </c>
      <c r="H109" t="str">
        <f>F109&amp;", "&amp;G109</f>
        <v>Wodzisław Śląski, Dworzec Autobusowy (Galeria Karuzela)</v>
      </c>
      <c r="I109" t="str">
        <f>"insert into nastupy (zastavka) values ('" &amp; H109 &amp; "');"</f>
        <v>insert into nastupy (zastavka) values ('Wodzisław Śląski, Dworzec Autobusowy (Galeria Karuzela)');</v>
      </c>
    </row>
    <row r="110" spans="2:9" x14ac:dyDescent="0.25">
      <c r="B110" s="14" t="s">
        <v>526</v>
      </c>
      <c r="C110" s="18" t="s">
        <v>355</v>
      </c>
      <c r="D110" s="10" t="str">
        <f>Tab_Zast[[#This Row],[ID]]</f>
        <v>109</v>
      </c>
      <c r="H110" t="str">
        <f t="shared" si="2"/>
        <v xml:space="preserve">, </v>
      </c>
    </row>
    <row r="112" spans="2:9" x14ac:dyDescent="0.25">
      <c r="H112" t="str">
        <f t="shared" si="2"/>
        <v xml:space="preserve">, </v>
      </c>
    </row>
    <row r="113" spans="8:8" x14ac:dyDescent="0.25">
      <c r="H113" t="str">
        <f t="shared" si="2"/>
        <v xml:space="preserve">, </v>
      </c>
    </row>
    <row r="114" spans="8:8" x14ac:dyDescent="0.25">
      <c r="H114" t="str">
        <f t="shared" si="2"/>
        <v xml:space="preserve">, </v>
      </c>
    </row>
    <row r="115" spans="8:8" x14ac:dyDescent="0.25">
      <c r="H115" t="str">
        <f t="shared" si="2"/>
        <v xml:space="preserve">, </v>
      </c>
    </row>
    <row r="116" spans="8:8" x14ac:dyDescent="0.25">
      <c r="H116" t="str">
        <f t="shared" si="2"/>
        <v xml:space="preserve">, </v>
      </c>
    </row>
    <row r="117" spans="8:8" x14ac:dyDescent="0.25">
      <c r="H117" t="str">
        <f t="shared" si="2"/>
        <v xml:space="preserve">, </v>
      </c>
    </row>
    <row r="118" spans="8:8" x14ac:dyDescent="0.25">
      <c r="H118" t="str">
        <f t="shared" si="2"/>
        <v xml:space="preserve">, </v>
      </c>
    </row>
    <row r="119" spans="8:8" x14ac:dyDescent="0.25">
      <c r="H119" t="str">
        <f t="shared" si="2"/>
        <v xml:space="preserve">, </v>
      </c>
    </row>
    <row r="120" spans="8:8" x14ac:dyDescent="0.25">
      <c r="H120" t="str">
        <f t="shared" si="2"/>
        <v xml:space="preserve">, </v>
      </c>
    </row>
  </sheetData>
  <autoFilter ref="F1:H114" xr:uid="{F0CE08D9-B08A-451E-B951-FC6E34B6379F}"/>
  <sortState xmlns:xlrd2="http://schemas.microsoft.com/office/spreadsheetml/2017/richdata2" ref="C2:C166">
    <sortCondition ref="C2:C166"/>
  </sortState>
  <phoneticPr fontId="2" type="noConversion"/>
  <conditionalFormatting sqref="C112:C1048576 C108 C110 C1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AB13-427E-4389-B747-D0C81D42FEEB}">
  <sheetPr>
    <tabColor rgb="FFFF0000"/>
  </sheetPr>
  <dimension ref="B1:D13"/>
  <sheetViews>
    <sheetView workbookViewId="0">
      <selection activeCell="D50" sqref="D50"/>
    </sheetView>
  </sheetViews>
  <sheetFormatPr defaultRowHeight="15" x14ac:dyDescent="0.25"/>
  <cols>
    <col min="3" max="3" width="19.140625" bestFit="1" customWidth="1"/>
    <col min="4" max="4" width="48.7109375" bestFit="1" customWidth="1"/>
  </cols>
  <sheetData>
    <row r="1" spans="2:4" x14ac:dyDescent="0.25">
      <c r="B1" t="s">
        <v>4</v>
      </c>
      <c r="C1" t="s">
        <v>5</v>
      </c>
      <c r="D1" t="s">
        <v>356</v>
      </c>
    </row>
    <row r="2" spans="2:4" x14ac:dyDescent="0.25">
      <c r="B2" s="16" t="s">
        <v>20</v>
      </c>
      <c r="C2" s="8" t="s">
        <v>357</v>
      </c>
      <c r="D2" s="8" t="s">
        <v>358</v>
      </c>
    </row>
    <row r="3" spans="2:4" x14ac:dyDescent="0.25">
      <c r="B3" s="16" t="s">
        <v>24</v>
      </c>
      <c r="C3" s="8" t="s">
        <v>359</v>
      </c>
      <c r="D3" s="8" t="s">
        <v>360</v>
      </c>
    </row>
    <row r="4" spans="2:4" x14ac:dyDescent="0.25">
      <c r="B4" s="16" t="s">
        <v>26</v>
      </c>
      <c r="C4" s="8" t="s">
        <v>361</v>
      </c>
      <c r="D4" s="8" t="s">
        <v>362</v>
      </c>
    </row>
    <row r="5" spans="2:4" x14ac:dyDescent="0.25">
      <c r="B5" s="16" t="s">
        <v>29</v>
      </c>
      <c r="C5" s="8" t="s">
        <v>363</v>
      </c>
      <c r="D5" s="8" t="s">
        <v>364</v>
      </c>
    </row>
    <row r="6" spans="2:4" x14ac:dyDescent="0.25">
      <c r="B6" s="16" t="s">
        <v>32</v>
      </c>
      <c r="C6" s="8" t="s">
        <v>365</v>
      </c>
      <c r="D6" s="8" t="s">
        <v>366</v>
      </c>
    </row>
    <row r="7" spans="2:4" x14ac:dyDescent="0.25">
      <c r="B7" s="16" t="s">
        <v>35</v>
      </c>
      <c r="C7" s="8" t="s">
        <v>367</v>
      </c>
      <c r="D7" s="8" t="s">
        <v>368</v>
      </c>
    </row>
    <row r="8" spans="2:4" x14ac:dyDescent="0.25">
      <c r="B8" s="16" t="s">
        <v>38</v>
      </c>
      <c r="C8" s="8" t="s">
        <v>369</v>
      </c>
      <c r="D8" s="8" t="s">
        <v>370</v>
      </c>
    </row>
    <row r="9" spans="2:4" x14ac:dyDescent="0.25">
      <c r="B9" s="16" t="s">
        <v>41</v>
      </c>
      <c r="C9" s="8" t="s">
        <v>371</v>
      </c>
      <c r="D9" s="8" t="s">
        <v>372</v>
      </c>
    </row>
    <row r="10" spans="2:4" x14ac:dyDescent="0.25">
      <c r="B10" s="16" t="s">
        <v>44</v>
      </c>
      <c r="C10" s="8" t="s">
        <v>373</v>
      </c>
      <c r="D10" s="8" t="s">
        <v>374</v>
      </c>
    </row>
    <row r="11" spans="2:4" x14ac:dyDescent="0.25">
      <c r="B11" s="16" t="s">
        <v>48</v>
      </c>
      <c r="C11" s="8" t="s">
        <v>375</v>
      </c>
      <c r="D11" s="8" t="s">
        <v>376</v>
      </c>
    </row>
    <row r="12" spans="2:4" x14ac:dyDescent="0.25">
      <c r="B12" s="16" t="s">
        <v>52</v>
      </c>
      <c r="C12" s="8" t="s">
        <v>377</v>
      </c>
      <c r="D12" s="8" t="s">
        <v>378</v>
      </c>
    </row>
    <row r="13" spans="2:4" x14ac:dyDescent="0.25">
      <c r="B13" s="16" t="s">
        <v>56</v>
      </c>
      <c r="C13" s="8" t="s">
        <v>355</v>
      </c>
      <c r="D13" s="8" t="s">
        <v>355</v>
      </c>
    </row>
  </sheetData>
  <sortState xmlns:xlrd2="http://schemas.microsoft.com/office/spreadsheetml/2017/richdata2" ref="C2:D12">
    <sortCondition ref="C2:C12"/>
  </sortState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1F16-5475-482F-88F5-71341D683D2A}">
  <dimension ref="B2:V130"/>
  <sheetViews>
    <sheetView tabSelected="1" topLeftCell="A79" workbookViewId="0">
      <selection activeCell="O114" sqref="O114"/>
    </sheetView>
  </sheetViews>
  <sheetFormatPr defaultRowHeight="15" x14ac:dyDescent="0.25"/>
  <cols>
    <col min="2" max="2" width="10.140625" style="5" customWidth="1"/>
    <col min="3" max="3" width="8.85546875" style="5"/>
    <col min="4" max="5" width="11.5703125" style="5" bestFit="1" customWidth="1"/>
    <col min="6" max="6" width="11.42578125" style="5" bestFit="1" customWidth="1"/>
  </cols>
  <sheetData>
    <row r="2" spans="2:22" x14ac:dyDescent="0.25">
      <c r="B2" s="5" t="s">
        <v>379</v>
      </c>
      <c r="C2" s="5" t="s">
        <v>380</v>
      </c>
      <c r="D2" s="5" t="s">
        <v>9</v>
      </c>
      <c r="E2" s="5" t="s">
        <v>10</v>
      </c>
      <c r="F2" s="5" t="s">
        <v>11</v>
      </c>
    </row>
    <row r="3" spans="2:22" x14ac:dyDescent="0.25">
      <c r="B3" s="15" t="s">
        <v>214</v>
      </c>
      <c r="C3" s="15" t="s">
        <v>91</v>
      </c>
      <c r="D3" s="11">
        <v>0.17708333333333334</v>
      </c>
      <c r="E3" s="11">
        <v>0</v>
      </c>
      <c r="F3" s="11">
        <v>0</v>
      </c>
      <c r="I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('62','23','4:15','0:0','0:0');</v>
      </c>
    </row>
    <row r="4" spans="2:22" x14ac:dyDescent="0.25">
      <c r="B4" s="15" t="s">
        <v>277</v>
      </c>
      <c r="C4" s="15" t="s">
        <v>91</v>
      </c>
      <c r="D4" s="11">
        <v>0.19444444444444445</v>
      </c>
      <c r="E4" s="11">
        <v>0</v>
      </c>
      <c r="F4" s="11">
        <v>0</v>
      </c>
      <c r="I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('82','23','4:40','0:0','0:0');</v>
      </c>
      <c r="T4" s="25" t="s">
        <v>20</v>
      </c>
      <c r="U4" s="26" t="s">
        <v>357</v>
      </c>
      <c r="V4" s="27" t="s">
        <v>358</v>
      </c>
    </row>
    <row r="5" spans="2:22" x14ac:dyDescent="0.25">
      <c r="B5" s="15" t="s">
        <v>166</v>
      </c>
      <c r="C5" s="15" t="s">
        <v>91</v>
      </c>
      <c r="D5" s="11">
        <v>0.19791666666666666</v>
      </c>
      <c r="E5" s="11">
        <v>0</v>
      </c>
      <c r="F5" s="11">
        <v>0</v>
      </c>
      <c r="I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('48','23','4:45','0:0','0:0');</v>
      </c>
      <c r="T5" s="25" t="s">
        <v>24</v>
      </c>
      <c r="U5" s="26" t="s">
        <v>359</v>
      </c>
      <c r="V5" s="27" t="s">
        <v>360</v>
      </c>
    </row>
    <row r="6" spans="2:22" x14ac:dyDescent="0.25">
      <c r="B6" s="15" t="s">
        <v>333</v>
      </c>
      <c r="C6" s="15" t="s">
        <v>100</v>
      </c>
      <c r="D6" s="11">
        <v>0.16666666666666666</v>
      </c>
      <c r="E6" s="11">
        <v>0</v>
      </c>
      <c r="F6" s="11">
        <v>0</v>
      </c>
      <c r="I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('101','26','4:0','0:0','0:0');</v>
      </c>
      <c r="T6" s="25" t="s">
        <v>26</v>
      </c>
      <c r="U6" s="26" t="s">
        <v>361</v>
      </c>
      <c r="V6" s="27" t="s">
        <v>362</v>
      </c>
    </row>
    <row r="7" spans="2:22" x14ac:dyDescent="0.25">
      <c r="B7" s="15" t="s">
        <v>130</v>
      </c>
      <c r="C7" s="15" t="s">
        <v>100</v>
      </c>
      <c r="D7" s="11">
        <v>0.1736111111111111</v>
      </c>
      <c r="E7" s="11">
        <v>0</v>
      </c>
      <c r="F7" s="11">
        <v>0</v>
      </c>
      <c r="I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('36','26','4:10','0:0','0:0');</v>
      </c>
      <c r="T7" s="25" t="s">
        <v>29</v>
      </c>
      <c r="U7" s="26" t="s">
        <v>363</v>
      </c>
      <c r="V7" s="27" t="s">
        <v>364</v>
      </c>
    </row>
    <row r="8" spans="2:22" x14ac:dyDescent="0.25">
      <c r="B8" s="15" t="s">
        <v>88</v>
      </c>
      <c r="C8" s="15" t="s">
        <v>100</v>
      </c>
      <c r="D8" s="11">
        <v>0.17708333333333334</v>
      </c>
      <c r="E8" s="11">
        <v>0</v>
      </c>
      <c r="F8" s="11">
        <v>0</v>
      </c>
      <c r="I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('22','26','4:15','0:0','0:0');</v>
      </c>
      <c r="T8" s="25" t="s">
        <v>32</v>
      </c>
      <c r="U8" s="26" t="s">
        <v>365</v>
      </c>
      <c r="V8" s="27" t="s">
        <v>366</v>
      </c>
    </row>
    <row r="9" spans="2:22" x14ac:dyDescent="0.25">
      <c r="B9" s="15" t="s">
        <v>97</v>
      </c>
      <c r="C9" s="15" t="s">
        <v>100</v>
      </c>
      <c r="D9" s="11">
        <v>0.17847222222222223</v>
      </c>
      <c r="E9" s="11">
        <v>0</v>
      </c>
      <c r="F9" s="11">
        <v>0</v>
      </c>
      <c r="I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('25','26','4:17','0:0','0:0');</v>
      </c>
      <c r="T9" s="25" t="s">
        <v>35</v>
      </c>
      <c r="U9" s="26" t="s">
        <v>367</v>
      </c>
      <c r="V9" s="27" t="s">
        <v>368</v>
      </c>
    </row>
    <row r="10" spans="2:22" x14ac:dyDescent="0.25">
      <c r="B10" s="15" t="s">
        <v>77</v>
      </c>
      <c r="C10" s="15" t="s">
        <v>100</v>
      </c>
      <c r="D10" s="11">
        <v>0.17986111111111111</v>
      </c>
      <c r="E10" s="11">
        <v>0</v>
      </c>
      <c r="F10" s="11">
        <v>0</v>
      </c>
      <c r="I1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('18','26','4:19','0:0','0:0');</v>
      </c>
      <c r="T10" s="25" t="s">
        <v>38</v>
      </c>
      <c r="U10" s="26" t="s">
        <v>369</v>
      </c>
      <c r="V10" s="27" t="s">
        <v>370</v>
      </c>
    </row>
    <row r="11" spans="2:22" x14ac:dyDescent="0.25">
      <c r="B11" s="15" t="s">
        <v>94</v>
      </c>
      <c r="C11" s="15" t="s">
        <v>100</v>
      </c>
      <c r="D11" s="11">
        <v>0.18124999999999999</v>
      </c>
      <c r="E11" s="11">
        <v>0</v>
      </c>
      <c r="F11" s="11">
        <v>0</v>
      </c>
      <c r="I1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('24','26','4:21','0:0','0:0');</v>
      </c>
      <c r="T11" s="25" t="s">
        <v>41</v>
      </c>
      <c r="U11" s="26" t="s">
        <v>371</v>
      </c>
      <c r="V11" s="27" t="s">
        <v>372</v>
      </c>
    </row>
    <row r="12" spans="2:22" x14ac:dyDescent="0.25">
      <c r="B12" s="15" t="s">
        <v>145</v>
      </c>
      <c r="C12" s="15" t="s">
        <v>100</v>
      </c>
      <c r="D12" s="11">
        <v>0.18402777777777779</v>
      </c>
      <c r="E12" s="11">
        <v>0</v>
      </c>
      <c r="F12" s="11">
        <v>0</v>
      </c>
      <c r="I1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('41','26','4:25','0:0','0:0');</v>
      </c>
      <c r="T12" s="25" t="s">
        <v>44</v>
      </c>
      <c r="U12" s="26" t="s">
        <v>373</v>
      </c>
      <c r="V12" s="27" t="s">
        <v>374</v>
      </c>
    </row>
    <row r="13" spans="2:22" x14ac:dyDescent="0.25">
      <c r="B13" s="15" t="s">
        <v>315</v>
      </c>
      <c r="C13" s="15" t="s">
        <v>100</v>
      </c>
      <c r="D13" s="11">
        <v>0.19444444444444445</v>
      </c>
      <c r="E13" s="11">
        <v>0</v>
      </c>
      <c r="F13" s="11">
        <v>0</v>
      </c>
      <c r="I1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('95','26','4:40','0:0','0:0');</v>
      </c>
      <c r="T13" s="25" t="s">
        <v>48</v>
      </c>
      <c r="U13" s="26" t="s">
        <v>375</v>
      </c>
      <c r="V13" s="27" t="s">
        <v>376</v>
      </c>
    </row>
    <row r="14" spans="2:22" x14ac:dyDescent="0.25">
      <c r="B14" s="15" t="s">
        <v>60</v>
      </c>
      <c r="C14" s="15" t="s">
        <v>100</v>
      </c>
      <c r="D14" s="11">
        <v>0.2</v>
      </c>
      <c r="E14" s="11">
        <v>0</v>
      </c>
      <c r="F14" s="11">
        <v>0</v>
      </c>
      <c r="I1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('13','26','4:48','0:0','0:0');</v>
      </c>
      <c r="T14" s="25" t="s">
        <v>52</v>
      </c>
      <c r="U14" s="26" t="s">
        <v>377</v>
      </c>
      <c r="V14" s="27" t="s">
        <v>378</v>
      </c>
    </row>
    <row r="15" spans="2:22" x14ac:dyDescent="0.25">
      <c r="B15" s="15" t="s">
        <v>26</v>
      </c>
      <c r="C15" s="15" t="s">
        <v>100</v>
      </c>
      <c r="D15" s="11">
        <v>0.2048611111111111</v>
      </c>
      <c r="E15" s="11">
        <v>0</v>
      </c>
      <c r="F15" s="11">
        <v>0</v>
      </c>
      <c r="I1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('03','26','4:55','0:0','0:0');</v>
      </c>
      <c r="T15" s="25" t="s">
        <v>56</v>
      </c>
      <c r="U15" s="26" t="s">
        <v>355</v>
      </c>
      <c r="V15" s="27" t="s">
        <v>355</v>
      </c>
    </row>
    <row r="16" spans="2:22" x14ac:dyDescent="0.25">
      <c r="B16" s="15" t="s">
        <v>35</v>
      </c>
      <c r="C16" s="15" t="s">
        <v>100</v>
      </c>
      <c r="D16" s="11">
        <v>0.20624999999999999</v>
      </c>
      <c r="E16" s="11">
        <v>0</v>
      </c>
      <c r="F16" s="11">
        <v>0</v>
      </c>
      <c r="I1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('06','26','4:57','0:0','0:0');</v>
      </c>
    </row>
    <row r="17" spans="2:9" x14ac:dyDescent="0.25">
      <c r="B17" s="15" t="s">
        <v>32</v>
      </c>
      <c r="C17" s="15" t="s">
        <v>100</v>
      </c>
      <c r="D17" s="11">
        <v>0.20833333333333334</v>
      </c>
      <c r="E17" s="11">
        <v>0</v>
      </c>
      <c r="F17" s="11">
        <v>0</v>
      </c>
      <c r="I1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('05','26','5:0','0:0','0:0');</v>
      </c>
    </row>
    <row r="18" spans="2:9" x14ac:dyDescent="0.25">
      <c r="B18" s="15" t="s">
        <v>142</v>
      </c>
      <c r="C18" s="15" t="s">
        <v>20</v>
      </c>
      <c r="D18" s="11">
        <v>0.15972222222222221</v>
      </c>
      <c r="E18" s="11">
        <v>0.49305555555555558</v>
      </c>
      <c r="F18" s="11">
        <v>0.82638888888888884</v>
      </c>
      <c r="I1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('40','01','3:50','11:50','19:50');</v>
      </c>
    </row>
    <row r="19" spans="2:9" x14ac:dyDescent="0.25">
      <c r="B19" s="15" t="s">
        <v>139</v>
      </c>
      <c r="C19" s="15" t="s">
        <v>20</v>
      </c>
      <c r="D19" s="11">
        <v>0.16111111111111112</v>
      </c>
      <c r="E19" s="11">
        <v>0.49444444444444446</v>
      </c>
      <c r="F19" s="11">
        <v>0.82777777777777772</v>
      </c>
      <c r="I1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('39','01','3:52','11:52','19:52');</v>
      </c>
    </row>
    <row r="20" spans="2:9" x14ac:dyDescent="0.25">
      <c r="B20" s="15" t="s">
        <v>74</v>
      </c>
      <c r="C20" s="15" t="s">
        <v>20</v>
      </c>
      <c r="D20" s="11">
        <v>0.16250000000000001</v>
      </c>
      <c r="E20" s="11">
        <v>0.49583333333333335</v>
      </c>
      <c r="F20" s="11">
        <v>0.82916666666666672</v>
      </c>
      <c r="I2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('17','01','3:54','11:54','19:54');</v>
      </c>
    </row>
    <row r="21" spans="2:9" x14ac:dyDescent="0.25">
      <c r="B21" s="15" t="s">
        <v>88</v>
      </c>
      <c r="C21" s="15" t="s">
        <v>20</v>
      </c>
      <c r="D21" s="11">
        <v>0.16527777777777777</v>
      </c>
      <c r="E21" s="11">
        <v>0.49861111111111112</v>
      </c>
      <c r="F21" s="11">
        <v>0.83194444444444449</v>
      </c>
      <c r="I2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('22','01','3:58','11:58','19:58');</v>
      </c>
    </row>
    <row r="22" spans="2:9" x14ac:dyDescent="0.25">
      <c r="B22" s="15" t="s">
        <v>97</v>
      </c>
      <c r="C22" s="15" t="s">
        <v>20</v>
      </c>
      <c r="D22" s="11">
        <v>0.16805555555555557</v>
      </c>
      <c r="E22" s="11">
        <v>0.50138888888888888</v>
      </c>
      <c r="F22" s="11">
        <v>0.83472222222222225</v>
      </c>
      <c r="I2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('25','01','4:2','12:2','20:2');</v>
      </c>
    </row>
    <row r="23" spans="2:9" x14ac:dyDescent="0.25">
      <c r="B23" s="15" t="s">
        <v>94</v>
      </c>
      <c r="C23" s="15" t="s">
        <v>20</v>
      </c>
      <c r="D23" s="11">
        <v>0.16944444444444445</v>
      </c>
      <c r="E23" s="11">
        <v>0.50277777777777777</v>
      </c>
      <c r="F23" s="11">
        <v>0.83611111111111114</v>
      </c>
      <c r="I2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('24','01','4:4','12:4','20:4');</v>
      </c>
    </row>
    <row r="24" spans="2:9" x14ac:dyDescent="0.25">
      <c r="B24" s="15" t="s">
        <v>70</v>
      </c>
      <c r="C24" s="15" t="s">
        <v>20</v>
      </c>
      <c r="D24" s="11">
        <v>0.17222222222222222</v>
      </c>
      <c r="E24" s="11">
        <v>0.50555555555555554</v>
      </c>
      <c r="F24" s="11">
        <v>0.83888888888888891</v>
      </c>
      <c r="I2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('16','01','4:8','12:8','20:8');</v>
      </c>
    </row>
    <row r="25" spans="2:9" x14ac:dyDescent="0.25">
      <c r="B25" s="15" t="s">
        <v>103</v>
      </c>
      <c r="C25" s="15" t="s">
        <v>20</v>
      </c>
      <c r="D25" s="11">
        <v>0.1736111111111111</v>
      </c>
      <c r="E25" s="11">
        <v>0.50694444444444442</v>
      </c>
      <c r="F25" s="11">
        <v>0.84027777777777779</v>
      </c>
      <c r="I2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('27','01','4:10','12:10','20:10');</v>
      </c>
    </row>
    <row r="26" spans="2:9" x14ac:dyDescent="0.25">
      <c r="B26" s="15" t="s">
        <v>100</v>
      </c>
      <c r="C26" s="15" t="s">
        <v>20</v>
      </c>
      <c r="D26" s="11">
        <v>0.17569444444444443</v>
      </c>
      <c r="E26" s="11">
        <v>0.50902777777777775</v>
      </c>
      <c r="F26" s="11">
        <v>0.84236111111111112</v>
      </c>
      <c r="I2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('26','01','4:13','12:13','20:13');</v>
      </c>
    </row>
    <row r="27" spans="2:9" x14ac:dyDescent="0.25">
      <c r="B27" s="15" t="s">
        <v>202</v>
      </c>
      <c r="C27" s="15" t="s">
        <v>20</v>
      </c>
      <c r="D27" s="11">
        <v>0.18055555555555555</v>
      </c>
      <c r="E27" s="11">
        <v>0.51388888888888884</v>
      </c>
      <c r="F27" s="11">
        <v>0.84722222222222221</v>
      </c>
      <c r="I2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('59','01','4:20','12:20','20:20');</v>
      </c>
    </row>
    <row r="28" spans="2:9" x14ac:dyDescent="0.25">
      <c r="B28" s="15" t="s">
        <v>289</v>
      </c>
      <c r="C28" s="15" t="s">
        <v>20</v>
      </c>
      <c r="D28" s="11">
        <v>0.1875</v>
      </c>
      <c r="E28" s="11">
        <v>0.52083333333333337</v>
      </c>
      <c r="F28" s="11">
        <v>0.85416666666666663</v>
      </c>
      <c r="I2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('86','01','4:30','12:30','20:30');</v>
      </c>
    </row>
    <row r="29" spans="2:9" x14ac:dyDescent="0.25">
      <c r="B29" s="15" t="s">
        <v>354</v>
      </c>
      <c r="C29" s="15" t="s">
        <v>20</v>
      </c>
      <c r="D29" s="11">
        <v>0.18958333333333333</v>
      </c>
      <c r="E29" s="11">
        <v>0.5229166666666667</v>
      </c>
      <c r="F29" s="11">
        <v>0.85624999999999996</v>
      </c>
      <c r="I2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('108','01','4:33','12:33','20:33');</v>
      </c>
    </row>
    <row r="30" spans="2:9" x14ac:dyDescent="0.25">
      <c r="B30" s="15" t="s">
        <v>294</v>
      </c>
      <c r="C30" s="15" t="s">
        <v>20</v>
      </c>
      <c r="D30" s="11">
        <v>0.19166666666666668</v>
      </c>
      <c r="E30" s="11">
        <v>0.52500000000000002</v>
      </c>
      <c r="F30" s="11">
        <v>0.85833333333333328</v>
      </c>
      <c r="I3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('88','01','4:36','12:36','20:36');</v>
      </c>
    </row>
    <row r="31" spans="2:9" x14ac:dyDescent="0.25">
      <c r="B31" s="15" t="s">
        <v>52</v>
      </c>
      <c r="C31" s="15" t="s">
        <v>20</v>
      </c>
      <c r="D31" s="11">
        <v>0.19791666666666666</v>
      </c>
      <c r="E31" s="11">
        <v>0.53125</v>
      </c>
      <c r="F31" s="11">
        <v>0.86458333333333337</v>
      </c>
      <c r="I3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('11','01','4:45','12:45','20:45');</v>
      </c>
    </row>
    <row r="32" spans="2:9" x14ac:dyDescent="0.25">
      <c r="B32" s="15" t="s">
        <v>56</v>
      </c>
      <c r="C32" s="15" t="s">
        <v>20</v>
      </c>
      <c r="D32" s="11">
        <v>0.2013888888888889</v>
      </c>
      <c r="E32" s="11">
        <v>0.53472222222222221</v>
      </c>
      <c r="F32" s="11">
        <v>0.86805555555555558</v>
      </c>
      <c r="I3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('12','01','4:50','12:50','20:50');</v>
      </c>
    </row>
    <row r="33" spans="2:9" x14ac:dyDescent="0.25">
      <c r="B33" s="15" t="s">
        <v>206</v>
      </c>
      <c r="C33" s="15" t="s">
        <v>20</v>
      </c>
      <c r="D33" s="11">
        <v>0.21527777777777779</v>
      </c>
      <c r="E33" s="11">
        <v>0.54861111111111116</v>
      </c>
      <c r="F33" s="11">
        <v>0.88194444444444442</v>
      </c>
      <c r="I3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('60','01','5:10','13:10','21:10');</v>
      </c>
    </row>
    <row r="34" spans="2:9" x14ac:dyDescent="0.25">
      <c r="B34" s="15" t="s">
        <v>44</v>
      </c>
      <c r="C34" s="15" t="s">
        <v>20</v>
      </c>
      <c r="D34" s="11">
        <v>0.22222222222222221</v>
      </c>
      <c r="E34" s="11">
        <v>0.55555555555555558</v>
      </c>
      <c r="F34" s="11">
        <v>0.88888888888888884</v>
      </c>
      <c r="I3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('09','01','5:20','13:20','21:20');</v>
      </c>
    </row>
    <row r="35" spans="2:9" x14ac:dyDescent="0.25">
      <c r="B35" s="15" t="s">
        <v>345</v>
      </c>
      <c r="C35" s="15" t="s">
        <v>24</v>
      </c>
      <c r="D35" s="11">
        <v>0.1736111111111111</v>
      </c>
      <c r="E35" s="11">
        <v>0.50694444444444442</v>
      </c>
      <c r="F35" s="11">
        <v>0.84027777777777779</v>
      </c>
      <c r="I3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('105','02','4:10','12:10','20:10');</v>
      </c>
    </row>
    <row r="36" spans="2:9" x14ac:dyDescent="0.25">
      <c r="B36" s="15" t="s">
        <v>339</v>
      </c>
      <c r="C36" s="15" t="s">
        <v>24</v>
      </c>
      <c r="D36" s="11">
        <v>0.17708333333333334</v>
      </c>
      <c r="E36" s="11">
        <v>0.51041666666666663</v>
      </c>
      <c r="F36" s="11">
        <v>0.84375</v>
      </c>
      <c r="I3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('103','02','4:15','12:15','20:15');</v>
      </c>
    </row>
    <row r="37" spans="2:9" x14ac:dyDescent="0.25">
      <c r="B37" s="15" t="s">
        <v>333</v>
      </c>
      <c r="C37" s="15" t="s">
        <v>24</v>
      </c>
      <c r="D37" s="11">
        <v>0.17847222222222223</v>
      </c>
      <c r="E37" s="11">
        <v>0.51180555555555551</v>
      </c>
      <c r="F37" s="11">
        <v>0.84513888888888888</v>
      </c>
      <c r="I3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('101','02','4:17','12:17','20:17');</v>
      </c>
    </row>
    <row r="38" spans="2:9" x14ac:dyDescent="0.25">
      <c r="B38" s="15" t="s">
        <v>124</v>
      </c>
      <c r="C38" s="15" t="s">
        <v>24</v>
      </c>
      <c r="D38" s="11">
        <v>0.19444444444444445</v>
      </c>
      <c r="E38" s="11">
        <v>0.52777777777777779</v>
      </c>
      <c r="F38" s="11">
        <v>0.86111111111111116</v>
      </c>
      <c r="I3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('34','02','4:40','12:40','20:40');</v>
      </c>
    </row>
    <row r="39" spans="2:9" x14ac:dyDescent="0.25">
      <c r="B39" s="15" t="s">
        <v>324</v>
      </c>
      <c r="C39" s="15" t="s">
        <v>24</v>
      </c>
      <c r="D39" s="11">
        <v>0.19652777777777777</v>
      </c>
      <c r="E39" s="11">
        <v>0.52986111111111112</v>
      </c>
      <c r="F39" s="11">
        <v>0.86319444444444449</v>
      </c>
      <c r="I3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('98','02','4:43','12:43','20:43');</v>
      </c>
    </row>
    <row r="40" spans="2:9" x14ac:dyDescent="0.25">
      <c r="B40" s="15" t="s">
        <v>319</v>
      </c>
      <c r="C40" s="15" t="s">
        <v>24</v>
      </c>
      <c r="D40" s="11">
        <v>0.1986111111111111</v>
      </c>
      <c r="E40" s="11">
        <v>0.53194444444444444</v>
      </c>
      <c r="F40" s="11">
        <v>0.86527777777777781</v>
      </c>
      <c r="I4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('96','02','4:46','12:46','20:46');</v>
      </c>
    </row>
    <row r="41" spans="2:9" x14ac:dyDescent="0.25">
      <c r="B41" s="15" t="s">
        <v>183</v>
      </c>
      <c r="C41" s="15" t="s">
        <v>24</v>
      </c>
      <c r="D41" s="11">
        <v>0.2</v>
      </c>
      <c r="E41" s="11">
        <v>0.53333333333333333</v>
      </c>
      <c r="F41" s="11">
        <v>0.8666666666666667</v>
      </c>
      <c r="I4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('53','02','4:48','12:48','20:48');</v>
      </c>
    </row>
    <row r="42" spans="2:9" x14ac:dyDescent="0.25">
      <c r="B42" s="15" t="s">
        <v>186</v>
      </c>
      <c r="C42" s="15" t="s">
        <v>24</v>
      </c>
      <c r="D42" s="11">
        <v>0.2013888888888889</v>
      </c>
      <c r="E42" s="11">
        <v>0.53472222222222221</v>
      </c>
      <c r="F42" s="11">
        <v>0.86805555555555558</v>
      </c>
      <c r="I4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('54','02','4:50','12:50','20:50');</v>
      </c>
    </row>
    <row r="43" spans="2:9" x14ac:dyDescent="0.25">
      <c r="B43" s="15" t="s">
        <v>60</v>
      </c>
      <c r="C43" s="15" t="s">
        <v>24</v>
      </c>
      <c r="D43" s="11">
        <v>0.2048611111111111</v>
      </c>
      <c r="E43" s="11">
        <v>0.53819444444444442</v>
      </c>
      <c r="F43" s="11">
        <v>0.87152777777777779</v>
      </c>
      <c r="I4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('13','02','4:55','12:55','20:55');</v>
      </c>
    </row>
    <row r="44" spans="2:9" x14ac:dyDescent="0.25">
      <c r="B44" s="15" t="s">
        <v>67</v>
      </c>
      <c r="C44" s="15" t="s">
        <v>24</v>
      </c>
      <c r="D44" s="11">
        <v>0.20624999999999999</v>
      </c>
      <c r="E44" s="11">
        <v>0.5395833333333333</v>
      </c>
      <c r="F44" s="11">
        <v>0.87291666666666667</v>
      </c>
      <c r="I4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('15','02','4:57','12:57','20:57');</v>
      </c>
    </row>
    <row r="45" spans="2:9" x14ac:dyDescent="0.25">
      <c r="B45" s="15" t="s">
        <v>24</v>
      </c>
      <c r="C45" s="15" t="s">
        <v>24</v>
      </c>
      <c r="D45" s="11">
        <v>0.20833333333333334</v>
      </c>
      <c r="E45" s="11">
        <v>0.54166666666666663</v>
      </c>
      <c r="F45" s="11">
        <v>0.875</v>
      </c>
      <c r="I4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('02','02','5:0','13:0','21:0');</v>
      </c>
    </row>
    <row r="46" spans="2:9" x14ac:dyDescent="0.25">
      <c r="B46" s="15" t="s">
        <v>29</v>
      </c>
      <c r="C46" s="15" t="s">
        <v>24</v>
      </c>
      <c r="D46" s="11">
        <v>0.21041666666666667</v>
      </c>
      <c r="E46" s="11">
        <v>0.54374999999999996</v>
      </c>
      <c r="F46" s="11">
        <v>0.87708333333333333</v>
      </c>
      <c r="I4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('04','02','5:3','13:3','21:3');</v>
      </c>
    </row>
    <row r="47" spans="2:9" x14ac:dyDescent="0.25">
      <c r="B47" s="15" t="s">
        <v>225</v>
      </c>
      <c r="C47" s="15" t="s">
        <v>74</v>
      </c>
      <c r="D47" s="11">
        <v>0.15625</v>
      </c>
      <c r="E47" s="11">
        <v>0.48958333333333331</v>
      </c>
      <c r="F47" s="11">
        <v>0.82291666666666663</v>
      </c>
      <c r="I4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('65','17','3:45','11:45','19:45');</v>
      </c>
    </row>
    <row r="48" spans="2:9" x14ac:dyDescent="0.25">
      <c r="B48" s="15" t="s">
        <v>221</v>
      </c>
      <c r="C48" s="15" t="s">
        <v>74</v>
      </c>
      <c r="D48" s="11">
        <v>0.15972222222222221</v>
      </c>
      <c r="E48" s="11">
        <v>0.49305555555555558</v>
      </c>
      <c r="F48" s="11">
        <v>0.82638888888888884</v>
      </c>
      <c r="I4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('64','17','3:50','11:50','19:50');</v>
      </c>
    </row>
    <row r="49" spans="2:9" x14ac:dyDescent="0.25">
      <c r="B49" s="15" t="s">
        <v>237</v>
      </c>
      <c r="C49" s="15" t="s">
        <v>74</v>
      </c>
      <c r="D49" s="11">
        <v>0.1701388888888889</v>
      </c>
      <c r="E49" s="11">
        <v>0.50347222222222221</v>
      </c>
      <c r="F49" s="11">
        <v>0.83680555555555558</v>
      </c>
      <c r="I4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('69','17','4:5','12:5','20:5');</v>
      </c>
    </row>
    <row r="50" spans="2:9" x14ac:dyDescent="0.25">
      <c r="B50" s="15" t="s">
        <v>230</v>
      </c>
      <c r="C50" s="15" t="s">
        <v>74</v>
      </c>
      <c r="D50" s="11">
        <v>0.17291666666666666</v>
      </c>
      <c r="E50" s="11">
        <v>0.50624999999999998</v>
      </c>
      <c r="F50" s="11">
        <v>0.83958333333333335</v>
      </c>
      <c r="I5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('67','17','4:9','12:9','20:9');</v>
      </c>
    </row>
    <row r="51" spans="2:9" x14ac:dyDescent="0.25">
      <c r="B51" s="15" t="s">
        <v>214</v>
      </c>
      <c r="C51" s="15" t="s">
        <v>74</v>
      </c>
      <c r="D51" s="11">
        <v>0.17847222222222223</v>
      </c>
      <c r="E51" s="11">
        <v>0.51180555555555551</v>
      </c>
      <c r="F51" s="11">
        <v>0.84513888888888888</v>
      </c>
      <c r="I5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('62','17','4:17','12:17','20:17');</v>
      </c>
    </row>
    <row r="52" spans="2:9" x14ac:dyDescent="0.25">
      <c r="B52" s="15" t="s">
        <v>218</v>
      </c>
      <c r="C52" s="15" t="s">
        <v>74</v>
      </c>
      <c r="D52" s="11">
        <v>0.17986111111111111</v>
      </c>
      <c r="E52" s="11">
        <v>0.5131944444444444</v>
      </c>
      <c r="F52" s="11">
        <v>0.84652777777777777</v>
      </c>
      <c r="I5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('63','17','4:19','12:19','20:19');</v>
      </c>
    </row>
    <row r="53" spans="2:9" x14ac:dyDescent="0.25">
      <c r="B53" s="15" t="s">
        <v>280</v>
      </c>
      <c r="C53" s="15" t="s">
        <v>74</v>
      </c>
      <c r="D53" s="11">
        <v>0.18402777777777779</v>
      </c>
      <c r="E53" s="11">
        <v>0.51736111111111116</v>
      </c>
      <c r="F53" s="11">
        <v>0.85069444444444442</v>
      </c>
      <c r="I5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('83','17','4:25','12:25','20:25');</v>
      </c>
    </row>
    <row r="54" spans="2:9" x14ac:dyDescent="0.25">
      <c r="B54" s="15" t="s">
        <v>277</v>
      </c>
      <c r="C54" s="15" t="s">
        <v>74</v>
      </c>
      <c r="D54" s="11">
        <v>0.18611111111111112</v>
      </c>
      <c r="E54" s="11">
        <v>0.51944444444444449</v>
      </c>
      <c r="F54" s="11">
        <v>0.85277777777777775</v>
      </c>
      <c r="I5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('82','17','4:28','12:28','20:28');</v>
      </c>
    </row>
    <row r="55" spans="2:9" x14ac:dyDescent="0.25">
      <c r="B55" s="15" t="s">
        <v>297</v>
      </c>
      <c r="C55" s="15" t="s">
        <v>74</v>
      </c>
      <c r="D55" s="11">
        <v>0.1875</v>
      </c>
      <c r="E55" s="11">
        <v>0.52083333333333337</v>
      </c>
      <c r="F55" s="11">
        <v>0.85416666666666663</v>
      </c>
      <c r="I5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('89','17','4:30','12:30','20:30');</v>
      </c>
    </row>
    <row r="56" spans="2:9" x14ac:dyDescent="0.25">
      <c r="B56" s="15" t="s">
        <v>309</v>
      </c>
      <c r="C56" s="15" t="s">
        <v>74</v>
      </c>
      <c r="D56" s="11">
        <v>0.18958333333333333</v>
      </c>
      <c r="E56" s="11">
        <v>0.5229166666666667</v>
      </c>
      <c r="F56" s="11">
        <v>0.85624999999999996</v>
      </c>
      <c r="I5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('93','17','4:33','12:33','20:33');</v>
      </c>
    </row>
    <row r="57" spans="2:9" x14ac:dyDescent="0.25">
      <c r="B57" s="15" t="s">
        <v>306</v>
      </c>
      <c r="C57" s="15" t="s">
        <v>74</v>
      </c>
      <c r="D57" s="11">
        <v>0.19236111111111112</v>
      </c>
      <c r="E57" s="11">
        <v>0.52569444444444446</v>
      </c>
      <c r="F57" s="11">
        <v>0.85902777777777772</v>
      </c>
      <c r="I5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('92','17','4:37','12:37','20:37');</v>
      </c>
    </row>
    <row r="58" spans="2:9" x14ac:dyDescent="0.25">
      <c r="B58" s="15" t="s">
        <v>270</v>
      </c>
      <c r="C58" s="15" t="s">
        <v>74</v>
      </c>
      <c r="D58" s="11">
        <v>0.19513888888888889</v>
      </c>
      <c r="E58" s="11">
        <v>0.52847222222222223</v>
      </c>
      <c r="F58" s="11">
        <v>0.8618055555555556</v>
      </c>
      <c r="I5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('80','17','4:41','12:41','20:41');</v>
      </c>
    </row>
    <row r="59" spans="2:9" x14ac:dyDescent="0.25">
      <c r="B59" s="15" t="s">
        <v>48</v>
      </c>
      <c r="C59" s="15" t="s">
        <v>74</v>
      </c>
      <c r="D59" s="11">
        <v>0.2</v>
      </c>
      <c r="E59" s="11">
        <v>0.53333333333333333</v>
      </c>
      <c r="F59" s="11">
        <v>0.8666666666666667</v>
      </c>
      <c r="I5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('10','17','4:48','12:48','20:48');</v>
      </c>
    </row>
    <row r="60" spans="2:9" x14ac:dyDescent="0.25">
      <c r="B60" s="15" t="s">
        <v>327</v>
      </c>
      <c r="C60" s="15" t="s">
        <v>77</v>
      </c>
      <c r="D60" s="11">
        <v>0.17708333333333334</v>
      </c>
      <c r="E60" s="11">
        <v>0.51041666666666663</v>
      </c>
      <c r="F60" s="11">
        <v>0.84375</v>
      </c>
      <c r="I6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('99','18','4:15','12:15','20:15');</v>
      </c>
    </row>
    <row r="61" spans="2:9" x14ac:dyDescent="0.25">
      <c r="B61" s="15" t="s">
        <v>339</v>
      </c>
      <c r="C61" s="15" t="s">
        <v>77</v>
      </c>
      <c r="D61" s="11">
        <v>0.17847222222222223</v>
      </c>
      <c r="E61" s="11">
        <v>0.51180555555555551</v>
      </c>
      <c r="F61" s="11">
        <v>0.84513888888888888</v>
      </c>
      <c r="I6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('103','18','4:17','12:17','20:17');</v>
      </c>
    </row>
    <row r="62" spans="2:9" x14ac:dyDescent="0.25">
      <c r="B62" s="15" t="s">
        <v>333</v>
      </c>
      <c r="C62" s="15" t="s">
        <v>77</v>
      </c>
      <c r="D62" s="11">
        <v>0.17986111111111111</v>
      </c>
      <c r="E62" s="11">
        <v>0.5131944444444444</v>
      </c>
      <c r="F62" s="11">
        <v>0.84652777777777777</v>
      </c>
      <c r="I6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('101','18','4:19','12:19','20:19');</v>
      </c>
    </row>
    <row r="63" spans="2:9" x14ac:dyDescent="0.25">
      <c r="B63" s="15" t="s">
        <v>130</v>
      </c>
      <c r="C63" s="15" t="s">
        <v>77</v>
      </c>
      <c r="D63" s="11">
        <v>0.18611111111111112</v>
      </c>
      <c r="E63" s="11">
        <v>0.51944444444444449</v>
      </c>
      <c r="F63" s="11">
        <v>0.85277777777777775</v>
      </c>
      <c r="I6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('36','18','4:28','12:28','20:28');</v>
      </c>
    </row>
    <row r="64" spans="2:9" x14ac:dyDescent="0.25">
      <c r="B64" s="15" t="s">
        <v>136</v>
      </c>
      <c r="C64" s="15" t="s">
        <v>77</v>
      </c>
      <c r="D64" s="11">
        <v>0.18611111111111112</v>
      </c>
      <c r="E64" s="11">
        <v>0.51944444444444449</v>
      </c>
      <c r="F64" s="11">
        <v>0.85277777777777775</v>
      </c>
      <c r="I6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('38','18','4:28','12:28','20:28');</v>
      </c>
    </row>
    <row r="65" spans="2:9" x14ac:dyDescent="0.25">
      <c r="B65" s="15" t="s">
        <v>172</v>
      </c>
      <c r="C65" s="15" t="s">
        <v>77</v>
      </c>
      <c r="D65" s="11">
        <v>0.19027777777777777</v>
      </c>
      <c r="E65" s="11">
        <v>0.52361111111111114</v>
      </c>
      <c r="F65" s="11">
        <v>0.8569444444444444</v>
      </c>
      <c r="I6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('50','18','4:34','12:34','20:34');</v>
      </c>
    </row>
    <row r="66" spans="2:9" x14ac:dyDescent="0.25">
      <c r="B66" s="15" t="s">
        <v>97</v>
      </c>
      <c r="C66" s="15" t="s">
        <v>77</v>
      </c>
      <c r="D66" s="11">
        <v>0.19444444444444445</v>
      </c>
      <c r="E66" s="11">
        <v>0.52777777777777779</v>
      </c>
      <c r="F66" s="11">
        <v>0.86111111111111116</v>
      </c>
      <c r="I6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('25','18','4:40','12:40','20:40');</v>
      </c>
    </row>
    <row r="67" spans="2:9" x14ac:dyDescent="0.25">
      <c r="B67" s="15" t="s">
        <v>94</v>
      </c>
      <c r="C67" s="15" t="s">
        <v>77</v>
      </c>
      <c r="D67" s="11">
        <v>0.19583333333333333</v>
      </c>
      <c r="E67" s="11">
        <v>0.52916666666666667</v>
      </c>
      <c r="F67" s="11">
        <v>0.86250000000000004</v>
      </c>
      <c r="I6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('24','18','4:42','12:42','20:42');</v>
      </c>
    </row>
    <row r="68" spans="2:9" x14ac:dyDescent="0.25">
      <c r="B68" s="15" t="s">
        <v>70</v>
      </c>
      <c r="C68" s="15" t="s">
        <v>77</v>
      </c>
      <c r="D68" s="11">
        <v>0.19791666666666666</v>
      </c>
      <c r="E68" s="11">
        <v>0.53125</v>
      </c>
      <c r="F68" s="11">
        <v>0.86458333333333337</v>
      </c>
      <c r="I6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('16','18','4:45','12:45','20:45');</v>
      </c>
    </row>
    <row r="69" spans="2:9" x14ac:dyDescent="0.25">
      <c r="B69" s="15" t="s">
        <v>315</v>
      </c>
      <c r="C69" s="15" t="s">
        <v>77</v>
      </c>
      <c r="D69" s="11">
        <v>0.20624999999999999</v>
      </c>
      <c r="E69" s="11">
        <v>0.5395833333333333</v>
      </c>
      <c r="F69" s="11">
        <v>0.87291666666666667</v>
      </c>
      <c r="I6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('95','18','4:57','12:57','20:57');</v>
      </c>
    </row>
    <row r="70" spans="2:9" x14ac:dyDescent="0.25">
      <c r="B70" s="15" t="s">
        <v>319</v>
      </c>
      <c r="C70" s="15" t="s">
        <v>77</v>
      </c>
      <c r="D70" s="11">
        <v>0.20694444444444443</v>
      </c>
      <c r="E70" s="11">
        <v>0.54027777777777775</v>
      </c>
      <c r="F70" s="11">
        <v>0.87361111111111112</v>
      </c>
      <c r="I7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('96','18','4:58','12:58','20:58');</v>
      </c>
    </row>
    <row r="71" spans="2:9" x14ac:dyDescent="0.25">
      <c r="B71" s="15" t="s">
        <v>179</v>
      </c>
      <c r="C71" s="15" t="s">
        <v>77</v>
      </c>
      <c r="D71" s="11">
        <v>0.20902777777777778</v>
      </c>
      <c r="E71" s="11">
        <v>0.54236111111111107</v>
      </c>
      <c r="F71" s="11">
        <v>0.87569444444444444</v>
      </c>
      <c r="I7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('52','18','5:1','13:1','21:1');</v>
      </c>
    </row>
    <row r="72" spans="2:9" x14ac:dyDescent="0.25">
      <c r="B72" s="15" t="s">
        <v>26</v>
      </c>
      <c r="C72" s="15" t="s">
        <v>77</v>
      </c>
      <c r="D72" s="11">
        <v>0.21527777777777779</v>
      </c>
      <c r="E72" s="11">
        <v>0.54861111111111116</v>
      </c>
      <c r="F72" s="11">
        <v>0.88194444444444442</v>
      </c>
      <c r="I7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('03','18','5:10','13:10','21:10');</v>
      </c>
    </row>
    <row r="73" spans="2:9" x14ac:dyDescent="0.25">
      <c r="B73" s="15" t="s">
        <v>303</v>
      </c>
      <c r="C73" s="15" t="s">
        <v>106</v>
      </c>
      <c r="D73" s="11">
        <v>0.18055555555555555</v>
      </c>
      <c r="E73" s="11">
        <v>0.68055555555555558</v>
      </c>
      <c r="F73" s="11">
        <v>0</v>
      </c>
      <c r="I7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('91','28','4:20','16:20','0:0');</v>
      </c>
    </row>
    <row r="74" spans="2:9" x14ac:dyDescent="0.25">
      <c r="B74" s="15" t="s">
        <v>214</v>
      </c>
      <c r="C74" s="15" t="s">
        <v>48</v>
      </c>
      <c r="D74" s="11">
        <v>0.19097222222222221</v>
      </c>
      <c r="E74" s="11">
        <v>0.52430555555555558</v>
      </c>
      <c r="F74" s="11">
        <v>0.85069444444444442</v>
      </c>
      <c r="I7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('62','10','4:35','12:35','20:25');</v>
      </c>
    </row>
    <row r="75" spans="2:9" x14ac:dyDescent="0.25">
      <c r="B75" s="15" t="s">
        <v>300</v>
      </c>
      <c r="C75" s="15" t="s">
        <v>48</v>
      </c>
      <c r="D75" s="11">
        <v>0.2013888888888889</v>
      </c>
      <c r="E75" s="11">
        <v>0.53472222222222221</v>
      </c>
      <c r="F75" s="11">
        <v>0.86805555555555558</v>
      </c>
      <c r="I7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('90','10','4:50','12:50','20:50');</v>
      </c>
    </row>
    <row r="76" spans="2:9" x14ac:dyDescent="0.25">
      <c r="B76" s="15" t="s">
        <v>277</v>
      </c>
      <c r="C76" s="15" t="s">
        <v>48</v>
      </c>
      <c r="D76" s="11">
        <v>0.2048611111111111</v>
      </c>
      <c r="E76" s="11">
        <v>0.53819444444444442</v>
      </c>
      <c r="F76" s="11">
        <v>0.87152777777777779</v>
      </c>
      <c r="I7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('82','10','4:55','12:55','20:55');</v>
      </c>
    </row>
    <row r="77" spans="2:9" x14ac:dyDescent="0.25">
      <c r="B77" s="15" t="s">
        <v>351</v>
      </c>
      <c r="C77" s="15" t="s">
        <v>97</v>
      </c>
      <c r="D77" s="11">
        <v>0.18402777777777779</v>
      </c>
      <c r="E77" s="11">
        <v>0.51736111111111116</v>
      </c>
      <c r="F77" s="11">
        <v>0.85069444444444442</v>
      </c>
      <c r="I7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('107','25','4:25','12:25','20:25');</v>
      </c>
    </row>
    <row r="78" spans="2:9" x14ac:dyDescent="0.25">
      <c r="B78" s="15" t="s">
        <v>331</v>
      </c>
      <c r="C78" s="15" t="s">
        <v>97</v>
      </c>
      <c r="D78" s="11">
        <v>0.1875</v>
      </c>
      <c r="E78" s="11">
        <v>0.52083333333333337</v>
      </c>
      <c r="F78" s="11">
        <v>0.85416666666666663</v>
      </c>
      <c r="I7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('100','25','4:30','12:30','20:30');</v>
      </c>
    </row>
    <row r="79" spans="2:9" x14ac:dyDescent="0.25">
      <c r="B79" s="15" t="s">
        <v>333</v>
      </c>
      <c r="C79" s="15" t="s">
        <v>97</v>
      </c>
      <c r="D79" s="11">
        <v>0.18958333333333333</v>
      </c>
      <c r="E79" s="11">
        <v>0.5229166666666667</v>
      </c>
      <c r="F79" s="11">
        <v>0.85624999999999996</v>
      </c>
      <c r="I7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('101','25','4:33','12:33','20:33');</v>
      </c>
    </row>
    <row r="80" spans="2:9" x14ac:dyDescent="0.25">
      <c r="B80" s="15" t="s">
        <v>139</v>
      </c>
      <c r="C80" s="15" t="s">
        <v>97</v>
      </c>
      <c r="D80" s="11">
        <v>0.19444444444444445</v>
      </c>
      <c r="E80" s="11">
        <v>0.52777777777777779</v>
      </c>
      <c r="F80" s="11">
        <v>0.86111111111111116</v>
      </c>
      <c r="I8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('39','25','4:40','12:40','20:40');</v>
      </c>
    </row>
    <row r="81" spans="2:9" x14ac:dyDescent="0.25">
      <c r="B81" s="15" t="s">
        <v>74</v>
      </c>
      <c r="C81" s="15" t="s">
        <v>97</v>
      </c>
      <c r="D81" s="11">
        <v>0.19791666666666666</v>
      </c>
      <c r="E81" s="11">
        <v>0.53125</v>
      </c>
      <c r="F81" s="11">
        <v>0.86458333333333337</v>
      </c>
      <c r="I8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('17','25','4:45','12:45','20:45');</v>
      </c>
    </row>
    <row r="82" spans="2:9" x14ac:dyDescent="0.25">
      <c r="B82" s="15" t="s">
        <v>121</v>
      </c>
      <c r="C82" s="15" t="s">
        <v>97</v>
      </c>
      <c r="D82" s="11">
        <v>0.2</v>
      </c>
      <c r="E82" s="11">
        <v>0.53333333333333333</v>
      </c>
      <c r="F82" s="11">
        <v>0.8666666666666667</v>
      </c>
      <c r="I8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('33','25','4:48','12:48','20:48');</v>
      </c>
    </row>
    <row r="83" spans="2:9" x14ac:dyDescent="0.25">
      <c r="B83" s="15" t="s">
        <v>97</v>
      </c>
      <c r="C83" s="15" t="s">
        <v>97</v>
      </c>
      <c r="D83" s="11">
        <v>0.2013888888888889</v>
      </c>
      <c r="E83" s="11">
        <v>0.53472222222222221</v>
      </c>
      <c r="F83" s="11">
        <v>0.86805555555555558</v>
      </c>
      <c r="I8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('25','25','4:50','12:50','20:50');</v>
      </c>
    </row>
    <row r="84" spans="2:9" x14ac:dyDescent="0.25">
      <c r="B84" s="15" t="s">
        <v>77</v>
      </c>
      <c r="C84" s="15" t="s">
        <v>97</v>
      </c>
      <c r="D84" s="11">
        <v>0.20277777777777778</v>
      </c>
      <c r="E84" s="11">
        <v>0.53611111111111109</v>
      </c>
      <c r="F84" s="11">
        <v>0.86944444444444446</v>
      </c>
      <c r="I8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('18','25','4:52','12:52','20:52');</v>
      </c>
    </row>
    <row r="85" spans="2:9" x14ac:dyDescent="0.25">
      <c r="B85" s="15" t="s">
        <v>85</v>
      </c>
      <c r="C85" s="15" t="s">
        <v>97</v>
      </c>
      <c r="D85" s="11">
        <v>0.20416666666666666</v>
      </c>
      <c r="E85" s="11">
        <v>0.53749999999999998</v>
      </c>
      <c r="F85" s="11">
        <v>0.87083333333333335</v>
      </c>
      <c r="I8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('21','25','4:54','12:54','20:54');</v>
      </c>
    </row>
    <row r="86" spans="2:9" x14ac:dyDescent="0.25">
      <c r="B86" s="15" t="s">
        <v>106</v>
      </c>
      <c r="C86" s="15" t="s">
        <v>97</v>
      </c>
      <c r="D86" s="11">
        <v>0.20694444444444443</v>
      </c>
      <c r="E86" s="11">
        <v>0.54027777777777775</v>
      </c>
      <c r="F86" s="11">
        <v>0.87361111111111112</v>
      </c>
      <c r="I8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('28','25','4:58','12:58','20:58');</v>
      </c>
    </row>
    <row r="87" spans="2:9" x14ac:dyDescent="0.25">
      <c r="B87" s="15" t="s">
        <v>342</v>
      </c>
      <c r="C87" s="15" t="s">
        <v>26</v>
      </c>
      <c r="D87" s="11">
        <v>0.15763888888888888</v>
      </c>
      <c r="E87" s="11">
        <v>0.4909722222222222</v>
      </c>
      <c r="F87" s="11">
        <v>0.82430555555555551</v>
      </c>
      <c r="I8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('104','03','3:47','11:47','19:47');</v>
      </c>
    </row>
    <row r="88" spans="2:9" x14ac:dyDescent="0.25">
      <c r="B88" s="15" t="s">
        <v>333</v>
      </c>
      <c r="C88" s="15" t="s">
        <v>26</v>
      </c>
      <c r="D88" s="11">
        <v>0.15972222222222221</v>
      </c>
      <c r="E88" s="11">
        <v>0.49305555555555558</v>
      </c>
      <c r="F88" s="11">
        <v>0.82638888888888884</v>
      </c>
      <c r="I8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('101','03','3:50','11:50','19:50');</v>
      </c>
    </row>
    <row r="89" spans="2:9" x14ac:dyDescent="0.25">
      <c r="B89" s="15" t="s">
        <v>130</v>
      </c>
      <c r="C89" s="15" t="s">
        <v>26</v>
      </c>
      <c r="D89" s="11">
        <v>0.16527777777777777</v>
      </c>
      <c r="E89" s="11">
        <v>0.49861111111111112</v>
      </c>
      <c r="F89" s="11">
        <v>0.83194444444444449</v>
      </c>
      <c r="I8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('36','03','3:58','11:58','19:58');</v>
      </c>
    </row>
    <row r="90" spans="2:9" x14ac:dyDescent="0.25">
      <c r="B90" s="15" t="s">
        <v>136</v>
      </c>
      <c r="C90" s="15" t="s">
        <v>26</v>
      </c>
      <c r="D90" s="11">
        <v>0.16666666666666666</v>
      </c>
      <c r="E90" s="11">
        <v>0.5</v>
      </c>
      <c r="F90" s="11">
        <v>0.83333333333333337</v>
      </c>
      <c r="I9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('38','03','4:0','12:0','20:0');</v>
      </c>
    </row>
    <row r="91" spans="2:9" x14ac:dyDescent="0.25">
      <c r="B91" s="15" t="s">
        <v>74</v>
      </c>
      <c r="C91" s="15" t="s">
        <v>26</v>
      </c>
      <c r="D91" s="11">
        <v>0.16805555555555557</v>
      </c>
      <c r="E91" s="11">
        <v>0.50138888888888888</v>
      </c>
      <c r="F91" s="11">
        <v>0.83472222222222225</v>
      </c>
      <c r="I9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('17','03','4:2','12:2','20:2');</v>
      </c>
    </row>
    <row r="92" spans="2:9" x14ac:dyDescent="0.25">
      <c r="B92" s="15" t="s">
        <v>91</v>
      </c>
      <c r="C92" s="15" t="s">
        <v>26</v>
      </c>
      <c r="D92" s="11">
        <v>0.1736111111111111</v>
      </c>
      <c r="E92" s="11">
        <v>0.50694444444444442</v>
      </c>
      <c r="F92" s="11">
        <v>0.84027777777777779</v>
      </c>
      <c r="I9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('23','03','4:10','12:10','20:10');</v>
      </c>
    </row>
    <row r="93" spans="2:9" x14ac:dyDescent="0.25">
      <c r="B93" s="15" t="s">
        <v>169</v>
      </c>
      <c r="C93" s="15" t="s">
        <v>26</v>
      </c>
      <c r="D93" s="11">
        <v>0.17499999999999999</v>
      </c>
      <c r="E93" s="11">
        <v>0.5083333333333333</v>
      </c>
      <c r="F93" s="11">
        <v>0.84166666666666667</v>
      </c>
      <c r="I9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('49','03','4:12','12:12','20:12');</v>
      </c>
    </row>
    <row r="94" spans="2:9" x14ac:dyDescent="0.25">
      <c r="B94" s="15" t="s">
        <v>79</v>
      </c>
      <c r="C94" s="15" t="s">
        <v>26</v>
      </c>
      <c r="D94" s="11">
        <v>0.1763888888888889</v>
      </c>
      <c r="E94" s="11">
        <v>0.50972222222222219</v>
      </c>
      <c r="F94" s="11">
        <v>0.84305555555555556</v>
      </c>
      <c r="I9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('19','03','4:14','12:14','20:14');</v>
      </c>
    </row>
    <row r="95" spans="2:9" x14ac:dyDescent="0.25">
      <c r="B95" s="15" t="s">
        <v>82</v>
      </c>
      <c r="C95" s="15" t="s">
        <v>26</v>
      </c>
      <c r="D95" s="11">
        <v>0.17708333333333334</v>
      </c>
      <c r="E95" s="11">
        <v>0.51041666666666663</v>
      </c>
      <c r="F95" s="11">
        <v>0.84375</v>
      </c>
      <c r="I9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('20','03','4:15','12:15','20:15');</v>
      </c>
    </row>
    <row r="96" spans="2:9" x14ac:dyDescent="0.25">
      <c r="B96" s="15" t="s">
        <v>118</v>
      </c>
      <c r="C96" s="15" t="s">
        <v>26</v>
      </c>
      <c r="D96" s="11">
        <v>0.17847222222222223</v>
      </c>
      <c r="E96" s="11">
        <v>0.51180555555555551</v>
      </c>
      <c r="F96" s="11">
        <v>0.84513888888888888</v>
      </c>
      <c r="I9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('32','03','4:17','12:17','20:17');</v>
      </c>
    </row>
    <row r="97" spans="2:9" x14ac:dyDescent="0.25">
      <c r="B97" s="15" t="s">
        <v>127</v>
      </c>
      <c r="C97" s="15" t="s">
        <v>26</v>
      </c>
      <c r="D97" s="11">
        <v>0.18055555555555555</v>
      </c>
      <c r="E97" s="11">
        <v>0.51388888888888884</v>
      </c>
      <c r="F97" s="11">
        <v>0.84722222222222221</v>
      </c>
      <c r="I9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('35','03','4:20','12:20','20:20');</v>
      </c>
    </row>
    <row r="98" spans="2:9" x14ac:dyDescent="0.25">
      <c r="B98" s="15" t="s">
        <v>124</v>
      </c>
      <c r="C98" s="15" t="s">
        <v>26</v>
      </c>
      <c r="D98" s="11">
        <v>0.18402777777777779</v>
      </c>
      <c r="E98" s="11">
        <v>0.51736111111111116</v>
      </c>
      <c r="F98" s="11">
        <v>0.85069444444444442</v>
      </c>
      <c r="I9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('34','03','4:25','12:25','20:25');</v>
      </c>
    </row>
    <row r="99" spans="2:9" x14ac:dyDescent="0.25">
      <c r="B99" s="15" t="s">
        <v>196</v>
      </c>
      <c r="C99" s="15" t="s">
        <v>26</v>
      </c>
      <c r="D99" s="11">
        <v>0.18472222222222223</v>
      </c>
      <c r="E99" s="11">
        <v>0.5180555555555556</v>
      </c>
      <c r="F99" s="11">
        <v>0.85138888888888886</v>
      </c>
      <c r="I9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('57','03','4:26','12:26','20:26');</v>
      </c>
    </row>
    <row r="100" spans="2:9" x14ac:dyDescent="0.25">
      <c r="B100" s="15" t="s">
        <v>324</v>
      </c>
      <c r="C100" s="15" t="s">
        <v>26</v>
      </c>
      <c r="D100" s="11">
        <v>0.18611111111111112</v>
      </c>
      <c r="E100" s="11">
        <v>0.51944444444444449</v>
      </c>
      <c r="F100" s="11">
        <v>0.85277777777777775</v>
      </c>
      <c r="I10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('98','03','4:28','12:28','20:28');</v>
      </c>
    </row>
    <row r="101" spans="2:9" x14ac:dyDescent="0.25">
      <c r="B101" s="15" t="s">
        <v>60</v>
      </c>
      <c r="C101" s="15" t="s">
        <v>26</v>
      </c>
      <c r="D101" s="11">
        <v>0.19444444444444445</v>
      </c>
      <c r="E101" s="11">
        <v>0.52777777777777779</v>
      </c>
      <c r="F101" s="11">
        <v>0.86111111111111116</v>
      </c>
      <c r="I10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('13','03','4:40','12:40','20:40');</v>
      </c>
    </row>
    <row r="102" spans="2:9" x14ac:dyDescent="0.25">
      <c r="B102" s="15" t="s">
        <v>26</v>
      </c>
      <c r="C102" s="15" t="s">
        <v>26</v>
      </c>
      <c r="D102" s="11">
        <v>0.19791666666666666</v>
      </c>
      <c r="E102" s="11">
        <v>0.53125</v>
      </c>
      <c r="F102" s="11">
        <v>0.86458333333333337</v>
      </c>
      <c r="I10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('03','03','4:45','12:45','20:45');</v>
      </c>
    </row>
    <row r="103" spans="2:9" x14ac:dyDescent="0.25">
      <c r="B103" s="15" t="s">
        <v>29</v>
      </c>
      <c r="C103" s="15" t="s">
        <v>26</v>
      </c>
      <c r="D103" s="11">
        <v>0.19930555555555557</v>
      </c>
      <c r="E103" s="11">
        <v>0.53263888888888888</v>
      </c>
      <c r="F103" s="11">
        <v>0.86597222222222225</v>
      </c>
      <c r="I10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('04','03','4:47','12:47','20:47');</v>
      </c>
    </row>
    <row r="104" spans="2:9" x14ac:dyDescent="0.25">
      <c r="B104" s="15" t="s">
        <v>32</v>
      </c>
      <c r="C104" s="15" t="s">
        <v>26</v>
      </c>
      <c r="D104" s="11">
        <v>0.2013888888888889</v>
      </c>
      <c r="E104" s="11">
        <v>0.53472222222222221</v>
      </c>
      <c r="F104" s="11">
        <v>0.86805555555555558</v>
      </c>
      <c r="I10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('05','03','4:50','12:50','20:50');</v>
      </c>
    </row>
    <row r="105" spans="2:9" x14ac:dyDescent="0.25">
      <c r="B105" s="15" t="s">
        <v>342</v>
      </c>
      <c r="C105" s="15" t="s">
        <v>94</v>
      </c>
      <c r="D105" s="11">
        <v>0.15763888888888888</v>
      </c>
      <c r="E105" s="11">
        <v>0.4909722222222222</v>
      </c>
      <c r="F105" s="11">
        <v>0.82430555555555551</v>
      </c>
      <c r="I10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('104','24','3:47','11:47','19:47');</v>
      </c>
    </row>
    <row r="106" spans="2:9" x14ac:dyDescent="0.25">
      <c r="B106" s="15" t="s">
        <v>333</v>
      </c>
      <c r="C106" s="15" t="s">
        <v>94</v>
      </c>
      <c r="D106" s="11">
        <v>0.15972222222222221</v>
      </c>
      <c r="E106" s="11">
        <v>0.49305555555555558</v>
      </c>
      <c r="F106" s="11">
        <v>0.82638888888888884</v>
      </c>
      <c r="I10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('101','24','3:50','11:50','19:50');</v>
      </c>
    </row>
    <row r="107" spans="2:9" x14ac:dyDescent="0.25">
      <c r="B107" s="15" t="s">
        <v>264</v>
      </c>
      <c r="C107" s="15" t="s">
        <v>94</v>
      </c>
      <c r="D107" s="11">
        <v>0.16319444444444445</v>
      </c>
      <c r="E107" s="11">
        <v>0.49652777777777779</v>
      </c>
      <c r="F107" s="11">
        <v>0.82986111111111116</v>
      </c>
      <c r="I10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('78','24','3:55','11:55','19:55');</v>
      </c>
    </row>
    <row r="108" spans="2:9" x14ac:dyDescent="0.25">
      <c r="B108" s="15" t="s">
        <v>261</v>
      </c>
      <c r="C108" s="15" t="s">
        <v>94</v>
      </c>
      <c r="D108" s="11">
        <v>0.16527777777777777</v>
      </c>
      <c r="E108" s="11">
        <v>0.49861111111111112</v>
      </c>
      <c r="F108" s="11">
        <v>0.83194444444444449</v>
      </c>
      <c r="I10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('77','24','3:58','11:58','19:58');</v>
      </c>
    </row>
    <row r="109" spans="2:9" x14ac:dyDescent="0.25">
      <c r="B109" s="15" t="s">
        <v>130</v>
      </c>
      <c r="C109" s="15" t="s">
        <v>94</v>
      </c>
      <c r="D109" s="11">
        <v>0.16527777777777777</v>
      </c>
      <c r="E109" s="11">
        <v>0.49861111111111112</v>
      </c>
      <c r="F109" s="11">
        <v>0.83194444444444449</v>
      </c>
      <c r="I10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('36','24','3:58','11:58','19:58');</v>
      </c>
    </row>
    <row r="110" spans="2:9" x14ac:dyDescent="0.25">
      <c r="B110" s="15" t="s">
        <v>136</v>
      </c>
      <c r="C110" s="15" t="s">
        <v>94</v>
      </c>
      <c r="D110" s="11">
        <v>0.16666666666666666</v>
      </c>
      <c r="E110" s="11">
        <v>0.5</v>
      </c>
      <c r="F110" s="11">
        <v>2.3148148148148149E-4</v>
      </c>
      <c r="I11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('38','24','4:0','12:0','0:0');</v>
      </c>
    </row>
    <row r="111" spans="2:9" x14ac:dyDescent="0.25">
      <c r="B111" s="15" t="s">
        <v>74</v>
      </c>
      <c r="C111" s="15" t="s">
        <v>94</v>
      </c>
      <c r="D111" s="11">
        <v>0.16805555555555557</v>
      </c>
      <c r="E111" s="11">
        <v>0.50138888888888888</v>
      </c>
      <c r="F111" s="11">
        <v>0.84722222222222221</v>
      </c>
      <c r="I11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('17','24','4:2','12:2','20:20');</v>
      </c>
    </row>
    <row r="112" spans="2:9" x14ac:dyDescent="0.25">
      <c r="B112" s="15" t="s">
        <v>249</v>
      </c>
      <c r="C112" s="15" t="s">
        <v>94</v>
      </c>
      <c r="D112" s="11">
        <v>0.16944444444444445</v>
      </c>
      <c r="E112" s="11">
        <v>0.50277777777777777</v>
      </c>
      <c r="F112" s="11">
        <v>0.83611111111111114</v>
      </c>
      <c r="I11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('73','24','4:4','12:4','20:4');</v>
      </c>
    </row>
    <row r="113" spans="2:9" x14ac:dyDescent="0.25">
      <c r="B113" s="15" t="s">
        <v>91</v>
      </c>
      <c r="C113" s="15" t="s">
        <v>94</v>
      </c>
      <c r="D113" s="11">
        <v>0.17222222222222222</v>
      </c>
      <c r="E113" s="11">
        <v>0.50555555555555554</v>
      </c>
      <c r="F113" s="11">
        <v>0.83888888888888891</v>
      </c>
      <c r="I11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('23','24','4:8','12:8','20:8');</v>
      </c>
    </row>
    <row r="114" spans="2:9" x14ac:dyDescent="0.25">
      <c r="B114" s="15" t="s">
        <v>169</v>
      </c>
      <c r="C114" s="15" t="s">
        <v>94</v>
      </c>
      <c r="D114" s="11">
        <v>0.1736111111111111</v>
      </c>
      <c r="E114" s="11">
        <v>0.50694444444444442</v>
      </c>
      <c r="F114" s="11">
        <v>0.84027777777777779</v>
      </c>
      <c r="I11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('49','24','4:10','12:10','20:10');</v>
      </c>
    </row>
    <row r="115" spans="2:9" x14ac:dyDescent="0.25">
      <c r="B115" s="15" t="s">
        <v>214</v>
      </c>
      <c r="C115" s="15" t="s">
        <v>94</v>
      </c>
      <c r="D115" s="11">
        <v>0.1736111111111111</v>
      </c>
      <c r="E115" s="11">
        <v>0.50694444444444442</v>
      </c>
      <c r="F115" s="11">
        <v>0.84027777777777779</v>
      </c>
      <c r="I11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('62','24','4:10','12:10','20:10');</v>
      </c>
    </row>
    <row r="116" spans="2:9" x14ac:dyDescent="0.25">
      <c r="B116" s="15" t="s">
        <v>79</v>
      </c>
      <c r="C116" s="15" t="s">
        <v>94</v>
      </c>
      <c r="D116" s="11">
        <v>0.17569444444444443</v>
      </c>
      <c r="E116" s="11">
        <v>0.50902777777777775</v>
      </c>
      <c r="F116" s="11">
        <v>0.84236111111111112</v>
      </c>
      <c r="I11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('19','24','4:13','12:13','20:13');</v>
      </c>
    </row>
    <row r="117" spans="2:9" x14ac:dyDescent="0.25">
      <c r="B117" s="15" t="s">
        <v>82</v>
      </c>
      <c r="C117" s="15" t="s">
        <v>94</v>
      </c>
      <c r="D117" s="11">
        <v>0.17708333333333334</v>
      </c>
      <c r="E117" s="11">
        <v>0.51041666666666663</v>
      </c>
      <c r="F117" s="11">
        <v>0.84375</v>
      </c>
      <c r="I11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('20','24','4:15','12:15','20:15');</v>
      </c>
    </row>
    <row r="118" spans="2:9" x14ac:dyDescent="0.25">
      <c r="B118" s="15" t="s">
        <v>118</v>
      </c>
      <c r="C118" s="15" t="s">
        <v>94</v>
      </c>
      <c r="D118" s="11">
        <v>0.17847222222222223</v>
      </c>
      <c r="E118" s="11">
        <v>0.51180555555555551</v>
      </c>
      <c r="F118" s="11">
        <v>0.84513888888888888</v>
      </c>
      <c r="I11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('32','24','4:17','12:17','20:17');</v>
      </c>
    </row>
    <row r="119" spans="2:9" x14ac:dyDescent="0.25">
      <c r="B119" s="15" t="s">
        <v>230</v>
      </c>
      <c r="C119" s="15" t="s">
        <v>94</v>
      </c>
      <c r="D119" s="11">
        <v>0.17916666666666667</v>
      </c>
      <c r="E119" s="11">
        <v>0.51249999999999996</v>
      </c>
      <c r="F119" s="11">
        <v>0.84583333333333333</v>
      </c>
      <c r="I11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('67','24','4:18','12:18','20:18');</v>
      </c>
    </row>
    <row r="120" spans="2:9" x14ac:dyDescent="0.25">
      <c r="B120" s="15" t="s">
        <v>127</v>
      </c>
      <c r="C120" s="15" t="s">
        <v>94</v>
      </c>
      <c r="D120" s="11">
        <v>0.18055555555555555</v>
      </c>
      <c r="E120" s="11">
        <v>0.51388888888888884</v>
      </c>
      <c r="F120" s="11">
        <v>0.84722222222222221</v>
      </c>
      <c r="I12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('35','24','4:20','12:20','20:20');</v>
      </c>
    </row>
    <row r="121" spans="2:9" x14ac:dyDescent="0.25">
      <c r="B121" s="15" t="s">
        <v>312</v>
      </c>
      <c r="C121" s="15" t="s">
        <v>94</v>
      </c>
      <c r="D121" s="11">
        <v>0.18611111111111112</v>
      </c>
      <c r="E121" s="11">
        <v>0.51944444444444449</v>
      </c>
      <c r="F121" s="11">
        <v>0.85277777777777775</v>
      </c>
      <c r="I121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('94','24','4:28','12:28','20:28');</v>
      </c>
    </row>
    <row r="122" spans="2:9" x14ac:dyDescent="0.25">
      <c r="B122" s="15" t="s">
        <v>324</v>
      </c>
      <c r="C122" s="15" t="s">
        <v>94</v>
      </c>
      <c r="D122" s="11">
        <v>0.18611111111111112</v>
      </c>
      <c r="E122" s="11">
        <v>0.51944444444444449</v>
      </c>
      <c r="F122" s="11">
        <v>0.85277777777777775</v>
      </c>
      <c r="I122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('98','24','4:28','12:28','20:28');</v>
      </c>
    </row>
    <row r="123" spans="2:9" x14ac:dyDescent="0.25">
      <c r="B123" s="15" t="s">
        <v>277</v>
      </c>
      <c r="C123" s="15" t="s">
        <v>94</v>
      </c>
      <c r="D123" s="11">
        <v>0.1875</v>
      </c>
      <c r="E123" s="11">
        <v>0.52083333333333337</v>
      </c>
      <c r="F123" s="11">
        <v>0.85416666666666663</v>
      </c>
      <c r="I123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('82','24','4:30','12:30','20:30');</v>
      </c>
    </row>
    <row r="124" spans="2:9" x14ac:dyDescent="0.25">
      <c r="B124" s="15" t="s">
        <v>60</v>
      </c>
      <c r="C124" s="15" t="s">
        <v>94</v>
      </c>
      <c r="D124" s="11">
        <v>0.19444444444444445</v>
      </c>
      <c r="E124" s="11">
        <v>0.52777777777777779</v>
      </c>
      <c r="F124" s="11">
        <v>0.86111111111111116</v>
      </c>
      <c r="I124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('13','24','4:40','12:40','20:40');</v>
      </c>
    </row>
    <row r="125" spans="2:9" x14ac:dyDescent="0.25">
      <c r="B125" s="15" t="s">
        <v>26</v>
      </c>
      <c r="C125" s="15" t="s">
        <v>94</v>
      </c>
      <c r="D125" s="11">
        <v>0.19791666666666666</v>
      </c>
      <c r="E125" s="11">
        <v>0.53125</v>
      </c>
      <c r="F125" s="11">
        <v>0.86458333333333337</v>
      </c>
      <c r="I125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('03','24','4:45','12:45','20:45');</v>
      </c>
    </row>
    <row r="126" spans="2:9" x14ac:dyDescent="0.25">
      <c r="B126" s="15" t="s">
        <v>56</v>
      </c>
      <c r="C126" s="15" t="s">
        <v>94</v>
      </c>
      <c r="D126" s="11">
        <v>0.19791666666666666</v>
      </c>
      <c r="E126" s="11">
        <v>0.53125</v>
      </c>
      <c r="F126" s="11">
        <v>0.86458333333333337</v>
      </c>
      <c r="I126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('12','24','4:45','12:45','20:45');</v>
      </c>
    </row>
    <row r="127" spans="2:9" x14ac:dyDescent="0.25">
      <c r="B127" s="15" t="s">
        <v>29</v>
      </c>
      <c r="C127" s="15" t="s">
        <v>94</v>
      </c>
      <c r="D127" s="11">
        <v>0.19930555555555557</v>
      </c>
      <c r="E127" s="11">
        <v>0.53263888888888888</v>
      </c>
      <c r="F127" s="11">
        <v>0.86597222222222225</v>
      </c>
      <c r="I127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('04','24','4:47','12:47','20:47');</v>
      </c>
    </row>
    <row r="128" spans="2:9" x14ac:dyDescent="0.25">
      <c r="B128" s="15" t="s">
        <v>32</v>
      </c>
      <c r="C128" s="15" t="s">
        <v>94</v>
      </c>
      <c r="D128" s="11">
        <v>0.2013888888888889</v>
      </c>
      <c r="E128" s="11">
        <v>0.53472222222222221</v>
      </c>
      <c r="F128" s="11">
        <v>0.86805555555555558</v>
      </c>
      <c r="I128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('05','24','4:50','12:50','20:50');</v>
      </c>
    </row>
    <row r="129" spans="2:9" x14ac:dyDescent="0.25">
      <c r="B129" s="15" t="s">
        <v>206</v>
      </c>
      <c r="C129" s="15" t="s">
        <v>94</v>
      </c>
      <c r="D129" s="11">
        <v>0.21180555555555555</v>
      </c>
      <c r="E129" s="11">
        <v>0.54513888888888884</v>
      </c>
      <c r="F129" s="11">
        <v>0.87847222222222221</v>
      </c>
      <c r="I129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('60','24','5:5','13:5','21:5');</v>
      </c>
    </row>
    <row r="130" spans="2:9" x14ac:dyDescent="0.25">
      <c r="B130" s="15" t="s">
        <v>354</v>
      </c>
      <c r="C130" s="15" t="s">
        <v>70</v>
      </c>
      <c r="D130" s="11">
        <v>0.21180555555555555</v>
      </c>
      <c r="E130" s="11">
        <v>0.54513888888888884</v>
      </c>
      <c r="F130" s="11">
        <v>0.87847222222222221</v>
      </c>
      <c r="I130" t="str">
        <f>"insert into trasy (zastavka,auto,R,O,N) values ('" &amp; Tabulka4[[#This Row],[zastavka]] &amp; "','" &amp; Tabulka4[[#This Row],[trasa]] &amp; "','" &amp; HOUR(Tabulka4[[#This Row],[R]]) &amp; ":" &amp; MINUTE(Tabulka4[[#This Row],[R]])  &amp; "','" &amp; HOUR(Tabulka4[[#This Row],[O]]) &amp; ":" &amp; MINUTE(Tabulka4[[#This Row],[O]]) &amp; "','" &amp; HOUR(Tabulka4[[#This Row],[N]]) &amp; ":" &amp; MINUTE(Tabulka4[[#This Row],[N]]) &amp; "');"</f>
        <v>insert into trasy (zastavka,auto,R,O,N) values ('108','16','5:5','13:5','21:5');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4483-FDAA-47E9-9C38-B31BCEB84FC5}">
  <sheetPr filterMode="1"/>
  <dimension ref="A2:X130"/>
  <sheetViews>
    <sheetView zoomScale="90" zoomScaleNormal="90" workbookViewId="0">
      <selection activeCell="D131" sqref="D131"/>
    </sheetView>
  </sheetViews>
  <sheetFormatPr defaultRowHeight="15" x14ac:dyDescent="0.25"/>
  <cols>
    <col min="3" max="3" width="20" customWidth="1"/>
    <col min="4" max="4" width="58.7109375" customWidth="1"/>
    <col min="5" max="5" width="15.42578125" customWidth="1"/>
    <col min="6" max="6" width="61.7109375" customWidth="1"/>
    <col min="10" max="13" width="8.85546875" hidden="1" customWidth="1"/>
    <col min="16" max="16" width="15.5703125" bestFit="1" customWidth="1"/>
  </cols>
  <sheetData>
    <row r="2" spans="1:15" x14ac:dyDescent="0.25">
      <c r="B2" t="s">
        <v>381</v>
      </c>
      <c r="C2" t="s">
        <v>5</v>
      </c>
      <c r="D2" t="s">
        <v>16</v>
      </c>
      <c r="E2" t="s">
        <v>382</v>
      </c>
      <c r="F2" t="s">
        <v>16</v>
      </c>
      <c r="G2" t="s">
        <v>383</v>
      </c>
      <c r="H2" t="s">
        <v>384</v>
      </c>
      <c r="I2" t="s">
        <v>385</v>
      </c>
      <c r="J2" t="s">
        <v>386</v>
      </c>
      <c r="K2" t="s">
        <v>387</v>
      </c>
      <c r="L2" t="s">
        <v>388</v>
      </c>
      <c r="M2" t="s">
        <v>389</v>
      </c>
      <c r="N2" t="s">
        <v>390</v>
      </c>
      <c r="O2" t="s">
        <v>391</v>
      </c>
    </row>
    <row r="3" spans="1:15" hidden="1" x14ac:dyDescent="0.25">
      <c r="A3" t="str">
        <f t="shared" ref="A3:A30" si="0">B3&amp;E3</f>
        <v>0162</v>
      </c>
      <c r="B3" s="12" t="s">
        <v>20</v>
      </c>
      <c r="C3" t="s">
        <v>357</v>
      </c>
      <c r="D3" s="3" t="s">
        <v>215</v>
      </c>
      <c r="E3" s="9" t="str">
        <f>VLOOKUP(D3,zastavky!C:D,2,0)</f>
        <v>62</v>
      </c>
      <c r="F3" t="s">
        <v>392</v>
      </c>
      <c r="G3" s="4">
        <v>0.17708333333333334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5" hidden="1" x14ac:dyDescent="0.25">
      <c r="A4" t="str">
        <f t="shared" si="0"/>
        <v>0182</v>
      </c>
      <c r="B4" s="12" t="s">
        <v>20</v>
      </c>
      <c r="C4" t="s">
        <v>357</v>
      </c>
      <c r="D4" s="3" t="s">
        <v>281</v>
      </c>
      <c r="E4" s="9" t="str">
        <f>VLOOKUP(D4,zastavky!C:D,2,0)</f>
        <v>82</v>
      </c>
      <c r="F4" t="s">
        <v>393</v>
      </c>
      <c r="G4" s="4">
        <v>0.19444444444444445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5" hidden="1" x14ac:dyDescent="0.25">
      <c r="A5" t="str">
        <f t="shared" si="0"/>
        <v>0148</v>
      </c>
      <c r="B5" s="12" t="s">
        <v>20</v>
      </c>
      <c r="C5" t="s">
        <v>357</v>
      </c>
      <c r="D5" s="3" t="s">
        <v>167</v>
      </c>
      <c r="E5" s="9" t="str">
        <f>VLOOKUP(D5,zastavky!C:D,2,0)</f>
        <v>48</v>
      </c>
      <c r="F5" t="s">
        <v>394</v>
      </c>
      <c r="G5" s="4">
        <v>0.19791666666666666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5" hidden="1" x14ac:dyDescent="0.25">
      <c r="A6" t="str">
        <f t="shared" si="0"/>
        <v>02101</v>
      </c>
      <c r="B6" s="12" t="s">
        <v>24</v>
      </c>
      <c r="C6" t="s">
        <v>359</v>
      </c>
      <c r="D6" s="3" t="s">
        <v>334</v>
      </c>
      <c r="E6" s="9" t="str">
        <f>VLOOKUP(D6,zastavky!C:D,2,0)</f>
        <v>101</v>
      </c>
      <c r="F6" t="s">
        <v>395</v>
      </c>
      <c r="G6" s="4">
        <v>0.16666666666666666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5" hidden="1" x14ac:dyDescent="0.25">
      <c r="A7" t="str">
        <f t="shared" si="0"/>
        <v>0236</v>
      </c>
      <c r="B7" s="12" t="s">
        <v>24</v>
      </c>
      <c r="C7" t="s">
        <v>359</v>
      </c>
      <c r="D7" s="3" t="s">
        <v>131</v>
      </c>
      <c r="E7" s="9" t="str">
        <f>VLOOKUP(D7,zastavky!C:D,2,0)</f>
        <v>36</v>
      </c>
      <c r="F7" t="s">
        <v>396</v>
      </c>
      <c r="G7" s="4">
        <v>0.1736111111111111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5" hidden="1" x14ac:dyDescent="0.25">
      <c r="A8" t="str">
        <f t="shared" si="0"/>
        <v>0222</v>
      </c>
      <c r="B8" s="12" t="s">
        <v>24</v>
      </c>
      <c r="C8" t="s">
        <v>359</v>
      </c>
      <c r="D8" s="3" t="s">
        <v>89</v>
      </c>
      <c r="E8" s="9" t="str">
        <f>VLOOKUP(D8,zastavky!C:D,2,0)</f>
        <v>22</v>
      </c>
      <c r="F8" t="s">
        <v>397</v>
      </c>
      <c r="G8" s="4">
        <v>0.17708333333333334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5" hidden="1" x14ac:dyDescent="0.25">
      <c r="A9" t="str">
        <f t="shared" si="0"/>
        <v>0225</v>
      </c>
      <c r="B9" s="12" t="s">
        <v>24</v>
      </c>
      <c r="C9" t="s">
        <v>359</v>
      </c>
      <c r="D9" s="3" t="s">
        <v>98</v>
      </c>
      <c r="E9" s="9" t="str">
        <f>VLOOKUP(D9,zastavky!C:D,2,0)</f>
        <v>25</v>
      </c>
      <c r="F9" t="s">
        <v>398</v>
      </c>
      <c r="G9" s="4">
        <v>0.17847222222222223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5" hidden="1" x14ac:dyDescent="0.25">
      <c r="A10" t="str">
        <f t="shared" si="0"/>
        <v>0218</v>
      </c>
      <c r="B10" s="12" t="s">
        <v>24</v>
      </c>
      <c r="C10" t="s">
        <v>359</v>
      </c>
      <c r="D10" s="3" t="s">
        <v>78</v>
      </c>
      <c r="E10" s="9" t="str">
        <f>VLOOKUP(D10,zastavky!C:D,2,0)</f>
        <v>18</v>
      </c>
      <c r="F10" t="s">
        <v>399</v>
      </c>
      <c r="G10" s="4">
        <v>0.17986111111111111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5" hidden="1" x14ac:dyDescent="0.25">
      <c r="A11" t="str">
        <f t="shared" si="0"/>
        <v>0224</v>
      </c>
      <c r="B11" s="12" t="s">
        <v>24</v>
      </c>
      <c r="C11" t="s">
        <v>359</v>
      </c>
      <c r="D11" s="3" t="s">
        <v>95</v>
      </c>
      <c r="E11" s="9" t="str">
        <f>VLOOKUP(D11,zastavky!C:D,2,0)</f>
        <v>24</v>
      </c>
      <c r="F11" t="s">
        <v>400</v>
      </c>
      <c r="G11" s="4">
        <v>0.18124999999999999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5" hidden="1" x14ac:dyDescent="0.25">
      <c r="A12" t="str">
        <f t="shared" si="0"/>
        <v>0241</v>
      </c>
      <c r="B12" s="12" t="s">
        <v>24</v>
      </c>
      <c r="C12" t="s">
        <v>359</v>
      </c>
      <c r="D12" s="3" t="s">
        <v>146</v>
      </c>
      <c r="E12" s="9" t="str">
        <f>VLOOKUP(D12,zastavky!C:D,2,0)</f>
        <v>41</v>
      </c>
      <c r="F12" t="s">
        <v>401</v>
      </c>
      <c r="G12" s="4">
        <v>0.18402777777777779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5" hidden="1" x14ac:dyDescent="0.25">
      <c r="A13" t="str">
        <f t="shared" si="0"/>
        <v>0295</v>
      </c>
      <c r="B13" s="12" t="s">
        <v>24</v>
      </c>
      <c r="C13" t="s">
        <v>359</v>
      </c>
      <c r="D13" s="3" t="s">
        <v>316</v>
      </c>
      <c r="E13" s="9" t="str">
        <f>VLOOKUP(D13,zastavky!C:D,2,0)</f>
        <v>95</v>
      </c>
      <c r="F13" t="s">
        <v>402</v>
      </c>
      <c r="G13" s="4">
        <v>0.19444444444444445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5" hidden="1" x14ac:dyDescent="0.25">
      <c r="A14" t="str">
        <f t="shared" si="0"/>
        <v>0213</v>
      </c>
      <c r="B14" s="12" t="s">
        <v>24</v>
      </c>
      <c r="C14" t="s">
        <v>359</v>
      </c>
      <c r="D14" s="3" t="s">
        <v>61</v>
      </c>
      <c r="E14" s="9" t="str">
        <f>VLOOKUP(D14,zastavky!C:D,2,0)</f>
        <v>13</v>
      </c>
      <c r="F14" t="s">
        <v>403</v>
      </c>
      <c r="G14" s="4">
        <v>0.2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5" hidden="1" x14ac:dyDescent="0.25">
      <c r="A15" t="str">
        <f t="shared" si="0"/>
        <v>0203</v>
      </c>
      <c r="B15" s="12" t="s">
        <v>24</v>
      </c>
      <c r="C15" t="s">
        <v>359</v>
      </c>
      <c r="D15" s="3" t="s">
        <v>27</v>
      </c>
      <c r="E15" s="9" t="str">
        <f>VLOOKUP(D15,zastavky!C:D,2,0)</f>
        <v>03</v>
      </c>
      <c r="F15" t="s">
        <v>404</v>
      </c>
      <c r="G15" s="4">
        <v>0.2048611111111111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5" hidden="1" x14ac:dyDescent="0.25">
      <c r="A16" t="str">
        <f t="shared" si="0"/>
        <v>0206</v>
      </c>
      <c r="B16" s="12" t="s">
        <v>24</v>
      </c>
      <c r="C16" t="s">
        <v>359</v>
      </c>
      <c r="D16" s="3" t="s">
        <v>36</v>
      </c>
      <c r="E16" s="9" t="str">
        <f>VLOOKUP(D16,zastavky!C:D,2,0)</f>
        <v>06</v>
      </c>
      <c r="F16" t="s">
        <v>405</v>
      </c>
      <c r="G16" s="4">
        <v>0.20624999999999999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hidden="1" x14ac:dyDescent="0.25">
      <c r="A17" t="str">
        <f t="shared" si="0"/>
        <v>0205</v>
      </c>
      <c r="B17" s="12" t="s">
        <v>24</v>
      </c>
      <c r="C17" t="s">
        <v>359</v>
      </c>
      <c r="D17" s="3" t="s">
        <v>33</v>
      </c>
      <c r="E17" s="9" t="str">
        <f>VLOOKUP(D17,zastavky!C:D,2,0)</f>
        <v>05</v>
      </c>
      <c r="F17" t="s">
        <v>406</v>
      </c>
      <c r="G17" s="4">
        <v>0.20833333333333334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5">
      <c r="A18" t="str">
        <f t="shared" si="0"/>
        <v>0340</v>
      </c>
      <c r="B18" s="12" t="s">
        <v>26</v>
      </c>
      <c r="C18" t="s">
        <v>361</v>
      </c>
      <c r="D18" s="3" t="s">
        <v>143</v>
      </c>
      <c r="E18" s="9" t="str">
        <f>VLOOKUP(D18,zastavky!C:D,2,0)</f>
        <v>40</v>
      </c>
      <c r="F18" t="s">
        <v>407</v>
      </c>
      <c r="G18" s="4">
        <v>0.15972222222222221</v>
      </c>
      <c r="H18" s="4">
        <v>0.49305555555555558</v>
      </c>
      <c r="I18" s="4">
        <v>0.82638888888888884</v>
      </c>
      <c r="J18" s="4">
        <v>0.20833333333333334</v>
      </c>
      <c r="K18" s="4">
        <v>0.20833333333333334</v>
      </c>
      <c r="L18" s="4">
        <v>0</v>
      </c>
      <c r="M18" s="4">
        <v>0</v>
      </c>
    </row>
    <row r="19" spans="1:13" x14ac:dyDescent="0.25">
      <c r="A19" t="str">
        <f t="shared" si="0"/>
        <v>0339</v>
      </c>
      <c r="B19" s="12" t="s">
        <v>26</v>
      </c>
      <c r="C19" t="s">
        <v>361</v>
      </c>
      <c r="D19" s="3" t="s">
        <v>140</v>
      </c>
      <c r="E19" s="9" t="str">
        <f>VLOOKUP(D19,zastavky!C:D,2,0)</f>
        <v>39</v>
      </c>
      <c r="F19" t="s">
        <v>408</v>
      </c>
      <c r="G19" s="4">
        <v>0.16111111111111112</v>
      </c>
      <c r="H19" s="4">
        <v>0.49444444444444446</v>
      </c>
      <c r="I19" s="4">
        <v>0.82777777777777772</v>
      </c>
      <c r="J19" s="4">
        <v>0.20833333333333334</v>
      </c>
      <c r="K19" s="4">
        <v>0.20833333333333334</v>
      </c>
      <c r="L19" s="4">
        <v>0</v>
      </c>
      <c r="M19" s="4">
        <v>0</v>
      </c>
    </row>
    <row r="20" spans="1:13" x14ac:dyDescent="0.25">
      <c r="A20" t="str">
        <f t="shared" si="0"/>
        <v>0317</v>
      </c>
      <c r="B20" s="12" t="s">
        <v>26</v>
      </c>
      <c r="C20" t="s">
        <v>361</v>
      </c>
      <c r="D20" s="3" t="s">
        <v>75</v>
      </c>
      <c r="E20" s="9" t="str">
        <f>VLOOKUP(D20,zastavky!C:D,2,0)</f>
        <v>17</v>
      </c>
      <c r="F20" t="s">
        <v>409</v>
      </c>
      <c r="G20" s="4">
        <v>0.16250000000000001</v>
      </c>
      <c r="H20" s="4">
        <v>0.49583333333333335</v>
      </c>
      <c r="I20" s="4">
        <v>0.82916666666666672</v>
      </c>
      <c r="J20" s="4">
        <v>0.20833333333333334</v>
      </c>
      <c r="K20" s="4">
        <v>0.20833333333333334</v>
      </c>
      <c r="L20" s="4">
        <v>0</v>
      </c>
      <c r="M20" s="4">
        <v>0</v>
      </c>
    </row>
    <row r="21" spans="1:13" x14ac:dyDescent="0.25">
      <c r="A21" t="str">
        <f t="shared" si="0"/>
        <v>0322</v>
      </c>
      <c r="B21" s="12" t="s">
        <v>26</v>
      </c>
      <c r="C21" t="s">
        <v>361</v>
      </c>
      <c r="D21" s="3" t="s">
        <v>89</v>
      </c>
      <c r="E21" s="9" t="str">
        <f>VLOOKUP(D21,zastavky!C:D,2,0)</f>
        <v>22</v>
      </c>
      <c r="F21" t="s">
        <v>410</v>
      </c>
      <c r="G21" s="4">
        <v>0.16527777777777777</v>
      </c>
      <c r="H21" s="4">
        <v>0.49861111111111112</v>
      </c>
      <c r="I21" s="4">
        <v>0.83194444444444449</v>
      </c>
      <c r="J21" s="4">
        <v>0.20833333333333334</v>
      </c>
      <c r="K21" s="4">
        <v>0.20833333333333334</v>
      </c>
      <c r="L21" s="4">
        <v>0</v>
      </c>
      <c r="M21" s="4">
        <v>0</v>
      </c>
    </row>
    <row r="22" spans="1:13" x14ac:dyDescent="0.25">
      <c r="A22" t="str">
        <f t="shared" si="0"/>
        <v>0325</v>
      </c>
      <c r="B22" s="12" t="s">
        <v>26</v>
      </c>
      <c r="C22" t="s">
        <v>361</v>
      </c>
      <c r="D22" s="3" t="s">
        <v>98</v>
      </c>
      <c r="E22" s="9" t="str">
        <f>VLOOKUP(D22,zastavky!C:D,2,0)</f>
        <v>25</v>
      </c>
      <c r="F22" t="s">
        <v>411</v>
      </c>
      <c r="G22" s="4">
        <v>0.16805555555555557</v>
      </c>
      <c r="H22" s="4">
        <v>0.50138888888888888</v>
      </c>
      <c r="I22" s="4">
        <v>0.83472222222222225</v>
      </c>
      <c r="J22" s="4">
        <v>0.20833333333333334</v>
      </c>
      <c r="K22" s="4">
        <v>0.20833333333333334</v>
      </c>
      <c r="L22" s="4">
        <v>0.20833333333333334</v>
      </c>
      <c r="M22" s="4">
        <v>0.20833333333333334</v>
      </c>
    </row>
    <row r="23" spans="1:13" x14ac:dyDescent="0.25">
      <c r="A23" t="str">
        <f t="shared" si="0"/>
        <v>0324</v>
      </c>
      <c r="B23" s="12" t="s">
        <v>26</v>
      </c>
      <c r="C23" t="s">
        <v>361</v>
      </c>
      <c r="D23" s="3" t="s">
        <v>95</v>
      </c>
      <c r="E23" s="9" t="str">
        <f>VLOOKUP(D23,zastavky!C:D,2,0)</f>
        <v>24</v>
      </c>
      <c r="F23" t="s">
        <v>412</v>
      </c>
      <c r="G23" s="4">
        <v>0.16944444444444445</v>
      </c>
      <c r="H23" s="4">
        <v>0.50277777777777777</v>
      </c>
      <c r="I23" s="4">
        <v>0.83611111111111114</v>
      </c>
      <c r="J23" s="4">
        <v>0.20833333333333334</v>
      </c>
      <c r="K23" s="4">
        <v>0.20833333333333334</v>
      </c>
      <c r="L23" s="4">
        <v>0.20833333333333334</v>
      </c>
      <c r="M23" s="4">
        <v>0.20833333333333334</v>
      </c>
    </row>
    <row r="24" spans="1:13" x14ac:dyDescent="0.25">
      <c r="A24" t="str">
        <f t="shared" si="0"/>
        <v>0316</v>
      </c>
      <c r="B24" s="12" t="s">
        <v>26</v>
      </c>
      <c r="C24" t="s">
        <v>361</v>
      </c>
      <c r="D24" s="3" t="s">
        <v>71</v>
      </c>
      <c r="E24" s="9" t="str">
        <f>VLOOKUP(D24,zastavky!C:D,2,0)</f>
        <v>16</v>
      </c>
      <c r="F24" t="s">
        <v>413</v>
      </c>
      <c r="G24" s="4">
        <v>0.17222222222222222</v>
      </c>
      <c r="H24" s="4">
        <v>0.50555555555555554</v>
      </c>
      <c r="I24" s="4">
        <v>0.83888888888888891</v>
      </c>
      <c r="J24" s="4">
        <v>0.20833333333333334</v>
      </c>
      <c r="K24" s="4">
        <v>0.20833333333333334</v>
      </c>
      <c r="L24" s="4">
        <v>0.20833333333333334</v>
      </c>
      <c r="M24" s="4">
        <v>0.20833333333333334</v>
      </c>
    </row>
    <row r="25" spans="1:13" x14ac:dyDescent="0.25">
      <c r="A25" t="str">
        <f t="shared" si="0"/>
        <v>0327</v>
      </c>
      <c r="B25" s="12" t="s">
        <v>26</v>
      </c>
      <c r="C25" t="s">
        <v>361</v>
      </c>
      <c r="D25" s="3" t="s">
        <v>104</v>
      </c>
      <c r="E25" s="9" t="str">
        <f>VLOOKUP(D25,zastavky!C:D,2,0)</f>
        <v>27</v>
      </c>
      <c r="F25" t="s">
        <v>414</v>
      </c>
      <c r="G25" s="4">
        <v>0.1736111111111111</v>
      </c>
      <c r="H25" s="4">
        <v>0.50694444444444442</v>
      </c>
      <c r="I25" s="4">
        <v>0.84027777777777779</v>
      </c>
      <c r="J25" s="4">
        <v>0.20833333333333334</v>
      </c>
      <c r="K25" s="4">
        <v>0.20833333333333334</v>
      </c>
      <c r="L25" s="4">
        <v>0.20833333333333334</v>
      </c>
      <c r="M25" s="4">
        <v>0.20833333333333334</v>
      </c>
    </row>
    <row r="26" spans="1:13" x14ac:dyDescent="0.25">
      <c r="A26" t="str">
        <f t="shared" si="0"/>
        <v>0326</v>
      </c>
      <c r="B26" s="12" t="s">
        <v>26</v>
      </c>
      <c r="C26" t="s">
        <v>361</v>
      </c>
      <c r="D26" s="3" t="s">
        <v>101</v>
      </c>
      <c r="E26" s="9" t="str">
        <f>VLOOKUP(D26,zastavky!C:D,2,0)</f>
        <v>26</v>
      </c>
      <c r="F26" t="s">
        <v>415</v>
      </c>
      <c r="G26" s="4">
        <v>0.17569444444444443</v>
      </c>
      <c r="H26" s="4">
        <v>0.50902777777777775</v>
      </c>
      <c r="I26" s="4">
        <v>0.84236111111111112</v>
      </c>
      <c r="J26" s="4">
        <v>0.20833333333333334</v>
      </c>
      <c r="K26" s="4">
        <v>0.20833333333333334</v>
      </c>
      <c r="L26" s="4">
        <v>0.20833333333333334</v>
      </c>
      <c r="M26" s="4">
        <v>0.20833333333333334</v>
      </c>
    </row>
    <row r="27" spans="1:13" x14ac:dyDescent="0.25">
      <c r="A27" t="str">
        <f t="shared" si="0"/>
        <v>0359</v>
      </c>
      <c r="B27" s="12" t="s">
        <v>26</v>
      </c>
      <c r="C27" t="s">
        <v>361</v>
      </c>
      <c r="D27" s="3" t="s">
        <v>203</v>
      </c>
      <c r="E27" s="9" t="str">
        <f>VLOOKUP(D27,zastavky!C:D,2,0)</f>
        <v>59</v>
      </c>
      <c r="F27" t="s">
        <v>204</v>
      </c>
      <c r="G27" s="4">
        <v>0.18055555555555555</v>
      </c>
      <c r="H27" s="4">
        <v>0.51388888888888884</v>
      </c>
      <c r="I27" s="4">
        <v>0.84722222222222221</v>
      </c>
      <c r="J27" s="4">
        <v>0.20833333333333334</v>
      </c>
      <c r="K27" s="4">
        <v>0.20833333333333334</v>
      </c>
      <c r="L27" s="4">
        <v>0.20833333333333334</v>
      </c>
      <c r="M27" s="4">
        <v>0.20833333333333334</v>
      </c>
    </row>
    <row r="28" spans="1:13" x14ac:dyDescent="0.25">
      <c r="A28" t="str">
        <f t="shared" si="0"/>
        <v>0386</v>
      </c>
      <c r="B28" s="12" t="s">
        <v>26</v>
      </c>
      <c r="C28" t="s">
        <v>361</v>
      </c>
      <c r="D28" s="3" t="s">
        <v>293</v>
      </c>
      <c r="E28" s="9" t="str">
        <f>VLOOKUP(D28,zastavky!C:D,2,0)</f>
        <v>86</v>
      </c>
      <c r="F28" t="s">
        <v>416</v>
      </c>
      <c r="G28" s="4">
        <v>0.1875</v>
      </c>
      <c r="H28" s="4">
        <v>0.52083333333333337</v>
      </c>
      <c r="I28" s="4">
        <v>0.85416666666666663</v>
      </c>
      <c r="J28" s="4">
        <v>0.20833333333333334</v>
      </c>
      <c r="K28" s="4">
        <v>0.20833333333333334</v>
      </c>
      <c r="L28" s="4">
        <v>0.20833333333333334</v>
      </c>
      <c r="M28" s="4">
        <v>0.20833333333333334</v>
      </c>
    </row>
    <row r="29" spans="1:13" x14ac:dyDescent="0.25">
      <c r="A29" t="str">
        <f t="shared" si="0"/>
        <v>03108</v>
      </c>
      <c r="B29" s="12" t="s">
        <v>26</v>
      </c>
      <c r="C29" t="s">
        <v>361</v>
      </c>
      <c r="D29" s="3" t="s">
        <v>274</v>
      </c>
      <c r="E29" s="9" t="str">
        <f>VLOOKUP(D29,zastavky!C:D,2,0)</f>
        <v>108</v>
      </c>
      <c r="F29" t="s">
        <v>417</v>
      </c>
      <c r="G29" s="4">
        <v>0.18958333333333333</v>
      </c>
      <c r="H29" s="4">
        <v>0.5229166666666667</v>
      </c>
      <c r="I29" s="4">
        <v>0.85624999999999996</v>
      </c>
      <c r="J29" s="4">
        <v>0.20833333333333334</v>
      </c>
      <c r="K29" s="4">
        <v>0.20833333333333334</v>
      </c>
      <c r="L29" s="4">
        <v>0.20833333333333334</v>
      </c>
      <c r="M29" s="4">
        <v>0.20833333333333334</v>
      </c>
    </row>
    <row r="30" spans="1:13" x14ac:dyDescent="0.25">
      <c r="A30" t="str">
        <f t="shared" si="0"/>
        <v>0388</v>
      </c>
      <c r="B30" s="12" t="s">
        <v>26</v>
      </c>
      <c r="C30" t="s">
        <v>361</v>
      </c>
      <c r="D30" s="3" t="s">
        <v>298</v>
      </c>
      <c r="E30" s="9" t="str">
        <f>VLOOKUP(D30,zastavky!C:D,2,0)</f>
        <v>88</v>
      </c>
      <c r="F30" t="s">
        <v>418</v>
      </c>
      <c r="G30" s="4">
        <v>0.19166666666666668</v>
      </c>
      <c r="H30" s="4">
        <v>0.52500000000000002</v>
      </c>
      <c r="I30" s="4">
        <v>0.85833333333333328</v>
      </c>
      <c r="J30" s="4">
        <v>0.20833333333333334</v>
      </c>
      <c r="K30" s="4">
        <v>0.20833333333333334</v>
      </c>
      <c r="L30" s="4">
        <v>0.20833333333333334</v>
      </c>
      <c r="M30" s="4">
        <v>0.20833333333333334</v>
      </c>
    </row>
    <row r="31" spans="1:13" x14ac:dyDescent="0.25">
      <c r="A31" t="str">
        <f t="shared" ref="A31:A60" si="1">B31&amp;E31</f>
        <v>0311</v>
      </c>
      <c r="B31" s="12" t="s">
        <v>26</v>
      </c>
      <c r="C31" t="s">
        <v>361</v>
      </c>
      <c r="D31" s="3" t="s">
        <v>53</v>
      </c>
      <c r="E31" s="9" t="str">
        <f>VLOOKUP(D31,zastavky!C:D,2,0)</f>
        <v>11</v>
      </c>
      <c r="F31" t="s">
        <v>419</v>
      </c>
      <c r="G31" s="4">
        <v>0.19791666666666666</v>
      </c>
      <c r="H31" s="4">
        <v>0.53125</v>
      </c>
      <c r="I31" s="4">
        <v>0.86458333333333337</v>
      </c>
      <c r="J31" s="4">
        <v>0.20833333333333334</v>
      </c>
      <c r="K31" s="4">
        <v>0.20833333333333334</v>
      </c>
      <c r="L31" s="4">
        <v>0.20833333333333334</v>
      </c>
      <c r="M31" s="4">
        <v>0.20833333333333334</v>
      </c>
    </row>
    <row r="32" spans="1:13" x14ac:dyDescent="0.25">
      <c r="A32" t="str">
        <f t="shared" si="1"/>
        <v>0312</v>
      </c>
      <c r="B32" s="12" t="s">
        <v>26</v>
      </c>
      <c r="C32" t="s">
        <v>361</v>
      </c>
      <c r="D32" s="3" t="s">
        <v>57</v>
      </c>
      <c r="E32" s="9" t="str">
        <f>VLOOKUP(D32,zastavky!C:D,2,0)</f>
        <v>12</v>
      </c>
      <c r="F32" t="s">
        <v>59</v>
      </c>
      <c r="G32" s="4">
        <v>0.2013888888888889</v>
      </c>
      <c r="H32" s="4">
        <v>0.53472222222222221</v>
      </c>
      <c r="I32" s="4">
        <v>0.86805555555555558</v>
      </c>
      <c r="J32" s="4">
        <v>0.20833333333333334</v>
      </c>
      <c r="K32" s="4">
        <v>0.20833333333333334</v>
      </c>
      <c r="L32" s="4">
        <v>0.20833333333333334</v>
      </c>
      <c r="M32" s="4">
        <v>0.20833333333333334</v>
      </c>
    </row>
    <row r="33" spans="1:13" x14ac:dyDescent="0.25">
      <c r="A33" t="str">
        <f t="shared" si="1"/>
        <v>0360</v>
      </c>
      <c r="B33" s="12" t="s">
        <v>26</v>
      </c>
      <c r="C33" t="s">
        <v>361</v>
      </c>
      <c r="D33" s="3" t="s">
        <v>207</v>
      </c>
      <c r="E33" s="9" t="str">
        <f>VLOOKUP(D33,zastavky!C:D,2,0)</f>
        <v>60</v>
      </c>
      <c r="F33" t="s">
        <v>420</v>
      </c>
      <c r="G33" s="4">
        <v>0.21527777777777779</v>
      </c>
      <c r="H33" s="4">
        <v>0.54861111111111116</v>
      </c>
      <c r="I33" s="4">
        <v>0.88194444444444442</v>
      </c>
      <c r="J33" s="4">
        <v>0.20833333333333334</v>
      </c>
      <c r="K33" s="4">
        <v>0.20833333333333334</v>
      </c>
      <c r="L33" s="4">
        <v>0.20833333333333334</v>
      </c>
      <c r="M33" s="4">
        <v>0.20833333333333334</v>
      </c>
    </row>
    <row r="34" spans="1:13" x14ac:dyDescent="0.25">
      <c r="A34" t="str">
        <f t="shared" si="1"/>
        <v>0309</v>
      </c>
      <c r="B34" s="12" t="s">
        <v>26</v>
      </c>
      <c r="C34" t="s">
        <v>361</v>
      </c>
      <c r="D34" s="3" t="s">
        <v>45</v>
      </c>
      <c r="E34" s="9" t="str">
        <f>VLOOKUP(D34,zastavky!C:D,2,0)</f>
        <v>09</v>
      </c>
      <c r="F34" t="s">
        <v>421</v>
      </c>
      <c r="G34" s="4">
        <v>0.22222222222222221</v>
      </c>
      <c r="H34" s="4">
        <v>0.55555555555555558</v>
      </c>
      <c r="I34" s="4">
        <v>0.88888888888888884</v>
      </c>
      <c r="J34" s="4">
        <v>0.20833333333333334</v>
      </c>
      <c r="K34" s="4">
        <v>0.20833333333333334</v>
      </c>
      <c r="L34" s="4">
        <v>0.20833333333333334</v>
      </c>
      <c r="M34" s="4">
        <v>0.20833333333333334</v>
      </c>
    </row>
    <row r="35" spans="1:13" hidden="1" x14ac:dyDescent="0.25">
      <c r="A35" t="str">
        <f t="shared" si="1"/>
        <v>04105</v>
      </c>
      <c r="B35" s="12" t="s">
        <v>29</v>
      </c>
      <c r="C35" t="s">
        <v>363</v>
      </c>
      <c r="D35" s="3" t="s">
        <v>346</v>
      </c>
      <c r="E35" s="9" t="str">
        <f>VLOOKUP(D35,zastavky!C:D,2,0)</f>
        <v>105</v>
      </c>
      <c r="F35" s="4" t="s">
        <v>422</v>
      </c>
      <c r="G35" s="4">
        <v>0.1736111111111111</v>
      </c>
      <c r="H35" s="4">
        <v>0.50694444444444442</v>
      </c>
      <c r="I35" s="4">
        <v>0.84027777777777779</v>
      </c>
      <c r="J35" s="4">
        <v>0.20833333333333334</v>
      </c>
      <c r="K35" s="4">
        <v>0.20833333333333334</v>
      </c>
      <c r="L35" s="4">
        <v>0.20833333333333334</v>
      </c>
      <c r="M35" s="4">
        <v>0.20833333333333334</v>
      </c>
    </row>
    <row r="36" spans="1:13" hidden="1" x14ac:dyDescent="0.25">
      <c r="A36" t="str">
        <f t="shared" si="1"/>
        <v>04103</v>
      </c>
      <c r="B36" s="12" t="s">
        <v>29</v>
      </c>
      <c r="C36" t="s">
        <v>363</v>
      </c>
      <c r="D36" s="3" t="s">
        <v>340</v>
      </c>
      <c r="E36" s="9" t="str">
        <f>VLOOKUP(D36,zastavky!C:D,2,0)</f>
        <v>103</v>
      </c>
      <c r="F36" s="4" t="s">
        <v>423</v>
      </c>
      <c r="G36" s="4">
        <v>0.17708333333333334</v>
      </c>
      <c r="H36" s="4">
        <v>0.51041666666666663</v>
      </c>
      <c r="I36" s="4">
        <v>0.84375</v>
      </c>
      <c r="J36" s="4">
        <v>0.20833333333333334</v>
      </c>
      <c r="K36" s="4">
        <v>0.20833333333333334</v>
      </c>
      <c r="L36" s="4">
        <v>0.20833333333333334</v>
      </c>
      <c r="M36" s="4">
        <v>0.20833333333333334</v>
      </c>
    </row>
    <row r="37" spans="1:13" hidden="1" x14ac:dyDescent="0.25">
      <c r="A37" t="str">
        <f t="shared" si="1"/>
        <v>04101</v>
      </c>
      <c r="B37" s="12" t="s">
        <v>29</v>
      </c>
      <c r="C37" t="s">
        <v>363</v>
      </c>
      <c r="D37" s="3" t="s">
        <v>334</v>
      </c>
      <c r="E37" s="9" t="str">
        <f>VLOOKUP(D37,zastavky!C:D,2,0)</f>
        <v>101</v>
      </c>
      <c r="F37" s="4" t="s">
        <v>424</v>
      </c>
      <c r="G37" s="4">
        <v>0.17847222222222223</v>
      </c>
      <c r="H37" s="4">
        <v>0.51180555555555551</v>
      </c>
      <c r="I37" s="4">
        <v>0.84513888888888888</v>
      </c>
      <c r="J37" s="4">
        <v>0.20833333333333334</v>
      </c>
      <c r="K37" s="4">
        <v>0.20833333333333334</v>
      </c>
      <c r="L37" s="4">
        <v>0.20833333333333334</v>
      </c>
      <c r="M37" s="4">
        <v>0.20833333333333334</v>
      </c>
    </row>
    <row r="38" spans="1:13" hidden="1" x14ac:dyDescent="0.25">
      <c r="A38" t="str">
        <f t="shared" si="1"/>
        <v>0434</v>
      </c>
      <c r="B38" s="12" t="s">
        <v>29</v>
      </c>
      <c r="C38" t="s">
        <v>363</v>
      </c>
      <c r="D38" s="3" t="s">
        <v>125</v>
      </c>
      <c r="E38" s="9" t="str">
        <f>VLOOKUP(D38,zastavky!C:D,2,0)</f>
        <v>34</v>
      </c>
      <c r="F38" s="4" t="s">
        <v>425</v>
      </c>
      <c r="G38" s="4">
        <v>0.19444444444444445</v>
      </c>
      <c r="H38" s="4">
        <v>0.52777777777777779</v>
      </c>
      <c r="I38" s="4">
        <v>0.86111111111111116</v>
      </c>
      <c r="J38" s="4">
        <v>0.20833333333333334</v>
      </c>
      <c r="K38" s="4">
        <v>0.20833333333333334</v>
      </c>
      <c r="L38" s="4">
        <v>0.20833333333333334</v>
      </c>
      <c r="M38" s="4">
        <v>0.20833333333333334</v>
      </c>
    </row>
    <row r="39" spans="1:13" hidden="1" x14ac:dyDescent="0.25">
      <c r="A39" t="str">
        <f t="shared" si="1"/>
        <v>0498</v>
      </c>
      <c r="B39" s="12" t="s">
        <v>29</v>
      </c>
      <c r="C39" t="s">
        <v>363</v>
      </c>
      <c r="D39" s="3" t="s">
        <v>325</v>
      </c>
      <c r="E39" s="9" t="str">
        <f>VLOOKUP(D39,zastavky!C:D,2,0)</f>
        <v>98</v>
      </c>
      <c r="F39" s="4" t="s">
        <v>426</v>
      </c>
      <c r="G39" s="4">
        <v>0.19652777777777777</v>
      </c>
      <c r="H39" s="4">
        <v>0.52986111111111112</v>
      </c>
      <c r="I39" s="4">
        <v>0.86319444444444449</v>
      </c>
      <c r="J39" s="4">
        <v>0.20833333333333334</v>
      </c>
      <c r="K39" s="4">
        <v>0.20833333333333334</v>
      </c>
      <c r="L39" s="4">
        <v>0.20833333333333334</v>
      </c>
      <c r="M39" s="4">
        <v>0.20833333333333334</v>
      </c>
    </row>
    <row r="40" spans="1:13" hidden="1" x14ac:dyDescent="0.25">
      <c r="A40" t="str">
        <f t="shared" si="1"/>
        <v>0496</v>
      </c>
      <c r="B40" s="12" t="s">
        <v>29</v>
      </c>
      <c r="C40" t="s">
        <v>363</v>
      </c>
      <c r="D40" s="3" t="s">
        <v>320</v>
      </c>
      <c r="E40" s="9" t="str">
        <f>VLOOKUP(D40,zastavky!C:D,2,0)</f>
        <v>96</v>
      </c>
      <c r="F40" s="4" t="s">
        <v>427</v>
      </c>
      <c r="G40" s="4">
        <v>0.1986111111111111</v>
      </c>
      <c r="H40" s="4">
        <v>0.53194444444444444</v>
      </c>
      <c r="I40" s="4">
        <v>0.86527777777777781</v>
      </c>
      <c r="J40" s="4">
        <v>0.20833333333333334</v>
      </c>
      <c r="K40" s="4">
        <v>0.20833333333333334</v>
      </c>
      <c r="L40" s="4">
        <v>0.20833333333333334</v>
      </c>
      <c r="M40" s="4">
        <v>0.20833333333333334</v>
      </c>
    </row>
    <row r="41" spans="1:13" hidden="1" x14ac:dyDescent="0.25">
      <c r="A41" t="str">
        <f t="shared" si="1"/>
        <v>0453</v>
      </c>
      <c r="B41" s="12" t="s">
        <v>29</v>
      </c>
      <c r="C41" t="s">
        <v>363</v>
      </c>
      <c r="D41" s="3" t="s">
        <v>184</v>
      </c>
      <c r="E41" s="9" t="str">
        <f>VLOOKUP(D41,zastavky!C:D,2,0)</f>
        <v>53</v>
      </c>
      <c r="F41" s="4" t="s">
        <v>428</v>
      </c>
      <c r="G41" s="4">
        <v>0.2</v>
      </c>
      <c r="H41" s="4">
        <v>0.53333333333333333</v>
      </c>
      <c r="I41" s="4">
        <v>0.8666666666666667</v>
      </c>
      <c r="J41" s="4">
        <v>0.20833333333333334</v>
      </c>
      <c r="K41" s="4">
        <v>0.20833333333333334</v>
      </c>
      <c r="L41" s="4">
        <v>0.20833333333333334</v>
      </c>
      <c r="M41" s="4">
        <v>0.20833333333333334</v>
      </c>
    </row>
    <row r="42" spans="1:13" hidden="1" x14ac:dyDescent="0.25">
      <c r="A42" t="str">
        <f t="shared" si="1"/>
        <v>0454</v>
      </c>
      <c r="B42" s="12" t="s">
        <v>29</v>
      </c>
      <c r="C42" t="s">
        <v>363</v>
      </c>
      <c r="D42" s="3" t="s">
        <v>187</v>
      </c>
      <c r="E42" s="9" t="str">
        <f>VLOOKUP(D42,zastavky!C:D,2,0)</f>
        <v>54</v>
      </c>
      <c r="F42" s="4" t="s">
        <v>429</v>
      </c>
      <c r="G42" s="4">
        <v>0.2013888888888889</v>
      </c>
      <c r="H42" s="4">
        <v>0.53472222222222221</v>
      </c>
      <c r="I42" s="4">
        <v>0.86805555555555558</v>
      </c>
      <c r="J42" s="4">
        <v>0.20833333333333334</v>
      </c>
      <c r="K42" s="4">
        <v>0.20833333333333334</v>
      </c>
      <c r="L42" s="4">
        <v>0.20833333333333334</v>
      </c>
      <c r="M42" s="4">
        <v>0.20833333333333334</v>
      </c>
    </row>
    <row r="43" spans="1:13" hidden="1" x14ac:dyDescent="0.25">
      <c r="A43" t="str">
        <f t="shared" si="1"/>
        <v>0413</v>
      </c>
      <c r="B43" s="12" t="s">
        <v>29</v>
      </c>
      <c r="C43" t="s">
        <v>363</v>
      </c>
      <c r="D43" s="3" t="s">
        <v>61</v>
      </c>
      <c r="E43" s="9" t="str">
        <f>VLOOKUP(D43,zastavky!C:D,2,0)</f>
        <v>13</v>
      </c>
      <c r="F43" s="4" t="s">
        <v>430</v>
      </c>
      <c r="G43" s="4">
        <v>0.2048611111111111</v>
      </c>
      <c r="H43" s="4">
        <v>0.53819444444444442</v>
      </c>
      <c r="I43" s="4">
        <v>0.87152777777777779</v>
      </c>
      <c r="J43" s="4">
        <v>0.20833333333333334</v>
      </c>
      <c r="K43" s="4">
        <v>0.20833333333333334</v>
      </c>
      <c r="L43" s="4">
        <v>0.20833333333333334</v>
      </c>
      <c r="M43" s="4">
        <v>0.20833333333333334</v>
      </c>
    </row>
    <row r="44" spans="1:13" hidden="1" x14ac:dyDescent="0.25">
      <c r="A44" t="str">
        <f t="shared" si="1"/>
        <v>0415</v>
      </c>
      <c r="B44" s="12" t="s">
        <v>29</v>
      </c>
      <c r="C44" t="s">
        <v>363</v>
      </c>
      <c r="D44" s="3" t="s">
        <v>68</v>
      </c>
      <c r="E44" s="9" t="str">
        <f>VLOOKUP(D44,zastavky!C:D,2,0)</f>
        <v>15</v>
      </c>
      <c r="F44" s="4" t="s">
        <v>431</v>
      </c>
      <c r="G44" s="4">
        <v>0.20624999999999999</v>
      </c>
      <c r="H44" s="4">
        <v>0.5395833333333333</v>
      </c>
      <c r="I44" s="4">
        <v>0.87291666666666667</v>
      </c>
      <c r="J44" s="4">
        <v>0.20833333333333334</v>
      </c>
      <c r="K44" s="4">
        <v>0.20833333333333334</v>
      </c>
      <c r="L44" s="4">
        <v>0.20833333333333334</v>
      </c>
      <c r="M44" s="4">
        <v>0.20833333333333334</v>
      </c>
    </row>
    <row r="45" spans="1:13" hidden="1" x14ac:dyDescent="0.25">
      <c r="A45" t="str">
        <f t="shared" si="1"/>
        <v>0402</v>
      </c>
      <c r="B45" s="12" t="s">
        <v>29</v>
      </c>
      <c r="C45" t="s">
        <v>363</v>
      </c>
      <c r="D45" s="3" t="s">
        <v>25</v>
      </c>
      <c r="E45" s="9" t="str">
        <f>VLOOKUP(D45,zastavky!C:D,2,0)</f>
        <v>02</v>
      </c>
      <c r="F45" s="4" t="s">
        <v>432</v>
      </c>
      <c r="G45" s="4">
        <v>0.20833333333333334</v>
      </c>
      <c r="H45" s="4">
        <v>0.54166666666666663</v>
      </c>
      <c r="I45" s="4">
        <v>0.875</v>
      </c>
      <c r="J45" s="4">
        <v>0.20833333333333334</v>
      </c>
      <c r="K45" s="4">
        <v>0.20833333333333334</v>
      </c>
      <c r="L45" s="4">
        <v>0.20833333333333334</v>
      </c>
      <c r="M45" s="4">
        <v>0.20833333333333334</v>
      </c>
    </row>
    <row r="46" spans="1:13" hidden="1" x14ac:dyDescent="0.25">
      <c r="A46" t="str">
        <f t="shared" si="1"/>
        <v>0404</v>
      </c>
      <c r="B46" s="12" t="s">
        <v>29</v>
      </c>
      <c r="C46" t="s">
        <v>363</v>
      </c>
      <c r="D46" s="3" t="s">
        <v>30</v>
      </c>
      <c r="E46" s="9" t="str">
        <f>VLOOKUP(D46,zastavky!C:D,2,0)</f>
        <v>04</v>
      </c>
      <c r="F46" s="4" t="s">
        <v>433</v>
      </c>
      <c r="G46" s="4">
        <v>0.21041666666666667</v>
      </c>
      <c r="H46" s="4">
        <v>0.54374999999999996</v>
      </c>
      <c r="I46" s="4">
        <v>0.87708333333333333</v>
      </c>
      <c r="J46" s="4">
        <v>0.20833333333333334</v>
      </c>
      <c r="K46" s="4">
        <v>0.20833333333333334</v>
      </c>
      <c r="L46" s="4">
        <v>0.20833333333333334</v>
      </c>
      <c r="M46" s="4">
        <v>0.20833333333333334</v>
      </c>
    </row>
    <row r="47" spans="1:13" hidden="1" x14ac:dyDescent="0.25">
      <c r="A47" t="str">
        <f t="shared" si="1"/>
        <v>0565</v>
      </c>
      <c r="B47" s="12" t="s">
        <v>32</v>
      </c>
      <c r="C47" t="s">
        <v>365</v>
      </c>
      <c r="D47" s="3" t="s">
        <v>265</v>
      </c>
      <c r="E47" s="9" t="str">
        <f>VLOOKUP(D47,zastavky!C:D,2,0)</f>
        <v>65</v>
      </c>
      <c r="F47" t="s">
        <v>434</v>
      </c>
      <c r="G47" s="4">
        <v>0.15625</v>
      </c>
      <c r="H47" s="4">
        <v>0.48958333333333331</v>
      </c>
      <c r="I47" s="4">
        <v>0.82291666666666663</v>
      </c>
      <c r="J47" s="4">
        <v>0.20833333333333334</v>
      </c>
      <c r="K47" s="4">
        <v>0.20833333333333334</v>
      </c>
      <c r="L47" s="4">
        <v>0.20833333333333334</v>
      </c>
      <c r="M47" s="4">
        <v>0.20833333333333334</v>
      </c>
    </row>
    <row r="48" spans="1:13" hidden="1" x14ac:dyDescent="0.25">
      <c r="A48" t="str">
        <f t="shared" si="1"/>
        <v>0564</v>
      </c>
      <c r="B48" s="12" t="s">
        <v>32</v>
      </c>
      <c r="C48" t="s">
        <v>365</v>
      </c>
      <c r="D48" s="3" t="s">
        <v>262</v>
      </c>
      <c r="E48" s="9" t="str">
        <f>VLOOKUP(D48,zastavky!C:D,2,0)</f>
        <v>64</v>
      </c>
      <c r="F48" t="s">
        <v>435</v>
      </c>
      <c r="G48" s="4">
        <v>0.15972222222222221</v>
      </c>
      <c r="H48" s="4">
        <v>0.49305555555555558</v>
      </c>
      <c r="I48" s="4">
        <v>0.82638888888888884</v>
      </c>
      <c r="J48" s="4">
        <v>0.20833333333333334</v>
      </c>
      <c r="K48" s="4">
        <v>0.20833333333333334</v>
      </c>
      <c r="L48" s="4">
        <v>0.20833333333333334</v>
      </c>
      <c r="M48" s="4">
        <v>0.20833333333333334</v>
      </c>
    </row>
    <row r="49" spans="1:13" hidden="1" x14ac:dyDescent="0.25">
      <c r="A49" t="str">
        <f t="shared" si="1"/>
        <v>0569</v>
      </c>
      <c r="B49" s="12" t="s">
        <v>32</v>
      </c>
      <c r="C49" t="s">
        <v>365</v>
      </c>
      <c r="D49" s="3" t="s">
        <v>226</v>
      </c>
      <c r="E49" s="9" t="str">
        <f>VLOOKUP(D49,zastavky!C:D,2,0)</f>
        <v>69</v>
      </c>
      <c r="F49" t="s">
        <v>436</v>
      </c>
      <c r="G49" s="4">
        <v>0.1701388888888889</v>
      </c>
      <c r="H49" s="4">
        <v>0.50347222222222221</v>
      </c>
      <c r="I49" s="4">
        <v>0.83680555555555558</v>
      </c>
      <c r="J49" s="4">
        <v>0.20833333333333334</v>
      </c>
      <c r="K49" s="4">
        <v>0.20833333333333334</v>
      </c>
      <c r="L49" s="4">
        <v>0.20833333333333334</v>
      </c>
      <c r="M49" s="4">
        <v>0.20833333333333334</v>
      </c>
    </row>
    <row r="50" spans="1:13" hidden="1" x14ac:dyDescent="0.25">
      <c r="A50" t="str">
        <f t="shared" si="1"/>
        <v>0567</v>
      </c>
      <c r="B50" s="12" t="s">
        <v>32</v>
      </c>
      <c r="C50" t="s">
        <v>365</v>
      </c>
      <c r="D50" s="3" t="s">
        <v>222</v>
      </c>
      <c r="E50" s="9" t="str">
        <f>VLOOKUP(D50,zastavky!C:D,2,0)</f>
        <v>67</v>
      </c>
      <c r="F50" t="s">
        <v>437</v>
      </c>
      <c r="G50" s="4">
        <v>0.17291666666666666</v>
      </c>
      <c r="H50" s="4">
        <v>0.50624999999999998</v>
      </c>
      <c r="I50" s="4">
        <v>0.83958333333333335</v>
      </c>
      <c r="J50" s="4">
        <v>0.20833333333333334</v>
      </c>
      <c r="K50" s="4">
        <v>0.20833333333333334</v>
      </c>
      <c r="L50" s="4">
        <v>0.20833333333333334</v>
      </c>
      <c r="M50" s="4">
        <v>0.20833333333333334</v>
      </c>
    </row>
    <row r="51" spans="1:13" hidden="1" x14ac:dyDescent="0.25">
      <c r="A51" t="str">
        <f t="shared" si="1"/>
        <v>0562</v>
      </c>
      <c r="B51" s="12" t="s">
        <v>32</v>
      </c>
      <c r="C51" t="s">
        <v>365</v>
      </c>
      <c r="D51" s="3" t="s">
        <v>215</v>
      </c>
      <c r="E51" s="9" t="str">
        <f>VLOOKUP(D51,zastavky!C:D,2,0)</f>
        <v>62</v>
      </c>
      <c r="F51" t="s">
        <v>438</v>
      </c>
      <c r="G51" s="4">
        <v>0.17847222222222223</v>
      </c>
      <c r="H51" s="4">
        <v>0.51180555555555551</v>
      </c>
      <c r="I51" s="4">
        <v>0.84513888888888888</v>
      </c>
      <c r="J51" s="4">
        <v>0.20833333333333334</v>
      </c>
      <c r="K51" s="4">
        <v>0.20833333333333334</v>
      </c>
      <c r="L51" s="4">
        <v>0.20833333333333334</v>
      </c>
      <c r="M51" s="4">
        <v>0.20833333333333334</v>
      </c>
    </row>
    <row r="52" spans="1:13" hidden="1" x14ac:dyDescent="0.25">
      <c r="A52" t="str">
        <f t="shared" si="1"/>
        <v>0563</v>
      </c>
      <c r="B52" s="12" t="s">
        <v>32</v>
      </c>
      <c r="C52" t="s">
        <v>365</v>
      </c>
      <c r="D52" s="3" t="s">
        <v>219</v>
      </c>
      <c r="E52" s="9" t="str">
        <f>VLOOKUP(D52,zastavky!C:D,2,0)</f>
        <v>63</v>
      </c>
      <c r="F52" t="s">
        <v>439</v>
      </c>
      <c r="G52" s="4">
        <v>0.17986111111111111</v>
      </c>
      <c r="H52" s="4">
        <v>0.5131944444444444</v>
      </c>
      <c r="I52" s="4">
        <v>0.84652777777777777</v>
      </c>
      <c r="J52" s="4">
        <v>0.20833333333333334</v>
      </c>
      <c r="K52" s="4">
        <v>0.20833333333333334</v>
      </c>
      <c r="L52" s="4">
        <v>0.20833333333333334</v>
      </c>
      <c r="M52" s="4">
        <v>0.20833333333333334</v>
      </c>
    </row>
    <row r="53" spans="1:13" hidden="1" x14ac:dyDescent="0.25">
      <c r="A53" t="str">
        <f t="shared" si="1"/>
        <v>0583</v>
      </c>
      <c r="B53" s="12" t="s">
        <v>32</v>
      </c>
      <c r="C53" t="s">
        <v>365</v>
      </c>
      <c r="D53" s="3" t="s">
        <v>284</v>
      </c>
      <c r="E53" s="9" t="str">
        <f>VLOOKUP(D53,zastavky!C:D,2,0)</f>
        <v>83</v>
      </c>
      <c r="F53" t="s">
        <v>440</v>
      </c>
      <c r="G53" s="4">
        <v>0.18402777777777779</v>
      </c>
      <c r="H53" s="4">
        <v>0.51736111111111116</v>
      </c>
      <c r="I53" s="4">
        <v>0.85069444444444442</v>
      </c>
      <c r="J53" s="4">
        <v>0.20833333333333334</v>
      </c>
      <c r="K53" s="4">
        <v>0.20833333333333334</v>
      </c>
      <c r="L53" s="4">
        <v>0.20833333333333334</v>
      </c>
      <c r="M53" s="4">
        <v>0.20833333333333334</v>
      </c>
    </row>
    <row r="54" spans="1:13" hidden="1" x14ac:dyDescent="0.25">
      <c r="A54" t="str">
        <f t="shared" si="1"/>
        <v>0582</v>
      </c>
      <c r="B54" s="12" t="s">
        <v>32</v>
      </c>
      <c r="C54" t="s">
        <v>365</v>
      </c>
      <c r="D54" s="3" t="s">
        <v>281</v>
      </c>
      <c r="E54" s="9" t="str">
        <f>VLOOKUP(D54,zastavky!C:D,2,0)</f>
        <v>82</v>
      </c>
      <c r="F54" t="s">
        <v>441</v>
      </c>
      <c r="G54" s="4">
        <v>0.18611111111111112</v>
      </c>
      <c r="H54" s="4">
        <v>0.51944444444444449</v>
      </c>
      <c r="I54" s="4">
        <v>0.85277777777777775</v>
      </c>
      <c r="J54" s="4">
        <v>0.20833333333333334</v>
      </c>
      <c r="K54" s="4">
        <v>0.20833333333333334</v>
      </c>
      <c r="L54" s="4">
        <v>0.20833333333333334</v>
      </c>
      <c r="M54" s="4">
        <v>0.20833333333333334</v>
      </c>
    </row>
    <row r="55" spans="1:13" hidden="1" x14ac:dyDescent="0.25">
      <c r="A55" t="str">
        <f t="shared" si="1"/>
        <v>0589</v>
      </c>
      <c r="B55" s="12" t="s">
        <v>32</v>
      </c>
      <c r="C55" t="s">
        <v>365</v>
      </c>
      <c r="D55" s="3" t="s">
        <v>301</v>
      </c>
      <c r="E55" s="9" t="str">
        <f>VLOOKUP(D55,zastavky!C:D,2,0)</f>
        <v>89</v>
      </c>
      <c r="F55" t="s">
        <v>442</v>
      </c>
      <c r="G55" s="4">
        <v>0.1875</v>
      </c>
      <c r="H55" s="4">
        <v>0.52083333333333337</v>
      </c>
      <c r="I55" s="4">
        <v>0.85416666666666663</v>
      </c>
      <c r="J55" s="4">
        <v>0.20833333333333334</v>
      </c>
      <c r="K55" s="4">
        <v>0.20833333333333334</v>
      </c>
      <c r="L55" s="4">
        <v>0.20833333333333334</v>
      </c>
      <c r="M55" s="4">
        <v>0.20833333333333334</v>
      </c>
    </row>
    <row r="56" spans="1:13" hidden="1" x14ac:dyDescent="0.25">
      <c r="A56" t="str">
        <f t="shared" si="1"/>
        <v>0593</v>
      </c>
      <c r="B56" s="12" t="s">
        <v>32</v>
      </c>
      <c r="C56" t="s">
        <v>365</v>
      </c>
      <c r="D56" s="3" t="s">
        <v>313</v>
      </c>
      <c r="E56" s="9" t="str">
        <f>VLOOKUP(D56,zastavky!C:D,2,0)</f>
        <v>93</v>
      </c>
      <c r="F56" t="s">
        <v>443</v>
      </c>
      <c r="G56" s="4">
        <v>0.18958333333333333</v>
      </c>
      <c r="H56" s="4">
        <v>0.5229166666666667</v>
      </c>
      <c r="I56" s="4">
        <v>0.85624999999999996</v>
      </c>
      <c r="J56" s="4">
        <v>0.20833333333333334</v>
      </c>
      <c r="K56" s="4">
        <v>0.20833333333333334</v>
      </c>
      <c r="L56" s="4">
        <v>0.20833333333333334</v>
      </c>
      <c r="M56" s="4">
        <v>0.20833333333333334</v>
      </c>
    </row>
    <row r="57" spans="1:13" hidden="1" x14ac:dyDescent="0.25">
      <c r="A57" t="str">
        <f t="shared" si="1"/>
        <v>0592</v>
      </c>
      <c r="B57" s="12" t="s">
        <v>32</v>
      </c>
      <c r="C57" t="s">
        <v>365</v>
      </c>
      <c r="D57" s="3" t="s">
        <v>310</v>
      </c>
      <c r="E57" s="9" t="str">
        <f>VLOOKUP(D57,zastavky!C:D,2,0)</f>
        <v>92</v>
      </c>
      <c r="F57" t="s">
        <v>444</v>
      </c>
      <c r="G57" s="4">
        <v>0.19236111111111112</v>
      </c>
      <c r="H57" s="4">
        <v>0.52569444444444446</v>
      </c>
      <c r="I57" s="4">
        <v>0.85902777777777772</v>
      </c>
      <c r="J57" s="4">
        <v>0.20833333333333334</v>
      </c>
      <c r="K57" s="4">
        <v>0.20833333333333334</v>
      </c>
      <c r="L57" s="4">
        <v>0.20833333333333334</v>
      </c>
      <c r="M57" s="4">
        <v>0.20833333333333334</v>
      </c>
    </row>
    <row r="58" spans="1:13" hidden="1" x14ac:dyDescent="0.25">
      <c r="A58" t="str">
        <f t="shared" si="1"/>
        <v>0580</v>
      </c>
      <c r="B58" s="12" t="s">
        <v>32</v>
      </c>
      <c r="C58" t="s">
        <v>365</v>
      </c>
      <c r="D58" s="3" t="s">
        <v>271</v>
      </c>
      <c r="E58" s="9" t="str">
        <f>VLOOKUP(D58,zastavky!C:D,2,0)</f>
        <v>80</v>
      </c>
      <c r="F58" t="s">
        <v>272</v>
      </c>
      <c r="G58" s="4">
        <v>0.19513888888888889</v>
      </c>
      <c r="H58" s="4">
        <v>0.52847222222222223</v>
      </c>
      <c r="I58" s="4">
        <v>0.8618055555555556</v>
      </c>
      <c r="J58" s="4">
        <v>0.20833333333333334</v>
      </c>
      <c r="K58" s="4">
        <v>0.20833333333333334</v>
      </c>
      <c r="L58" s="4">
        <v>0.20833333333333334</v>
      </c>
      <c r="M58" s="4">
        <v>0.20833333333333334</v>
      </c>
    </row>
    <row r="59" spans="1:13" hidden="1" x14ac:dyDescent="0.25">
      <c r="A59" t="str">
        <f t="shared" si="1"/>
        <v>0510</v>
      </c>
      <c r="B59" s="12" t="s">
        <v>32</v>
      </c>
      <c r="C59" t="s">
        <v>365</v>
      </c>
      <c r="D59" s="3" t="s">
        <v>49</v>
      </c>
      <c r="E59" s="9" t="str">
        <f>VLOOKUP(D59,zastavky!C:D,2,0)</f>
        <v>10</v>
      </c>
      <c r="F59" t="s">
        <v>445</v>
      </c>
      <c r="G59" s="4">
        <v>0.2</v>
      </c>
      <c r="H59" s="4">
        <v>0.53333333333333333</v>
      </c>
      <c r="I59" s="4">
        <v>0.8666666666666667</v>
      </c>
      <c r="J59" s="4">
        <v>0.20833333333333334</v>
      </c>
      <c r="K59" s="4">
        <v>0.20833333333333334</v>
      </c>
      <c r="L59" s="4">
        <v>0.20833333333333334</v>
      </c>
      <c r="M59" s="4">
        <v>0.20833333333333334</v>
      </c>
    </row>
    <row r="60" spans="1:13" hidden="1" x14ac:dyDescent="0.25">
      <c r="A60" t="str">
        <f t="shared" si="1"/>
        <v>0699</v>
      </c>
      <c r="B60" s="12" t="s">
        <v>35</v>
      </c>
      <c r="C60" t="s">
        <v>367</v>
      </c>
      <c r="D60" s="3" t="s">
        <v>328</v>
      </c>
      <c r="E60" s="9" t="str">
        <f>VLOOKUP(D60,zastavky!C:D,2,0)</f>
        <v>99</v>
      </c>
      <c r="F60" t="s">
        <v>446</v>
      </c>
      <c r="G60" s="4">
        <v>0.17708333333333334</v>
      </c>
      <c r="H60" s="4">
        <v>0.51041666666666663</v>
      </c>
      <c r="I60" s="4">
        <v>0.84375</v>
      </c>
      <c r="J60" s="4">
        <v>0.20833333333333334</v>
      </c>
      <c r="K60" s="4">
        <v>0.20833333333333334</v>
      </c>
      <c r="L60" s="4">
        <v>0.20833333333333334</v>
      </c>
      <c r="M60" s="4">
        <v>0.20833333333333334</v>
      </c>
    </row>
    <row r="61" spans="1:13" hidden="1" x14ac:dyDescent="0.25">
      <c r="A61" t="str">
        <f t="shared" ref="A61:A78" si="2">B61&amp;E61</f>
        <v>06103</v>
      </c>
      <c r="B61" s="12" t="s">
        <v>35</v>
      </c>
      <c r="C61" t="s">
        <v>367</v>
      </c>
      <c r="D61" s="3" t="s">
        <v>340</v>
      </c>
      <c r="E61" s="9" t="str">
        <f>VLOOKUP(D61,zastavky!C:D,2,0)</f>
        <v>103</v>
      </c>
      <c r="F61" t="s">
        <v>447</v>
      </c>
      <c r="G61" s="4">
        <v>0.17847222222222223</v>
      </c>
      <c r="H61" s="4">
        <v>0.51180555555555551</v>
      </c>
      <c r="I61" s="4">
        <v>0.84513888888888888</v>
      </c>
      <c r="J61" s="4">
        <v>0.20833333333333334</v>
      </c>
      <c r="K61" s="4">
        <v>0.20833333333333334</v>
      </c>
      <c r="L61" s="4">
        <v>0.20833333333333334</v>
      </c>
      <c r="M61" s="4">
        <v>0.20833333333333334</v>
      </c>
    </row>
    <row r="62" spans="1:13" hidden="1" x14ac:dyDescent="0.25">
      <c r="A62" t="str">
        <f t="shared" si="2"/>
        <v>06101</v>
      </c>
      <c r="B62" s="12" t="s">
        <v>35</v>
      </c>
      <c r="C62" t="s">
        <v>367</v>
      </c>
      <c r="D62" s="3" t="s">
        <v>334</v>
      </c>
      <c r="E62" s="9" t="str">
        <f>VLOOKUP(D62,zastavky!C:D,2,0)</f>
        <v>101</v>
      </c>
      <c r="F62" t="s">
        <v>448</v>
      </c>
      <c r="G62" s="4">
        <v>0.17986111111111111</v>
      </c>
      <c r="H62" s="4">
        <v>0.5131944444444444</v>
      </c>
      <c r="I62" s="4">
        <v>0.84652777777777777</v>
      </c>
      <c r="J62" s="4">
        <v>0.20833333333333334</v>
      </c>
      <c r="K62" s="4">
        <v>0.20833333333333334</v>
      </c>
      <c r="L62" s="4">
        <v>0.20833333333333334</v>
      </c>
      <c r="M62" s="4">
        <v>0.20833333333333334</v>
      </c>
    </row>
    <row r="63" spans="1:13" hidden="1" x14ac:dyDescent="0.25">
      <c r="A63" t="str">
        <f t="shared" si="2"/>
        <v>0636</v>
      </c>
      <c r="B63" s="12" t="s">
        <v>35</v>
      </c>
      <c r="C63" t="s">
        <v>367</v>
      </c>
      <c r="D63" s="3" t="s">
        <v>131</v>
      </c>
      <c r="E63" s="9" t="str">
        <f>VLOOKUP(D63,zastavky!C:D,2,0)</f>
        <v>36</v>
      </c>
      <c r="F63" t="s">
        <v>449</v>
      </c>
      <c r="G63" s="4">
        <v>0.18611111111111112</v>
      </c>
      <c r="H63" s="4">
        <v>0.51944444444444449</v>
      </c>
      <c r="I63" s="4">
        <v>0.85277777777777775</v>
      </c>
      <c r="J63" s="4">
        <v>0.20833333333333334</v>
      </c>
      <c r="K63" s="4">
        <v>0.20833333333333334</v>
      </c>
      <c r="L63" s="4">
        <v>0.20833333333333334</v>
      </c>
      <c r="M63" s="4">
        <v>0.20833333333333334</v>
      </c>
    </row>
    <row r="64" spans="1:13" hidden="1" x14ac:dyDescent="0.25">
      <c r="A64" t="str">
        <f t="shared" si="2"/>
        <v>0638</v>
      </c>
      <c r="B64" s="12" t="s">
        <v>35</v>
      </c>
      <c r="C64" t="s">
        <v>367</v>
      </c>
      <c r="D64" s="3" t="s">
        <v>137</v>
      </c>
      <c r="E64" s="9" t="str">
        <f>VLOOKUP(D64,zastavky!C:D,2,0)</f>
        <v>38</v>
      </c>
      <c r="F64" t="s">
        <v>450</v>
      </c>
      <c r="G64" s="4">
        <v>0.18611111111111112</v>
      </c>
      <c r="H64" s="4">
        <v>0.51944444444444449</v>
      </c>
      <c r="I64" s="4">
        <v>0.85277777777777775</v>
      </c>
      <c r="J64" s="4">
        <v>0.20833333333333334</v>
      </c>
      <c r="K64" s="4">
        <v>0.20833333333333334</v>
      </c>
      <c r="L64" s="4">
        <v>0.20833333333333334</v>
      </c>
      <c r="M64" s="4">
        <v>0.20833333333333334</v>
      </c>
    </row>
    <row r="65" spans="1:24" hidden="1" x14ac:dyDescent="0.25">
      <c r="A65" t="str">
        <f t="shared" si="2"/>
        <v>0650</v>
      </c>
      <c r="B65" s="12" t="s">
        <v>35</v>
      </c>
      <c r="C65" t="s">
        <v>367</v>
      </c>
      <c r="D65" s="3" t="s">
        <v>173</v>
      </c>
      <c r="E65" s="9" t="str">
        <f>VLOOKUP(D65,zastavky!C:D,2,0)</f>
        <v>50</v>
      </c>
      <c r="F65" t="s">
        <v>451</v>
      </c>
      <c r="G65" s="4">
        <v>0.19027777777777777</v>
      </c>
      <c r="H65" s="4">
        <v>0.52361111111111114</v>
      </c>
      <c r="I65" s="4">
        <v>0.8569444444444444</v>
      </c>
      <c r="J65" s="4">
        <v>0.20833333333333334</v>
      </c>
      <c r="K65" s="4">
        <v>0.20833333333333334</v>
      </c>
      <c r="L65" s="4">
        <v>0.20833333333333334</v>
      </c>
      <c r="M65" s="4">
        <v>0.20833333333333334</v>
      </c>
    </row>
    <row r="66" spans="1:24" hidden="1" x14ac:dyDescent="0.25">
      <c r="A66" t="str">
        <f t="shared" si="2"/>
        <v>0625</v>
      </c>
      <c r="B66" s="12" t="s">
        <v>35</v>
      </c>
      <c r="C66" t="s">
        <v>367</v>
      </c>
      <c r="D66" s="3" t="s">
        <v>98</v>
      </c>
      <c r="E66" s="9" t="str">
        <f>VLOOKUP(D66,zastavky!C:D,2,0)</f>
        <v>25</v>
      </c>
      <c r="F66" t="s">
        <v>452</v>
      </c>
      <c r="G66" s="4">
        <v>0.19444444444444445</v>
      </c>
      <c r="H66" s="4">
        <v>0.52777777777777779</v>
      </c>
      <c r="I66" s="4">
        <v>0.86111111111111116</v>
      </c>
      <c r="J66" s="4">
        <v>0.20833333333333334</v>
      </c>
      <c r="K66" s="4">
        <v>0.20833333333333334</v>
      </c>
      <c r="L66" s="4">
        <v>0.20833333333333334</v>
      </c>
      <c r="M66" s="4">
        <v>0.20833333333333334</v>
      </c>
    </row>
    <row r="67" spans="1:24" hidden="1" x14ac:dyDescent="0.25">
      <c r="A67" t="str">
        <f t="shared" si="2"/>
        <v>0624</v>
      </c>
      <c r="B67" s="12" t="s">
        <v>35</v>
      </c>
      <c r="C67" t="s">
        <v>367</v>
      </c>
      <c r="D67" s="3" t="s">
        <v>95</v>
      </c>
      <c r="E67" s="9" t="str">
        <f>VLOOKUP(D67,zastavky!C:D,2,0)</f>
        <v>24</v>
      </c>
      <c r="F67" t="s">
        <v>453</v>
      </c>
      <c r="G67" s="4">
        <v>0.19583333333333333</v>
      </c>
      <c r="H67" s="4">
        <v>0.52916666666666667</v>
      </c>
      <c r="I67" s="4">
        <v>0.86250000000000004</v>
      </c>
      <c r="J67" s="4">
        <v>0.20833333333333334</v>
      </c>
      <c r="K67" s="4">
        <v>0.20833333333333334</v>
      </c>
      <c r="L67" s="4">
        <v>0.20833333333333334</v>
      </c>
      <c r="M67" s="4">
        <v>0.20833333333333334</v>
      </c>
    </row>
    <row r="68" spans="1:24" hidden="1" x14ac:dyDescent="0.25">
      <c r="A68" t="str">
        <f t="shared" si="2"/>
        <v>0616</v>
      </c>
      <c r="B68" s="12" t="s">
        <v>35</v>
      </c>
      <c r="C68" t="s">
        <v>367</v>
      </c>
      <c r="D68" s="3" t="s">
        <v>71</v>
      </c>
      <c r="E68" s="9" t="str">
        <f>VLOOKUP(D68,zastavky!C:D,2,0)</f>
        <v>16</v>
      </c>
      <c r="F68" t="s">
        <v>454</v>
      </c>
      <c r="G68" s="4">
        <v>0.19791666666666666</v>
      </c>
      <c r="H68" s="4">
        <v>0.53125</v>
      </c>
      <c r="I68" s="4">
        <v>0.86458333333333337</v>
      </c>
      <c r="J68" s="4">
        <v>0.20833333333333334</v>
      </c>
      <c r="K68" s="4">
        <v>0.20833333333333334</v>
      </c>
      <c r="L68" s="4">
        <v>0.20833333333333334</v>
      </c>
      <c r="M68" s="4">
        <v>0.20833333333333334</v>
      </c>
    </row>
    <row r="69" spans="1:24" hidden="1" x14ac:dyDescent="0.25">
      <c r="A69" t="str">
        <f t="shared" si="2"/>
        <v>0695</v>
      </c>
      <c r="B69" s="24" t="s">
        <v>35</v>
      </c>
      <c r="C69" t="s">
        <v>367</v>
      </c>
      <c r="D69" s="3" t="s">
        <v>316</v>
      </c>
      <c r="E69" s="9" t="str">
        <f>VLOOKUP(D69,zastavky!C:D,2,0)</f>
        <v>95</v>
      </c>
      <c r="F69" t="s">
        <v>426</v>
      </c>
      <c r="G69" s="4">
        <v>0.20624999999999999</v>
      </c>
      <c r="H69" s="4">
        <v>0.5395833333333333</v>
      </c>
      <c r="I69" s="4">
        <v>0.87291666666666667</v>
      </c>
      <c r="J69" s="4">
        <v>1.20625</v>
      </c>
      <c r="K69" s="4">
        <v>1.53958333333333</v>
      </c>
      <c r="L69" s="4">
        <v>1.8729166666666699</v>
      </c>
      <c r="M69" s="4">
        <v>2.2062499999999998</v>
      </c>
      <c r="S69" s="22"/>
      <c r="X69" s="22"/>
    </row>
    <row r="70" spans="1:24" hidden="1" x14ac:dyDescent="0.25">
      <c r="A70" t="str">
        <f t="shared" ref="A70" si="3">B70&amp;E70</f>
        <v>0696</v>
      </c>
      <c r="B70" s="24" t="s">
        <v>35</v>
      </c>
      <c r="C70" t="s">
        <v>367</v>
      </c>
      <c r="D70" s="3" t="s">
        <v>320</v>
      </c>
      <c r="E70" s="9" t="str">
        <f>VLOOKUP(D70,zastavky!C:D,2,0)</f>
        <v>96</v>
      </c>
      <c r="F70" t="s">
        <v>427</v>
      </c>
      <c r="G70" s="4">
        <v>0.20694444444444443</v>
      </c>
      <c r="H70" s="4">
        <v>0.54027777777777775</v>
      </c>
      <c r="I70" s="4">
        <v>0.87361111111111112</v>
      </c>
      <c r="J70" s="4"/>
      <c r="K70" s="4"/>
      <c r="L70" s="4"/>
      <c r="M70" s="4"/>
      <c r="S70" s="22"/>
      <c r="X70" s="22"/>
    </row>
    <row r="71" spans="1:24" hidden="1" x14ac:dyDescent="0.25">
      <c r="A71" t="str">
        <f t="shared" si="2"/>
        <v>0652</v>
      </c>
      <c r="B71" s="12" t="s">
        <v>35</v>
      </c>
      <c r="C71" t="s">
        <v>367</v>
      </c>
      <c r="D71" s="3" t="s">
        <v>180</v>
      </c>
      <c r="E71" s="9" t="str">
        <f>VLOOKUP(D71,zastavky!C:D,2,0)</f>
        <v>52</v>
      </c>
      <c r="F71" t="s">
        <v>455</v>
      </c>
      <c r="G71" s="4">
        <v>0.20902777777777778</v>
      </c>
      <c r="H71" s="4">
        <v>0.54236111111111107</v>
      </c>
      <c r="I71" s="4">
        <v>0.87569444444444444</v>
      </c>
      <c r="J71" s="4">
        <v>0.20833333333333334</v>
      </c>
      <c r="K71" s="4">
        <v>0.20833333333333334</v>
      </c>
      <c r="L71" s="4">
        <v>0.20833333333333334</v>
      </c>
      <c r="M71" s="4">
        <v>0.20833333333333334</v>
      </c>
    </row>
    <row r="72" spans="1:24" hidden="1" x14ac:dyDescent="0.25">
      <c r="A72" t="str">
        <f t="shared" si="2"/>
        <v>0603</v>
      </c>
      <c r="B72" s="12" t="s">
        <v>35</v>
      </c>
      <c r="C72" t="s">
        <v>367</v>
      </c>
      <c r="D72" s="3" t="s">
        <v>27</v>
      </c>
      <c r="E72" s="9" t="str">
        <f>VLOOKUP(D72,zastavky!C:D,2,0)</f>
        <v>03</v>
      </c>
      <c r="F72" t="s">
        <v>456</v>
      </c>
      <c r="G72" s="4">
        <v>0.21527777777777779</v>
      </c>
      <c r="H72" s="4">
        <v>0.54861111111111116</v>
      </c>
      <c r="I72" s="4">
        <v>0.88194444444444442</v>
      </c>
      <c r="J72" s="4">
        <v>0.20833333333333334</v>
      </c>
      <c r="K72" s="4">
        <v>0.20833333333333334</v>
      </c>
      <c r="L72" s="4">
        <v>0.20833333333333334</v>
      </c>
      <c r="M72" s="4">
        <v>0.20833333333333334</v>
      </c>
    </row>
    <row r="73" spans="1:24" hidden="1" x14ac:dyDescent="0.25">
      <c r="A73" t="str">
        <f t="shared" si="2"/>
        <v>0791</v>
      </c>
      <c r="B73" s="12" t="s">
        <v>38</v>
      </c>
      <c r="C73" t="s">
        <v>369</v>
      </c>
      <c r="D73" s="3" t="s">
        <v>307</v>
      </c>
      <c r="E73" s="9" t="str">
        <f>VLOOKUP(D73,zastavky!C:D,2,0)</f>
        <v>91</v>
      </c>
      <c r="F73" t="s">
        <v>457</v>
      </c>
      <c r="G73" s="4">
        <v>0.18055555555555555</v>
      </c>
      <c r="H73" s="4">
        <v>0.68055555555555558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24" hidden="1" x14ac:dyDescent="0.25">
      <c r="A74" t="str">
        <f t="shared" si="2"/>
        <v>0862</v>
      </c>
      <c r="B74" s="17" t="s">
        <v>41</v>
      </c>
      <c r="C74" t="s">
        <v>371</v>
      </c>
      <c r="D74" s="3" t="s">
        <v>215</v>
      </c>
      <c r="E74" s="9" t="str">
        <f>VLOOKUP(D74,zastavky!C:D,2,0)</f>
        <v>62</v>
      </c>
      <c r="F74" t="s">
        <v>458</v>
      </c>
      <c r="G74" s="4">
        <v>0.19097222222222221</v>
      </c>
      <c r="H74" s="4">
        <v>0.52430555555555558</v>
      </c>
      <c r="I74" s="4">
        <v>0.85069444444444442</v>
      </c>
      <c r="J74" s="4">
        <v>0.20833333333333334</v>
      </c>
      <c r="K74" s="4">
        <v>0.20833333333333334</v>
      </c>
      <c r="L74" s="4">
        <v>0.20833333333333334</v>
      </c>
      <c r="M74" s="4">
        <v>0.20833333333333334</v>
      </c>
      <c r="P74" s="23"/>
    </row>
    <row r="75" spans="1:24" hidden="1" x14ac:dyDescent="0.25">
      <c r="A75" t="str">
        <f t="shared" si="2"/>
        <v>0890</v>
      </c>
      <c r="B75" s="17" t="s">
        <v>41</v>
      </c>
      <c r="C75" t="s">
        <v>371</v>
      </c>
      <c r="D75" s="3" t="s">
        <v>304</v>
      </c>
      <c r="E75" s="9" t="str">
        <f>VLOOKUP(D75,zastavky!C:D,2,0)</f>
        <v>90</v>
      </c>
      <c r="F75" t="s">
        <v>459</v>
      </c>
      <c r="G75" s="4">
        <v>0.2013888888888889</v>
      </c>
      <c r="H75" s="4">
        <v>0.53472222222222221</v>
      </c>
      <c r="I75" s="4">
        <v>0.86805555555555558</v>
      </c>
      <c r="J75" s="4">
        <v>0.20833333333333334</v>
      </c>
      <c r="K75" s="4">
        <v>0.20833333333333334</v>
      </c>
      <c r="L75" s="4">
        <v>0.20833333333333334</v>
      </c>
      <c r="M75" s="4">
        <v>0.20833333333333334</v>
      </c>
      <c r="P75" s="23"/>
    </row>
    <row r="76" spans="1:24" hidden="1" x14ac:dyDescent="0.25">
      <c r="A76" t="str">
        <f t="shared" si="2"/>
        <v>0882</v>
      </c>
      <c r="B76" s="17" t="s">
        <v>41</v>
      </c>
      <c r="C76" t="s">
        <v>371</v>
      </c>
      <c r="D76" s="3" t="s">
        <v>281</v>
      </c>
      <c r="E76" s="9" t="str">
        <f>VLOOKUP(D76,zastavky!C:D,2,0)</f>
        <v>82</v>
      </c>
      <c r="F76" t="s">
        <v>460</v>
      </c>
      <c r="G76" s="4">
        <v>0.2048611111111111</v>
      </c>
      <c r="H76" s="4">
        <v>0.53819444444444442</v>
      </c>
      <c r="I76" s="4">
        <v>0.87152777777777779</v>
      </c>
      <c r="J76" s="4">
        <v>0.20833333333333334</v>
      </c>
      <c r="K76" s="4">
        <v>0.20833333333333334</v>
      </c>
      <c r="L76" s="4">
        <v>0.20833333333333334</v>
      </c>
      <c r="M76" s="4">
        <v>0.20833333333333334</v>
      </c>
      <c r="P76" s="23"/>
    </row>
    <row r="77" spans="1:24" hidden="1" x14ac:dyDescent="0.25">
      <c r="A77" t="str">
        <f t="shared" si="2"/>
        <v>09107</v>
      </c>
      <c r="B77" s="17" t="s">
        <v>44</v>
      </c>
      <c r="C77" t="s">
        <v>373</v>
      </c>
      <c r="D77" s="3" t="s">
        <v>352</v>
      </c>
      <c r="E77" s="9" t="str">
        <f>VLOOKUP(D77,zastavky!C:D,2,0)</f>
        <v>107</v>
      </c>
      <c r="F77" t="s">
        <v>461</v>
      </c>
      <c r="G77" s="4">
        <v>0.18402777777777779</v>
      </c>
      <c r="H77" s="4">
        <v>0.51736111111111116</v>
      </c>
      <c r="I77" s="4">
        <v>0.85069444444444442</v>
      </c>
      <c r="J77" s="4">
        <v>0.20833333333333334</v>
      </c>
      <c r="K77" s="4">
        <v>0.20833333333333334</v>
      </c>
      <c r="L77" s="4">
        <v>0.20833333333333334</v>
      </c>
      <c r="M77" s="4">
        <v>0.20833333333333334</v>
      </c>
    </row>
    <row r="78" spans="1:24" hidden="1" x14ac:dyDescent="0.25">
      <c r="A78" t="str">
        <f t="shared" si="2"/>
        <v>09100</v>
      </c>
      <c r="B78" s="17" t="s">
        <v>44</v>
      </c>
      <c r="C78" t="s">
        <v>373</v>
      </c>
      <c r="D78" s="3" t="s">
        <v>332</v>
      </c>
      <c r="E78" s="9" t="str">
        <f>VLOOKUP(D78,zastavky!C:D,2,0)</f>
        <v>100</v>
      </c>
      <c r="F78" t="s">
        <v>462</v>
      </c>
      <c r="G78" s="4">
        <v>0.1875</v>
      </c>
      <c r="H78" s="4">
        <v>0.52083333333333337</v>
      </c>
      <c r="I78" s="4">
        <v>0.85416666666666663</v>
      </c>
      <c r="J78" s="4">
        <v>0.20833333333333334</v>
      </c>
      <c r="K78" s="4">
        <v>0.20833333333333334</v>
      </c>
      <c r="L78" s="4">
        <v>0.20833333333333334</v>
      </c>
      <c r="M78" s="4">
        <v>0.20833333333333334</v>
      </c>
    </row>
    <row r="79" spans="1:24" hidden="1" x14ac:dyDescent="0.25">
      <c r="A79" t="str">
        <f t="shared" ref="A79:A86" si="4">B79&amp;E79</f>
        <v>09101</v>
      </c>
      <c r="B79" s="17" t="s">
        <v>44</v>
      </c>
      <c r="C79" t="s">
        <v>373</v>
      </c>
      <c r="D79" s="3" t="s">
        <v>334</v>
      </c>
      <c r="E79" s="9" t="str">
        <f>VLOOKUP(D79,zastavky!C:D,2,0)</f>
        <v>101</v>
      </c>
      <c r="F79" t="s">
        <v>463</v>
      </c>
      <c r="G79" s="4">
        <v>0.18958333333333333</v>
      </c>
      <c r="H79" s="4">
        <v>0.5229166666666667</v>
      </c>
      <c r="I79" s="4">
        <v>0.85624999999999996</v>
      </c>
      <c r="J79" s="4">
        <v>0.20833333333333334</v>
      </c>
      <c r="K79" s="4">
        <v>0.20833333333333334</v>
      </c>
      <c r="L79" s="4">
        <v>0.20833333333333334</v>
      </c>
      <c r="M79" s="4">
        <v>0.20833333333333334</v>
      </c>
    </row>
    <row r="80" spans="1:24" hidden="1" x14ac:dyDescent="0.25">
      <c r="A80" t="str">
        <f t="shared" si="4"/>
        <v>0939</v>
      </c>
      <c r="B80" s="17" t="s">
        <v>44</v>
      </c>
      <c r="C80" t="s">
        <v>373</v>
      </c>
      <c r="D80" s="3" t="s">
        <v>140</v>
      </c>
      <c r="E80" s="9" t="str">
        <f>VLOOKUP(D80,zastavky!C:D,2,0)</f>
        <v>39</v>
      </c>
      <c r="F80" t="s">
        <v>464</v>
      </c>
      <c r="G80" s="4">
        <v>0.19444444444444445</v>
      </c>
      <c r="H80" s="4">
        <v>0.52777777777777779</v>
      </c>
      <c r="I80" s="4">
        <v>0.86111111111111116</v>
      </c>
      <c r="J80" s="4">
        <v>0.20833333333333334</v>
      </c>
      <c r="K80" s="4">
        <v>0.20833333333333334</v>
      </c>
      <c r="L80" s="4">
        <v>0.20833333333333334</v>
      </c>
      <c r="M80" s="4">
        <v>0.20833333333333334</v>
      </c>
    </row>
    <row r="81" spans="1:13" hidden="1" x14ac:dyDescent="0.25">
      <c r="A81" t="str">
        <f t="shared" si="4"/>
        <v>0917</v>
      </c>
      <c r="B81" s="17" t="s">
        <v>44</v>
      </c>
      <c r="C81" t="s">
        <v>373</v>
      </c>
      <c r="D81" s="3" t="s">
        <v>75</v>
      </c>
      <c r="E81" s="9" t="str">
        <f>VLOOKUP(D81,zastavky!C:D,2,0)</f>
        <v>17</v>
      </c>
      <c r="F81" t="s">
        <v>465</v>
      </c>
      <c r="G81" s="4">
        <v>0.19791666666666666</v>
      </c>
      <c r="H81" s="4">
        <v>0.53125</v>
      </c>
      <c r="I81" s="4">
        <v>0.86458333333333337</v>
      </c>
      <c r="J81" s="4">
        <v>0.20833333333333334</v>
      </c>
      <c r="K81" s="4">
        <v>0.20833333333333334</v>
      </c>
      <c r="L81" s="4">
        <v>0.20833333333333334</v>
      </c>
      <c r="M81" s="4">
        <v>0.20833333333333334</v>
      </c>
    </row>
    <row r="82" spans="1:13" hidden="1" x14ac:dyDescent="0.25">
      <c r="A82" t="str">
        <f t="shared" si="4"/>
        <v>0933</v>
      </c>
      <c r="B82" s="17" t="s">
        <v>44</v>
      </c>
      <c r="C82" t="s">
        <v>373</v>
      </c>
      <c r="D82" s="3" t="s">
        <v>122</v>
      </c>
      <c r="E82" s="9" t="str">
        <f>VLOOKUP(D82,zastavky!C:D,2,0)</f>
        <v>33</v>
      </c>
      <c r="F82" t="s">
        <v>466</v>
      </c>
      <c r="G82" s="4">
        <v>0.2</v>
      </c>
      <c r="H82" s="4">
        <v>0.53333333333333333</v>
      </c>
      <c r="I82" s="4">
        <v>0.8666666666666667</v>
      </c>
      <c r="J82" s="4">
        <v>0.20833333333333334</v>
      </c>
      <c r="K82" s="4">
        <v>0.20833333333333334</v>
      </c>
      <c r="L82" s="4">
        <v>0.20833333333333334</v>
      </c>
      <c r="M82" s="4">
        <v>0.20833333333333334</v>
      </c>
    </row>
    <row r="83" spans="1:13" hidden="1" x14ac:dyDescent="0.25">
      <c r="A83" t="str">
        <f t="shared" si="4"/>
        <v>0925</v>
      </c>
      <c r="B83" s="17" t="s">
        <v>44</v>
      </c>
      <c r="C83" t="s">
        <v>373</v>
      </c>
      <c r="D83" s="3" t="s">
        <v>98</v>
      </c>
      <c r="E83" s="9" t="str">
        <f>VLOOKUP(D83,zastavky!C:D,2,0)</f>
        <v>25</v>
      </c>
      <c r="F83" t="s">
        <v>467</v>
      </c>
      <c r="G83" s="4">
        <v>0.2013888888888889</v>
      </c>
      <c r="H83" s="4">
        <v>0.53472222222222221</v>
      </c>
      <c r="I83" s="4">
        <v>0.86805555555555558</v>
      </c>
      <c r="J83" s="4">
        <v>0.20833333333333334</v>
      </c>
      <c r="K83" s="4">
        <v>0.20833333333333334</v>
      </c>
      <c r="L83" s="4">
        <v>0.20833333333333334</v>
      </c>
      <c r="M83" s="4">
        <v>0.20833333333333334</v>
      </c>
    </row>
    <row r="84" spans="1:13" hidden="1" x14ac:dyDescent="0.25">
      <c r="A84" t="str">
        <f t="shared" si="4"/>
        <v>0918</v>
      </c>
      <c r="B84" s="17" t="s">
        <v>44</v>
      </c>
      <c r="C84" t="s">
        <v>373</v>
      </c>
      <c r="D84" s="3" t="s">
        <v>78</v>
      </c>
      <c r="E84" s="9" t="str">
        <f>VLOOKUP(D84,zastavky!C:D,2,0)</f>
        <v>18</v>
      </c>
      <c r="F84" t="s">
        <v>468</v>
      </c>
      <c r="G84" s="4">
        <v>0.20277777777777778</v>
      </c>
      <c r="H84" s="4">
        <v>0.53611111111111109</v>
      </c>
      <c r="I84" s="4">
        <v>0.86944444444444446</v>
      </c>
      <c r="J84" s="4">
        <v>0.20833333333333334</v>
      </c>
      <c r="K84" s="4">
        <v>0.20833333333333334</v>
      </c>
      <c r="L84" s="4">
        <v>0.20833333333333334</v>
      </c>
      <c r="M84" s="4">
        <v>0.20833333333333334</v>
      </c>
    </row>
    <row r="85" spans="1:13" hidden="1" x14ac:dyDescent="0.25">
      <c r="A85" t="str">
        <f t="shared" si="4"/>
        <v>0921</v>
      </c>
      <c r="B85" s="17" t="s">
        <v>44</v>
      </c>
      <c r="C85" t="s">
        <v>373</v>
      </c>
      <c r="D85" s="3" t="s">
        <v>86</v>
      </c>
      <c r="E85" s="9" t="str">
        <f>VLOOKUP(D85,zastavky!C:D,2,0)</f>
        <v>21</v>
      </c>
      <c r="F85" t="s">
        <v>469</v>
      </c>
      <c r="G85" s="4">
        <v>0.20416666666666666</v>
      </c>
      <c r="H85" s="4">
        <v>0.53749999999999998</v>
      </c>
      <c r="I85" s="4">
        <v>0.87083333333333335</v>
      </c>
      <c r="J85" s="4">
        <v>0.20833333333333334</v>
      </c>
      <c r="K85" s="4">
        <v>0.20833333333333334</v>
      </c>
      <c r="L85" s="4">
        <v>0.20833333333333334</v>
      </c>
      <c r="M85" s="4">
        <v>0.20833333333333334</v>
      </c>
    </row>
    <row r="86" spans="1:13" hidden="1" x14ac:dyDescent="0.25">
      <c r="A86" t="str">
        <f t="shared" si="4"/>
        <v>0928</v>
      </c>
      <c r="B86" s="17" t="s">
        <v>44</v>
      </c>
      <c r="C86" t="s">
        <v>373</v>
      </c>
      <c r="D86" s="3" t="s">
        <v>107</v>
      </c>
      <c r="E86" s="9" t="str">
        <f>VLOOKUP(D86,zastavky!C:D,2,0)</f>
        <v>28</v>
      </c>
      <c r="F86" t="s">
        <v>470</v>
      </c>
      <c r="G86" s="4">
        <v>0.20694444444444443</v>
      </c>
      <c r="H86" s="4">
        <v>0.54027777777777775</v>
      </c>
      <c r="I86" s="4">
        <v>0.87361111111111112</v>
      </c>
      <c r="J86" s="4">
        <v>0.20833333333333334</v>
      </c>
      <c r="K86" s="4">
        <v>0.20833333333333334</v>
      </c>
      <c r="L86" s="4">
        <v>0.20833333333333334</v>
      </c>
      <c r="M86" s="4">
        <v>0.20833333333333334</v>
      </c>
    </row>
    <row r="87" spans="1:13" hidden="1" x14ac:dyDescent="0.25">
      <c r="A87" t="str">
        <f t="shared" ref="A87:A119" si="5">B87&amp;E87</f>
        <v>10104</v>
      </c>
      <c r="B87" s="17" t="s">
        <v>48</v>
      </c>
      <c r="C87" t="s">
        <v>375</v>
      </c>
      <c r="D87" s="3" t="s">
        <v>343</v>
      </c>
      <c r="E87" s="9" t="str">
        <f>VLOOKUP(D87,zastavky!C:D,2,0)</f>
        <v>104</v>
      </c>
      <c r="F87" t="s">
        <v>474</v>
      </c>
      <c r="G87" s="4">
        <v>0.15763888888888888</v>
      </c>
      <c r="H87" s="4">
        <v>0.4909722222222222</v>
      </c>
      <c r="I87" s="4">
        <v>0.82430555555555551</v>
      </c>
      <c r="J87" s="4">
        <v>0.20833333333333334</v>
      </c>
      <c r="K87" s="4">
        <v>0.20833333333333334</v>
      </c>
      <c r="L87" s="4">
        <v>0.20833333333333334</v>
      </c>
      <c r="M87" s="4">
        <v>0.20833333333333334</v>
      </c>
    </row>
    <row r="88" spans="1:13" hidden="1" x14ac:dyDescent="0.25">
      <c r="A88" t="str">
        <f t="shared" si="5"/>
        <v>10101</v>
      </c>
      <c r="B88" s="17" t="s">
        <v>48</v>
      </c>
      <c r="C88" t="s">
        <v>375</v>
      </c>
      <c r="D88" s="3" t="s">
        <v>334</v>
      </c>
      <c r="E88" s="9" t="str">
        <f>VLOOKUP(D88,zastavky!C:D,2,0)</f>
        <v>101</v>
      </c>
      <c r="F88" t="s">
        <v>475</v>
      </c>
      <c r="G88" s="4">
        <v>0.15972222222222221</v>
      </c>
      <c r="H88" s="4">
        <v>0.49305555555555558</v>
      </c>
      <c r="I88" s="4">
        <v>0.82638888888888884</v>
      </c>
      <c r="J88" s="4">
        <v>0.20833333333333334</v>
      </c>
      <c r="K88" s="4">
        <v>0.20833333333333334</v>
      </c>
      <c r="L88" s="4">
        <v>0.20833333333333334</v>
      </c>
      <c r="M88" s="4">
        <v>0.20833333333333334</v>
      </c>
    </row>
    <row r="89" spans="1:13" hidden="1" x14ac:dyDescent="0.25">
      <c r="A89" t="str">
        <f t="shared" si="5"/>
        <v>1036</v>
      </c>
      <c r="B89" s="17" t="s">
        <v>48</v>
      </c>
      <c r="C89" t="s">
        <v>375</v>
      </c>
      <c r="D89" s="3" t="s">
        <v>131</v>
      </c>
      <c r="E89" s="9" t="str">
        <f>VLOOKUP(D89,zastavky!C:D,2,0)</f>
        <v>36</v>
      </c>
      <c r="F89" t="s">
        <v>476</v>
      </c>
      <c r="G89" s="4">
        <v>0.16527777777777777</v>
      </c>
      <c r="H89" s="4">
        <v>0.49861111111111112</v>
      </c>
      <c r="I89" s="4">
        <v>0.83194444444444449</v>
      </c>
      <c r="J89" s="4">
        <v>0.20833333333333334</v>
      </c>
      <c r="K89" s="4">
        <v>0.20833333333333334</v>
      </c>
      <c r="L89" s="4">
        <v>0.20833333333333334</v>
      </c>
      <c r="M89" s="4">
        <v>0.20833333333333334</v>
      </c>
    </row>
    <row r="90" spans="1:13" hidden="1" x14ac:dyDescent="0.25">
      <c r="A90" t="str">
        <f t="shared" si="5"/>
        <v>1038</v>
      </c>
      <c r="B90" s="17" t="s">
        <v>48</v>
      </c>
      <c r="C90" t="s">
        <v>375</v>
      </c>
      <c r="D90" s="3" t="s">
        <v>137</v>
      </c>
      <c r="E90" s="9" t="str">
        <f>VLOOKUP(D90,zastavky!C:D,2,0)</f>
        <v>38</v>
      </c>
      <c r="F90" t="s">
        <v>472</v>
      </c>
      <c r="G90" s="4">
        <v>0.16666666666666666</v>
      </c>
      <c r="H90" s="4">
        <v>0.5</v>
      </c>
      <c r="I90" s="4">
        <v>0.83333333333333337</v>
      </c>
      <c r="J90" s="4">
        <v>0.20833333333333334</v>
      </c>
      <c r="K90" s="4">
        <v>0.20833333333333334</v>
      </c>
      <c r="L90" s="4">
        <v>0.20833333333333334</v>
      </c>
      <c r="M90" s="4">
        <v>0.20833333333333334</v>
      </c>
    </row>
    <row r="91" spans="1:13" hidden="1" x14ac:dyDescent="0.25">
      <c r="A91" t="str">
        <f t="shared" si="5"/>
        <v>1017</v>
      </c>
      <c r="B91" s="17" t="s">
        <v>48</v>
      </c>
      <c r="C91" t="s">
        <v>375</v>
      </c>
      <c r="D91" s="3" t="s">
        <v>75</v>
      </c>
      <c r="E91" s="9" t="str">
        <f>VLOOKUP(D91,zastavky!C:D,2,0)</f>
        <v>17</v>
      </c>
      <c r="F91" t="s">
        <v>477</v>
      </c>
      <c r="G91" s="4">
        <v>0.16805555555555557</v>
      </c>
      <c r="H91" s="4">
        <v>0.50138888888888888</v>
      </c>
      <c r="I91" s="4">
        <v>0.83472222222222225</v>
      </c>
      <c r="J91" s="4">
        <v>0.20833333333333334</v>
      </c>
      <c r="K91" s="4">
        <v>0.20833333333333334</v>
      </c>
      <c r="L91" s="4">
        <v>0.20833333333333334</v>
      </c>
      <c r="M91" s="4">
        <v>0.20833333333333334</v>
      </c>
    </row>
    <row r="92" spans="1:13" hidden="1" x14ac:dyDescent="0.25">
      <c r="A92" t="str">
        <f t="shared" si="5"/>
        <v>1023</v>
      </c>
      <c r="B92" s="17" t="s">
        <v>48</v>
      </c>
      <c r="C92" t="s">
        <v>375</v>
      </c>
      <c r="D92" s="3" t="s">
        <v>92</v>
      </c>
      <c r="E92" s="9" t="str">
        <f>VLOOKUP(D92,zastavky!C:D,2,0)</f>
        <v>23</v>
      </c>
      <c r="F92" t="s">
        <v>478</v>
      </c>
      <c r="G92" s="4">
        <v>0.1736111111111111</v>
      </c>
      <c r="H92" s="4">
        <v>0.50694444444444442</v>
      </c>
      <c r="I92" s="4">
        <v>0.84027777777777779</v>
      </c>
      <c r="J92" s="4">
        <v>0.20833333333333334</v>
      </c>
      <c r="K92" s="4">
        <v>0.20833333333333334</v>
      </c>
      <c r="L92" s="4">
        <v>0.20833333333333334</v>
      </c>
      <c r="M92" s="4">
        <v>0.20833333333333334</v>
      </c>
    </row>
    <row r="93" spans="1:13" hidden="1" x14ac:dyDescent="0.25">
      <c r="A93" t="str">
        <f t="shared" si="5"/>
        <v>1049</v>
      </c>
      <c r="B93" s="17" t="s">
        <v>48</v>
      </c>
      <c r="C93" t="s">
        <v>375</v>
      </c>
      <c r="D93" s="3" t="s">
        <v>170</v>
      </c>
      <c r="E93" s="9" t="str">
        <f>VLOOKUP(D93,zastavky!C:D,2,0)</f>
        <v>49</v>
      </c>
      <c r="F93" t="s">
        <v>479</v>
      </c>
      <c r="G93" s="4">
        <v>0.17499999999999999</v>
      </c>
      <c r="H93" s="4">
        <v>0.5083333333333333</v>
      </c>
      <c r="I93" s="4">
        <v>0.84166666666666667</v>
      </c>
      <c r="J93" s="4">
        <v>0.20833333333333334</v>
      </c>
      <c r="K93" s="4">
        <v>0.20833333333333334</v>
      </c>
      <c r="L93" s="4">
        <v>0.20833333333333334</v>
      </c>
      <c r="M93" s="4">
        <v>0.20833333333333334</v>
      </c>
    </row>
    <row r="94" spans="1:13" hidden="1" x14ac:dyDescent="0.25">
      <c r="A94" t="str">
        <f t="shared" si="5"/>
        <v>1019</v>
      </c>
      <c r="B94" s="17" t="s">
        <v>48</v>
      </c>
      <c r="C94" t="s">
        <v>375</v>
      </c>
      <c r="D94" s="3" t="s">
        <v>80</v>
      </c>
      <c r="E94" s="9" t="str">
        <f>VLOOKUP(D94,zastavky!C:D,2,0)</f>
        <v>19</v>
      </c>
      <c r="F94" t="s">
        <v>480</v>
      </c>
      <c r="G94" s="4">
        <v>0.1763888888888889</v>
      </c>
      <c r="H94" s="4">
        <v>0.50972222222222219</v>
      </c>
      <c r="I94" s="4">
        <v>0.84305555555555556</v>
      </c>
      <c r="J94" s="4">
        <v>0.20833333333333334</v>
      </c>
      <c r="K94" s="4">
        <v>0.20833333333333334</v>
      </c>
      <c r="L94" s="4">
        <v>0.20833333333333334</v>
      </c>
      <c r="M94" s="4">
        <v>0.20833333333333334</v>
      </c>
    </row>
    <row r="95" spans="1:13" hidden="1" x14ac:dyDescent="0.25">
      <c r="A95" t="str">
        <f t="shared" si="5"/>
        <v>1020</v>
      </c>
      <c r="B95" s="17" t="s">
        <v>48</v>
      </c>
      <c r="C95" t="s">
        <v>375</v>
      </c>
      <c r="D95" s="3" t="s">
        <v>83</v>
      </c>
      <c r="E95" s="9" t="str">
        <f>VLOOKUP(D95,zastavky!C:D,2,0)</f>
        <v>20</v>
      </c>
      <c r="F95" t="s">
        <v>481</v>
      </c>
      <c r="G95" s="4">
        <v>0.17708333333333334</v>
      </c>
      <c r="H95" s="4">
        <v>0.51041666666666663</v>
      </c>
      <c r="I95" s="4">
        <v>0.84375</v>
      </c>
      <c r="J95" s="4">
        <v>0.20833333333333334</v>
      </c>
      <c r="K95" s="4">
        <v>0.20833333333333334</v>
      </c>
      <c r="L95" s="4">
        <v>0.20833333333333334</v>
      </c>
      <c r="M95" s="4">
        <v>0.20833333333333334</v>
      </c>
    </row>
    <row r="96" spans="1:13" hidden="1" x14ac:dyDescent="0.25">
      <c r="A96" t="str">
        <f t="shared" si="5"/>
        <v>1032</v>
      </c>
      <c r="B96" s="17" t="s">
        <v>48</v>
      </c>
      <c r="C96" t="s">
        <v>375</v>
      </c>
      <c r="D96" s="3" t="s">
        <v>119</v>
      </c>
      <c r="E96" s="9" t="str">
        <f>VLOOKUP(D96,zastavky!C:D,2,0)</f>
        <v>32</v>
      </c>
      <c r="F96" t="s">
        <v>482</v>
      </c>
      <c r="G96" s="4">
        <v>0.17847222222222223</v>
      </c>
      <c r="H96" s="4">
        <v>0.51180555555555551</v>
      </c>
      <c r="I96" s="4">
        <v>0.84513888888888888</v>
      </c>
      <c r="J96" s="4">
        <v>0.20833333333333334</v>
      </c>
      <c r="K96" s="4">
        <v>0.20833333333333334</v>
      </c>
      <c r="L96" s="4">
        <v>0.20833333333333334</v>
      </c>
      <c r="M96" s="4">
        <v>0.20833333333333334</v>
      </c>
    </row>
    <row r="97" spans="1:13" hidden="1" x14ac:dyDescent="0.25">
      <c r="A97" t="str">
        <f t="shared" si="5"/>
        <v>1035</v>
      </c>
      <c r="B97" s="17" t="s">
        <v>48</v>
      </c>
      <c r="C97" t="s">
        <v>375</v>
      </c>
      <c r="D97" s="3" t="s">
        <v>128</v>
      </c>
      <c r="E97" s="9" t="str">
        <f>VLOOKUP(D97,zastavky!C:D,2,0)</f>
        <v>35</v>
      </c>
      <c r="F97" t="s">
        <v>483</v>
      </c>
      <c r="G97" s="4">
        <v>0.18055555555555555</v>
      </c>
      <c r="H97" s="4">
        <v>0.51388888888888884</v>
      </c>
      <c r="I97" s="4">
        <v>0.84722222222222221</v>
      </c>
      <c r="J97" s="4">
        <v>0.20833333333333334</v>
      </c>
      <c r="K97" s="4">
        <v>0.20833333333333334</v>
      </c>
      <c r="L97" s="4">
        <v>0.20833333333333334</v>
      </c>
      <c r="M97" s="4">
        <v>0.20833333333333334</v>
      </c>
    </row>
    <row r="98" spans="1:13" hidden="1" x14ac:dyDescent="0.25">
      <c r="A98" t="str">
        <f>B98&amp;E98</f>
        <v>1034</v>
      </c>
      <c r="B98" s="17" t="s">
        <v>48</v>
      </c>
      <c r="C98" t="s">
        <v>375</v>
      </c>
      <c r="D98" s="3" t="s">
        <v>125</v>
      </c>
      <c r="E98" s="9" t="str">
        <f>VLOOKUP(D98,zastavky!C:D,2,0)</f>
        <v>34</v>
      </c>
      <c r="G98" s="4">
        <v>0.18402777777777779</v>
      </c>
      <c r="H98" s="4">
        <v>0.51736111111111116</v>
      </c>
      <c r="I98" s="4">
        <v>0.85069444444444442</v>
      </c>
      <c r="J98" s="4"/>
      <c r="K98" s="4"/>
      <c r="L98" s="4"/>
      <c r="M98" s="4"/>
    </row>
    <row r="99" spans="1:13" hidden="1" x14ac:dyDescent="0.25">
      <c r="A99" t="str">
        <f t="shared" si="5"/>
        <v>1057</v>
      </c>
      <c r="B99" s="17" t="s">
        <v>48</v>
      </c>
      <c r="C99" t="s">
        <v>375</v>
      </c>
      <c r="D99" s="3" t="s">
        <v>197</v>
      </c>
      <c r="E99" s="9" t="str">
        <f>VLOOKUP(D99,zastavky!C:D,2,0)</f>
        <v>57</v>
      </c>
      <c r="F99" t="s">
        <v>484</v>
      </c>
      <c r="G99" s="4">
        <v>0.18472222222222223</v>
      </c>
      <c r="H99" s="4">
        <v>0.5180555555555556</v>
      </c>
      <c r="I99" s="4">
        <v>0.85138888888888886</v>
      </c>
      <c r="J99" s="4">
        <v>0.20833333333333334</v>
      </c>
      <c r="K99" s="4">
        <v>0.20833333333333334</v>
      </c>
      <c r="L99" s="4">
        <v>0.20833333333333334</v>
      </c>
      <c r="M99" s="4">
        <v>0.20833333333333334</v>
      </c>
    </row>
    <row r="100" spans="1:13" hidden="1" x14ac:dyDescent="0.25">
      <c r="A100" t="str">
        <f t="shared" si="5"/>
        <v>1098</v>
      </c>
      <c r="B100" s="17" t="s">
        <v>48</v>
      </c>
      <c r="C100" t="s">
        <v>375</v>
      </c>
      <c r="D100" s="3" t="s">
        <v>325</v>
      </c>
      <c r="E100" s="9" t="str">
        <f>VLOOKUP(D100,zastavky!C:D,2,0)</f>
        <v>98</v>
      </c>
      <c r="F100" t="s">
        <v>426</v>
      </c>
      <c r="G100" s="4">
        <v>0.18611111111111112</v>
      </c>
      <c r="H100" s="4">
        <v>0.51944444444444449</v>
      </c>
      <c r="I100" s="4">
        <v>0.85277777777777775</v>
      </c>
      <c r="J100" s="4">
        <v>0.20833333333333334</v>
      </c>
      <c r="K100" s="4">
        <v>0.20833333333333334</v>
      </c>
      <c r="L100" s="4">
        <v>0.20833333333333334</v>
      </c>
      <c r="M100" s="4">
        <v>0.20833333333333334</v>
      </c>
    </row>
    <row r="101" spans="1:13" hidden="1" x14ac:dyDescent="0.25">
      <c r="A101" t="str">
        <f t="shared" si="5"/>
        <v>1013</v>
      </c>
      <c r="B101" s="17" t="s">
        <v>48</v>
      </c>
      <c r="C101" t="s">
        <v>375</v>
      </c>
      <c r="D101" s="3" t="s">
        <v>61</v>
      </c>
      <c r="E101" s="9" t="str">
        <f>VLOOKUP(D101,zastavky!C:D,2,0)</f>
        <v>13</v>
      </c>
      <c r="F101" t="s">
        <v>485</v>
      </c>
      <c r="G101" s="4">
        <v>0.19444444444444445</v>
      </c>
      <c r="H101" s="4">
        <v>0.52777777777777779</v>
      </c>
      <c r="I101" s="4">
        <v>0.86111111111111116</v>
      </c>
      <c r="J101" s="4">
        <v>0.20833333333333334</v>
      </c>
      <c r="K101" s="4">
        <v>0.20833333333333334</v>
      </c>
      <c r="L101" s="4">
        <v>0.20833333333333334</v>
      </c>
      <c r="M101" s="4">
        <v>0.20833333333333334</v>
      </c>
    </row>
    <row r="102" spans="1:13" hidden="1" x14ac:dyDescent="0.25">
      <c r="A102" t="str">
        <f t="shared" si="5"/>
        <v>1003</v>
      </c>
      <c r="B102" s="17" t="s">
        <v>48</v>
      </c>
      <c r="C102" t="s">
        <v>375</v>
      </c>
      <c r="D102" s="3" t="s">
        <v>27</v>
      </c>
      <c r="E102" s="9" t="str">
        <f>VLOOKUP(D102,zastavky!C:D,2,0)</f>
        <v>03</v>
      </c>
      <c r="F102" t="s">
        <v>486</v>
      </c>
      <c r="G102" s="4">
        <v>0.19791666666666666</v>
      </c>
      <c r="H102" s="4">
        <v>0.53125</v>
      </c>
      <c r="I102" s="4">
        <v>0.86458333333333337</v>
      </c>
      <c r="J102" s="4">
        <v>0.20833333333333334</v>
      </c>
      <c r="K102" s="4">
        <v>0.20833333333333334</v>
      </c>
      <c r="L102" s="4">
        <v>0.20833333333333334</v>
      </c>
      <c r="M102" s="4">
        <v>0.20833333333333334</v>
      </c>
    </row>
    <row r="103" spans="1:13" hidden="1" x14ac:dyDescent="0.25">
      <c r="A103" t="str">
        <f t="shared" si="5"/>
        <v>1004</v>
      </c>
      <c r="B103" s="17" t="s">
        <v>48</v>
      </c>
      <c r="C103" t="s">
        <v>375</v>
      </c>
      <c r="D103" s="3" t="s">
        <v>30</v>
      </c>
      <c r="E103" s="9" t="str">
        <f>VLOOKUP(D103,zastavky!C:D,2,0)</f>
        <v>04</v>
      </c>
      <c r="F103" t="s">
        <v>487</v>
      </c>
      <c r="G103" s="4">
        <v>0.19930555555555557</v>
      </c>
      <c r="H103" s="4">
        <v>0.53263888888888888</v>
      </c>
      <c r="I103" s="4">
        <v>0.86597222222222225</v>
      </c>
      <c r="J103" s="4">
        <v>0.20833333333333334</v>
      </c>
      <c r="K103" s="4">
        <v>0.20833333333333334</v>
      </c>
      <c r="L103" s="4">
        <v>0.20833333333333334</v>
      </c>
      <c r="M103" s="4">
        <v>0.20833333333333334</v>
      </c>
    </row>
    <row r="104" spans="1:13" hidden="1" x14ac:dyDescent="0.25">
      <c r="A104" t="str">
        <f t="shared" si="5"/>
        <v>1005</v>
      </c>
      <c r="B104" s="17" t="s">
        <v>48</v>
      </c>
      <c r="C104" t="s">
        <v>375</v>
      </c>
      <c r="D104" s="3" t="s">
        <v>33</v>
      </c>
      <c r="E104" s="9" t="str">
        <f>VLOOKUP(D104,zastavky!C:D,2,0)</f>
        <v>05</v>
      </c>
      <c r="F104" t="s">
        <v>488</v>
      </c>
      <c r="G104" s="4">
        <v>0.2013888888888889</v>
      </c>
      <c r="H104" s="4">
        <v>0.53472222222222221</v>
      </c>
      <c r="I104" s="4">
        <v>0.86805555555555558</v>
      </c>
      <c r="J104" s="4">
        <v>0.20833333333333334</v>
      </c>
      <c r="K104" s="4">
        <v>0.20833333333333334</v>
      </c>
      <c r="L104" s="4">
        <v>0.20833333333333334</v>
      </c>
      <c r="M104" s="4">
        <v>0.20833333333333334</v>
      </c>
    </row>
    <row r="105" spans="1:13" hidden="1" x14ac:dyDescent="0.25">
      <c r="A105" t="str">
        <f t="shared" si="5"/>
        <v>11104</v>
      </c>
      <c r="B105" s="17" t="s">
        <v>52</v>
      </c>
      <c r="C105" t="s">
        <v>377</v>
      </c>
      <c r="D105" s="3" t="s">
        <v>343</v>
      </c>
      <c r="E105" s="9" t="str">
        <f>VLOOKUP(D105,zastavky!C:D,2,0)</f>
        <v>104</v>
      </c>
      <c r="F105" s="4" t="s">
        <v>489</v>
      </c>
      <c r="G105" s="4">
        <v>0.15763888888888888</v>
      </c>
      <c r="H105" s="4">
        <v>0.4909722222222222</v>
      </c>
      <c r="I105" s="4">
        <v>0.82430555555555551</v>
      </c>
      <c r="J105" s="4">
        <v>0.20833333333333334</v>
      </c>
      <c r="K105" s="4">
        <v>0.20833333333333334</v>
      </c>
      <c r="L105" s="4">
        <v>0.20833333333333334</v>
      </c>
      <c r="M105" s="4">
        <v>0.20833333333333334</v>
      </c>
    </row>
    <row r="106" spans="1:13" hidden="1" x14ac:dyDescent="0.25">
      <c r="A106" t="str">
        <f t="shared" si="5"/>
        <v>11101</v>
      </c>
      <c r="B106" s="17" t="s">
        <v>52</v>
      </c>
      <c r="C106" t="s">
        <v>377</v>
      </c>
      <c r="D106" s="3" t="s">
        <v>334</v>
      </c>
      <c r="E106" s="9" t="str">
        <f>VLOOKUP(D106,zastavky!C:D,2,0)</f>
        <v>101</v>
      </c>
      <c r="F106" s="4" t="s">
        <v>471</v>
      </c>
      <c r="G106" s="4">
        <v>0.15972222222222221</v>
      </c>
      <c r="H106" s="4">
        <v>0.49305555555555558</v>
      </c>
      <c r="I106" s="4">
        <v>0.82638888888888884</v>
      </c>
      <c r="J106" s="4">
        <v>0.20833333333333334</v>
      </c>
      <c r="K106" s="4">
        <v>0.20833333333333334</v>
      </c>
      <c r="L106" s="4">
        <v>0.20833333333333334</v>
      </c>
      <c r="M106" s="4">
        <v>0.20833333333333334</v>
      </c>
    </row>
    <row r="107" spans="1:13" hidden="1" x14ac:dyDescent="0.25">
      <c r="A107" t="str">
        <f t="shared" si="5"/>
        <v>1178</v>
      </c>
      <c r="B107" s="17" t="s">
        <v>52</v>
      </c>
      <c r="C107" t="s">
        <v>377</v>
      </c>
      <c r="D107" s="3" t="s">
        <v>256</v>
      </c>
      <c r="E107" s="9" t="str">
        <f>VLOOKUP(D107,zastavky!C:D,2,0)</f>
        <v>78</v>
      </c>
      <c r="F107" s="4" t="s">
        <v>507</v>
      </c>
      <c r="G107" s="4">
        <v>0.16319444444444445</v>
      </c>
      <c r="H107" s="4">
        <v>0.49652777777777779</v>
      </c>
      <c r="I107" s="4">
        <v>0.82986111111111116</v>
      </c>
      <c r="J107" s="4">
        <v>0.20833333333333334</v>
      </c>
      <c r="K107" s="4">
        <v>0.20833333333333334</v>
      </c>
      <c r="L107" s="4">
        <v>0.20833333333333334</v>
      </c>
      <c r="M107" s="4">
        <v>0.20833333333333334</v>
      </c>
    </row>
    <row r="108" spans="1:13" hidden="1" x14ac:dyDescent="0.25">
      <c r="A108" t="str">
        <f t="shared" si="5"/>
        <v>1177</v>
      </c>
      <c r="B108" s="17" t="s">
        <v>52</v>
      </c>
      <c r="C108" t="s">
        <v>377</v>
      </c>
      <c r="D108" s="3" t="s">
        <v>253</v>
      </c>
      <c r="E108" s="9" t="str">
        <f>VLOOKUP(D108,zastavky!C:D,2,0)</f>
        <v>77</v>
      </c>
      <c r="F108" s="4" t="s">
        <v>508</v>
      </c>
      <c r="G108" s="4">
        <v>0.16527777777777777</v>
      </c>
      <c r="H108" s="4">
        <v>0.49861111111111112</v>
      </c>
      <c r="I108" s="4">
        <v>0.83194444444444449</v>
      </c>
      <c r="J108" s="4">
        <v>0.20833333333333334</v>
      </c>
      <c r="K108" s="4">
        <v>0.20833333333333334</v>
      </c>
      <c r="L108" s="4">
        <v>0.20833333333333334</v>
      </c>
      <c r="M108" s="4">
        <v>0.20833333333333334</v>
      </c>
    </row>
    <row r="109" spans="1:13" hidden="1" x14ac:dyDescent="0.25">
      <c r="A109" t="str">
        <f t="shared" si="5"/>
        <v>1136</v>
      </c>
      <c r="B109" s="17" t="s">
        <v>52</v>
      </c>
      <c r="C109" t="s">
        <v>377</v>
      </c>
      <c r="D109" s="3" t="s">
        <v>131</v>
      </c>
      <c r="E109" s="9" t="str">
        <f>VLOOKUP(D109,zastavky!C:D,2,0)</f>
        <v>36</v>
      </c>
      <c r="F109" s="4" t="s">
        <v>476</v>
      </c>
      <c r="G109" s="4">
        <v>0.16527777777777777</v>
      </c>
      <c r="H109" s="4">
        <v>0.49861111111111112</v>
      </c>
      <c r="I109" s="4">
        <v>0.83194444444444449</v>
      </c>
      <c r="J109" s="4">
        <v>0.20833333333333334</v>
      </c>
      <c r="K109" s="4">
        <v>0.20833333333333334</v>
      </c>
      <c r="L109" s="4">
        <v>0.20833333333333334</v>
      </c>
      <c r="M109" s="4">
        <v>0.20833333333333334</v>
      </c>
    </row>
    <row r="110" spans="1:13" hidden="1" x14ac:dyDescent="0.25">
      <c r="A110" t="str">
        <f t="shared" si="5"/>
        <v>1138</v>
      </c>
      <c r="B110" s="17" t="s">
        <v>52</v>
      </c>
      <c r="C110" t="s">
        <v>377</v>
      </c>
      <c r="D110" s="3" t="s">
        <v>137</v>
      </c>
      <c r="E110" s="9" t="str">
        <f>VLOOKUP(D110,zastavky!C:D,2,0)</f>
        <v>38</v>
      </c>
      <c r="F110" s="4" t="s">
        <v>490</v>
      </c>
      <c r="G110" s="4">
        <v>0.16666666666666666</v>
      </c>
      <c r="H110" s="4">
        <v>0.5</v>
      </c>
      <c r="I110" s="4">
        <v>2.3148148148148149E-4</v>
      </c>
      <c r="J110" s="4">
        <v>0.20833333333333334</v>
      </c>
      <c r="K110" s="4">
        <v>0.20833333333333334</v>
      </c>
      <c r="L110" s="4">
        <v>0.20833333333333334</v>
      </c>
      <c r="M110" s="4">
        <v>0.20833333333333334</v>
      </c>
    </row>
    <row r="111" spans="1:13" hidden="1" x14ac:dyDescent="0.25">
      <c r="A111" t="str">
        <f t="shared" si="5"/>
        <v>1117</v>
      </c>
      <c r="B111" s="17" t="s">
        <v>52</v>
      </c>
      <c r="C111" t="s">
        <v>377</v>
      </c>
      <c r="D111" s="3" t="s">
        <v>75</v>
      </c>
      <c r="E111" s="9" t="str">
        <f>VLOOKUP(D111,zastavky!C:D,2,0)</f>
        <v>17</v>
      </c>
      <c r="F111" s="4" t="s">
        <v>491</v>
      </c>
      <c r="G111" s="4">
        <v>0.16805555555555557</v>
      </c>
      <c r="H111" s="4">
        <v>0.50138888888888888</v>
      </c>
      <c r="I111" s="4">
        <v>0.84722222222222221</v>
      </c>
      <c r="J111" s="4">
        <v>0.20833333333333334</v>
      </c>
      <c r="K111" s="4">
        <v>0.20833333333333334</v>
      </c>
      <c r="L111" s="4">
        <v>0.20833333333333334</v>
      </c>
      <c r="M111" s="4">
        <v>0.20833333333333334</v>
      </c>
    </row>
    <row r="112" spans="1:13" hidden="1" x14ac:dyDescent="0.25">
      <c r="A112" t="str">
        <f t="shared" si="5"/>
        <v>1173</v>
      </c>
      <c r="B112" s="17" t="s">
        <v>52</v>
      </c>
      <c r="C112" t="s">
        <v>377</v>
      </c>
      <c r="D112" s="3" t="s">
        <v>241</v>
      </c>
      <c r="E112" s="9" t="str">
        <f>VLOOKUP(D112,zastavky!C:D,2,0)</f>
        <v>73</v>
      </c>
      <c r="F112" s="4" t="s">
        <v>509</v>
      </c>
      <c r="G112" s="4">
        <v>0.16944444444444445</v>
      </c>
      <c r="H112" s="4">
        <v>0.50277777777777777</v>
      </c>
      <c r="I112" s="4">
        <v>0.83611111111111114</v>
      </c>
      <c r="J112" s="4">
        <v>0.20833333333333334</v>
      </c>
      <c r="K112" s="4">
        <v>0.20833333333333334</v>
      </c>
      <c r="L112" s="4">
        <v>0.20833333333333334</v>
      </c>
      <c r="M112" s="4">
        <v>0.20833333333333334</v>
      </c>
    </row>
    <row r="113" spans="1:16" hidden="1" x14ac:dyDescent="0.25">
      <c r="A113" t="str">
        <f t="shared" si="5"/>
        <v>1123</v>
      </c>
      <c r="B113" s="17" t="s">
        <v>52</v>
      </c>
      <c r="C113" t="s">
        <v>377</v>
      </c>
      <c r="D113" s="3" t="s">
        <v>92</v>
      </c>
      <c r="E113" s="9" t="str">
        <f>VLOOKUP(D113,zastavky!C:D,2,0)</f>
        <v>23</v>
      </c>
      <c r="F113" s="4" t="s">
        <v>510</v>
      </c>
      <c r="G113" s="4">
        <v>0.17222222222222222</v>
      </c>
      <c r="H113" s="4">
        <v>0.50555555555555554</v>
      </c>
      <c r="I113" s="4">
        <v>0.83888888888888891</v>
      </c>
      <c r="J113" s="4">
        <v>0.20833333333333334</v>
      </c>
      <c r="K113" s="4">
        <v>0.20833333333333334</v>
      </c>
      <c r="L113" s="4">
        <v>0.20833333333333334</v>
      </c>
      <c r="M113" s="4">
        <v>0.20833333333333334</v>
      </c>
    </row>
    <row r="114" spans="1:16" hidden="1" x14ac:dyDescent="0.25">
      <c r="A114" t="str">
        <f t="shared" si="5"/>
        <v>1149</v>
      </c>
      <c r="B114" s="17" t="s">
        <v>52</v>
      </c>
      <c r="C114" t="s">
        <v>377</v>
      </c>
      <c r="D114" s="3" t="s">
        <v>170</v>
      </c>
      <c r="E114" s="9" t="str">
        <f>VLOOKUP(D114,zastavky!C:D,2,0)</f>
        <v>49</v>
      </c>
      <c r="F114" s="4" t="s">
        <v>511</v>
      </c>
      <c r="G114" s="4">
        <v>0.1736111111111111</v>
      </c>
      <c r="H114" s="4">
        <v>0.50694444444444442</v>
      </c>
      <c r="I114" s="4">
        <v>0.84027777777777779</v>
      </c>
      <c r="J114" s="4">
        <v>0.20833333333333334</v>
      </c>
      <c r="K114" s="4">
        <v>0.20833333333333334</v>
      </c>
      <c r="L114" s="4">
        <v>0.20833333333333334</v>
      </c>
      <c r="M114" s="4">
        <v>0.20833333333333334</v>
      </c>
    </row>
    <row r="115" spans="1:16" hidden="1" x14ac:dyDescent="0.25">
      <c r="A115" t="str">
        <f t="shared" si="5"/>
        <v>1162</v>
      </c>
      <c r="B115" s="17" t="s">
        <v>52</v>
      </c>
      <c r="C115" t="s">
        <v>377</v>
      </c>
      <c r="D115" s="3" t="s">
        <v>215</v>
      </c>
      <c r="E115" s="9" t="str">
        <f>VLOOKUP(D115,zastavky!C:D,2,0)</f>
        <v>62</v>
      </c>
      <c r="F115" s="4" t="s">
        <v>512</v>
      </c>
      <c r="G115" s="4">
        <v>0.1736111111111111</v>
      </c>
      <c r="H115" s="4">
        <v>0.50694444444444442</v>
      </c>
      <c r="I115" s="4">
        <v>0.84027777777777779</v>
      </c>
      <c r="J115" s="4">
        <v>0.20833333333333334</v>
      </c>
      <c r="K115" s="4">
        <v>0.20833333333333334</v>
      </c>
      <c r="L115" s="4">
        <v>0.20833333333333334</v>
      </c>
      <c r="M115" s="4">
        <v>0.20833333333333334</v>
      </c>
    </row>
    <row r="116" spans="1:16" hidden="1" x14ac:dyDescent="0.25">
      <c r="A116" t="str">
        <f t="shared" si="5"/>
        <v>1119</v>
      </c>
      <c r="B116" s="17" t="s">
        <v>52</v>
      </c>
      <c r="C116" t="s">
        <v>377</v>
      </c>
      <c r="D116" s="3" t="s">
        <v>80</v>
      </c>
      <c r="E116" s="9" t="str">
        <f>VLOOKUP(D116,zastavky!C:D,2,0)</f>
        <v>19</v>
      </c>
      <c r="F116" s="4" t="s">
        <v>480</v>
      </c>
      <c r="G116" s="4">
        <v>0.17569444444444443</v>
      </c>
      <c r="H116" s="4">
        <v>0.50902777777777775</v>
      </c>
      <c r="I116" s="4">
        <v>0.84236111111111112</v>
      </c>
      <c r="J116" s="4">
        <v>0.20833333333333334</v>
      </c>
      <c r="K116" s="4">
        <v>0.20833333333333334</v>
      </c>
      <c r="L116" s="4">
        <v>0.20833333333333334</v>
      </c>
      <c r="M116" s="4">
        <v>0.20833333333333334</v>
      </c>
    </row>
    <row r="117" spans="1:16" hidden="1" x14ac:dyDescent="0.25">
      <c r="A117" t="str">
        <f t="shared" si="5"/>
        <v>1120</v>
      </c>
      <c r="B117" s="17" t="s">
        <v>52</v>
      </c>
      <c r="C117" t="s">
        <v>377</v>
      </c>
      <c r="D117" s="3" t="s">
        <v>83</v>
      </c>
      <c r="E117" s="9" t="str">
        <f>VLOOKUP(D117,zastavky!C:D,2,0)</f>
        <v>20</v>
      </c>
      <c r="F117" s="4" t="s">
        <v>481</v>
      </c>
      <c r="G117" s="4">
        <v>0.17708333333333334</v>
      </c>
      <c r="H117" s="4">
        <v>0.51041666666666663</v>
      </c>
      <c r="I117" s="4">
        <v>0.84375</v>
      </c>
      <c r="J117" s="4">
        <v>0.20833333333333334</v>
      </c>
      <c r="K117" s="4">
        <v>0.20833333333333334</v>
      </c>
      <c r="L117" s="4">
        <v>0.20833333333333334</v>
      </c>
      <c r="M117" s="4">
        <v>0.20833333333333334</v>
      </c>
    </row>
    <row r="118" spans="1:16" hidden="1" x14ac:dyDescent="0.25">
      <c r="A118" t="str">
        <f t="shared" si="5"/>
        <v>1132</v>
      </c>
      <c r="B118" s="17" t="s">
        <v>52</v>
      </c>
      <c r="C118" t="s">
        <v>377</v>
      </c>
      <c r="D118" s="3" t="s">
        <v>119</v>
      </c>
      <c r="E118" s="9" t="str">
        <f>VLOOKUP(D118,zastavky!C:D,2,0)</f>
        <v>32</v>
      </c>
      <c r="F118" s="4" t="s">
        <v>482</v>
      </c>
      <c r="G118" s="4">
        <v>0.17847222222222223</v>
      </c>
      <c r="H118" s="4">
        <v>0.51180555555555551</v>
      </c>
      <c r="I118" s="4">
        <v>0.84513888888888888</v>
      </c>
      <c r="J118" s="4">
        <v>0.20833333333333334</v>
      </c>
      <c r="K118" s="4">
        <v>0.20833333333333334</v>
      </c>
      <c r="L118" s="4">
        <v>0.20833333333333334</v>
      </c>
      <c r="M118" s="4">
        <v>0.20833333333333334</v>
      </c>
    </row>
    <row r="119" spans="1:16" hidden="1" x14ac:dyDescent="0.25">
      <c r="A119" t="str">
        <f t="shared" si="5"/>
        <v>1167</v>
      </c>
      <c r="B119" s="17" t="s">
        <v>52</v>
      </c>
      <c r="C119" t="s">
        <v>377</v>
      </c>
      <c r="D119" s="3" t="s">
        <v>222</v>
      </c>
      <c r="E119" s="9" t="str">
        <f>VLOOKUP(D119,zastavky!C:D,2,0)</f>
        <v>67</v>
      </c>
      <c r="F119" s="4" t="s">
        <v>513</v>
      </c>
      <c r="G119" s="4">
        <v>0.17916666666666667</v>
      </c>
      <c r="H119" s="4">
        <v>0.51249999999999996</v>
      </c>
      <c r="I119" s="4">
        <v>0.84583333333333333</v>
      </c>
      <c r="J119" s="4">
        <v>0.20833333333333334</v>
      </c>
      <c r="K119" s="4">
        <v>0.20833333333333334</v>
      </c>
      <c r="L119" s="4">
        <v>0.20833333333333334</v>
      </c>
      <c r="M119" s="4">
        <v>0.20833333333333334</v>
      </c>
    </row>
    <row r="120" spans="1:16" hidden="1" x14ac:dyDescent="0.25">
      <c r="A120" t="str">
        <f t="shared" ref="A120:A130" si="6">B120&amp;E120</f>
        <v>1135</v>
      </c>
      <c r="B120" s="17" t="s">
        <v>52</v>
      </c>
      <c r="C120" t="s">
        <v>377</v>
      </c>
      <c r="D120" s="3" t="s">
        <v>128</v>
      </c>
      <c r="E120" s="9" t="str">
        <f>VLOOKUP(D120,zastavky!C:D,2,0)</f>
        <v>35</v>
      </c>
      <c r="F120" s="4" t="s">
        <v>514</v>
      </c>
      <c r="G120" s="4">
        <v>0.18055555555555555</v>
      </c>
      <c r="H120" s="4">
        <v>0.51388888888888884</v>
      </c>
      <c r="I120" s="4">
        <v>0.84722222222222221</v>
      </c>
      <c r="J120" s="4">
        <v>0.20833333333333334</v>
      </c>
      <c r="K120" s="4">
        <v>0.20833333333333334</v>
      </c>
      <c r="L120" s="4">
        <v>0.20833333333333334</v>
      </c>
      <c r="M120" s="4">
        <v>0.20833333333333334</v>
      </c>
    </row>
    <row r="121" spans="1:16" hidden="1" x14ac:dyDescent="0.25">
      <c r="A121" t="str">
        <f t="shared" si="6"/>
        <v>1194</v>
      </c>
      <c r="B121" s="17" t="s">
        <v>52</v>
      </c>
      <c r="C121" t="s">
        <v>377</v>
      </c>
      <c r="D121" s="3" t="s">
        <v>519</v>
      </c>
      <c r="E121" s="9" t="str">
        <f>VLOOKUP(D121,zastavky!C:D,2,0)</f>
        <v>94</v>
      </c>
      <c r="F121" t="s">
        <v>515</v>
      </c>
      <c r="G121" s="4">
        <v>0.18611111111111112</v>
      </c>
      <c r="H121" s="4">
        <v>0.51944444444444449</v>
      </c>
      <c r="I121" s="4">
        <v>0.85277777777777775</v>
      </c>
      <c r="J121" s="4">
        <v>0.20833333333333334</v>
      </c>
      <c r="K121" s="4">
        <v>0.20833333333333334</v>
      </c>
      <c r="L121" s="4">
        <v>0.20833333333333334</v>
      </c>
      <c r="M121" s="4">
        <v>0.20833333333333334</v>
      </c>
      <c r="P121" t="s">
        <v>517</v>
      </c>
    </row>
    <row r="122" spans="1:16" hidden="1" x14ac:dyDescent="0.25">
      <c r="A122" t="str">
        <f t="shared" si="6"/>
        <v>1198</v>
      </c>
      <c r="B122" s="17" t="s">
        <v>52</v>
      </c>
      <c r="C122" t="s">
        <v>377</v>
      </c>
      <c r="D122" s="3" t="s">
        <v>325</v>
      </c>
      <c r="E122" s="9" t="str">
        <f>VLOOKUP(D122,zastavky!C:D,2,0)</f>
        <v>98</v>
      </c>
      <c r="F122" t="s">
        <v>426</v>
      </c>
      <c r="G122" s="4">
        <v>0.18611111111111112</v>
      </c>
      <c r="H122" s="4">
        <v>0.51944444444444449</v>
      </c>
      <c r="I122" s="4">
        <v>0.85277777777777775</v>
      </c>
      <c r="J122" s="4">
        <v>0.20833333333333334</v>
      </c>
      <c r="K122" s="4">
        <v>0.20833333333333334</v>
      </c>
      <c r="L122" s="4">
        <v>0.20833333333333334</v>
      </c>
      <c r="M122" s="4">
        <v>0.20833333333333334</v>
      </c>
    </row>
    <row r="123" spans="1:16" hidden="1" x14ac:dyDescent="0.25">
      <c r="A123" t="str">
        <f t="shared" si="6"/>
        <v>1182</v>
      </c>
      <c r="B123" s="17" t="s">
        <v>52</v>
      </c>
      <c r="C123" t="s">
        <v>377</v>
      </c>
      <c r="D123" s="3" t="s">
        <v>281</v>
      </c>
      <c r="E123" s="9" t="str">
        <f>VLOOKUP(D123,zastavky!C:D,2,0)</f>
        <v>82</v>
      </c>
      <c r="F123" t="s">
        <v>492</v>
      </c>
      <c r="G123" s="4">
        <v>0.1875</v>
      </c>
      <c r="H123" s="4">
        <v>0.52083333333333337</v>
      </c>
      <c r="I123" s="4">
        <v>0.85416666666666663</v>
      </c>
      <c r="J123" s="4">
        <v>0.20833333333333334</v>
      </c>
      <c r="K123" s="4">
        <v>0.20833333333333334</v>
      </c>
      <c r="L123" s="4">
        <v>0.20833333333333334</v>
      </c>
      <c r="M123" s="4">
        <v>0.20833333333333334</v>
      </c>
    </row>
    <row r="124" spans="1:16" hidden="1" x14ac:dyDescent="0.25">
      <c r="A124" t="str">
        <f t="shared" si="6"/>
        <v>1113</v>
      </c>
      <c r="B124" s="17" t="s">
        <v>52</v>
      </c>
      <c r="C124" t="s">
        <v>377</v>
      </c>
      <c r="D124" s="3" t="s">
        <v>61</v>
      </c>
      <c r="E124" s="9" t="str">
        <f>VLOOKUP(D124,zastavky!C:D,2,0)</f>
        <v>13</v>
      </c>
      <c r="F124" t="s">
        <v>485</v>
      </c>
      <c r="G124" s="4">
        <v>0.19444444444444445</v>
      </c>
      <c r="H124" s="4">
        <v>0.52777777777777779</v>
      </c>
      <c r="I124" s="4">
        <v>0.86111111111111116</v>
      </c>
      <c r="J124" s="4">
        <v>0.20833333333333334</v>
      </c>
      <c r="K124" s="4">
        <v>0.20833333333333334</v>
      </c>
      <c r="L124" s="4">
        <v>0.20833333333333334</v>
      </c>
      <c r="M124" s="4">
        <v>0.20833333333333334</v>
      </c>
    </row>
    <row r="125" spans="1:16" hidden="1" x14ac:dyDescent="0.25">
      <c r="A125" t="str">
        <f t="shared" si="6"/>
        <v>1103</v>
      </c>
      <c r="B125" s="17" t="s">
        <v>52</v>
      </c>
      <c r="C125" t="s">
        <v>377</v>
      </c>
      <c r="D125" s="3" t="s">
        <v>27</v>
      </c>
      <c r="E125" s="9" t="str">
        <f>VLOOKUP(D125,zastavky!C:D,2,0)</f>
        <v>03</v>
      </c>
      <c r="F125" t="s">
        <v>486</v>
      </c>
      <c r="G125" s="4">
        <v>0.19791666666666666</v>
      </c>
      <c r="H125" s="4">
        <v>0.53125</v>
      </c>
      <c r="I125" s="4">
        <v>0.86458333333333337</v>
      </c>
      <c r="J125" s="4">
        <v>0.20833333333333334</v>
      </c>
      <c r="K125" s="4">
        <v>0.20833333333333334</v>
      </c>
      <c r="L125" s="4">
        <v>0.20833333333333334</v>
      </c>
      <c r="M125" s="4">
        <v>0.20833333333333334</v>
      </c>
    </row>
    <row r="126" spans="1:16" hidden="1" x14ac:dyDescent="0.25">
      <c r="A126" t="str">
        <f t="shared" si="6"/>
        <v>1112</v>
      </c>
      <c r="B126" s="17" t="s">
        <v>52</v>
      </c>
      <c r="C126" t="s">
        <v>377</v>
      </c>
      <c r="D126" s="3" t="s">
        <v>57</v>
      </c>
      <c r="E126" s="9" t="str">
        <f>VLOOKUP(D126,zastavky!C:D,2,0)</f>
        <v>12</v>
      </c>
      <c r="F126" t="s">
        <v>516</v>
      </c>
      <c r="G126" s="4">
        <v>0.19791666666666666</v>
      </c>
      <c r="H126" s="4">
        <v>0.53125</v>
      </c>
      <c r="I126" s="4">
        <v>0.86458333333333337</v>
      </c>
      <c r="J126" s="4">
        <v>0.20833333333333334</v>
      </c>
      <c r="K126" s="4">
        <v>0.20833333333333334</v>
      </c>
      <c r="L126" s="4">
        <v>0.20833333333333334</v>
      </c>
      <c r="M126" s="4">
        <v>0.20833333333333334</v>
      </c>
    </row>
    <row r="127" spans="1:16" hidden="1" x14ac:dyDescent="0.25">
      <c r="A127" t="str">
        <f t="shared" si="6"/>
        <v>1104</v>
      </c>
      <c r="B127" s="17" t="s">
        <v>52</v>
      </c>
      <c r="C127" t="s">
        <v>377</v>
      </c>
      <c r="D127" s="3" t="s">
        <v>30</v>
      </c>
      <c r="E127" s="9" t="str">
        <f>VLOOKUP(D127,zastavky!C:D,2,0)</f>
        <v>04</v>
      </c>
      <c r="F127" t="s">
        <v>487</v>
      </c>
      <c r="G127" s="4">
        <v>0.19930555555555557</v>
      </c>
      <c r="H127" s="4">
        <v>0.53263888888888888</v>
      </c>
      <c r="I127" s="4">
        <v>0.86597222222222225</v>
      </c>
      <c r="J127" s="4">
        <v>0.20833333333333334</v>
      </c>
      <c r="K127" s="4">
        <v>0.20833333333333334</v>
      </c>
      <c r="L127" s="4">
        <v>0.20833333333333334</v>
      </c>
      <c r="M127" s="4">
        <v>0.20833333333333334</v>
      </c>
    </row>
    <row r="128" spans="1:16" hidden="1" x14ac:dyDescent="0.25">
      <c r="A128" t="str">
        <f t="shared" si="6"/>
        <v>1105</v>
      </c>
      <c r="B128" s="17" t="s">
        <v>52</v>
      </c>
      <c r="C128" t="s">
        <v>377</v>
      </c>
      <c r="D128" s="3" t="s">
        <v>33</v>
      </c>
      <c r="E128" s="9" t="str">
        <f>VLOOKUP(D128,zastavky!C:D,2,0)</f>
        <v>05</v>
      </c>
      <c r="F128" t="s">
        <v>488</v>
      </c>
      <c r="G128" s="4">
        <v>0.2013888888888889</v>
      </c>
      <c r="H128" s="4">
        <v>0.53472222222222221</v>
      </c>
      <c r="I128" s="4">
        <v>0.86805555555555558</v>
      </c>
      <c r="J128" s="4">
        <v>0.20833333333333334</v>
      </c>
      <c r="K128" s="4">
        <v>0.20833333333333334</v>
      </c>
      <c r="L128" s="4">
        <v>0.20833333333333334</v>
      </c>
      <c r="M128" s="4">
        <v>0.20833333333333334</v>
      </c>
    </row>
    <row r="129" spans="1:13" hidden="1" x14ac:dyDescent="0.25">
      <c r="A129" t="str">
        <f t="shared" si="6"/>
        <v>1160</v>
      </c>
      <c r="B129" s="17" t="s">
        <v>52</v>
      </c>
      <c r="C129" t="s">
        <v>377</v>
      </c>
      <c r="D129" s="3" t="s">
        <v>207</v>
      </c>
      <c r="E129" s="9" t="str">
        <f>VLOOKUP(D129,zastavky!C:D,2,0)</f>
        <v>60</v>
      </c>
      <c r="F129" t="s">
        <v>473</v>
      </c>
      <c r="G129" s="4">
        <v>0.21180555555555555</v>
      </c>
      <c r="H129" s="4">
        <v>0.54513888888888884</v>
      </c>
      <c r="I129" s="4">
        <v>0.87847222222222221</v>
      </c>
      <c r="J129" s="4">
        <v>0.20833333333333334</v>
      </c>
      <c r="K129" s="4">
        <v>0.20833333333333334</v>
      </c>
      <c r="L129" s="4">
        <v>0.20833333333333334</v>
      </c>
      <c r="M129" s="4">
        <v>0.20833333333333334</v>
      </c>
    </row>
    <row r="130" spans="1:13" hidden="1" x14ac:dyDescent="0.25">
      <c r="A130" t="str">
        <f t="shared" si="6"/>
        <v>12109</v>
      </c>
      <c r="B130" s="17" t="s">
        <v>56</v>
      </c>
      <c r="C130" t="s">
        <v>493</v>
      </c>
      <c r="D130" s="3" t="s">
        <v>355</v>
      </c>
      <c r="E130" s="9" t="str">
        <f>VLOOKUP(D130,zastavky!C:D,2,0)</f>
        <v>109</v>
      </c>
      <c r="F130" t="s">
        <v>355</v>
      </c>
      <c r="G130" s="4">
        <v>0.21180555555555555</v>
      </c>
      <c r="H130" s="4">
        <v>0.54513888888888884</v>
      </c>
      <c r="I130" s="4">
        <v>0.87847222222222221</v>
      </c>
    </row>
  </sheetData>
  <autoFilter ref="C2:O130" xr:uid="{62084483-FDAA-47E9-9C38-B31BCEB84FC5}">
    <filterColumn colId="0">
      <filters>
        <filter val="BATZ 1"/>
      </filters>
    </filterColumn>
  </autoFilter>
  <dataConsolidate/>
  <phoneticPr fontId="2" type="noConversion"/>
  <pageMargins left="0.7" right="0.7" top="0.78740157499999996" bottom="0.78740157499999996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1DB79A-8642-4FB4-A456-46CE9CADAEF3}">
          <x14:formula1>
            <xm:f>(zastavky!$C$2:$C$189)</xm:f>
          </x14:formula1>
          <xm:sqref>D130:E1189 D3:D129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B2ED-F714-45C5-998B-C4CD2663D9C0}">
  <dimension ref="A1:F131"/>
  <sheetViews>
    <sheetView topLeftCell="A103" workbookViewId="0">
      <selection activeCell="B136" sqref="B136"/>
    </sheetView>
  </sheetViews>
  <sheetFormatPr defaultRowHeight="15" x14ac:dyDescent="0.25"/>
  <cols>
    <col min="1" max="1" width="21.42578125" bestFit="1" customWidth="1"/>
    <col min="2" max="2" width="61.7109375" bestFit="1" customWidth="1"/>
    <col min="3" max="5" width="11.85546875" customWidth="1"/>
    <col min="6" max="54" width="7.140625" bestFit="1" customWidth="1"/>
    <col min="55" max="55" width="13.7109375" bestFit="1" customWidth="1"/>
  </cols>
  <sheetData>
    <row r="1" spans="1:5" x14ac:dyDescent="0.25">
      <c r="A1" s="19" t="s">
        <v>5</v>
      </c>
      <c r="B1" s="19" t="s">
        <v>16</v>
      </c>
      <c r="C1" s="19" t="s">
        <v>383</v>
      </c>
      <c r="D1" s="19" t="s">
        <v>384</v>
      </c>
      <c r="E1" s="19" t="s">
        <v>385</v>
      </c>
    </row>
    <row r="2" spans="1:5" x14ac:dyDescent="0.25">
      <c r="A2" t="s">
        <v>357</v>
      </c>
      <c r="B2" t="s">
        <v>215</v>
      </c>
      <c r="C2" s="4">
        <v>0.17708333333333334</v>
      </c>
      <c r="D2" s="4">
        <v>0</v>
      </c>
      <c r="E2" s="4">
        <v>0</v>
      </c>
    </row>
    <row r="3" spans="1:5" x14ac:dyDescent="0.25">
      <c r="B3" t="s">
        <v>281</v>
      </c>
      <c r="C3" s="4">
        <v>0.19444444444444445</v>
      </c>
      <c r="D3" s="4">
        <v>0</v>
      </c>
      <c r="E3" s="4">
        <v>0</v>
      </c>
    </row>
    <row r="4" spans="1:5" x14ac:dyDescent="0.25">
      <c r="B4" t="s">
        <v>167</v>
      </c>
      <c r="C4" s="4">
        <v>0.19791666666666666</v>
      </c>
      <c r="D4" s="4">
        <v>0</v>
      </c>
      <c r="E4" s="4">
        <v>0</v>
      </c>
    </row>
    <row r="5" spans="1:5" x14ac:dyDescent="0.25">
      <c r="A5" s="2" t="s">
        <v>494</v>
      </c>
      <c r="B5" s="2"/>
      <c r="C5" s="2"/>
      <c r="D5" s="2"/>
      <c r="E5" s="2"/>
    </row>
    <row r="6" spans="1:5" x14ac:dyDescent="0.25">
      <c r="A6" t="s">
        <v>359</v>
      </c>
      <c r="B6" t="s">
        <v>334</v>
      </c>
      <c r="C6" s="4">
        <v>0.16666666666666666</v>
      </c>
      <c r="D6" s="4">
        <v>0</v>
      </c>
      <c r="E6" s="4">
        <v>0</v>
      </c>
    </row>
    <row r="7" spans="1:5" x14ac:dyDescent="0.25">
      <c r="B7" t="s">
        <v>131</v>
      </c>
      <c r="C7" s="4">
        <v>0.1736111111111111</v>
      </c>
      <c r="D7" s="4">
        <v>0</v>
      </c>
      <c r="E7" s="4">
        <v>0</v>
      </c>
    </row>
    <row r="8" spans="1:5" x14ac:dyDescent="0.25">
      <c r="B8" t="s">
        <v>61</v>
      </c>
      <c r="C8" s="4">
        <v>0.2</v>
      </c>
      <c r="D8" s="4">
        <v>0</v>
      </c>
      <c r="E8" s="4">
        <v>0</v>
      </c>
    </row>
    <row r="9" spans="1:5" x14ac:dyDescent="0.25">
      <c r="B9" t="s">
        <v>89</v>
      </c>
      <c r="C9" s="4">
        <v>0.17708333333333334</v>
      </c>
      <c r="D9" s="4">
        <v>0</v>
      </c>
      <c r="E9" s="4">
        <v>0</v>
      </c>
    </row>
    <row r="10" spans="1:5" x14ac:dyDescent="0.25">
      <c r="B10" t="s">
        <v>98</v>
      </c>
      <c r="C10" s="4">
        <v>0.17847222222222223</v>
      </c>
      <c r="D10" s="4">
        <v>0</v>
      </c>
      <c r="E10" s="4">
        <v>0</v>
      </c>
    </row>
    <row r="11" spans="1:5" x14ac:dyDescent="0.25">
      <c r="B11" t="s">
        <v>78</v>
      </c>
      <c r="C11" s="4">
        <v>0.17986111111111111</v>
      </c>
      <c r="D11" s="4">
        <v>0</v>
      </c>
      <c r="E11" s="4">
        <v>0</v>
      </c>
    </row>
    <row r="12" spans="1:5" x14ac:dyDescent="0.25">
      <c r="B12" t="s">
        <v>95</v>
      </c>
      <c r="C12" s="4">
        <v>0.18124999999999999</v>
      </c>
      <c r="D12" s="4">
        <v>0</v>
      </c>
      <c r="E12" s="4">
        <v>0</v>
      </c>
    </row>
    <row r="13" spans="1:5" x14ac:dyDescent="0.25">
      <c r="B13" t="s">
        <v>146</v>
      </c>
      <c r="C13" s="4">
        <v>0.18402777777777779</v>
      </c>
      <c r="D13" s="4">
        <v>0</v>
      </c>
      <c r="E13" s="4">
        <v>0</v>
      </c>
    </row>
    <row r="14" spans="1:5" x14ac:dyDescent="0.25">
      <c r="B14" t="s">
        <v>316</v>
      </c>
      <c r="C14" s="4">
        <v>0.19444444444444445</v>
      </c>
      <c r="D14" s="4">
        <v>0</v>
      </c>
      <c r="E14" s="4">
        <v>0</v>
      </c>
    </row>
    <row r="15" spans="1:5" x14ac:dyDescent="0.25">
      <c r="B15" t="s">
        <v>27</v>
      </c>
      <c r="C15" s="4">
        <v>0.2048611111111111</v>
      </c>
      <c r="D15" s="4">
        <v>0</v>
      </c>
      <c r="E15" s="4">
        <v>0</v>
      </c>
    </row>
    <row r="16" spans="1:5" x14ac:dyDescent="0.25">
      <c r="B16" t="s">
        <v>36</v>
      </c>
      <c r="C16" s="4">
        <v>0.20624999999999999</v>
      </c>
      <c r="D16" s="4">
        <v>0</v>
      </c>
      <c r="E16" s="4">
        <v>0</v>
      </c>
    </row>
    <row r="17" spans="1:6" x14ac:dyDescent="0.25">
      <c r="B17" t="s">
        <v>33</v>
      </c>
      <c r="C17" s="4">
        <v>0.20833333333333334</v>
      </c>
      <c r="D17" s="4">
        <v>0</v>
      </c>
      <c r="E17" s="4">
        <v>0</v>
      </c>
    </row>
    <row r="18" spans="1:6" x14ac:dyDescent="0.25">
      <c r="A18" s="2" t="s">
        <v>495</v>
      </c>
      <c r="B18" s="2"/>
      <c r="C18" s="2"/>
      <c r="D18" s="2"/>
      <c r="E18" s="2"/>
    </row>
    <row r="19" spans="1:6" x14ac:dyDescent="0.25">
      <c r="A19" t="s">
        <v>361</v>
      </c>
      <c r="B19" t="s">
        <v>75</v>
      </c>
      <c r="C19" s="4">
        <v>0.16250000000000001</v>
      </c>
      <c r="D19" s="4">
        <v>0.49583333333333335</v>
      </c>
      <c r="E19" s="4">
        <v>0.82916666666666672</v>
      </c>
    </row>
    <row r="20" spans="1:6" x14ac:dyDescent="0.25">
      <c r="B20" t="s">
        <v>143</v>
      </c>
      <c r="C20" s="4">
        <v>0.15972222222222221</v>
      </c>
      <c r="D20" s="4">
        <v>0.49305555555555558</v>
      </c>
      <c r="E20" s="4">
        <v>0.82638888888888884</v>
      </c>
    </row>
    <row r="21" spans="1:6" x14ac:dyDescent="0.25">
      <c r="B21" t="s">
        <v>140</v>
      </c>
      <c r="C21" s="4">
        <v>0.16111111111111112</v>
      </c>
      <c r="D21" s="4">
        <v>0.49444444444444446</v>
      </c>
      <c r="E21" s="4">
        <v>0.82777777777777772</v>
      </c>
    </row>
    <row r="22" spans="1:6" x14ac:dyDescent="0.25">
      <c r="B22" t="s">
        <v>89</v>
      </c>
      <c r="C22" s="4">
        <v>0.16527777777777777</v>
      </c>
      <c r="D22" s="4">
        <v>0.49861111111111112</v>
      </c>
      <c r="E22" s="4">
        <v>0.83194444444444449</v>
      </c>
    </row>
    <row r="23" spans="1:6" x14ac:dyDescent="0.25">
      <c r="B23" t="s">
        <v>98</v>
      </c>
      <c r="C23" s="4">
        <v>0.16805555555555557</v>
      </c>
      <c r="D23" s="4">
        <v>0.50138888888888888</v>
      </c>
      <c r="E23" s="4">
        <v>0.83472222222222225</v>
      </c>
    </row>
    <row r="24" spans="1:6" x14ac:dyDescent="0.25">
      <c r="B24" t="s">
        <v>95</v>
      </c>
      <c r="C24" s="4">
        <v>0.16944444444444445</v>
      </c>
      <c r="D24" s="4">
        <v>0.50277777777777777</v>
      </c>
      <c r="E24" s="4">
        <v>0.83611111111111114</v>
      </c>
    </row>
    <row r="25" spans="1:6" x14ac:dyDescent="0.25">
      <c r="B25" t="s">
        <v>71</v>
      </c>
      <c r="C25" s="4">
        <v>0.17222222222222222</v>
      </c>
      <c r="D25" s="4">
        <v>0.50555555555555554</v>
      </c>
      <c r="E25" s="4">
        <v>0.83888888888888891</v>
      </c>
    </row>
    <row r="26" spans="1:6" x14ac:dyDescent="0.25">
      <c r="B26" t="s">
        <v>104</v>
      </c>
      <c r="C26" s="4">
        <v>0.1736111111111111</v>
      </c>
      <c r="D26" s="4">
        <v>0.50694444444444442</v>
      </c>
      <c r="E26" s="4">
        <v>0.84027777777777779</v>
      </c>
      <c r="F26" t="s">
        <v>506</v>
      </c>
    </row>
    <row r="27" spans="1:6" x14ac:dyDescent="0.25">
      <c r="B27" t="s">
        <v>101</v>
      </c>
      <c r="C27" s="4">
        <v>0.17569444444444443</v>
      </c>
      <c r="D27" s="4">
        <v>0.50902777777777775</v>
      </c>
      <c r="E27" s="4">
        <v>0.84236111111111112</v>
      </c>
    </row>
    <row r="28" spans="1:6" x14ac:dyDescent="0.25">
      <c r="B28" t="s">
        <v>203</v>
      </c>
      <c r="C28" s="4">
        <v>0.18055555555555555</v>
      </c>
      <c r="D28" s="4">
        <v>0.51388888888888884</v>
      </c>
      <c r="E28" s="4">
        <v>0.84722222222222221</v>
      </c>
    </row>
    <row r="29" spans="1:6" x14ac:dyDescent="0.25">
      <c r="B29" t="s">
        <v>293</v>
      </c>
      <c r="C29" s="4">
        <v>0.1875</v>
      </c>
      <c r="D29" s="4">
        <v>0.52083333333333337</v>
      </c>
      <c r="E29" s="4">
        <v>0.85416666666666663</v>
      </c>
    </row>
    <row r="30" spans="1:6" x14ac:dyDescent="0.25">
      <c r="B30" t="s">
        <v>274</v>
      </c>
      <c r="C30" s="4">
        <v>0.18958333333333333</v>
      </c>
      <c r="D30" s="4">
        <v>0.5229166666666667</v>
      </c>
      <c r="E30" s="4">
        <v>0.85624999999999996</v>
      </c>
    </row>
    <row r="31" spans="1:6" x14ac:dyDescent="0.25">
      <c r="B31" t="s">
        <v>298</v>
      </c>
      <c r="C31" s="4">
        <v>0.19166666666666668</v>
      </c>
      <c r="D31" s="4">
        <v>0.52500000000000002</v>
      </c>
      <c r="E31" s="4">
        <v>0.85833333333333328</v>
      </c>
    </row>
    <row r="32" spans="1:6" x14ac:dyDescent="0.25">
      <c r="B32" t="s">
        <v>53</v>
      </c>
      <c r="C32" s="4">
        <v>0.19791666666666666</v>
      </c>
      <c r="D32" s="4">
        <v>0.53125</v>
      </c>
      <c r="E32" s="4">
        <v>0.86458333333333337</v>
      </c>
    </row>
    <row r="33" spans="1:5" x14ac:dyDescent="0.25">
      <c r="B33" t="s">
        <v>57</v>
      </c>
      <c r="C33" s="4">
        <v>0.2013888888888889</v>
      </c>
      <c r="D33" s="4">
        <v>0.53472222222222221</v>
      </c>
      <c r="E33" s="4">
        <v>0.86805555555555558</v>
      </c>
    </row>
    <row r="34" spans="1:5" x14ac:dyDescent="0.25">
      <c r="B34" t="s">
        <v>207</v>
      </c>
      <c r="C34" s="4">
        <v>0.21527777777777779</v>
      </c>
      <c r="D34" s="4">
        <v>0.54861111111111116</v>
      </c>
      <c r="E34" s="4">
        <v>0.88194444444444442</v>
      </c>
    </row>
    <row r="35" spans="1:5" x14ac:dyDescent="0.25">
      <c r="B35" t="s">
        <v>45</v>
      </c>
      <c r="C35" s="4">
        <v>0.22222222222222221</v>
      </c>
      <c r="D35" s="4">
        <v>0.55555555555555558</v>
      </c>
      <c r="E35" s="4">
        <v>0.88888888888888884</v>
      </c>
    </row>
    <row r="36" spans="1:5" x14ac:dyDescent="0.25">
      <c r="A36" s="2" t="s">
        <v>496</v>
      </c>
      <c r="B36" s="2"/>
      <c r="C36" s="2"/>
      <c r="D36" s="2"/>
      <c r="E36" s="2"/>
    </row>
    <row r="37" spans="1:5" x14ac:dyDescent="0.25">
      <c r="A37" t="s">
        <v>363</v>
      </c>
      <c r="B37" t="s">
        <v>346</v>
      </c>
      <c r="C37" s="4">
        <v>0.1736111111111111</v>
      </c>
      <c r="D37" s="4">
        <v>0.50694444444444442</v>
      </c>
      <c r="E37" s="4">
        <v>0.84027777777777779</v>
      </c>
    </row>
    <row r="38" spans="1:5" x14ac:dyDescent="0.25">
      <c r="B38" t="s">
        <v>340</v>
      </c>
      <c r="C38" s="4">
        <v>0.17708333333333334</v>
      </c>
      <c r="D38" s="4">
        <v>0.51041666666666663</v>
      </c>
      <c r="E38" s="4">
        <v>0.84375</v>
      </c>
    </row>
    <row r="39" spans="1:5" x14ac:dyDescent="0.25">
      <c r="B39" t="s">
        <v>334</v>
      </c>
      <c r="C39" s="4">
        <v>0.17847222222222223</v>
      </c>
      <c r="D39" s="4">
        <v>0.51180555555555551</v>
      </c>
      <c r="E39" s="4">
        <v>0.84513888888888888</v>
      </c>
    </row>
    <row r="40" spans="1:5" x14ac:dyDescent="0.25">
      <c r="B40" t="s">
        <v>125</v>
      </c>
      <c r="C40" s="4">
        <v>0.19444444444444445</v>
      </c>
      <c r="D40" s="4">
        <v>0.52777777777777779</v>
      </c>
      <c r="E40" s="4">
        <v>0.86111111111111116</v>
      </c>
    </row>
    <row r="41" spans="1:5" x14ac:dyDescent="0.25">
      <c r="B41" t="s">
        <v>325</v>
      </c>
      <c r="C41" s="4">
        <v>0.19652777777777777</v>
      </c>
      <c r="D41" s="4">
        <v>0.52986111111111112</v>
      </c>
      <c r="E41" s="4">
        <v>0.86319444444444449</v>
      </c>
    </row>
    <row r="42" spans="1:5" x14ac:dyDescent="0.25">
      <c r="B42" t="s">
        <v>184</v>
      </c>
      <c r="C42" s="4">
        <v>0.2</v>
      </c>
      <c r="D42" s="4">
        <v>0.53333333333333333</v>
      </c>
      <c r="E42" s="4">
        <v>0.8666666666666667</v>
      </c>
    </row>
    <row r="43" spans="1:5" x14ac:dyDescent="0.25">
      <c r="B43" t="s">
        <v>187</v>
      </c>
      <c r="C43" s="4">
        <v>0.2013888888888889</v>
      </c>
      <c r="D43" s="4">
        <v>0.53472222222222221</v>
      </c>
      <c r="E43" s="4">
        <v>0.86805555555555558</v>
      </c>
    </row>
    <row r="44" spans="1:5" x14ac:dyDescent="0.25">
      <c r="B44" t="s">
        <v>61</v>
      </c>
      <c r="C44" s="4">
        <v>0.2048611111111111</v>
      </c>
      <c r="D44" s="4">
        <v>0.53819444444444442</v>
      </c>
      <c r="E44" s="4">
        <v>0.87152777777777779</v>
      </c>
    </row>
    <row r="45" spans="1:5" x14ac:dyDescent="0.25">
      <c r="B45" t="s">
        <v>68</v>
      </c>
      <c r="C45" s="4">
        <v>0.20624999999999999</v>
      </c>
      <c r="D45" s="4">
        <v>0.5395833333333333</v>
      </c>
      <c r="E45" s="4">
        <v>0.87291666666666667</v>
      </c>
    </row>
    <row r="46" spans="1:5" x14ac:dyDescent="0.25">
      <c r="B46" t="s">
        <v>25</v>
      </c>
      <c r="C46" s="4">
        <v>0.20833333333333334</v>
      </c>
      <c r="D46" s="4">
        <v>0.54166666666666663</v>
      </c>
      <c r="E46" s="4">
        <v>0.875</v>
      </c>
    </row>
    <row r="47" spans="1:5" x14ac:dyDescent="0.25">
      <c r="B47" t="s">
        <v>320</v>
      </c>
      <c r="C47" s="4">
        <v>0.1986111111111111</v>
      </c>
      <c r="D47" s="4">
        <v>0.53194444444444444</v>
      </c>
      <c r="E47" s="4">
        <v>0.86527777777777781</v>
      </c>
    </row>
    <row r="48" spans="1:5" x14ac:dyDescent="0.25">
      <c r="B48" t="s">
        <v>30</v>
      </c>
      <c r="C48" s="4">
        <v>0.21041666666666667</v>
      </c>
      <c r="D48" s="4">
        <v>0.54374999999999996</v>
      </c>
      <c r="E48" s="4">
        <v>0.87708333333333333</v>
      </c>
    </row>
    <row r="49" spans="1:5" x14ac:dyDescent="0.25">
      <c r="A49" s="2" t="s">
        <v>497</v>
      </c>
      <c r="B49" s="2"/>
      <c r="C49" s="2"/>
      <c r="D49" s="2"/>
      <c r="E49" s="2"/>
    </row>
    <row r="50" spans="1:5" x14ac:dyDescent="0.25">
      <c r="A50" t="s">
        <v>365</v>
      </c>
      <c r="B50" t="s">
        <v>215</v>
      </c>
      <c r="C50" s="4">
        <v>0.17847222222222223</v>
      </c>
      <c r="D50" s="4">
        <v>0.51180555555555551</v>
      </c>
      <c r="E50" s="4">
        <v>0.84513888888888888</v>
      </c>
    </row>
    <row r="51" spans="1:5" x14ac:dyDescent="0.25">
      <c r="B51" t="s">
        <v>222</v>
      </c>
      <c r="C51" s="4">
        <v>0.17291666666666666</v>
      </c>
      <c r="D51" s="4">
        <v>0.50624999999999998</v>
      </c>
      <c r="E51" s="4">
        <v>0.83958333333333335</v>
      </c>
    </row>
    <row r="52" spans="1:5" x14ac:dyDescent="0.25">
      <c r="B52" t="s">
        <v>265</v>
      </c>
      <c r="C52" s="4">
        <v>0.15625</v>
      </c>
      <c r="D52" s="4">
        <v>0.48958333333333331</v>
      </c>
      <c r="E52" s="4">
        <v>0.82291666666666663</v>
      </c>
    </row>
    <row r="53" spans="1:5" x14ac:dyDescent="0.25">
      <c r="B53" t="s">
        <v>262</v>
      </c>
      <c r="C53" s="4">
        <v>0.15972222222222221</v>
      </c>
      <c r="D53" s="4">
        <v>0.49305555555555558</v>
      </c>
      <c r="E53" s="4">
        <v>0.82638888888888884</v>
      </c>
    </row>
    <row r="54" spans="1:5" x14ac:dyDescent="0.25">
      <c r="B54" t="s">
        <v>226</v>
      </c>
      <c r="C54" s="4">
        <v>0.1701388888888889</v>
      </c>
      <c r="D54" s="4">
        <v>0.50347222222222221</v>
      </c>
      <c r="E54" s="4">
        <v>0.83680555555555558</v>
      </c>
    </row>
    <row r="55" spans="1:5" x14ac:dyDescent="0.25">
      <c r="B55" t="s">
        <v>219</v>
      </c>
      <c r="C55" s="4">
        <v>0.17986111111111111</v>
      </c>
      <c r="D55" s="4">
        <v>0.5131944444444444</v>
      </c>
      <c r="E55" s="4">
        <v>0.84652777777777777</v>
      </c>
    </row>
    <row r="56" spans="1:5" x14ac:dyDescent="0.25">
      <c r="B56" t="s">
        <v>284</v>
      </c>
      <c r="C56" s="4">
        <v>0.18402777777777779</v>
      </c>
      <c r="D56" s="4">
        <v>0.51736111111111116</v>
      </c>
      <c r="E56" s="4">
        <v>0.85069444444444442</v>
      </c>
    </row>
    <row r="57" spans="1:5" x14ac:dyDescent="0.25">
      <c r="B57" t="s">
        <v>281</v>
      </c>
      <c r="C57" s="4">
        <v>0.18611111111111112</v>
      </c>
      <c r="D57" s="4">
        <v>0.51944444444444449</v>
      </c>
      <c r="E57" s="4">
        <v>0.85277777777777775</v>
      </c>
    </row>
    <row r="58" spans="1:5" x14ac:dyDescent="0.25">
      <c r="B58" t="s">
        <v>301</v>
      </c>
      <c r="C58" s="4">
        <v>0.1875</v>
      </c>
      <c r="D58" s="4">
        <v>0.52083333333333337</v>
      </c>
      <c r="E58" s="4">
        <v>0.85416666666666663</v>
      </c>
    </row>
    <row r="59" spans="1:5" x14ac:dyDescent="0.25">
      <c r="B59" t="s">
        <v>313</v>
      </c>
      <c r="C59" s="4">
        <v>0.18958333333333333</v>
      </c>
      <c r="D59" s="4">
        <v>0.5229166666666667</v>
      </c>
      <c r="E59" s="4">
        <v>0.85624999999999996</v>
      </c>
    </row>
    <row r="60" spans="1:5" x14ac:dyDescent="0.25">
      <c r="B60" t="s">
        <v>310</v>
      </c>
      <c r="C60" s="4">
        <v>0.19236111111111112</v>
      </c>
      <c r="D60" s="4">
        <v>0.52569444444444446</v>
      </c>
      <c r="E60" s="4">
        <v>0.85902777777777772</v>
      </c>
    </row>
    <row r="61" spans="1:5" x14ac:dyDescent="0.25">
      <c r="B61" t="s">
        <v>271</v>
      </c>
      <c r="C61" s="4">
        <v>0.19513888888888889</v>
      </c>
      <c r="D61" s="4">
        <v>0.52847222222222223</v>
      </c>
      <c r="E61" s="4">
        <v>0.8618055555555556</v>
      </c>
    </row>
    <row r="62" spans="1:5" x14ac:dyDescent="0.25">
      <c r="B62" t="s">
        <v>49</v>
      </c>
      <c r="C62" s="4">
        <v>0.2</v>
      </c>
      <c r="D62" s="4">
        <v>0.53333333333333333</v>
      </c>
      <c r="E62" s="4">
        <v>0.8666666666666667</v>
      </c>
    </row>
    <row r="63" spans="1:5" x14ac:dyDescent="0.25">
      <c r="A63" s="2" t="s">
        <v>498</v>
      </c>
      <c r="B63" s="2"/>
      <c r="C63" s="2"/>
      <c r="D63" s="2"/>
      <c r="E63" s="2"/>
    </row>
    <row r="64" spans="1:5" x14ac:dyDescent="0.25">
      <c r="A64" t="s">
        <v>367</v>
      </c>
      <c r="B64" t="s">
        <v>328</v>
      </c>
      <c r="C64" s="4">
        <v>0.17708333333333334</v>
      </c>
      <c r="D64" s="4">
        <v>0.51041666666666663</v>
      </c>
      <c r="E64" s="4">
        <v>0.84375</v>
      </c>
    </row>
    <row r="65" spans="1:5" x14ac:dyDescent="0.25">
      <c r="B65" t="s">
        <v>340</v>
      </c>
      <c r="C65" s="4">
        <v>0.17847222222222223</v>
      </c>
      <c r="D65" s="4">
        <v>0.51180555555555551</v>
      </c>
      <c r="E65" s="4">
        <v>0.84513888888888888</v>
      </c>
    </row>
    <row r="66" spans="1:5" x14ac:dyDescent="0.25">
      <c r="B66" t="s">
        <v>334</v>
      </c>
      <c r="C66" s="4">
        <v>0.17986111111111111</v>
      </c>
      <c r="D66" s="4">
        <v>0.5131944444444444</v>
      </c>
      <c r="E66" s="4">
        <v>0.84652777777777777</v>
      </c>
    </row>
    <row r="67" spans="1:5" x14ac:dyDescent="0.25">
      <c r="B67" t="s">
        <v>131</v>
      </c>
      <c r="C67" s="4">
        <v>0.18611111111111112</v>
      </c>
      <c r="D67" s="4">
        <v>0.51944444444444449</v>
      </c>
      <c r="E67" s="4">
        <v>0.85277777777777775</v>
      </c>
    </row>
    <row r="68" spans="1:5" x14ac:dyDescent="0.25">
      <c r="B68" t="s">
        <v>137</v>
      </c>
      <c r="C68" s="4">
        <v>0.18611111111111112</v>
      </c>
      <c r="D68" s="4">
        <v>0.51944444444444449</v>
      </c>
      <c r="E68" s="4">
        <v>0.85277777777777775</v>
      </c>
    </row>
    <row r="69" spans="1:5" x14ac:dyDescent="0.25">
      <c r="B69" t="s">
        <v>173</v>
      </c>
      <c r="C69" s="4">
        <v>0.19027777777777777</v>
      </c>
      <c r="D69" s="4">
        <v>0.52361111111111114</v>
      </c>
      <c r="E69" s="4">
        <v>0.8569444444444444</v>
      </c>
    </row>
    <row r="70" spans="1:5" x14ac:dyDescent="0.25">
      <c r="B70" t="s">
        <v>98</v>
      </c>
      <c r="C70" s="4">
        <v>0.19444444444444445</v>
      </c>
      <c r="D70" s="4">
        <v>0.52777777777777779</v>
      </c>
      <c r="E70" s="4">
        <v>0.86111111111111116</v>
      </c>
    </row>
    <row r="71" spans="1:5" x14ac:dyDescent="0.25">
      <c r="B71" t="s">
        <v>95</v>
      </c>
      <c r="C71" s="4">
        <v>0.19583333333333333</v>
      </c>
      <c r="D71" s="4">
        <v>0.52916666666666667</v>
      </c>
      <c r="E71" s="4">
        <v>0.86250000000000004</v>
      </c>
    </row>
    <row r="72" spans="1:5" x14ac:dyDescent="0.25">
      <c r="B72" t="s">
        <v>71</v>
      </c>
      <c r="C72" s="4">
        <v>0.19791666666666666</v>
      </c>
      <c r="D72" s="4">
        <v>0.53125</v>
      </c>
      <c r="E72" s="4">
        <v>0.86458333333333337</v>
      </c>
    </row>
    <row r="73" spans="1:5" x14ac:dyDescent="0.25">
      <c r="B73" t="s">
        <v>316</v>
      </c>
      <c r="C73" s="4">
        <v>0.20624999999999999</v>
      </c>
      <c r="D73" s="4">
        <v>0.5395833333333333</v>
      </c>
      <c r="E73" s="4">
        <v>0.87291666666666667</v>
      </c>
    </row>
    <row r="74" spans="1:5" x14ac:dyDescent="0.25">
      <c r="B74" t="s">
        <v>320</v>
      </c>
      <c r="C74" s="4">
        <v>0.20694444444444443</v>
      </c>
      <c r="D74" s="4">
        <v>0.54027777777777775</v>
      </c>
      <c r="E74" s="4">
        <v>0.87361111111111112</v>
      </c>
    </row>
    <row r="75" spans="1:5" x14ac:dyDescent="0.25">
      <c r="B75" t="s">
        <v>180</v>
      </c>
      <c r="C75" s="4">
        <v>0.20902777777777778</v>
      </c>
      <c r="D75" s="4">
        <v>0.54236111111111107</v>
      </c>
      <c r="E75" s="4">
        <v>0.87569444444444444</v>
      </c>
    </row>
    <row r="76" spans="1:5" x14ac:dyDescent="0.25">
      <c r="B76" t="s">
        <v>27</v>
      </c>
      <c r="C76" s="4">
        <v>0.21527777777777779</v>
      </c>
      <c r="D76" s="4">
        <v>0.54861111111111116</v>
      </c>
      <c r="E76" s="4">
        <v>0.88194444444444442</v>
      </c>
    </row>
    <row r="77" spans="1:5" x14ac:dyDescent="0.25">
      <c r="A77" s="2" t="s">
        <v>499</v>
      </c>
      <c r="B77" s="2"/>
      <c r="C77" s="2"/>
      <c r="D77" s="2"/>
      <c r="E77" s="2"/>
    </row>
    <row r="78" spans="1:5" x14ac:dyDescent="0.25">
      <c r="A78" t="s">
        <v>369</v>
      </c>
      <c r="B78" t="s">
        <v>307</v>
      </c>
      <c r="C78" s="4">
        <v>0.18055555555555555</v>
      </c>
      <c r="D78" s="4">
        <v>0.68055555555555558</v>
      </c>
      <c r="E78" s="4">
        <v>0</v>
      </c>
    </row>
    <row r="79" spans="1:5" x14ac:dyDescent="0.25">
      <c r="A79" s="2" t="s">
        <v>500</v>
      </c>
      <c r="B79" s="2"/>
      <c r="C79" s="2"/>
      <c r="D79" s="2"/>
      <c r="E79" s="2"/>
    </row>
    <row r="80" spans="1:5" x14ac:dyDescent="0.25">
      <c r="A80" t="s">
        <v>371</v>
      </c>
      <c r="B80" t="s">
        <v>215</v>
      </c>
      <c r="C80" s="4">
        <v>0.19097222222222221</v>
      </c>
      <c r="D80" s="4">
        <v>0.52430555555555558</v>
      </c>
      <c r="E80" s="4">
        <v>0.85069444444444442</v>
      </c>
    </row>
    <row r="81" spans="1:5" x14ac:dyDescent="0.25">
      <c r="B81" t="s">
        <v>281</v>
      </c>
      <c r="C81" s="4">
        <v>0.2048611111111111</v>
      </c>
      <c r="D81" s="4">
        <v>0.53819444444444442</v>
      </c>
      <c r="E81" s="4">
        <v>0.87152777777777779</v>
      </c>
    </row>
    <row r="82" spans="1:5" x14ac:dyDescent="0.25">
      <c r="B82" t="s">
        <v>304</v>
      </c>
      <c r="C82" s="4">
        <v>0.2013888888888889</v>
      </c>
      <c r="D82" s="4">
        <v>0.53472222222222221</v>
      </c>
      <c r="E82" s="4">
        <v>0.86805555555555558</v>
      </c>
    </row>
    <row r="83" spans="1:5" x14ac:dyDescent="0.25">
      <c r="A83" s="2" t="s">
        <v>501</v>
      </c>
      <c r="B83" s="2"/>
      <c r="C83" s="2"/>
      <c r="D83" s="2"/>
      <c r="E83" s="2"/>
    </row>
    <row r="84" spans="1:5" x14ac:dyDescent="0.25">
      <c r="A84" t="s">
        <v>373</v>
      </c>
      <c r="B84" t="s">
        <v>352</v>
      </c>
      <c r="C84" s="4">
        <v>0.18402777777777779</v>
      </c>
      <c r="D84" s="4">
        <v>0.51736111111111116</v>
      </c>
      <c r="E84" s="4">
        <v>0.85069444444444442</v>
      </c>
    </row>
    <row r="85" spans="1:5" x14ac:dyDescent="0.25">
      <c r="B85" t="s">
        <v>332</v>
      </c>
      <c r="C85" s="4">
        <v>0.1875</v>
      </c>
      <c r="D85" s="4">
        <v>0.52083333333333337</v>
      </c>
      <c r="E85" s="4">
        <v>0.85416666666666663</v>
      </c>
    </row>
    <row r="86" spans="1:5" x14ac:dyDescent="0.25">
      <c r="B86" t="s">
        <v>334</v>
      </c>
      <c r="C86" s="4">
        <v>0.18958333333333333</v>
      </c>
      <c r="D86" s="4">
        <v>0.5229166666666667</v>
      </c>
      <c r="E86" s="4">
        <v>0.85624999999999996</v>
      </c>
    </row>
    <row r="87" spans="1:5" x14ac:dyDescent="0.25">
      <c r="B87" t="s">
        <v>75</v>
      </c>
      <c r="C87" s="4">
        <v>0.19791666666666666</v>
      </c>
      <c r="D87" s="4">
        <v>0.53125</v>
      </c>
      <c r="E87" s="4">
        <v>0.86458333333333337</v>
      </c>
    </row>
    <row r="88" spans="1:5" x14ac:dyDescent="0.25">
      <c r="B88" t="s">
        <v>140</v>
      </c>
      <c r="C88" s="4">
        <v>0.19444444444444445</v>
      </c>
      <c r="D88" s="4">
        <v>0.52777777777777779</v>
      </c>
      <c r="E88" s="4">
        <v>0.86111111111111116</v>
      </c>
    </row>
    <row r="89" spans="1:5" x14ac:dyDescent="0.25">
      <c r="B89" t="s">
        <v>122</v>
      </c>
      <c r="C89" s="4">
        <v>0.2</v>
      </c>
      <c r="D89" s="4">
        <v>0.53333333333333333</v>
      </c>
      <c r="E89" s="4">
        <v>0.8666666666666667</v>
      </c>
    </row>
    <row r="90" spans="1:5" x14ac:dyDescent="0.25">
      <c r="B90" t="s">
        <v>98</v>
      </c>
      <c r="C90" s="4">
        <v>0.2013888888888889</v>
      </c>
      <c r="D90" s="4">
        <v>0.53472222222222221</v>
      </c>
      <c r="E90" s="4">
        <v>0.86805555555555558</v>
      </c>
    </row>
    <row r="91" spans="1:5" x14ac:dyDescent="0.25">
      <c r="B91" t="s">
        <v>78</v>
      </c>
      <c r="C91" s="4">
        <v>0.20277777777777778</v>
      </c>
      <c r="D91" s="4">
        <v>0.53611111111111109</v>
      </c>
      <c r="E91" s="4">
        <v>0.86944444444444446</v>
      </c>
    </row>
    <row r="92" spans="1:5" x14ac:dyDescent="0.25">
      <c r="B92" t="s">
        <v>86</v>
      </c>
      <c r="C92" s="4">
        <v>0.20416666666666666</v>
      </c>
      <c r="D92" s="4">
        <v>0.53749999999999998</v>
      </c>
      <c r="E92" s="4">
        <v>0.87083333333333335</v>
      </c>
    </row>
    <row r="93" spans="1:5" x14ac:dyDescent="0.25">
      <c r="B93" t="s">
        <v>107</v>
      </c>
      <c r="C93" s="4">
        <v>0.20694444444444443</v>
      </c>
      <c r="D93" s="4">
        <v>0.54027777777777775</v>
      </c>
      <c r="E93" s="4">
        <v>0.87361111111111112</v>
      </c>
    </row>
    <row r="94" spans="1:5" x14ac:dyDescent="0.25">
      <c r="A94" s="2" t="s">
        <v>502</v>
      </c>
      <c r="B94" s="2"/>
      <c r="C94" s="2"/>
      <c r="D94" s="2"/>
      <c r="E94" s="2"/>
    </row>
    <row r="95" spans="1:5" x14ac:dyDescent="0.25">
      <c r="A95" t="s">
        <v>375</v>
      </c>
      <c r="B95" t="s">
        <v>343</v>
      </c>
      <c r="C95" s="4">
        <v>0.15763888888888888</v>
      </c>
      <c r="D95" s="4">
        <v>0.4909722222222222</v>
      </c>
      <c r="E95" s="4">
        <v>0.82430555555555551</v>
      </c>
    </row>
    <row r="96" spans="1:5" x14ac:dyDescent="0.25">
      <c r="B96" t="s">
        <v>334</v>
      </c>
      <c r="C96" s="4">
        <v>0.15972222222222221</v>
      </c>
      <c r="D96" s="4">
        <v>0.49305555555555558</v>
      </c>
      <c r="E96" s="4">
        <v>0.82638888888888884</v>
      </c>
    </row>
    <row r="97" spans="2:5" x14ac:dyDescent="0.25">
      <c r="B97" t="s">
        <v>131</v>
      </c>
      <c r="C97" s="4">
        <v>0.16527777777777777</v>
      </c>
      <c r="D97" s="4">
        <v>0.49861111111111112</v>
      </c>
      <c r="E97" s="4">
        <v>0.83194444444444449</v>
      </c>
    </row>
    <row r="98" spans="2:5" x14ac:dyDescent="0.25">
      <c r="B98" t="s">
        <v>137</v>
      </c>
      <c r="C98" s="4">
        <v>0.16666666666666666</v>
      </c>
      <c r="D98" s="4">
        <v>0.5</v>
      </c>
      <c r="E98" s="4">
        <v>0.83333333333333337</v>
      </c>
    </row>
    <row r="99" spans="2:5" x14ac:dyDescent="0.25">
      <c r="B99" t="s">
        <v>75</v>
      </c>
      <c r="C99" s="4">
        <v>0.16805555555555557</v>
      </c>
      <c r="D99" s="4">
        <v>0.50138888888888888</v>
      </c>
      <c r="E99" s="4">
        <v>0.83472222222222225</v>
      </c>
    </row>
    <row r="100" spans="2:5" x14ac:dyDescent="0.25">
      <c r="B100" t="s">
        <v>92</v>
      </c>
      <c r="C100" s="4">
        <v>0.1736111111111111</v>
      </c>
      <c r="D100" s="4">
        <v>0.50694444444444442</v>
      </c>
      <c r="E100" s="4">
        <v>0.84027777777777779</v>
      </c>
    </row>
    <row r="101" spans="2:5" x14ac:dyDescent="0.25">
      <c r="B101" t="s">
        <v>170</v>
      </c>
      <c r="C101" s="4">
        <v>0.17499999999999999</v>
      </c>
      <c r="D101" s="4">
        <v>0.5083333333333333</v>
      </c>
      <c r="E101" s="4">
        <v>0.84166666666666667</v>
      </c>
    </row>
    <row r="102" spans="2:5" x14ac:dyDescent="0.25">
      <c r="B102" t="s">
        <v>80</v>
      </c>
      <c r="C102" s="4">
        <v>0.1763888888888889</v>
      </c>
      <c r="D102" s="4">
        <v>0.50972222222222219</v>
      </c>
      <c r="E102" s="4">
        <v>0.84305555555555556</v>
      </c>
    </row>
    <row r="103" spans="2:5" x14ac:dyDescent="0.25">
      <c r="B103" t="s">
        <v>83</v>
      </c>
      <c r="C103" s="4">
        <v>0.17708333333333334</v>
      </c>
      <c r="D103" s="4">
        <v>0.51041666666666663</v>
      </c>
      <c r="E103" s="4">
        <v>0.84375</v>
      </c>
    </row>
    <row r="104" spans="2:5" x14ac:dyDescent="0.25">
      <c r="B104" t="s">
        <v>119</v>
      </c>
      <c r="C104" s="4">
        <v>0.17847222222222223</v>
      </c>
      <c r="D104" s="4">
        <v>0.51180555555555551</v>
      </c>
      <c r="E104" s="4">
        <v>0.84513888888888888</v>
      </c>
    </row>
    <row r="105" spans="2:5" x14ac:dyDescent="0.25">
      <c r="B105" t="s">
        <v>128</v>
      </c>
      <c r="C105" s="4">
        <v>0.18055555555555555</v>
      </c>
      <c r="D105" s="4">
        <v>0.51388888888888884</v>
      </c>
      <c r="E105" s="4">
        <v>0.84722222222222221</v>
      </c>
    </row>
    <row r="106" spans="2:5" x14ac:dyDescent="0.25">
      <c r="B106" t="s">
        <v>125</v>
      </c>
      <c r="C106" s="4">
        <v>0.18402777777777779</v>
      </c>
      <c r="D106" s="4">
        <v>0.51736111111111116</v>
      </c>
      <c r="E106" s="4">
        <v>0.85069444444444442</v>
      </c>
    </row>
    <row r="107" spans="2:5" x14ac:dyDescent="0.25">
      <c r="B107" t="s">
        <v>197</v>
      </c>
      <c r="C107" s="4">
        <v>0.18472222222222223</v>
      </c>
      <c r="D107" s="4">
        <v>0.5180555555555556</v>
      </c>
      <c r="E107" s="4">
        <v>0.85138888888888886</v>
      </c>
    </row>
    <row r="108" spans="2:5" x14ac:dyDescent="0.25">
      <c r="B108" t="s">
        <v>325</v>
      </c>
      <c r="C108" s="4">
        <v>0.18611111111111112</v>
      </c>
      <c r="D108" s="4">
        <v>0.51944444444444449</v>
      </c>
      <c r="E108" s="4">
        <v>0.85277777777777775</v>
      </c>
    </row>
    <row r="109" spans="2:5" x14ac:dyDescent="0.25">
      <c r="B109" t="s">
        <v>61</v>
      </c>
      <c r="C109" s="4">
        <v>0.19444444444444445</v>
      </c>
      <c r="D109" s="4">
        <v>0.52777777777777779</v>
      </c>
      <c r="E109" s="4">
        <v>0.86111111111111116</v>
      </c>
    </row>
    <row r="110" spans="2:5" x14ac:dyDescent="0.25">
      <c r="B110" t="s">
        <v>27</v>
      </c>
      <c r="C110" s="4">
        <v>0.19791666666666666</v>
      </c>
      <c r="D110" s="4">
        <v>0.53125</v>
      </c>
      <c r="E110" s="4">
        <v>0.86458333333333337</v>
      </c>
    </row>
    <row r="111" spans="2:5" x14ac:dyDescent="0.25">
      <c r="B111" t="s">
        <v>30</v>
      </c>
      <c r="C111" s="4">
        <v>0.19930555555555557</v>
      </c>
      <c r="D111" s="4">
        <v>0.53263888888888888</v>
      </c>
      <c r="E111" s="4">
        <v>0.86597222222222225</v>
      </c>
    </row>
    <row r="112" spans="2:5" x14ac:dyDescent="0.25">
      <c r="B112" t="s">
        <v>33</v>
      </c>
      <c r="C112" s="4">
        <v>0.2013888888888889</v>
      </c>
      <c r="D112" s="4">
        <v>0.53472222222222221</v>
      </c>
      <c r="E112" s="4">
        <v>0.86805555555555558</v>
      </c>
    </row>
    <row r="113" spans="1:5" x14ac:dyDescent="0.25">
      <c r="A113" s="2" t="s">
        <v>503</v>
      </c>
      <c r="B113" s="2"/>
      <c r="C113" s="2"/>
      <c r="D113" s="2"/>
      <c r="E113" s="2"/>
    </row>
    <row r="114" spans="1:5" x14ac:dyDescent="0.25">
      <c r="A114" t="s">
        <v>377</v>
      </c>
      <c r="B114" t="s">
        <v>343</v>
      </c>
      <c r="C114" s="4">
        <v>0.15763888888888888</v>
      </c>
      <c r="D114" s="4">
        <v>0.4909722222222222</v>
      </c>
      <c r="E114" s="4">
        <v>0.82430555555555551</v>
      </c>
    </row>
    <row r="115" spans="1:5" x14ac:dyDescent="0.25">
      <c r="B115" t="s">
        <v>334</v>
      </c>
      <c r="C115" s="4">
        <v>0.15972222222222221</v>
      </c>
      <c r="D115" s="4">
        <v>0.49305555555555558</v>
      </c>
      <c r="E115" s="4">
        <v>0.82638888888888884</v>
      </c>
    </row>
    <row r="116" spans="1:5" x14ac:dyDescent="0.25">
      <c r="B116" t="s">
        <v>256</v>
      </c>
      <c r="C116" s="4">
        <v>0.16319444444444445</v>
      </c>
      <c r="D116" s="4">
        <v>0.49652777777777779</v>
      </c>
      <c r="E116" s="4">
        <v>0.82986111111111116</v>
      </c>
    </row>
    <row r="117" spans="1:5" x14ac:dyDescent="0.25">
      <c r="B117" t="s">
        <v>253</v>
      </c>
      <c r="C117" s="4">
        <v>0.16527777777777777</v>
      </c>
      <c r="D117" s="4">
        <v>0.49861111111111112</v>
      </c>
      <c r="E117" s="4">
        <v>0.83194444444444449</v>
      </c>
    </row>
    <row r="118" spans="1:5" x14ac:dyDescent="0.25">
      <c r="B118" t="s">
        <v>131</v>
      </c>
      <c r="C118" s="4">
        <v>0.16527777777777777</v>
      </c>
      <c r="D118" s="4">
        <v>0.49861111111111112</v>
      </c>
      <c r="E118" s="4">
        <v>0.83194444444444449</v>
      </c>
    </row>
    <row r="119" spans="1:5" x14ac:dyDescent="0.25">
      <c r="B119" t="s">
        <v>137</v>
      </c>
      <c r="C119" s="4">
        <v>0.16666666666666666</v>
      </c>
      <c r="D119" s="4">
        <v>0.5</v>
      </c>
      <c r="E119" s="4">
        <v>2.3148148148148149E-4</v>
      </c>
    </row>
    <row r="120" spans="1:5" x14ac:dyDescent="0.25">
      <c r="B120" t="s">
        <v>75</v>
      </c>
      <c r="C120" s="4">
        <v>0.16805555555555557</v>
      </c>
      <c r="D120" s="4">
        <v>0.50138888888888888</v>
      </c>
      <c r="E120" s="4">
        <v>0.84722222222222221</v>
      </c>
    </row>
    <row r="121" spans="1:5" x14ac:dyDescent="0.25">
      <c r="B121" t="s">
        <v>241</v>
      </c>
      <c r="C121" s="4">
        <v>0.16944444444444445</v>
      </c>
      <c r="D121" s="4">
        <v>0.50277777777777777</v>
      </c>
      <c r="E121" s="4">
        <v>0.83611111111111114</v>
      </c>
    </row>
    <row r="122" spans="1:5" x14ac:dyDescent="0.25">
      <c r="B122" t="s">
        <v>92</v>
      </c>
      <c r="C122" s="4">
        <v>0.17222222222222222</v>
      </c>
      <c r="D122" s="4">
        <v>0.50555555555555554</v>
      </c>
      <c r="E122" s="4">
        <v>0.83888888888888891</v>
      </c>
    </row>
    <row r="123" spans="1:5" x14ac:dyDescent="0.25">
      <c r="B123" t="s">
        <v>215</v>
      </c>
      <c r="C123" s="4">
        <v>0.1736111111111111</v>
      </c>
      <c r="D123" s="4">
        <v>0.50694444444444442</v>
      </c>
      <c r="E123" s="4">
        <v>0.84027777777777779</v>
      </c>
    </row>
    <row r="124" spans="1:5" x14ac:dyDescent="0.25">
      <c r="B124" t="s">
        <v>170</v>
      </c>
      <c r="C124" s="4">
        <v>0.1736111111111111</v>
      </c>
      <c r="D124" s="4">
        <v>0.50694444444444442</v>
      </c>
      <c r="E124" s="4">
        <v>0.84027777777777779</v>
      </c>
    </row>
    <row r="125" spans="1:5" x14ac:dyDescent="0.25">
      <c r="B125" t="s">
        <v>80</v>
      </c>
      <c r="C125" s="4">
        <v>0.17569444444444443</v>
      </c>
      <c r="D125" s="4">
        <v>0.50902777777777775</v>
      </c>
      <c r="E125" s="4">
        <v>0.84236111111111112</v>
      </c>
    </row>
    <row r="126" spans="1:5" x14ac:dyDescent="0.25">
      <c r="B126" t="s">
        <v>83</v>
      </c>
      <c r="C126" s="4">
        <v>0.17708333333333334</v>
      </c>
      <c r="D126" s="4">
        <v>0.51041666666666663</v>
      </c>
      <c r="E126" s="4">
        <v>0.84375</v>
      </c>
    </row>
    <row r="127" spans="1:5" x14ac:dyDescent="0.25">
      <c r="B127" t="s">
        <v>119</v>
      </c>
      <c r="C127" s="4">
        <v>0.17847222222222223</v>
      </c>
      <c r="D127" s="4">
        <v>0.51180555555555551</v>
      </c>
      <c r="E127" s="4">
        <v>0.84513888888888888</v>
      </c>
    </row>
    <row r="128" spans="1:5" x14ac:dyDescent="0.25">
      <c r="B128" t="s">
        <v>222</v>
      </c>
      <c r="C128" s="4">
        <v>0.17916666666666667</v>
      </c>
      <c r="D128" s="4">
        <v>0.51249999999999996</v>
      </c>
      <c r="E128" s="4">
        <v>0.84583333333333333</v>
      </c>
    </row>
    <row r="129" spans="1:5" x14ac:dyDescent="0.25">
      <c r="B129" t="s">
        <v>128</v>
      </c>
      <c r="C129" s="4">
        <v>0.18055555555555555</v>
      </c>
      <c r="D129" s="4">
        <v>0.51388888888888884</v>
      </c>
      <c r="E129" s="4">
        <v>0.84722222222222221</v>
      </c>
    </row>
    <row r="130" spans="1:5" x14ac:dyDescent="0.25">
      <c r="A130" s="2" t="s">
        <v>504</v>
      </c>
      <c r="B130" s="2"/>
      <c r="C130" s="2"/>
      <c r="D130" s="2"/>
      <c r="E130" s="2"/>
    </row>
    <row r="131" spans="1:5" x14ac:dyDescent="0.25">
      <c r="A131" t="s">
        <v>505</v>
      </c>
    </row>
  </sheetData>
  <pageMargins left="0.7" right="0.7" top="0.78740157499999996" bottom="0.78740157499999996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7C012152D27B4E9607213664AC5DEB" ma:contentTypeVersion="3" ma:contentTypeDescription="Vytvoří nový dokument" ma:contentTypeScope="" ma:versionID="a24585b2188a81ca93d675c6601a8383">
  <xsd:schema xmlns:xsd="http://www.w3.org/2001/XMLSchema" xmlns:xs="http://www.w3.org/2001/XMLSchema" xmlns:p="http://schemas.microsoft.com/office/2006/metadata/properties" xmlns:ns2="c068f0ce-6881-4a4b-adaa-bd90eef36522" targetNamespace="http://schemas.microsoft.com/office/2006/metadata/properties" ma:root="true" ma:fieldsID="e67441ef1c3e87a23ee35bac5d4a64af" ns2:_="">
    <xsd:import namespace="c068f0ce-6881-4a4b-adaa-bd90eef365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8f0ce-6881-4a4b-adaa-bd90eef36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13FCB-5CDF-4397-B25F-E5FA8D8461D0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c068f0ce-6881-4a4b-adaa-bd90eef36522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386DC1E-7417-4487-9005-038A135BBA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C6E6B-A9F3-488E-B7C7-8D217F23C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8f0ce-6881-4a4b-adaa-bd90eef365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List1</vt:lpstr>
      <vt:lpstr>zastavky</vt:lpstr>
      <vt:lpstr>auta</vt:lpstr>
      <vt:lpstr>novatabulka</vt:lpstr>
      <vt:lpstr>TRASY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Aleš Kadlec</dc:creator>
  <cp:keywords/>
  <dc:description/>
  <cp:lastModifiedBy>Aleš Kadlec</cp:lastModifiedBy>
  <cp:revision/>
  <dcterms:created xsi:type="dcterms:W3CDTF">2025-12-03T15:16:21Z</dcterms:created>
  <dcterms:modified xsi:type="dcterms:W3CDTF">2026-01-06T14:03:38Z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0x010100637C012152D27B4E9607213664AC5DEB</vt:lpwstr>
  </property>
</Properties>
</file>