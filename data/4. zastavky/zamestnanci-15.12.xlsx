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5.4\intranet\recra\data\4. zastavky\"/>
    </mc:Choice>
  </mc:AlternateContent>
  <xr:revisionPtr revIDLastSave="0" documentId="13_ncr:1_{0DCCE401-9E9D-4409-8A11-1F5A62A0BFDE}" xr6:coauthVersionLast="47" xr6:coauthVersionMax="47" xr10:uidLastSave="{00000000-0000-0000-0000-000000000000}"/>
  <bookViews>
    <workbookView xWindow="-51720" yWindow="-120" windowWidth="51840" windowHeight="21240" xr2:uid="{B82BA873-D527-490E-B8C9-731C9663093C}"/>
  </bookViews>
  <sheets>
    <sheet name="zamestnanci" sheetId="1" r:id="rId1"/>
    <sheet name="zastavky" sheetId="2" r:id="rId2"/>
    <sheet name="15,12-AKTIV" sheetId="3" r:id="rId3"/>
  </sheets>
  <definedNames>
    <definedName name="_xlnm._FilterDatabase" localSheetId="2" hidden="1">'15,12-AKTIV'!$D$2:$R$294</definedName>
    <definedName name="_xlnm._FilterDatabase" localSheetId="0" hidden="1">zamestnanci!$A$2:$Z$1770</definedName>
    <definedName name="_xlnm._FilterDatabase" localSheetId="1" hidden="1">zastavky!$F$1:$H$114</definedName>
  </definedNames>
  <calcPr calcId="191029"/>
</workbook>
</file>

<file path=xl/calcChain.xml><?xml version="1.0" encoding="utf-8"?>
<calcChain xmlns="http://schemas.openxmlformats.org/spreadsheetml/2006/main">
  <c r="AA4" i="1" l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3" i="1"/>
  <c r="D111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3" i="3"/>
  <c r="A1" i="1" l="1"/>
  <c r="N1457" i="1"/>
  <c r="N66" i="1"/>
  <c r="N1384" i="1"/>
  <c r="N1198" i="1"/>
  <c r="N1306" i="1"/>
  <c r="N1385" i="1"/>
  <c r="N1085" i="1"/>
  <c r="N1386" i="1"/>
  <c r="N1387" i="1"/>
  <c r="N1388" i="1"/>
  <c r="N245" i="1"/>
  <c r="N1307" i="1"/>
  <c r="N1308" i="1"/>
  <c r="N1389" i="1"/>
  <c r="N1466" i="1"/>
  <c r="N67" i="1"/>
  <c r="N1130" i="1"/>
  <c r="N1467" i="1"/>
  <c r="N1131" i="1"/>
  <c r="N1199" i="1"/>
  <c r="N1469" i="1"/>
  <c r="N246" i="1"/>
  <c r="N1470" i="1"/>
  <c r="N1471" i="1"/>
  <c r="N247" i="1"/>
  <c r="N1132" i="1"/>
  <c r="N909" i="1"/>
  <c r="N1200" i="1"/>
  <c r="N1473" i="1"/>
  <c r="N69" i="1"/>
  <c r="N910" i="1"/>
  <c r="N1475" i="1"/>
  <c r="N1476" i="1"/>
  <c r="N248" i="1"/>
  <c r="N1201" i="1"/>
  <c r="N249" i="1"/>
  <c r="N831" i="1"/>
  <c r="N1477" i="1"/>
  <c r="N1478" i="1"/>
  <c r="N250" i="1"/>
  <c r="N251" i="1"/>
  <c r="N72" i="1"/>
  <c r="N1309" i="1"/>
  <c r="N911" i="1"/>
  <c r="N1390" i="1"/>
  <c r="N912" i="1"/>
  <c r="N1480" i="1"/>
  <c r="N252" i="1"/>
  <c r="N128" i="1"/>
  <c r="N1133" i="1"/>
  <c r="N1202" i="1"/>
  <c r="N73" i="1"/>
  <c r="N1204" i="1"/>
  <c r="N74" i="1"/>
  <c r="N1030" i="1"/>
  <c r="N1134" i="1"/>
  <c r="N1483" i="1"/>
  <c r="N1484" i="1"/>
  <c r="N773" i="1"/>
  <c r="N1485" i="1"/>
  <c r="N1310" i="1"/>
  <c r="N1205" i="1"/>
  <c r="N1311" i="1"/>
  <c r="N1312" i="1"/>
  <c r="N1313" i="1"/>
  <c r="N253" i="1"/>
  <c r="N1206" i="1"/>
  <c r="N1314" i="1"/>
  <c r="N1391" i="1"/>
  <c r="N1207" i="1"/>
  <c r="N1392" i="1"/>
  <c r="N1033" i="1"/>
  <c r="N1208" i="1"/>
  <c r="N1393" i="1"/>
  <c r="N1394" i="1"/>
  <c r="N1315" i="1"/>
  <c r="N1395" i="1"/>
  <c r="N1316" i="1"/>
  <c r="N1317" i="1"/>
  <c r="N1396" i="1"/>
  <c r="N1209" i="1"/>
  <c r="N1035" i="1"/>
  <c r="N1318" i="1"/>
  <c r="N1210" i="1"/>
  <c r="N1319" i="1"/>
  <c r="N1036" i="1"/>
  <c r="N1397" i="1"/>
  <c r="N1320" i="1"/>
  <c r="N187" i="1"/>
  <c r="N189" i="1"/>
  <c r="N1211" i="1"/>
  <c r="N254" i="1"/>
  <c r="N370" i="1"/>
  <c r="N1398" i="1"/>
  <c r="N410" i="1"/>
  <c r="N1399" i="1"/>
  <c r="N255" i="1"/>
  <c r="N411" i="1"/>
  <c r="N977" i="1"/>
  <c r="N190" i="1"/>
  <c r="N256" i="1"/>
  <c r="N1400" i="1"/>
  <c r="N1401" i="1"/>
  <c r="N1402" i="1"/>
  <c r="N1321" i="1"/>
  <c r="N257" i="1"/>
  <c r="N1212" i="1"/>
  <c r="N857" i="1"/>
  <c r="N1213" i="1"/>
  <c r="N412" i="1"/>
  <c r="N1214" i="1"/>
  <c r="N704" i="1"/>
  <c r="N555" i="1"/>
  <c r="N1518" i="1"/>
  <c r="N1519" i="1"/>
  <c r="N192" i="1"/>
  <c r="N556" i="1"/>
  <c r="N258" i="1"/>
  <c r="N1135" i="1"/>
  <c r="N558" i="1"/>
  <c r="N1322" i="1"/>
  <c r="N1215" i="1"/>
  <c r="N602" i="1"/>
  <c r="N193" i="1"/>
  <c r="N259" i="1"/>
  <c r="N1403" i="1"/>
  <c r="N372" i="1"/>
  <c r="N194" i="1"/>
  <c r="N305" i="1"/>
  <c r="N195" i="1"/>
  <c r="N1323" i="1"/>
  <c r="N1216" i="1"/>
  <c r="N1136" i="1"/>
  <c r="N260" i="1"/>
  <c r="N1404" i="1"/>
  <c r="N1217" i="1"/>
  <c r="N561" i="1"/>
  <c r="N1218" i="1"/>
  <c r="N373" i="1"/>
  <c r="N261" i="1"/>
  <c r="N1219" i="1"/>
  <c r="N262" i="1"/>
  <c r="N914" i="1"/>
  <c r="N1324" i="1"/>
  <c r="N1137" i="1"/>
  <c r="N562" i="1"/>
  <c r="N706" i="1"/>
  <c r="N1220" i="1"/>
  <c r="N263" i="1"/>
  <c r="N264" i="1"/>
  <c r="N812" i="1"/>
  <c r="N1325" i="1"/>
  <c r="N1405" i="1"/>
  <c r="N374" i="1"/>
  <c r="N563" i="1"/>
  <c r="N1326" i="1"/>
  <c r="N265" i="1"/>
  <c r="N1406" i="1"/>
  <c r="N266" i="1"/>
  <c r="N267" i="1"/>
  <c r="N1221" i="1"/>
  <c r="N75" i="1"/>
  <c r="N1327" i="1"/>
  <c r="N947" i="1"/>
  <c r="N1407" i="1"/>
  <c r="N1408" i="1"/>
  <c r="N1138" i="1"/>
  <c r="N268" i="1"/>
  <c r="N730" i="1"/>
  <c r="N1222" i="1"/>
  <c r="N1086" i="1"/>
  <c r="N1087" i="1"/>
  <c r="N780" i="1"/>
  <c r="N269" i="1"/>
  <c r="N1139" i="1"/>
  <c r="N1223" i="1"/>
  <c r="N1224" i="1"/>
  <c r="N1140" i="1"/>
  <c r="N270" i="1"/>
  <c r="N1225" i="1"/>
  <c r="N832" i="1"/>
  <c r="N1088" i="1"/>
  <c r="N1328" i="1"/>
  <c r="N1141" i="1"/>
  <c r="N1409" i="1"/>
  <c r="N1089" i="1"/>
  <c r="N271" i="1"/>
  <c r="N1410" i="1"/>
  <c r="N1226" i="1"/>
  <c r="N1142" i="1"/>
  <c r="N424" i="1"/>
  <c r="N76" i="1"/>
  <c r="N129" i="1"/>
  <c r="N1143" i="1"/>
  <c r="N1144" i="1"/>
  <c r="N1589" i="1"/>
  <c r="N1411" i="1"/>
  <c r="N1145" i="1"/>
  <c r="N1597" i="1"/>
  <c r="N272" i="1"/>
  <c r="N273" i="1"/>
  <c r="N274" i="1"/>
  <c r="N275" i="1"/>
  <c r="N130" i="1"/>
  <c r="N276" i="1"/>
  <c r="N277" i="1"/>
  <c r="N78" i="1"/>
  <c r="N426" i="1"/>
  <c r="N81" i="1"/>
  <c r="N427" i="1"/>
  <c r="N1412" i="1"/>
  <c r="N833" i="1"/>
  <c r="N1413" i="1"/>
  <c r="N1090" i="1"/>
  <c r="N1414" i="1"/>
  <c r="N738" i="1"/>
  <c r="N1329" i="1"/>
  <c r="N781" i="1"/>
  <c r="N1227" i="1"/>
  <c r="N1091" i="1"/>
  <c r="N429" i="1"/>
  <c r="N1415" i="1"/>
  <c r="N197" i="1"/>
  <c r="N1146" i="1"/>
  <c r="N1041" i="1"/>
  <c r="N1147" i="1"/>
  <c r="N1330" i="1"/>
  <c r="N199" i="1"/>
  <c r="N1148" i="1"/>
  <c r="N278" i="1"/>
  <c r="N707" i="1"/>
  <c r="N376" i="1"/>
  <c r="N1228" i="1"/>
  <c r="N1042" i="1"/>
  <c r="N1149" i="1"/>
  <c r="N1612" i="1"/>
  <c r="N1416" i="1"/>
  <c r="N1092" i="1"/>
  <c r="N1093" i="1"/>
  <c r="N1417" i="1"/>
  <c r="N1094" i="1"/>
  <c r="N782" i="1"/>
  <c r="N1331" i="1"/>
  <c r="N783" i="1"/>
  <c r="N200" i="1"/>
  <c r="N1229" i="1"/>
  <c r="N1095" i="1"/>
  <c r="N1332" i="1"/>
  <c r="N784" i="1"/>
  <c r="N434" i="1"/>
  <c r="N313" i="1"/>
  <c r="N1043" i="1"/>
  <c r="N1418" i="1"/>
  <c r="N1230" i="1"/>
  <c r="N437" i="1"/>
  <c r="N1150" i="1"/>
  <c r="N1419" i="1"/>
  <c r="N1420" i="1"/>
  <c r="N1096" i="1"/>
  <c r="N685" i="1"/>
  <c r="N565" i="1"/>
  <c r="N525" i="1"/>
  <c r="N786" i="1"/>
  <c r="N787" i="1"/>
  <c r="N1097" i="1"/>
  <c r="N1098" i="1"/>
  <c r="N837" i="1"/>
  <c r="N1099" i="1"/>
  <c r="N527" i="1"/>
  <c r="N980" i="1"/>
  <c r="N981" i="1"/>
  <c r="N982" i="1"/>
  <c r="N203" i="1"/>
  <c r="N1100" i="1"/>
  <c r="N1101" i="1"/>
  <c r="N788" i="1"/>
  <c r="N789" i="1"/>
  <c r="N1102" i="1"/>
  <c r="N919" i="1"/>
  <c r="N204" i="1"/>
  <c r="N1421" i="1"/>
  <c r="N920" i="1"/>
  <c r="N377" i="1"/>
  <c r="N315" i="1"/>
  <c r="N648" i="1"/>
  <c r="N1044" i="1"/>
  <c r="N1046" i="1"/>
  <c r="N1231" i="1"/>
  <c r="N1151" i="1"/>
  <c r="N1152" i="1"/>
  <c r="N316" i="1"/>
  <c r="N442" i="1"/>
  <c r="N205" i="1"/>
  <c r="N206" i="1"/>
  <c r="N207" i="1"/>
  <c r="N710" i="1"/>
  <c r="N1333" i="1"/>
  <c r="N1047" i="1"/>
  <c r="N791" i="1"/>
  <c r="N530" i="1"/>
  <c r="N984" i="1"/>
  <c r="N1103" i="1"/>
  <c r="N792" i="1"/>
  <c r="N209" i="1"/>
  <c r="N1153" i="1"/>
  <c r="N1104" i="1"/>
  <c r="N793" i="1"/>
  <c r="N606" i="1"/>
  <c r="N82" i="1"/>
  <c r="N83" i="1"/>
  <c r="N794" i="1"/>
  <c r="N840" i="1"/>
  <c r="N950" i="1"/>
  <c r="N567" i="1"/>
  <c r="N649" i="1"/>
  <c r="N671" i="1"/>
  <c r="N890" i="1"/>
  <c r="N210" i="1"/>
  <c r="N1232" i="1"/>
  <c r="N1233" i="1"/>
  <c r="N795" i="1"/>
  <c r="N1105" i="1"/>
  <c r="N818" i="1"/>
  <c r="N1106" i="1"/>
  <c r="N796" i="1"/>
  <c r="N533" i="1"/>
  <c r="N672" i="1"/>
  <c r="N211" i="1"/>
  <c r="N319" i="1"/>
  <c r="N607" i="1"/>
  <c r="N986" i="1"/>
  <c r="N379" i="1"/>
  <c r="N380" i="1"/>
  <c r="N892" i="1"/>
  <c r="N987" i="1"/>
  <c r="N212" i="1"/>
  <c r="N446" i="1"/>
  <c r="N322" i="1"/>
  <c r="N534" i="1"/>
  <c r="N1422" i="1"/>
  <c r="N279" i="1"/>
  <c r="N568" i="1"/>
  <c r="N1423" i="1"/>
  <c r="N1334" i="1"/>
  <c r="N1048" i="1"/>
  <c r="N1234" i="1"/>
  <c r="N1235" i="1"/>
  <c r="N1154" i="1"/>
  <c r="N1155" i="1"/>
  <c r="N1424" i="1"/>
  <c r="N1156" i="1"/>
  <c r="N132" i="1"/>
  <c r="N133" i="1"/>
  <c r="N1157" i="1"/>
  <c r="N1425" i="1"/>
  <c r="N1158" i="1"/>
  <c r="N1335" i="1"/>
  <c r="N1049" i="1"/>
  <c r="N1336" i="1"/>
  <c r="N1050" i="1"/>
  <c r="N1107" i="1"/>
  <c r="N1237" i="1"/>
  <c r="N711" i="1"/>
  <c r="N1337" i="1"/>
  <c r="N1426" i="1"/>
  <c r="N1108" i="1"/>
  <c r="N1109" i="1"/>
  <c r="N1338" i="1"/>
  <c r="N1339" i="1"/>
  <c r="N1159" i="1"/>
  <c r="N1110" i="1"/>
  <c r="N134" i="1"/>
  <c r="N652" i="1"/>
  <c r="N608" i="1"/>
  <c r="N213" i="1"/>
  <c r="N84" i="1"/>
  <c r="N1427" i="1"/>
  <c r="N214" i="1"/>
  <c r="N1239" i="1"/>
  <c r="N1340" i="1"/>
  <c r="N1341" i="1"/>
  <c r="N1160" i="1"/>
  <c r="N951" i="1"/>
  <c r="N1240" i="1"/>
  <c r="N989" i="1"/>
  <c r="N1241" i="1"/>
  <c r="N215" i="1"/>
  <c r="N1242" i="1"/>
  <c r="N85" i="1"/>
  <c r="N86" i="1"/>
  <c r="N1051" i="1"/>
  <c r="N1161" i="1"/>
  <c r="N1342" i="1"/>
  <c r="N1243" i="1"/>
  <c r="N1244" i="1"/>
  <c r="N654" i="1"/>
  <c r="N1162" i="1"/>
  <c r="N746" i="1"/>
  <c r="N952" i="1"/>
  <c r="N536" i="1"/>
  <c r="N1245" i="1"/>
  <c r="N1673" i="1"/>
  <c r="N1246" i="1"/>
  <c r="N537" i="1"/>
  <c r="N538" i="1"/>
  <c r="N928" i="1"/>
  <c r="N609" i="1"/>
  <c r="N449" i="1"/>
  <c r="N450" i="1"/>
  <c r="N1247" i="1"/>
  <c r="N1163" i="1"/>
  <c r="N953" i="1"/>
  <c r="N1111" i="1"/>
  <c r="N1248" i="1"/>
  <c r="N954" i="1"/>
  <c r="N1343" i="1"/>
  <c r="N1344" i="1"/>
  <c r="N539" i="1"/>
  <c r="N216" i="1"/>
  <c r="N540" i="1"/>
  <c r="N541" i="1"/>
  <c r="N542" i="1"/>
  <c r="N381" i="1"/>
  <c r="N955" i="1"/>
  <c r="N139" i="1"/>
  <c r="N1346" i="1"/>
  <c r="N1249" i="1"/>
  <c r="N1164" i="1"/>
  <c r="N1165" i="1"/>
  <c r="N141" i="1"/>
  <c r="N142" i="1"/>
  <c r="N143" i="1"/>
  <c r="N1428" i="1"/>
  <c r="N1250" i="1"/>
  <c r="N1251" i="1"/>
  <c r="N1166" i="1"/>
  <c r="N1429" i="1"/>
  <c r="N1167" i="1"/>
  <c r="N1347" i="1"/>
  <c r="N1348" i="1"/>
  <c r="N929" i="1"/>
  <c r="N1052" i="1"/>
  <c r="N543" i="1"/>
  <c r="N144" i="1"/>
  <c r="N87" i="1"/>
  <c r="N145" i="1"/>
  <c r="N218" i="1"/>
  <c r="N88" i="1"/>
  <c r="N89" i="1"/>
  <c r="N1430" i="1"/>
  <c r="N1112" i="1"/>
  <c r="N686" i="1"/>
  <c r="N1349" i="1"/>
  <c r="N1350" i="1"/>
  <c r="N1351" i="1"/>
  <c r="N1352" i="1"/>
  <c r="N146" i="1"/>
  <c r="N1252" i="1"/>
  <c r="N1353" i="1"/>
  <c r="N1431" i="1"/>
  <c r="N1354" i="1"/>
  <c r="N957" i="1"/>
  <c r="N1253" i="1"/>
  <c r="N1254" i="1"/>
  <c r="N958" i="1"/>
  <c r="N991" i="1"/>
  <c r="N1255" i="1"/>
  <c r="N992" i="1"/>
  <c r="N1432" i="1"/>
  <c r="N1256" i="1"/>
  <c r="N1355" i="1"/>
  <c r="N1168" i="1"/>
  <c r="N1257" i="1"/>
  <c r="N687" i="1"/>
  <c r="N1258" i="1"/>
  <c r="N1259" i="1"/>
  <c r="N1055" i="1"/>
  <c r="N148" i="1"/>
  <c r="N569" i="1"/>
  <c r="N454" i="1"/>
  <c r="N1686" i="1"/>
  <c r="N1260" i="1"/>
  <c r="N1261" i="1"/>
  <c r="N1262" i="1"/>
  <c r="N1263" i="1"/>
  <c r="N1356" i="1"/>
  <c r="N960" i="1"/>
  <c r="N1264" i="1"/>
  <c r="N1265" i="1"/>
  <c r="N149" i="1"/>
  <c r="N1690" i="1"/>
  <c r="N1057" i="1"/>
  <c r="N1357" i="1"/>
  <c r="N1266" i="1"/>
  <c r="N1433" i="1"/>
  <c r="N1267" i="1"/>
  <c r="N150" i="1"/>
  <c r="N152" i="1"/>
  <c r="N1058" i="1"/>
  <c r="N457" i="1"/>
  <c r="N1695" i="1"/>
  <c r="N1268" i="1"/>
  <c r="N1358" i="1"/>
  <c r="N962" i="1"/>
  <c r="N1059" i="1"/>
  <c r="N280" i="1"/>
  <c r="N930" i="1"/>
  <c r="N1169" i="1"/>
  <c r="N688" i="1"/>
  <c r="N993" i="1"/>
  <c r="N689" i="1"/>
  <c r="N690" i="1"/>
  <c r="N219" i="1"/>
  <c r="N91" i="1"/>
  <c r="N281" i="1"/>
  <c r="N1170" i="1"/>
  <c r="N1171" i="1"/>
  <c r="N1172" i="1"/>
  <c r="N611" i="1"/>
  <c r="N282" i="1"/>
  <c r="N612" i="1"/>
  <c r="N1173" i="1"/>
  <c r="N1060" i="1"/>
  <c r="N823" i="1"/>
  <c r="N824" i="1"/>
  <c r="N220" i="1"/>
  <c r="N221" i="1"/>
  <c r="N92" i="1"/>
  <c r="N153" i="1"/>
  <c r="N154" i="1"/>
  <c r="N613" i="1"/>
  <c r="N614" i="1"/>
  <c r="N283" i="1"/>
  <c r="N1174" i="1"/>
  <c r="N284" i="1"/>
  <c r="N615" i="1"/>
  <c r="N1434" i="1"/>
  <c r="N383" i="1"/>
  <c r="N1175" i="1"/>
  <c r="N1269" i="1"/>
  <c r="N1435" i="1"/>
  <c r="N1360" i="1"/>
  <c r="N963" i="1"/>
  <c r="N93" i="1"/>
  <c r="N285" i="1"/>
  <c r="N94" i="1"/>
  <c r="N156" i="1"/>
  <c r="N157" i="1"/>
  <c r="N616" i="1"/>
  <c r="N617" i="1"/>
  <c r="N618" i="1"/>
  <c r="N286" i="1"/>
  <c r="N619" i="1"/>
  <c r="N1436" i="1"/>
  <c r="N620" i="1"/>
  <c r="N621" i="1"/>
  <c r="N334" i="1"/>
  <c r="N385" i="1"/>
  <c r="N622" i="1"/>
  <c r="N623" i="1"/>
  <c r="N1176" i="1"/>
  <c r="N624" i="1"/>
  <c r="N625" i="1"/>
  <c r="N626" i="1"/>
  <c r="N627" i="1"/>
  <c r="N628" i="1"/>
  <c r="N1177" i="1"/>
  <c r="N1437" i="1"/>
  <c r="N1438" i="1"/>
  <c r="N1361" i="1"/>
  <c r="N1270" i="1"/>
  <c r="N629" i="1"/>
  <c r="N1439" i="1"/>
  <c r="N1703" i="1"/>
  <c r="N630" i="1"/>
  <c r="N335" i="1"/>
  <c r="N158" i="1"/>
  <c r="N631" i="1"/>
  <c r="N287" i="1"/>
  <c r="N632" i="1"/>
  <c r="N1362" i="1"/>
  <c r="N1363" i="1"/>
  <c r="N1271" i="1"/>
  <c r="N1272" i="1"/>
  <c r="N1364" i="1"/>
  <c r="N1273" i="1"/>
  <c r="N1707" i="1"/>
  <c r="N458" i="1"/>
  <c r="N1178" i="1"/>
  <c r="N95" i="1"/>
  <c r="N159" i="1"/>
  <c r="N1709" i="1"/>
  <c r="N337" i="1"/>
  <c r="N994" i="1"/>
  <c r="N931" i="1"/>
  <c r="N932" i="1"/>
  <c r="N1113" i="1"/>
  <c r="N459" i="1"/>
  <c r="N96" i="1"/>
  <c r="N1179" i="1"/>
  <c r="N460" i="1"/>
  <c r="N1710" i="1"/>
  <c r="N97" i="1"/>
  <c r="N461" i="1"/>
  <c r="N1274" i="1"/>
  <c r="N463" i="1"/>
  <c r="N99" i="1"/>
  <c r="N1440" i="1"/>
  <c r="N464" i="1"/>
  <c r="N222" i="1"/>
  <c r="N223" i="1"/>
  <c r="N338" i="1"/>
  <c r="N339" i="1"/>
  <c r="N826" i="1"/>
  <c r="N466" i="1"/>
  <c r="N467" i="1"/>
  <c r="N468" i="1"/>
  <c r="N1713" i="1"/>
  <c r="N226" i="1"/>
  <c r="N386" i="1"/>
  <c r="N344" i="1"/>
  <c r="N1441" i="1"/>
  <c r="N1062" i="1"/>
  <c r="N1180" i="1"/>
  <c r="N867" i="1"/>
  <c r="N1114" i="1"/>
  <c r="N1442" i="1"/>
  <c r="N842" i="1"/>
  <c r="N933" i="1"/>
  <c r="N1181" i="1"/>
  <c r="N691" i="1"/>
  <c r="N692" i="1"/>
  <c r="N387" i="1"/>
  <c r="N388" i="1"/>
  <c r="N472" i="1"/>
  <c r="N473" i="1"/>
  <c r="N288" i="1"/>
  <c r="N843" i="1"/>
  <c r="N1182" i="1"/>
  <c r="N844" i="1"/>
  <c r="N1183" i="1"/>
  <c r="N227" i="1"/>
  <c r="N1443" i="1"/>
  <c r="N1275" i="1"/>
  <c r="N1276" i="1"/>
  <c r="N1444" i="1"/>
  <c r="N1277" i="1"/>
  <c r="N693" i="1"/>
  <c r="N161" i="1"/>
  <c r="N162" i="1"/>
  <c r="N228" i="1"/>
  <c r="N1278" i="1"/>
  <c r="N1279" i="1"/>
  <c r="N346" i="1"/>
  <c r="N1115" i="1"/>
  <c r="N934" i="1"/>
  <c r="N694" i="1"/>
  <c r="N1280" i="1"/>
  <c r="N845" i="1"/>
  <c r="N846" i="1"/>
  <c r="N695" i="1"/>
  <c r="N1365" i="1"/>
  <c r="N696" i="1"/>
  <c r="N847" i="1"/>
  <c r="N1116" i="1"/>
  <c r="N1184" i="1"/>
  <c r="N163" i="1"/>
  <c r="N100" i="1"/>
  <c r="N798" i="1"/>
  <c r="N660" i="1"/>
  <c r="N716" i="1"/>
  <c r="N389" i="1"/>
  <c r="N697" i="1"/>
  <c r="N1366" i="1"/>
  <c r="N935" i="1"/>
  <c r="N996" i="1"/>
  <c r="N164" i="1"/>
  <c r="N229" i="1"/>
  <c r="N591" i="1"/>
  <c r="N101" i="1"/>
  <c r="N936" i="1"/>
  <c r="N1117" i="1"/>
  <c r="N1281" i="1"/>
  <c r="N698" i="1"/>
  <c r="N1282" i="1"/>
  <c r="N390" i="1"/>
  <c r="N391" i="1"/>
  <c r="N230" i="1"/>
  <c r="N392" i="1"/>
  <c r="N827" i="1"/>
  <c r="N477" i="1"/>
  <c r="N848" i="1"/>
  <c r="N849" i="1"/>
  <c r="N1185" i="1"/>
  <c r="N1367" i="1"/>
  <c r="N1368" i="1"/>
  <c r="N231" i="1"/>
  <c r="N478" i="1"/>
  <c r="N1729" i="1"/>
  <c r="N102" i="1"/>
  <c r="N104" i="1"/>
  <c r="N850" i="1"/>
  <c r="N699" i="1"/>
  <c r="N289" i="1"/>
  <c r="N937" i="1"/>
  <c r="N1118" i="1"/>
  <c r="N998" i="1"/>
  <c r="N999" i="1"/>
  <c r="N393" i="1"/>
  <c r="N938" i="1"/>
  <c r="N1119" i="1"/>
  <c r="N546" i="1"/>
  <c r="N290" i="1"/>
  <c r="N291" i="1"/>
  <c r="N939" i="1"/>
  <c r="N105" i="1"/>
  <c r="N165" i="1"/>
  <c r="N232" i="1"/>
  <c r="N634" i="1"/>
  <c r="N1283" i="1"/>
  <c r="N1284" i="1"/>
  <c r="N166" i="1"/>
  <c r="N167" i="1"/>
  <c r="N1369" i="1"/>
  <c r="N169" i="1"/>
  <c r="N700" i="1"/>
  <c r="N635" i="1"/>
  <c r="N170" i="1"/>
  <c r="N171" i="1"/>
  <c r="N762" i="1"/>
  <c r="N1186" i="1"/>
  <c r="N106" i="1"/>
  <c r="N107" i="1"/>
  <c r="N1285" i="1"/>
  <c r="N1120" i="1"/>
  <c r="N1187" i="1"/>
  <c r="N395" i="1"/>
  <c r="N397" i="1"/>
  <c r="N398" i="1"/>
  <c r="N399" i="1"/>
  <c r="N570" i="1"/>
  <c r="N680" i="1"/>
  <c r="N400" i="1"/>
  <c r="N108" i="1"/>
  <c r="N109" i="1"/>
  <c r="N1188" i="1"/>
  <c r="N401" i="1"/>
  <c r="N172" i="1"/>
  <c r="N292" i="1"/>
  <c r="N1370" i="1"/>
  <c r="N110" i="1"/>
  <c r="N234" i="1"/>
  <c r="N547" i="1"/>
  <c r="N235" i="1"/>
  <c r="N1189" i="1"/>
  <c r="N548" i="1"/>
  <c r="N549" i="1"/>
  <c r="N356" i="1"/>
  <c r="N1445" i="1"/>
  <c r="N1286" i="1"/>
  <c r="N851" i="1"/>
  <c r="N764" i="1"/>
  <c r="N1371" i="1"/>
  <c r="N1287" i="1"/>
  <c r="N1748" i="1"/>
  <c r="N173" i="1"/>
  <c r="N1288" i="1"/>
  <c r="N1190" i="1"/>
  <c r="N571" i="1"/>
  <c r="N236" i="1"/>
  <c r="N237" i="1"/>
  <c r="N550" i="1"/>
  <c r="N1446" i="1"/>
  <c r="N940" i="1"/>
  <c r="N941" i="1"/>
  <c r="N402" i="1"/>
  <c r="N551" i="1"/>
  <c r="N238" i="1"/>
  <c r="N1191" i="1"/>
  <c r="N906" i="1"/>
  <c r="N485" i="1"/>
  <c r="N852" i="1"/>
  <c r="N1121" i="1"/>
  <c r="N1447" i="1"/>
  <c r="N701" i="1"/>
  <c r="N1289" i="1"/>
  <c r="N702" i="1"/>
  <c r="N1290" i="1"/>
  <c r="N637" i="1"/>
  <c r="N638" i="1"/>
  <c r="N663" i="1"/>
  <c r="N363" i="1"/>
  <c r="N1448" i="1"/>
  <c r="N239" i="1"/>
  <c r="N403" i="1"/>
  <c r="N1291" i="1"/>
  <c r="N1122" i="1"/>
  <c r="N967" i="1"/>
  <c r="N1066" i="1"/>
  <c r="N1372" i="1"/>
  <c r="N1067" i="1"/>
  <c r="N1292" i="1"/>
  <c r="N1004" i="1"/>
  <c r="N1005" i="1"/>
  <c r="N1373" i="1"/>
  <c r="N1293" i="1"/>
  <c r="N113" i="1"/>
  <c r="N114" i="1"/>
  <c r="N293" i="1"/>
  <c r="N294" i="1"/>
  <c r="N1068" i="1"/>
  <c r="N1374" i="1"/>
  <c r="N969" i="1"/>
  <c r="N1375" i="1"/>
  <c r="N1294" i="1"/>
  <c r="N970" i="1"/>
  <c r="N971" i="1"/>
  <c r="N1069" i="1"/>
  <c r="N1123" i="1"/>
  <c r="N972" i="1"/>
  <c r="N1295" i="1"/>
  <c r="N1296" i="1"/>
  <c r="N973" i="1"/>
  <c r="N404" i="1"/>
  <c r="N240" i="1"/>
  <c r="N241" i="1"/>
  <c r="N717" i="1"/>
  <c r="N974" i="1"/>
  <c r="N975" i="1"/>
  <c r="N1376" i="1"/>
  <c r="N1297" i="1"/>
  <c r="N1757" i="1"/>
  <c r="N853" i="1"/>
  <c r="N854" i="1"/>
  <c r="N242" i="1"/>
  <c r="N405" i="1"/>
  <c r="N908" i="1"/>
  <c r="N1070" i="1"/>
  <c r="N1009" i="1"/>
  <c r="N243" i="1"/>
  <c r="N683" i="1"/>
  <c r="N640" i="1"/>
  <c r="N177" i="1"/>
  <c r="N1071" i="1"/>
  <c r="N365" i="1"/>
  <c r="N1377" i="1"/>
  <c r="N1072" i="1"/>
  <c r="N642" i="1"/>
  <c r="N1192" i="1"/>
  <c r="N720" i="1"/>
  <c r="N523" i="1"/>
  <c r="N491" i="1"/>
  <c r="N116" i="1"/>
  <c r="N178" i="1"/>
  <c r="N117" i="1"/>
  <c r="N575" i="1"/>
  <c r="N492" i="1"/>
  <c r="N1298" i="1"/>
  <c r="N1299" i="1"/>
  <c r="N1010" i="1"/>
  <c r="N119" i="1"/>
  <c r="N120" i="1"/>
  <c r="N179" i="1"/>
  <c r="N1759" i="1"/>
  <c r="N855" i="1"/>
  <c r="N180" i="1"/>
  <c r="N1760" i="1"/>
  <c r="N121" i="1"/>
  <c r="N1761" i="1"/>
  <c r="N1762" i="1"/>
  <c r="N1300" i="1"/>
  <c r="N1193" i="1"/>
  <c r="N1378" i="1"/>
  <c r="N1073" i="1"/>
  <c r="N1075" i="1"/>
  <c r="N1076" i="1"/>
  <c r="N1301" i="1"/>
  <c r="N244" i="1"/>
  <c r="N494" i="1"/>
  <c r="N552" i="1"/>
  <c r="N1379" i="1"/>
  <c r="N703" i="1"/>
  <c r="N1011" i="1"/>
  <c r="N1012" i="1"/>
  <c r="N295" i="1"/>
  <c r="N1449" i="1"/>
  <c r="N1380" i="1"/>
  <c r="N1014" i="1"/>
  <c r="N1124" i="1"/>
  <c r="N1015" i="1"/>
  <c r="N1450" i="1"/>
  <c r="N1451" i="1"/>
  <c r="N1125" i="1"/>
  <c r="N829" i="1"/>
  <c r="N576" i="1"/>
  <c r="N1381" i="1"/>
  <c r="N1302" i="1"/>
  <c r="N874" i="1"/>
  <c r="N1078" i="1"/>
  <c r="N1194" i="1"/>
  <c r="N1079" i="1"/>
  <c r="N1195" i="1"/>
  <c r="N1080" i="1"/>
  <c r="N1126" i="1"/>
  <c r="N976" i="1"/>
  <c r="N942" i="1"/>
  <c r="N769" i="1"/>
  <c r="N1127" i="1"/>
  <c r="N1128" i="1"/>
  <c r="N1382" i="1"/>
  <c r="N181" i="1"/>
  <c r="N182" i="1"/>
  <c r="N183" i="1"/>
  <c r="N122" i="1"/>
  <c r="N123" i="1"/>
  <c r="N124" i="1"/>
  <c r="N1129" i="1"/>
  <c r="N1081" i="1"/>
  <c r="N1452" i="1"/>
  <c r="N1016" i="1"/>
  <c r="N1082" i="1"/>
  <c r="N1196" i="1"/>
  <c r="N125" i="1"/>
  <c r="N1303" i="1"/>
  <c r="N1383" i="1"/>
  <c r="N1453" i="1"/>
  <c r="N1017" i="1"/>
  <c r="N1304" i="1"/>
  <c r="N1018" i="1"/>
  <c r="N643" i="1"/>
  <c r="N367" i="1"/>
  <c r="N1197" i="1"/>
  <c r="N770" i="1"/>
  <c r="N1768" i="1"/>
  <c r="N184" i="1"/>
  <c r="N1770" i="1"/>
  <c r="N1305" i="1"/>
  <c r="N944" i="1"/>
  <c r="N1084" i="1"/>
  <c r="N1454" i="1"/>
  <c r="N126" i="1"/>
  <c r="N185" i="1"/>
  <c r="N186" i="1"/>
  <c r="N598" i="1"/>
  <c r="N830" i="1"/>
  <c r="H120" i="2"/>
  <c r="H119" i="2"/>
  <c r="H118" i="2"/>
  <c r="H117" i="2"/>
  <c r="H116" i="2"/>
  <c r="H115" i="2"/>
  <c r="H114" i="2"/>
  <c r="H113" i="2"/>
  <c r="H112" i="2"/>
  <c r="H111" i="2"/>
  <c r="H110" i="2"/>
  <c r="D110" i="2"/>
  <c r="N1506" i="1" s="1"/>
  <c r="H109" i="2"/>
  <c r="D109" i="2"/>
  <c r="H108" i="2"/>
  <c r="D108" i="2"/>
  <c r="H107" i="2"/>
  <c r="D107" i="2"/>
  <c r="H106" i="2"/>
  <c r="D106" i="2"/>
  <c r="N151" i="1" s="1"/>
  <c r="H105" i="2"/>
  <c r="D105" i="2"/>
  <c r="H104" i="2"/>
  <c r="D104" i="2"/>
  <c r="H103" i="2"/>
  <c r="D103" i="2"/>
  <c r="H102" i="2"/>
  <c r="D102" i="2"/>
  <c r="H101" i="2"/>
  <c r="D101" i="2"/>
  <c r="H100" i="2"/>
  <c r="D100" i="2"/>
  <c r="H99" i="2"/>
  <c r="D99" i="2"/>
  <c r="H98" i="2"/>
  <c r="D98" i="2"/>
  <c r="H97" i="2"/>
  <c r="D97" i="2"/>
  <c r="H96" i="2"/>
  <c r="D96" i="2"/>
  <c r="H95" i="2"/>
  <c r="D95" i="2"/>
  <c r="H94" i="2"/>
  <c r="D94" i="2"/>
  <c r="H93" i="2"/>
  <c r="D93" i="2"/>
  <c r="H92" i="2"/>
  <c r="D92" i="2"/>
  <c r="N1040" i="1" s="1"/>
  <c r="H91" i="2"/>
  <c r="D91" i="2"/>
  <c r="H90" i="2"/>
  <c r="D90" i="2"/>
  <c r="N1456" i="1" s="1"/>
  <c r="H89" i="2"/>
  <c r="D89" i="2"/>
  <c r="H88" i="2"/>
  <c r="D88" i="2"/>
  <c r="N1486" i="1" s="1"/>
  <c r="H87" i="2"/>
  <c r="D87" i="2"/>
  <c r="H86" i="2"/>
  <c r="D86" i="2"/>
  <c r="H85" i="2"/>
  <c r="D85" i="2"/>
  <c r="H84" i="2"/>
  <c r="D84" i="2"/>
  <c r="H83" i="2"/>
  <c r="D83" i="2"/>
  <c r="H82" i="2"/>
  <c r="D82" i="2"/>
  <c r="H81" i="2"/>
  <c r="D81" i="2"/>
  <c r="H80" i="2"/>
  <c r="D80" i="2"/>
  <c r="H79" i="2"/>
  <c r="D79" i="2"/>
  <c r="H78" i="2"/>
  <c r="D78" i="2"/>
  <c r="H77" i="2"/>
  <c r="D77" i="2"/>
  <c r="H76" i="2"/>
  <c r="D76" i="2"/>
  <c r="N979" i="1" s="1"/>
  <c r="H75" i="2"/>
  <c r="D75" i="2"/>
  <c r="H74" i="2"/>
  <c r="D74" i="2"/>
  <c r="H73" i="2"/>
  <c r="D73" i="2"/>
  <c r="H72" i="2"/>
  <c r="D72" i="2"/>
  <c r="H71" i="2"/>
  <c r="D71" i="2"/>
  <c r="H70" i="2"/>
  <c r="D70" i="2"/>
  <c r="H69" i="2"/>
  <c r="D69" i="2"/>
  <c r="H68" i="2"/>
  <c r="D68" i="2"/>
  <c r="H67" i="2"/>
  <c r="D67" i="2"/>
  <c r="H66" i="2"/>
  <c r="D66" i="2"/>
  <c r="H65" i="2"/>
  <c r="D65" i="2"/>
  <c r="H64" i="2"/>
  <c r="D64" i="2"/>
  <c r="H63" i="2"/>
  <c r="D63" i="2"/>
  <c r="H62" i="2"/>
  <c r="D62" i="2"/>
  <c r="H61" i="2"/>
  <c r="D61" i="2"/>
  <c r="H60" i="2"/>
  <c r="D60" i="2"/>
  <c r="H59" i="2"/>
  <c r="D59" i="2"/>
  <c r="H58" i="2"/>
  <c r="D58" i="2"/>
  <c r="H57" i="2"/>
  <c r="D57" i="2"/>
  <c r="H56" i="2"/>
  <c r="D56" i="2"/>
  <c r="H55" i="2"/>
  <c r="D55" i="2"/>
  <c r="H54" i="2"/>
  <c r="D54" i="2"/>
  <c r="H53" i="2"/>
  <c r="D53" i="2"/>
  <c r="N918" i="1" s="1"/>
  <c r="H52" i="2"/>
  <c r="D52" i="2"/>
  <c r="H51" i="2"/>
  <c r="D51" i="2"/>
  <c r="H50" i="2"/>
  <c r="D50" i="2"/>
  <c r="H49" i="2"/>
  <c r="D49" i="2"/>
  <c r="H48" i="2"/>
  <c r="D48" i="2"/>
  <c r="H47" i="2"/>
  <c r="D47" i="2"/>
  <c r="H46" i="2"/>
  <c r="D46" i="2"/>
  <c r="H45" i="2"/>
  <c r="D45" i="2"/>
  <c r="H44" i="2"/>
  <c r="D44" i="2"/>
  <c r="H43" i="2"/>
  <c r="D43" i="2"/>
  <c r="H42" i="2"/>
  <c r="D42" i="2"/>
  <c r="H41" i="2"/>
  <c r="D41" i="2"/>
  <c r="H40" i="2"/>
  <c r="D40" i="2"/>
  <c r="N995" i="1" s="1"/>
  <c r="H39" i="2"/>
  <c r="D39" i="2"/>
  <c r="H38" i="2"/>
  <c r="D38" i="2"/>
  <c r="H37" i="2"/>
  <c r="D37" i="2"/>
  <c r="H36" i="2"/>
  <c r="D36" i="2"/>
  <c r="H35" i="2"/>
  <c r="D35" i="2"/>
  <c r="H34" i="2"/>
  <c r="D34" i="2"/>
  <c r="H33" i="2"/>
  <c r="D33" i="2"/>
  <c r="H32" i="2"/>
  <c r="D32" i="2"/>
  <c r="H31" i="2"/>
  <c r="D31" i="2"/>
  <c r="H30" i="2"/>
  <c r="D30" i="2"/>
  <c r="H29" i="2"/>
  <c r="D29" i="2"/>
  <c r="H28" i="2"/>
  <c r="D28" i="2"/>
  <c r="H27" i="2"/>
  <c r="D27" i="2"/>
  <c r="H26" i="2"/>
  <c r="D26" i="2"/>
  <c r="H25" i="2"/>
  <c r="D25" i="2"/>
  <c r="N198" i="1" s="1"/>
  <c r="H24" i="2"/>
  <c r="D24" i="2"/>
  <c r="H23" i="2"/>
  <c r="D23" i="2"/>
  <c r="H22" i="2"/>
  <c r="D22" i="2"/>
  <c r="H21" i="2"/>
  <c r="D21" i="2"/>
  <c r="H20" i="2"/>
  <c r="D20" i="2"/>
  <c r="H19" i="2"/>
  <c r="D19" i="2"/>
  <c r="N1045" i="1" s="1"/>
  <c r="H18" i="2"/>
  <c r="D18" i="2"/>
  <c r="H17" i="2"/>
  <c r="D17" i="2"/>
  <c r="H16" i="2"/>
  <c r="D16" i="2"/>
  <c r="H15" i="2"/>
  <c r="D15" i="2"/>
  <c r="H14" i="2"/>
  <c r="D14" i="2"/>
  <c r="N1359" i="1" s="1"/>
  <c r="H13" i="2"/>
  <c r="D13" i="2"/>
  <c r="H12" i="2"/>
  <c r="D12" i="2"/>
  <c r="H11" i="2"/>
  <c r="D11" i="2"/>
  <c r="H10" i="2"/>
  <c r="D10" i="2"/>
  <c r="H9" i="2"/>
  <c r="D9" i="2"/>
  <c r="H8" i="2"/>
  <c r="D8" i="2"/>
  <c r="H7" i="2"/>
  <c r="D7" i="2"/>
  <c r="H6" i="2"/>
  <c r="D6" i="2"/>
  <c r="N1238" i="1" s="1"/>
  <c r="H5" i="2"/>
  <c r="D5" i="2"/>
  <c r="N894" i="1" s="1"/>
  <c r="H4" i="2"/>
  <c r="D4" i="2"/>
  <c r="H3" i="2"/>
  <c r="D3" i="2"/>
  <c r="H2" i="2"/>
  <c r="D2" i="2"/>
  <c r="N430" i="1" l="1"/>
  <c r="N359" i="1"/>
  <c r="N364" i="1"/>
  <c r="N419" i="1"/>
  <c r="N420" i="1"/>
  <c r="N432" i="1"/>
  <c r="N435" i="1"/>
  <c r="N469" i="1"/>
  <c r="N484" i="1"/>
  <c r="N422" i="1"/>
  <c r="N309" i="1"/>
  <c r="N423" i="1"/>
  <c r="N441" i="1"/>
  <c r="N325" i="1"/>
  <c r="N445" i="1"/>
  <c r="N328" i="1"/>
  <c r="N341" i="1"/>
  <c r="N369" i="1"/>
  <c r="N433" i="1"/>
  <c r="N440" i="1"/>
  <c r="N470" i="1"/>
  <c r="N483" i="1"/>
  <c r="N300" i="1"/>
  <c r="N436" i="1"/>
  <c r="N317" i="1"/>
  <c r="N324" i="1"/>
  <c r="N336" i="1"/>
  <c r="N480" i="1"/>
  <c r="N447" i="1"/>
  <c r="N323" i="1"/>
  <c r="N347" i="1"/>
  <c r="N310" i="1"/>
  <c r="N475" i="1"/>
  <c r="N366" i="1"/>
  <c r="N368" i="1"/>
  <c r="N299" i="1"/>
  <c r="N345" i="1"/>
  <c r="N451" i="1"/>
  <c r="N327" i="1"/>
  <c r="N350" i="1"/>
  <c r="N357" i="1"/>
  <c r="N308" i="1"/>
  <c r="N465" i="1"/>
  <c r="N351" i="1"/>
  <c r="N358" i="1"/>
  <c r="N311" i="1"/>
  <c r="N443" i="1"/>
  <c r="N352" i="1"/>
  <c r="N355" i="1"/>
  <c r="N415" i="1"/>
  <c r="N444" i="1"/>
  <c r="N296" i="1"/>
  <c r="N330" i="1"/>
  <c r="N332" i="1"/>
  <c r="N297" i="1"/>
  <c r="N497" i="1"/>
  <c r="N578" i="1"/>
  <c r="N581" i="1"/>
  <c r="N577" i="1"/>
  <c r="N580" i="1"/>
  <c r="N584" i="1"/>
  <c r="N522" i="1"/>
  <c r="N500" i="1"/>
  <c r="N516" i="1"/>
  <c r="N579" i="1"/>
  <c r="N585" i="1"/>
  <c r="N513" i="1"/>
  <c r="N517" i="1"/>
  <c r="N596" i="1"/>
  <c r="N597" i="1"/>
  <c r="N506" i="1"/>
  <c r="N590" i="1"/>
  <c r="N518" i="1"/>
  <c r="N504" i="1"/>
  <c r="N496" i="1"/>
  <c r="N498" i="1"/>
  <c r="N501" i="1"/>
  <c r="N505" i="1"/>
  <c r="N599" i="1"/>
  <c r="N499" i="1"/>
  <c r="N587" i="1"/>
  <c r="N595" i="1"/>
  <c r="N588" i="1"/>
  <c r="N593" i="1"/>
  <c r="N507" i="1"/>
  <c r="N582" i="1"/>
  <c r="N508" i="1"/>
  <c r="N509" i="1"/>
  <c r="N586" i="1"/>
  <c r="N510" i="1"/>
  <c r="N514" i="1"/>
  <c r="N589" i="1"/>
  <c r="N583" i="1"/>
  <c r="N592" i="1"/>
  <c r="N594" i="1"/>
  <c r="N502" i="1"/>
  <c r="N519" i="1"/>
  <c r="N503" i="1"/>
  <c r="N524" i="1"/>
  <c r="N47" i="1"/>
  <c r="N1697" i="1"/>
  <c r="N1682" i="1"/>
  <c r="N16" i="1"/>
  <c r="N1640" i="1"/>
  <c r="N1745" i="1"/>
  <c r="N904" i="1"/>
  <c r="N1724" i="1"/>
  <c r="N453" i="1"/>
  <c r="N1681" i="1"/>
  <c r="N1623" i="1"/>
  <c r="N1492" i="1"/>
  <c r="N723" i="1"/>
  <c r="N521" i="1"/>
  <c r="N758" i="1"/>
  <c r="N452" i="1"/>
  <c r="N1622" i="1"/>
  <c r="N1022" i="1"/>
  <c r="N1027" i="1"/>
  <c r="N1039" i="1"/>
  <c r="N1020" i="1"/>
  <c r="N1021" i="1"/>
  <c r="N1683" i="1"/>
  <c r="N511" i="1"/>
  <c r="N1765" i="1"/>
  <c r="N750" i="1"/>
  <c r="N1013" i="1"/>
  <c r="N520" i="1"/>
  <c r="N1678" i="1"/>
  <c r="N893" i="1"/>
  <c r="N1737" i="1"/>
  <c r="N1677" i="1"/>
  <c r="N1576" i="1"/>
  <c r="N725" i="1"/>
  <c r="N1736" i="1"/>
  <c r="N512" i="1"/>
  <c r="N1665" i="1"/>
  <c r="N1544" i="1"/>
  <c r="N1083" i="1"/>
  <c r="N56" i="1"/>
  <c r="N1667" i="1"/>
  <c r="N418" i="1"/>
  <c r="N14" i="1"/>
  <c r="N27" i="1"/>
  <c r="N37" i="1"/>
  <c r="N50" i="1"/>
  <c r="N897" i="1"/>
  <c r="N52" i="1"/>
  <c r="N903" i="1"/>
  <c r="N60" i="1"/>
  <c r="N3" i="1"/>
  <c r="N7" i="1"/>
  <c r="N10" i="1"/>
  <c r="N18" i="1"/>
  <c r="N898" i="1"/>
  <c r="N40" i="1"/>
  <c r="N46" i="1"/>
  <c r="N896" i="1"/>
  <c r="N54" i="1"/>
  <c r="N64" i="1"/>
  <c r="N35" i="1"/>
  <c r="N41" i="1"/>
  <c r="N65" i="1"/>
  <c r="N5" i="1"/>
  <c r="N24" i="1"/>
  <c r="N31" i="1"/>
  <c r="N33" i="1"/>
  <c r="N38" i="1"/>
  <c r="N8" i="1"/>
  <c r="N25" i="1"/>
  <c r="N61" i="1"/>
  <c r="N32" i="1"/>
  <c r="N19" i="1"/>
  <c r="N51" i="1"/>
  <c r="N57" i="1"/>
  <c r="N20" i="1"/>
  <c r="N43" i="1"/>
  <c r="N53" i="1"/>
  <c r="N44" i="1"/>
  <c r="N55" i="1"/>
  <c r="N17" i="1"/>
  <c r="N21" i="1"/>
  <c r="N26" i="1"/>
  <c r="N899" i="1"/>
  <c r="N39" i="1"/>
  <c r="N42" i="1"/>
  <c r="N6" i="1"/>
  <c r="N9" i="1"/>
  <c r="N11" i="1"/>
  <c r="N15" i="1"/>
  <c r="N22" i="1"/>
  <c r="N28" i="1"/>
  <c r="N48" i="1"/>
  <c r="N23" i="1"/>
  <c r="N29" i="1"/>
  <c r="N34" i="1"/>
  <c r="N30" i="1"/>
  <c r="N900" i="1"/>
  <c r="N49" i="1"/>
  <c r="N58" i="1"/>
  <c r="N62" i="1"/>
  <c r="N63" i="1"/>
  <c r="N36" i="1"/>
  <c r="N59" i="1"/>
  <c r="N12" i="1"/>
  <c r="N13" i="1"/>
  <c r="N924" i="1"/>
  <c r="N917" i="1"/>
  <c r="N921" i="1"/>
  <c r="N925" i="1"/>
  <c r="N926" i="1"/>
  <c r="N922" i="1"/>
  <c r="N915" i="1"/>
  <c r="N1019" i="1"/>
  <c r="N927" i="1"/>
  <c r="N1063" i="1"/>
  <c r="N1077" i="1"/>
  <c r="N1031" i="1"/>
  <c r="N1037" i="1"/>
  <c r="N923" i="1"/>
  <c r="N724" i="1"/>
  <c r="N759" i="1"/>
  <c r="N727" i="1"/>
  <c r="N722" i="1"/>
  <c r="N743" i="1"/>
  <c r="N1000" i="1"/>
  <c r="N763" i="1"/>
  <c r="N1003" i="1"/>
  <c r="N736" i="1"/>
  <c r="N760" i="1"/>
  <c r="N997" i="1"/>
  <c r="N1002" i="1"/>
  <c r="N745" i="1"/>
  <c r="N728" i="1"/>
  <c r="N1001" i="1"/>
  <c r="N882" i="1"/>
  <c r="N883" i="1"/>
  <c r="N885" i="1"/>
  <c r="N880" i="1"/>
  <c r="N879" i="1"/>
  <c r="N902" i="1"/>
  <c r="N905" i="1"/>
  <c r="N881" i="1"/>
  <c r="N884" i="1"/>
  <c r="N886" i="1"/>
  <c r="N751" i="1"/>
  <c r="N756" i="1"/>
  <c r="N757" i="1"/>
  <c r="N734" i="1"/>
  <c r="N772" i="1"/>
  <c r="N742" i="1"/>
  <c r="N768" i="1"/>
  <c r="N737" i="1"/>
  <c r="N765" i="1"/>
  <c r="N766" i="1"/>
  <c r="N767" i="1"/>
  <c r="N761" i="1"/>
  <c r="N752" i="1"/>
  <c r="N748" i="1"/>
  <c r="N1487" i="1"/>
  <c r="N1499" i="1"/>
  <c r="N1522" i="1"/>
  <c r="N1534" i="1"/>
  <c r="N1551" i="1"/>
  <c r="N1556" i="1"/>
  <c r="N1577" i="1"/>
  <c r="N1595" i="1"/>
  <c r="N1605" i="1"/>
  <c r="N1609" i="1"/>
  <c r="N1624" i="1"/>
  <c r="N1465" i="1"/>
  <c r="N1493" i="1"/>
  <c r="N1513" i="1"/>
  <c r="N1529" i="1"/>
  <c r="N1557" i="1"/>
  <c r="N1565" i="1"/>
  <c r="N1571" i="1"/>
  <c r="N1582" i="1"/>
  <c r="N1584" i="1"/>
  <c r="N1596" i="1"/>
  <c r="N1610" i="1"/>
  <c r="N1614" i="1"/>
  <c r="N1621" i="1"/>
  <c r="N1637" i="1"/>
  <c r="N1653" i="1"/>
  <c r="N1691" i="1"/>
  <c r="N1698" i="1"/>
  <c r="N1723" i="1"/>
  <c r="N1735" i="1"/>
  <c r="N1743" i="1"/>
  <c r="N1764" i="1"/>
  <c r="N1495" i="1"/>
  <c r="N1504" i="1"/>
  <c r="N1554" i="1"/>
  <c r="N1607" i="1"/>
  <c r="N1627" i="1"/>
  <c r="N1647" i="1"/>
  <c r="N1661" i="1"/>
  <c r="N1496" i="1"/>
  <c r="N1527" i="1"/>
  <c r="N1533" i="1"/>
  <c r="N1563" i="1"/>
  <c r="N1569" i="1"/>
  <c r="N1634" i="1"/>
  <c r="N1638" i="1"/>
  <c r="N1641" i="1"/>
  <c r="N1645" i="1"/>
  <c r="N1658" i="1"/>
  <c r="N1664" i="1"/>
  <c r="N1680" i="1"/>
  <c r="N1692" i="1"/>
  <c r="N1750" i="1"/>
  <c r="N1756" i="1"/>
  <c r="N1508" i="1"/>
  <c r="N1528" i="1"/>
  <c r="N1550" i="1"/>
  <c r="N1564" i="1"/>
  <c r="N1570" i="1"/>
  <c r="N1586" i="1"/>
  <c r="N1591" i="1"/>
  <c r="N1600" i="1"/>
  <c r="N1460" i="1"/>
  <c r="N1481" i="1"/>
  <c r="N1498" i="1"/>
  <c r="N1503" i="1"/>
  <c r="N1517" i="1"/>
  <c r="N1523" i="1"/>
  <c r="N1540" i="1"/>
  <c r="N1546" i="1"/>
  <c r="N1560" i="1"/>
  <c r="N1643" i="1"/>
  <c r="N1657" i="1"/>
  <c r="N1662" i="1"/>
  <c r="N1672" i="1"/>
  <c r="N1491" i="1"/>
  <c r="N1515" i="1"/>
  <c r="N1541" i="1"/>
  <c r="N1573" i="1"/>
  <c r="N1581" i="1"/>
  <c r="N1592" i="1"/>
  <c r="N1613" i="1"/>
  <c r="N1628" i="1"/>
  <c r="N1631" i="1"/>
  <c r="N1659" i="1"/>
  <c r="N1676" i="1"/>
  <c r="N1685" i="1"/>
  <c r="N1701" i="1"/>
  <c r="N1712" i="1"/>
  <c r="N1720" i="1"/>
  <c r="N1730" i="1"/>
  <c r="N1747" i="1"/>
  <c r="N1488" i="1"/>
  <c r="N1516" i="1"/>
  <c r="N1531" i="1"/>
  <c r="N1542" i="1"/>
  <c r="N1574" i="1"/>
  <c r="N1585" i="1"/>
  <c r="N1593" i="1"/>
  <c r="N1650" i="1"/>
  <c r="N1654" i="1"/>
  <c r="N1660" i="1"/>
  <c r="N1675" i="1"/>
  <c r="N1693" i="1"/>
  <c r="N1721" i="1"/>
  <c r="N1731" i="1"/>
  <c r="N1463" i="1"/>
  <c r="N1509" i="1"/>
  <c r="N1566" i="1"/>
  <c r="N1575" i="1"/>
  <c r="N1594" i="1"/>
  <c r="N1601" i="1"/>
  <c r="N1651" i="1"/>
  <c r="N1722" i="1"/>
  <c r="N1732" i="1"/>
  <c r="N1510" i="1"/>
  <c r="N1524" i="1"/>
  <c r="N1532" i="1"/>
  <c r="N1543" i="1"/>
  <c r="N1558" i="1"/>
  <c r="N1461" i="1"/>
  <c r="N1464" i="1"/>
  <c r="N1497" i="1"/>
  <c r="N1512" i="1"/>
  <c r="N1547" i="1"/>
  <c r="N1562" i="1"/>
  <c r="N1572" i="1"/>
  <c r="N1583" i="1"/>
  <c r="N1599" i="1"/>
  <c r="N1611" i="1"/>
  <c r="N1633" i="1"/>
  <c r="N1639" i="1"/>
  <c r="N1652" i="1"/>
  <c r="N1668" i="1"/>
  <c r="N1696" i="1"/>
  <c r="N1715" i="1"/>
  <c r="N1727" i="1"/>
  <c r="N1738" i="1"/>
  <c r="N1755" i="1"/>
  <c r="N1505" i="1"/>
  <c r="N1530" i="1"/>
  <c r="N1538" i="1"/>
  <c r="N1552" i="1"/>
  <c r="N1579" i="1"/>
  <c r="N1619" i="1"/>
  <c r="N1625" i="1"/>
  <c r="N1489" i="1"/>
  <c r="N1553" i="1"/>
  <c r="N1578" i="1"/>
  <c r="N1615" i="1"/>
  <c r="N1646" i="1"/>
  <c r="N1669" i="1"/>
  <c r="N1689" i="1"/>
  <c r="N1706" i="1"/>
  <c r="N1733" i="1"/>
  <c r="N1548" i="1"/>
  <c r="N1617" i="1"/>
  <c r="N1687" i="1"/>
  <c r="N1741" i="1"/>
  <c r="N1568" i="1"/>
  <c r="N1663" i="1"/>
  <c r="N1688" i="1"/>
  <c r="N1511" i="1"/>
  <c r="N1656" i="1"/>
  <c r="N1716" i="1"/>
  <c r="N1490" i="1"/>
  <c r="N1559" i="1"/>
  <c r="N1606" i="1"/>
  <c r="N1674" i="1"/>
  <c r="N1699" i="1"/>
  <c r="N1752" i="1"/>
  <c r="N1587" i="1"/>
  <c r="N1711" i="1"/>
  <c r="N1500" i="1"/>
  <c r="N1561" i="1"/>
  <c r="N1726" i="1"/>
  <c r="N1501" i="1"/>
  <c r="N1644" i="1"/>
  <c r="N1719" i="1"/>
  <c r="N1580" i="1"/>
  <c r="N1648" i="1"/>
  <c r="N1679" i="1"/>
  <c r="N1734" i="1"/>
  <c r="N1769" i="1"/>
  <c r="N1555" i="1"/>
  <c r="N1616" i="1"/>
  <c r="N1636" i="1"/>
  <c r="N1642" i="1"/>
  <c r="N1684" i="1"/>
  <c r="N1728" i="1"/>
  <c r="N1739" i="1"/>
  <c r="N1740" i="1"/>
  <c r="N1746" i="1"/>
  <c r="N1494" i="1"/>
  <c r="N1535" i="1"/>
  <c r="N1567" i="1"/>
  <c r="N1604" i="1"/>
  <c r="N1626" i="1"/>
  <c r="N1629" i="1"/>
  <c r="N1666" i="1"/>
  <c r="N1704" i="1"/>
  <c r="N1766" i="1"/>
  <c r="N1536" i="1"/>
  <c r="N1549" i="1"/>
  <c r="N1630" i="1"/>
  <c r="N1705" i="1"/>
  <c r="N1714" i="1"/>
  <c r="N1459" i="1"/>
  <c r="N1520" i="1"/>
  <c r="N1537" i="1"/>
  <c r="N1649" i="1"/>
  <c r="N1753" i="1"/>
  <c r="N1521" i="1"/>
  <c r="N1539" i="1"/>
  <c r="N1598" i="1"/>
  <c r="N1608" i="1"/>
  <c r="N1632" i="1"/>
  <c r="N1717" i="1"/>
  <c r="N1742" i="1"/>
  <c r="N1749" i="1"/>
  <c r="N1754" i="1"/>
  <c r="N1671" i="1"/>
  <c r="N1700" i="1"/>
  <c r="N1718" i="1"/>
  <c r="N1763" i="1"/>
  <c r="N1767" i="1"/>
  <c r="N1620" i="1"/>
  <c r="N1655" i="1"/>
  <c r="N1462" i="1"/>
  <c r="N1514" i="1"/>
  <c r="N1525" i="1"/>
  <c r="N1635" i="1"/>
  <c r="N1744" i="1"/>
  <c r="N1502" i="1"/>
  <c r="N1526" i="1"/>
  <c r="N329" i="1"/>
  <c r="N471" i="1"/>
  <c r="N45" i="1"/>
  <c r="N749" i="1"/>
  <c r="N4" i="1"/>
  <c r="N901" i="1"/>
  <c r="N298" i="1"/>
  <c r="N490" i="1"/>
  <c r="N1545" i="1"/>
  <c r="N726" i="1"/>
  <c r="N771" i="1"/>
  <c r="N489" i="1"/>
  <c r="N515" i="1"/>
  <c r="N331" i="1"/>
  <c r="N1507" i="1"/>
  <c r="N340" i="1"/>
  <c r="N1751" i="1"/>
  <c r="N348" i="1"/>
  <c r="N733" i="1"/>
  <c r="N1482" i="1"/>
  <c r="N1474" i="1"/>
  <c r="N1028" i="1"/>
  <c r="N1024" i="1"/>
  <c r="N1029" i="1"/>
  <c r="N669" i="1"/>
  <c r="N673" i="1"/>
  <c r="N677" i="1"/>
  <c r="N679" i="1"/>
  <c r="N670" i="1"/>
  <c r="N667" i="1"/>
  <c r="N676" i="1"/>
  <c r="N681" i="1"/>
  <c r="N682" i="1"/>
  <c r="N668" i="1"/>
  <c r="N675" i="1"/>
  <c r="N779" i="1"/>
  <c r="N790" i="1"/>
  <c r="N775" i="1"/>
  <c r="N778" i="1"/>
  <c r="N650" i="1"/>
  <c r="N653" i="1"/>
  <c r="N1074" i="1"/>
  <c r="N777" i="1"/>
  <c r="N651" i="1"/>
  <c r="N646" i="1"/>
  <c r="N800" i="1"/>
  <c r="N664" i="1"/>
  <c r="N774" i="1"/>
  <c r="N657" i="1"/>
  <c r="N801" i="1"/>
  <c r="N645" i="1"/>
  <c r="N1034" i="1"/>
  <c r="N802" i="1"/>
  <c r="N1032" i="1"/>
  <c r="N806" i="1"/>
  <c r="N731" i="1"/>
  <c r="N816" i="1"/>
  <c r="N804" i="1"/>
  <c r="N860" i="1"/>
  <c r="N740" i="1"/>
  <c r="N754" i="1"/>
  <c r="N803" i="1"/>
  <c r="N729" i="1"/>
  <c r="N869" i="1"/>
  <c r="N870" i="1"/>
  <c r="N805" i="1"/>
  <c r="N809" i="1"/>
  <c r="N735" i="1"/>
  <c r="N741" i="1"/>
  <c r="N828" i="1"/>
  <c r="N739" i="1"/>
  <c r="N807" i="1"/>
  <c r="N753" i="1"/>
  <c r="N868" i="1"/>
  <c r="N873" i="1"/>
  <c r="N875" i="1"/>
  <c r="N808" i="1"/>
  <c r="N822" i="1"/>
  <c r="N755" i="1"/>
  <c r="N878" i="1"/>
  <c r="N1038" i="1"/>
  <c r="N1023" i="1"/>
  <c r="N1053" i="1"/>
  <c r="N1065" i="1"/>
  <c r="N662" i="1"/>
  <c r="N797" i="1"/>
  <c r="N821" i="1"/>
  <c r="N666" i="1"/>
  <c r="N877" i="1"/>
  <c r="N661" i="1"/>
  <c r="N1702" i="1"/>
  <c r="N820" i="1"/>
  <c r="N747" i="1"/>
  <c r="N1458" i="1"/>
  <c r="N1061" i="1"/>
  <c r="N1056" i="1"/>
  <c r="N864" i="1"/>
  <c r="N859" i="1"/>
  <c r="N866" i="1"/>
  <c r="N862" i="1"/>
  <c r="N863" i="1"/>
  <c r="N865" i="1"/>
  <c r="N858" i="1"/>
  <c r="N871" i="1"/>
  <c r="N872" i="1"/>
  <c r="N888" i="1"/>
  <c r="N891" i="1"/>
  <c r="N895" i="1"/>
  <c r="N889" i="1"/>
  <c r="N887" i="1"/>
  <c r="N413" i="1"/>
  <c r="N417" i="1"/>
  <c r="N414" i="1"/>
  <c r="N476" i="1"/>
  <c r="N416" i="1"/>
  <c r="N409" i="1"/>
  <c r="N438" i="1"/>
  <c r="N493" i="1"/>
  <c r="N421" i="1"/>
  <c r="N439" i="1"/>
  <c r="N428" i="1"/>
  <c r="N448" i="1"/>
  <c r="N474" i="1"/>
  <c r="N486" i="1"/>
  <c r="N811" i="1"/>
  <c r="N813" i="1"/>
  <c r="N810" i="1"/>
  <c r="N815" i="1"/>
  <c r="N825" i="1"/>
  <c r="N1054" i="1"/>
  <c r="N1236" i="1"/>
  <c r="N814" i="1"/>
  <c r="N776" i="1"/>
  <c r="N1203" i="1"/>
  <c r="N876" i="1"/>
  <c r="N907" i="1"/>
  <c r="N819" i="1"/>
  <c r="N647" i="1"/>
  <c r="N665" i="1"/>
  <c r="N1026" i="1"/>
  <c r="N946" i="1"/>
  <c r="N945" i="1"/>
  <c r="N948" i="1"/>
  <c r="N949" i="1"/>
  <c r="N956" i="1"/>
  <c r="N966" i="1"/>
  <c r="N408" i="1"/>
  <c r="N312" i="1"/>
  <c r="N343" i="1"/>
  <c r="N479" i="1"/>
  <c r="N361" i="1"/>
  <c r="N302" i="1"/>
  <c r="N304" i="1"/>
  <c r="N425" i="1"/>
  <c r="N314" i="1"/>
  <c r="N318" i="1"/>
  <c r="N320" i="1"/>
  <c r="N301" i="1"/>
  <c r="N455" i="1"/>
  <c r="N349" i="1"/>
  <c r="N353" i="1"/>
  <c r="N482" i="1"/>
  <c r="N306" i="1"/>
  <c r="N321" i="1"/>
  <c r="N456" i="1"/>
  <c r="N354" i="1"/>
  <c r="N326" i="1"/>
  <c r="N342" i="1"/>
  <c r="N360" i="1"/>
  <c r="N495" i="1"/>
  <c r="N406" i="1"/>
  <c r="N407" i="1"/>
  <c r="N307" i="1"/>
  <c r="N462" i="1"/>
  <c r="N481" i="1"/>
  <c r="N362" i="1"/>
  <c r="N709" i="1"/>
  <c r="N713" i="1"/>
  <c r="N714" i="1"/>
  <c r="N705" i="1"/>
  <c r="N712" i="1"/>
  <c r="N715" i="1"/>
  <c r="N719" i="1"/>
  <c r="N721" i="1"/>
  <c r="N718" i="1"/>
  <c r="N658" i="1"/>
  <c r="N333" i="1"/>
  <c r="N674" i="1"/>
  <c r="N861" i="1"/>
  <c r="N303" i="1"/>
  <c r="N1025" i="1"/>
  <c r="N978" i="1"/>
  <c r="N990" i="1"/>
  <c r="N983" i="1"/>
  <c r="N985" i="1"/>
  <c r="N988" i="1"/>
  <c r="N678" i="1"/>
  <c r="N1006" i="1"/>
  <c r="N1007" i="1"/>
  <c r="N959" i="1"/>
  <c r="N1008" i="1"/>
  <c r="N1064" i="1"/>
  <c r="N965" i="1"/>
  <c r="N961" i="1"/>
  <c r="N684" i="1"/>
  <c r="N964" i="1"/>
  <c r="N799" i="1"/>
  <c r="N656" i="1"/>
  <c r="N785" i="1"/>
  <c r="N488" i="1"/>
  <c r="N659" i="1"/>
  <c r="N655" i="1"/>
  <c r="N1670" i="1"/>
  <c r="N487" i="1"/>
  <c r="N744" i="1"/>
  <c r="N817" i="1"/>
  <c r="N708" i="1"/>
  <c r="N431" i="1"/>
  <c r="N732" i="1"/>
  <c r="N644" i="1"/>
  <c r="N384" i="1"/>
  <c r="N155" i="1"/>
  <c r="N838" i="1"/>
  <c r="N856" i="1"/>
  <c r="N835" i="1"/>
  <c r="N600" i="1"/>
  <c r="N610" i="1"/>
  <c r="N636" i="1"/>
  <c r="N641" i="1"/>
  <c r="N601" i="1"/>
  <c r="N605" i="1"/>
  <c r="N604" i="1"/>
  <c r="N554" i="1"/>
  <c r="N566" i="1"/>
  <c r="N572" i="1"/>
  <c r="N557" i="1"/>
  <c r="N560" i="1"/>
  <c r="N371" i="1"/>
  <c r="N375" i="1"/>
  <c r="N135" i="1"/>
  <c r="N137" i="1"/>
  <c r="N138" i="1"/>
  <c r="N140" i="1"/>
  <c r="N382" i="1"/>
  <c r="N174" i="1"/>
  <c r="N131" i="1"/>
  <c r="N378" i="1"/>
  <c r="N136" i="1"/>
  <c r="N168" i="1"/>
  <c r="N396" i="1"/>
  <c r="N968" i="1"/>
  <c r="N127" i="1"/>
  <c r="N574" i="1"/>
  <c r="N633" i="1"/>
  <c r="N839" i="1"/>
  <c r="N836" i="1"/>
  <c r="N834" i="1"/>
  <c r="N553" i="1"/>
  <c r="N573" i="1"/>
  <c r="N176" i="1"/>
  <c r="N639" i="1"/>
  <c r="N175" i="1"/>
  <c r="N394" i="1"/>
  <c r="N160" i="1"/>
  <c r="N147" i="1"/>
  <c r="N841" i="1"/>
  <c r="N564" i="1"/>
  <c r="N603" i="1"/>
  <c r="N559" i="1"/>
  <c r="N1603" i="1"/>
  <c r="N1588" i="1"/>
  <c r="N526" i="1"/>
  <c r="N529" i="1"/>
  <c r="N531" i="1"/>
  <c r="N535" i="1"/>
  <c r="N1345" i="1"/>
  <c r="N528" i="1"/>
  <c r="N68" i="1"/>
  <c r="N70" i="1"/>
  <c r="N188" i="1"/>
  <c r="N196" i="1"/>
  <c r="N77" i="1"/>
  <c r="N80" i="1"/>
  <c r="N201" i="1"/>
  <c r="N202" i="1"/>
  <c r="N208" i="1"/>
  <c r="N217" i="1"/>
  <c r="N98" i="1"/>
  <c r="N224" i="1"/>
  <c r="N103" i="1"/>
  <c r="N233" i="1"/>
  <c r="N112" i="1"/>
  <c r="N115" i="1"/>
  <c r="N118" i="1"/>
  <c r="N71" i="1"/>
  <c r="N916" i="1"/>
  <c r="N913" i="1"/>
  <c r="N1479" i="1"/>
  <c r="N1694" i="1"/>
  <c r="N1708" i="1"/>
  <c r="N1725" i="1"/>
  <c r="N1758" i="1"/>
  <c r="N1468" i="1"/>
  <c r="N1472" i="1"/>
  <c r="N1602" i="1"/>
  <c r="N1618" i="1"/>
  <c r="N1455" i="1"/>
  <c r="N943" i="1"/>
  <c r="N111" i="1"/>
  <c r="N545" i="1"/>
  <c r="N225" i="1"/>
  <c r="N90" i="1"/>
  <c r="N544" i="1"/>
  <c r="N532" i="1"/>
  <c r="N79" i="1"/>
  <c r="N1590" i="1"/>
  <c r="N191" i="1"/>
</calcChain>
</file>

<file path=xl/sharedStrings.xml><?xml version="1.0" encoding="utf-8"?>
<sst xmlns="http://schemas.openxmlformats.org/spreadsheetml/2006/main" count="26205" uniqueCount="8792">
  <si>
    <t>id</t>
  </si>
  <si>
    <t>os_cislo</t>
  </si>
  <si>
    <t>os_cislo_klient</t>
  </si>
  <si>
    <t>prijmeni</t>
  </si>
  <si>
    <t>jmeno</t>
  </si>
  <si>
    <t>rfid</t>
  </si>
  <si>
    <t>vstup</t>
  </si>
  <si>
    <t>vystup</t>
  </si>
  <si>
    <t>anulace</t>
  </si>
  <si>
    <t>nastup</t>
  </si>
  <si>
    <t>telefon</t>
  </si>
  <si>
    <t>email</t>
  </si>
  <si>
    <t>adresa</t>
  </si>
  <si>
    <t>firma</t>
  </si>
  <si>
    <t>mzda</t>
  </si>
  <si>
    <t>smena</t>
  </si>
  <si>
    <t>smena2</t>
  </si>
  <si>
    <t>smennost</t>
  </si>
  <si>
    <t>nepritomnost</t>
  </si>
  <si>
    <t>dpn_od</t>
  </si>
  <si>
    <t>cilova</t>
  </si>
  <si>
    <t>aktivni</t>
  </si>
  <si>
    <t>nabor</t>
  </si>
  <si>
    <t>radneukoncen</t>
  </si>
  <si>
    <t>4984</t>
  </si>
  <si>
    <t>1932486</t>
  </si>
  <si>
    <t>Koblanski</t>
  </si>
  <si>
    <t>Daniel Roman</t>
  </si>
  <si>
    <t>0001932486</t>
  </si>
  <si>
    <t>+48 661 131 885</t>
  </si>
  <si>
    <t>Rzemieslnicza 16, Marklowice, 44-321</t>
  </si>
  <si>
    <t>N/A</t>
  </si>
  <si>
    <t>3SM</t>
  </si>
  <si>
    <t>KMJ</t>
  </si>
  <si>
    <t>2</t>
  </si>
  <si>
    <t>Plusa</t>
  </si>
  <si>
    <t>Jolanta Anastazja</t>
  </si>
  <si>
    <t>0001812666</t>
  </si>
  <si>
    <t>48579875413</t>
  </si>
  <si>
    <t>Wolnosci 106, Wodzislaw Slaski, 44-300</t>
  </si>
  <si>
    <t>NE</t>
  </si>
  <si>
    <t>3</t>
  </si>
  <si>
    <t>Lapczyk</t>
  </si>
  <si>
    <t>Wiktoria Monika</t>
  </si>
  <si>
    <t>0001203587</t>
  </si>
  <si>
    <t>48570354807</t>
  </si>
  <si>
    <t>Stanislawa Moniuszki 24/57, Cieszyn, 43-400</t>
  </si>
  <si>
    <t>BATZ</t>
  </si>
  <si>
    <t>4</t>
  </si>
  <si>
    <t>Siemieniec</t>
  </si>
  <si>
    <t>Mirela Malgorzata</t>
  </si>
  <si>
    <t>0001319249</t>
  </si>
  <si>
    <t>48534420008</t>
  </si>
  <si>
    <t>Generala Sikorskiego 10, Gorzyce, 44-350</t>
  </si>
  <si>
    <t>ANO</t>
  </si>
  <si>
    <t>5415</t>
  </si>
  <si>
    <t>70172</t>
  </si>
  <si>
    <t>Tkocz</t>
  </si>
  <si>
    <t>Grazyna</t>
  </si>
  <si>
    <t>0011763928</t>
  </si>
  <si>
    <t>+48 780 473 033</t>
  </si>
  <si>
    <t>Rynek 19/4, Wodzislaw Slaski, 44-300</t>
  </si>
  <si>
    <t>HILITE</t>
  </si>
  <si>
    <t>6</t>
  </si>
  <si>
    <t>0</t>
  </si>
  <si>
    <t>Tomala</t>
  </si>
  <si>
    <t>Sabina Agata</t>
  </si>
  <si>
    <t>0000000000</t>
  </si>
  <si>
    <t>48731071831</t>
  </si>
  <si>
    <t>Truchana 36/12, Chorzow, 41-500</t>
  </si>
  <si>
    <t>5414</t>
  </si>
  <si>
    <t>70171</t>
  </si>
  <si>
    <t>Wisniewski</t>
  </si>
  <si>
    <t>Andrzej Jaroslaw</t>
  </si>
  <si>
    <t>0013309361</t>
  </si>
  <si>
    <t>+48 577 599 086</t>
  </si>
  <si>
    <t>Jana Kilinskiego 6, Marklowice, 44-321</t>
  </si>
  <si>
    <t>4820</t>
  </si>
  <si>
    <t>3356249</t>
  </si>
  <si>
    <t>Zdunek</t>
  </si>
  <si>
    <t>Patrycja</t>
  </si>
  <si>
    <t>0003356249</t>
  </si>
  <si>
    <t>+48 535 337 339</t>
  </si>
  <si>
    <t>5178</t>
  </si>
  <si>
    <t>122</t>
  </si>
  <si>
    <t>Birka</t>
  </si>
  <si>
    <t>Jan</t>
  </si>
  <si>
    <t>0012951123</t>
  </si>
  <si>
    <t>+420 735 826 67</t>
  </si>
  <si>
    <t>Masarykovo nám. 1/1, Nový Jičín, 741 01, CZ</t>
  </si>
  <si>
    <t>HANON</t>
  </si>
  <si>
    <t>Bogdanska</t>
  </si>
  <si>
    <t>Malgorzata Beata</t>
  </si>
  <si>
    <t>0013073154</t>
  </si>
  <si>
    <t>+48 503 935 531</t>
  </si>
  <si>
    <t>26 Marca 42/47, Wodzislaw Slaski, 44-300, PL</t>
  </si>
  <si>
    <t>3415</t>
  </si>
  <si>
    <t>R82</t>
  </si>
  <si>
    <t>Boruszka</t>
  </si>
  <si>
    <t>Aneta Barbara</t>
  </si>
  <si>
    <t>0012989719</t>
  </si>
  <si>
    <t>+48 605 522 989</t>
  </si>
  <si>
    <t>os. 1000-lecia 15a/11, Jastrzebie-Zdroj, 44-268, PL</t>
  </si>
  <si>
    <t>4SM A</t>
  </si>
  <si>
    <t>5350</t>
  </si>
  <si>
    <t>R-105</t>
  </si>
  <si>
    <t>Cieslak</t>
  </si>
  <si>
    <t>Bogdan Cezary</t>
  </si>
  <si>
    <t>0012037325</t>
  </si>
  <si>
    <t>+48 883 115 857</t>
  </si>
  <si>
    <t>Polna 22C m.10, Pawlowice, 43-251, PL</t>
  </si>
  <si>
    <t>125</t>
  </si>
  <si>
    <t>Czapla</t>
  </si>
  <si>
    <t>Jakub Wiktor</t>
  </si>
  <si>
    <t>0013392110</t>
  </si>
  <si>
    <t>+48 502 625 791</t>
  </si>
  <si>
    <t>Karola Miarki 1/17, Jastrzebie-Zdrój, 44-330, PL</t>
  </si>
  <si>
    <t>3413</t>
  </si>
  <si>
    <t>70170</t>
  </si>
  <si>
    <t>Durmowicz</t>
  </si>
  <si>
    <t>Dorota Teresa</t>
  </si>
  <si>
    <t>0013316527</t>
  </si>
  <si>
    <t>+48 782 105 579</t>
  </si>
  <si>
    <t>26 Marca 29/24, Wodzisław Śląski, 44-300, PL</t>
  </si>
  <si>
    <t>127</t>
  </si>
  <si>
    <t>Goszyc</t>
  </si>
  <si>
    <t>Wiktoria Weronika</t>
  </si>
  <si>
    <t>+48 661 453 582</t>
  </si>
  <si>
    <t>Lesmiana 2, Jastrzebie Zdroj, 44-335, PL</t>
  </si>
  <si>
    <t>R</t>
  </si>
  <si>
    <t>N</t>
  </si>
  <si>
    <t>3529</t>
  </si>
  <si>
    <t>Huptys</t>
  </si>
  <si>
    <t>Wieslawa</t>
  </si>
  <si>
    <t>0011982290</t>
  </si>
  <si>
    <t>+48 667 800 222</t>
  </si>
  <si>
    <t>Radlinskie Chalupki 123, Wodzislaw Slaski, 44-313, PL</t>
  </si>
  <si>
    <t>129</t>
  </si>
  <si>
    <t>Jordan</t>
  </si>
  <si>
    <t>Bozena Barbara</t>
  </si>
  <si>
    <t>0011974874</t>
  </si>
  <si>
    <t>+48 669 267 044</t>
  </si>
  <si>
    <t>Osiedle Orlowiec 65m3, Rydultowy, 44-280, PL</t>
  </si>
  <si>
    <t>5079</t>
  </si>
  <si>
    <t>R131</t>
  </si>
  <si>
    <t>Jureczko</t>
  </si>
  <si>
    <t>Katarzyna Wanda</t>
  </si>
  <si>
    <t>0013378406</t>
  </si>
  <si>
    <t>+48 690 854 053</t>
  </si>
  <si>
    <t>Radlinskie Chalupki 123, Wodzislaw Slaski, 44-300, PL</t>
  </si>
  <si>
    <t>131</t>
  </si>
  <si>
    <t>00000000</t>
  </si>
  <si>
    <t>Juřicová</t>
  </si>
  <si>
    <t>Dana</t>
  </si>
  <si>
    <t>+420 731 881 10</t>
  </si>
  <si>
    <t>Jeseník nad Odrou 256, Jeseník nad Odrou, 742 33, CZ</t>
  </si>
  <si>
    <t>132</t>
  </si>
  <si>
    <t>Kuś</t>
  </si>
  <si>
    <t>Adrian Daniel</t>
  </si>
  <si>
    <t>0013321754</t>
  </si>
  <si>
    <t>+48 730 107 362</t>
  </si>
  <si>
    <t>Świerklańska 37, Jastrzebie Zdroj, 44-268, PL</t>
  </si>
  <si>
    <t>133</t>
  </si>
  <si>
    <t>Mamala</t>
  </si>
  <si>
    <t>Szymon Piotr</t>
  </si>
  <si>
    <t>+48 515 835 416</t>
  </si>
  <si>
    <t>Ruchu Oporu 18/9, Jastrzębie-Zdrój, 44-335, PL</t>
  </si>
  <si>
    <t>xxx</t>
  </si>
  <si>
    <t>Palucki</t>
  </si>
  <si>
    <t>Bartosz Jan</t>
  </si>
  <si>
    <t>0011978487</t>
  </si>
  <si>
    <t>+48 884 362 595</t>
  </si>
  <si>
    <t>Os. Ks. Wladyslawa 5C/18, Zory, 44-240, PL</t>
  </si>
  <si>
    <t>134</t>
  </si>
  <si>
    <t>Politowicz</t>
  </si>
  <si>
    <t>Karina Maria</t>
  </si>
  <si>
    <t>0011990175</t>
  </si>
  <si>
    <t>+48 506 137 800</t>
  </si>
  <si>
    <t>Turska 20B, Wodzislaw Slaski, 44-300, PL</t>
  </si>
  <si>
    <t>O</t>
  </si>
  <si>
    <t>135</t>
  </si>
  <si>
    <t>Skulska</t>
  </si>
  <si>
    <t>Katarzyna</t>
  </si>
  <si>
    <t>0013366007</t>
  </si>
  <si>
    <t>+48 666 388 386</t>
  </si>
  <si>
    <t>Piastów 12/7, Jastrzębie-Zdrój, 44-335, PL</t>
  </si>
  <si>
    <t>136</t>
  </si>
  <si>
    <t>Slaninová</t>
  </si>
  <si>
    <t>Tereza</t>
  </si>
  <si>
    <t>0013371367</t>
  </si>
  <si>
    <t>703 970 455</t>
  </si>
  <si>
    <t>Hukovice 24, Bartošovice - Hukovice, 742 13, CZ</t>
  </si>
  <si>
    <t>4310</t>
  </si>
  <si>
    <t>Szymala</t>
  </si>
  <si>
    <t>Estera Maria</t>
  </si>
  <si>
    <t>0013374163</t>
  </si>
  <si>
    <t>+48 663 754 640</t>
  </si>
  <si>
    <t>Przytulna 2, Wodzislaw Slaski, 44-300, PL</t>
  </si>
  <si>
    <t>5442</t>
  </si>
  <si>
    <t>70173</t>
  </si>
  <si>
    <t>Wegrzyn</t>
  </si>
  <si>
    <t>Aleksandra</t>
  </si>
  <si>
    <t>0013351534</t>
  </si>
  <si>
    <t>+48 515 340 616</t>
  </si>
  <si>
    <t>26 Marca 170/14, Wodzislaw Slaski, 44-286, PL</t>
  </si>
  <si>
    <t>4SM C</t>
  </si>
  <si>
    <t>139</t>
  </si>
  <si>
    <t>Weissová</t>
  </si>
  <si>
    <t>Pavlína</t>
  </si>
  <si>
    <t>0013324311</t>
  </si>
  <si>
    <t>+420 735 207 22</t>
  </si>
  <si>
    <t>Štursova 187, Nový Jičín - Žilina, 741 01, CZ</t>
  </si>
  <si>
    <t>4617</t>
  </si>
  <si>
    <t>Karkoszka</t>
  </si>
  <si>
    <t>Justyna Agnieszka</t>
  </si>
  <si>
    <t>0370062458</t>
  </si>
  <si>
    <t>+48 576 673 042</t>
  </si>
  <si>
    <t>Tysiaclecia 18/7, Wodzislaw Slaski, 44-300</t>
  </si>
  <si>
    <t>10</t>
  </si>
  <si>
    <t>Malec</t>
  </si>
  <si>
    <t>Julia Aleksandra</t>
  </si>
  <si>
    <t>0328454862</t>
  </si>
  <si>
    <t>+48 572 902 549</t>
  </si>
  <si>
    <t>Malopolska 93/4, Jastrzebie-Zdrój, 44-335</t>
  </si>
  <si>
    <t>5129</t>
  </si>
  <si>
    <t>Buza</t>
  </si>
  <si>
    <t>Grazyna Aniela</t>
  </si>
  <si>
    <t>0328432941</t>
  </si>
  <si>
    <t>+48 788 217 740</t>
  </si>
  <si>
    <t>Cicha 10, Gogolowa , 44-323</t>
  </si>
  <si>
    <t>12</t>
  </si>
  <si>
    <t>Pogoda</t>
  </si>
  <si>
    <t>Beata Anita</t>
  </si>
  <si>
    <t>0348334221</t>
  </si>
  <si>
    <t>48 606 252 415</t>
  </si>
  <si>
    <t>Rymera 247, Radlin, 44-310</t>
  </si>
  <si>
    <t>5191</t>
  </si>
  <si>
    <t>Porebny</t>
  </si>
  <si>
    <t>Martyna Anna</t>
  </si>
  <si>
    <t>0370049130</t>
  </si>
  <si>
    <t>+48 539 981 158</t>
  </si>
  <si>
    <t>Katowicka 7/5, Jastrzebie Zdroj, 44-335</t>
  </si>
  <si>
    <t>14</t>
  </si>
  <si>
    <t>Surma</t>
  </si>
  <si>
    <t>Natalia Aurelia</t>
  </si>
  <si>
    <t>0370042869</t>
  </si>
  <si>
    <t>48 533 136 616</t>
  </si>
  <si>
    <t>Gagarina 108/3, Jastrzebie Zdroj, 44-268</t>
  </si>
  <si>
    <t>4163</t>
  </si>
  <si>
    <t>Smietana</t>
  </si>
  <si>
    <t>Mirela Barbara</t>
  </si>
  <si>
    <t>0301162261</t>
  </si>
  <si>
    <t>+48 665 142 024</t>
  </si>
  <si>
    <t>Os. Alojzego Biernackiego 48, Pszow, 44-370</t>
  </si>
  <si>
    <t>DPN</t>
  </si>
  <si>
    <t>4501</t>
  </si>
  <si>
    <t>Cyrzyk</t>
  </si>
  <si>
    <t>Grazyna Barbara</t>
  </si>
  <si>
    <t>0315325883</t>
  </si>
  <si>
    <t>+48 507 397 115</t>
  </si>
  <si>
    <t>Folwarczna 19, Kończyce Małe, 43-410</t>
  </si>
  <si>
    <t>17</t>
  </si>
  <si>
    <t>Warminska</t>
  </si>
  <si>
    <t>Katarzyna Barbara</t>
  </si>
  <si>
    <t>0301172878</t>
  </si>
  <si>
    <t>48 883 558 504</t>
  </si>
  <si>
    <t>Wielkopolska 65/15, Jastrzebie-Zdrój, 44-335</t>
  </si>
  <si>
    <t>18</t>
  </si>
  <si>
    <t>Jerchewicz</t>
  </si>
  <si>
    <t>Iwona Beata</t>
  </si>
  <si>
    <t>0348342408</t>
  </si>
  <si>
    <t>48 517 946 990</t>
  </si>
  <si>
    <t>osiedle 1000-lecia 15/21, Jastrzębie-Zdrój, 44-268</t>
  </si>
  <si>
    <t>4105</t>
  </si>
  <si>
    <t>Monika Bernadeta</t>
  </si>
  <si>
    <t>+48 451 607 441</t>
  </si>
  <si>
    <t>1000-lecia 38/7, Wodzislaw Slaski, 44-300</t>
  </si>
  <si>
    <t>4718</t>
  </si>
  <si>
    <t>Torzewska</t>
  </si>
  <si>
    <t>Ewelina Boguslawa</t>
  </si>
  <si>
    <t>0301162243</t>
  </si>
  <si>
    <t>+48 573 476 005</t>
  </si>
  <si>
    <t>Osiedle Księcia Władysława 10F/5, Zory, 44-241</t>
  </si>
  <si>
    <t>Tanska</t>
  </si>
  <si>
    <t>Wioleta Brygida</t>
  </si>
  <si>
    <t>0370026929</t>
  </si>
  <si>
    <t>48 793 695 422</t>
  </si>
  <si>
    <t>Pszczynska 292/401 , Jastrzebie Zdroj ,44-335</t>
  </si>
  <si>
    <t>21</t>
  </si>
  <si>
    <t>Witos</t>
  </si>
  <si>
    <t>Katarzyna Daria</t>
  </si>
  <si>
    <t>0328454857</t>
  </si>
  <si>
    <t>48 733 004 956</t>
  </si>
  <si>
    <t>Malchera 5/2, Jastrzebie-Zdrój, 44-335</t>
  </si>
  <si>
    <t>22</t>
  </si>
  <si>
    <t>Konieczny</t>
  </si>
  <si>
    <t>Joanna Elzbieta</t>
  </si>
  <si>
    <t>0328443823</t>
  </si>
  <si>
    <t>+48 452 375 689</t>
  </si>
  <si>
    <t>Czyzowicka 131A/208 , Wodzislaw Slaski, 44-300</t>
  </si>
  <si>
    <t>23</t>
  </si>
  <si>
    <t>Osiewala</t>
  </si>
  <si>
    <t>Artur Grzegorz</t>
  </si>
  <si>
    <t>0301166901</t>
  </si>
  <si>
    <t>48 736 848 324</t>
  </si>
  <si>
    <t>Ofiar Faszyzmu 14/11, Jastrzebie-Zdrój , 44-335</t>
  </si>
  <si>
    <t>4955</t>
  </si>
  <si>
    <t>Dalemula</t>
  </si>
  <si>
    <t>Krysztof Grzegorz</t>
  </si>
  <si>
    <t>0370035234</t>
  </si>
  <si>
    <t>+48 691 339 886</t>
  </si>
  <si>
    <t>26 marca 26/2, Wodzislaw Slaski, 44-300</t>
  </si>
  <si>
    <t>4834</t>
  </si>
  <si>
    <t>Blonski</t>
  </si>
  <si>
    <t>Marcin Ireneusz</t>
  </si>
  <si>
    <t>0013117068</t>
  </si>
  <si>
    <t>+48 451 203 184</t>
  </si>
  <si>
    <t>Pomorska 23/2, Jastrzębie-Zdrój, 44-335</t>
  </si>
  <si>
    <t>4SM B</t>
  </si>
  <si>
    <t>Sopala</t>
  </si>
  <si>
    <t>Wioletta Iwona</t>
  </si>
  <si>
    <t>0301162084</t>
  </si>
  <si>
    <t>48 664 250 396</t>
  </si>
  <si>
    <t>Pszczynska 267C, Jastrzebie-Zdrój, 44-330</t>
  </si>
  <si>
    <t>26</t>
  </si>
  <si>
    <t>Adranowicz</t>
  </si>
  <si>
    <t>Karolina Jadwiga</t>
  </si>
  <si>
    <t>0289896686</t>
  </si>
  <si>
    <t>48 570 460 356</t>
  </si>
  <si>
    <t>Jagodowa 1 , Zebrzydowice, 43-410</t>
  </si>
  <si>
    <t>27</t>
  </si>
  <si>
    <t>Szatylo</t>
  </si>
  <si>
    <t>Heroním Jan</t>
  </si>
  <si>
    <t>0328608644</t>
  </si>
  <si>
    <t>48 517 651 935</t>
  </si>
  <si>
    <t>XXX-Lecia 83/1, Wodzislaw Slaski , 44-286</t>
  </si>
  <si>
    <t>4155</t>
  </si>
  <si>
    <t>Suchy</t>
  </si>
  <si>
    <t>Anna Katarzyna</t>
  </si>
  <si>
    <t>0328608658</t>
  </si>
  <si>
    <t>+48 575 850 403</t>
  </si>
  <si>
    <t>1 Maja 153A, Mszana, 44-325</t>
  </si>
  <si>
    <t>4720</t>
  </si>
  <si>
    <t>Marczak</t>
  </si>
  <si>
    <t>Maria Katarzyna</t>
  </si>
  <si>
    <t>0348342948</t>
  </si>
  <si>
    <t>+48 669 565 741</t>
  </si>
  <si>
    <t>Cieszyńska 202B, Jastrzebie-Zdrój, 44-335</t>
  </si>
  <si>
    <t>30</t>
  </si>
  <si>
    <t>Skrzypiec</t>
  </si>
  <si>
    <t>Agnieszka Katarzyna</t>
  </si>
  <si>
    <t>0370037121</t>
  </si>
  <si>
    <t>48 793 987 575</t>
  </si>
  <si>
    <t>Tysiaclecia 62/5 , Wodzislaw Slaski , 44-30</t>
  </si>
  <si>
    <t>5250</t>
  </si>
  <si>
    <t>Chudala</t>
  </si>
  <si>
    <t>Kamila Katarzyna</t>
  </si>
  <si>
    <t>00</t>
  </si>
  <si>
    <t>+48 733 622 020</t>
  </si>
  <si>
    <t>Mlodziezowa 67B/2 , Wodzislaw Slaski, 44-373</t>
  </si>
  <si>
    <t>32</t>
  </si>
  <si>
    <t>Skrobol</t>
  </si>
  <si>
    <t>Jolanta Kazimiera</t>
  </si>
  <si>
    <t>0315325884</t>
  </si>
  <si>
    <t>48 661 821 712</t>
  </si>
  <si>
    <t>Młodzieżowa 67B/3 , Wodzislaw Slaski , 44-373</t>
  </si>
  <si>
    <t>33</t>
  </si>
  <si>
    <t>Czerwik</t>
  </si>
  <si>
    <t>Maksymilian Konrad</t>
  </si>
  <si>
    <t>0328608651</t>
  </si>
  <si>
    <t>48 728 262 157</t>
  </si>
  <si>
    <t>Gustawa Morcinka 5/3, Jastrzebie-Zdroj, 44-335</t>
  </si>
  <si>
    <t>34</t>
  </si>
  <si>
    <t>Niznik</t>
  </si>
  <si>
    <t>Mariola Krystyna</t>
  </si>
  <si>
    <t>0328443809</t>
  </si>
  <si>
    <t>48 534 280 476</t>
  </si>
  <si>
    <t>Adolfa Dygasińskiego 33, Pszów, 44-370</t>
  </si>
  <si>
    <t>3937</t>
  </si>
  <si>
    <t>Tyminska</t>
  </si>
  <si>
    <t>Sylvia Malgorzata</t>
  </si>
  <si>
    <t>0272698648</t>
  </si>
  <si>
    <t>+48 602 294 398</t>
  </si>
  <si>
    <t>Zielona 20/7, Jastrzebie-Zdroj, 44-335</t>
  </si>
  <si>
    <t>4828</t>
  </si>
  <si>
    <t>Stryjska</t>
  </si>
  <si>
    <t>Beata Malgorzata</t>
  </si>
  <si>
    <t>0348338812</t>
  </si>
  <si>
    <t>+48 607 421 757</t>
  </si>
  <si>
    <t>Alojzego Milaty 1B/5, Cieszyn, 43-400</t>
  </si>
  <si>
    <t>37</t>
  </si>
  <si>
    <t>Lesniak</t>
  </si>
  <si>
    <t>Robert Marek</t>
  </si>
  <si>
    <t>0289821104</t>
  </si>
  <si>
    <t>48 08 856 147</t>
  </si>
  <si>
    <t>Turystyczna 5/14, Jastrzebie-Zdrój, 44-335</t>
  </si>
  <si>
    <t>3396</t>
  </si>
  <si>
    <t>Matusiak</t>
  </si>
  <si>
    <t>Orfeusz Marek</t>
  </si>
  <si>
    <t>0370042379</t>
  </si>
  <si>
    <t>+48 537 065 617</t>
  </si>
  <si>
    <t>osiedle 1000-lecia 18/7, Jasrtzebie-zdroj, 44-268</t>
  </si>
  <si>
    <t>4775</t>
  </si>
  <si>
    <t>Kotowski</t>
  </si>
  <si>
    <t>Zbigniew Marek</t>
  </si>
  <si>
    <t>0301166922</t>
  </si>
  <si>
    <t>+48 539 242 677</t>
  </si>
  <si>
    <t>Śrutarska 28/1, Cieszyn, 43-400</t>
  </si>
  <si>
    <t>40</t>
  </si>
  <si>
    <t>Sitek</t>
  </si>
  <si>
    <t>Karolina Maria</t>
  </si>
  <si>
    <t>48 726 113 843</t>
  </si>
  <si>
    <t>Dworcowa 49, Laziska, 44-340</t>
  </si>
  <si>
    <t>41</t>
  </si>
  <si>
    <t>Gora</t>
  </si>
  <si>
    <t>Renata Maria</t>
  </si>
  <si>
    <t>0328443824</t>
  </si>
  <si>
    <t>+48 887 691 372</t>
  </si>
  <si>
    <t>Chmielna 13, Konczyce Male, 43-410</t>
  </si>
  <si>
    <t>42</t>
  </si>
  <si>
    <t>Kaminska</t>
  </si>
  <si>
    <t>Wioletta Maria</t>
  </si>
  <si>
    <t>0348314735</t>
  </si>
  <si>
    <t>48 513 775 887</t>
  </si>
  <si>
    <t>Slaska 31/12, Jastrzebie Zdroj, 44-335</t>
  </si>
  <si>
    <t>5259</t>
  </si>
  <si>
    <t>Izabela Maria</t>
  </si>
  <si>
    <t>0301165671</t>
  </si>
  <si>
    <t>+48 791 042 779</t>
  </si>
  <si>
    <t>Ulica Wiejska 96/5, Jastrzebie-Zdroj , 44-338</t>
  </si>
  <si>
    <t>5661</t>
  </si>
  <si>
    <t>4773</t>
  </si>
  <si>
    <t>Pszonak</t>
  </si>
  <si>
    <t>Monika Marta</t>
  </si>
  <si>
    <t>0348333056</t>
  </si>
  <si>
    <t>+48 728 349 041</t>
  </si>
  <si>
    <t>Tęczowa 20, Świerklany , 44-266</t>
  </si>
  <si>
    <t>45</t>
  </si>
  <si>
    <t>Gawlok</t>
  </si>
  <si>
    <t>Maria Marzena</t>
  </si>
  <si>
    <t>0227604194</t>
  </si>
  <si>
    <t>+48 609 564 610</t>
  </si>
  <si>
    <t>Powstancow Slaskich 244, Skrzyszow, 44-348</t>
  </si>
  <si>
    <t>4912</t>
  </si>
  <si>
    <t>Szymura</t>
  </si>
  <si>
    <t>Edyta Marzena</t>
  </si>
  <si>
    <t>0301165651</t>
  </si>
  <si>
    <t>+48 514 925 449</t>
  </si>
  <si>
    <t>Cieszynska 221, Jastrzebie Zdroj, 44-337</t>
  </si>
  <si>
    <t>47</t>
  </si>
  <si>
    <t>Olbrys</t>
  </si>
  <si>
    <t>Justyna Marzena</t>
  </si>
  <si>
    <t>0301173036</t>
  </si>
  <si>
    <t>48 721 988 899</t>
  </si>
  <si>
    <t>Wroclawska 21/22, Jastrzebie Zdroj , 44-335</t>
  </si>
  <si>
    <t>4514</t>
  </si>
  <si>
    <t>Sikora</t>
  </si>
  <si>
    <t>Teresa Michalina</t>
  </si>
  <si>
    <t>0315321893</t>
  </si>
  <si>
    <t>+48 731 406 172</t>
  </si>
  <si>
    <t>Leśna 5/8, Gorzyczki, 44-350</t>
  </si>
  <si>
    <t>4515</t>
  </si>
  <si>
    <t>Karina Monika</t>
  </si>
  <si>
    <t>0301180379</t>
  </si>
  <si>
    <t>+48 733 032 650</t>
  </si>
  <si>
    <t>Bolesława Prusa 12/3, Wodzislaw Slaski, 44-300</t>
  </si>
  <si>
    <t>5662</t>
  </si>
  <si>
    <t>4821</t>
  </si>
  <si>
    <t>0328443816</t>
  </si>
  <si>
    <t>+48 510 087 467</t>
  </si>
  <si>
    <t>Tysiąclecia 38/7, Wodzisław Śląski, 44-300</t>
  </si>
  <si>
    <t>Worek</t>
  </si>
  <si>
    <t>Teresa Monika</t>
  </si>
  <si>
    <t>0216795672</t>
  </si>
  <si>
    <t>48 517 254 703</t>
  </si>
  <si>
    <t>Turystyczna 27/36, Jastrzebie Zdroj 44-335</t>
  </si>
  <si>
    <t>51</t>
  </si>
  <si>
    <t>Kielkowska</t>
  </si>
  <si>
    <t>Agnieszka Monika</t>
  </si>
  <si>
    <t>0348325352</t>
  </si>
  <si>
    <t>48 519 481 259</t>
  </si>
  <si>
    <t>Mlynska 29A, Jastrzebie Zdroj, 44-335</t>
  </si>
  <si>
    <t>Kupczak</t>
  </si>
  <si>
    <t>Dominika Patrycja</t>
  </si>
  <si>
    <t>0301180517</t>
  </si>
  <si>
    <t>48 722 184 954</t>
  </si>
  <si>
    <t>Malopolska 103/9, Jastrzebie-Zdroj, 44-335</t>
  </si>
  <si>
    <t>52</t>
  </si>
  <si>
    <t>Mozuch</t>
  </si>
  <si>
    <t>Damian Slawomir</t>
  </si>
  <si>
    <t>0392143313</t>
  </si>
  <si>
    <t>+48 530 808 260</t>
  </si>
  <si>
    <t>Krakowska 3/10, Jastrzebie-Zdrój, 44-335</t>
  </si>
  <si>
    <t>TATRA</t>
  </si>
  <si>
    <t>4602</t>
  </si>
  <si>
    <t>Watroba</t>
  </si>
  <si>
    <t>Leszek Stanislaw</t>
  </si>
  <si>
    <t>0289896649</t>
  </si>
  <si>
    <t>+48 791 326 307</t>
  </si>
  <si>
    <t>Zielona 33/9, Jastrzebie-Zdroj, 44-335</t>
  </si>
  <si>
    <t>54</t>
  </si>
  <si>
    <t>Pozarowszczyk</t>
  </si>
  <si>
    <t>Alicja Stefania</t>
  </si>
  <si>
    <t>0301173029</t>
  </si>
  <si>
    <t>48 884 680 482</t>
  </si>
  <si>
    <t>Osiedle Tysiac-lecia 26/8, Wodzislaw Slaski, 44-300</t>
  </si>
  <si>
    <t>55</t>
  </si>
  <si>
    <t>Daniel Sylweste</t>
  </si>
  <si>
    <t>0301172955</t>
  </si>
  <si>
    <t>48 733 080 489</t>
  </si>
  <si>
    <t>3394</t>
  </si>
  <si>
    <t>Stawowski</t>
  </si>
  <si>
    <t>Patryk Tomasz</t>
  </si>
  <si>
    <t>0301180452</t>
  </si>
  <si>
    <t>+48 513 278 184</t>
  </si>
  <si>
    <t>osiedle 1000-lecia 19, Jastrzebie-Zdroj, 44-268</t>
  </si>
  <si>
    <t>4972</t>
  </si>
  <si>
    <t>Pajor</t>
  </si>
  <si>
    <t>Jolanta Wanda</t>
  </si>
  <si>
    <t>0328432680</t>
  </si>
  <si>
    <t>+48 516 690 472</t>
  </si>
  <si>
    <t>Towarowa 7/15, Cieszyn, 43-400</t>
  </si>
  <si>
    <t>3648</t>
  </si>
  <si>
    <t>Urbas</t>
  </si>
  <si>
    <t>Monika Weronika</t>
  </si>
  <si>
    <t>0301166942</t>
  </si>
  <si>
    <t>+48 533524793</t>
  </si>
  <si>
    <t>Zielona 37/22, Jastrzebie-Zdroj, 44-335</t>
  </si>
  <si>
    <t>4510</t>
  </si>
  <si>
    <t>Weczerek</t>
  </si>
  <si>
    <t>Adriana Weronika</t>
  </si>
  <si>
    <t>0328604588</t>
  </si>
  <si>
    <t>+48 665 142 622</t>
  </si>
  <si>
    <t>Matelska</t>
  </si>
  <si>
    <t>Klaudia Weronika</t>
  </si>
  <si>
    <t>0301165646</t>
  </si>
  <si>
    <t>48 534 970 425</t>
  </si>
  <si>
    <t>Turystyczna 16/11, Jastrzebie-Zdrój, 44-335</t>
  </si>
  <si>
    <t>5009</t>
  </si>
  <si>
    <t>Ostafin</t>
  </si>
  <si>
    <t>Andrzej Zbigniew</t>
  </si>
  <si>
    <t>0370026717</t>
  </si>
  <si>
    <t>+48 575 565 409</t>
  </si>
  <si>
    <t>Os. 1000-Lecia 15D/4 , Jastrzebie Zdroj, 44-268</t>
  </si>
  <si>
    <t>Szewczyk</t>
  </si>
  <si>
    <t>Wojciech Zdzislaw</t>
  </si>
  <si>
    <t>0370028638</t>
  </si>
  <si>
    <t>48 884 685 014</t>
  </si>
  <si>
    <t>Os. Wladyslawa Sikorskiego 9J/6, Zory, 44-240</t>
  </si>
  <si>
    <t>61</t>
  </si>
  <si>
    <t>Moc</t>
  </si>
  <si>
    <t>Malgorzata Zofia</t>
  </si>
  <si>
    <t>0301173069</t>
  </si>
  <si>
    <t>48 519 399 747</t>
  </si>
  <si>
    <t>Harcerska 4/1, Jastrzebie Zdroj, 44-335</t>
  </si>
  <si>
    <t>62</t>
  </si>
  <si>
    <t>Klimkowska</t>
  </si>
  <si>
    <t>Janina Žaneta</t>
  </si>
  <si>
    <t>0348323412</t>
  </si>
  <si>
    <t>48 534 868 808</t>
  </si>
  <si>
    <t>Jurija Gagarina 46, Jastrzębie-Zdrój, 44-268</t>
  </si>
  <si>
    <t>2738</t>
  </si>
  <si>
    <t>Olejniczak</t>
  </si>
  <si>
    <t>Danuta</t>
  </si>
  <si>
    <t>+48 730 766 849</t>
  </si>
  <si>
    <t>Slaska 11/13, Jastrzebie-Zdrój, 44-335</t>
  </si>
  <si>
    <t>2069</t>
  </si>
  <si>
    <t>Debner</t>
  </si>
  <si>
    <t>Karolina</t>
  </si>
  <si>
    <t>000</t>
  </si>
  <si>
    <t>+420728792297</t>
  </si>
  <si>
    <t>Promienna 5/201, Zory, 44-240</t>
  </si>
  <si>
    <t>2230</t>
  </si>
  <si>
    <t>Piechaczek</t>
  </si>
  <si>
    <t>Agnieszka</t>
  </si>
  <si>
    <t>0272698616</t>
  </si>
  <si>
    <t>+48 504 719 493</t>
  </si>
  <si>
    <t>Wiejska 21, Jastrzebie-Zdroj, 44-338</t>
  </si>
  <si>
    <t>2945</t>
  </si>
  <si>
    <t>Francová</t>
  </si>
  <si>
    <t>Karolína</t>
  </si>
  <si>
    <t>0289821261</t>
  </si>
  <si>
    <t>+420 770 664 65</t>
  </si>
  <si>
    <t>Hrnčířská 2003, Rožnov pod Radhoštěm, 756 61</t>
  </si>
  <si>
    <t>5660</t>
  </si>
  <si>
    <t>5175</t>
  </si>
  <si>
    <t>Wywiol</t>
  </si>
  <si>
    <t>Romeusz</t>
  </si>
  <si>
    <t>0315321918</t>
  </si>
  <si>
    <t>+48 537 280 373</t>
  </si>
  <si>
    <t>Turystyczna 1, Jastrzebie-Zdrój, 44-335</t>
  </si>
  <si>
    <t>3257</t>
  </si>
  <si>
    <t>Starzyczny</t>
  </si>
  <si>
    <t>Joanna</t>
  </si>
  <si>
    <t>0272698647</t>
  </si>
  <si>
    <t>+48 693 474 209</t>
  </si>
  <si>
    <t>Wiejska 9 A m.1, Jastrzebie-Zdrój, 44-338</t>
  </si>
  <si>
    <t>3369</t>
  </si>
  <si>
    <t>Mottlová</t>
  </si>
  <si>
    <t>Markéta</t>
  </si>
  <si>
    <t>0315321940</t>
  </si>
  <si>
    <t>+420720578148</t>
  </si>
  <si>
    <t>Závodní 409/53, Ostrava - Hrabůvka, 700 30</t>
  </si>
  <si>
    <t>5384</t>
  </si>
  <si>
    <t>70165</t>
  </si>
  <si>
    <t>Boguslaw</t>
  </si>
  <si>
    <t>0013013030</t>
  </si>
  <si>
    <t>+48 786 290 467</t>
  </si>
  <si>
    <t>Dygasinskiego 33, Pszów, 44-370</t>
  </si>
  <si>
    <t>3721</t>
  </si>
  <si>
    <t>Fitrzyková</t>
  </si>
  <si>
    <t>Jana</t>
  </si>
  <si>
    <t>0328604658</t>
  </si>
  <si>
    <t>+420 704188141</t>
  </si>
  <si>
    <t>Těšínská 87/281, Ostrava - Radvanice, 716 00</t>
  </si>
  <si>
    <t>3729</t>
  </si>
  <si>
    <t>Chodinský</t>
  </si>
  <si>
    <t>Jakub</t>
  </si>
  <si>
    <t>0328608672</t>
  </si>
  <si>
    <t>+420735997947</t>
  </si>
  <si>
    <t>Vyškovická 447/153 , Ostrava - Výškovice, 700 30</t>
  </si>
  <si>
    <t>3728</t>
  </si>
  <si>
    <t>Rostislav</t>
  </si>
  <si>
    <t>0301165667</t>
  </si>
  <si>
    <t>+420 735883940</t>
  </si>
  <si>
    <t>4365</t>
  </si>
  <si>
    <t>Šostá</t>
  </si>
  <si>
    <t>Ivana</t>
  </si>
  <si>
    <t>0315325893</t>
  </si>
  <si>
    <t>+420 702 897 62</t>
  </si>
  <si>
    <t>Hulvácká 1399/11a, Ostrava-Zábřeh , 700 30</t>
  </si>
  <si>
    <t>75</t>
  </si>
  <si>
    <t>Matuszczyk</t>
  </si>
  <si>
    <t>Beata</t>
  </si>
  <si>
    <t>0328608668</t>
  </si>
  <si>
    <t>48 692 755 081</t>
  </si>
  <si>
    <t>Górnicza 38/23, Jastrzebie-Zdroj, 44-335</t>
  </si>
  <si>
    <t>4326</t>
  </si>
  <si>
    <t>Lázoková</t>
  </si>
  <si>
    <t>Darina</t>
  </si>
  <si>
    <t>+420 705 926 91</t>
  </si>
  <si>
    <t>Lidická 539, Třinec - Lyžbice, 739 61</t>
  </si>
  <si>
    <t>77</t>
  </si>
  <si>
    <t>Artur</t>
  </si>
  <si>
    <t>0301165649</t>
  </si>
  <si>
    <t>48 731 773 661</t>
  </si>
  <si>
    <t>Gustawa Morcinka 8/6, Jastrzebie-Zdroj, 44-335</t>
  </si>
  <si>
    <t>78</t>
  </si>
  <si>
    <t>Neudert</t>
  </si>
  <si>
    <t>Pavel</t>
  </si>
  <si>
    <t>0370053055</t>
  </si>
  <si>
    <t>704 717 533</t>
  </si>
  <si>
    <t>Horní 791/3, Ostrava - Hrabůvka, 700 30</t>
  </si>
  <si>
    <t>3920</t>
  </si>
  <si>
    <t>Sowa (Krzenek)</t>
  </si>
  <si>
    <t>Ryszarda</t>
  </si>
  <si>
    <t>0011732040</t>
  </si>
  <si>
    <t>+48 725 009 441</t>
  </si>
  <si>
    <t>Skrajna 4 m.6, Cieszyn, 43-400</t>
  </si>
  <si>
    <t>80</t>
  </si>
  <si>
    <t>Starosta</t>
  </si>
  <si>
    <t>Barbara</t>
  </si>
  <si>
    <t>0328443818</t>
  </si>
  <si>
    <t>48 735 049 358</t>
  </si>
  <si>
    <t>Radlinska 147, Wodzislaw Slaski, 44-300</t>
  </si>
  <si>
    <t>Bugno</t>
  </si>
  <si>
    <t>0289896688</t>
  </si>
  <si>
    <t>48 785 427 469</t>
  </si>
  <si>
    <t>Okreźna 4, Zebrzydowice, 43-410</t>
  </si>
  <si>
    <t>4719</t>
  </si>
  <si>
    <t>Paczowski</t>
  </si>
  <si>
    <t>Michal</t>
  </si>
  <si>
    <t>0328611446</t>
  </si>
  <si>
    <t>+48 535 384 403</t>
  </si>
  <si>
    <t>Turnawiec 9,Turnawiec, 28-506</t>
  </si>
  <si>
    <t>2463</t>
  </si>
  <si>
    <t>Krensel</t>
  </si>
  <si>
    <t>Maria</t>
  </si>
  <si>
    <t>0289910254</t>
  </si>
  <si>
    <t>+48 888 278 520</t>
  </si>
  <si>
    <t>Poprzeczna 16/8, Jastrzebie-Zdrój, 44-330</t>
  </si>
  <si>
    <t>4599</t>
  </si>
  <si>
    <t>Belej</t>
  </si>
  <si>
    <t>Karina</t>
  </si>
  <si>
    <t>0348342254</t>
  </si>
  <si>
    <t>+48 723 005 113</t>
  </si>
  <si>
    <t>Miarki 2m.22, Jastrzebie-Zdroj , 44-330</t>
  </si>
  <si>
    <t>4132</t>
  </si>
  <si>
    <t>Adamiec</t>
  </si>
  <si>
    <t>Mariola</t>
  </si>
  <si>
    <t>0370025477</t>
  </si>
  <si>
    <t>+48 514 328 225</t>
  </si>
  <si>
    <t>Marusarzowny 2/26, Jastrzebie-Zdroj, 44-330</t>
  </si>
  <si>
    <t>4838</t>
  </si>
  <si>
    <t>Bartoň</t>
  </si>
  <si>
    <t>Edyta</t>
  </si>
  <si>
    <t>0328608648</t>
  </si>
  <si>
    <t>+48 793 386 811</t>
  </si>
  <si>
    <t>Cieszyńska 218/4, Jastrzębie-Zdrój, 44-337</t>
  </si>
  <si>
    <t>4928</t>
  </si>
  <si>
    <t>Zjadewicz</t>
  </si>
  <si>
    <t>Robert</t>
  </si>
  <si>
    <t>0001246590</t>
  </si>
  <si>
    <t>+48 783 448 031</t>
  </si>
  <si>
    <t>Jasna 19/10, Jastrzebie Zdroj , 44-335</t>
  </si>
  <si>
    <t>87</t>
  </si>
  <si>
    <t>Krzemiński</t>
  </si>
  <si>
    <t>Zbigniew</t>
  </si>
  <si>
    <t>0348330448</t>
  </si>
  <si>
    <t>48 510 280 238</t>
  </si>
  <si>
    <t>Gustawa Morcinka 17b/3 , Rybnik, 44-273</t>
  </si>
  <si>
    <t>5014</t>
  </si>
  <si>
    <t>Michalec</t>
  </si>
  <si>
    <t>Regina</t>
  </si>
  <si>
    <t>0370041446</t>
  </si>
  <si>
    <t>+48 795 475 219</t>
  </si>
  <si>
    <t>Rynek 5/1, Strumien, 43-246</t>
  </si>
  <si>
    <t>89</t>
  </si>
  <si>
    <t>Marinska</t>
  </si>
  <si>
    <t>Natalia</t>
  </si>
  <si>
    <t>0301172992</t>
  </si>
  <si>
    <t>48 602 506 260</t>
  </si>
  <si>
    <t>Lipowa 16, Hazlach , 43-419</t>
  </si>
  <si>
    <t>90</t>
  </si>
  <si>
    <t>Vrlíková</t>
  </si>
  <si>
    <t>Monika</t>
  </si>
  <si>
    <t>0370059270</t>
  </si>
  <si>
    <t>48 792 058 912</t>
  </si>
  <si>
    <t>Beskidzka 30/2, Jastrzebie Zdroj, 44-335</t>
  </si>
  <si>
    <t>91</t>
  </si>
  <si>
    <t>Motyl</t>
  </si>
  <si>
    <t>Slawomir</t>
  </si>
  <si>
    <t>0301172956</t>
  </si>
  <si>
    <t>48 512 640 222</t>
  </si>
  <si>
    <t>Pszczynska 189A, Jastrzebie Zdroj, 44-335</t>
  </si>
  <si>
    <t>5179</t>
  </si>
  <si>
    <t>Szymiczek</t>
  </si>
  <si>
    <t>Ewa</t>
  </si>
  <si>
    <t>0370026025</t>
  </si>
  <si>
    <t>+48 534 483 104</t>
  </si>
  <si>
    <t>Marusarzowny 12/28, Jastrzebie-Zdrój, 44-335</t>
  </si>
  <si>
    <t>5176</t>
  </si>
  <si>
    <t>Skolarus</t>
  </si>
  <si>
    <t>Sebastian</t>
  </si>
  <si>
    <t>0301172958</t>
  </si>
  <si>
    <t>+48 505 441 730</t>
  </si>
  <si>
    <t>Wiejska 20, Gorzyczki , 44-350</t>
  </si>
  <si>
    <t>94</t>
  </si>
  <si>
    <t>Ogórek</t>
  </si>
  <si>
    <t>Bogdan</t>
  </si>
  <si>
    <t>0301162049</t>
  </si>
  <si>
    <t>+48 531 467 802</t>
  </si>
  <si>
    <t>Wyszynskiego 67/11, Wodzislaw Slaski, 44-300</t>
  </si>
  <si>
    <t>582</t>
  </si>
  <si>
    <t>Gasior</t>
  </si>
  <si>
    <t>Tomasz</t>
  </si>
  <si>
    <t>0392155649</t>
  </si>
  <si>
    <t>+48 574 787 606</t>
  </si>
  <si>
    <t>Os. Ks. Wladyslawa 7C/37 , Zory, 44-240</t>
  </si>
  <si>
    <t>95</t>
  </si>
  <si>
    <t>Klosek</t>
  </si>
  <si>
    <t>Andrzej</t>
  </si>
  <si>
    <t>0301162320</t>
  </si>
  <si>
    <t>48 667 542 463</t>
  </si>
  <si>
    <t>Orzeszkowej 12/18, Wodzislaw Slaski, 44-300</t>
  </si>
  <si>
    <t>5208</t>
  </si>
  <si>
    <t>+48 789 625 101</t>
  </si>
  <si>
    <t>Tysiaclecia 26/7, Wodzislaw</t>
  </si>
  <si>
    <t>97</t>
  </si>
  <si>
    <t>Goralska</t>
  </si>
  <si>
    <t>Magdalena</t>
  </si>
  <si>
    <t>0370041265</t>
  </si>
  <si>
    <t>48 790 463 268</t>
  </si>
  <si>
    <t>Katowicka 111/2, Cieszyn, 43-400</t>
  </si>
  <si>
    <t>4568</t>
  </si>
  <si>
    <t>70046</t>
  </si>
  <si>
    <t>Bartoszewska</t>
  </si>
  <si>
    <t>Justyna Anna</t>
  </si>
  <si>
    <t>+48 603 109 477</t>
  </si>
  <si>
    <t>Generala Okulickiego, 51N, Rybnik, 44-274, PL</t>
  </si>
  <si>
    <t>5074</t>
  </si>
  <si>
    <t>70147</t>
  </si>
  <si>
    <t>Bason</t>
  </si>
  <si>
    <t>Bartosz Pawel</t>
  </si>
  <si>
    <t>0011642700</t>
  </si>
  <si>
    <t>+48 881 513 086</t>
  </si>
  <si>
    <t>Modrzewiowa, 20, Kleszczowka, 44-240, PL</t>
  </si>
  <si>
    <t>180</t>
  </si>
  <si>
    <t>Biezunski</t>
  </si>
  <si>
    <t>Janusz Leszek</t>
  </si>
  <si>
    <t>0012955543</t>
  </si>
  <si>
    <t>+48 692 565 321</t>
  </si>
  <si>
    <t>Os. Pawlikowskiego, 3G/2, Zory, 44-240, PL</t>
  </si>
  <si>
    <t>181</t>
  </si>
  <si>
    <t>Bogucka</t>
  </si>
  <si>
    <t>Marta Monika</t>
  </si>
  <si>
    <t>+48 665 874 506</t>
  </si>
  <si>
    <t>Ludwika Warynskiego, 4/11, Wodzislaw Slaski, 44-300, PL</t>
  </si>
  <si>
    <t>182</t>
  </si>
  <si>
    <t>Cieslar</t>
  </si>
  <si>
    <t>Daniel</t>
  </si>
  <si>
    <t>0011675122</t>
  </si>
  <si>
    <t>+48 731 712 224</t>
  </si>
  <si>
    <t>Szarych Szeregow, 18/8, Jastrzebie Zdroj, 44-330, PL</t>
  </si>
  <si>
    <t>183</t>
  </si>
  <si>
    <t>0012985653</t>
  </si>
  <si>
    <t>+48 533 913 980</t>
  </si>
  <si>
    <t>184</t>
  </si>
  <si>
    <t>Cygon</t>
  </si>
  <si>
    <t>Adam Marek</t>
  </si>
  <si>
    <t>+48 690 822 113</t>
  </si>
  <si>
    <t>ks. Henryka Joski, 27b/2, Rybnik, 44-217, PL</t>
  </si>
  <si>
    <t>5023</t>
  </si>
  <si>
    <t>70141</t>
  </si>
  <si>
    <t>Gozdur</t>
  </si>
  <si>
    <t>Oliwia Katarzyna</t>
  </si>
  <si>
    <t>0001171041</t>
  </si>
  <si>
    <t>+48 791 369 259</t>
  </si>
  <si>
    <t>Wroclawska, 15/33, Jastrzebie Zdroj, 44-335, PL</t>
  </si>
  <si>
    <t>4808</t>
  </si>
  <si>
    <t>70112</t>
  </si>
  <si>
    <t>Piotrowska</t>
  </si>
  <si>
    <t>Joanna Ewelina</t>
  </si>
  <si>
    <t>+48 792 586 210</t>
  </si>
  <si>
    <t>Zorska, 83, Orzesze, 43-180, PL</t>
  </si>
  <si>
    <t>187</t>
  </si>
  <si>
    <t>Guzowska</t>
  </si>
  <si>
    <t>Danuta Maria</t>
  </si>
  <si>
    <t>0011598583</t>
  </si>
  <si>
    <t>+48 693 063 451</t>
  </si>
  <si>
    <t>Prusa, 3/1, Wodzislaw Slaski, 44-300, PL</t>
  </si>
  <si>
    <t>4639</t>
  </si>
  <si>
    <t>70069</t>
  </si>
  <si>
    <t>Herman</t>
  </si>
  <si>
    <t>Zaneta Katarzyna</t>
  </si>
  <si>
    <t>0012971953</t>
  </si>
  <si>
    <t>+48 661 051 789</t>
  </si>
  <si>
    <t>Irysowa, 13 B m.9, Radlin, 44-310, PL</t>
  </si>
  <si>
    <t>189</t>
  </si>
  <si>
    <t>Hyla</t>
  </si>
  <si>
    <t>Mariola Weronika</t>
  </si>
  <si>
    <t>0012946852</t>
  </si>
  <si>
    <t>+48 697 411 499</t>
  </si>
  <si>
    <t>Gronowa, 9I, Rybnik, 44-251, PL</t>
  </si>
  <si>
    <t>190</t>
  </si>
  <si>
    <t>Chrobok</t>
  </si>
  <si>
    <t>Aldona Paulina</t>
  </si>
  <si>
    <t>0013083707</t>
  </si>
  <si>
    <t>+48 797 351 014</t>
  </si>
  <si>
    <t>Gen. Leopolda Okulickiego, 51Y, Rybnik, 44-274, PL</t>
  </si>
  <si>
    <t>191</t>
  </si>
  <si>
    <t>Kamený</t>
  </si>
  <si>
    <t>Ivo</t>
  </si>
  <si>
    <t>0013076933</t>
  </si>
  <si>
    <t>702 644 247</t>
  </si>
  <si>
    <t>Václava Košaře, 123/3, Ostrava - Dubina, 700 30, CZ</t>
  </si>
  <si>
    <t>4567</t>
  </si>
  <si>
    <t>70047</t>
  </si>
  <si>
    <t>Kastelik</t>
  </si>
  <si>
    <t>Malgorzata Barbara</t>
  </si>
  <si>
    <t>0011609291</t>
  </si>
  <si>
    <t>+48 888 830 956</t>
  </si>
  <si>
    <t>Katowicka, 22/35, Jastrzebie Zdroj, 44-335, PL</t>
  </si>
  <si>
    <t>4651</t>
  </si>
  <si>
    <t>70079</t>
  </si>
  <si>
    <t>Kolanowski</t>
  </si>
  <si>
    <t>Dawid Piotr</t>
  </si>
  <si>
    <t>0011675538</t>
  </si>
  <si>
    <t>+48 510 141 501</t>
  </si>
  <si>
    <t>Ruchu Oporu, 35 m.6, Jastrzebie-Zdrój, 44-335, PL</t>
  </si>
  <si>
    <t>4SM D</t>
  </si>
  <si>
    <t>4648</t>
  </si>
  <si>
    <t>70074</t>
  </si>
  <si>
    <t>Kolodziejczak</t>
  </si>
  <si>
    <t>Bartosz Szymon</t>
  </si>
  <si>
    <t>0011704646</t>
  </si>
  <si>
    <t>+48 506 338 175</t>
  </si>
  <si>
    <t>Dębowa, 9, Marklowice, 44-321, PL</t>
  </si>
  <si>
    <t>195</t>
  </si>
  <si>
    <t>Kosak</t>
  </si>
  <si>
    <t>Dawid Wieslaw</t>
  </si>
  <si>
    <t>+48 660 645 044</t>
  </si>
  <si>
    <t>Zamkowa, 33, Tworkow, 47-451, PL</t>
  </si>
  <si>
    <t>196</t>
  </si>
  <si>
    <t>Krzeminska</t>
  </si>
  <si>
    <t>Justyna Sylwia</t>
  </si>
  <si>
    <t>+48 726 770 619</t>
  </si>
  <si>
    <t>Stefana Batorego, 19/1, Wodzislaw Slaski, 44-300, PL</t>
  </si>
  <si>
    <t>197</t>
  </si>
  <si>
    <t>Leszczynska</t>
  </si>
  <si>
    <t>Ewa Stefania</t>
  </si>
  <si>
    <t>0011766449</t>
  </si>
  <si>
    <t>+48 697 524 225</t>
  </si>
  <si>
    <t>Gustawa Morcinka, 13A/2, Rybnik, 44-273, PL</t>
  </si>
  <si>
    <t>4693</t>
  </si>
  <si>
    <t>70102</t>
  </si>
  <si>
    <t>Malina</t>
  </si>
  <si>
    <t>Kinga Laura</t>
  </si>
  <si>
    <t>0013069516</t>
  </si>
  <si>
    <t>+48 728 715 619</t>
  </si>
  <si>
    <t>Gronowa, 9K, Rybnik, 44-251, PL</t>
  </si>
  <si>
    <t>5067</t>
  </si>
  <si>
    <t>70151</t>
  </si>
  <si>
    <t>Merta</t>
  </si>
  <si>
    <t>Nikola Dorota</t>
  </si>
  <si>
    <t>0013050746</t>
  </si>
  <si>
    <t>+48 782 786 694</t>
  </si>
  <si>
    <t>Dabrowki, 15E/30, Rybnik, 44-210, PL</t>
  </si>
  <si>
    <t>200</t>
  </si>
  <si>
    <t>Michalik</t>
  </si>
  <si>
    <t>Maryla Irena</t>
  </si>
  <si>
    <t>0013049688</t>
  </si>
  <si>
    <t>+48 691 900 888</t>
  </si>
  <si>
    <t>Wielkopolska, 49, Jastrzebie Zdroj, 44-335, PL</t>
  </si>
  <si>
    <t>3582</t>
  </si>
  <si>
    <t>70006</t>
  </si>
  <si>
    <t>Moch</t>
  </si>
  <si>
    <t>Roman</t>
  </si>
  <si>
    <t>+420604577499</t>
  </si>
  <si>
    <t>Těšínská, 87/281, Ostrava - Radvanice, 716 00, CZ</t>
  </si>
  <si>
    <t>5022</t>
  </si>
  <si>
    <t>70139</t>
  </si>
  <si>
    <t>Ogon</t>
  </si>
  <si>
    <t>Agata</t>
  </si>
  <si>
    <t>0013390528</t>
  </si>
  <si>
    <t>+48 532 571 498</t>
  </si>
  <si>
    <t>Osiedle Pawlikowskiego, 5E/3, Zory, 44-240, PL</t>
  </si>
  <si>
    <t>203</t>
  </si>
  <si>
    <t>Paszek</t>
  </si>
  <si>
    <t>Marta Agnieszka</t>
  </si>
  <si>
    <t>0011962568</t>
  </si>
  <si>
    <t>+48 514 186 557</t>
  </si>
  <si>
    <t>Jozefa Pukowca, 10/3, Rybnik, 44-206, PL</t>
  </si>
  <si>
    <t>204</t>
  </si>
  <si>
    <t>Pawliczek</t>
  </si>
  <si>
    <t>Malgorzata Anna</t>
  </si>
  <si>
    <t>+48 504 160 397</t>
  </si>
  <si>
    <t>Piaskowa, 12, Jankowice, 44-264, PL</t>
  </si>
  <si>
    <t>205</t>
  </si>
  <si>
    <t>Piecha</t>
  </si>
  <si>
    <t>0013384755</t>
  </si>
  <si>
    <t>+48 661 732 025</t>
  </si>
  <si>
    <t>Jastrzebia, 2/1, Zory, 44-240, PL</t>
  </si>
  <si>
    <t>4989</t>
  </si>
  <si>
    <t>70131</t>
  </si>
  <si>
    <t>Wieslaw Jan</t>
  </si>
  <si>
    <t>0011762137</t>
  </si>
  <si>
    <t>+48 668 428 354</t>
  </si>
  <si>
    <t>Chrobrego, 15, Wodzislaw Slaski, 44-313, PL</t>
  </si>
  <si>
    <t>5031</t>
  </si>
  <si>
    <t>70135</t>
  </si>
  <si>
    <t>Pietrasz</t>
  </si>
  <si>
    <t>Wiktoria Grazyna</t>
  </si>
  <si>
    <t>0011995107</t>
  </si>
  <si>
    <t>+48 501 148 289</t>
  </si>
  <si>
    <t>Raciborska, 21, Tworkow, 47-451, PL</t>
  </si>
  <si>
    <t>208</t>
  </si>
  <si>
    <t>Pírková</t>
  </si>
  <si>
    <t>Šárka</t>
  </si>
  <si>
    <t>+420 702 974 15</t>
  </si>
  <si>
    <t>Šimáčkova, 1011/25, Ostrava - Mariánské Hory, 709 00, CZ</t>
  </si>
  <si>
    <t>209</t>
  </si>
  <si>
    <t>Poterala</t>
  </si>
  <si>
    <t>Anna Ewa</t>
  </si>
  <si>
    <t>0013335643</t>
  </si>
  <si>
    <t>+48 576 090 507</t>
  </si>
  <si>
    <t>Osiedle 700-Lecia, 4B/2, Zory, 44-240, PL</t>
  </si>
  <si>
    <t>4973</t>
  </si>
  <si>
    <t>70127</t>
  </si>
  <si>
    <t>Puchalska</t>
  </si>
  <si>
    <t>Monika Maria</t>
  </si>
  <si>
    <t>0011842666</t>
  </si>
  <si>
    <t>+48 798 789 269</t>
  </si>
  <si>
    <t>Os. Pawlikowskiego, 20A/22, Zory, 44-240, PL</t>
  </si>
  <si>
    <t>211</t>
  </si>
  <si>
    <t>Rowinski</t>
  </si>
  <si>
    <t>Rafal Jacek</t>
  </si>
  <si>
    <t>0013055194</t>
  </si>
  <si>
    <t>+48 791 363 746</t>
  </si>
  <si>
    <t>Przemyslawa, 18E/6, Wodzislaw Slaski, 44-300, PL</t>
  </si>
  <si>
    <t>4969</t>
  </si>
  <si>
    <t>70125</t>
  </si>
  <si>
    <t>Szulik</t>
  </si>
  <si>
    <t>Aleksandra Beata</t>
  </si>
  <si>
    <t>+48 503 065 201</t>
  </si>
  <si>
    <t>Orzepowicka, 33, Rybnik, 44-217, PL</t>
  </si>
  <si>
    <t>4711</t>
  </si>
  <si>
    <t>70107</t>
  </si>
  <si>
    <t>Szymanska</t>
  </si>
  <si>
    <t>Alina Barbara</t>
  </si>
  <si>
    <t>+48 793 385 840</t>
  </si>
  <si>
    <t>Rericha, 38, Rybnik, 44-274, PL</t>
  </si>
  <si>
    <t>214</t>
  </si>
  <si>
    <t>Šlehoferová</t>
  </si>
  <si>
    <t>Veronika</t>
  </si>
  <si>
    <t>0013122215</t>
  </si>
  <si>
    <t>+420 721 012 37</t>
  </si>
  <si>
    <t>Žižice, 31, Žižice, 273 21, CZ</t>
  </si>
  <si>
    <t>5174</t>
  </si>
  <si>
    <t>70134</t>
  </si>
  <si>
    <t>Tychowski</t>
  </si>
  <si>
    <t>Lukasz Tadeusz</t>
  </si>
  <si>
    <t>0013027539</t>
  </si>
  <si>
    <t>+48 570 175 464</t>
  </si>
  <si>
    <t>Gustawa Morcinka, 37/37, Rybnik, 44-273, PL</t>
  </si>
  <si>
    <t>216</t>
  </si>
  <si>
    <t>Wezka</t>
  </si>
  <si>
    <t>Iwona</t>
  </si>
  <si>
    <t>0011613672</t>
  </si>
  <si>
    <t>+48 726 855 893</t>
  </si>
  <si>
    <t>Slaska, 17/60, Jastrzebie Zdroj, 44-335, PL</t>
  </si>
  <si>
    <t>217</t>
  </si>
  <si>
    <t>Wojak</t>
  </si>
  <si>
    <t>0012017941</t>
  </si>
  <si>
    <t>+48 788 892 082</t>
  </si>
  <si>
    <t>Gornicza, 46/8, Wodzislaw Slaski, 44-307, PL</t>
  </si>
  <si>
    <t>218</t>
  </si>
  <si>
    <t>Bach</t>
  </si>
  <si>
    <t>Michalina Wiktoria</t>
  </si>
  <si>
    <t>0013332948</t>
  </si>
  <si>
    <t>+48 664 128 463</t>
  </si>
  <si>
    <t>Zgodna 7, Pniowek, 43-251</t>
  </si>
  <si>
    <t>DONGHEE</t>
  </si>
  <si>
    <t>219</t>
  </si>
  <si>
    <t>Belica</t>
  </si>
  <si>
    <t>Bartosz Piotr</t>
  </si>
  <si>
    <t>0013371457</t>
  </si>
  <si>
    <t>+48 721 505 226</t>
  </si>
  <si>
    <t>Wroclawska 35/4, Jastrzebie Zdroj, 44-335</t>
  </si>
  <si>
    <t>3951</t>
  </si>
  <si>
    <t>7547</t>
  </si>
  <si>
    <t>Brachman</t>
  </si>
  <si>
    <t>Piotr Leszek</t>
  </si>
  <si>
    <t>0013392876</t>
  </si>
  <si>
    <t>+48 516 350 901</t>
  </si>
  <si>
    <t>Bojownikow 128, Wodzislaw Slaski, 44-313</t>
  </si>
  <si>
    <t>4894</t>
  </si>
  <si>
    <t>7503</t>
  </si>
  <si>
    <t>Bujak</t>
  </si>
  <si>
    <t>Beniamin Salamon</t>
  </si>
  <si>
    <t>0011966825</t>
  </si>
  <si>
    <t>+48889843724</t>
  </si>
  <si>
    <t>Blogocka 30c/8, Cieszyn, 43-400</t>
  </si>
  <si>
    <t>3359</t>
  </si>
  <si>
    <t>7685</t>
  </si>
  <si>
    <t>Radoslaw Jakub</t>
  </si>
  <si>
    <t>0011727280</t>
  </si>
  <si>
    <t>+48575017608</t>
  </si>
  <si>
    <t>Adama Mickiewicza 6 m.4, Rydultowy, 44-280</t>
  </si>
  <si>
    <t>223</t>
  </si>
  <si>
    <t>Deren</t>
  </si>
  <si>
    <t>Przemyslaw Marcin</t>
  </si>
  <si>
    <t>0011739808</t>
  </si>
  <si>
    <t>+48 698 346 757</t>
  </si>
  <si>
    <t>Malopolska 75/1, Jastrzebie Zdroj, 44-335</t>
  </si>
  <si>
    <t>224</t>
  </si>
  <si>
    <t>Kaminski</t>
  </si>
  <si>
    <t>Seweryn Jan</t>
  </si>
  <si>
    <t>0011758352</t>
  </si>
  <si>
    <t>+48 507 781 005</t>
  </si>
  <si>
    <t>Aleja Armii Krajowej 31A/1, Zory, 44-240</t>
  </si>
  <si>
    <t>Klepczarek</t>
  </si>
  <si>
    <t>Michal Pawel</t>
  </si>
  <si>
    <t>0B0061325F</t>
  </si>
  <si>
    <t>48 538 154 450</t>
  </si>
  <si>
    <t>Solskiego 37B, Radlin, 44-310</t>
  </si>
  <si>
    <t>226</t>
  </si>
  <si>
    <t>Koscianska</t>
  </si>
  <si>
    <t>0013245983</t>
  </si>
  <si>
    <t>+48 784 402 775</t>
  </si>
  <si>
    <t>Gornicza 15/3, Wodzislaw Slaski, 44-300</t>
  </si>
  <si>
    <t>227</t>
  </si>
  <si>
    <t>Kowalska</t>
  </si>
  <si>
    <t>Klaudia Maria</t>
  </si>
  <si>
    <t>0013065701</t>
  </si>
  <si>
    <t>+48 503 120 538</t>
  </si>
  <si>
    <t>Gleboka 17/3, Cieszyn, 43-400</t>
  </si>
  <si>
    <t>3262</t>
  </si>
  <si>
    <t>7650</t>
  </si>
  <si>
    <t>Lorenc</t>
  </si>
  <si>
    <t>Pawel Jan</t>
  </si>
  <si>
    <t>0011767781</t>
  </si>
  <si>
    <t>+48 663 474 887</t>
  </si>
  <si>
    <t>Osiedle Księcia Władysława 6B/22, Zory, 44-241</t>
  </si>
  <si>
    <t>229</t>
  </si>
  <si>
    <t>Magiera</t>
  </si>
  <si>
    <t>Dorota Maria</t>
  </si>
  <si>
    <t>0011706778</t>
  </si>
  <si>
    <t>+48 600 583 590</t>
  </si>
  <si>
    <t>Lipowa 11, Zamarski, 43-419</t>
  </si>
  <si>
    <t>230</t>
  </si>
  <si>
    <t>Maslowski</t>
  </si>
  <si>
    <t>Dominik Marek</t>
  </si>
  <si>
    <t>0013062387</t>
  </si>
  <si>
    <t>+48 724 602 137</t>
  </si>
  <si>
    <t>Osiedle Wojciecha Korfantego 6A/23, Zory, 44-240</t>
  </si>
  <si>
    <t>231</t>
  </si>
  <si>
    <t>Michon</t>
  </si>
  <si>
    <t>Adam Antoni</t>
  </si>
  <si>
    <t>0011756656</t>
  </si>
  <si>
    <t>+48 789 720 605</t>
  </si>
  <si>
    <t>Kusocinskiego 37/8, Jastrzebie Zdroj, 44-335</t>
  </si>
  <si>
    <t>4392</t>
  </si>
  <si>
    <t>7514</t>
  </si>
  <si>
    <t>Milek</t>
  </si>
  <si>
    <t>Michal Jerzy</t>
  </si>
  <si>
    <t>0013103649</t>
  </si>
  <si>
    <t>+48 730 393 595</t>
  </si>
  <si>
    <t>Krzyzkowicka 76, Rydultowy, 44280</t>
  </si>
  <si>
    <t>4482</t>
  </si>
  <si>
    <t>7532</t>
  </si>
  <si>
    <t>Mochnacz</t>
  </si>
  <si>
    <t>Lukasz Teodor</t>
  </si>
  <si>
    <t>0013116795</t>
  </si>
  <si>
    <t>+48 534 996 548</t>
  </si>
  <si>
    <t>Budowlanych 45B/24, Rybnik, 44-217</t>
  </si>
  <si>
    <t>234</t>
  </si>
  <si>
    <t>Nagi</t>
  </si>
  <si>
    <t>Daniel Kamil</t>
  </si>
  <si>
    <t>0013101656</t>
  </si>
  <si>
    <t>+48 786 100 892</t>
  </si>
  <si>
    <t>Gornicza 19C/4, Rybnik, 44-206</t>
  </si>
  <si>
    <t>235</t>
  </si>
  <si>
    <t>Nalik</t>
  </si>
  <si>
    <t>Dawid Jozef</t>
  </si>
  <si>
    <t>0011746761</t>
  </si>
  <si>
    <t>+48 504 764 435</t>
  </si>
  <si>
    <t>Sportowa 136, Rybnik, 44-273</t>
  </si>
  <si>
    <t>236</t>
  </si>
  <si>
    <t>Nicinski</t>
  </si>
  <si>
    <t>Dawid Jerzy</t>
  </si>
  <si>
    <t>0013067149</t>
  </si>
  <si>
    <t>+48 667 152 330</t>
  </si>
  <si>
    <t>Plebiscytowa 36/38, Rydultowy, 44-280</t>
  </si>
  <si>
    <t>237</t>
  </si>
  <si>
    <t>Osowski</t>
  </si>
  <si>
    <t>Piotr Kondrad</t>
  </si>
  <si>
    <t>0013071630</t>
  </si>
  <si>
    <t>+48 502 022 311</t>
  </si>
  <si>
    <t>Sikorskiego 3/15, Cieszyn, 43-400</t>
  </si>
  <si>
    <t>5169</t>
  </si>
  <si>
    <t>7534</t>
  </si>
  <si>
    <t>Paczkowska</t>
  </si>
  <si>
    <t>Sylwia Renata</t>
  </si>
  <si>
    <t>0011640887</t>
  </si>
  <si>
    <t>+48 780 086 560</t>
  </si>
  <si>
    <t>Gorna 30/27, Cieszyn, 43-400</t>
  </si>
  <si>
    <t>3063</t>
  </si>
  <si>
    <t>7518</t>
  </si>
  <si>
    <t>Poloczek</t>
  </si>
  <si>
    <t>Jadwiga Barbara</t>
  </si>
  <si>
    <t>0012984388</t>
  </si>
  <si>
    <t>+48502399526</t>
  </si>
  <si>
    <t>Gagarina 110/34, Jastrzebie-Zdroj, 44268</t>
  </si>
  <si>
    <t>240</t>
  </si>
  <si>
    <t>Przewoznik</t>
  </si>
  <si>
    <t>Piotr Andrzej</t>
  </si>
  <si>
    <t>0011621835</t>
  </si>
  <si>
    <t>+48 571 252 886</t>
  </si>
  <si>
    <t>Wolnosci 4/25, Radlin, 44-310</t>
  </si>
  <si>
    <t>2600</t>
  </si>
  <si>
    <t>7513</t>
  </si>
  <si>
    <t>Stanisz</t>
  </si>
  <si>
    <t>Pawel Piotr</t>
  </si>
  <si>
    <t>0012985727</t>
  </si>
  <si>
    <t>+48696289320</t>
  </si>
  <si>
    <t>Kusocinskiego Janusza 37/7, Jastrzebie-Zdrój, 44335</t>
  </si>
  <si>
    <t>242</t>
  </si>
  <si>
    <t>Surowiec</t>
  </si>
  <si>
    <t>Dominik Szymon</t>
  </si>
  <si>
    <t>0011651233</t>
  </si>
  <si>
    <t>+48 604 727 847</t>
  </si>
  <si>
    <t>Wiejska 29c/1, Jastrzebie Zdroj, 44-338</t>
  </si>
  <si>
    <t>243</t>
  </si>
  <si>
    <t>Wiktorowicz</t>
  </si>
  <si>
    <t>Daniel Marek</t>
  </si>
  <si>
    <t>0011614768</t>
  </si>
  <si>
    <t>+48 607 048 785</t>
  </si>
  <si>
    <t>Os. Powstancow Slaskich 7C/23, Zory, 44-240</t>
  </si>
  <si>
    <t>244</t>
  </si>
  <si>
    <t>Wilczynski</t>
  </si>
  <si>
    <t>Kamil Adrian</t>
  </si>
  <si>
    <t>0013091855</t>
  </si>
  <si>
    <t>+48 667 104 348</t>
  </si>
  <si>
    <t>Ofiar Terroru 97/20, Rydultowy, 44-280</t>
  </si>
  <si>
    <t>245</t>
  </si>
  <si>
    <t>Wisiorek</t>
  </si>
  <si>
    <t>Lukasz Jakub</t>
  </si>
  <si>
    <t>0013210313</t>
  </si>
  <si>
    <t>+48 574 144 290</t>
  </si>
  <si>
    <t>Kwiatowa 9, Osiek, 32-608</t>
  </si>
  <si>
    <t>246</t>
  </si>
  <si>
    <t>Wójt</t>
  </si>
  <si>
    <t>Sebastian Slawomir</t>
  </si>
  <si>
    <t>0013109811</t>
  </si>
  <si>
    <t>+48 518 569 970</t>
  </si>
  <si>
    <t>Alfonsa Zgrzebnioka 2B/1, Rybnik, 44-200</t>
  </si>
  <si>
    <t>4810</t>
  </si>
  <si>
    <t>7550</t>
  </si>
  <si>
    <t>Wrona</t>
  </si>
  <si>
    <t>Dawid Sebastian</t>
  </si>
  <si>
    <t>0013103014</t>
  </si>
  <si>
    <t>+48 792 303 447</t>
  </si>
  <si>
    <t>Cieszyńska 65, Bażanowice, 43-440</t>
  </si>
  <si>
    <t>248</t>
  </si>
  <si>
    <t>Zydek</t>
  </si>
  <si>
    <t>Joanna Monika</t>
  </si>
  <si>
    <t>0011748975</t>
  </si>
  <si>
    <t>+48 692 317 326</t>
  </si>
  <si>
    <t>Spacerowa 104, Radlin, 44-310</t>
  </si>
  <si>
    <t>4933</t>
  </si>
  <si>
    <t>R0923-01</t>
  </si>
  <si>
    <t>Balcerak</t>
  </si>
  <si>
    <t>Julia Sabina</t>
  </si>
  <si>
    <t>+48 519 681 362</t>
  </si>
  <si>
    <t>Krucza 10A/9, Pawłowice, 43-251</t>
  </si>
  <si>
    <t>DSC</t>
  </si>
  <si>
    <t>4673</t>
  </si>
  <si>
    <t>70187</t>
  </si>
  <si>
    <t>Balwierz</t>
  </si>
  <si>
    <t>Piotr Marian</t>
  </si>
  <si>
    <t>+48 785 949 300</t>
  </si>
  <si>
    <t>Wrzosowa 23/2, Jastrzebie-Zdroj, 44-335</t>
  </si>
  <si>
    <t>4869</t>
  </si>
  <si>
    <t>R0878-01</t>
  </si>
  <si>
    <t>Bassler</t>
  </si>
  <si>
    <t>Lukáš</t>
  </si>
  <si>
    <t>0001833613</t>
  </si>
  <si>
    <t>722 775 976</t>
  </si>
  <si>
    <t>Dukelská 765, Třinec - Lyžbice, 739 61</t>
  </si>
  <si>
    <t>R0321-01</t>
  </si>
  <si>
    <t>Baszczynski</t>
  </si>
  <si>
    <t>Bogdan Adolf</t>
  </si>
  <si>
    <t>00013283478</t>
  </si>
  <si>
    <t>+48 792 742 229</t>
  </si>
  <si>
    <t>Pawla Bobka 5/10, Cieszyn, 43-400</t>
  </si>
  <si>
    <t>5136</t>
  </si>
  <si>
    <t>R1030-01</t>
  </si>
  <si>
    <t>Bedla</t>
  </si>
  <si>
    <t>Pawel Roman</t>
  </si>
  <si>
    <t>0001985246</t>
  </si>
  <si>
    <t>+48 501 214 878</t>
  </si>
  <si>
    <t>Siedmiu Zrodel 33A, Kielce, 25-821</t>
  </si>
  <si>
    <t>254</t>
  </si>
  <si>
    <t>Sebastian Maciej</t>
  </si>
  <si>
    <t>0001930126</t>
  </si>
  <si>
    <t>+48 696 473 540</t>
  </si>
  <si>
    <t>Sikorskiego 5/17, Cieszyn, 43-400</t>
  </si>
  <si>
    <t>5047</t>
  </si>
  <si>
    <t>R0993-01</t>
  </si>
  <si>
    <t>Bialozyt</t>
  </si>
  <si>
    <t>0001988772</t>
  </si>
  <si>
    <t>+48 510 238 811</t>
  </si>
  <si>
    <t>Jasminowa 10, Ustron, 43-450</t>
  </si>
  <si>
    <t>256</t>
  </si>
  <si>
    <t>Biniek</t>
  </si>
  <si>
    <t>0001937065</t>
  </si>
  <si>
    <t>+48 792 972 144</t>
  </si>
  <si>
    <t>Os. Sikorskiego 20J/2, Zory, 44-240</t>
  </si>
  <si>
    <t>257</t>
  </si>
  <si>
    <t>Blahut</t>
  </si>
  <si>
    <t>Mateusz Pawel</t>
  </si>
  <si>
    <t>0001257912</t>
  </si>
  <si>
    <t>+48 516 918 197</t>
  </si>
  <si>
    <t>Lipowa 12A, Pruchna, 43-523</t>
  </si>
  <si>
    <t>4961</t>
  </si>
  <si>
    <t>R0936-01</t>
  </si>
  <si>
    <t>Bochenek</t>
  </si>
  <si>
    <t>Adam Piotr</t>
  </si>
  <si>
    <t>0001928484</t>
  </si>
  <si>
    <t>+48 790 550 612</t>
  </si>
  <si>
    <t>Skrzypka 4/2, Cieszyn, 43-400</t>
  </si>
  <si>
    <t>4616</t>
  </si>
  <si>
    <t>R0709-01</t>
  </si>
  <si>
    <t>Damian Krzysztof</t>
  </si>
  <si>
    <t>0001405843</t>
  </si>
  <si>
    <t>+48 600 636 889</t>
  </si>
  <si>
    <t>Cedrowa 5, Kiczyce, 43-430</t>
  </si>
  <si>
    <t>260</t>
  </si>
  <si>
    <t>Borek</t>
  </si>
  <si>
    <t>Zuzanna Wladyslawa</t>
  </si>
  <si>
    <t>0001988512</t>
  </si>
  <si>
    <t>+48 572 845 201</t>
  </si>
  <si>
    <t>1 Maja 35/15, Wodzislaw Slaski, 44-304</t>
  </si>
  <si>
    <t>4721</t>
  </si>
  <si>
    <t>R0768-01</t>
  </si>
  <si>
    <t>Borska</t>
  </si>
  <si>
    <t>0003370037</t>
  </si>
  <si>
    <t>+48 882 717 094</t>
  </si>
  <si>
    <t>Borynska 1, Warszowice, 43-254</t>
  </si>
  <si>
    <t>262</t>
  </si>
  <si>
    <t>Borzecki</t>
  </si>
  <si>
    <t>Adam Stefan</t>
  </si>
  <si>
    <t>0002005358</t>
  </si>
  <si>
    <t>+48 609 177 888</t>
  </si>
  <si>
    <t>Zwirki i Wigury 14, Wodzislaw Slaski, 44-300</t>
  </si>
  <si>
    <t>4845</t>
  </si>
  <si>
    <t>R0862-01</t>
  </si>
  <si>
    <t>Leszek Sylwester</t>
  </si>
  <si>
    <t>000291517620</t>
  </si>
  <si>
    <t>+48 799 082 871</t>
  </si>
  <si>
    <t>264</t>
  </si>
  <si>
    <t>Cuber</t>
  </si>
  <si>
    <t>Sonia Katarzyna</t>
  </si>
  <si>
    <t>0003375097</t>
  </si>
  <si>
    <t>+48 783 193 669</t>
  </si>
  <si>
    <t>Wiejska 29a, Gorzyce, 44-350</t>
  </si>
  <si>
    <t>R0340-01</t>
  </si>
  <si>
    <t>Cwiklinska</t>
  </si>
  <si>
    <t>Alicja Katarzyna</t>
  </si>
  <si>
    <t>0013123141</t>
  </si>
  <si>
    <t>+48 573 239 948</t>
  </si>
  <si>
    <t>Wrebowa 14B m.20, Rybnik, 44-270</t>
  </si>
  <si>
    <t>5168</t>
  </si>
  <si>
    <t>R1049-01</t>
  </si>
  <si>
    <t>Czerwinska</t>
  </si>
  <si>
    <t>Kinga Karolina</t>
  </si>
  <si>
    <t>0004489951</t>
  </si>
  <si>
    <t>+48 786 981 086</t>
  </si>
  <si>
    <t>Bobka 8/4, Cieszyn, 43-400</t>
  </si>
  <si>
    <t>267</t>
  </si>
  <si>
    <t>Czyź</t>
  </si>
  <si>
    <t>Natalia Dominika</t>
  </si>
  <si>
    <t>0001867350</t>
  </si>
  <si>
    <t>+48 795 756 172</t>
  </si>
  <si>
    <t>Wyższa Brama 17, Cieszyn, 43-400</t>
  </si>
  <si>
    <t>49</t>
  </si>
  <si>
    <t>R0088-02</t>
  </si>
  <si>
    <t>Damis</t>
  </si>
  <si>
    <t>Malgorzata Maria</t>
  </si>
  <si>
    <t>0009531966</t>
  </si>
  <si>
    <t>+48511553878</t>
  </si>
  <si>
    <t>Jutrzenki 10, Zebrzydowice, 43-410</t>
  </si>
  <si>
    <t>269</t>
  </si>
  <si>
    <t>Dormowicz</t>
  </si>
  <si>
    <t>Marta Ewelina</t>
  </si>
  <si>
    <t>0005160737</t>
  </si>
  <si>
    <t>+48 518 679 641</t>
  </si>
  <si>
    <t>Czecha 4/1, Radlin, 44-310</t>
  </si>
  <si>
    <t>4865</t>
  </si>
  <si>
    <t>R0874-01</t>
  </si>
  <si>
    <t>Wiktoria Marta</t>
  </si>
  <si>
    <t>0003514629</t>
  </si>
  <si>
    <t>+48 784 009 068</t>
  </si>
  <si>
    <t>Bronislawa Czecha 4/1, Radlin, 44-310</t>
  </si>
  <si>
    <t>271</t>
  </si>
  <si>
    <t>Druzbanska</t>
  </si>
  <si>
    <t>Dorota Barbara</t>
  </si>
  <si>
    <t>0001303232</t>
  </si>
  <si>
    <t>+48 530 626 255</t>
  </si>
  <si>
    <t>Rybnicka 31, Szczerbice, 44-293</t>
  </si>
  <si>
    <t>5162</t>
  </si>
  <si>
    <t>R1046-01</t>
  </si>
  <si>
    <t>Dziacko</t>
  </si>
  <si>
    <t>Marta Magdalena</t>
  </si>
  <si>
    <t>0004941641</t>
  </si>
  <si>
    <t>+48 731 070 755</t>
  </si>
  <si>
    <t>3 Maja 37, Jastrzebie Zdroj, 44-335</t>
  </si>
  <si>
    <t>273</t>
  </si>
  <si>
    <t>Elišer</t>
  </si>
  <si>
    <t>Václav</t>
  </si>
  <si>
    <t>0005010380</t>
  </si>
  <si>
    <t>+420 704 495 69</t>
  </si>
  <si>
    <t>Československé armády 487, Frýdek-Místek, Místek, 738 01</t>
  </si>
  <si>
    <t>274</t>
  </si>
  <si>
    <t>Ferfecki</t>
  </si>
  <si>
    <t>Lukasz Wiktor</t>
  </si>
  <si>
    <t>0004222254</t>
  </si>
  <si>
    <t>+48 799 074 575</t>
  </si>
  <si>
    <t>Sw. Marcina 85, Ochaby Wielkie, 43430</t>
  </si>
  <si>
    <t>275</t>
  </si>
  <si>
    <t>Filipiak</t>
  </si>
  <si>
    <t>Karolina Paulina</t>
  </si>
  <si>
    <t>0004688704</t>
  </si>
  <si>
    <t>+48 502 063 042</t>
  </si>
  <si>
    <t>1 Maja 43/4, Rybnik, 44-206</t>
  </si>
  <si>
    <t>276</t>
  </si>
  <si>
    <t>Gabčo</t>
  </si>
  <si>
    <t>0001988791</t>
  </si>
  <si>
    <t>702806209</t>
  </si>
  <si>
    <t>Jablunkovská 407, Třinec - Lyžbice, 739 61</t>
  </si>
  <si>
    <t>277</t>
  </si>
  <si>
    <t>Gatner</t>
  </si>
  <si>
    <t>Dominika Weronika</t>
  </si>
  <si>
    <t>0008337713</t>
  </si>
  <si>
    <t>+48 501 971 657</t>
  </si>
  <si>
    <t>Jana Kochanowskiego 11, Zebrzydowice, 43-410</t>
  </si>
  <si>
    <t>278</t>
  </si>
  <si>
    <t>Gawenda</t>
  </si>
  <si>
    <t>Ewa Maria</t>
  </si>
  <si>
    <t>0001988752</t>
  </si>
  <si>
    <t>+48 515 347 421</t>
  </si>
  <si>
    <t>Lanowa 67, Pszow, 44-370</t>
  </si>
  <si>
    <t>279</t>
  </si>
  <si>
    <t>0000</t>
  </si>
  <si>
    <t>Golyszna</t>
  </si>
  <si>
    <t>Daria Anna</t>
  </si>
  <si>
    <t>0004521242</t>
  </si>
  <si>
    <t>+48 535 973 692</t>
  </si>
  <si>
    <t>Wroclawska 17/11, Jastrzebie Zdroj, 44-335</t>
  </si>
  <si>
    <t>280</t>
  </si>
  <si>
    <t>Graczewski</t>
  </si>
  <si>
    <t>Piotr</t>
  </si>
  <si>
    <t>0002003331</t>
  </si>
  <si>
    <t>+48 577 121 655</t>
  </si>
  <si>
    <t>os 1.Mája 18/2/1, Wodzislaw - Slaski, 44-304</t>
  </si>
  <si>
    <t>117</t>
  </si>
  <si>
    <t>R0483-01</t>
  </si>
  <si>
    <t>0009567977</t>
  </si>
  <si>
    <t>+48 536 114 106</t>
  </si>
  <si>
    <t>1 Maja 18/2, Wodzislaw Slaski, 44-304</t>
  </si>
  <si>
    <t>5143</t>
  </si>
  <si>
    <t>R1037-01</t>
  </si>
  <si>
    <t>Groborz</t>
  </si>
  <si>
    <t>Paulina Dominika</t>
  </si>
  <si>
    <t>0002036733</t>
  </si>
  <si>
    <t>+48 537 603 885</t>
  </si>
  <si>
    <t>Lompy 11d/9, Rybnik, 44-253</t>
  </si>
  <si>
    <t>283</t>
  </si>
  <si>
    <t>Gromotka</t>
  </si>
  <si>
    <t>Pawel Artur</t>
  </si>
  <si>
    <t>0004234930</t>
  </si>
  <si>
    <t>+48 696 289 479</t>
  </si>
  <si>
    <t>Gustawa Morcinka 55/11, Rybnik, 44-273</t>
  </si>
  <si>
    <t>284</t>
  </si>
  <si>
    <t>Habierska</t>
  </si>
  <si>
    <t>Anna Agnieszka</t>
  </si>
  <si>
    <t>0004689675</t>
  </si>
  <si>
    <t>+48 608 717 392</t>
  </si>
  <si>
    <t>Slaska 29/12, Jastrzebie Zdroj, 44-335</t>
  </si>
  <si>
    <t>285</t>
  </si>
  <si>
    <t>Wiktoria Anna</t>
  </si>
  <si>
    <t>0002005366</t>
  </si>
  <si>
    <t>+48 668 310 575</t>
  </si>
  <si>
    <t>120</t>
  </si>
  <si>
    <t>R0545-01</t>
  </si>
  <si>
    <t>Hanke</t>
  </si>
  <si>
    <t>Ewelina Magdalena</t>
  </si>
  <si>
    <t>0004507174</t>
  </si>
  <si>
    <t>+48 515 303 091</t>
  </si>
  <si>
    <t>Ks.K. Boleslawa Kominka 145, Radlin, 44-310</t>
  </si>
  <si>
    <t>4620</t>
  </si>
  <si>
    <t>R0713-01</t>
  </si>
  <si>
    <t>Hase</t>
  </si>
  <si>
    <t>Karina Danuta</t>
  </si>
  <si>
    <t>0001406423</t>
  </si>
  <si>
    <t>+48 512 546 336</t>
  </si>
  <si>
    <t>Karsibór 2/1, Karsibór, 78-609</t>
  </si>
  <si>
    <t>5125</t>
  </si>
  <si>
    <t>R1021-01</t>
  </si>
  <si>
    <t>Herok</t>
  </si>
  <si>
    <t>Natalia Magdalena</t>
  </si>
  <si>
    <t>0003334887</t>
  </si>
  <si>
    <t>+48 512 171 549</t>
  </si>
  <si>
    <t>Gminna 6A, Cieszyn, 43-400</t>
  </si>
  <si>
    <t>289</t>
  </si>
  <si>
    <t>Hojka</t>
  </si>
  <si>
    <t>Dariusz Zygfryd</t>
  </si>
  <si>
    <t>0008791985</t>
  </si>
  <si>
    <t>+48 516 107 433</t>
  </si>
  <si>
    <t>Lipowa 44D, Pszow, 44-370</t>
  </si>
  <si>
    <t>290</t>
  </si>
  <si>
    <t>Justyna Katarzyna</t>
  </si>
  <si>
    <t>0001974139</t>
  </si>
  <si>
    <t>+48 503 767 760</t>
  </si>
  <si>
    <t>4997</t>
  </si>
  <si>
    <t>R0967-01</t>
  </si>
  <si>
    <t>Homa</t>
  </si>
  <si>
    <t>Dorota Helena</t>
  </si>
  <si>
    <t>0001928492</t>
  </si>
  <si>
    <t>+48 697 481 819</t>
  </si>
  <si>
    <t>Mysliwska 66, Ustron, 43-450</t>
  </si>
  <si>
    <t>4871</t>
  </si>
  <si>
    <t>R0880-01</t>
  </si>
  <si>
    <t>Chlebek</t>
  </si>
  <si>
    <t>Aleksandra Ewa</t>
  </si>
  <si>
    <t>0004569962</t>
  </si>
  <si>
    <t>+48 668 506 467</t>
  </si>
  <si>
    <t>Pawia 30A, Wisla-Mala, 43-243</t>
  </si>
  <si>
    <t>4755</t>
  </si>
  <si>
    <t>R0799-01</t>
  </si>
  <si>
    <t>Chodorowska</t>
  </si>
  <si>
    <t>Barbara Miroslawa</t>
  </si>
  <si>
    <t>0001045792</t>
  </si>
  <si>
    <t>+48 606 929 590</t>
  </si>
  <si>
    <t>Śląska 15/36, Jastrzebie-Zdroj, 44-335</t>
  </si>
  <si>
    <t>4728</t>
  </si>
  <si>
    <t>R0770-01</t>
  </si>
  <si>
    <t>Chojna</t>
  </si>
  <si>
    <t>Karolina Teresa</t>
  </si>
  <si>
    <t>0004525388</t>
  </si>
  <si>
    <t>+48 533 961 505</t>
  </si>
  <si>
    <t>Wincentego Styczyńskiego 6/1, Wodzislaw Slaski, 44-300</t>
  </si>
  <si>
    <t>295</t>
  </si>
  <si>
    <t>Chrupcala</t>
  </si>
  <si>
    <t>Karolina Edyta</t>
  </si>
  <si>
    <t>00013280140</t>
  </si>
  <si>
    <t>+48 794 043 205</t>
  </si>
  <si>
    <t>Slaska 51d, Pszow, 44-370</t>
  </si>
  <si>
    <t>4960</t>
  </si>
  <si>
    <t>R0942-01</t>
  </si>
  <si>
    <t>Jakubiec</t>
  </si>
  <si>
    <t>Krzysztof Grzegorz</t>
  </si>
  <si>
    <t>0001985501</t>
  </si>
  <si>
    <t>+48 538 332 346</t>
  </si>
  <si>
    <t>Ofiar Terroru 14/1, Rydultowy, 44-280</t>
  </si>
  <si>
    <t>5583</t>
  </si>
  <si>
    <t>R0700-02</t>
  </si>
  <si>
    <t>Jamry</t>
  </si>
  <si>
    <t>Kamil</t>
  </si>
  <si>
    <t>0015511324</t>
  </si>
  <si>
    <t>+48 512166829</t>
  </si>
  <si>
    <t>Zrodlana 2, Konczyce Male, 43-410</t>
  </si>
  <si>
    <t>123</t>
  </si>
  <si>
    <t>R0454-01</t>
  </si>
  <si>
    <t>Janczuk</t>
  </si>
  <si>
    <t>Mariola Anna</t>
  </si>
  <si>
    <t>0007815411</t>
  </si>
  <si>
    <t>+48 535 364 505</t>
  </si>
  <si>
    <t>Elizy Oreszkowej 16/4, Wodzislaw Slaski, 44-300</t>
  </si>
  <si>
    <t>4978</t>
  </si>
  <si>
    <t>R0956-01</t>
  </si>
  <si>
    <t>Joschko</t>
  </si>
  <si>
    <t>Edyta Elzbieta</t>
  </si>
  <si>
    <t>0004488158</t>
  </si>
  <si>
    <t>+48 724 490 466</t>
  </si>
  <si>
    <t>26-Marca 74/8, Wodzislaw Slaski, 44-300</t>
  </si>
  <si>
    <t>300</t>
  </si>
  <si>
    <t>Kaluza-Mendroch</t>
  </si>
  <si>
    <t>Zyta Barbara</t>
  </si>
  <si>
    <t>0009082992</t>
  </si>
  <si>
    <t>+48 604 884 044</t>
  </si>
  <si>
    <t>Stolarska 12, Gorki Wielkie, 43-436</t>
  </si>
  <si>
    <t>301</t>
  </si>
  <si>
    <t>Kamyczek</t>
  </si>
  <si>
    <t>Slawomir Krzysztof</t>
  </si>
  <si>
    <t>0003368361</t>
  </si>
  <si>
    <t>+48 600 217 909</t>
  </si>
  <si>
    <t>Budowlana 16, Jastrzebie Zdroj, 44-336</t>
  </si>
  <si>
    <t>302</t>
  </si>
  <si>
    <t>Kasprzak</t>
  </si>
  <si>
    <t>Kamila Agnieszka</t>
  </si>
  <si>
    <t>0001989091</t>
  </si>
  <si>
    <t>+48 501 850 675</t>
  </si>
  <si>
    <t>Szotkowicka 25 J, Jastrzebie Zdroj, 44-338</t>
  </si>
  <si>
    <t>4968</t>
  </si>
  <si>
    <t>R0948-01</t>
  </si>
  <si>
    <t>Kissová</t>
  </si>
  <si>
    <t>Andrea</t>
  </si>
  <si>
    <t>0005179390</t>
  </si>
  <si>
    <t>602 812 414</t>
  </si>
  <si>
    <t>Vedlejší 282/3, Havířov - Šumbark, 736 01</t>
  </si>
  <si>
    <t>304</t>
  </si>
  <si>
    <t>Klimek</t>
  </si>
  <si>
    <t>Beata Anna</t>
  </si>
  <si>
    <t>0002036536</t>
  </si>
  <si>
    <t>+48 451 618 607</t>
  </si>
  <si>
    <t>Piastów 16/8, Jastrzębie-Zdrój, 44-335</t>
  </si>
  <si>
    <t>305</t>
  </si>
  <si>
    <t>Koczwara</t>
  </si>
  <si>
    <t>Sabina Beata</t>
  </si>
  <si>
    <t>0001415256</t>
  </si>
  <si>
    <t>+48 510 562 489</t>
  </si>
  <si>
    <t>Boleslawa Prusa 13/4, Wodzislaw Slaski, 44-300</t>
  </si>
  <si>
    <t>306</t>
  </si>
  <si>
    <t>Koch</t>
  </si>
  <si>
    <t>Lukasz Adam</t>
  </si>
  <si>
    <t>0001938460</t>
  </si>
  <si>
    <t>+48 503 976 242</t>
  </si>
  <si>
    <t>Hoza 39, Rybnik, 44-200</t>
  </si>
  <si>
    <t>307</t>
  </si>
  <si>
    <t>Kopera</t>
  </si>
  <si>
    <t>Agnieszka Renata</t>
  </si>
  <si>
    <t>0001406893</t>
  </si>
  <si>
    <t>+48 516 775 436</t>
  </si>
  <si>
    <t>Katowicka 25/1, Jastrzebie Zdroj, 44-335</t>
  </si>
  <si>
    <t>4664</t>
  </si>
  <si>
    <t>R0733-01</t>
  </si>
  <si>
    <t>Kopinska</t>
  </si>
  <si>
    <t>+48 600 254 863</t>
  </si>
  <si>
    <t>osiedle 1000-lecia 15/17, Jastrzebie-Zdroj, 44-268</t>
  </si>
  <si>
    <t>126</t>
  </si>
  <si>
    <t>R0527-01</t>
  </si>
  <si>
    <t>Korab</t>
  </si>
  <si>
    <t>Karina Weronika</t>
  </si>
  <si>
    <t>0002705732</t>
  </si>
  <si>
    <t>+48 785 912 038</t>
  </si>
  <si>
    <t>Bielska 63, 43-400 Cieszyn</t>
  </si>
  <si>
    <t>5138</t>
  </si>
  <si>
    <t>R1031-01</t>
  </si>
  <si>
    <t>Koscik</t>
  </si>
  <si>
    <t>+48 576 751 608</t>
  </si>
  <si>
    <t>Katowicka 15/35, Jastrzebie Zdroj, 44-335</t>
  </si>
  <si>
    <t>R0125-01</t>
  </si>
  <si>
    <t>Kotas</t>
  </si>
  <si>
    <t>Barbara Mariola</t>
  </si>
  <si>
    <t>0009534092</t>
  </si>
  <si>
    <t>+48 531 077 296</t>
  </si>
  <si>
    <t>Moniuszki 20 m.1, Jastrzebie-Zdroj, 44-335</t>
  </si>
  <si>
    <t>4847</t>
  </si>
  <si>
    <t>R0864-01</t>
  </si>
  <si>
    <t>Kowaczik</t>
  </si>
  <si>
    <t>Bozena Jadwiga</t>
  </si>
  <si>
    <t>0008651978</t>
  </si>
  <si>
    <t>+48 533222984</t>
  </si>
  <si>
    <t>Kochanowskiego 3, Cieszyn, 43-400</t>
  </si>
  <si>
    <t>313</t>
  </si>
  <si>
    <t>Krajewska</t>
  </si>
  <si>
    <t>Karina Wanda</t>
  </si>
  <si>
    <t>0001260827</t>
  </si>
  <si>
    <t>+48 606 883 863</t>
  </si>
  <si>
    <t>Osiedle Księcia Władysława 14H/9, Zory, 44-244</t>
  </si>
  <si>
    <t>314</t>
  </si>
  <si>
    <t>Krypczyk</t>
  </si>
  <si>
    <t>Barbara Bronislawa</t>
  </si>
  <si>
    <t>0001964381</t>
  </si>
  <si>
    <t>+48 795 113 939</t>
  </si>
  <si>
    <t>Karola Miarki 6/12, Jastrzebie Zdroj, 44-335</t>
  </si>
  <si>
    <t>4897</t>
  </si>
  <si>
    <t>R0902-01</t>
  </si>
  <si>
    <t>Krzaczek</t>
  </si>
  <si>
    <t>Dominika Bogumila</t>
  </si>
  <si>
    <t>0003536341</t>
  </si>
  <si>
    <t>+48 603 458 236</t>
  </si>
  <si>
    <t>Irysowa 5a/6, Radlin, 44-310</t>
  </si>
  <si>
    <t>316</t>
  </si>
  <si>
    <t>Krzystala</t>
  </si>
  <si>
    <t>Wioletta Aldona</t>
  </si>
  <si>
    <t>0005701504</t>
  </si>
  <si>
    <t>+48 666 692 315</t>
  </si>
  <si>
    <t>Szotkowicka 62L, Jastrzebie Zdroj, 44-338</t>
  </si>
  <si>
    <t>4607</t>
  </si>
  <si>
    <t>R0707-01</t>
  </si>
  <si>
    <t>Bialas</t>
  </si>
  <si>
    <t>Elzbieta</t>
  </si>
  <si>
    <t>0004942265</t>
  </si>
  <si>
    <t>+48 881 267 099</t>
  </si>
  <si>
    <t>Jastrzebia 4, Bielsko-Biala, 43-300</t>
  </si>
  <si>
    <t>318</t>
  </si>
  <si>
    <t>Kucab</t>
  </si>
  <si>
    <t>Marzena Irena</t>
  </si>
  <si>
    <t>0001265052</t>
  </si>
  <si>
    <t>+48 663 466 790</t>
  </si>
  <si>
    <t>Osiedle Księcia Władysława 16E/6, Zory, 44-244</t>
  </si>
  <si>
    <t>4736</t>
  </si>
  <si>
    <t>R0780-01</t>
  </si>
  <si>
    <t>Kuczynska</t>
  </si>
  <si>
    <t>Roksana Magdalena</t>
  </si>
  <si>
    <t>0008777043</t>
  </si>
  <si>
    <t>+48 883 789 908</t>
  </si>
  <si>
    <t>Orla 3/15, Zory, 44-240</t>
  </si>
  <si>
    <t>5617</t>
  </si>
  <si>
    <t>R1193-01</t>
  </si>
  <si>
    <t>Kuklinski</t>
  </si>
  <si>
    <t>Patryk Szymon</t>
  </si>
  <si>
    <t>0007286470</t>
  </si>
  <si>
    <t>+48 538 389 272</t>
  </si>
  <si>
    <t>Raciborska 47, Jankowice, 47-430</t>
  </si>
  <si>
    <t>321</t>
  </si>
  <si>
    <t>Kultys</t>
  </si>
  <si>
    <t>Dawid Albert</t>
  </si>
  <si>
    <t>0001938445</t>
  </si>
  <si>
    <t>+48 530 061 768</t>
  </si>
  <si>
    <t>os. Wladyslawa Sikorskiego 9M/7, Zory, 44-240</t>
  </si>
  <si>
    <t>4663</t>
  </si>
  <si>
    <t>R0734-01</t>
  </si>
  <si>
    <t>Kurasik</t>
  </si>
  <si>
    <t>Monika Dorota</t>
  </si>
  <si>
    <t>0001089809</t>
  </si>
  <si>
    <t>+48 603 702 376</t>
  </si>
  <si>
    <t>Kurpiowska 17/12, Jastrzebie-Zdroj, 44-335</t>
  </si>
  <si>
    <t>323</t>
  </si>
  <si>
    <t>Kurzydlo</t>
  </si>
  <si>
    <t>Jaroslaw Grzegorz</t>
  </si>
  <si>
    <t>0002028989</t>
  </si>
  <si>
    <t>+48 884 830 743</t>
  </si>
  <si>
    <t>Aleja Armii Krajowej 31F/4, Zory, 44-240</t>
  </si>
  <si>
    <t>4752</t>
  </si>
  <si>
    <t>R0796-01</t>
  </si>
  <si>
    <t>Kwasniewska</t>
  </si>
  <si>
    <t>Aleksandra Krystyna</t>
  </si>
  <si>
    <t>0001332377</t>
  </si>
  <si>
    <t>+48 577 338 985</t>
  </si>
  <si>
    <t>osiedle Gwarków 24b/13, Zory, 44-240</t>
  </si>
  <si>
    <t>325</t>
  </si>
  <si>
    <t>Kwiatkowski</t>
  </si>
  <si>
    <t>Mateusz Jaroslaw</t>
  </si>
  <si>
    <t>0001085245</t>
  </si>
  <si>
    <t>+48 535 029 058</t>
  </si>
  <si>
    <t>Cicha 1/27, Gdansk, 83-000</t>
  </si>
  <si>
    <t>326</t>
  </si>
  <si>
    <t>Kwitek</t>
  </si>
  <si>
    <t>Halina Agnieszka</t>
  </si>
  <si>
    <t>0008310028</t>
  </si>
  <si>
    <t>+48 691 453 631</t>
  </si>
  <si>
    <t>Ligonia 5b/3, Czerwoinka-Leszczyny, 44238</t>
  </si>
  <si>
    <t>327</t>
  </si>
  <si>
    <t>Laszczak</t>
  </si>
  <si>
    <t>Jakub Patryk</t>
  </si>
  <si>
    <t>0001210284</t>
  </si>
  <si>
    <t>+48 796 125 231</t>
  </si>
  <si>
    <t>Zrodlana 3, Konczyce Male, 43-410</t>
  </si>
  <si>
    <t>R0335-01</t>
  </si>
  <si>
    <t>Latka</t>
  </si>
  <si>
    <t>Ewelina Ewa</t>
  </si>
  <si>
    <t>0013264228</t>
  </si>
  <si>
    <t>+48 514 082 204</t>
  </si>
  <si>
    <t>Adolfa Wodeckiego 2/11, Jastrzebie-Zdroj, 44-335</t>
  </si>
  <si>
    <t>4956</t>
  </si>
  <si>
    <t>R0937-01</t>
  </si>
  <si>
    <t>Lewandowski</t>
  </si>
  <si>
    <t>Klaudiusz</t>
  </si>
  <si>
    <t>0001928241</t>
  </si>
  <si>
    <t>+48 605 447 215</t>
  </si>
  <si>
    <t>Gorny Bor 46, Skoczow, 43-430</t>
  </si>
  <si>
    <t>5002</t>
  </si>
  <si>
    <t>R0979-01</t>
  </si>
  <si>
    <t>Lubinska</t>
  </si>
  <si>
    <t>Malgorzata Monika</t>
  </si>
  <si>
    <t>0003535138</t>
  </si>
  <si>
    <t>+48 664 195 773</t>
  </si>
  <si>
    <t>Dworcowa 3A/2, Ustron, 43-450</t>
  </si>
  <si>
    <t>5150</t>
  </si>
  <si>
    <t>R1039-01</t>
  </si>
  <si>
    <t>Luczak</t>
  </si>
  <si>
    <t>Jessica Katarzyna</t>
  </si>
  <si>
    <t>0001208734</t>
  </si>
  <si>
    <t>+48 721 168 370</t>
  </si>
  <si>
    <t>Malopolska 29/6, Jastrzebie Zdroj, 44-335</t>
  </si>
  <si>
    <t>332</t>
  </si>
  <si>
    <t>Macura</t>
  </si>
  <si>
    <t>Dorota</t>
  </si>
  <si>
    <t>0001313338</t>
  </si>
  <si>
    <t>+48 530 059 563</t>
  </si>
  <si>
    <t>Katowicka 23/33, Jastrzebie Zdroj, 44-335</t>
  </si>
  <si>
    <t>4868</t>
  </si>
  <si>
    <t>R0877-01</t>
  </si>
  <si>
    <t>Kamil Damian</t>
  </si>
  <si>
    <t>0003315873</t>
  </si>
  <si>
    <t>+48 696 165 354</t>
  </si>
  <si>
    <t>Lesna 8, Pogwizdow, 43-418</t>
  </si>
  <si>
    <t>5026</t>
  </si>
  <si>
    <t>R0982-01</t>
  </si>
  <si>
    <t>Machej</t>
  </si>
  <si>
    <t>Adrian</t>
  </si>
  <si>
    <t>0001829340</t>
  </si>
  <si>
    <t>+48 532 151 110</t>
  </si>
  <si>
    <t>Glowna 49, Hazlach, 43-419</t>
  </si>
  <si>
    <t>335</t>
  </si>
  <si>
    <t>Malczyk</t>
  </si>
  <si>
    <t>Dominika</t>
  </si>
  <si>
    <t>0003359710</t>
  </si>
  <si>
    <t>+48 790 821 494</t>
  </si>
  <si>
    <t>Hallera 25, Cieszyn, 43-400</t>
  </si>
  <si>
    <t>336</t>
  </si>
  <si>
    <t>Marciniak</t>
  </si>
  <si>
    <t>Michał Zbigniew</t>
  </si>
  <si>
    <t>0001985619</t>
  </si>
  <si>
    <t>+48 665 680 833</t>
  </si>
  <si>
    <t>Os. Sikorskiego Wladyslawa 20I/7, Zory, 44-240</t>
  </si>
  <si>
    <t>337</t>
  </si>
  <si>
    <t>Marosz</t>
  </si>
  <si>
    <t>Damian Daniel</t>
  </si>
  <si>
    <t>0002036718</t>
  </si>
  <si>
    <t>+48 536 830 322</t>
  </si>
  <si>
    <t>Borny Bor 4/3, Skoczow, 43-430</t>
  </si>
  <si>
    <t>5616</t>
  </si>
  <si>
    <t>R0925-02</t>
  </si>
  <si>
    <t>Matuszczak</t>
  </si>
  <si>
    <t>Weronika Izabela</t>
  </si>
  <si>
    <t>0007375206</t>
  </si>
  <si>
    <t>+48 576 730 229</t>
  </si>
  <si>
    <t>Jana Kochanowskiego 14, Zebrzydowice, 43-410</t>
  </si>
  <si>
    <t>339</t>
  </si>
  <si>
    <t>Matuszek</t>
  </si>
  <si>
    <t>Tomasz Piotr</t>
  </si>
  <si>
    <t>0004942260</t>
  </si>
  <si>
    <t>+48 571 990 332</t>
  </si>
  <si>
    <t>Os. Orlowiec 27/2, Rydultowy, 44-280</t>
  </si>
  <si>
    <t>5004</t>
  </si>
  <si>
    <t>R0972-01</t>
  </si>
  <si>
    <t>Meller</t>
  </si>
  <si>
    <t>Michal Stanislaw</t>
  </si>
  <si>
    <t>0002029090</t>
  </si>
  <si>
    <t>+48 667 194 610</t>
  </si>
  <si>
    <t>Dworcowa 12B/4, Radostowo, 83-120</t>
  </si>
  <si>
    <t>R0385-01</t>
  </si>
  <si>
    <t>Meyer</t>
  </si>
  <si>
    <t>Beata Katarzyna</t>
  </si>
  <si>
    <t>0291536371</t>
  </si>
  <si>
    <t>+48 791 884 399</t>
  </si>
  <si>
    <t>Osiedle Pawlikowskiego 5F m.3, Zory, 44-240</t>
  </si>
  <si>
    <t>R0348-01</t>
  </si>
  <si>
    <t>Mienkowska</t>
  </si>
  <si>
    <t>Edyta Ewa</t>
  </si>
  <si>
    <t>0013247004</t>
  </si>
  <si>
    <t>+48 514 226 388</t>
  </si>
  <si>
    <t>Janusza Kusocinskiego 30/3, Jastrzebie-Zdroj, 44-335</t>
  </si>
  <si>
    <t>343</t>
  </si>
  <si>
    <t>Michalak</t>
  </si>
  <si>
    <t>Dominika Ilona</t>
  </si>
  <si>
    <t>0011756463</t>
  </si>
  <si>
    <t>+48 731 521 972</t>
  </si>
  <si>
    <t>Karola Miarki 2/23, Jastrzębie-Zdrój, 44-330</t>
  </si>
  <si>
    <t>19</t>
  </si>
  <si>
    <t>R0564-01</t>
  </si>
  <si>
    <t>Mikus</t>
  </si>
  <si>
    <t>0008777013</t>
  </si>
  <si>
    <t>739 908 169</t>
  </si>
  <si>
    <t>Jablunkovská 160, Třinec - Staré Město, 739 61</t>
  </si>
  <si>
    <t>345</t>
  </si>
  <si>
    <t>Myszak</t>
  </si>
  <si>
    <t>Marek Jakub</t>
  </si>
  <si>
    <t>0001828445</t>
  </si>
  <si>
    <t>+48 531 975 169</t>
  </si>
  <si>
    <t>Sportowa 30, Piece, 44-293</t>
  </si>
  <si>
    <t>140</t>
  </si>
  <si>
    <t>R0543-01</t>
  </si>
  <si>
    <t>Niedziela</t>
  </si>
  <si>
    <t>Patrycja Barbara</t>
  </si>
  <si>
    <t>0009093072</t>
  </si>
  <si>
    <t>+48 518 661 191</t>
  </si>
  <si>
    <t>Tadeusza Kosciuszki 61C, Rybnik, 44-200</t>
  </si>
  <si>
    <t>4791</t>
  </si>
  <si>
    <t>R0834-01</t>
  </si>
  <si>
    <t>Niemczyk</t>
  </si>
  <si>
    <t>Daniel Marcin</t>
  </si>
  <si>
    <t>0003520045</t>
  </si>
  <si>
    <t>+48 698 762 534</t>
  </si>
  <si>
    <t>Bażanowicka 18, Ogrodzona, 43-426</t>
  </si>
  <si>
    <t>5121</t>
  </si>
  <si>
    <t>R1020-01</t>
  </si>
  <si>
    <t>Niepsuj</t>
  </si>
  <si>
    <t>Karolina Magdalena</t>
  </si>
  <si>
    <t>0002028995</t>
  </si>
  <si>
    <t>+48 573 180 361</t>
  </si>
  <si>
    <t>Rynek 10/3, Orzesze, 43-180</t>
  </si>
  <si>
    <t>147</t>
  </si>
  <si>
    <t>R0271-01</t>
  </si>
  <si>
    <t>Nowak</t>
  </si>
  <si>
    <t>Zaneta Barbara</t>
  </si>
  <si>
    <t>0003845781</t>
  </si>
  <si>
    <t>+48531083839</t>
  </si>
  <si>
    <t>Kardynala S. Wyszynskiego 42/9, Wodzislaw Slaski, 44-300</t>
  </si>
  <si>
    <t>4416</t>
  </si>
  <si>
    <t>R0625-01</t>
  </si>
  <si>
    <t>Nowak-Plucińska</t>
  </si>
  <si>
    <t>Beata Renata</t>
  </si>
  <si>
    <t>0013262924</t>
  </si>
  <si>
    <t>+48 791 998 879</t>
  </si>
  <si>
    <t>Wielkopolska 59/27, Jastrzebie-Zdroj, 44-335</t>
  </si>
  <si>
    <t>351</t>
  </si>
  <si>
    <t>Nowicki</t>
  </si>
  <si>
    <t>Marek Grzegorz</t>
  </si>
  <si>
    <t>0001221376</t>
  </si>
  <si>
    <t>+48 534 026 451</t>
  </si>
  <si>
    <t>Czuchowska 25, Hazlach, 43-419</t>
  </si>
  <si>
    <t>7989</t>
  </si>
  <si>
    <t>Ordzinska</t>
  </si>
  <si>
    <t>0000353488</t>
  </si>
  <si>
    <t>+48518941047</t>
  </si>
  <si>
    <t>146</t>
  </si>
  <si>
    <t>R0021-02</t>
  </si>
  <si>
    <t>Olszanecka</t>
  </si>
  <si>
    <t>Beata Magdalena</t>
  </si>
  <si>
    <t>0004744103</t>
  </si>
  <si>
    <t>+48 784 624 084</t>
  </si>
  <si>
    <t>Slaska 34/18, Jastrzebie-Zdroj, 44-335</t>
  </si>
  <si>
    <t>354</t>
  </si>
  <si>
    <t>Osak</t>
  </si>
  <si>
    <t>Pawel Michal</t>
  </si>
  <si>
    <t>0003363838</t>
  </si>
  <si>
    <t>+48 515561544</t>
  </si>
  <si>
    <t>Pikiety 12, Cieszyn, 43-400</t>
  </si>
  <si>
    <t>355</t>
  </si>
  <si>
    <t>Pachula</t>
  </si>
  <si>
    <t>Wieslaw Marek</t>
  </si>
  <si>
    <t>0001928538</t>
  </si>
  <si>
    <t>+48 795 110 905</t>
  </si>
  <si>
    <t>Gustawa Morcinka 13/17, Skoczow, 43-430</t>
  </si>
  <si>
    <t>356</t>
  </si>
  <si>
    <t>Palczewski</t>
  </si>
  <si>
    <t>Piotr Pawel</t>
  </si>
  <si>
    <t>0001932289</t>
  </si>
  <si>
    <t>+48 600 162 991</t>
  </si>
  <si>
    <t>Polna 25B/10, Pawlowice, 43-251</t>
  </si>
  <si>
    <t>4745</t>
  </si>
  <si>
    <t>R0781-01</t>
  </si>
  <si>
    <t>Paprota</t>
  </si>
  <si>
    <t>Dominik Patryk</t>
  </si>
  <si>
    <t>0001279913</t>
  </si>
  <si>
    <t>+48 536265241</t>
  </si>
  <si>
    <t>Ul. Pikiety 43, Cieszyn, 43-400</t>
  </si>
  <si>
    <t>5029</t>
  </si>
  <si>
    <t>R0983-01</t>
  </si>
  <si>
    <t>Pasinska</t>
  </si>
  <si>
    <t>Barbara Beata</t>
  </si>
  <si>
    <t>0001815974</t>
  </si>
  <si>
    <t>+48 518 208 211</t>
  </si>
  <si>
    <t>Sobieskiego 50, Kaczyce, 43-417</t>
  </si>
  <si>
    <t>4790</t>
  </si>
  <si>
    <t>R0833-01</t>
  </si>
  <si>
    <t>Pawlak</t>
  </si>
  <si>
    <t>Lidia Marzena</t>
  </si>
  <si>
    <t>0004216781</t>
  </si>
  <si>
    <t>+48 690 933 757</t>
  </si>
  <si>
    <t>Wrocławska 39/12, Jastrzębie-Zdrój, 44-335</t>
  </si>
  <si>
    <t>360</t>
  </si>
  <si>
    <t>Tomasz Andrzej</t>
  </si>
  <si>
    <t>0001932079</t>
  </si>
  <si>
    <t>+48 669 581 089</t>
  </si>
  <si>
    <t>Osiedle Księcia Władysława 6C/33, Zory, 44-241</t>
  </si>
  <si>
    <t>4727</t>
  </si>
  <si>
    <t>R0774-01</t>
  </si>
  <si>
    <t>Pawlas</t>
  </si>
  <si>
    <t>Klaudia Paulina</t>
  </si>
  <si>
    <t>0001221871</t>
  </si>
  <si>
    <t>+48 663 410 408</t>
  </si>
  <si>
    <t>Sportowa 24, Piece, 44-293</t>
  </si>
  <si>
    <t>362</t>
  </si>
  <si>
    <t>Perek</t>
  </si>
  <si>
    <t>Patrycja Maria</t>
  </si>
  <si>
    <t>0001985496</t>
  </si>
  <si>
    <t>+48 795 375 369</t>
  </si>
  <si>
    <t>Moniuszki 8/59, Cieszyn, 43-400</t>
  </si>
  <si>
    <t>4893</t>
  </si>
  <si>
    <t>R0892-01</t>
  </si>
  <si>
    <t>Piatek</t>
  </si>
  <si>
    <t>Joanna Barbara</t>
  </si>
  <si>
    <t>0001275790</t>
  </si>
  <si>
    <t>+48 661 766 217</t>
  </si>
  <si>
    <t>Katowicka 3/37, Jastrzebie Zdroj, 44-335</t>
  </si>
  <si>
    <t>364</t>
  </si>
  <si>
    <t>Pietrek</t>
  </si>
  <si>
    <t>Grzegorz Piotr</t>
  </si>
  <si>
    <t>0001219223</t>
  </si>
  <si>
    <t>+48 519 456 499</t>
  </si>
  <si>
    <t>Wrebowa 4c/24, Rybnik, 44-270</t>
  </si>
  <si>
    <t>365</t>
  </si>
  <si>
    <t>Piwowarska</t>
  </si>
  <si>
    <t>Roksana Maria</t>
  </si>
  <si>
    <t>0001343425</t>
  </si>
  <si>
    <t>+48 791 690 795</t>
  </si>
  <si>
    <t>Strazacka 24A/13, Zory, 44-240</t>
  </si>
  <si>
    <t>5144</t>
  </si>
  <si>
    <t>R1034-01</t>
  </si>
  <si>
    <t>Plichta</t>
  </si>
  <si>
    <t>Lukasz</t>
  </si>
  <si>
    <t>0003628225</t>
  </si>
  <si>
    <t>+48 883 643 539</t>
  </si>
  <si>
    <t>Rostka 2c/10, Rybnik, 44-253</t>
  </si>
  <si>
    <t>148</t>
  </si>
  <si>
    <t>R0122-01</t>
  </si>
  <si>
    <t>0291550143</t>
  </si>
  <si>
    <t>+48 452 084 008</t>
  </si>
  <si>
    <t>Gagarina 110m.34, Jastrzebie-Zdroj, 44-268</t>
  </si>
  <si>
    <t>368</t>
  </si>
  <si>
    <t>0001226162</t>
  </si>
  <si>
    <t>+48 793 344 282</t>
  </si>
  <si>
    <t>Gagarina 110 m.34, Jastrzebie-Zdrój, 44-268</t>
  </si>
  <si>
    <t>369</t>
  </si>
  <si>
    <t>Pompa</t>
  </si>
  <si>
    <t>Aleksandra Jadwiga</t>
  </si>
  <si>
    <t>0004622612</t>
  </si>
  <si>
    <t>+48 732 836 617</t>
  </si>
  <si>
    <t>Skowronkow 23, Rybnik, 44-207</t>
  </si>
  <si>
    <t>370</t>
  </si>
  <si>
    <t>Portka</t>
  </si>
  <si>
    <t>Oskar</t>
  </si>
  <si>
    <t>0001260558</t>
  </si>
  <si>
    <t>+48 605 060 655</t>
  </si>
  <si>
    <t>Zielona 76E/5, Jastrzebie Zdroj, 44-335</t>
  </si>
  <si>
    <t>4861</t>
  </si>
  <si>
    <t>R0870-01</t>
  </si>
  <si>
    <t>Porwolik</t>
  </si>
  <si>
    <t>Anna Malgorzata</t>
  </si>
  <si>
    <t>0001220221</t>
  </si>
  <si>
    <t>+48 510 809 585</t>
  </si>
  <si>
    <t>Os. Pawlikowskiego 12H/7, Zory, 44-240</t>
  </si>
  <si>
    <t>150</t>
  </si>
  <si>
    <t>R0129-01</t>
  </si>
  <si>
    <t>Przybyla</t>
  </si>
  <si>
    <t>Danuta Anna</t>
  </si>
  <si>
    <t>0002036505</t>
  </si>
  <si>
    <t>+48 781935611</t>
  </si>
  <si>
    <t>Rynek 29/2, Wodzislaw Slaski, 44-300</t>
  </si>
  <si>
    <t>5114</t>
  </si>
  <si>
    <t>R1014-01</t>
  </si>
  <si>
    <t>Ptak</t>
  </si>
  <si>
    <t>Monika Aleksandra</t>
  </si>
  <si>
    <t>0002029084</t>
  </si>
  <si>
    <t>+48 570 761 473</t>
  </si>
  <si>
    <t>Polna 19G/7, Pawlowice, 43-251</t>
  </si>
  <si>
    <t>374</t>
  </si>
  <si>
    <t>Pustelnik</t>
  </si>
  <si>
    <t>Damian Jozef</t>
  </si>
  <si>
    <t>0003299932</t>
  </si>
  <si>
    <t>+48 511 663 644</t>
  </si>
  <si>
    <t>Zielona 9/30, Jastrzebie Zdroj, 44-335</t>
  </si>
  <si>
    <t>375</t>
  </si>
  <si>
    <t>Puwel</t>
  </si>
  <si>
    <t>Miroslaw Stefan</t>
  </si>
  <si>
    <t>0001092313</t>
  </si>
  <si>
    <t>+48 731 001 788</t>
  </si>
  <si>
    <t>os. Korfantego 10D/10, Zory, 44-240</t>
  </si>
  <si>
    <t>376</t>
  </si>
  <si>
    <t>Ratajczak</t>
  </si>
  <si>
    <t>Monika Anna</t>
  </si>
  <si>
    <t>0001953401</t>
  </si>
  <si>
    <t>+48 720 864 984</t>
  </si>
  <si>
    <t>Piastowska 5/5, Wodzislaw Slaski, 44-300</t>
  </si>
  <si>
    <t>5120</t>
  </si>
  <si>
    <t>R1018-01</t>
  </si>
  <si>
    <t>Ratajczyk</t>
  </si>
  <si>
    <t>Patrycja Joanna</t>
  </si>
  <si>
    <t>0001985251</t>
  </si>
  <si>
    <t>+48 515 040 064</t>
  </si>
  <si>
    <t>Wyzwolenia 47B, Chybie, 43-520</t>
  </si>
  <si>
    <t>4713</t>
  </si>
  <si>
    <t>R0761-01</t>
  </si>
  <si>
    <t>Rduch</t>
  </si>
  <si>
    <t>0004504028</t>
  </si>
  <si>
    <t>+48 732 665 221</t>
  </si>
  <si>
    <t>Mickiewicza 124, Mszana, 44-325</t>
  </si>
  <si>
    <t>261</t>
  </si>
  <si>
    <t>R0593-01</t>
  </si>
  <si>
    <t>Rembielak</t>
  </si>
  <si>
    <t>Ewa Klaudia</t>
  </si>
  <si>
    <t>0352188369058</t>
  </si>
  <si>
    <t>+48 668 954 871</t>
  </si>
  <si>
    <t>plac Józefa Poniatowskiego 9/4, Cieszyn, 43-400</t>
  </si>
  <si>
    <t>380</t>
  </si>
  <si>
    <t>Rubys</t>
  </si>
  <si>
    <t>Stanislaw Dominik</t>
  </si>
  <si>
    <t>0002028835</t>
  </si>
  <si>
    <t>+48 533 059 362</t>
  </si>
  <si>
    <t>Czarnieckiego 47, Wodzislaw Slaski, 44-304</t>
  </si>
  <si>
    <t>381</t>
  </si>
  <si>
    <t>Rusiński</t>
  </si>
  <si>
    <t>Mateusz Kamil</t>
  </si>
  <si>
    <t>0352188629581</t>
  </si>
  <si>
    <t>+48 538 210 175</t>
  </si>
  <si>
    <t>Cieszyńska 192, Jastrzębie-Zdrój, 44-335</t>
  </si>
  <si>
    <t>5664</t>
  </si>
  <si>
    <t>R0845-01</t>
  </si>
  <si>
    <t>Sadlo</t>
  </si>
  <si>
    <t>0001402179</t>
  </si>
  <si>
    <t>+48 798 205 702</t>
  </si>
  <si>
    <t>Powstancow 1A, Sosnicowice, 44-153</t>
  </si>
  <si>
    <t>5712</t>
  </si>
  <si>
    <t>Saganová</t>
  </si>
  <si>
    <t>Marie</t>
  </si>
  <si>
    <t>0003535704</t>
  </si>
  <si>
    <t>702 053 866</t>
  </si>
  <si>
    <t>Tř.17.listopadu 2351/7, Karviná - Mizerov, 734 01</t>
  </si>
  <si>
    <t>4744</t>
  </si>
  <si>
    <t>R0783-01</t>
  </si>
  <si>
    <t>Satlawa</t>
  </si>
  <si>
    <t>Iwona Maria</t>
  </si>
  <si>
    <t>0001279904</t>
  </si>
  <si>
    <t>+48 503 387 054</t>
  </si>
  <si>
    <t>Janusza Korczaka 56, Konczyce Male, 43-410</t>
  </si>
  <si>
    <t>385</t>
  </si>
  <si>
    <t>Sawicki</t>
  </si>
  <si>
    <t>Adam Grzegorz</t>
  </si>
  <si>
    <t>0001931855</t>
  </si>
  <si>
    <t>+48 572 495 864</t>
  </si>
  <si>
    <t>Partyzantow 46A, Rybnik, 44-203</t>
  </si>
  <si>
    <t>5006</t>
  </si>
  <si>
    <t>R0971-01</t>
  </si>
  <si>
    <t>Setla</t>
  </si>
  <si>
    <t>Jakub Dominik</t>
  </si>
  <si>
    <t>0002028817</t>
  </si>
  <si>
    <t>+48 794 226 241</t>
  </si>
  <si>
    <t>Rydultowska 85, Gaszowice, 44-293</t>
  </si>
  <si>
    <t>4643</t>
  </si>
  <si>
    <t>R0730-01</t>
  </si>
  <si>
    <t>Agnieszka Maria</t>
  </si>
  <si>
    <t>0003534880</t>
  </si>
  <si>
    <t>+48 603 221 451</t>
  </si>
  <si>
    <t>Fiołków 10, Cieszyn, 43-400</t>
  </si>
  <si>
    <t>4555</t>
  </si>
  <si>
    <t>R0825-01</t>
  </si>
  <si>
    <t>Aleksandra Barbara</t>
  </si>
  <si>
    <t>0001337753</t>
  </si>
  <si>
    <t>+48 508 210 457</t>
  </si>
  <si>
    <t>Górnicza 40/5, Jastrzebie-Zdroj, 44-335</t>
  </si>
  <si>
    <t>153</t>
  </si>
  <si>
    <t>R0404-01</t>
  </si>
  <si>
    <t>Piotr Robert</t>
  </si>
  <si>
    <t>0015501372</t>
  </si>
  <si>
    <t>+48 576 893 853</t>
  </si>
  <si>
    <t>Wieczorka 16m.4, Jastrzebie-Zdroj, 44-330</t>
  </si>
  <si>
    <t>4787</t>
  </si>
  <si>
    <t>R0826-01</t>
  </si>
  <si>
    <t>Sikorski</t>
  </si>
  <si>
    <t>Maciej</t>
  </si>
  <si>
    <t>0001319636</t>
  </si>
  <si>
    <t>+48 698 725 476</t>
  </si>
  <si>
    <t>Katowicka 94, Cieszyn, 43-400</t>
  </si>
  <si>
    <t>391</t>
  </si>
  <si>
    <t>Siwonia</t>
  </si>
  <si>
    <t>Jedrzej Leszek</t>
  </si>
  <si>
    <t>0014964119</t>
  </si>
  <si>
    <t>+48 537 738 640</t>
  </si>
  <si>
    <t>Gornicza 4Bm.8, Pawlowice, 43-251</t>
  </si>
  <si>
    <t>155</t>
  </si>
  <si>
    <t>R0141-01</t>
  </si>
  <si>
    <t>Skawinska</t>
  </si>
  <si>
    <t>Dorota Bernadeta</t>
  </si>
  <si>
    <t>0013190728</t>
  </si>
  <si>
    <t>+48 662 952 690</t>
  </si>
  <si>
    <t>Elizy Orzeszkowej 12/7, Wodzislaw Slaski, 44-300</t>
  </si>
  <si>
    <t>393</t>
  </si>
  <si>
    <t>Slowiok</t>
  </si>
  <si>
    <t>0001932294</t>
  </si>
  <si>
    <t>+48 791 906 688</t>
  </si>
  <si>
    <t>Centralna 66/6, Ogrodzona, 43-426</t>
  </si>
  <si>
    <t>9812</t>
  </si>
  <si>
    <t>Slupik</t>
  </si>
  <si>
    <t>Anna</t>
  </si>
  <si>
    <t>0001353621</t>
  </si>
  <si>
    <t>+48 514 369 392</t>
  </si>
  <si>
    <t>Os. Powstancow Slaskich 6D/7, Zory, 43-254</t>
  </si>
  <si>
    <t>395</t>
  </si>
  <si>
    <t>Soboczynska</t>
  </si>
  <si>
    <t>0001327728</t>
  </si>
  <si>
    <t>+48 733 209 427</t>
  </si>
  <si>
    <t>Korfantego 32b/2, Radlin, 44-310</t>
  </si>
  <si>
    <t>396</t>
  </si>
  <si>
    <t>Sojka</t>
  </si>
  <si>
    <t>Janusz</t>
  </si>
  <si>
    <t>0003326894</t>
  </si>
  <si>
    <t>+48 577 916 565</t>
  </si>
  <si>
    <t>Srebrna 8, Zebrzydowice, 43-410</t>
  </si>
  <si>
    <t>397</t>
  </si>
  <si>
    <t>Sosna</t>
  </si>
  <si>
    <t>0001985586</t>
  </si>
  <si>
    <t>+48 798 972 720</t>
  </si>
  <si>
    <t>Szotkowicka 58B, Jastrzebie Zdroj, 44-338</t>
  </si>
  <si>
    <t>5152</t>
  </si>
  <si>
    <t>R1041-01</t>
  </si>
  <si>
    <t>Stafiej</t>
  </si>
  <si>
    <t>Lucyna Justyna</t>
  </si>
  <si>
    <t>0003371764</t>
  </si>
  <si>
    <t>+48 578 210 628</t>
  </si>
  <si>
    <t>Zawisle 21/5, Skoczow, 43-430</t>
  </si>
  <si>
    <t>176</t>
  </si>
  <si>
    <t>R0282-01</t>
  </si>
  <si>
    <t>Stanek</t>
  </si>
  <si>
    <t>Martyna Katarzyna</t>
  </si>
  <si>
    <t>0005555530</t>
  </si>
  <si>
    <t>+48 698 952 544</t>
  </si>
  <si>
    <t>Osiedle 700 - Lecia Zor 20m.25, Zory, 44-240</t>
  </si>
  <si>
    <t>400</t>
  </si>
  <si>
    <t>Stepien</t>
  </si>
  <si>
    <t>Damian</t>
  </si>
  <si>
    <t>0008777567</t>
  </si>
  <si>
    <t>+48 791 550 906</t>
  </si>
  <si>
    <t>Fabryczna 10C/11, Zory, 44-240</t>
  </si>
  <si>
    <t>401</t>
  </si>
  <si>
    <t>Suwinski</t>
  </si>
  <si>
    <t>Jakub Joachim</t>
  </si>
  <si>
    <t>0001032304</t>
  </si>
  <si>
    <t>+48 663 626 222</t>
  </si>
  <si>
    <t>Malopolska 27/6, Jastrzebie Zdroj, 44-335</t>
  </si>
  <si>
    <t>4826</t>
  </si>
  <si>
    <t>R0851-01</t>
  </si>
  <si>
    <t>Swiercz</t>
  </si>
  <si>
    <t>Lucyna Krystyna</t>
  </si>
  <si>
    <t>0003365841</t>
  </si>
  <si>
    <t>+48 604 534 713</t>
  </si>
  <si>
    <t>Frysztacka 161/206, Cieszyn, 43-400</t>
  </si>
  <si>
    <t>R0819-01</t>
  </si>
  <si>
    <t>Świerczyński</t>
  </si>
  <si>
    <t>Rafal Tomasz</t>
  </si>
  <si>
    <t>0001254597</t>
  </si>
  <si>
    <t>+48 519 867 568</t>
  </si>
  <si>
    <t>Bolesława Prusa 16A/2, Malbork, 82-200</t>
  </si>
  <si>
    <t>404</t>
  </si>
  <si>
    <t>Swiety</t>
  </si>
  <si>
    <t>Mateusz Czeslaw</t>
  </si>
  <si>
    <t>0001408958</t>
  </si>
  <si>
    <t>+48 600 946 633</t>
  </si>
  <si>
    <t>Mickiewicza 147, Mszana, 44-325</t>
  </si>
  <si>
    <t>4899</t>
  </si>
  <si>
    <t>R0899-01</t>
  </si>
  <si>
    <t>Swoboda</t>
  </si>
  <si>
    <t>Martyna Alicja</t>
  </si>
  <si>
    <t>0003408083</t>
  </si>
  <si>
    <t>+48 519 720 150</t>
  </si>
  <si>
    <t>Wolnosci 1/11, Radlin, 44-310</t>
  </si>
  <si>
    <t>177</t>
  </si>
  <si>
    <t>R0240-01</t>
  </si>
  <si>
    <t>Szczesny</t>
  </si>
  <si>
    <t>Agnieszka Joanna</t>
  </si>
  <si>
    <t>0009551583</t>
  </si>
  <si>
    <t>+48 509 182 239</t>
  </si>
  <si>
    <t>Marusarzowny 39m.7, Jastrzebie-Zdroj, 44-330</t>
  </si>
  <si>
    <t>407</t>
  </si>
  <si>
    <t>Szeluga</t>
  </si>
  <si>
    <t>Magdalena Klaudia</t>
  </si>
  <si>
    <t>0002005371</t>
  </si>
  <si>
    <t>+48 793 405 340</t>
  </si>
  <si>
    <t>Kaszubska 3/20, Jastrzębie-Zdrój, 44-335</t>
  </si>
  <si>
    <t>4822</t>
  </si>
  <si>
    <t>R0849-01</t>
  </si>
  <si>
    <t>Szmul</t>
  </si>
  <si>
    <t>Alicja Malgorzata</t>
  </si>
  <si>
    <t>0001220227</t>
  </si>
  <si>
    <t>+48 784 975 111</t>
  </si>
  <si>
    <t>Gosciejow 51, Wisla, 43-460</t>
  </si>
  <si>
    <t>409</t>
  </si>
  <si>
    <t>Szydlik</t>
  </si>
  <si>
    <t>Anna Krystyna</t>
  </si>
  <si>
    <t>0001931023</t>
  </si>
  <si>
    <t>+48 881 641 991</t>
  </si>
  <si>
    <t>26 Marca 78/1, Wodzislaw Slaski, 44-300</t>
  </si>
  <si>
    <t>5729</t>
  </si>
  <si>
    <t>Tolwinski</t>
  </si>
  <si>
    <t>Patryk Artur</t>
  </si>
  <si>
    <t>0003769215</t>
  </si>
  <si>
    <t>+48 728 703 509</t>
  </si>
  <si>
    <t>Osiedle Księcia Władysława 5A/24, Zory, 44-241</t>
  </si>
  <si>
    <t>4959</t>
  </si>
  <si>
    <t>R0944-01</t>
  </si>
  <si>
    <t>Tomica</t>
  </si>
  <si>
    <t>Janusz Franciszek</t>
  </si>
  <si>
    <t>0002013831</t>
  </si>
  <si>
    <t>+48 608 142 897</t>
  </si>
  <si>
    <t>Katowicka 44, Cieszyn, 43-419</t>
  </si>
  <si>
    <t>4724</t>
  </si>
  <si>
    <t>R0765-01</t>
  </si>
  <si>
    <t>Tomiczek</t>
  </si>
  <si>
    <t>Sara Beata</t>
  </si>
  <si>
    <t>0001343515</t>
  </si>
  <si>
    <t>+48 516 631 702</t>
  </si>
  <si>
    <t>Reymonta 43, Cieszyn, 43-400</t>
  </si>
  <si>
    <t>4772</t>
  </si>
  <si>
    <t>R0912-01</t>
  </si>
  <si>
    <t>Trebacz</t>
  </si>
  <si>
    <t>Mateusz Piotr</t>
  </si>
  <si>
    <t>0001255808</t>
  </si>
  <si>
    <t>+48 695 152 026</t>
  </si>
  <si>
    <t>Gminna 5/2, Kiczyce, 43-430</t>
  </si>
  <si>
    <t>4919</t>
  </si>
  <si>
    <t>R0908-01</t>
  </si>
  <si>
    <t>Tuna</t>
  </si>
  <si>
    <t>0003785106</t>
  </si>
  <si>
    <t>770 671 910</t>
  </si>
  <si>
    <t>Okružní 1764/20, Český Těšín, 737 01</t>
  </si>
  <si>
    <t>R0406-01</t>
  </si>
  <si>
    <t>Tytko</t>
  </si>
  <si>
    <t>Aleksandra Irmina</t>
  </si>
  <si>
    <t>0004468410</t>
  </si>
  <si>
    <t>+48 510 142 785</t>
  </si>
  <si>
    <t>Bronislawa Czecha 2/4, Radlin, 44-310</t>
  </si>
  <si>
    <t>4698</t>
  </si>
  <si>
    <t>R0788-01</t>
  </si>
  <si>
    <t>Veselý</t>
  </si>
  <si>
    <t>Stanislav</t>
  </si>
  <si>
    <t>0004058686</t>
  </si>
  <si>
    <t>774 071 866</t>
  </si>
  <si>
    <t>Bažantnice 452, Albrechtice, 735 43</t>
  </si>
  <si>
    <t>4611</t>
  </si>
  <si>
    <t>R0715-01</t>
  </si>
  <si>
    <t>Waclawczyk</t>
  </si>
  <si>
    <t>Adam Krzysztof</t>
  </si>
  <si>
    <t>0008563338</t>
  </si>
  <si>
    <t>+48 532 484 452</t>
  </si>
  <si>
    <t>Kar. Stefana Wyszyńskiego 8/12, Wodzislaw Slaski, 44-300</t>
  </si>
  <si>
    <t>5069</t>
  </si>
  <si>
    <t>R1008-01</t>
  </si>
  <si>
    <t>Wagner</t>
  </si>
  <si>
    <t>Irena Agnieszka</t>
  </si>
  <si>
    <t>0001985625</t>
  </si>
  <si>
    <t>+48 697 653 898</t>
  </si>
  <si>
    <t>Grabowa 36, Ustron, 43-450</t>
  </si>
  <si>
    <t>419</t>
  </si>
  <si>
    <t>Walesa</t>
  </si>
  <si>
    <t>0001275384</t>
  </si>
  <si>
    <t>+48 511 123 230</t>
  </si>
  <si>
    <t>Sw. Maksymiliana 7a/5, Rybnik, 44-207</t>
  </si>
  <si>
    <t>420</t>
  </si>
  <si>
    <t>Wasilewska</t>
  </si>
  <si>
    <t>Oliwia</t>
  </si>
  <si>
    <t>0352188709496</t>
  </si>
  <si>
    <t>+48 511 144 530</t>
  </si>
  <si>
    <t>Chabrowa 28a/41, Rybnik, 44-210</t>
  </si>
  <si>
    <t>185</t>
  </si>
  <si>
    <t>R0118-01</t>
  </si>
  <si>
    <t>Wawrzyczny</t>
  </si>
  <si>
    <t>Leszek Adam</t>
  </si>
  <si>
    <t>0004741996</t>
  </si>
  <si>
    <t>+48 795 273 630</t>
  </si>
  <si>
    <t>Szkolna 3, Wodzislaw Slaski, 44-300</t>
  </si>
  <si>
    <t>422</t>
  </si>
  <si>
    <t>Witak</t>
  </si>
  <si>
    <t>Danuta Dorota</t>
  </si>
  <si>
    <t>0001374770</t>
  </si>
  <si>
    <t>+48 888 962 901</t>
  </si>
  <si>
    <t>Os. Ksiecia Wladyslawa 8C/M38, Zory, 44-240</t>
  </si>
  <si>
    <t>423</t>
  </si>
  <si>
    <t>Wiktoria Kinga</t>
  </si>
  <si>
    <t>0001863534</t>
  </si>
  <si>
    <t>+48 797 392 849</t>
  </si>
  <si>
    <t>Borynska 23, Zory, 44-240</t>
  </si>
  <si>
    <t>424</t>
  </si>
  <si>
    <t>Wodecka</t>
  </si>
  <si>
    <t>Agnieszka Irena</t>
  </si>
  <si>
    <t>0001317903</t>
  </si>
  <si>
    <t>+48 784 354 219</t>
  </si>
  <si>
    <t>Wielkopolska 41/33, Jastrzebie-Zdroj, 44-335</t>
  </si>
  <si>
    <t>425</t>
  </si>
  <si>
    <t>Wodyk</t>
  </si>
  <si>
    <t>Piotr Zbigniew</t>
  </si>
  <si>
    <t>0003351251</t>
  </si>
  <si>
    <t>+48 662 967 022</t>
  </si>
  <si>
    <t>Wiślańska 21/25, Cieszyn, 43-400</t>
  </si>
  <si>
    <t>5015</t>
  </si>
  <si>
    <t>R0981-01</t>
  </si>
  <si>
    <t>Wojaczek</t>
  </si>
  <si>
    <t>Kornel Szymon</t>
  </si>
  <si>
    <t>0001815065</t>
  </si>
  <si>
    <t>+48 510 315 755</t>
  </si>
  <si>
    <t>Targoniny 19, Dziegielow, 43-445</t>
  </si>
  <si>
    <t>427</t>
  </si>
  <si>
    <t>Zajac</t>
  </si>
  <si>
    <t>Mariusz Tomasz</t>
  </si>
  <si>
    <t>0003330833</t>
  </si>
  <si>
    <t>+48 791 423 037</t>
  </si>
  <si>
    <t>Os. Pawlikowskiego 14D/1, Zory, 44-240</t>
  </si>
  <si>
    <t>428</t>
  </si>
  <si>
    <t>Zaleska</t>
  </si>
  <si>
    <t>Malgorzata Aneta</t>
  </si>
  <si>
    <t>0004833110</t>
  </si>
  <si>
    <t>+48 570 123 632</t>
  </si>
  <si>
    <t>Os. Pawlikowskiego 19C/34, Zory, 44-240</t>
  </si>
  <si>
    <t>4802</t>
  </si>
  <si>
    <t>R0847-01</t>
  </si>
  <si>
    <t>Zamojc</t>
  </si>
  <si>
    <t>Rafal Grzegorz</t>
  </si>
  <si>
    <t>0001284272</t>
  </si>
  <si>
    <t>+48 535 118 036</t>
  </si>
  <si>
    <t>Wyspianskiego 28/1, Cieszyn, 43-400</t>
  </si>
  <si>
    <t>430</t>
  </si>
  <si>
    <t>Zlik</t>
  </si>
  <si>
    <t>Kamil Michał</t>
  </si>
  <si>
    <t>0002010931</t>
  </si>
  <si>
    <t>+48 451 083 210</t>
  </si>
  <si>
    <t>Strazacka 10 , Konczyce Wielkie, 43-419</t>
  </si>
  <si>
    <t>4423</t>
  </si>
  <si>
    <t>R0630-01</t>
  </si>
  <si>
    <t>Zmarzly</t>
  </si>
  <si>
    <t>Roksana Marzena</t>
  </si>
  <si>
    <t>0001988530</t>
  </si>
  <si>
    <t>+48 690 020 314</t>
  </si>
  <si>
    <t>Jana Kilińskiego 28a/16, Rybnik , 44-200</t>
  </si>
  <si>
    <t>432</t>
  </si>
  <si>
    <t>Zobek</t>
  </si>
  <si>
    <t>Izabela Jadwiga</t>
  </si>
  <si>
    <t>0009572218</t>
  </si>
  <si>
    <t>+48 519 795 644</t>
  </si>
  <si>
    <t>Turystyczna 12/11, Jastrzebie-Zdroj, 44-335</t>
  </si>
  <si>
    <t>5036</t>
  </si>
  <si>
    <t>R0987-01</t>
  </si>
  <si>
    <t>Zubrzycka</t>
  </si>
  <si>
    <t>0001932033</t>
  </si>
  <si>
    <t>+48 889 168 210</t>
  </si>
  <si>
    <t>Jaworzynka 499, Jaworzynka, 43-476</t>
  </si>
  <si>
    <t>R0523-01</t>
  </si>
  <si>
    <t>Zytynski</t>
  </si>
  <si>
    <t>Lukasz Szymon</t>
  </si>
  <si>
    <t>0004193673</t>
  </si>
  <si>
    <t>+48 785 198 037</t>
  </si>
  <si>
    <t>Marusarzowny 4/1, Jastrzebie-Zdroj, 44-330</t>
  </si>
  <si>
    <t>98</t>
  </si>
  <si>
    <t>Bugla</t>
  </si>
  <si>
    <t>0327017936</t>
  </si>
  <si>
    <t>605 973 646</t>
  </si>
  <si>
    <t>Jílová 210/28, Ostrava - Moravská, 702 00</t>
  </si>
  <si>
    <t>THERMA</t>
  </si>
  <si>
    <t>5217</t>
  </si>
  <si>
    <t>A074</t>
  </si>
  <si>
    <t>Dziedzic</t>
  </si>
  <si>
    <t>Grzegorz Tomasz</t>
  </si>
  <si>
    <t>+48 505 538 093</t>
  </si>
  <si>
    <t>Ogrodowa 3, Cieszyn, 43-400</t>
  </si>
  <si>
    <t>5110</t>
  </si>
  <si>
    <t>A069</t>
  </si>
  <si>
    <t>Gordienko</t>
  </si>
  <si>
    <t>Adam</t>
  </si>
  <si>
    <t>0295413742</t>
  </si>
  <si>
    <t>+48 793 946 629</t>
  </si>
  <si>
    <t>Osiedle Pawlikowskiego 2A/2, Zory, 44-240</t>
  </si>
  <si>
    <t>5216</t>
  </si>
  <si>
    <t>A076</t>
  </si>
  <si>
    <t>Gutan</t>
  </si>
  <si>
    <t>Slawomir Piotr</t>
  </si>
  <si>
    <t>0013109742</t>
  </si>
  <si>
    <t>+48 790 775 258</t>
  </si>
  <si>
    <t>Brozka 2/13, Cieszyn, 43-400</t>
  </si>
  <si>
    <t>5588</t>
  </si>
  <si>
    <t>A00075</t>
  </si>
  <si>
    <t>+48 576 287 136</t>
  </si>
  <si>
    <t>103</t>
  </si>
  <si>
    <t>Kamil Adam</t>
  </si>
  <si>
    <t>0261608424</t>
  </si>
  <si>
    <t>+48 881 345 224</t>
  </si>
  <si>
    <t>Zielona 33/10, Jastrzebie Zdroj, 44-335</t>
  </si>
  <si>
    <t>104</t>
  </si>
  <si>
    <t>Szyszko</t>
  </si>
  <si>
    <t>Dawid Pawel</t>
  </si>
  <si>
    <t>0334327151</t>
  </si>
  <si>
    <t>+48 789 289 048</t>
  </si>
  <si>
    <t>Wspolna 5B, Jastrzebie Zdroj, 44-336</t>
  </si>
  <si>
    <t>3708</t>
  </si>
  <si>
    <t>13849</t>
  </si>
  <si>
    <t>Birtus</t>
  </si>
  <si>
    <t>Jozef</t>
  </si>
  <si>
    <t>0013100492</t>
  </si>
  <si>
    <t>+420 737 541 90</t>
  </si>
  <si>
    <t>Skalité 337, Skalité, 023 14</t>
  </si>
  <si>
    <t>141</t>
  </si>
  <si>
    <t>Boloch</t>
  </si>
  <si>
    <t>Marek Wladyslaw</t>
  </si>
  <si>
    <t>0369962441</t>
  </si>
  <si>
    <t>+48 692 199 209</t>
  </si>
  <si>
    <t>Zebrzydowicka 10/6, Rybnik, 44-200</t>
  </si>
  <si>
    <t>4817</t>
  </si>
  <si>
    <t>50695</t>
  </si>
  <si>
    <t>Büdi</t>
  </si>
  <si>
    <t>Alexander</t>
  </si>
  <si>
    <t>0013100865</t>
  </si>
  <si>
    <t>+420 728 423 95</t>
  </si>
  <si>
    <t>Cestice 32, Cestice, 044 71</t>
  </si>
  <si>
    <t>143</t>
  </si>
  <si>
    <t>Bykowski</t>
  </si>
  <si>
    <t>Marcin Ryszard</t>
  </si>
  <si>
    <t>0002998028</t>
  </si>
  <si>
    <t>+48 571 914 180</t>
  </si>
  <si>
    <t>Pomorska 49/2, Jastrzebie Zdroj, 44-335</t>
  </si>
  <si>
    <t>4785</t>
  </si>
  <si>
    <t>51744</t>
  </si>
  <si>
    <t>Cisiński</t>
  </si>
  <si>
    <t>Sebastian Tadeusz</t>
  </si>
  <si>
    <t>0378770295</t>
  </si>
  <si>
    <t>+48 508 565 205</t>
  </si>
  <si>
    <t>Turystyczna 13/27, Jastrzębie-Zdrój, 44-335</t>
  </si>
  <si>
    <t>145</t>
  </si>
  <si>
    <t>Czuba</t>
  </si>
  <si>
    <t>Grzegorz</t>
  </si>
  <si>
    <t>0348404103</t>
  </si>
  <si>
    <t>+48 574 655 211</t>
  </si>
  <si>
    <t>Zeromskiego 7/1, Wodzislaw Slaski, 44-300</t>
  </si>
  <si>
    <t>Czurylo</t>
  </si>
  <si>
    <t>0369977072</t>
  </si>
  <si>
    <t>+48 884 642 785</t>
  </si>
  <si>
    <t>Gornicza 18C/7, Rybnik, 44-206</t>
  </si>
  <si>
    <t>Daga</t>
  </si>
  <si>
    <t>Daniel Krzysztof</t>
  </si>
  <si>
    <t>0348392541</t>
  </si>
  <si>
    <t>+48 798 498 277</t>
  </si>
  <si>
    <t>Zagloby 24, Rybnik, 44-270</t>
  </si>
  <si>
    <t>Frackiewicz</t>
  </si>
  <si>
    <t>Mateusz Dawid</t>
  </si>
  <si>
    <t>0348387302</t>
  </si>
  <si>
    <t>+48 570 980 131</t>
  </si>
  <si>
    <t>Os. Generala Sikorskiego 22 I/1, Zory, 44-240</t>
  </si>
  <si>
    <t>149</t>
  </si>
  <si>
    <t>Galus</t>
  </si>
  <si>
    <t>Wojciech Jan</t>
  </si>
  <si>
    <t>0357229219</t>
  </si>
  <si>
    <t>+48 784 259 034</t>
  </si>
  <si>
    <t>Kaszubska 10/9, Jastrzebie Zdroj, 44-335</t>
  </si>
  <si>
    <t>Chmielewski</t>
  </si>
  <si>
    <t>Arkadiusz Antoni</t>
  </si>
  <si>
    <t>0369911673</t>
  </si>
  <si>
    <t>+48 574 635 493</t>
  </si>
  <si>
    <t>26 Marca 29/24, Wodzislaw Slaski, 44-300</t>
  </si>
  <si>
    <t>4768</t>
  </si>
  <si>
    <t>51730</t>
  </si>
  <si>
    <t>Jacewicz</t>
  </si>
  <si>
    <t>Jakub Jacek</t>
  </si>
  <si>
    <t>0392332560</t>
  </si>
  <si>
    <t>+48 500 754 433</t>
  </si>
  <si>
    <t>Mikołaja Witczaka 4c/7, Jastrzębie-Zdrój, 44-335</t>
  </si>
  <si>
    <t>5113</t>
  </si>
  <si>
    <t>51928</t>
  </si>
  <si>
    <t>Janiczek</t>
  </si>
  <si>
    <t>Kamil Patryk</t>
  </si>
  <si>
    <t>0369978365</t>
  </si>
  <si>
    <t>+48 884 337 008</t>
  </si>
  <si>
    <t>os. 1000-lecia 8/25, Jastrzebie Zdroj, 44-268</t>
  </si>
  <si>
    <t>Jazdzewski</t>
  </si>
  <si>
    <t>Robert Lukasz</t>
  </si>
  <si>
    <t>0357221234</t>
  </si>
  <si>
    <t>+48 789 769 471</t>
  </si>
  <si>
    <t>Os. 1000-Lecia 7/57, Jastrzebie Zdroj, 44-268</t>
  </si>
  <si>
    <t>4680</t>
  </si>
  <si>
    <t>51666</t>
  </si>
  <si>
    <t>Kala</t>
  </si>
  <si>
    <t>Janusz Eryk</t>
  </si>
  <si>
    <t>0000916535</t>
  </si>
  <si>
    <t>+48 537 097 454</t>
  </si>
  <si>
    <t>Boryńska 23, Zory, 44-244</t>
  </si>
  <si>
    <t>Michal Ireneusz</t>
  </si>
  <si>
    <t>+48 609 723 587</t>
  </si>
  <si>
    <t>1000-lecia 18/7, Wodzislaw Slaski, 44-300</t>
  </si>
  <si>
    <t>3695</t>
  </si>
  <si>
    <t>10695</t>
  </si>
  <si>
    <t>Kovařčik</t>
  </si>
  <si>
    <t>Tomáš</t>
  </si>
  <si>
    <t>0013126893</t>
  </si>
  <si>
    <t>739764081</t>
  </si>
  <si>
    <t>Lázky 1319, Vsetín, 755 01</t>
  </si>
  <si>
    <t>157</t>
  </si>
  <si>
    <t>Kowalczyk</t>
  </si>
  <si>
    <t>Przemyslaw Krzysztof</t>
  </si>
  <si>
    <t>0369919018</t>
  </si>
  <si>
    <t>+48 537 100 679</t>
  </si>
  <si>
    <t>Aleja Wojska Polskiego 21/21, Zory, 44-240</t>
  </si>
  <si>
    <t>158</t>
  </si>
  <si>
    <t>Lata</t>
  </si>
  <si>
    <t>Stanislaw</t>
  </si>
  <si>
    <t>+48 789 787 147</t>
  </si>
  <si>
    <t>Boleslawa Prusa 2/1, Wodzislaw Slaski, 44-300</t>
  </si>
  <si>
    <t>5738</t>
  </si>
  <si>
    <t>Loter</t>
  </si>
  <si>
    <t>Dawid Seweryn</t>
  </si>
  <si>
    <t>0391205386</t>
  </si>
  <si>
    <t>+48 794 581 733</t>
  </si>
  <si>
    <t>Ofiar Terroru 97/60, 44-280 Rydultowy</t>
  </si>
  <si>
    <t>4851</t>
  </si>
  <si>
    <t>51799</t>
  </si>
  <si>
    <t>Lysejko</t>
  </si>
  <si>
    <t>Jaroslaw</t>
  </si>
  <si>
    <t>0009580102</t>
  </si>
  <si>
    <t>+48 797 697 888</t>
  </si>
  <si>
    <t>26 Marca 19/1, Wodzisław Śląski, 44-300</t>
  </si>
  <si>
    <t>4237</t>
  </si>
  <si>
    <t>51614</t>
  </si>
  <si>
    <t>Marczewski</t>
  </si>
  <si>
    <t>Robert Wieslaw</t>
  </si>
  <si>
    <t>0000904527</t>
  </si>
  <si>
    <t>+48 606 131 964</t>
  </si>
  <si>
    <t>Malchera 29/9, Jastrzebie-Zdroj, 44335</t>
  </si>
  <si>
    <t>162</t>
  </si>
  <si>
    <t>Moravec</t>
  </si>
  <si>
    <t>0013055947</t>
  </si>
  <si>
    <t>736 120 949</t>
  </si>
  <si>
    <t>Čujkovova 1738/34, Ostrava-Zábřeh, 70030</t>
  </si>
  <si>
    <t>3379</t>
  </si>
  <si>
    <t>51781</t>
  </si>
  <si>
    <t>Nawara</t>
  </si>
  <si>
    <t>0009586730</t>
  </si>
  <si>
    <t>+48 507 556 613</t>
  </si>
  <si>
    <t>Krakowska 1/16, Jastrzebie-Zdrój, 44-335</t>
  </si>
  <si>
    <t>164</t>
  </si>
  <si>
    <t>Wojciech Roman</t>
  </si>
  <si>
    <t>0000920818</t>
  </si>
  <si>
    <t>+48 510 626 854</t>
  </si>
  <si>
    <t>Jana Onufrego Zagłoby 24, Rybnik, 44-270</t>
  </si>
  <si>
    <t>4044</t>
  </si>
  <si>
    <t>51090</t>
  </si>
  <si>
    <t>Pitel</t>
  </si>
  <si>
    <t>Jiří</t>
  </si>
  <si>
    <t>0011818564</t>
  </si>
  <si>
    <t>731907245</t>
  </si>
  <si>
    <t>Dr.Čejky 1518, Příbor, 742 58</t>
  </si>
  <si>
    <t>166</t>
  </si>
  <si>
    <t>Porczyk</t>
  </si>
  <si>
    <t>0369965510</t>
  </si>
  <si>
    <t>+48 792 561 006</t>
  </si>
  <si>
    <t>Patriotow 8B/7, Rybnik, 44-253</t>
  </si>
  <si>
    <t>5039</t>
  </si>
  <si>
    <t>51871</t>
  </si>
  <si>
    <t>Prudel</t>
  </si>
  <si>
    <t>Mateusz Stanislaw</t>
  </si>
  <si>
    <t>0369972253</t>
  </si>
  <si>
    <t>+48 694 806 434</t>
  </si>
  <si>
    <t>Kreta 1G/4, Pawlowice, 43-251</t>
  </si>
  <si>
    <t>5210</t>
  </si>
  <si>
    <t>51964</t>
  </si>
  <si>
    <t>Rost</t>
  </si>
  <si>
    <t>Szymon Mariusz</t>
  </si>
  <si>
    <t>0357225412</t>
  </si>
  <si>
    <t>+48 572 303 066</t>
  </si>
  <si>
    <t>Kurpiowska 11/5, Jastrzebie Zdroj, 44-335</t>
  </si>
  <si>
    <t>169</t>
  </si>
  <si>
    <t>Rozy</t>
  </si>
  <si>
    <t>0369951690</t>
  </si>
  <si>
    <t>+48 787 366 585</t>
  </si>
  <si>
    <t>osiedle 1000-lecia 15B/34, Jastrzębie-Zdrój, 44-268</t>
  </si>
  <si>
    <t>170</t>
  </si>
  <si>
    <t>Salapa</t>
  </si>
  <si>
    <t>0369916310</t>
  </si>
  <si>
    <t>+48 512 157 227</t>
  </si>
  <si>
    <t>Wielkopolska 11/19, Jastrzebie Zdroj, 44-335</t>
  </si>
  <si>
    <t>171</t>
  </si>
  <si>
    <t>Smyczek</t>
  </si>
  <si>
    <t>Wojciech Tomasz</t>
  </si>
  <si>
    <t>0369924834</t>
  </si>
  <si>
    <t>+48 535 200 182</t>
  </si>
  <si>
    <t>Slawikow 19A/46, Rybnik, 44-200</t>
  </si>
  <si>
    <t>172</t>
  </si>
  <si>
    <t>Sokol</t>
  </si>
  <si>
    <t>Dariusz</t>
  </si>
  <si>
    <t>0369971566</t>
  </si>
  <si>
    <t>+48 501 771 551</t>
  </si>
  <si>
    <t>Dabrowki 7B/1, Rybnik, 44-210</t>
  </si>
  <si>
    <t>173</t>
  </si>
  <si>
    <t>Stoszko</t>
  </si>
  <si>
    <t>Mateusz</t>
  </si>
  <si>
    <t>0369916468</t>
  </si>
  <si>
    <t>+48 666 148 450</t>
  </si>
  <si>
    <t>Boguszowicka 14B, Jankowice, 44-264</t>
  </si>
  <si>
    <t>5220</t>
  </si>
  <si>
    <t>51965</t>
  </si>
  <si>
    <t>Weinreich</t>
  </si>
  <si>
    <t>Piotr Grzegorz</t>
  </si>
  <si>
    <t>+48 531 385 792</t>
  </si>
  <si>
    <t>Swietego Jozefa 18/19, Rybnik, 44-200</t>
  </si>
  <si>
    <t>175</t>
  </si>
  <si>
    <t>Kamil Piotr</t>
  </si>
  <si>
    <t>+48 579 292 424</t>
  </si>
  <si>
    <t>Wankowicza 44D, Wodzislaw Slaski, 44-313</t>
  </si>
  <si>
    <t>Zmudzinski</t>
  </si>
  <si>
    <t>Marek</t>
  </si>
  <si>
    <t>0347606277</t>
  </si>
  <si>
    <t>+48 880 075 790</t>
  </si>
  <si>
    <t>Osiedle 30-Lecia 133/5, Wodzislaw Slaski, 44-286</t>
  </si>
  <si>
    <t>5073</t>
  </si>
  <si>
    <t>51905</t>
  </si>
  <si>
    <t>Zynda</t>
  </si>
  <si>
    <t>Wieslaw Józef</t>
  </si>
  <si>
    <t>0369912861</t>
  </si>
  <si>
    <t>+48 665 068 281</t>
  </si>
  <si>
    <t>Wielkopolska 5/4, Jastrzebie-Zdrój, 44335</t>
  </si>
  <si>
    <t>4748</t>
  </si>
  <si>
    <t>Kuklińska</t>
  </si>
  <si>
    <t>Malgorzata</t>
  </si>
  <si>
    <t>0301165702</t>
  </si>
  <si>
    <t>+48 603229236</t>
  </si>
  <si>
    <t>Janusza Kusocińskiego 33/10, Jastrzebie-Zdrój , 44-335</t>
  </si>
  <si>
    <t>106</t>
  </si>
  <si>
    <t>Piotr Jozef</t>
  </si>
  <si>
    <t>0348347824</t>
  </si>
  <si>
    <t>48 691 417 127</t>
  </si>
  <si>
    <t>Opolska 10/7, Jastrzebie Zdroj , 44-335</t>
  </si>
  <si>
    <t>107</t>
  </si>
  <si>
    <t>Szybiak</t>
  </si>
  <si>
    <t>Zofia Grazyna</t>
  </si>
  <si>
    <t>0328443819</t>
  </si>
  <si>
    <t>48 579 710 722</t>
  </si>
  <si>
    <t>Slaska 19/6 , Jastrzebie Zdroj , 44-335</t>
  </si>
  <si>
    <t>108</t>
  </si>
  <si>
    <t>Zawada</t>
  </si>
  <si>
    <t>Krystian Kamil</t>
  </si>
  <si>
    <t>0301172995</t>
  </si>
  <si>
    <t>48 694 861 466</t>
  </si>
  <si>
    <t>Os. Powstancow Slaskich 8G/9, Zory , 44-240</t>
  </si>
  <si>
    <t>5663</t>
  </si>
  <si>
    <t>Jan Ireneusz</t>
  </si>
  <si>
    <t>0328443812</t>
  </si>
  <si>
    <t>+48 531216624</t>
  </si>
  <si>
    <t>Cicha 10, Gogolowa, 44-323</t>
  </si>
  <si>
    <t>110</t>
  </si>
  <si>
    <t>Wawrzyczek</t>
  </si>
  <si>
    <t>Mateusz Arkadiusz</t>
  </si>
  <si>
    <t>0301180266</t>
  </si>
  <si>
    <t>48 452 513 149</t>
  </si>
  <si>
    <t>Chmielna 8A, Konczyce Male, 43-410</t>
  </si>
  <si>
    <t>4940</t>
  </si>
  <si>
    <t>Wutzke</t>
  </si>
  <si>
    <t>Ewa Sabina</t>
  </si>
  <si>
    <t>0301162124</t>
  </si>
  <si>
    <t>+48 604 950 674</t>
  </si>
  <si>
    <t>Slaska 59/10, Jastrzebie Zdroj, 44-335</t>
  </si>
  <si>
    <t>4936</t>
  </si>
  <si>
    <t>Cwiklak</t>
  </si>
  <si>
    <t>0370049042</t>
  </si>
  <si>
    <t>+48 661 575 386</t>
  </si>
  <si>
    <t>Grodzisko 35, Wodzislaw Slaski , 44-300</t>
  </si>
  <si>
    <t>113</t>
  </si>
  <si>
    <t>Buza Bartosz Marcin</t>
  </si>
  <si>
    <t>48 694 126 379</t>
  </si>
  <si>
    <t>5665</t>
  </si>
  <si>
    <t>Kozielski</t>
  </si>
  <si>
    <t>Kozielski Andrzej Jozef</t>
  </si>
  <si>
    <t>0301173035</t>
  </si>
  <si>
    <t>+48 698 656 111</t>
  </si>
  <si>
    <t>Chabrowa 10, Wodzislaw Slaski, 44-300</t>
  </si>
  <si>
    <t>115</t>
  </si>
  <si>
    <t>Wesoly</t>
  </si>
  <si>
    <t>Rafal Pawel</t>
  </si>
  <si>
    <t>0348319987</t>
  </si>
  <si>
    <t>48 459 450 547</t>
  </si>
  <si>
    <t>Widokowa 21, Marklowice , 44-321</t>
  </si>
  <si>
    <t>116</t>
  </si>
  <si>
    <t>Zrabkowski</t>
  </si>
  <si>
    <t>Robert Sebastian</t>
  </si>
  <si>
    <t>0348326520</t>
  </si>
  <si>
    <t>48 666 169 788</t>
  </si>
  <si>
    <t>Dojazdowa 7/6, Cieszyn , 43-400</t>
  </si>
  <si>
    <t>Patryk</t>
  </si>
  <si>
    <t>0289896646</t>
  </si>
  <si>
    <t>48 661 899 771</t>
  </si>
  <si>
    <t>Boguminska 36B, Turza Slaska, 44-351</t>
  </si>
  <si>
    <t>118</t>
  </si>
  <si>
    <t>Jedrysek</t>
  </si>
  <si>
    <t>Dorian</t>
  </si>
  <si>
    <t>0328611457</t>
  </si>
  <si>
    <t>48 786 249 216</t>
  </si>
  <si>
    <t>Staszica 8/3, Jastrzebie Zdroj , 44-335</t>
  </si>
  <si>
    <t>119</t>
  </si>
  <si>
    <t>Buko</t>
  </si>
  <si>
    <t>Adrian Dawid</t>
  </si>
  <si>
    <t>0301165654</t>
  </si>
  <si>
    <t>48 514 269 190</t>
  </si>
  <si>
    <t>Jozefa Wieczorka 14/3, Radlin , 44-310</t>
  </si>
  <si>
    <t>089</t>
  </si>
  <si>
    <t>Podejma</t>
  </si>
  <si>
    <t>+48 570 354 807</t>
  </si>
  <si>
    <t>4931</t>
  </si>
  <si>
    <t>Berešová</t>
  </si>
  <si>
    <t>0013122639</t>
  </si>
  <si>
    <t>739 089 447</t>
  </si>
  <si>
    <t>Jana Čapka 3082, Frýdek-Místek, Frýdek 738 01</t>
  </si>
  <si>
    <t>Hilite</t>
  </si>
  <si>
    <t>5358</t>
  </si>
  <si>
    <t>Fuglewicz</t>
  </si>
  <si>
    <t>0013390473</t>
  </si>
  <si>
    <t>+420 778 502 08</t>
  </si>
  <si>
    <t>Tř. Osvobození 1561/40, Karviná - Nové Město 735 06</t>
  </si>
  <si>
    <t>DREAMHILL</t>
  </si>
  <si>
    <t>2518</t>
  </si>
  <si>
    <t>Peterková</t>
  </si>
  <si>
    <t>Dagmar</t>
  </si>
  <si>
    <t>0013363035</t>
  </si>
  <si>
    <t>+420725538081</t>
  </si>
  <si>
    <t>Lipová 329, Orlová - Poruba 73514</t>
  </si>
  <si>
    <t>438</t>
  </si>
  <si>
    <t>Pokuta</t>
  </si>
  <si>
    <t>Miroslav</t>
  </si>
  <si>
    <t>0012020053</t>
  </si>
  <si>
    <t>732 994 989</t>
  </si>
  <si>
    <t>Dělnická 515/45, Havířov - Prostřední Suchá 735 64</t>
  </si>
  <si>
    <t>5359</t>
  </si>
  <si>
    <t>Ramachandran</t>
  </si>
  <si>
    <t>Vimalraj</t>
  </si>
  <si>
    <t>0013358486</t>
  </si>
  <si>
    <t>+420735578866</t>
  </si>
  <si>
    <t>Kamandiyamman Kovil Street 50, Tamil Nadu 621803</t>
  </si>
  <si>
    <t>5289</t>
  </si>
  <si>
    <t>Debowska</t>
  </si>
  <si>
    <t>Renata Janina</t>
  </si>
  <si>
    <t>0301162121</t>
  </si>
  <si>
    <t>+48 661 574 145</t>
  </si>
  <si>
    <t>Malchera 17/3, Jastrzebie Zdroj 44-335</t>
  </si>
  <si>
    <t>443</t>
  </si>
  <si>
    <t>Kowalski</t>
  </si>
  <si>
    <t>48 882 903 838</t>
  </si>
  <si>
    <t>Pszowska 135, Wodzislaw Slaski 44-300</t>
  </si>
  <si>
    <t>444</t>
  </si>
  <si>
    <t>Maliszewska</t>
  </si>
  <si>
    <t>Nicola Anna</t>
  </si>
  <si>
    <t>0065286673</t>
  </si>
  <si>
    <t>+48 533 772 058</t>
  </si>
  <si>
    <t>Marklowicka 1, Wodzislaw Slaski 44-300</t>
  </si>
  <si>
    <t>Mazur</t>
  </si>
  <si>
    <t>Krzysztof Ferdynand</t>
  </si>
  <si>
    <t>0301180381</t>
  </si>
  <si>
    <t>48 665 065 908</t>
  </si>
  <si>
    <t>Plebiscytowa 36/18, Rydultowy 44-280</t>
  </si>
  <si>
    <t>446</t>
  </si>
  <si>
    <t>Oslowska</t>
  </si>
  <si>
    <t>Beata Maria</t>
  </si>
  <si>
    <t>0065286854</t>
  </si>
  <si>
    <t>48 609 648 609</t>
  </si>
  <si>
    <t>Szeroka 77, Ustron 43-450</t>
  </si>
  <si>
    <t>Oslowski</t>
  </si>
  <si>
    <t>Arkadiusz Marek</t>
  </si>
  <si>
    <t>0065287216</t>
  </si>
  <si>
    <t>48 661 799 661</t>
  </si>
  <si>
    <t>Pielorz</t>
  </si>
  <si>
    <t>Ewa Irena</t>
  </si>
  <si>
    <t>0301180406</t>
  </si>
  <si>
    <t>48 601 299 052</t>
  </si>
  <si>
    <t>Os. XXX-lecia 119/8, Wodzislaw Slaski 44-286</t>
  </si>
  <si>
    <t>Magdalena Malgorzata</t>
  </si>
  <si>
    <t>0370026442</t>
  </si>
  <si>
    <t>48 518 573 011</t>
  </si>
  <si>
    <t>Os. XXX lecia 119/8, Wodzislaw Slaski 44-286</t>
  </si>
  <si>
    <t>445</t>
  </si>
  <si>
    <t>Switala</t>
  </si>
  <si>
    <t>Michal Boleslaw</t>
  </si>
  <si>
    <t>0065287035</t>
  </si>
  <si>
    <t>48 603 834 338</t>
  </si>
  <si>
    <t>Szkolna 13, Wodzislaw Slaski 44-300</t>
  </si>
  <si>
    <t>5635</t>
  </si>
  <si>
    <t>Legierski</t>
  </si>
  <si>
    <t>+48 795 322 281</t>
  </si>
  <si>
    <t>Kamienna 1/16 Cieszyn</t>
  </si>
  <si>
    <t>4963</t>
  </si>
  <si>
    <t>R1190-01</t>
  </si>
  <si>
    <t>Stano</t>
  </si>
  <si>
    <t>Leszek</t>
  </si>
  <si>
    <t>0001985328</t>
  </si>
  <si>
    <t>+48 796 459 397</t>
  </si>
  <si>
    <t>Turystyczna 57/15 Jastrzebie Zdroj</t>
  </si>
  <si>
    <t>448</t>
  </si>
  <si>
    <t>Ponimasz</t>
  </si>
  <si>
    <t>Wioletta</t>
  </si>
  <si>
    <t>0001983133</t>
  </si>
  <si>
    <t>Ks. Władysława 5C/42, 44-240, Żory</t>
  </si>
  <si>
    <t>449</t>
  </si>
  <si>
    <t>Wala</t>
  </si>
  <si>
    <t>0013285124</t>
  </si>
  <si>
    <t>+48 880 833 706</t>
  </si>
  <si>
    <t>Makuszynskiego 22/8 Radlin 44-310</t>
  </si>
  <si>
    <t>5281</t>
  </si>
  <si>
    <t>51994</t>
  </si>
  <si>
    <t>Goik</t>
  </si>
  <si>
    <t>0348406127</t>
  </si>
  <si>
    <t>+48 515 062 430</t>
  </si>
  <si>
    <t>26 Marca 17/15 Wodzisław Śląski 44-300</t>
  </si>
  <si>
    <t>459</t>
  </si>
  <si>
    <t>Jaroszuk</t>
  </si>
  <si>
    <t>0348375324</t>
  </si>
  <si>
    <t>+48 690 815 560</t>
  </si>
  <si>
    <t>26 Marca 29/24 Wodzisław Śląski 44-300</t>
  </si>
  <si>
    <t>458</t>
  </si>
  <si>
    <t>0001983132</t>
  </si>
  <si>
    <t>+48 663 515 856</t>
  </si>
  <si>
    <t>Krzyzowicka 20/15 Rydultowy 44-280</t>
  </si>
  <si>
    <t>R1054-01</t>
  </si>
  <si>
    <t>Hecko</t>
  </si>
  <si>
    <t>Alexej</t>
  </si>
  <si>
    <t>0001816054</t>
  </si>
  <si>
    <t>725 328 553</t>
  </si>
  <si>
    <t>Hornická 640/60 Havířov</t>
  </si>
  <si>
    <t>451</t>
  </si>
  <si>
    <t>Dabek</t>
  </si>
  <si>
    <t>Natalia Weronika</t>
  </si>
  <si>
    <t>+48 501 382 878</t>
  </si>
  <si>
    <t>Pomorska 26/15 Jastrzebie Zdroj 44-335</t>
  </si>
  <si>
    <t>452</t>
  </si>
  <si>
    <t>Folwarczny</t>
  </si>
  <si>
    <t>Zofia Lucja</t>
  </si>
  <si>
    <t>0370029326</t>
  </si>
  <si>
    <t>+48 516 667 816</t>
  </si>
  <si>
    <t>Jana Chmiela 84 Bladnice Dolne 43-430</t>
  </si>
  <si>
    <t>454</t>
  </si>
  <si>
    <t>Miarka</t>
  </si>
  <si>
    <t>Alicja Zofia</t>
  </si>
  <si>
    <t>+48 795 472 196</t>
  </si>
  <si>
    <t>Gagarina 33 Jastrzebie Zdroj 44-268</t>
  </si>
  <si>
    <t>455</t>
  </si>
  <si>
    <t>Motyka</t>
  </si>
  <si>
    <t>Dariusz Marek</t>
  </si>
  <si>
    <t>+48 502 035 117</t>
  </si>
  <si>
    <t>Al. Wojska Polskiego 27/81 Zory 44-240</t>
  </si>
  <si>
    <t>457</t>
  </si>
  <si>
    <t>Porzuczek</t>
  </si>
  <si>
    <t>Paulina</t>
  </si>
  <si>
    <t>+48 790 649 905</t>
  </si>
  <si>
    <t>XXX-lecia 129 Wodzislaw Slaski 44-286</t>
  </si>
  <si>
    <t>456</t>
  </si>
  <si>
    <t>Pilorz</t>
  </si>
  <si>
    <t>Alina</t>
  </si>
  <si>
    <t>0301172988</t>
  </si>
  <si>
    <t>+48 691 028 417</t>
  </si>
  <si>
    <t>XXXXX</t>
  </si>
  <si>
    <t>5177</t>
  </si>
  <si>
    <t>R1053-01</t>
  </si>
  <si>
    <t>Zygadlinska</t>
  </si>
  <si>
    <t>Aneta</t>
  </si>
  <si>
    <t>0003350968</t>
  </si>
  <si>
    <t>+48 690 316 122</t>
  </si>
  <si>
    <t>Kilińskiego 34D/3 Rybnik 44-200</t>
  </si>
  <si>
    <t>463</t>
  </si>
  <si>
    <t>Chmura</t>
  </si>
  <si>
    <t>Marcin</t>
  </si>
  <si>
    <t>0011706210</t>
  </si>
  <si>
    <t>+48696544686</t>
  </si>
  <si>
    <t>44-240, Żory os. Sikorskiego 18H/4</t>
  </si>
  <si>
    <t>464</t>
  </si>
  <si>
    <t>Drozdz</t>
  </si>
  <si>
    <t>Iwona Elzbieta</t>
  </si>
  <si>
    <t>+48 733 801 365</t>
  </si>
  <si>
    <t>Slaska 59/14, Jastrzebie Zdroj 44-335</t>
  </si>
  <si>
    <t>465</t>
  </si>
  <si>
    <t>0301172923</t>
  </si>
  <si>
    <t>Osiedle Generała Sikorskiego 22I/1, Zory 44-244</t>
  </si>
  <si>
    <t>466</t>
  </si>
  <si>
    <t>Gonera</t>
  </si>
  <si>
    <t>Anna Maria</t>
  </si>
  <si>
    <t>0301173034</t>
  </si>
  <si>
    <t>+48 797 514 977</t>
  </si>
  <si>
    <t>Podmiejska 10/10, Jastrzebie Zdroj 44-335</t>
  </si>
  <si>
    <t>467</t>
  </si>
  <si>
    <t>Jakubowska</t>
  </si>
  <si>
    <t>Marta</t>
  </si>
  <si>
    <t>0301173075</t>
  </si>
  <si>
    <t>+48 607 542 303</t>
  </si>
  <si>
    <t>Miodowa 3/15, Jastrzebie Zdroj 44-335</t>
  </si>
  <si>
    <t>468</t>
  </si>
  <si>
    <t>Janecki</t>
  </si>
  <si>
    <t>Dawid Kamil</t>
  </si>
  <si>
    <t>0301162122</t>
  </si>
  <si>
    <t>+48 576 817 522</t>
  </si>
  <si>
    <t>469</t>
  </si>
  <si>
    <t>Malgorzata Elzbieta</t>
  </si>
  <si>
    <t>0301162092</t>
  </si>
  <si>
    <t>+48 669 229 276</t>
  </si>
  <si>
    <t>Norwiela 1/2, Radzionkow 41-914</t>
  </si>
  <si>
    <t>5310</t>
  </si>
  <si>
    <t>Rak</t>
  </si>
  <si>
    <t>Barbara Irena</t>
  </si>
  <si>
    <t>0301162090</t>
  </si>
  <si>
    <t>+48 725 370 816</t>
  </si>
  <si>
    <t>Kurpiowska 4/35, Jastrzebie Zdroj 44-335</t>
  </si>
  <si>
    <t>471</t>
  </si>
  <si>
    <t>Rewolinska-Doluk</t>
  </si>
  <si>
    <t>Edyta Justyna</t>
  </si>
  <si>
    <t>0370058977</t>
  </si>
  <si>
    <t>+48 785 346 192</t>
  </si>
  <si>
    <t>Turystyczna 27/36, Jastrzębie-Zdrój 44-335</t>
  </si>
  <si>
    <t>472</t>
  </si>
  <si>
    <t>Irena Zofia</t>
  </si>
  <si>
    <t>+48 721 840 609</t>
  </si>
  <si>
    <t>Tadeusza Kosciuszki 5/8, Jastrzebie Zdroj 44-335</t>
  </si>
  <si>
    <t>473</t>
  </si>
  <si>
    <t>Sojka-Tomala</t>
  </si>
  <si>
    <t>Agnieszka Alicja</t>
  </si>
  <si>
    <t>+48 508 233 510</t>
  </si>
  <si>
    <t>Tetmajera 16, Rydultowy 44-280</t>
  </si>
  <si>
    <t>5094</t>
  </si>
  <si>
    <t>Bujok</t>
  </si>
  <si>
    <t>Dominik</t>
  </si>
  <si>
    <t>0011754146</t>
  </si>
  <si>
    <t>+48 795 139 997</t>
  </si>
  <si>
    <t>Korfandego 5/6, Cieszyn 43-400</t>
  </si>
  <si>
    <t>5303</t>
  </si>
  <si>
    <t>Majchrowicz</t>
  </si>
  <si>
    <t>Antonina Ewa</t>
  </si>
  <si>
    <t>+48 664 483 449</t>
  </si>
  <si>
    <t>Tysiaclecia 20/3, Wodzislaw Slaski 44-300</t>
  </si>
  <si>
    <t>474</t>
  </si>
  <si>
    <t>Karczynski</t>
  </si>
  <si>
    <t>+48 796 491 860</t>
  </si>
  <si>
    <t>os. Sikorskiego 34A/7, 44-240 Żory, PL</t>
  </si>
  <si>
    <t>475</t>
  </si>
  <si>
    <t>Skiba</t>
  </si>
  <si>
    <t>Adrian Krzysztof</t>
  </si>
  <si>
    <t>0011767124</t>
  </si>
  <si>
    <t>+48 571 048 404</t>
  </si>
  <si>
    <t>ul. Opolska 1P, Jastrzebie Zdrój 44-335, PL</t>
  </si>
  <si>
    <t>476</t>
  </si>
  <si>
    <t>Krystian</t>
  </si>
  <si>
    <t>0357221431</t>
  </si>
  <si>
    <t>+48570733145</t>
  </si>
  <si>
    <t>43-246, Pawłowice ul. Wąska 1B/9</t>
  </si>
  <si>
    <t>477</t>
  </si>
  <si>
    <t>Jasita</t>
  </si>
  <si>
    <t>Pawel</t>
  </si>
  <si>
    <t>0013086944</t>
  </si>
  <si>
    <t>+48 792 183 109</t>
  </si>
  <si>
    <t>XXX-lecia 4/7, Wodzislaw Slaski 44-286, PL</t>
  </si>
  <si>
    <t>5385</t>
  </si>
  <si>
    <t>R125</t>
  </si>
  <si>
    <t>Kinek</t>
  </si>
  <si>
    <t>Sandra</t>
  </si>
  <si>
    <t>0013113371</t>
  </si>
  <si>
    <t>+48 607 224 240</t>
  </si>
  <si>
    <t>Wyszynskiego 27/5, Wodzislaw Slaski 44-300, PL</t>
  </si>
  <si>
    <t>5455</t>
  </si>
  <si>
    <t>70176</t>
  </si>
  <si>
    <t>Nowak-Michalecka</t>
  </si>
  <si>
    <t>0013068943</t>
  </si>
  <si>
    <t>+48 609 602 168</t>
  </si>
  <si>
    <t>Bogoczowiec 9, Jastrzebie-Zdrój 44-335, PL</t>
  </si>
  <si>
    <t>480</t>
  </si>
  <si>
    <t>Smokowski</t>
  </si>
  <si>
    <t>Michal Arkadiusz</t>
  </si>
  <si>
    <t>0013108116</t>
  </si>
  <si>
    <t>+48 798 631 440</t>
  </si>
  <si>
    <t>Jesionowa 7,Gorzyce 44-350</t>
  </si>
  <si>
    <t>481</t>
  </si>
  <si>
    <t>Krosny</t>
  </si>
  <si>
    <t>0348381123</t>
  </si>
  <si>
    <t>+48535579654</t>
  </si>
  <si>
    <t>44-300 Wodzislaw Slaski ul. 26 Marca 22/5</t>
  </si>
  <si>
    <t>514</t>
  </si>
  <si>
    <t>Drobny</t>
  </si>
  <si>
    <t>0001262702</t>
  </si>
  <si>
    <t>+48500836104</t>
  </si>
  <si>
    <t>44-280 Rydultowy ul. Jadwigi 6</t>
  </si>
  <si>
    <t>5327</t>
  </si>
  <si>
    <t>R104</t>
  </si>
  <si>
    <t>Dudala</t>
  </si>
  <si>
    <t>Jakub Robert</t>
  </si>
  <si>
    <t>+48 518 900 370</t>
  </si>
  <si>
    <t>26 Marca 158/51, 44-300 Wodzislaw Slaski, PL</t>
  </si>
  <si>
    <t>483</t>
  </si>
  <si>
    <t>Kempny</t>
  </si>
  <si>
    <t>Janina</t>
  </si>
  <si>
    <t>0011730814</t>
  </si>
  <si>
    <t>+48 600 399 158</t>
  </si>
  <si>
    <t>Zyzna 5A, 44-336 Jastrzebie Zdroj, PL</t>
  </si>
  <si>
    <t>5399</t>
  </si>
  <si>
    <t>70168</t>
  </si>
  <si>
    <t>Zarebska</t>
  </si>
  <si>
    <t>00017717734</t>
  </si>
  <si>
    <t>+48 789 354 196</t>
  </si>
  <si>
    <t>Przemyslawa 6/118, 44-307 Wodzislaw Slaski, PL</t>
  </si>
  <si>
    <t>485</t>
  </si>
  <si>
    <t>Gurazdowski</t>
  </si>
  <si>
    <t>Bolesław</t>
  </si>
  <si>
    <t>0348403325</t>
  </si>
  <si>
    <t>+48519496304</t>
  </si>
  <si>
    <t>44-240, Żory ul. Boczna 13/32</t>
  </si>
  <si>
    <t>Tatra</t>
  </si>
  <si>
    <t>486</t>
  </si>
  <si>
    <t>Szczepaniak</t>
  </si>
  <si>
    <t>Aleksander</t>
  </si>
  <si>
    <t>+48504966565</t>
  </si>
  <si>
    <t>43-400, Cieszyn ul. Św. Jana Sarkandra 14/28</t>
  </si>
  <si>
    <t>5207</t>
  </si>
  <si>
    <t>70163</t>
  </si>
  <si>
    <t>Solinska</t>
  </si>
  <si>
    <t>Liwia Brygida</t>
  </si>
  <si>
    <t>+48 888 723 079</t>
  </si>
  <si>
    <t>Jodlowa 1A, Źory 44-240, PL</t>
  </si>
  <si>
    <t>488</t>
  </si>
  <si>
    <t>Kimla</t>
  </si>
  <si>
    <t>Marek Slawomir</t>
  </si>
  <si>
    <t>0013122399</t>
  </si>
  <si>
    <t>+48 500 226 242</t>
  </si>
  <si>
    <t>Sw. Jozefa 11B/6, Rybnik 44-200, PL</t>
  </si>
  <si>
    <t>489</t>
  </si>
  <si>
    <t>Pytel</t>
  </si>
  <si>
    <t>0348388086</t>
  </si>
  <si>
    <t>+48887103200</t>
  </si>
  <si>
    <t>44-335, Jastrzębie Zdrój ul. Zielona 41/22</t>
  </si>
  <si>
    <t>490</t>
  </si>
  <si>
    <t>Hawełka</t>
  </si>
  <si>
    <t>Dawid</t>
  </si>
  <si>
    <t>0011726543</t>
  </si>
  <si>
    <t>+48503569477</t>
  </si>
  <si>
    <t>43-410, Konczyce Male ul. Folwarczna 15C</t>
  </si>
  <si>
    <t>Donghee</t>
  </si>
  <si>
    <t>491</t>
  </si>
  <si>
    <t>Chmiel</t>
  </si>
  <si>
    <t>Sławomir</t>
  </si>
  <si>
    <t>0013003820</t>
  </si>
  <si>
    <t>+48575193493</t>
  </si>
  <si>
    <t>43-400, Kończyce Wielkie ul. Dworcowa 25</t>
  </si>
  <si>
    <t>492</t>
  </si>
  <si>
    <t>0011713087</t>
  </si>
  <si>
    <t>+48726481423</t>
  </si>
  <si>
    <t>44-240, Żory os. Pawlikowskiego 14D/9</t>
  </si>
  <si>
    <t>493</t>
  </si>
  <si>
    <t>Korneliusz</t>
  </si>
  <si>
    <t>0013077015</t>
  </si>
  <si>
    <t>+48730235436</t>
  </si>
  <si>
    <t>43-400, Cieszyn ul. Gorna 30/40</t>
  </si>
  <si>
    <t>494</t>
  </si>
  <si>
    <t>Wengierski</t>
  </si>
  <si>
    <t>Bartosz</t>
  </si>
  <si>
    <t>0013046792</t>
  </si>
  <si>
    <t>+48516588073</t>
  </si>
  <si>
    <t>44-280, Rydułtowy ul. Szpitalna 10</t>
  </si>
  <si>
    <t>495</t>
  </si>
  <si>
    <t>Paszenda</t>
  </si>
  <si>
    <t>Rafał</t>
  </si>
  <si>
    <t>0001983338</t>
  </si>
  <si>
    <t>+48887576797</t>
  </si>
  <si>
    <t>44-200 Rybnik ul. Wysoka 21/2</t>
  </si>
  <si>
    <t>496</t>
  </si>
  <si>
    <t>Mariusz Andrzej</t>
  </si>
  <si>
    <t>+48 697 841 158</t>
  </si>
  <si>
    <t>Slaska 51/12, 44-335 Jastrzebie Zdroj</t>
  </si>
  <si>
    <t>5338</t>
  </si>
  <si>
    <t>R69</t>
  </si>
  <si>
    <t>Salata</t>
  </si>
  <si>
    <t>Krzysztof Marek</t>
  </si>
  <si>
    <t>0011895233</t>
  </si>
  <si>
    <t>+48 784 866 315</t>
  </si>
  <si>
    <t>os. 1000-lecia 5/34, 44-268 Jastrzebie Zdroj</t>
  </si>
  <si>
    <t>ALLIANCE LAUNDRY</t>
  </si>
  <si>
    <t>5185</t>
  </si>
  <si>
    <t>R1060-01</t>
  </si>
  <si>
    <t>Veselková</t>
  </si>
  <si>
    <t>Denisa</t>
  </si>
  <si>
    <t>0002010535</t>
  </si>
  <si>
    <t>+420 702 575 01</t>
  </si>
  <si>
    <t>Trinec</t>
  </si>
  <si>
    <t>499</t>
  </si>
  <si>
    <t>0004688045</t>
  </si>
  <si>
    <t>+48 511 159 873</t>
  </si>
  <si>
    <t>Jastrzębie-Zdrój ul. Śląska 59/10</t>
  </si>
  <si>
    <t>500</t>
  </si>
  <si>
    <t>Dura</t>
  </si>
  <si>
    <t>Mateusz Rafal</t>
  </si>
  <si>
    <t>+48 531 041 959</t>
  </si>
  <si>
    <t>os. Sikorskiego 9J/7, Źory 44-240</t>
  </si>
  <si>
    <t>5183</t>
  </si>
  <si>
    <t>70157</t>
  </si>
  <si>
    <t>Polok-Bass</t>
  </si>
  <si>
    <t>Marzena Karina</t>
  </si>
  <si>
    <t>+48 729 843 874</t>
  </si>
  <si>
    <t>os. Powstancow Slaskich 1F/9, Źory 44-240</t>
  </si>
  <si>
    <t>5184</t>
  </si>
  <si>
    <t>70159</t>
  </si>
  <si>
    <t>Chylińska</t>
  </si>
  <si>
    <t>Natalia Anna</t>
  </si>
  <si>
    <t>+48 451 118 009</t>
  </si>
  <si>
    <t>Slaska 25/1, Jastrzebie Zdroj 44-335</t>
  </si>
  <si>
    <t>5397</t>
  </si>
  <si>
    <t>70167</t>
  </si>
  <si>
    <t>Marlena</t>
  </si>
  <si>
    <t>+48 606 926 340</t>
  </si>
  <si>
    <t>Janusza Kusocińskiego 33/10, Jastrzebie-Zdrój 44-330</t>
  </si>
  <si>
    <t>504</t>
  </si>
  <si>
    <t>Jolanta</t>
  </si>
  <si>
    <t>0004653540</t>
  </si>
  <si>
    <t>+48 575 798 984</t>
  </si>
  <si>
    <t>44-335, Żory os. Sikorskiego 27c/10</t>
  </si>
  <si>
    <t>505</t>
  </si>
  <si>
    <t>Faoui</t>
  </si>
  <si>
    <t>Ewelina</t>
  </si>
  <si>
    <t>0003352427</t>
  </si>
  <si>
    <t>+48 724 813 059</t>
  </si>
  <si>
    <t>44-240, Żory os. Ks. Władysława 10C/26</t>
  </si>
  <si>
    <t>506</t>
  </si>
  <si>
    <t>Wodecki</t>
  </si>
  <si>
    <t>Sylwester</t>
  </si>
  <si>
    <t>+48724813059</t>
  </si>
  <si>
    <t>44-335, Jastrzębie Zrój ul. Małopolska 81/1</t>
  </si>
  <si>
    <t>507</t>
  </si>
  <si>
    <t>Kabut</t>
  </si>
  <si>
    <t>0001983141</t>
  </si>
  <si>
    <t>+48 535 173 129</t>
  </si>
  <si>
    <t>44-280, Rydułyowy ul. Korfandego 3/20</t>
  </si>
  <si>
    <t>508</t>
  </si>
  <si>
    <t>Szczepańska</t>
  </si>
  <si>
    <t>0001928535</t>
  </si>
  <si>
    <t>+48 721 402 203</t>
  </si>
  <si>
    <t>44-335, Jastrzębie Zdrój ul. Malchera 15/10</t>
  </si>
  <si>
    <t>509</t>
  </si>
  <si>
    <t>Wojciech</t>
  </si>
  <si>
    <t>0001964376</t>
  </si>
  <si>
    <t>44-270, Rybnik ul. Zagłoby 24</t>
  </si>
  <si>
    <t>510</t>
  </si>
  <si>
    <t>0002005018</t>
  </si>
  <si>
    <t>+48 536 789 926</t>
  </si>
  <si>
    <t>44-300, Wodzisław Slaski ul. 26 Marca 29/24</t>
  </si>
  <si>
    <t>511</t>
  </si>
  <si>
    <t>Czuryło</t>
  </si>
  <si>
    <t>44-206, Rybnik ul. Gornicza 18C/7</t>
  </si>
  <si>
    <t>512</t>
  </si>
  <si>
    <t>Wierzgoń</t>
  </si>
  <si>
    <t>Igor</t>
  </si>
  <si>
    <t>+48 733 438 816</t>
  </si>
  <si>
    <t>44-335, Jastrzębie Zdrój ul. Zielona 12/8</t>
  </si>
  <si>
    <t>513</t>
  </si>
  <si>
    <t>Ciszkowska</t>
  </si>
  <si>
    <t>0008774683</t>
  </si>
  <si>
    <t>+48 575 312 737</t>
  </si>
  <si>
    <t>44-335, Jastrzębie Zdrój ul. Pomorska 47/7</t>
  </si>
  <si>
    <t>515</t>
  </si>
  <si>
    <t>Przemysław</t>
  </si>
  <si>
    <t>44-240 Żory Al.. Wojska Polskiego 21/21</t>
  </si>
  <si>
    <t>0001829335</t>
  </si>
  <si>
    <t>5198</t>
  </si>
  <si>
    <t>R1073-01</t>
  </si>
  <si>
    <t>Gromek</t>
  </si>
  <si>
    <t>Sylwia</t>
  </si>
  <si>
    <t>0001378328</t>
  </si>
  <si>
    <t>+48 721 132 122</t>
  </si>
  <si>
    <t>43-400 Cieszyn ul. Mokra 16</t>
  </si>
  <si>
    <t>5200</t>
  </si>
  <si>
    <t>R1072-01</t>
  </si>
  <si>
    <t>Gałuszka</t>
  </si>
  <si>
    <t>0001422463</t>
  </si>
  <si>
    <t>+48 503 086 257</t>
  </si>
  <si>
    <t>43-253 Pielgrzymowice ul. Stawowa 19</t>
  </si>
  <si>
    <t>5192</t>
  </si>
  <si>
    <t>R1074-01</t>
  </si>
  <si>
    <t>Veselá</t>
  </si>
  <si>
    <t>Stanislava</t>
  </si>
  <si>
    <t>734505041</t>
  </si>
  <si>
    <t>Bazantice 452 Albrechtice u Ceskeho Tesina 735 43</t>
  </si>
  <si>
    <t>5193</t>
  </si>
  <si>
    <t>R1075-01</t>
  </si>
  <si>
    <t>Nemcek</t>
  </si>
  <si>
    <t>Martin</t>
  </si>
  <si>
    <t>0002005376</t>
  </si>
  <si>
    <t>+420 731 804 66</t>
  </si>
  <si>
    <t>Frystatska 72/1 Karvina 73301</t>
  </si>
  <si>
    <t>549</t>
  </si>
  <si>
    <t>Góral</t>
  </si>
  <si>
    <t>Jacek</t>
  </si>
  <si>
    <t>0002032895</t>
  </si>
  <si>
    <t>+48 739 981 001</t>
  </si>
  <si>
    <t>44-240 Żory Osiedle Księcia Władysława 10C/26</t>
  </si>
  <si>
    <t>521</t>
  </si>
  <si>
    <t>Lempartova</t>
  </si>
  <si>
    <t>+420 731 829 21</t>
  </si>
  <si>
    <t>Cesky Tesin Vodni 348/4</t>
  </si>
  <si>
    <t>522</t>
  </si>
  <si>
    <t>524</t>
  </si>
  <si>
    <t>Bajor</t>
  </si>
  <si>
    <t>Sabina Lucja</t>
  </si>
  <si>
    <t>+48 791 511 072</t>
  </si>
  <si>
    <t>Osiedle Sikorskiego 26/8, Źory, 44-240</t>
  </si>
  <si>
    <t>523</t>
  </si>
  <si>
    <t>Angelika Anna</t>
  </si>
  <si>
    <t>+48 723 484 281</t>
  </si>
  <si>
    <t>5209</t>
  </si>
  <si>
    <t>R1077-01</t>
  </si>
  <si>
    <t>Szymon</t>
  </si>
  <si>
    <t>0001288696</t>
  </si>
  <si>
    <t>+48 572 222 238</t>
  </si>
  <si>
    <t>43-410, Zebrzydowice ul. Juliusza Słowackiego 41A</t>
  </si>
  <si>
    <t>526</t>
  </si>
  <si>
    <t>Trojanowski</t>
  </si>
  <si>
    <t>+48 883 873 424</t>
  </si>
  <si>
    <t>44-217 Rybnik, Kominka 37A/12</t>
  </si>
  <si>
    <t>520</t>
  </si>
  <si>
    <t>Ksobiech</t>
  </si>
  <si>
    <t>+48 513 231 199</t>
  </si>
  <si>
    <t>Jurija Gagarina 112/49, Jastrzębie-Zdrój, 44-268</t>
  </si>
  <si>
    <t>5202</t>
  </si>
  <si>
    <t>R1102-01</t>
  </si>
  <si>
    <t>Smialek</t>
  </si>
  <si>
    <t>Marceli</t>
  </si>
  <si>
    <t>0001928238</t>
  </si>
  <si>
    <t>+48 880 908 358</t>
  </si>
  <si>
    <t>43-418 Pogwizdów ul. Matusiaka 7A/9</t>
  </si>
  <si>
    <t>528</t>
  </si>
  <si>
    <t>Karnas</t>
  </si>
  <si>
    <t>Bożena</t>
  </si>
  <si>
    <t>0001937514</t>
  </si>
  <si>
    <t>+48 536 567 442</t>
  </si>
  <si>
    <t>43-410 Zebrzydowice ul. Kochanowskiego 23</t>
  </si>
  <si>
    <t>529</t>
  </si>
  <si>
    <t>0001828534</t>
  </si>
  <si>
    <t>+48 538 943 926</t>
  </si>
  <si>
    <t>530</t>
  </si>
  <si>
    <t>Wójcik</t>
  </si>
  <si>
    <t>+48 507 112 758</t>
  </si>
  <si>
    <t>43-410 Zebrzydowice ul. Skotnicka 11A</t>
  </si>
  <si>
    <t>531</t>
  </si>
  <si>
    <t>Czerwińska</t>
  </si>
  <si>
    <t>+48 660 588 405</t>
  </si>
  <si>
    <t>532</t>
  </si>
  <si>
    <t>Konieczna</t>
  </si>
  <si>
    <t>Elżbieta</t>
  </si>
  <si>
    <t>0001985580</t>
  </si>
  <si>
    <t>+48 733 054 574</t>
  </si>
  <si>
    <t>44-240 Żory Os Pawlikowskiego 11H/4</t>
  </si>
  <si>
    <t>5355</t>
  </si>
  <si>
    <t>R1086-01</t>
  </si>
  <si>
    <t>Janecka</t>
  </si>
  <si>
    <t>Malwina</t>
  </si>
  <si>
    <t>0001840263</t>
  </si>
  <si>
    <t>+48 792 175 521</t>
  </si>
  <si>
    <t>44-335 Jastrzębie-Zdrój ul. Łowicka 11/9</t>
  </si>
  <si>
    <t>534</t>
  </si>
  <si>
    <t>Badura</t>
  </si>
  <si>
    <t>Lucyna</t>
  </si>
  <si>
    <t>0001928812</t>
  </si>
  <si>
    <t>+48 533 409 124</t>
  </si>
  <si>
    <t>44-335 Jastrzębie-Zdrój ul. Gagarina 110/35</t>
  </si>
  <si>
    <t>535</t>
  </si>
  <si>
    <t>Chalimoniuk</t>
  </si>
  <si>
    <t>0001932242</t>
  </si>
  <si>
    <t>+48 604 671 618</t>
  </si>
  <si>
    <t>43-400 Cieszyn ul. Wiślańska 36</t>
  </si>
  <si>
    <t>5349</t>
  </si>
  <si>
    <t>R1076-01</t>
  </si>
  <si>
    <t>Vroblová</t>
  </si>
  <si>
    <t>Žaneta</t>
  </si>
  <si>
    <t>775 906 332</t>
  </si>
  <si>
    <t>Trinec na Zakopech 249</t>
  </si>
  <si>
    <t>Łecki</t>
  </si>
  <si>
    <t>0392187915</t>
  </si>
  <si>
    <t>+48 667 015 993</t>
  </si>
  <si>
    <t>Cieszyn Wierzbowa 1B</t>
  </si>
  <si>
    <t>536</t>
  </si>
  <si>
    <t>Gonska</t>
  </si>
  <si>
    <t>0392154638</t>
  </si>
  <si>
    <t>+48 698 786 394</t>
  </si>
  <si>
    <t>44-335 Jastrzębie-Zdrj ul. Lipowa 14</t>
  </si>
  <si>
    <t>5400</t>
  </si>
  <si>
    <t>Brewinski</t>
  </si>
  <si>
    <t>0013118940</t>
  </si>
  <si>
    <t>+48 578 196 963</t>
  </si>
  <si>
    <t>44-300 Wodzisław Śląski ul. 26 Marca 34/4</t>
  </si>
  <si>
    <t>538</t>
  </si>
  <si>
    <t>Dłuczyk</t>
  </si>
  <si>
    <t>Bernard</t>
  </si>
  <si>
    <t>0392172798</t>
  </si>
  <si>
    <t>+48 453 254 997</t>
  </si>
  <si>
    <t>44-335 Jastrzębie-Zdrój ul. Turystyczna 67/17</t>
  </si>
  <si>
    <t>539</t>
  </si>
  <si>
    <t>Juroška</t>
  </si>
  <si>
    <t>+420 728 256 89</t>
  </si>
  <si>
    <t>Markvartovická 52/48, Ludgeřovice 747 14</t>
  </si>
  <si>
    <t>541</t>
  </si>
  <si>
    <t>0347631724</t>
  </si>
  <si>
    <t>540</t>
  </si>
  <si>
    <t>Źeromski</t>
  </si>
  <si>
    <t>Piotr Michal</t>
  </si>
  <si>
    <t>+48 669 644 035</t>
  </si>
  <si>
    <t>Wojska Polskiego 8/2, Wodzisław Śląski 44-300</t>
  </si>
  <si>
    <t>544</t>
  </si>
  <si>
    <t>Ferfecka-Muszkiet</t>
  </si>
  <si>
    <t>Angelika</t>
  </si>
  <si>
    <t>+48 795 515 774</t>
  </si>
  <si>
    <t>43-419 Haźlach m. Zamorski u. Pasieki 1</t>
  </si>
  <si>
    <t>543</t>
  </si>
  <si>
    <t>Fryc</t>
  </si>
  <si>
    <t>0392155113</t>
  </si>
  <si>
    <t>+48 884 644 211</t>
  </si>
  <si>
    <t>44-240 Żory Osiedle Pawlikowskiego 1G/2</t>
  </si>
  <si>
    <t>542</t>
  </si>
  <si>
    <t>Kosiorek</t>
  </si>
  <si>
    <t>0392153897</t>
  </si>
  <si>
    <t>+48 514 047 831</t>
  </si>
  <si>
    <t>44-370 Pszów ul. Pszowska 409</t>
  </si>
  <si>
    <t>545</t>
  </si>
  <si>
    <t>Zagraba</t>
  </si>
  <si>
    <t>0392160825</t>
  </si>
  <si>
    <t>+48 513 787 821</t>
  </si>
  <si>
    <t>44-310 Radlin ul. Korfantego 34C/15</t>
  </si>
  <si>
    <t>546</t>
  </si>
  <si>
    <t>Kitowski</t>
  </si>
  <si>
    <t>Marian</t>
  </si>
  <si>
    <t>0392157926</t>
  </si>
  <si>
    <t>+48 729 272 328</t>
  </si>
  <si>
    <t>44-335 Jastrzębie-Zdrój ul. Pomorska 44/15</t>
  </si>
  <si>
    <t>547</t>
  </si>
  <si>
    <t>Konopka</t>
  </si>
  <si>
    <t>+48 723 226 351</t>
  </si>
  <si>
    <t>44-240 Żory Os Pawlikowskiego 14J/3</t>
  </si>
  <si>
    <t>5383</t>
  </si>
  <si>
    <t>70166</t>
  </si>
  <si>
    <t>Rychlíková</t>
  </si>
  <si>
    <t>Lucie</t>
  </si>
  <si>
    <t>+420 739 937 00</t>
  </si>
  <si>
    <t>Tylova 2790/25, Ostrava, 700 30</t>
  </si>
  <si>
    <t>551</t>
  </si>
  <si>
    <t>Chojnowska</t>
  </si>
  <si>
    <t>0001928246</t>
  </si>
  <si>
    <t>+48 509 966 388</t>
  </si>
  <si>
    <t>43-400 Cieszyn ul. Moniuszki 3/7</t>
  </si>
  <si>
    <t>550</t>
  </si>
  <si>
    <t>Jabłońska</t>
  </si>
  <si>
    <t>0002029049</t>
  </si>
  <si>
    <t>+48 511 310 308</t>
  </si>
  <si>
    <t>44-335 Jastrzębie-Zdrój ul. Kurpiowska 8/7</t>
  </si>
  <si>
    <t>5390</t>
  </si>
  <si>
    <t>52029</t>
  </si>
  <si>
    <t>Wiącek</t>
  </si>
  <si>
    <t>0400343783</t>
  </si>
  <si>
    <t>+48 537 272 144</t>
  </si>
  <si>
    <t>44-335 Jastrzębie-Zdrój ul. Moniuszki 2/5</t>
  </si>
  <si>
    <t>553</t>
  </si>
  <si>
    <t>Łuczak</t>
  </si>
  <si>
    <t>Krzysztof</t>
  </si>
  <si>
    <t>0392170023</t>
  </si>
  <si>
    <t>+48 691 205 601</t>
  </si>
  <si>
    <t>44-268 Jastrzębie-Zdrój Osiedle 1000 lecia 15/38</t>
  </si>
  <si>
    <t>554</t>
  </si>
  <si>
    <t>Stefan</t>
  </si>
  <si>
    <t>0392183144</t>
  </si>
  <si>
    <t>+48 451031 918</t>
  </si>
  <si>
    <t>Radlin ul. Korfantego 34C/15</t>
  </si>
  <si>
    <t>555</t>
  </si>
  <si>
    <t>Tomal</t>
  </si>
  <si>
    <t>Arkadiusz</t>
  </si>
  <si>
    <t>0392180210</t>
  </si>
  <si>
    <t>+48 534 507 457</t>
  </si>
  <si>
    <t>44-240 Żory Osiedle Korfantego 8D/5</t>
  </si>
  <si>
    <t>556</t>
  </si>
  <si>
    <t>Bieżuński</t>
  </si>
  <si>
    <t>0002029068</t>
  </si>
  <si>
    <t>+48 692-565-321</t>
  </si>
  <si>
    <t>44-240 Żory Osiedle Pawlikowskiego 3G/2</t>
  </si>
  <si>
    <t>557</t>
  </si>
  <si>
    <t>Nagroba</t>
  </si>
  <si>
    <t>0002029044</t>
  </si>
  <si>
    <t>+48 798 202 063</t>
  </si>
  <si>
    <t>44-293 Piece ul. Rydułtowska 8</t>
  </si>
  <si>
    <t>558</t>
  </si>
  <si>
    <t>Kolek</t>
  </si>
  <si>
    <t>Diana</t>
  </si>
  <si>
    <t>0001810692</t>
  </si>
  <si>
    <t>+48534788968</t>
  </si>
  <si>
    <t>Palmowa 6, Zebrzydowice</t>
  </si>
  <si>
    <t>559</t>
  </si>
  <si>
    <t>Paterewicz</t>
  </si>
  <si>
    <t>+48665173459</t>
  </si>
  <si>
    <t>Kusocinskiego 13/8 Jastrzebie-Zdroj</t>
  </si>
  <si>
    <t>560</t>
  </si>
  <si>
    <t>Sajdak</t>
  </si>
  <si>
    <t>+48665173458</t>
  </si>
  <si>
    <t>561</t>
  </si>
  <si>
    <t>Bocheńska</t>
  </si>
  <si>
    <t>Krystyna Maria</t>
  </si>
  <si>
    <t>+48 739 038 307</t>
  </si>
  <si>
    <t>Orla 11/2, Źory, 44-240</t>
  </si>
  <si>
    <t>562</t>
  </si>
  <si>
    <t>Szukiel</t>
  </si>
  <si>
    <t>0001793703</t>
  </si>
  <si>
    <t>+48 507 292 602</t>
  </si>
  <si>
    <t>Os. 1000 - Lecia 19/38 Jastrzebie-Zdroj</t>
  </si>
  <si>
    <t>563</t>
  </si>
  <si>
    <t>Budny</t>
  </si>
  <si>
    <t>+48 511 977 563</t>
  </si>
  <si>
    <t>Turystyczna 29/37 Jastrzebie Zdroj</t>
  </si>
  <si>
    <t>564</t>
  </si>
  <si>
    <t>Lipsa</t>
  </si>
  <si>
    <t>Dante</t>
  </si>
  <si>
    <t>0013047055</t>
  </si>
  <si>
    <t>+48 574 281 034</t>
  </si>
  <si>
    <t>Dluga 146, Hažlach, 43-419</t>
  </si>
  <si>
    <t>565</t>
  </si>
  <si>
    <t>Kacper</t>
  </si>
  <si>
    <t>0001986430</t>
  </si>
  <si>
    <t>+48505357897</t>
  </si>
  <si>
    <t>Zielona 7/29, Jastrzebie Zdrój</t>
  </si>
  <si>
    <t>566</t>
  </si>
  <si>
    <t>Formela</t>
  </si>
  <si>
    <t>0001840262</t>
  </si>
  <si>
    <t>+48696687553</t>
  </si>
  <si>
    <t>Juliana Tuwima 1F, Kaczyce</t>
  </si>
  <si>
    <t>567</t>
  </si>
  <si>
    <t>Bagrowicz</t>
  </si>
  <si>
    <t>+48724710245</t>
  </si>
  <si>
    <t>Sikorskiego 11h, Rydułtowy</t>
  </si>
  <si>
    <t>568</t>
  </si>
  <si>
    <t>Mańka</t>
  </si>
  <si>
    <t>0392159615</t>
  </si>
  <si>
    <t>+48 514 486 922</t>
  </si>
  <si>
    <t>Nowowiejskiego 23, Rybnik</t>
  </si>
  <si>
    <t>5412</t>
  </si>
  <si>
    <t>52045</t>
  </si>
  <si>
    <t>Klugmann</t>
  </si>
  <si>
    <t>Jarosław</t>
  </si>
  <si>
    <t>0392165008</t>
  </si>
  <si>
    <t>+48 662 424 243</t>
  </si>
  <si>
    <t>Żwirowa 6, Kończyce Wielkie</t>
  </si>
  <si>
    <t>5407</t>
  </si>
  <si>
    <t>52047</t>
  </si>
  <si>
    <t>Właśniak</t>
  </si>
  <si>
    <t>0392172595</t>
  </si>
  <si>
    <t>+48 501 709 952</t>
  </si>
  <si>
    <t>26 Marca 142/11, Wodzisław Śląski</t>
  </si>
  <si>
    <t>571</t>
  </si>
  <si>
    <t>Siwiec</t>
  </si>
  <si>
    <t>0392184377</t>
  </si>
  <si>
    <t>+48 503 060 962</t>
  </si>
  <si>
    <t>Marusarzówny 23/21, Jastrzębie-Zdrój</t>
  </si>
  <si>
    <t>5406</t>
  </si>
  <si>
    <t>52046</t>
  </si>
  <si>
    <t>Górniok</t>
  </si>
  <si>
    <t>Mirosław</t>
  </si>
  <si>
    <t>+48 503 709 845</t>
  </si>
  <si>
    <t>Wrzosów 6, Cieszyn</t>
  </si>
  <si>
    <t>573</t>
  </si>
  <si>
    <t>Maryla</t>
  </si>
  <si>
    <t>0001928798</t>
  </si>
  <si>
    <t>+48691900888</t>
  </si>
  <si>
    <t>Wielkopolska 49, Jastrzebie Zdrój</t>
  </si>
  <si>
    <t>574</t>
  </si>
  <si>
    <t>Boczoń</t>
  </si>
  <si>
    <t>Kinga</t>
  </si>
  <si>
    <t>+48507679110</t>
  </si>
  <si>
    <t>Główna 93, Zamarski</t>
  </si>
  <si>
    <t>5422</t>
  </si>
  <si>
    <t>R1098-01</t>
  </si>
  <si>
    <t>Ploskonka</t>
  </si>
  <si>
    <t>0002028813</t>
  </si>
  <si>
    <t>+48725437250</t>
  </si>
  <si>
    <t>Górna 30, Pogwizdów</t>
  </si>
  <si>
    <t>576</t>
  </si>
  <si>
    <t>0002029094</t>
  </si>
  <si>
    <t>+48579900367</t>
  </si>
  <si>
    <t>Chubalczyków 45, Radlin</t>
  </si>
  <si>
    <t>578</t>
  </si>
  <si>
    <t>Popiołek</t>
  </si>
  <si>
    <t>0001815053</t>
  </si>
  <si>
    <t>+48733633288</t>
  </si>
  <si>
    <t>26 Marca 20/3, Wodzisław Śląski</t>
  </si>
  <si>
    <t>577</t>
  </si>
  <si>
    <t>0001793704</t>
  </si>
  <si>
    <t>+48530807552</t>
  </si>
  <si>
    <t>26 Marca 20/3, Wodzisław</t>
  </si>
  <si>
    <t>581</t>
  </si>
  <si>
    <t>Klimczak</t>
  </si>
  <si>
    <t>+48605666909</t>
  </si>
  <si>
    <t>Śrutowska 29/1, Cieszyn</t>
  </si>
  <si>
    <t>579</t>
  </si>
  <si>
    <t>Grzybek</t>
  </si>
  <si>
    <t>0001829627</t>
  </si>
  <si>
    <t>+48507567496</t>
  </si>
  <si>
    <t>Astrów 6, Pruchna</t>
  </si>
  <si>
    <t>580</t>
  </si>
  <si>
    <t>Czendlik</t>
  </si>
  <si>
    <t>+48696239430</t>
  </si>
  <si>
    <t>Katowicka 37, Pruchna</t>
  </si>
  <si>
    <t>583</t>
  </si>
  <si>
    <t>0392176853</t>
  </si>
  <si>
    <t>+48574279178</t>
  </si>
  <si>
    <t>Plac Zwycięstwa 6/14, Wodzisław</t>
  </si>
  <si>
    <t>584</t>
  </si>
  <si>
    <t>Wajda</t>
  </si>
  <si>
    <t>Rajmund</t>
  </si>
  <si>
    <t>0392169207</t>
  </si>
  <si>
    <t>+48 884 122 335</t>
  </si>
  <si>
    <t>Os.Sikorskiego 16c/4, Żory</t>
  </si>
  <si>
    <t>585</t>
  </si>
  <si>
    <t>Bieniek</t>
  </si>
  <si>
    <t>0391244876</t>
  </si>
  <si>
    <t>+48517218302</t>
  </si>
  <si>
    <t>Dworek 19/19, Rybnik</t>
  </si>
  <si>
    <t>586</t>
  </si>
  <si>
    <t>Strojny</t>
  </si>
  <si>
    <t>Mariusz</t>
  </si>
  <si>
    <t>0392153339</t>
  </si>
  <si>
    <t>+48536236601</t>
  </si>
  <si>
    <t>Powstańców Śląskich 14c/10, Żory</t>
  </si>
  <si>
    <t>587</t>
  </si>
  <si>
    <t>Swendrowski</t>
  </si>
  <si>
    <t>Karol</t>
  </si>
  <si>
    <t>0392163999</t>
  </si>
  <si>
    <t>+48503486234</t>
  </si>
  <si>
    <t>Os. 1000-lecia 1/34, Jastrzębie</t>
  </si>
  <si>
    <t>5424</t>
  </si>
  <si>
    <t>51852</t>
  </si>
  <si>
    <t>0003018349</t>
  </si>
  <si>
    <t>+48 609 723 582</t>
  </si>
  <si>
    <t>1000 lecia 18/7, Wodzisław</t>
  </si>
  <si>
    <t>589</t>
  </si>
  <si>
    <t>Madrzyk</t>
  </si>
  <si>
    <t>Ryszard</t>
  </si>
  <si>
    <t>0392145415</t>
  </si>
  <si>
    <t>+48698777461</t>
  </si>
  <si>
    <t>Moniuszki 10a, Jastrzębie Zdrój</t>
  </si>
  <si>
    <t>5430</t>
  </si>
  <si>
    <t>52064</t>
  </si>
  <si>
    <t>Golebiowski</t>
  </si>
  <si>
    <t>0392190001</t>
  </si>
  <si>
    <t>+48 517 615 619</t>
  </si>
  <si>
    <t>Katowicka 27/44, Jastrzębie-Zdrój</t>
  </si>
  <si>
    <t>591</t>
  </si>
  <si>
    <t>Bury</t>
  </si>
  <si>
    <t>+48799065224</t>
  </si>
  <si>
    <t>Nowe Miasto 7/10, Cieszyn</t>
  </si>
  <si>
    <t>592</t>
  </si>
  <si>
    <t>Trot</t>
  </si>
  <si>
    <t>Justyna</t>
  </si>
  <si>
    <t>0002036530</t>
  </si>
  <si>
    <t>+48730541409</t>
  </si>
  <si>
    <t>Boczna 13/23, Żory</t>
  </si>
  <si>
    <t>593</t>
  </si>
  <si>
    <t>Pietrucianis</t>
  </si>
  <si>
    <t>0001838792</t>
  </si>
  <si>
    <t>+48731043169</t>
  </si>
  <si>
    <t>os.Sikorskiego 26c/7,Żory</t>
  </si>
  <si>
    <t>594</t>
  </si>
  <si>
    <t>0002031599</t>
  </si>
  <si>
    <t>595</t>
  </si>
  <si>
    <t>Polit</t>
  </si>
  <si>
    <t>0001985182</t>
  </si>
  <si>
    <t>+48786197713</t>
  </si>
  <si>
    <t>Dąbrowskiego 7a, Jastrzebie Zdrój</t>
  </si>
  <si>
    <t>596</t>
  </si>
  <si>
    <t>Smęder</t>
  </si>
  <si>
    <t>0002010998</t>
  </si>
  <si>
    <t>+48669860840</t>
  </si>
  <si>
    <t>Szczejkowicka 26, Żory</t>
  </si>
  <si>
    <t>5448</t>
  </si>
  <si>
    <t>R1107-01</t>
  </si>
  <si>
    <t>Goworek</t>
  </si>
  <si>
    <t>0001947045</t>
  </si>
  <si>
    <t>5452</t>
  </si>
  <si>
    <t>70174</t>
  </si>
  <si>
    <t>Nawój</t>
  </si>
  <si>
    <t>0013055672</t>
  </si>
  <si>
    <t>+48 533 633 134</t>
  </si>
  <si>
    <t>Os. XXX Lecia 111/8, Wodzisław Slaski</t>
  </si>
  <si>
    <t>5451</t>
  </si>
  <si>
    <t>70175</t>
  </si>
  <si>
    <t>Kozik</t>
  </si>
  <si>
    <t>0013052377</t>
  </si>
  <si>
    <t>+48 666 100 832</t>
  </si>
  <si>
    <t>1 Maja 139, Mszana</t>
  </si>
  <si>
    <t>598</t>
  </si>
  <si>
    <t>Wójtowicz</t>
  </si>
  <si>
    <t>Remigiusz</t>
  </si>
  <si>
    <t>0001937545</t>
  </si>
  <si>
    <t>+48665858439</t>
  </si>
  <si>
    <t>Os.Karola 21/19, Rydułtowy</t>
  </si>
  <si>
    <t>600</t>
  </si>
  <si>
    <t>Ślosarczyk</t>
  </si>
  <si>
    <t>+48 604 547 820</t>
  </si>
  <si>
    <t>Szymanowskiego 70/54, Cieszyn</t>
  </si>
  <si>
    <t>599</t>
  </si>
  <si>
    <t>Legutko</t>
  </si>
  <si>
    <t>0001932159</t>
  </si>
  <si>
    <t>+48 797 108 564</t>
  </si>
  <si>
    <t>Kaszubska 12/63, Jastrzębie Zdrój</t>
  </si>
  <si>
    <t>603</t>
  </si>
  <si>
    <t>Opioł</t>
  </si>
  <si>
    <t>0003302386</t>
  </si>
  <si>
    <t>+48509086950</t>
  </si>
  <si>
    <t>Osiedle Karola 20/4, Rydułtowy</t>
  </si>
  <si>
    <t>604</t>
  </si>
  <si>
    <t>Pięta</t>
  </si>
  <si>
    <t>0001393503</t>
  </si>
  <si>
    <t>+48607734985</t>
  </si>
  <si>
    <t>Katowicka 7, Hażlach</t>
  </si>
  <si>
    <t>5460</t>
  </si>
  <si>
    <t>R1116-01</t>
  </si>
  <si>
    <t>Gorniok</t>
  </si>
  <si>
    <t>+48 798 014 905</t>
  </si>
  <si>
    <t>606</t>
  </si>
  <si>
    <t>Kubecki</t>
  </si>
  <si>
    <t>+48796912432</t>
  </si>
  <si>
    <t>Botaniczna 6, Kończyce Małe</t>
  </si>
  <si>
    <t>607</t>
  </si>
  <si>
    <t>Błatoń</t>
  </si>
  <si>
    <t>Klaudia</t>
  </si>
  <si>
    <t>0003350015</t>
  </si>
  <si>
    <t>+48731827097</t>
  </si>
  <si>
    <t>Os.1000 lecia 1/34, Jastrzębie</t>
  </si>
  <si>
    <t>608</t>
  </si>
  <si>
    <t>Swendrowska</t>
  </si>
  <si>
    <t>0003346106</t>
  </si>
  <si>
    <t>+48519798889</t>
  </si>
  <si>
    <t>609</t>
  </si>
  <si>
    <t>Stojanovski</t>
  </si>
  <si>
    <t>0001932154</t>
  </si>
  <si>
    <t>+48574500409</t>
  </si>
  <si>
    <t>Moniuszki 18/39 Cieszyn</t>
  </si>
  <si>
    <t>610</t>
  </si>
  <si>
    <t>Maksymilian</t>
  </si>
  <si>
    <t>0001932142</t>
  </si>
  <si>
    <t>+48792904643</t>
  </si>
  <si>
    <t>611</t>
  </si>
  <si>
    <t>Siekierski</t>
  </si>
  <si>
    <t>Filip</t>
  </si>
  <si>
    <t>0001222145</t>
  </si>
  <si>
    <t>+48733883743</t>
  </si>
  <si>
    <t>MaŁopolska 11-10, Jastrzębie-Zdrój</t>
  </si>
  <si>
    <t>612</t>
  </si>
  <si>
    <t>Podsiadło</t>
  </si>
  <si>
    <t>Łukasz</t>
  </si>
  <si>
    <t>0392291768</t>
  </si>
  <si>
    <t>+48667373000</t>
  </si>
  <si>
    <t>Wolnosci 39, Jastrzębie - Zdroj</t>
  </si>
  <si>
    <t>613</t>
  </si>
  <si>
    <t>Kocek</t>
  </si>
  <si>
    <t>0392303014</t>
  </si>
  <si>
    <t>+48739232256</t>
  </si>
  <si>
    <t>Żeromskiego 34B, Jastrzębie - Zdroj</t>
  </si>
  <si>
    <t>614</t>
  </si>
  <si>
    <t>Bałasz</t>
  </si>
  <si>
    <t>0392319609</t>
  </si>
  <si>
    <t>+48453497866</t>
  </si>
  <si>
    <t>Ks.Władysława 6D/4, Żory</t>
  </si>
  <si>
    <t>615</t>
  </si>
  <si>
    <t>Siedlak</t>
  </si>
  <si>
    <t>0392299547</t>
  </si>
  <si>
    <t>+48 514 858 534</t>
  </si>
  <si>
    <t>616</t>
  </si>
  <si>
    <t>0392293226</t>
  </si>
  <si>
    <t>+48 787 387 224</t>
  </si>
  <si>
    <t>Kombatantów 14, Jastrzębie Zdrój</t>
  </si>
  <si>
    <t>5718</t>
  </si>
  <si>
    <t>Kornas</t>
  </si>
  <si>
    <t>0391199882</t>
  </si>
  <si>
    <t>+48784464030</t>
  </si>
  <si>
    <t>Kopernika 6/5, Jastrzębie - Zdroj</t>
  </si>
  <si>
    <t>618</t>
  </si>
  <si>
    <t>Kowalczuk</t>
  </si>
  <si>
    <t>0392301183</t>
  </si>
  <si>
    <t>+48669252953</t>
  </si>
  <si>
    <t>Wyszyńskiego 45/15, Wodzisław - Slaski</t>
  </si>
  <si>
    <t>619</t>
  </si>
  <si>
    <t>Lasek</t>
  </si>
  <si>
    <t>Weronika</t>
  </si>
  <si>
    <t>0002016016</t>
  </si>
  <si>
    <t>+48884055696</t>
  </si>
  <si>
    <t>Pomorska 93/14, Jastrzębie - Zdroj</t>
  </si>
  <si>
    <t>620</t>
  </si>
  <si>
    <t>Kapturska</t>
  </si>
  <si>
    <t>0001829622</t>
  </si>
  <si>
    <t>+48730324004</t>
  </si>
  <si>
    <t>Graniczna 17b, Kończyce Małe</t>
  </si>
  <si>
    <t>621</t>
  </si>
  <si>
    <t>Pisarczyk</t>
  </si>
  <si>
    <t>0002029004</t>
  </si>
  <si>
    <t>+48604134676</t>
  </si>
  <si>
    <t>Pomorska 24/6, Jastrzębie Zdrój</t>
  </si>
  <si>
    <t>622</t>
  </si>
  <si>
    <t>Kolorz</t>
  </si>
  <si>
    <t>+48537086067</t>
  </si>
  <si>
    <t>Wspólna 6/2, Jastrzębie - Zdroj</t>
  </si>
  <si>
    <t>623</t>
  </si>
  <si>
    <t>Dembowski</t>
  </si>
  <si>
    <t>Przemyslaw</t>
  </si>
  <si>
    <t>+48725578943</t>
  </si>
  <si>
    <t>Morcinka 17/6, Jastrzebie - Zdroj</t>
  </si>
  <si>
    <t>624</t>
  </si>
  <si>
    <t>10025</t>
  </si>
  <si>
    <t>Kupka</t>
  </si>
  <si>
    <t>0001262659</t>
  </si>
  <si>
    <t>+48882463723</t>
  </si>
  <si>
    <t>Nowa 9, Konczyce Male</t>
  </si>
  <si>
    <t>625</t>
  </si>
  <si>
    <t>Majewska</t>
  </si>
  <si>
    <t>Ilona</t>
  </si>
  <si>
    <t>+48788567065</t>
  </si>
  <si>
    <t>Ks.Władysława 8b/1, Żory</t>
  </si>
  <si>
    <t>5481</t>
  </si>
  <si>
    <t>R1125-01</t>
  </si>
  <si>
    <t>Pracz</t>
  </si>
  <si>
    <t>Sonia</t>
  </si>
  <si>
    <t>0002016007</t>
  </si>
  <si>
    <t>+48530899594</t>
  </si>
  <si>
    <t>Juranda 13b-3, Pszow</t>
  </si>
  <si>
    <t>627</t>
  </si>
  <si>
    <t>Golisz</t>
  </si>
  <si>
    <t>0002010933</t>
  </si>
  <si>
    <t>+487305259238</t>
  </si>
  <si>
    <t>Os. Cieszynskie 2/55, Ustroń</t>
  </si>
  <si>
    <t>628</t>
  </si>
  <si>
    <t>Czuczman</t>
  </si>
  <si>
    <t>0001991767</t>
  </si>
  <si>
    <t>+48660106911</t>
  </si>
  <si>
    <t>Sienkiewicza 11, Kończyce Małe</t>
  </si>
  <si>
    <t>629</t>
  </si>
  <si>
    <t>Pelczar</t>
  </si>
  <si>
    <t>0001985187</t>
  </si>
  <si>
    <t>+48796930711</t>
  </si>
  <si>
    <t>Solskiego 9/7, Radlin</t>
  </si>
  <si>
    <t>630</t>
  </si>
  <si>
    <t>Graca</t>
  </si>
  <si>
    <t>+48533590204</t>
  </si>
  <si>
    <t>631</t>
  </si>
  <si>
    <t>Chłodek</t>
  </si>
  <si>
    <t>Roksana</t>
  </si>
  <si>
    <t>0008749263</t>
  </si>
  <si>
    <t>+48793303014</t>
  </si>
  <si>
    <t>Xxxx</t>
  </si>
  <si>
    <t>5490</t>
  </si>
  <si>
    <t>70181</t>
  </si>
  <si>
    <t>Gladosz</t>
  </si>
  <si>
    <t>Magdalena Urszula</t>
  </si>
  <si>
    <t>0013075497</t>
  </si>
  <si>
    <t>+48 781 806 044</t>
  </si>
  <si>
    <t>Wiejska 9/17, Jastrzebie-Zdrój, 44-338</t>
  </si>
  <si>
    <t>5485</t>
  </si>
  <si>
    <t>70182</t>
  </si>
  <si>
    <t>Kulpa</t>
  </si>
  <si>
    <t>Aneta Janina</t>
  </si>
  <si>
    <t>0013063770</t>
  </si>
  <si>
    <t>+48 574 776 179</t>
  </si>
  <si>
    <t>Wrebowa 13F/52, Rybnik, 44-270</t>
  </si>
  <si>
    <t>5483</t>
  </si>
  <si>
    <t>70183</t>
  </si>
  <si>
    <t>Samonek-Plona</t>
  </si>
  <si>
    <t>Magdalena Agnieszka</t>
  </si>
  <si>
    <t>0013052090</t>
  </si>
  <si>
    <t>+48 665 609 666</t>
  </si>
  <si>
    <t>Lowicka 1/13, Jastrzebie-Zdrój, 44-335</t>
  </si>
  <si>
    <t>5487</t>
  </si>
  <si>
    <t>70180</t>
  </si>
  <si>
    <t>Wardzala</t>
  </si>
  <si>
    <t>Kasandra Helga</t>
  </si>
  <si>
    <t>0011712475</t>
  </si>
  <si>
    <t>+48 726 157 876</t>
  </si>
  <si>
    <t>26 Marca 156/54, Wodzislaw Slaski, 44-300</t>
  </si>
  <si>
    <t>5484</t>
  </si>
  <si>
    <t>70178</t>
  </si>
  <si>
    <t>Porwol</t>
  </si>
  <si>
    <t>Elzbieta Maria</t>
  </si>
  <si>
    <t>+48 694 619 768</t>
  </si>
  <si>
    <t>Pogwizdowska 22, Gaszowice, 44-293</t>
  </si>
  <si>
    <t>639</t>
  </si>
  <si>
    <t>Kurys</t>
  </si>
  <si>
    <t>Sylwia Mariola</t>
  </si>
  <si>
    <t>0011764118</t>
  </si>
  <si>
    <t>+48 578 713 928</t>
  </si>
  <si>
    <t>Pomorska 50/3, Jastrzebie-Zdrój, 44-335</t>
  </si>
  <si>
    <t>5493</t>
  </si>
  <si>
    <t>R1135-01</t>
  </si>
  <si>
    <t>0011607088</t>
  </si>
  <si>
    <t>+48579958255</t>
  </si>
  <si>
    <t>1 Maja 30, Gołkowice</t>
  </si>
  <si>
    <t>5491</t>
  </si>
  <si>
    <t>R1134-01</t>
  </si>
  <si>
    <t>Kurpinska</t>
  </si>
  <si>
    <t>0002010928</t>
  </si>
  <si>
    <t>+48786222154</t>
  </si>
  <si>
    <t>Sw. Jerzego 11/7, Cieszyn</t>
  </si>
  <si>
    <t>640</t>
  </si>
  <si>
    <t>Mrozek</t>
  </si>
  <si>
    <t>0001936425</t>
  </si>
  <si>
    <t>+48516472210</t>
  </si>
  <si>
    <t>Boża Góra Lewa 13H, Jastrzębie Zdrój</t>
  </si>
  <si>
    <t>641</t>
  </si>
  <si>
    <t>Marcinkowski</t>
  </si>
  <si>
    <t>Mikolaj</t>
  </si>
  <si>
    <t>0334280697</t>
  </si>
  <si>
    <t>+48 723 862 313</t>
  </si>
  <si>
    <t>Przemysława 16/88, Wodzisław</t>
  </si>
  <si>
    <t>5495</t>
  </si>
  <si>
    <t>1309830</t>
  </si>
  <si>
    <t>Tworzydlo</t>
  </si>
  <si>
    <t>0001309830</t>
  </si>
  <si>
    <t>+48 690 157 189</t>
  </si>
  <si>
    <t>Zielona 17/33, Jastrzębie Zdroj</t>
  </si>
  <si>
    <t>4507</t>
  </si>
  <si>
    <t>70184</t>
  </si>
  <si>
    <t>Os. Orłowiec 65/3, Rydułtowy</t>
  </si>
  <si>
    <t>5497</t>
  </si>
  <si>
    <t>R1137-01</t>
  </si>
  <si>
    <t>Noszczyk</t>
  </si>
  <si>
    <t>0001313460</t>
  </si>
  <si>
    <t>+48 661223228</t>
  </si>
  <si>
    <t>Katowicka 9/31, Jastrzebie</t>
  </si>
  <si>
    <t>646</t>
  </si>
  <si>
    <t>Stachowiak</t>
  </si>
  <si>
    <t>+48 571 576 342</t>
  </si>
  <si>
    <t>Opolska 12/7, 44-335 Jastrzebie-Zdroj</t>
  </si>
  <si>
    <t>5500</t>
  </si>
  <si>
    <t>R1139-01</t>
  </si>
  <si>
    <t>Kawulok</t>
  </si>
  <si>
    <t>+48 513 384 846</t>
  </si>
  <si>
    <t>Istebna 2038, 43-470 Istebna</t>
  </si>
  <si>
    <t>5502</t>
  </si>
  <si>
    <t>R1154-01</t>
  </si>
  <si>
    <t>Danielczyk</t>
  </si>
  <si>
    <t>Kornel</t>
  </si>
  <si>
    <t>0009092879</t>
  </si>
  <si>
    <t>+48511478494</t>
  </si>
  <si>
    <t>Spółdzielcza 16, Wilamowice</t>
  </si>
  <si>
    <t>649</t>
  </si>
  <si>
    <t>Podmiejska 10/10, Jastrzebie-Zdroj</t>
  </si>
  <si>
    <t>650</t>
  </si>
  <si>
    <t>Łanecki</t>
  </si>
  <si>
    <t>0001230587</t>
  </si>
  <si>
    <t>+48 577 424 554</t>
  </si>
  <si>
    <t>Kurpiowska 10, 44-335 Jastrzebie Zdroj</t>
  </si>
  <si>
    <t>5509</t>
  </si>
  <si>
    <t>R1140-01</t>
  </si>
  <si>
    <t>Haranczyk</t>
  </si>
  <si>
    <t>0001936363</t>
  </si>
  <si>
    <t>+48733018097</t>
  </si>
  <si>
    <t>Lesna 18, Zory</t>
  </si>
  <si>
    <t>5506</t>
  </si>
  <si>
    <t>70186</t>
  </si>
  <si>
    <t>+48 692 755 081</t>
  </si>
  <si>
    <t>Gornicza 38/23, Jastrzebie Zdroj</t>
  </si>
  <si>
    <t>653</t>
  </si>
  <si>
    <t>Sw.Jozefa 11b/6, Rybnik</t>
  </si>
  <si>
    <t>654</t>
  </si>
  <si>
    <t>Kucharski</t>
  </si>
  <si>
    <t>+48698014330</t>
  </si>
  <si>
    <t>Małachowskiego 8, Żory</t>
  </si>
  <si>
    <t>655</t>
  </si>
  <si>
    <t>0392334852</t>
  </si>
  <si>
    <t>+48518569970</t>
  </si>
  <si>
    <t>Zgrzebnioka 2b/1, Rybnik</t>
  </si>
  <si>
    <t>656</t>
  </si>
  <si>
    <t>Leszczyński</t>
  </si>
  <si>
    <t>+48 793 608 487</t>
  </si>
  <si>
    <t>Zielona 41/34, 44-330 Jastrzębie Zdrój</t>
  </si>
  <si>
    <t>657</t>
  </si>
  <si>
    <t>Trzópek</t>
  </si>
  <si>
    <t>0013055832</t>
  </si>
  <si>
    <t>+48507620463</t>
  </si>
  <si>
    <t>Lompy 6D/1, Rybnik</t>
  </si>
  <si>
    <t>5503</t>
  </si>
  <si>
    <t>70188</t>
  </si>
  <si>
    <t>Holub</t>
  </si>
  <si>
    <t>Patrik</t>
  </si>
  <si>
    <t>721127017</t>
  </si>
  <si>
    <t>Svatoplukova 615/11, Ostrava - Zábřeh, 700 30</t>
  </si>
  <si>
    <t>659</t>
  </si>
  <si>
    <t>Wilgucki</t>
  </si>
  <si>
    <t>0003548462</t>
  </si>
  <si>
    <t>+48 607 505 580</t>
  </si>
  <si>
    <t>660</t>
  </si>
  <si>
    <t>Konas</t>
  </si>
  <si>
    <t>0001947040</t>
  </si>
  <si>
    <t>+48 577464319</t>
  </si>
  <si>
    <t>Hetmanska 5b/8, Rybnik</t>
  </si>
  <si>
    <t>661</t>
  </si>
  <si>
    <t>Wrobel</t>
  </si>
  <si>
    <t>+48787236387</t>
  </si>
  <si>
    <t>Moniuszki 22/2, Cieszyn</t>
  </si>
  <si>
    <t>662</t>
  </si>
  <si>
    <t>Medrela</t>
  </si>
  <si>
    <t>+48 797822398</t>
  </si>
  <si>
    <t>Blogocka 30b/9, Cieszyn</t>
  </si>
  <si>
    <t>663</t>
  </si>
  <si>
    <t>Giza-Krzeminska</t>
  </si>
  <si>
    <t>0008711930</t>
  </si>
  <si>
    <t>+48 601559212</t>
  </si>
  <si>
    <t>Karnowiec 62, Hazlach</t>
  </si>
  <si>
    <t>664</t>
  </si>
  <si>
    <t>Wieczorek</t>
  </si>
  <si>
    <t>Milena</t>
  </si>
  <si>
    <t>+48570040187</t>
  </si>
  <si>
    <t>Powstancow 49a, Swierklany</t>
  </si>
  <si>
    <t>5515</t>
  </si>
  <si>
    <t>52114</t>
  </si>
  <si>
    <t>Kania</t>
  </si>
  <si>
    <t>0392333090</t>
  </si>
  <si>
    <t>+48 881 319 485</t>
  </si>
  <si>
    <t>Gleboka 15, Cieszyn</t>
  </si>
  <si>
    <t>666</t>
  </si>
  <si>
    <t>Radoslaw</t>
  </si>
  <si>
    <t>0392333970</t>
  </si>
  <si>
    <t>+48453221028</t>
  </si>
  <si>
    <t>Gwarkow 18c/2, Zory</t>
  </si>
  <si>
    <t>5522</t>
  </si>
  <si>
    <t>R1148-01</t>
  </si>
  <si>
    <t>Kowol</t>
  </si>
  <si>
    <t>0003577272</t>
  </si>
  <si>
    <t>+48539656486</t>
  </si>
  <si>
    <t>Slaska 63/7, Jastrzebie</t>
  </si>
  <si>
    <t>668</t>
  </si>
  <si>
    <t>Liwocha</t>
  </si>
  <si>
    <t>0005175554</t>
  </si>
  <si>
    <t>+48506324025</t>
  </si>
  <si>
    <t>Turystyczna 16/31, Jastrzebie</t>
  </si>
  <si>
    <t>669</t>
  </si>
  <si>
    <t>Bakowska</t>
  </si>
  <si>
    <t>+48 517 808 768</t>
  </si>
  <si>
    <t>Turystyczna 11/36, Jastrzebie</t>
  </si>
  <si>
    <t>5525</t>
  </si>
  <si>
    <t>R1150-01</t>
  </si>
  <si>
    <t>Kalisz</t>
  </si>
  <si>
    <t>0008830550</t>
  </si>
  <si>
    <t>+48789801076</t>
  </si>
  <si>
    <t>Debowa 28, Marklowice Gorne</t>
  </si>
  <si>
    <t>5526</t>
  </si>
  <si>
    <t>R1151-01</t>
  </si>
  <si>
    <t>0008978254</t>
  </si>
  <si>
    <t>+48506572134</t>
  </si>
  <si>
    <t>Pochyla 9, Zebrzydowice</t>
  </si>
  <si>
    <t>672</t>
  </si>
  <si>
    <t>Kuchcicki</t>
  </si>
  <si>
    <t>0002028988</t>
  </si>
  <si>
    <t>+48739019232</t>
  </si>
  <si>
    <t>Gagarina 112/7, Jastrzebie</t>
  </si>
  <si>
    <t>673</t>
  </si>
  <si>
    <t>Szczotka</t>
  </si>
  <si>
    <t>+48517535819</t>
  </si>
  <si>
    <t>Ciencialy 1/2, Cieszyn</t>
  </si>
  <si>
    <t>674</t>
  </si>
  <si>
    <t>Hajduczek</t>
  </si>
  <si>
    <t>+48695831609</t>
  </si>
  <si>
    <t>Raciborska 227, Rybnik</t>
  </si>
  <si>
    <t>675</t>
  </si>
  <si>
    <t>Lipa</t>
  </si>
  <si>
    <t>Bartlomiej</t>
  </si>
  <si>
    <t>+48508960977</t>
  </si>
  <si>
    <t>Plac Sw.Krzyza 1/7, Cieszyn</t>
  </si>
  <si>
    <t>676</t>
  </si>
  <si>
    <t>Bogdanowicz</t>
  </si>
  <si>
    <t>+48789880322</t>
  </si>
  <si>
    <t>Wyzwolenia 45, Zory</t>
  </si>
  <si>
    <t>677</t>
  </si>
  <si>
    <t>+48 452 999 514</t>
  </si>
  <si>
    <t>Koniakow 728, Koniakow</t>
  </si>
  <si>
    <t>678</t>
  </si>
  <si>
    <t>Zych</t>
  </si>
  <si>
    <t>+48792698309</t>
  </si>
  <si>
    <t>Marokanow 4a/6, Rybnik</t>
  </si>
  <si>
    <t>679</t>
  </si>
  <si>
    <t>Serafin</t>
  </si>
  <si>
    <t>Kasper</t>
  </si>
  <si>
    <t>+48662029594</t>
  </si>
  <si>
    <t>Sloneczna 30, Brzezowka</t>
  </si>
  <si>
    <t>680</t>
  </si>
  <si>
    <t>Weglarzy</t>
  </si>
  <si>
    <t>+48 694060599</t>
  </si>
  <si>
    <t>Sloneczna 12, Kaczyce</t>
  </si>
  <si>
    <t>5545</t>
  </si>
  <si>
    <t>R1157-01</t>
  </si>
  <si>
    <t>Urbaczka</t>
  </si>
  <si>
    <t>0001342918</t>
  </si>
  <si>
    <t>+48601627258</t>
  </si>
  <si>
    <t>Cieszynska 22, Puncow</t>
  </si>
  <si>
    <t>682</t>
  </si>
  <si>
    <t>Baranowski</t>
  </si>
  <si>
    <t>0334327639</t>
  </si>
  <si>
    <t>+48 575366304</t>
  </si>
  <si>
    <t>Odlegla 58, Cieszyn</t>
  </si>
  <si>
    <t>5533</t>
  </si>
  <si>
    <t>A088</t>
  </si>
  <si>
    <t>Porebski</t>
  </si>
  <si>
    <t>+48 698 119 841</t>
  </si>
  <si>
    <t>Pomorska 42/10, Jastrzebie</t>
  </si>
  <si>
    <t>684</t>
  </si>
  <si>
    <t>Rafal</t>
  </si>
  <si>
    <t>0334327599</t>
  </si>
  <si>
    <t>+48 503309876</t>
  </si>
  <si>
    <t>685</t>
  </si>
  <si>
    <t>Przyborek</t>
  </si>
  <si>
    <t>+48452211369</t>
  </si>
  <si>
    <t>Graniczna 26, Lubomia</t>
  </si>
  <si>
    <t>686</t>
  </si>
  <si>
    <t>Famulski</t>
  </si>
  <si>
    <t>0392334337</t>
  </si>
  <si>
    <t>+48579636698</t>
  </si>
  <si>
    <t>Sw. Jozefa 20a/4, Rybnik</t>
  </si>
  <si>
    <t>687</t>
  </si>
  <si>
    <t>Zaranek</t>
  </si>
  <si>
    <t>0392306726</t>
  </si>
  <si>
    <t>+48780592892</t>
  </si>
  <si>
    <t>Giedroycia 8/6, Zory</t>
  </si>
  <si>
    <t>688</t>
  </si>
  <si>
    <t>Kossewski</t>
  </si>
  <si>
    <t>Ksawery</t>
  </si>
  <si>
    <t>0392336059</t>
  </si>
  <si>
    <t>+48783026129</t>
  </si>
  <si>
    <t>Zielona 31/2, Jastrzebie</t>
  </si>
  <si>
    <t>5543</t>
  </si>
  <si>
    <t>52127</t>
  </si>
  <si>
    <t>Smieja</t>
  </si>
  <si>
    <t>0392336905</t>
  </si>
  <si>
    <t>+48 451 102 528</t>
  </si>
  <si>
    <t>Cieszynska 218, Jastrzebie</t>
  </si>
  <si>
    <t>690</t>
  </si>
  <si>
    <t>0392306054</t>
  </si>
  <si>
    <t>+48570263987</t>
  </si>
  <si>
    <t>Turystyczna 19-4, 44-335 Jastrzębie Zdroj</t>
  </si>
  <si>
    <t>5547</t>
  </si>
  <si>
    <t>R1163-01</t>
  </si>
  <si>
    <t>Draminska</t>
  </si>
  <si>
    <t>0008713468</t>
  </si>
  <si>
    <t>+48780082214</t>
  </si>
  <si>
    <t>Morcinka 17c/307, Kaczyce</t>
  </si>
  <si>
    <t>692</t>
  </si>
  <si>
    <t>Fijalkowski</t>
  </si>
  <si>
    <t>+48 799 764 331</t>
  </si>
  <si>
    <t>Blogocka 30, Cieszyn</t>
  </si>
  <si>
    <t>693</t>
  </si>
  <si>
    <t>Kašpar</t>
  </si>
  <si>
    <t>0008644250</t>
  </si>
  <si>
    <t>+420704139729</t>
  </si>
  <si>
    <t>Na Nábřeží 700/115 Havířov-město</t>
  </si>
  <si>
    <t>694</t>
  </si>
  <si>
    <t>Smrek</t>
  </si>
  <si>
    <t>+48578573440</t>
  </si>
  <si>
    <t>Krasickiego 6/7, Jastrzebie</t>
  </si>
  <si>
    <t>695</t>
  </si>
  <si>
    <t>Mazun</t>
  </si>
  <si>
    <t>+48725616449</t>
  </si>
  <si>
    <t>Piastowska 5/7, Wodzislaw</t>
  </si>
  <si>
    <t>5549</t>
  </si>
  <si>
    <t>R1160-01</t>
  </si>
  <si>
    <t>Maka</t>
  </si>
  <si>
    <t>0001343778</t>
  </si>
  <si>
    <t>+48690447769</t>
  </si>
  <si>
    <t>Wrebowa 17c/26, Rybnik</t>
  </si>
  <si>
    <t>697</t>
  </si>
  <si>
    <t>Filipek-Reclik</t>
  </si>
  <si>
    <t>+48 793 191 111</t>
  </si>
  <si>
    <t>Daszynskiego 8a, Pielgrzymowice</t>
  </si>
  <si>
    <t>698</t>
  </si>
  <si>
    <t>0001028825</t>
  </si>
  <si>
    <t>+48570102202</t>
  </si>
  <si>
    <t>Rownolegla 42, Jastrzebie</t>
  </si>
  <si>
    <t>699</t>
  </si>
  <si>
    <t>Kurkowska</t>
  </si>
  <si>
    <t>+48596875767</t>
  </si>
  <si>
    <t>Moniuszki 16/5, Jastrzębie-Zdrój</t>
  </si>
  <si>
    <t>5556</t>
  </si>
  <si>
    <t>R1165-01</t>
  </si>
  <si>
    <t>Gorzelany</t>
  </si>
  <si>
    <t>0008396393</t>
  </si>
  <si>
    <t>+48535387725</t>
  </si>
  <si>
    <t>Morcinka 2b/10, Pogwizdow</t>
  </si>
  <si>
    <t>5555</t>
  </si>
  <si>
    <t>R1158-01</t>
  </si>
  <si>
    <t>Szpin</t>
  </si>
  <si>
    <t>+48502296518</t>
  </si>
  <si>
    <t>Jastrzebska 90, Hazlach</t>
  </si>
  <si>
    <t>5560</t>
  </si>
  <si>
    <t>52140</t>
  </si>
  <si>
    <t>Piątek</t>
  </si>
  <si>
    <t>0392322218</t>
  </si>
  <si>
    <t>+48 733 793 404</t>
  </si>
  <si>
    <t>Kurpiowska10/45, Jastrzebie</t>
  </si>
  <si>
    <t>5558</t>
  </si>
  <si>
    <t>52138</t>
  </si>
  <si>
    <t>Siedlok</t>
  </si>
  <si>
    <t>0392324152</t>
  </si>
  <si>
    <t>+48 796 156 799</t>
  </si>
  <si>
    <t>Slaska 13/25, Jastrzebie</t>
  </si>
  <si>
    <t>704</t>
  </si>
  <si>
    <t>Krainski</t>
  </si>
  <si>
    <t>0392326334</t>
  </si>
  <si>
    <t>+48731449839</t>
  </si>
  <si>
    <t>os.700 lecia 3/13, Zory</t>
  </si>
  <si>
    <t>705</t>
  </si>
  <si>
    <t>0392333393</t>
  </si>
  <si>
    <t>+48 733 080 489</t>
  </si>
  <si>
    <t>Rymera 247,Radlin</t>
  </si>
  <si>
    <t>5557</t>
  </si>
  <si>
    <t>R1166-01</t>
  </si>
  <si>
    <t>Lutyk</t>
  </si>
  <si>
    <t>0013315913</t>
  </si>
  <si>
    <t>+48451556544</t>
  </si>
  <si>
    <t>Bieszczadzka 18, Rybnik</t>
  </si>
  <si>
    <t>707</t>
  </si>
  <si>
    <t>Gonczar</t>
  </si>
  <si>
    <t>0009080000</t>
  </si>
  <si>
    <t>+48451105569</t>
  </si>
  <si>
    <t>Gagarina 108/22, Jastrzebie</t>
  </si>
  <si>
    <t>708</t>
  </si>
  <si>
    <t>Hanusek</t>
  </si>
  <si>
    <t>0005456219</t>
  </si>
  <si>
    <t>+48516795117</t>
  </si>
  <si>
    <t>Budowlanych 436/31, Rybnik</t>
  </si>
  <si>
    <t>5563</t>
  </si>
  <si>
    <t>R1167-01</t>
  </si>
  <si>
    <t>Araszkiewicz</t>
  </si>
  <si>
    <t>0005020659</t>
  </si>
  <si>
    <t>+48783762880</t>
  </si>
  <si>
    <t>5565</t>
  </si>
  <si>
    <t>R1170-01</t>
  </si>
  <si>
    <t>Surmiak</t>
  </si>
  <si>
    <t>Daria</t>
  </si>
  <si>
    <t>0004949615</t>
  </si>
  <si>
    <t>+48507761541</t>
  </si>
  <si>
    <t>Zamkowa 22, Konczyce Wielkie</t>
  </si>
  <si>
    <t>711</t>
  </si>
  <si>
    <t>+48731317971</t>
  </si>
  <si>
    <t>Pomorska44/15, Jastrzebie</t>
  </si>
  <si>
    <t>712</t>
  </si>
  <si>
    <t>Milejska</t>
  </si>
  <si>
    <t>+48574927007</t>
  </si>
  <si>
    <t>713</t>
  </si>
  <si>
    <t>Smyczyk</t>
  </si>
  <si>
    <t>+48881061343</t>
  </si>
  <si>
    <t>Czyzowicka 131a/109, Wodzislaw</t>
  </si>
  <si>
    <t>714</t>
  </si>
  <si>
    <t>Cholewa</t>
  </si>
  <si>
    <t>0011686343</t>
  </si>
  <si>
    <t>+48790279290</t>
  </si>
  <si>
    <t>Zielona 60/30, Jastrzebie</t>
  </si>
  <si>
    <t>715</t>
  </si>
  <si>
    <t>0011850213</t>
  </si>
  <si>
    <t>+48517808768</t>
  </si>
  <si>
    <t>5566</t>
  </si>
  <si>
    <t>R1171-01</t>
  </si>
  <si>
    <t>Milewski</t>
  </si>
  <si>
    <t>0005021244</t>
  </si>
  <si>
    <t>+48517334344</t>
  </si>
  <si>
    <t>Swiezego 9, Cieszyn</t>
  </si>
  <si>
    <t>717</t>
  </si>
  <si>
    <t>Procek</t>
  </si>
  <si>
    <t>0004951837</t>
  </si>
  <si>
    <t>+48508693308</t>
  </si>
  <si>
    <t>Wieczorka 23/6, Radlin</t>
  </si>
  <si>
    <t>718</t>
  </si>
  <si>
    <t>Kamienska</t>
  </si>
  <si>
    <t>Lucja</t>
  </si>
  <si>
    <t>+48886940586</t>
  </si>
  <si>
    <t>Folwarczna 5/2, Bazanowice</t>
  </si>
  <si>
    <t>720</t>
  </si>
  <si>
    <t>Lagowska</t>
  </si>
  <si>
    <t>0005121719</t>
  </si>
  <si>
    <t>+48 513 375 934</t>
  </si>
  <si>
    <t>Slaska 33/8, Jastrzebie</t>
  </si>
  <si>
    <t>721</t>
  </si>
  <si>
    <t>Zielinski</t>
  </si>
  <si>
    <t>+48882312318</t>
  </si>
  <si>
    <t>Jodlowa 8, Jastrzebie</t>
  </si>
  <si>
    <t>722</t>
  </si>
  <si>
    <t>Gluszek</t>
  </si>
  <si>
    <t>+48575925824</t>
  </si>
  <si>
    <t>723</t>
  </si>
  <si>
    <t>0005766949</t>
  </si>
  <si>
    <t>724</t>
  </si>
  <si>
    <t>+48691205601</t>
  </si>
  <si>
    <t>os.100-lecia 15/38, Jastrzebie</t>
  </si>
  <si>
    <t>725</t>
  </si>
  <si>
    <t>+48884122335</t>
  </si>
  <si>
    <t>Os. Sikorskiego 13c/4, Zory</t>
  </si>
  <si>
    <t>5582</t>
  </si>
  <si>
    <t>R1175-01</t>
  </si>
  <si>
    <t>0004946553</t>
  </si>
  <si>
    <t>727</t>
  </si>
  <si>
    <t>Świtalski</t>
  </si>
  <si>
    <t>+48537814430</t>
  </si>
  <si>
    <t>Marusarzowny 7/31, Jastrzebie</t>
  </si>
  <si>
    <t>728</t>
  </si>
  <si>
    <t>Radomski</t>
  </si>
  <si>
    <t>+48 698 939 786</t>
  </si>
  <si>
    <t>Jasna 10/7, Jastrzebie</t>
  </si>
  <si>
    <t>5587</t>
  </si>
  <si>
    <t>R1177-01</t>
  </si>
  <si>
    <t>Ruzanski</t>
  </si>
  <si>
    <t>+48533167414</t>
  </si>
  <si>
    <t>Ruchu Oporu 39/6, Jastrzebie</t>
  </si>
  <si>
    <t>730</t>
  </si>
  <si>
    <t>Czechaczek</t>
  </si>
  <si>
    <t>+48725766250</t>
  </si>
  <si>
    <t>Widok 2/208, Zory</t>
  </si>
  <si>
    <t>731</t>
  </si>
  <si>
    <t>Deskiewicz</t>
  </si>
  <si>
    <t>Os.Sikorskiego 4b/1, Zory</t>
  </si>
  <si>
    <t>732</t>
  </si>
  <si>
    <t>Domeracka</t>
  </si>
  <si>
    <t>Nikola</t>
  </si>
  <si>
    <t>+48883956955</t>
  </si>
  <si>
    <t>Pszczyńska 294/47, Jastrzębie Zdrój</t>
  </si>
  <si>
    <t>5584</t>
  </si>
  <si>
    <t>7504</t>
  </si>
  <si>
    <t>Duraj</t>
  </si>
  <si>
    <t>Mateusz Jan</t>
  </si>
  <si>
    <t>+48 693 393 395</t>
  </si>
  <si>
    <t>Kasztanowa 25, Ustron</t>
  </si>
  <si>
    <t>5592</t>
  </si>
  <si>
    <t>R1179-01</t>
  </si>
  <si>
    <t>Zahraj</t>
  </si>
  <si>
    <t>+48603235869</t>
  </si>
  <si>
    <t>Skrajna 12b/6, Cieszyn</t>
  </si>
  <si>
    <t>5594</t>
  </si>
  <si>
    <t>51903</t>
  </si>
  <si>
    <t>Wielkopolska 11/19, Jastrzebie</t>
  </si>
  <si>
    <t>736</t>
  </si>
  <si>
    <t>Kolyva</t>
  </si>
  <si>
    <t>Zaneta</t>
  </si>
  <si>
    <t>+48783577421</t>
  </si>
  <si>
    <t>Os. 1000-lecia 8/20, Jastrzębie</t>
  </si>
  <si>
    <t>5595</t>
  </si>
  <si>
    <t>R1180-01</t>
  </si>
  <si>
    <t>Renata</t>
  </si>
  <si>
    <t>+48887691372</t>
  </si>
  <si>
    <t>Chmielna 13, Konczyce Male</t>
  </si>
  <si>
    <t>5596</t>
  </si>
  <si>
    <t>A00090</t>
  </si>
  <si>
    <t>Skoczylas</t>
  </si>
  <si>
    <t>0334282895</t>
  </si>
  <si>
    <t>+48 786 116 648</t>
  </si>
  <si>
    <t>Kusocinskiego 50/10, Jastrzebie</t>
  </si>
  <si>
    <t>5598</t>
  </si>
  <si>
    <t>A00091</t>
  </si>
  <si>
    <t>Szulc</t>
  </si>
  <si>
    <t>0334282865</t>
  </si>
  <si>
    <t>+48 530 229 903</t>
  </si>
  <si>
    <t>Popiołka 16/14, Cieszyn</t>
  </si>
  <si>
    <t>5597</t>
  </si>
  <si>
    <t>A00089</t>
  </si>
  <si>
    <t>Jakóbiec</t>
  </si>
  <si>
    <t>+48 510 044 860</t>
  </si>
  <si>
    <t>Górny Rynek 8/2, Cieszyn</t>
  </si>
  <si>
    <t>5599</t>
  </si>
  <si>
    <t>R1181-01</t>
  </si>
  <si>
    <t>0004830575</t>
  </si>
  <si>
    <t>+48733542064</t>
  </si>
  <si>
    <t>Frysztacka 7/3, Cieszyn</t>
  </si>
  <si>
    <t>5601</t>
  </si>
  <si>
    <t>R1182-01</t>
  </si>
  <si>
    <t>Spiewak</t>
  </si>
  <si>
    <t>0003781642</t>
  </si>
  <si>
    <t>+48694782681</t>
  </si>
  <si>
    <t>Krasickiego 4/7, Jastrzebie</t>
  </si>
  <si>
    <t>743</t>
  </si>
  <si>
    <t>+48452513149</t>
  </si>
  <si>
    <t>Chmielna 8a, Konczyce Male</t>
  </si>
  <si>
    <t>5605</t>
  </si>
  <si>
    <t>R1183-01</t>
  </si>
  <si>
    <t>Stoszek</t>
  </si>
  <si>
    <t>0001001107</t>
  </si>
  <si>
    <t>+48536370824</t>
  </si>
  <si>
    <t>Majowa 107, Cieszyn</t>
  </si>
  <si>
    <t>5604</t>
  </si>
  <si>
    <t>R1184-01</t>
  </si>
  <si>
    <t>Plinta</t>
  </si>
  <si>
    <t>+48797471149</t>
  </si>
  <si>
    <t>Popiolka 16/18, Cieszyn</t>
  </si>
  <si>
    <t>5609</t>
  </si>
  <si>
    <t>Zeromski</t>
  </si>
  <si>
    <t>0012013869</t>
  </si>
  <si>
    <t>+48669644035</t>
  </si>
  <si>
    <t>Wojska Polskiego 8/2, Wodzislaw</t>
  </si>
  <si>
    <t>5607</t>
  </si>
  <si>
    <t>Chrobak</t>
  </si>
  <si>
    <t>Ireneusz</t>
  </si>
  <si>
    <t>0013373156</t>
  </si>
  <si>
    <t>+48731957884</t>
  </si>
  <si>
    <t>Marusarzówny 39/10, Jastrzębie-Zdrój</t>
  </si>
  <si>
    <t>5606</t>
  </si>
  <si>
    <t>Budniok</t>
  </si>
  <si>
    <t>0013390743</t>
  </si>
  <si>
    <t>+48517518427</t>
  </si>
  <si>
    <t>Gleboka 47/4, Cieszyn</t>
  </si>
  <si>
    <t>749</t>
  </si>
  <si>
    <t>Králová</t>
  </si>
  <si>
    <t>Eliška</t>
  </si>
  <si>
    <t>+420 792 371 69</t>
  </si>
  <si>
    <t>750</t>
  </si>
  <si>
    <t>R1187-01</t>
  </si>
  <si>
    <t>+420792371695</t>
  </si>
  <si>
    <t>5610</t>
  </si>
  <si>
    <t>Bartoňová</t>
  </si>
  <si>
    <t>Petra</t>
  </si>
  <si>
    <t>0011642035</t>
  </si>
  <si>
    <t>608 625 448</t>
  </si>
  <si>
    <t>Hodslavice 47, 742 71 Hodslavice</t>
  </si>
  <si>
    <t>5608</t>
  </si>
  <si>
    <t>R1186-01</t>
  </si>
  <si>
    <t>Balas</t>
  </si>
  <si>
    <t>0007335953</t>
  </si>
  <si>
    <t>+48784349428</t>
  </si>
  <si>
    <t>Gliniana 19, Jastrzebie</t>
  </si>
  <si>
    <t>5611</t>
  </si>
  <si>
    <t>R1185-01</t>
  </si>
  <si>
    <t>Kurek</t>
  </si>
  <si>
    <t>0003583080</t>
  </si>
  <si>
    <t>+48884053919</t>
  </si>
  <si>
    <t>1000lecia 38/6, Wodzislaw</t>
  </si>
  <si>
    <t>5612</t>
  </si>
  <si>
    <t>Kuryś</t>
  </si>
  <si>
    <t>+48578713928</t>
  </si>
  <si>
    <t>Pomorska 50/3, Jastrzębie Zdrój</t>
  </si>
  <si>
    <t>5618</t>
  </si>
  <si>
    <t>XXX</t>
  </si>
  <si>
    <t>Stanik</t>
  </si>
  <si>
    <t>797929953</t>
  </si>
  <si>
    <t>Turystyczna 12/39, Jastrzebie</t>
  </si>
  <si>
    <t>5620</t>
  </si>
  <si>
    <t>R1189-01</t>
  </si>
  <si>
    <t>Maciaczyk</t>
  </si>
  <si>
    <t>Urszula</t>
  </si>
  <si>
    <t>0007375198</t>
  </si>
  <si>
    <t>+48691841023</t>
  </si>
  <si>
    <t>Marusarzówny 6a/38, Jastrzębie-Zdrój</t>
  </si>
  <si>
    <t>5619</t>
  </si>
  <si>
    <t>Tatus</t>
  </si>
  <si>
    <t>000000</t>
  </si>
  <si>
    <t>+48733566669</t>
  </si>
  <si>
    <t>Wroclawska 17/3, Jastrzebie</t>
  </si>
  <si>
    <t>Paraski</t>
  </si>
  <si>
    <t>+48604067413</t>
  </si>
  <si>
    <t>Katowicka 11/9, Jastrzebie</t>
  </si>
  <si>
    <t>5622</t>
  </si>
  <si>
    <t>Salamon</t>
  </si>
  <si>
    <t>0013363576</t>
  </si>
  <si>
    <t>+48660927036</t>
  </si>
  <si>
    <t>Gagarina108/17, Jastrzebie</t>
  </si>
  <si>
    <t>5615</t>
  </si>
  <si>
    <t>Kowal</t>
  </si>
  <si>
    <t>0013186633</t>
  </si>
  <si>
    <t>+48691060591</t>
  </si>
  <si>
    <t>Jastrzębska 8, Hażlach</t>
  </si>
  <si>
    <t>Waligora</t>
  </si>
  <si>
    <t>Bronislaw</t>
  </si>
  <si>
    <t>+48889923613</t>
  </si>
  <si>
    <t>Chemikow 7/8, Cieszyn</t>
  </si>
  <si>
    <t>5623</t>
  </si>
  <si>
    <t>Blazej</t>
  </si>
  <si>
    <t>0011621856</t>
  </si>
  <si>
    <t>+48730116053</t>
  </si>
  <si>
    <t>Powstancow Slaskich84, Laziska</t>
  </si>
  <si>
    <t>5624</t>
  </si>
  <si>
    <t>Musial</t>
  </si>
  <si>
    <t>0013359653</t>
  </si>
  <si>
    <t>+48781609606</t>
  </si>
  <si>
    <t>Okreżna 1, Laziska</t>
  </si>
  <si>
    <t>Pierzga</t>
  </si>
  <si>
    <t>Kolin</t>
  </si>
  <si>
    <t>+48690949560</t>
  </si>
  <si>
    <t>Sosnowa 4, Jastrzebie</t>
  </si>
  <si>
    <t>5625</t>
  </si>
  <si>
    <t>R1191-01</t>
  </si>
  <si>
    <t>Urbanowicz</t>
  </si>
  <si>
    <t>0001829608</t>
  </si>
  <si>
    <t>+48536863042</t>
  </si>
  <si>
    <t>Obroncow Pokoju 8b/5, Rybnik</t>
  </si>
  <si>
    <t>5632</t>
  </si>
  <si>
    <t>R1192-01</t>
  </si>
  <si>
    <t>Polak</t>
  </si>
  <si>
    <t>0001832735</t>
  </si>
  <si>
    <t>+48664892936</t>
  </si>
  <si>
    <t>Ligonia 6/55, Rydułtowy</t>
  </si>
  <si>
    <t>Barabaś</t>
  </si>
  <si>
    <t>+48882733540</t>
  </si>
  <si>
    <t>Kolejowa 11/17, Żory</t>
  </si>
  <si>
    <t>5628</t>
  </si>
  <si>
    <t>Teska</t>
  </si>
  <si>
    <t>+48791477191</t>
  </si>
  <si>
    <t>Moniuszki 14/9, Jastrzebie</t>
  </si>
  <si>
    <t>Jaskulska</t>
  </si>
  <si>
    <t>883487251</t>
  </si>
  <si>
    <t>Wrzosowa 26/9, Jastrzebie</t>
  </si>
  <si>
    <t>R1194-01</t>
  </si>
  <si>
    <t>0003818448</t>
  </si>
  <si>
    <t>+48575103713</t>
  </si>
  <si>
    <t>Bielska 46/7, Cieszyn</t>
  </si>
  <si>
    <t>5643</t>
  </si>
  <si>
    <t>Majerová</t>
  </si>
  <si>
    <t>Karin</t>
  </si>
  <si>
    <t>0001213514</t>
  </si>
  <si>
    <t>+420 723 554 77</t>
  </si>
  <si>
    <t>Anenská 330, 742 42 Šenov u Nového Jičína</t>
  </si>
  <si>
    <t>5639</t>
  </si>
  <si>
    <t>Podżorski</t>
  </si>
  <si>
    <t>0012019054</t>
  </si>
  <si>
    <t>+48888740804</t>
  </si>
  <si>
    <t>Stalmacha 7b/4, Pogwizdów</t>
  </si>
  <si>
    <t>5640</t>
  </si>
  <si>
    <t>Równicki</t>
  </si>
  <si>
    <t>Michał</t>
  </si>
  <si>
    <t>0012001831</t>
  </si>
  <si>
    <t>+48665642221</t>
  </si>
  <si>
    <t>Węgielna 1/33, Cieszyn</t>
  </si>
  <si>
    <t>5644</t>
  </si>
  <si>
    <t>Jankowski</t>
  </si>
  <si>
    <t>0013382943</t>
  </si>
  <si>
    <t>+48535017999</t>
  </si>
  <si>
    <t>Wiejska 17d/25, Jastrzebie</t>
  </si>
  <si>
    <t>5645</t>
  </si>
  <si>
    <t>Cofalik</t>
  </si>
  <si>
    <t>+48730646881</t>
  </si>
  <si>
    <t>Turystyczna 14/1, Jastrzebie</t>
  </si>
  <si>
    <t>5636</t>
  </si>
  <si>
    <t>Królak</t>
  </si>
  <si>
    <t>0013319643</t>
  </si>
  <si>
    <t>+48663564297</t>
  </si>
  <si>
    <t>Chabrowa 22b/2, Rybnik</t>
  </si>
  <si>
    <t>5630</t>
  </si>
  <si>
    <t>Doliński</t>
  </si>
  <si>
    <t>0013385638</t>
  </si>
  <si>
    <t>+48 572 963 084</t>
  </si>
  <si>
    <t>Św.Jana 13/1, Wodzisław Śląski</t>
  </si>
  <si>
    <t>5629</t>
  </si>
  <si>
    <t>+48797929953</t>
  </si>
  <si>
    <t>5642</t>
  </si>
  <si>
    <t>Lasecki</t>
  </si>
  <si>
    <t>0011957555</t>
  </si>
  <si>
    <t>+48515302358</t>
  </si>
  <si>
    <t>Os.1000 lecia 14/5b, Jastrzębie</t>
  </si>
  <si>
    <t>Szopa</t>
  </si>
  <si>
    <t>Miroslaw</t>
  </si>
  <si>
    <t>+48504400774</t>
  </si>
  <si>
    <t>Astrowa, 34-300 Leśna</t>
  </si>
  <si>
    <t>5654</t>
  </si>
  <si>
    <t>Horváthová</t>
  </si>
  <si>
    <t>+420 702 827 12</t>
  </si>
  <si>
    <t>Marie Majerové 490, Frýdek Místek</t>
  </si>
  <si>
    <t>5653</t>
  </si>
  <si>
    <t>Krasinski</t>
  </si>
  <si>
    <t>0391214361</t>
  </si>
  <si>
    <t>+48669774988</t>
  </si>
  <si>
    <t>Wrocławska 41/26, Jastrzębie Zdrój</t>
  </si>
  <si>
    <t>R1195-01</t>
  </si>
  <si>
    <t>Jodlowska</t>
  </si>
  <si>
    <t>0001810693</t>
  </si>
  <si>
    <t>+48663130716</t>
  </si>
  <si>
    <t>Kolejowa 11A/26, Zory</t>
  </si>
  <si>
    <t>Demczuk</t>
  </si>
  <si>
    <t>0065291320</t>
  </si>
  <si>
    <t>+48784378328</t>
  </si>
  <si>
    <t>Jastrzebia 8/37, Zory</t>
  </si>
  <si>
    <t>Denisiuk</t>
  </si>
  <si>
    <t>+48537731563</t>
  </si>
  <si>
    <t>Kanarkowa 18, Marklowice</t>
  </si>
  <si>
    <t>5659</t>
  </si>
  <si>
    <t>0011956507</t>
  </si>
  <si>
    <t>+48570665126</t>
  </si>
  <si>
    <t>Ptasia 14, Cieszyn</t>
  </si>
  <si>
    <t>5652</t>
  </si>
  <si>
    <t>Trzopek</t>
  </si>
  <si>
    <t>5651</t>
  </si>
  <si>
    <t>Twardowski</t>
  </si>
  <si>
    <t>+48784307538</t>
  </si>
  <si>
    <t>Krasickiego 6/19, Jastrzebie</t>
  </si>
  <si>
    <t>5650</t>
  </si>
  <si>
    <t>Brzozowski</t>
  </si>
  <si>
    <t>0012035752</t>
  </si>
  <si>
    <t>+48668082505</t>
  </si>
  <si>
    <t>Morcinka 2/10, Jastrzebie</t>
  </si>
  <si>
    <t>5648</t>
  </si>
  <si>
    <t>Fiuczek</t>
  </si>
  <si>
    <t>0013321351</t>
  </si>
  <si>
    <t>+48880965724</t>
  </si>
  <si>
    <t>Morcinka 66, Jastrzebie</t>
  </si>
  <si>
    <t>5647</t>
  </si>
  <si>
    <t>Jablonski</t>
  </si>
  <si>
    <t>0011965953</t>
  </si>
  <si>
    <t>+48570135655</t>
  </si>
  <si>
    <t>Katowicka 3/19, Jastrzebie</t>
  </si>
  <si>
    <t>5646</t>
  </si>
  <si>
    <t>Sztymelski</t>
  </si>
  <si>
    <t>0013410753</t>
  </si>
  <si>
    <t>+48696720543</t>
  </si>
  <si>
    <t>Poznanska 31/1, Jastrzebie</t>
  </si>
  <si>
    <t>+48666945865</t>
  </si>
  <si>
    <t>Chwałowicka 29b/1, Rybnik</t>
  </si>
  <si>
    <t>5666</t>
  </si>
  <si>
    <t>0013325356</t>
  </si>
  <si>
    <t>Jadwigi 6, Jastrzebie</t>
  </si>
  <si>
    <t>5669</t>
  </si>
  <si>
    <t>Wojcik</t>
  </si>
  <si>
    <t>Maksym</t>
  </si>
  <si>
    <t>+48535242004</t>
  </si>
  <si>
    <t>Szkolna 46/7, Jastrzebie</t>
  </si>
  <si>
    <t>5649</t>
  </si>
  <si>
    <t>0013376294</t>
  </si>
  <si>
    <t>+48784772428</t>
  </si>
  <si>
    <t>+48534507457</t>
  </si>
  <si>
    <t>Os. Korfantego 8D/5, Żory</t>
  </si>
  <si>
    <t>5674</t>
  </si>
  <si>
    <t>R1196-01</t>
  </si>
  <si>
    <t>Hejna</t>
  </si>
  <si>
    <t>0001985532</t>
  </si>
  <si>
    <t>+48577294210</t>
  </si>
  <si>
    <t>Boczna 11b/18, Rybnik</t>
  </si>
  <si>
    <t>Hryckiewicz</t>
  </si>
  <si>
    <t>+48507246594</t>
  </si>
  <si>
    <t>1 Maja 11/6, Rybnik</t>
  </si>
  <si>
    <t>5673</t>
  </si>
  <si>
    <t>0002029100</t>
  </si>
  <si>
    <t>+48731001683</t>
  </si>
  <si>
    <t>5672</t>
  </si>
  <si>
    <t>R1199-01</t>
  </si>
  <si>
    <t>Bortlik</t>
  </si>
  <si>
    <t>0003790729</t>
  </si>
  <si>
    <t>+48503703769</t>
  </si>
  <si>
    <t>Beskidzka 3/42, Jastrzebie-Zdroj</t>
  </si>
  <si>
    <t>Goraczewska</t>
  </si>
  <si>
    <t>+48501781732</t>
  </si>
  <si>
    <t>Kurpiowska 3/42, Jastrzebie</t>
  </si>
  <si>
    <t>5675</t>
  </si>
  <si>
    <t>Chodura</t>
  </si>
  <si>
    <t>0391215669</t>
  </si>
  <si>
    <t>+48721453610</t>
  </si>
  <si>
    <t>5676</t>
  </si>
  <si>
    <t>Burzynska</t>
  </si>
  <si>
    <t>0370033408</t>
  </si>
  <si>
    <t>+48453511162</t>
  </si>
  <si>
    <t>Piastow Gornoslaskich 4, Zory</t>
  </si>
  <si>
    <t>5580</t>
  </si>
  <si>
    <t>Os. 1000-lecia 15/38, Jastrzębie</t>
  </si>
  <si>
    <t>5685</t>
  </si>
  <si>
    <t>R1201-01</t>
  </si>
  <si>
    <t>Mróz</t>
  </si>
  <si>
    <t>0003759972</t>
  </si>
  <si>
    <t>+48515707465</t>
  </si>
  <si>
    <t>Warminska 4/4, Jastrzebie</t>
  </si>
  <si>
    <t>5681</t>
  </si>
  <si>
    <t>Trzmielowski</t>
  </si>
  <si>
    <t>+48883502467</t>
  </si>
  <si>
    <t>Wielkopolska 16/22, Jastrzebie</t>
  </si>
  <si>
    <t>5680</t>
  </si>
  <si>
    <t>Kudosz</t>
  </si>
  <si>
    <t>0011707658</t>
  </si>
  <si>
    <t>+48697887876</t>
  </si>
  <si>
    <t>Zielona 43/16, Jastrzebie-Zdroj</t>
  </si>
  <si>
    <t>5682</t>
  </si>
  <si>
    <t>Sokolowski</t>
  </si>
  <si>
    <t>+48888267091</t>
  </si>
  <si>
    <t>Ruchu Oporu 6/9, Jastrzebie</t>
  </si>
  <si>
    <t>5686</t>
  </si>
  <si>
    <t>Stolarski</t>
  </si>
  <si>
    <t>0013009258</t>
  </si>
  <si>
    <t>+48536239641</t>
  </si>
  <si>
    <t>Stary Targ 13/3, Cieszyn</t>
  </si>
  <si>
    <t>5683</t>
  </si>
  <si>
    <t>Brodowski</t>
  </si>
  <si>
    <t>0011713635</t>
  </si>
  <si>
    <t>+48508245715</t>
  </si>
  <si>
    <t>Sienkiewicza 10/14, Radlin</t>
  </si>
  <si>
    <t>5687</t>
  </si>
  <si>
    <t>Tulec</t>
  </si>
  <si>
    <t>Henryk</t>
  </si>
  <si>
    <t>+48883074931</t>
  </si>
  <si>
    <t>5679</t>
  </si>
  <si>
    <t>Grzywacz</t>
  </si>
  <si>
    <t>+48573457958</t>
  </si>
  <si>
    <t>Plebiscytowa 38/39, Rydułtowy</t>
  </si>
  <si>
    <t>5677</t>
  </si>
  <si>
    <t>Materzok</t>
  </si>
  <si>
    <t>0013073880</t>
  </si>
  <si>
    <t>+48575455401</t>
  </si>
  <si>
    <t>Sosnowa 18D/11, Rybnik</t>
  </si>
  <si>
    <t>5678</t>
  </si>
  <si>
    <t>Talarek-Kikiela</t>
  </si>
  <si>
    <t>0012945893</t>
  </si>
  <si>
    <t>+48502847292</t>
  </si>
  <si>
    <t>Os.Pawlikowskiego 11G/2, Żory</t>
  </si>
  <si>
    <t>5690</t>
  </si>
  <si>
    <t>R1202-01</t>
  </si>
  <si>
    <t>Donocik</t>
  </si>
  <si>
    <t>0003760078</t>
  </si>
  <si>
    <t>+48726663660</t>
  </si>
  <si>
    <t>Sienna 22, Cieszyn</t>
  </si>
  <si>
    <t>5689</t>
  </si>
  <si>
    <t>Skraba</t>
  </si>
  <si>
    <t>+48736900728</t>
  </si>
  <si>
    <t>Jaworzynka 805, Jaworzynka</t>
  </si>
  <si>
    <t>5688</t>
  </si>
  <si>
    <t>Nuckowska</t>
  </si>
  <si>
    <t>0001985323</t>
  </si>
  <si>
    <t>+48455501334</t>
  </si>
  <si>
    <t>Os.Pawlikowskiego 15G/3, Żory</t>
  </si>
  <si>
    <t>5691</t>
  </si>
  <si>
    <t>Šnajdr</t>
  </si>
  <si>
    <t>René</t>
  </si>
  <si>
    <t>+420 722 215 61</t>
  </si>
  <si>
    <t>Masarykovo náměstí 1/1, 741 01 Nový Jičín</t>
  </si>
  <si>
    <t>5692</t>
  </si>
  <si>
    <t>Bilski</t>
  </si>
  <si>
    <t>0391209927</t>
  </si>
  <si>
    <t>+48663079621</t>
  </si>
  <si>
    <t>Os. Księcia Władysława 7A/6, 44-240 Żory</t>
  </si>
  <si>
    <t>5695</t>
  </si>
  <si>
    <t>Chylinska</t>
  </si>
  <si>
    <t>+48451118009</t>
  </si>
  <si>
    <t>Slaska 25/1, Jastrzebie</t>
  </si>
  <si>
    <t>5694</t>
  </si>
  <si>
    <t>Zygmund</t>
  </si>
  <si>
    <t>+48736162358</t>
  </si>
  <si>
    <t>Czyżowicka 1, Bełsznica</t>
  </si>
  <si>
    <t>5693</t>
  </si>
  <si>
    <t>Baraniecka</t>
  </si>
  <si>
    <t>Aldona</t>
  </si>
  <si>
    <t>+48578573441</t>
  </si>
  <si>
    <t>Turystyczna 51/40, Jastrzebie</t>
  </si>
  <si>
    <t>5696</t>
  </si>
  <si>
    <t>Wierzycka</t>
  </si>
  <si>
    <t>+48730081294</t>
  </si>
  <si>
    <t>Różana 4, Jastrzebie</t>
  </si>
  <si>
    <t>5697</t>
  </si>
  <si>
    <t>Dybala</t>
  </si>
  <si>
    <t>+48508890541</t>
  </si>
  <si>
    <t>Os.Sikorskiego 9F/5, Zory</t>
  </si>
  <si>
    <t>5703</t>
  </si>
  <si>
    <t>Michalek</t>
  </si>
  <si>
    <t>0013114369</t>
  </si>
  <si>
    <t>+48570803317</t>
  </si>
  <si>
    <t>Os. 1000-lecia 8/10, Jastrzębie</t>
  </si>
  <si>
    <t>5701</t>
  </si>
  <si>
    <t>Walega</t>
  </si>
  <si>
    <t>0011705946</t>
  </si>
  <si>
    <t>+48577817637</t>
  </si>
  <si>
    <t>Kilińskiego 36A/6, Rybnik</t>
  </si>
  <si>
    <t>5702</t>
  </si>
  <si>
    <t>Szurman</t>
  </si>
  <si>
    <t>+48668085518</t>
  </si>
  <si>
    <t>Wiejska 41, Cieszyn</t>
  </si>
  <si>
    <t>5704</t>
  </si>
  <si>
    <t>Kurpinski</t>
  </si>
  <si>
    <t>Aleksansder</t>
  </si>
  <si>
    <t>+48692520947</t>
  </si>
  <si>
    <t>Powstancow Slaskich 9, Golkowice</t>
  </si>
  <si>
    <t>5699</t>
  </si>
  <si>
    <t>Grudzien</t>
  </si>
  <si>
    <t>0013035395</t>
  </si>
  <si>
    <t>+48576946025</t>
  </si>
  <si>
    <t>Kolejowa 20b, Gorzyce</t>
  </si>
  <si>
    <t>5698</t>
  </si>
  <si>
    <t>Karpinski</t>
  </si>
  <si>
    <t>+48572670769</t>
  </si>
  <si>
    <t>Stodoly 52/17, Jastrzebie</t>
  </si>
  <si>
    <t>5700</t>
  </si>
  <si>
    <t>Kciuk</t>
  </si>
  <si>
    <t>+48500057934</t>
  </si>
  <si>
    <t>Wodzislawska 15, Jastrzebie</t>
  </si>
  <si>
    <t>5707</t>
  </si>
  <si>
    <t>Dzieciol</t>
  </si>
  <si>
    <t>+48789606507</t>
  </si>
  <si>
    <t>Korfantego 34a/6, Radlin</t>
  </si>
  <si>
    <t>5706</t>
  </si>
  <si>
    <t>0013075141</t>
  </si>
  <si>
    <t>Szpitalna 10, Rydułtowy</t>
  </si>
  <si>
    <t>5705</t>
  </si>
  <si>
    <t>0011766956</t>
  </si>
  <si>
    <t>+48724404108</t>
  </si>
  <si>
    <t>Kokoszycka180E/7, Wodzislaw</t>
  </si>
  <si>
    <t>5708</t>
  </si>
  <si>
    <t>Krasicki</t>
  </si>
  <si>
    <t>0013102772</t>
  </si>
  <si>
    <t>+48698415447</t>
  </si>
  <si>
    <t>Kusocinskiego 2/2, Jastrzebie</t>
  </si>
  <si>
    <t>5711</t>
  </si>
  <si>
    <t>Chwistek</t>
  </si>
  <si>
    <t>0010336744</t>
  </si>
  <si>
    <t>+48507657382</t>
  </si>
  <si>
    <t>Wislanska 21/11, Cieszyn</t>
  </si>
  <si>
    <t>5709</t>
  </si>
  <si>
    <t>R1204-01</t>
  </si>
  <si>
    <t>0003773423</t>
  </si>
  <si>
    <t>+48 690 562 660</t>
  </si>
  <si>
    <t>Pikiety 72, Cieszyn</t>
  </si>
  <si>
    <t>5714</t>
  </si>
  <si>
    <t>0065286491</t>
  </si>
  <si>
    <t>+48514529615</t>
  </si>
  <si>
    <t>5713</t>
  </si>
  <si>
    <t>Kamila</t>
  </si>
  <si>
    <t>+48881211477</t>
  </si>
  <si>
    <t>5710</t>
  </si>
  <si>
    <t>Tworzydło</t>
  </si>
  <si>
    <t>0013096247</t>
  </si>
  <si>
    <t>+48690157189</t>
  </si>
  <si>
    <t>Zielona 17/33, Jastrzębie Zdrój</t>
  </si>
  <si>
    <t>5715</t>
  </si>
  <si>
    <t>+48 536880631</t>
  </si>
  <si>
    <t>Boleslawa Prusa 12/3, Wodzislaw</t>
  </si>
  <si>
    <t>5719</t>
  </si>
  <si>
    <t>Peczyński</t>
  </si>
  <si>
    <t>0391195777</t>
  </si>
  <si>
    <t>+48 733 979 579</t>
  </si>
  <si>
    <t>Gwarków 5, 44-240 Żory</t>
  </si>
  <si>
    <t>5721</t>
  </si>
  <si>
    <t>Wojtowicz</t>
  </si>
  <si>
    <t>0003787630</t>
  </si>
  <si>
    <t>+48572862364</t>
  </si>
  <si>
    <t>Jesionowa 18, Zebrzydowice</t>
  </si>
  <si>
    <t>5720</t>
  </si>
  <si>
    <t>R1206-01</t>
  </si>
  <si>
    <t>0003790525</t>
  </si>
  <si>
    <t>+48513737039</t>
  </si>
  <si>
    <t>5722</t>
  </si>
  <si>
    <t>R1205-01</t>
  </si>
  <si>
    <t>0007418733</t>
  </si>
  <si>
    <t>+48534809053</t>
  </si>
  <si>
    <t>5723</t>
  </si>
  <si>
    <t>R1210-01</t>
  </si>
  <si>
    <t>Rzepinska</t>
  </si>
  <si>
    <t>0007420306</t>
  </si>
  <si>
    <t>+48735936377</t>
  </si>
  <si>
    <t>Gleboka 47/4 Cieszyn</t>
  </si>
  <si>
    <t>5724</t>
  </si>
  <si>
    <t>R1208-01</t>
  </si>
  <si>
    <t>Tetlak</t>
  </si>
  <si>
    <t>0007286408</t>
  </si>
  <si>
    <t>+48780009238</t>
  </si>
  <si>
    <t>Korfanty 6/12, Cieszyn</t>
  </si>
  <si>
    <t>5725</t>
  </si>
  <si>
    <t>R1211-01</t>
  </si>
  <si>
    <t>Plucinska</t>
  </si>
  <si>
    <t>0003810245</t>
  </si>
  <si>
    <t>+48509018641</t>
  </si>
  <si>
    <t>Miodowa 25, Konczyce Male</t>
  </si>
  <si>
    <t>5726</t>
  </si>
  <si>
    <t>R1209-01</t>
  </si>
  <si>
    <t>Skurzok</t>
  </si>
  <si>
    <t>0007286409</t>
  </si>
  <si>
    <t>+48502407081</t>
  </si>
  <si>
    <t>Wrebowa 6c/5, Rybnik</t>
  </si>
  <si>
    <t>5727</t>
  </si>
  <si>
    <t>R1214-01</t>
  </si>
  <si>
    <t>Janczewska</t>
  </si>
  <si>
    <t>Lilianna</t>
  </si>
  <si>
    <t>0006197027</t>
  </si>
  <si>
    <t>+48577113518</t>
  </si>
  <si>
    <t>Kazimierza Przerwy-Tetmajera 191, Rydultowy</t>
  </si>
  <si>
    <t>5732</t>
  </si>
  <si>
    <t>Mika</t>
  </si>
  <si>
    <t>+48725936242</t>
  </si>
  <si>
    <t>Marusarzowny 4a/31, Jastrzebie</t>
  </si>
  <si>
    <t>5728</t>
  </si>
  <si>
    <t>Kosowska</t>
  </si>
  <si>
    <t>+48531875562</t>
  </si>
  <si>
    <t>Sokola 2/5, Żory</t>
  </si>
  <si>
    <t>5739</t>
  </si>
  <si>
    <t>Lizak</t>
  </si>
  <si>
    <t>Amadeusz</t>
  </si>
  <si>
    <t>+48572831880</t>
  </si>
  <si>
    <t>Morcinka 1/14, Cieszyn</t>
  </si>
  <si>
    <t>5745</t>
  </si>
  <si>
    <t>+48513907273</t>
  </si>
  <si>
    <t>Adolfa Wodeckiego 4/19, Jastrzębie-Zdrój</t>
  </si>
  <si>
    <t>5737</t>
  </si>
  <si>
    <t>0391205393</t>
  </si>
  <si>
    <t>+48884901170</t>
  </si>
  <si>
    <t>5741</t>
  </si>
  <si>
    <t>Sygnarska</t>
  </si>
  <si>
    <t>0289821127</t>
  </si>
  <si>
    <t>+48514533502</t>
  </si>
  <si>
    <t>Stawowa 10/9, Cieszyn</t>
  </si>
  <si>
    <t>5740</t>
  </si>
  <si>
    <t>Sliwka</t>
  </si>
  <si>
    <t>+48534196918</t>
  </si>
  <si>
    <t>Puńcowska 38/10, Cieszyn</t>
  </si>
  <si>
    <t>Manderla</t>
  </si>
  <si>
    <t>Radoslaw Pawel</t>
  </si>
  <si>
    <t>Stanislawa Ligonia 8/9, 44-280 Rydultowy</t>
  </si>
  <si>
    <t>5733</t>
  </si>
  <si>
    <t>Miczek</t>
  </si>
  <si>
    <t>0011625739</t>
  </si>
  <si>
    <t>+48574964416</t>
  </si>
  <si>
    <t>Turystyczna 69/36, Jastrzebie</t>
  </si>
  <si>
    <t>5746</t>
  </si>
  <si>
    <t>Jakubski</t>
  </si>
  <si>
    <t>0012980350</t>
  </si>
  <si>
    <t>+48780765287</t>
  </si>
  <si>
    <t>Wyszynskiego 48/15 Wodzislaw</t>
  </si>
  <si>
    <t>5731</t>
  </si>
  <si>
    <t>Rusek</t>
  </si>
  <si>
    <t>0011649791</t>
  </si>
  <si>
    <t>+48793908384</t>
  </si>
  <si>
    <t>Kopernika 3/6 Jastrzebie</t>
  </si>
  <si>
    <t>5730</t>
  </si>
  <si>
    <t>Rzechółka</t>
  </si>
  <si>
    <t>+48570463811</t>
  </si>
  <si>
    <t>Wielkopolska 29/21, Jastrzebie</t>
  </si>
  <si>
    <t>5747</t>
  </si>
  <si>
    <t>Jerc</t>
  </si>
  <si>
    <t>+48734141166</t>
  </si>
  <si>
    <t>Zielona 4/1, Jastrzebie</t>
  </si>
  <si>
    <t>5743</t>
  </si>
  <si>
    <t>Żwirek</t>
  </si>
  <si>
    <t>0001234766</t>
  </si>
  <si>
    <t>+48730156784</t>
  </si>
  <si>
    <t>Ogrodowa 6, Debowiec</t>
  </si>
  <si>
    <t>5744</t>
  </si>
  <si>
    <t>0012978024</t>
  </si>
  <si>
    <t>+48506037140</t>
  </si>
  <si>
    <t>5742</t>
  </si>
  <si>
    <t>0013048529</t>
  </si>
  <si>
    <t>+48507112901</t>
  </si>
  <si>
    <t>Wiejska 3, Cieszyn</t>
  </si>
  <si>
    <t>5748</t>
  </si>
  <si>
    <t>0013039000</t>
  </si>
  <si>
    <t>+48690266590</t>
  </si>
  <si>
    <t>Potokowa 19, Bażanowice</t>
  </si>
  <si>
    <t>5749</t>
  </si>
  <si>
    <t>Wnetrzak</t>
  </si>
  <si>
    <t>0005118120</t>
  </si>
  <si>
    <t>+48536511475</t>
  </si>
  <si>
    <t>Bielska 58/2, Cieszyn</t>
  </si>
  <si>
    <t>5751</t>
  </si>
  <si>
    <t>Wielkopolska 23/21, Jastrzebie</t>
  </si>
  <si>
    <t>5750</t>
  </si>
  <si>
    <t>Lorek</t>
  </si>
  <si>
    <t>+48786149833</t>
  </si>
  <si>
    <t>Bobka 3a/10, Cieszyn</t>
  </si>
  <si>
    <t>5753</t>
  </si>
  <si>
    <t>Plucinski</t>
  </si>
  <si>
    <t>+48882056040</t>
  </si>
  <si>
    <t>Matusiaka 1/7, Pogwizdów</t>
  </si>
  <si>
    <t>5752</t>
  </si>
  <si>
    <t>+48606402361</t>
  </si>
  <si>
    <t>5758</t>
  </si>
  <si>
    <t>Wowra</t>
  </si>
  <si>
    <t>0013002601</t>
  </si>
  <si>
    <t>+48730859824</t>
  </si>
  <si>
    <t>Okrezna 26, Gogolowa</t>
  </si>
  <si>
    <t>5757</t>
  </si>
  <si>
    <t>Skolozubow</t>
  </si>
  <si>
    <t>Paweł</t>
  </si>
  <si>
    <t>0013098850</t>
  </si>
  <si>
    <t>+48739082892</t>
  </si>
  <si>
    <t>1000 lecia 25/2, Jastrzebie</t>
  </si>
  <si>
    <t>5756</t>
  </si>
  <si>
    <t>Holewik</t>
  </si>
  <si>
    <t>0001233740</t>
  </si>
  <si>
    <t>+48505287579</t>
  </si>
  <si>
    <t>os.700 lecia 5c/21, Zory</t>
  </si>
  <si>
    <t>5755</t>
  </si>
  <si>
    <t>5759</t>
  </si>
  <si>
    <t>R1218-01</t>
  </si>
  <si>
    <t>Frydrych</t>
  </si>
  <si>
    <t>0008590020</t>
  </si>
  <si>
    <t>+48504239222</t>
  </si>
  <si>
    <t>Sienkiewicza 30/19, Radlin</t>
  </si>
  <si>
    <t>5760</t>
  </si>
  <si>
    <t>Burdzik</t>
  </si>
  <si>
    <t>+48574716802</t>
  </si>
  <si>
    <t>Pracy 12/2, Raciborz</t>
  </si>
  <si>
    <t>5761</t>
  </si>
  <si>
    <t>R1219-01</t>
  </si>
  <si>
    <t>Kryza</t>
  </si>
  <si>
    <t>Seweryn</t>
  </si>
  <si>
    <t>0005148734</t>
  </si>
  <si>
    <t>+48 736 816 114</t>
  </si>
  <si>
    <t>Os.Ksiecia Wladyslawa 6c/2, Zory</t>
  </si>
  <si>
    <t>5762</t>
  </si>
  <si>
    <t>Korzybska</t>
  </si>
  <si>
    <t>Marzena</t>
  </si>
  <si>
    <t>+48534989267</t>
  </si>
  <si>
    <t>Wielkopolska 12/11, Jastrzebie Zdroj</t>
  </si>
  <si>
    <t>5766</t>
  </si>
  <si>
    <t>Palowski</t>
  </si>
  <si>
    <t>+48518695146</t>
  </si>
  <si>
    <t>Kraszewskiego 1a/1, Cieszyn</t>
  </si>
  <si>
    <t>5765</t>
  </si>
  <si>
    <t>Kotrys</t>
  </si>
  <si>
    <t>+48530925099</t>
  </si>
  <si>
    <t>5767</t>
  </si>
  <si>
    <t>Wachowska</t>
  </si>
  <si>
    <t>0065285552</t>
  </si>
  <si>
    <t>+48665892061</t>
  </si>
  <si>
    <t>Ursyna Niemcewicza 19, Cieszyn</t>
  </si>
  <si>
    <t>5764</t>
  </si>
  <si>
    <t>Górniak</t>
  </si>
  <si>
    <t>Radosław</t>
  </si>
  <si>
    <t>+48723260970</t>
  </si>
  <si>
    <t>Przepilinskiego 46, Cieszyn</t>
  </si>
  <si>
    <t>5768</t>
  </si>
  <si>
    <t>Sokola 2/5, 44-240 Żory</t>
  </si>
  <si>
    <t>Etmanski</t>
  </si>
  <si>
    <t>Zdzislaw</t>
  </si>
  <si>
    <t>0391223117</t>
  </si>
  <si>
    <t>+48573048771</t>
  </si>
  <si>
    <t>Blogocka 30a/33, Cieszyn</t>
  </si>
  <si>
    <t>5770</t>
  </si>
  <si>
    <t>Wierszewski</t>
  </si>
  <si>
    <t>0391228910</t>
  </si>
  <si>
    <t>+48731919989</t>
  </si>
  <si>
    <t>Os. 1000-lecia 7/34, Jastrzębie</t>
  </si>
  <si>
    <t>5771</t>
  </si>
  <si>
    <t>Krukowski</t>
  </si>
  <si>
    <t>0391223020</t>
  </si>
  <si>
    <t>+48508128899</t>
  </si>
  <si>
    <t>Kusocińskiego 9/9, Jastrzębie-Zdrój</t>
  </si>
  <si>
    <t>5769</t>
  </si>
  <si>
    <t>5772</t>
  </si>
  <si>
    <t>Wilczek</t>
  </si>
  <si>
    <t>+48505789866</t>
  </si>
  <si>
    <t>Barbary 15c/2, Rybnik</t>
  </si>
  <si>
    <t>5776</t>
  </si>
  <si>
    <t>0328443817</t>
  </si>
  <si>
    <t>+48782352938</t>
  </si>
  <si>
    <t>5773</t>
  </si>
  <si>
    <t>Sobol</t>
  </si>
  <si>
    <t>+48518808918</t>
  </si>
  <si>
    <t>Gorna 8/9, Cieszyn</t>
  </si>
  <si>
    <t>5774</t>
  </si>
  <si>
    <t>Hek</t>
  </si>
  <si>
    <t>+48667540266</t>
  </si>
  <si>
    <t>5779</t>
  </si>
  <si>
    <t>Matejczyk</t>
  </si>
  <si>
    <t>0348336998</t>
  </si>
  <si>
    <t>+48723862779</t>
  </si>
  <si>
    <t>Os.Ks Wladyslawa 7B/13, Zory</t>
  </si>
  <si>
    <t>5778</t>
  </si>
  <si>
    <t>+48734677372</t>
  </si>
  <si>
    <t>Os. Księcia Władysława 8D/1, 44-240 Żory</t>
  </si>
  <si>
    <t>5777</t>
  </si>
  <si>
    <t>Adamiak</t>
  </si>
  <si>
    <t>0315321941</t>
  </si>
  <si>
    <t>+48799785300</t>
  </si>
  <si>
    <t>Aleja Wojska Polskiego 6a/4, Zory</t>
  </si>
  <si>
    <t>5775</t>
  </si>
  <si>
    <t>Toczek</t>
  </si>
  <si>
    <t>0370061239</t>
  </si>
  <si>
    <t>+48536313799</t>
  </si>
  <si>
    <t>5781</t>
  </si>
  <si>
    <t>Molitor</t>
  </si>
  <si>
    <t>+48576031717</t>
  </si>
  <si>
    <t>Wodzislawska 78a, Zory</t>
  </si>
  <si>
    <t>5780</t>
  </si>
  <si>
    <t>Porwoł</t>
  </si>
  <si>
    <t>0348322706</t>
  </si>
  <si>
    <t>+48880857398</t>
  </si>
  <si>
    <t>Konarskiego 48, Rybnik</t>
  </si>
  <si>
    <t>5785</t>
  </si>
  <si>
    <t>5786</t>
  </si>
  <si>
    <t>Nazarek</t>
  </si>
  <si>
    <t>0013338505</t>
  </si>
  <si>
    <t>+48534745613</t>
  </si>
  <si>
    <t>Kolejowa 11F/2, Zory</t>
  </si>
  <si>
    <t>5783</t>
  </si>
  <si>
    <t>Zalewski</t>
  </si>
  <si>
    <t>+48513641219</t>
  </si>
  <si>
    <t>Turystyczna 61/17, Jastrzebie</t>
  </si>
  <si>
    <t>5784</t>
  </si>
  <si>
    <t>Mikulski</t>
  </si>
  <si>
    <t>+48662672226</t>
  </si>
  <si>
    <t>Wroclawska 43/24, Jastrzebie</t>
  </si>
  <si>
    <t>5782</t>
  </si>
  <si>
    <t>Korcz</t>
  </si>
  <si>
    <t>Wioleta</t>
  </si>
  <si>
    <t>0013067733</t>
  </si>
  <si>
    <t>+48694806447</t>
  </si>
  <si>
    <t>Ks.Jozefa Barona 15, Rudziczka</t>
  </si>
  <si>
    <t>0013092415</t>
  </si>
  <si>
    <t>+48516726113</t>
  </si>
  <si>
    <t>Turystyczna 30/27, Jastrzebie</t>
  </si>
  <si>
    <t>5789</t>
  </si>
  <si>
    <t>Lewandowska</t>
  </si>
  <si>
    <t>+48536720583</t>
  </si>
  <si>
    <t>Chemikow 7/9, Cieszyn</t>
  </si>
  <si>
    <t>5788</t>
  </si>
  <si>
    <t>Cholewik</t>
  </si>
  <si>
    <t>+48537581962</t>
  </si>
  <si>
    <t>Gorna 18/3, Cieszyn</t>
  </si>
  <si>
    <t>5791</t>
  </si>
  <si>
    <t>+48666515852</t>
  </si>
  <si>
    <t>5790</t>
  </si>
  <si>
    <t>+48795955774</t>
  </si>
  <si>
    <t>Zamkowa 18/1, Cieszyn</t>
  </si>
  <si>
    <t>5792</t>
  </si>
  <si>
    <t>0301162128</t>
  </si>
  <si>
    <t>+48881184536</t>
  </si>
  <si>
    <t>Brożka 17/12, Cieszyn</t>
  </si>
  <si>
    <t>5793</t>
  </si>
  <si>
    <t>Śrutarska 29/1, Cieszyn</t>
  </si>
  <si>
    <t>5794</t>
  </si>
  <si>
    <t>0289896655</t>
  </si>
  <si>
    <t>+48731297366</t>
  </si>
  <si>
    <t>Gleboka 35/1, Cieszyn</t>
  </si>
  <si>
    <t>5787</t>
  </si>
  <si>
    <t>Ucher</t>
  </si>
  <si>
    <t>+48731562825</t>
  </si>
  <si>
    <t>Błogocka 30, Cieszyn</t>
  </si>
  <si>
    <t>5796</t>
  </si>
  <si>
    <t>Manieta</t>
  </si>
  <si>
    <t>0013099569</t>
  </si>
  <si>
    <t>+48665604514</t>
  </si>
  <si>
    <t>Gagarina 108/39, Jastrzebie Zdrój</t>
  </si>
  <si>
    <t>5795</t>
  </si>
  <si>
    <t>Bucholc</t>
  </si>
  <si>
    <t>+48573816057</t>
  </si>
  <si>
    <t>Jana Brzechwy 7/3, Jastrzebie Zdrój</t>
  </si>
  <si>
    <t>5797</t>
  </si>
  <si>
    <t>Domalewski</t>
  </si>
  <si>
    <t>+48664407886</t>
  </si>
  <si>
    <t>Zielona 25/32, Jastrzebie Zdrój</t>
  </si>
  <si>
    <t>5798</t>
  </si>
  <si>
    <t>Balcerzak</t>
  </si>
  <si>
    <t>+48739510910</t>
  </si>
  <si>
    <t>Osiedle Powstancow Slaskich 16b/5, Zory</t>
  </si>
  <si>
    <t>5801</t>
  </si>
  <si>
    <t>0005117884</t>
  </si>
  <si>
    <t>+48883405531</t>
  </si>
  <si>
    <t>Motokrosowa 26/19, Cieszyn</t>
  </si>
  <si>
    <t>5800</t>
  </si>
  <si>
    <t>Wiktor</t>
  </si>
  <si>
    <t>0004201445</t>
  </si>
  <si>
    <t>+48579629628</t>
  </si>
  <si>
    <t>Stary Targ 13/2, Cieszyn</t>
  </si>
  <si>
    <t>5802</t>
  </si>
  <si>
    <t>R1225-01</t>
  </si>
  <si>
    <t>Banot</t>
  </si>
  <si>
    <t>0007421727</t>
  </si>
  <si>
    <t>+48786907150</t>
  </si>
  <si>
    <t>Z.Kossak-Szatkowskiej 16b/17, Cieszyn</t>
  </si>
  <si>
    <t>5804</t>
  </si>
  <si>
    <t>Wojtulewicz</t>
  </si>
  <si>
    <t>0005636683</t>
  </si>
  <si>
    <t>+48510630347</t>
  </si>
  <si>
    <t>Boża Góra Prawa 26F/1, Jastrzębie Zdrój</t>
  </si>
  <si>
    <t>5808</t>
  </si>
  <si>
    <t>Sachs</t>
  </si>
  <si>
    <t>0005148851</t>
  </si>
  <si>
    <t>+48784520466</t>
  </si>
  <si>
    <t>Powstancow 17, Czernica</t>
  </si>
  <si>
    <t>5803</t>
  </si>
  <si>
    <t>Sadorski</t>
  </si>
  <si>
    <t>+48730771095</t>
  </si>
  <si>
    <t>Dołki 35, Kokoszyce</t>
  </si>
  <si>
    <t>5805</t>
  </si>
  <si>
    <t>Romak</t>
  </si>
  <si>
    <t>+48575251984</t>
  </si>
  <si>
    <t>Gagarina 108/42, Jastrzebie</t>
  </si>
  <si>
    <t>5806</t>
  </si>
  <si>
    <t>Wyrobek</t>
  </si>
  <si>
    <t>+48453468621</t>
  </si>
  <si>
    <t>Aleja Wojska Polskiego 2, Zory</t>
  </si>
  <si>
    <t>5809</t>
  </si>
  <si>
    <t>+48572322203</t>
  </si>
  <si>
    <t>Pomorska 53/12, Jastrzebie</t>
  </si>
  <si>
    <t>5807</t>
  </si>
  <si>
    <t>Żubert</t>
  </si>
  <si>
    <t>+48889909788</t>
  </si>
  <si>
    <t>Różana 13, Żory</t>
  </si>
  <si>
    <t>5799</t>
  </si>
  <si>
    <t>Krawczyk</t>
  </si>
  <si>
    <t>+48791596571</t>
  </si>
  <si>
    <t>Targowa 25/6, Skoczow</t>
  </si>
  <si>
    <t>Chomeniuk</t>
  </si>
  <si>
    <t>+48790491695</t>
  </si>
  <si>
    <t>Małopolska 12/5, Jastrzebie</t>
  </si>
  <si>
    <t>5812</t>
  </si>
  <si>
    <t>Matera</t>
  </si>
  <si>
    <t>Julia</t>
  </si>
  <si>
    <t>0301172952</t>
  </si>
  <si>
    <t>+48736211142</t>
  </si>
  <si>
    <t>Łowicka 19/5, Jastrzębie</t>
  </si>
  <si>
    <t>5813</t>
  </si>
  <si>
    <t>Gałązka</t>
  </si>
  <si>
    <t>0370051254</t>
  </si>
  <si>
    <t>+48782626320</t>
  </si>
  <si>
    <t>Śląska 18/16, Jastrzębie</t>
  </si>
  <si>
    <t>5810</t>
  </si>
  <si>
    <t>Szmidt</t>
  </si>
  <si>
    <t>+48696828162</t>
  </si>
  <si>
    <t>Os.Sikorskiego 3F/9, Zory</t>
  </si>
  <si>
    <t>5811</t>
  </si>
  <si>
    <t>Musialik</t>
  </si>
  <si>
    <t>5814</t>
  </si>
  <si>
    <t>Wirska</t>
  </si>
  <si>
    <t>+48574174815</t>
  </si>
  <si>
    <t>Stodoły 52/7, Jastrzebie</t>
  </si>
  <si>
    <t>5816</t>
  </si>
  <si>
    <t>Jazłowiecka</t>
  </si>
  <si>
    <t>+48511492191</t>
  </si>
  <si>
    <t>Wielkopolska 2/41, Jastrzebie</t>
  </si>
  <si>
    <t>5815</t>
  </si>
  <si>
    <t>Radlak</t>
  </si>
  <si>
    <t>+48797168066</t>
  </si>
  <si>
    <t>Krzywa 2, Zebrzydowice</t>
  </si>
  <si>
    <t>5817</t>
  </si>
  <si>
    <t>Szarzec</t>
  </si>
  <si>
    <t>000000000</t>
  </si>
  <si>
    <t>+48797722888</t>
  </si>
  <si>
    <t>Skrzyszowska 113, Wodzislaw Slaski</t>
  </si>
  <si>
    <t>5820</t>
  </si>
  <si>
    <t>Hampel</t>
  </si>
  <si>
    <t>+48605547433</t>
  </si>
  <si>
    <t>Turystyczna 2/5, Jastrzebie</t>
  </si>
  <si>
    <t>5818</t>
  </si>
  <si>
    <t>Zarzycki</t>
  </si>
  <si>
    <t>0391229815</t>
  </si>
  <si>
    <t>+48691174157</t>
  </si>
  <si>
    <t>Górny Rynek1/4, Cieszyn</t>
  </si>
  <si>
    <t>5819</t>
  </si>
  <si>
    <t>0391229758</t>
  </si>
  <si>
    <t>+48881575996</t>
  </si>
  <si>
    <t>Gornicza 18c/7, Rybnik</t>
  </si>
  <si>
    <t>5821</t>
  </si>
  <si>
    <t>0391233515</t>
  </si>
  <si>
    <t>+48575123059</t>
  </si>
  <si>
    <t>Polna 25b/7, Pawłowice</t>
  </si>
  <si>
    <t>5822</t>
  </si>
  <si>
    <t>Kniezyk</t>
  </si>
  <si>
    <t>+48797616285</t>
  </si>
  <si>
    <t>Na Wzgorzu 18, Cieszyn</t>
  </si>
  <si>
    <t>5823</t>
  </si>
  <si>
    <t>+48518813125</t>
  </si>
  <si>
    <t>Bielska 14/3, Cieszyn</t>
  </si>
  <si>
    <t>5827</t>
  </si>
  <si>
    <t>Woja</t>
  </si>
  <si>
    <t>Estera</t>
  </si>
  <si>
    <t>+48536094344</t>
  </si>
  <si>
    <t>Rybnicka 13, Sumina</t>
  </si>
  <si>
    <t>5826</t>
  </si>
  <si>
    <t>+48662411316</t>
  </si>
  <si>
    <t>5825</t>
  </si>
  <si>
    <t>Nicolla</t>
  </si>
  <si>
    <t>0000334545</t>
  </si>
  <si>
    <t>+48798036240</t>
  </si>
  <si>
    <t>Piastowska 9/2, Wodzislaw</t>
  </si>
  <si>
    <t>5831</t>
  </si>
  <si>
    <t>Witkowski</t>
  </si>
  <si>
    <t>+48517185346</t>
  </si>
  <si>
    <t>Szymanowskiego 2/24, Cieszyn</t>
  </si>
  <si>
    <t>Al.Wojska Polskiego 2, Żory</t>
  </si>
  <si>
    <t>5829</t>
  </si>
  <si>
    <t>Sitków</t>
  </si>
  <si>
    <t>+48537237709</t>
  </si>
  <si>
    <t>Wroclawska 1/26, Jastrzebie</t>
  </si>
  <si>
    <t>5828</t>
  </si>
  <si>
    <t>+48452375689</t>
  </si>
  <si>
    <t>Czyzowicka 131a/208, Wodzislaw</t>
  </si>
  <si>
    <t>5830</t>
  </si>
  <si>
    <t>Moj</t>
  </si>
  <si>
    <t>0301172918</t>
  </si>
  <si>
    <t>+48793414779</t>
  </si>
  <si>
    <t>Czyzowicka 131a/302, Wodzislaw</t>
  </si>
  <si>
    <t>5824</t>
  </si>
  <si>
    <t>Peczynski</t>
  </si>
  <si>
    <t>0065290642</t>
  </si>
  <si>
    <t>+48733979579</t>
  </si>
  <si>
    <t>Gwarkow 5, Żory</t>
  </si>
  <si>
    <t>5836</t>
  </si>
  <si>
    <t>Banatowski</t>
  </si>
  <si>
    <t>Oliwier</t>
  </si>
  <si>
    <t>+48511694177</t>
  </si>
  <si>
    <t>Objazdowa 18/12, Skoczow</t>
  </si>
  <si>
    <t>5832</t>
  </si>
  <si>
    <t>Stawarski</t>
  </si>
  <si>
    <t>+48791982152</t>
  </si>
  <si>
    <t>Sasankowa 7, Wodzislaw</t>
  </si>
  <si>
    <t>5833</t>
  </si>
  <si>
    <t>0000390726</t>
  </si>
  <si>
    <t>+48667152330</t>
  </si>
  <si>
    <t>Plebiscytowa 36/38, Rydułtowy</t>
  </si>
  <si>
    <t>5834</t>
  </si>
  <si>
    <t>0000415523</t>
  </si>
  <si>
    <t>+48661131885</t>
  </si>
  <si>
    <t>Rzemieślnicza 16, Marklowice</t>
  </si>
  <si>
    <t>5837</t>
  </si>
  <si>
    <t>Madejak</t>
  </si>
  <si>
    <t>+48534452191</t>
  </si>
  <si>
    <t>Wyzwolenia 69, Rogów</t>
  </si>
  <si>
    <t>5835</t>
  </si>
  <si>
    <t>0000000</t>
  </si>
  <si>
    <t>+48570407260</t>
  </si>
  <si>
    <t>3 maja 48b, Rybnik</t>
  </si>
  <si>
    <t>5838</t>
  </si>
  <si>
    <t>Praski</t>
  </si>
  <si>
    <t>00000</t>
  </si>
  <si>
    <t>+48791930053</t>
  </si>
  <si>
    <t>5839</t>
  </si>
  <si>
    <t>Feszter</t>
  </si>
  <si>
    <t>0003740819</t>
  </si>
  <si>
    <t>+48780612370</t>
  </si>
  <si>
    <t>Os.1 Maja 5/2/3, Wodzislaw Slaski</t>
  </si>
  <si>
    <t>5841</t>
  </si>
  <si>
    <t>0003773733</t>
  </si>
  <si>
    <t>+48690095502</t>
  </si>
  <si>
    <t>1 Maja 90, Golkowice</t>
  </si>
  <si>
    <t>5840</t>
  </si>
  <si>
    <t>5843</t>
  </si>
  <si>
    <t>0391228158</t>
  </si>
  <si>
    <t>+48502412071</t>
  </si>
  <si>
    <t>Aleja Jana Pawla II 5/1110, Jastrzebie</t>
  </si>
  <si>
    <t>5842</t>
  </si>
  <si>
    <t>0391228174</t>
  </si>
  <si>
    <t>+48796417548</t>
  </si>
  <si>
    <t>Jasna 9/2, Gorki Slaskie</t>
  </si>
  <si>
    <t>5844</t>
  </si>
  <si>
    <t>Zrąbkowski</t>
  </si>
  <si>
    <t>+48728524179</t>
  </si>
  <si>
    <t>Dojazdowa 7/6, Cieszyn</t>
  </si>
  <si>
    <t>9989</t>
  </si>
  <si>
    <t>Rupek</t>
  </si>
  <si>
    <t>+48574967696</t>
  </si>
  <si>
    <t>Os. XXX-lecia 35/3, Wodzislaw Slaski</t>
  </si>
  <si>
    <t>5847</t>
  </si>
  <si>
    <t>Grobelski</t>
  </si>
  <si>
    <t>0301166726</t>
  </si>
  <si>
    <t>+48517982270</t>
  </si>
  <si>
    <t>Slaska 38/10, Jastrzebie</t>
  </si>
  <si>
    <t>5846</t>
  </si>
  <si>
    <t>Jaros</t>
  </si>
  <si>
    <t>+48731838132</t>
  </si>
  <si>
    <t>Katowicka 11/23, Jastrzebie-Zdroj</t>
  </si>
  <si>
    <t>5848</t>
  </si>
  <si>
    <t>Mikolajczyk</t>
  </si>
  <si>
    <t>+48507938673</t>
  </si>
  <si>
    <t>Chmielna 17, Konczyce Male</t>
  </si>
  <si>
    <t>5849</t>
  </si>
  <si>
    <t>Pluta</t>
  </si>
  <si>
    <t>+48881363101</t>
  </si>
  <si>
    <t>Chopina 22/61, Cieszyn</t>
  </si>
  <si>
    <t>5850</t>
  </si>
  <si>
    <t>+48512572721</t>
  </si>
  <si>
    <t>5845</t>
  </si>
  <si>
    <t>Bałyk</t>
  </si>
  <si>
    <t>+420602943284</t>
  </si>
  <si>
    <t>Wodeckiego 2/15, Jastrzebie</t>
  </si>
  <si>
    <t>5854</t>
  </si>
  <si>
    <t>Krzyzowska</t>
  </si>
  <si>
    <t>+48792951616</t>
  </si>
  <si>
    <t>26 Marca 19/21, Wodzislaw</t>
  </si>
  <si>
    <t>5853</t>
  </si>
  <si>
    <t>0001203479</t>
  </si>
  <si>
    <t>+48793344268</t>
  </si>
  <si>
    <t>Gagarina 110/34, Jastrzebie</t>
  </si>
  <si>
    <t>5855</t>
  </si>
  <si>
    <t>+48733301268</t>
  </si>
  <si>
    <t>Wojska Polskiego 15/11, Pszczyna</t>
  </si>
  <si>
    <t>5859</t>
  </si>
  <si>
    <t>Nowicka</t>
  </si>
  <si>
    <t>+48792009960</t>
  </si>
  <si>
    <t>Warynskiego 8/9, Wodzislaw</t>
  </si>
  <si>
    <t>5863</t>
  </si>
  <si>
    <t>Wasik</t>
  </si>
  <si>
    <t>Izabela</t>
  </si>
  <si>
    <t>+48662313830</t>
  </si>
  <si>
    <t>Malopolska 21/2, Jastrzebie</t>
  </si>
  <si>
    <t>5865</t>
  </si>
  <si>
    <t>Gawin</t>
  </si>
  <si>
    <t>0391190916</t>
  </si>
  <si>
    <t>+48665144508</t>
  </si>
  <si>
    <t>Wandy Pawlik 21/1, Nysa</t>
  </si>
  <si>
    <t>5858</t>
  </si>
  <si>
    <t>Czubat</t>
  </si>
  <si>
    <t>+48731120584</t>
  </si>
  <si>
    <t>Morcinka 10/1, Jastrzebie</t>
  </si>
  <si>
    <t>5860</t>
  </si>
  <si>
    <t>R1231-01</t>
  </si>
  <si>
    <t>0009214814</t>
  </si>
  <si>
    <t>+48881098876</t>
  </si>
  <si>
    <t>5862</t>
  </si>
  <si>
    <t>R1230-01</t>
  </si>
  <si>
    <t>Kmiotek</t>
  </si>
  <si>
    <t>0009293116</t>
  </si>
  <si>
    <t>+48784101546</t>
  </si>
  <si>
    <t>Gorna 8/6, Cieszyn</t>
  </si>
  <si>
    <t>5857</t>
  </si>
  <si>
    <t>Felis</t>
  </si>
  <si>
    <t>Szarych Szeregów 1/8, Jastrzebie</t>
  </si>
  <si>
    <t>5864</t>
  </si>
  <si>
    <t>+48787503360</t>
  </si>
  <si>
    <t>5868</t>
  </si>
  <si>
    <t>Kubik</t>
  </si>
  <si>
    <t>+48508658586</t>
  </si>
  <si>
    <t>5866</t>
  </si>
  <si>
    <t>Grabczynski</t>
  </si>
  <si>
    <t>+48794321731</t>
  </si>
  <si>
    <t>Krotka 3/5, Glogowek</t>
  </si>
  <si>
    <t>5861</t>
  </si>
  <si>
    <t>Adamczyk</t>
  </si>
  <si>
    <t>+48574401555</t>
  </si>
  <si>
    <t>Ofiar Oswiecimskich 19, Gorki Slaskie</t>
  </si>
  <si>
    <t>5867</t>
  </si>
  <si>
    <t>+48505865013</t>
  </si>
  <si>
    <t>Rynek 16/2, Strumien</t>
  </si>
  <si>
    <t>5874</t>
  </si>
  <si>
    <t>Dubiel</t>
  </si>
  <si>
    <t>Danisz</t>
  </si>
  <si>
    <t>+48723306339</t>
  </si>
  <si>
    <t>nábř. Rudoarmějců 897, 742 58 Příbor</t>
  </si>
  <si>
    <t>5870</t>
  </si>
  <si>
    <t>0391215292</t>
  </si>
  <si>
    <t>Szymanowskiego 6/29, Cieszyn</t>
  </si>
  <si>
    <t>5871</t>
  </si>
  <si>
    <t>Możdżeń</t>
  </si>
  <si>
    <t>+48720743015</t>
  </si>
  <si>
    <t>Szybinskiego 1/37, Cieszyn</t>
  </si>
  <si>
    <t>5872</t>
  </si>
  <si>
    <t>Hanáček</t>
  </si>
  <si>
    <t>Marián</t>
  </si>
  <si>
    <t>0328611452</t>
  </si>
  <si>
    <t>+420736604629</t>
  </si>
  <si>
    <t>Polní 1817/18, Český Těšín</t>
  </si>
  <si>
    <t>5873</t>
  </si>
  <si>
    <t>Brzoska</t>
  </si>
  <si>
    <t>Brygida</t>
  </si>
  <si>
    <t>0065275277</t>
  </si>
  <si>
    <t>+48502036920</t>
  </si>
  <si>
    <t>Ks. Tomanka 1/11, Cieszyn</t>
  </si>
  <si>
    <t>5869</t>
  </si>
  <si>
    <t>Ragus</t>
  </si>
  <si>
    <t>0370054292</t>
  </si>
  <si>
    <t>+48</t>
  </si>
  <si>
    <t>os.Pawlikowskiego</t>
  </si>
  <si>
    <t>5875</t>
  </si>
  <si>
    <t>Twardowska</t>
  </si>
  <si>
    <t>+48788502753</t>
  </si>
  <si>
    <t>Pszczynska 294/110, Jastrzebie</t>
  </si>
  <si>
    <t>5876</t>
  </si>
  <si>
    <t>+48507819358</t>
  </si>
  <si>
    <t>Boguslawskiego 5, Cieszyn</t>
  </si>
  <si>
    <t>5856</t>
  </si>
  <si>
    <t>Dobrzanska</t>
  </si>
  <si>
    <t>+48518959309</t>
  </si>
  <si>
    <t>Widok 2/108, Żory</t>
  </si>
  <si>
    <t>5879</t>
  </si>
  <si>
    <t>Roj</t>
  </si>
  <si>
    <t>Jagoda</t>
  </si>
  <si>
    <t>0009274376</t>
  </si>
  <si>
    <t>+48576001969</t>
  </si>
  <si>
    <t>B.Prusa 22/8, Wodzislaw</t>
  </si>
  <si>
    <t>77777777</t>
  </si>
  <si>
    <t>Zemek</t>
  </si>
  <si>
    <t>Dalibor</t>
  </si>
  <si>
    <t>+420737862073</t>
  </si>
  <si>
    <t>5882</t>
  </si>
  <si>
    <t>Wawszczak</t>
  </si>
  <si>
    <t>0065292965</t>
  </si>
  <si>
    <t>+48796763051</t>
  </si>
  <si>
    <t>Os.Powstancow Slaskich 5a/1, Zory</t>
  </si>
  <si>
    <t>5883</t>
  </si>
  <si>
    <t>Bluck</t>
  </si>
  <si>
    <t>+48730933175</t>
  </si>
  <si>
    <t>Pszczynska 292/302, Jastrzebie</t>
  </si>
  <si>
    <t>5888</t>
  </si>
  <si>
    <t>0065283545</t>
  </si>
  <si>
    <t>Turystyczna 19/4, Jastrzebie</t>
  </si>
  <si>
    <t>5887</t>
  </si>
  <si>
    <t>Wysluch-Brzezek</t>
  </si>
  <si>
    <t>0011107652</t>
  </si>
  <si>
    <t>+48511624219</t>
  </si>
  <si>
    <t>Turystyczna 7/14, Jastrzebie</t>
  </si>
  <si>
    <t>5886</t>
  </si>
  <si>
    <t>0065283732</t>
  </si>
  <si>
    <t>+48451608313</t>
  </si>
  <si>
    <t>5889</t>
  </si>
  <si>
    <t>Oszkiel</t>
  </si>
  <si>
    <t>Wiktoria</t>
  </si>
  <si>
    <t>+48888499356</t>
  </si>
  <si>
    <t>Romualda Traugutta 24d, Jastrzebie</t>
  </si>
  <si>
    <t>5890</t>
  </si>
  <si>
    <t>Benigier-Wosz</t>
  </si>
  <si>
    <t>+48883878050</t>
  </si>
  <si>
    <t>Dluga 4,Marklowice</t>
  </si>
  <si>
    <t>5880</t>
  </si>
  <si>
    <t>Mędrela</t>
  </si>
  <si>
    <t>+48797822398</t>
  </si>
  <si>
    <t>Błogocka 30b/9, Cieszyn</t>
  </si>
  <si>
    <t>5881</t>
  </si>
  <si>
    <t>Kaprykowski</t>
  </si>
  <si>
    <t>Konrad</t>
  </si>
  <si>
    <t>+48732529930</t>
  </si>
  <si>
    <t>Hazlaska 6, Cieszyn</t>
  </si>
  <si>
    <t>5893</t>
  </si>
  <si>
    <t>Morgaś</t>
  </si>
  <si>
    <t>+48531249750</t>
  </si>
  <si>
    <t>Os. Sikorskiego 26c/7, Zory</t>
  </si>
  <si>
    <t>5896</t>
  </si>
  <si>
    <t>+48506684869</t>
  </si>
  <si>
    <t>Sklodowskiej 3/1, Myszkow</t>
  </si>
  <si>
    <t>999999</t>
  </si>
  <si>
    <t>1</t>
  </si>
  <si>
    <t>Majcher</t>
  </si>
  <si>
    <t>735177455</t>
  </si>
  <si>
    <t>5895</t>
  </si>
  <si>
    <t>Pitura</t>
  </si>
  <si>
    <t>0391209304</t>
  </si>
  <si>
    <t>+48731223088</t>
  </si>
  <si>
    <t>Plac Dominikanski 4/3, Cieszyn</t>
  </si>
  <si>
    <t>5898</t>
  </si>
  <si>
    <t>Wojtas</t>
  </si>
  <si>
    <t>0391209353</t>
  </si>
  <si>
    <t>+48511831422</t>
  </si>
  <si>
    <t>Szymanowskiego 6/20, Cieszyn</t>
  </si>
  <si>
    <t>5897</t>
  </si>
  <si>
    <t>+48730207296</t>
  </si>
  <si>
    <t>Wyzwolenia 101/6, Zory</t>
  </si>
  <si>
    <t>5902</t>
  </si>
  <si>
    <t>Romanow</t>
  </si>
  <si>
    <t>0003792994</t>
  </si>
  <si>
    <t>+48605363211</t>
  </si>
  <si>
    <t>Lubska 18b, Jasień</t>
  </si>
  <si>
    <t>5901</t>
  </si>
  <si>
    <t>Olejarz</t>
  </si>
  <si>
    <t>+48693224428</t>
  </si>
  <si>
    <t>Os.Sikorskiego 6a/1, 44-244 Zory</t>
  </si>
  <si>
    <t>5899</t>
  </si>
  <si>
    <t>Zebrowski</t>
  </si>
  <si>
    <t>+48789341261</t>
  </si>
  <si>
    <t>Przepilinskiego 48, Cieszyn</t>
  </si>
  <si>
    <t>+48530229909</t>
  </si>
  <si>
    <t>5894</t>
  </si>
  <si>
    <t>Piskorz</t>
  </si>
  <si>
    <t>0000342315</t>
  </si>
  <si>
    <t>+48791399293</t>
  </si>
  <si>
    <t>Kolejowa 17/16, Cieszyn</t>
  </si>
  <si>
    <t>5884</t>
  </si>
  <si>
    <t>+48797767724</t>
  </si>
  <si>
    <t>Musiał</t>
  </si>
  <si>
    <t>+48576611667</t>
  </si>
  <si>
    <t>26 Marca 126/11, Wodzislaw</t>
  </si>
  <si>
    <t>5903</t>
  </si>
  <si>
    <t>Wolny</t>
  </si>
  <si>
    <t>0009200391</t>
  </si>
  <si>
    <t>+48786884906</t>
  </si>
  <si>
    <t>Pukowca 10, Żory</t>
  </si>
  <si>
    <t>5904</t>
  </si>
  <si>
    <t>R-104</t>
  </si>
  <si>
    <t>Hendrych</t>
  </si>
  <si>
    <t>Samuel</t>
  </si>
  <si>
    <t>+420 734 119 38</t>
  </si>
  <si>
    <t>Mankovice 73, Mankovice 742 35</t>
  </si>
  <si>
    <t>5913</t>
  </si>
  <si>
    <t>Jagodzinska</t>
  </si>
  <si>
    <t>+48884055386</t>
  </si>
  <si>
    <t>Kolejowa 11f/3, Zory</t>
  </si>
  <si>
    <t>5912</t>
  </si>
  <si>
    <t>Białas</t>
  </si>
  <si>
    <t>+48577397855</t>
  </si>
  <si>
    <t>Jastrzebia 4/3, Zory</t>
  </si>
  <si>
    <t>5906</t>
  </si>
  <si>
    <t>Rejman</t>
  </si>
  <si>
    <t>0065283358</t>
  </si>
  <si>
    <t>+48789654290</t>
  </si>
  <si>
    <t>Os.XXX-lecia 129/5, Wodzislaw Slaski</t>
  </si>
  <si>
    <t>5907</t>
  </si>
  <si>
    <t>5909</t>
  </si>
  <si>
    <t>Trysko</t>
  </si>
  <si>
    <t>Waldemar</t>
  </si>
  <si>
    <t>573194076</t>
  </si>
  <si>
    <t>5908</t>
  </si>
  <si>
    <t>+48789827632</t>
  </si>
  <si>
    <t>5916</t>
  </si>
  <si>
    <t>Mencik</t>
  </si>
  <si>
    <t>+48884604343</t>
  </si>
  <si>
    <t>Daleka 7/56, Sosnowiec</t>
  </si>
  <si>
    <t>5917</t>
  </si>
  <si>
    <t>Tabor</t>
  </si>
  <si>
    <t>0012125590</t>
  </si>
  <si>
    <t>+48451648262</t>
  </si>
  <si>
    <t>1 Maja 41/6, Jastrzebie</t>
  </si>
  <si>
    <t>5919</t>
  </si>
  <si>
    <t>Smagon</t>
  </si>
  <si>
    <t>0001168813</t>
  </si>
  <si>
    <t>+48731930377</t>
  </si>
  <si>
    <t>Al.Armi Krajowej 31E/8, Zory</t>
  </si>
  <si>
    <t>5921</t>
  </si>
  <si>
    <t>Fabis</t>
  </si>
  <si>
    <t>+48536792907</t>
  </si>
  <si>
    <t>Sarnia 16, Gliwice</t>
  </si>
  <si>
    <t>77777778</t>
  </si>
  <si>
    <t>+420608881304</t>
  </si>
  <si>
    <t>Sirotčí 734/27A, Ostrava -Vítkovice, 703 00</t>
  </si>
  <si>
    <t>5929</t>
  </si>
  <si>
    <t>Bolek</t>
  </si>
  <si>
    <t>0065294149</t>
  </si>
  <si>
    <t>+48533424106</t>
  </si>
  <si>
    <t>Górnicza 13c/5, Pawlowice</t>
  </si>
  <si>
    <t>5925</t>
  </si>
  <si>
    <t>0065294287</t>
  </si>
  <si>
    <t>5924</t>
  </si>
  <si>
    <t>5927</t>
  </si>
  <si>
    <t>Kosut</t>
  </si>
  <si>
    <t>Nicola</t>
  </si>
  <si>
    <t>0065294424</t>
  </si>
  <si>
    <t>+48574930569</t>
  </si>
  <si>
    <t>Wyzwolenia 101, Zory</t>
  </si>
  <si>
    <t>5926</t>
  </si>
  <si>
    <t>Trochowski</t>
  </si>
  <si>
    <t>0065294558</t>
  </si>
  <si>
    <t>+48576838696</t>
  </si>
  <si>
    <t>Os. Powstancow Slaskich 7a/1, Zory</t>
  </si>
  <si>
    <t>5931</t>
  </si>
  <si>
    <t>Luszczynska</t>
  </si>
  <si>
    <t>+48518712485</t>
  </si>
  <si>
    <t>Zielona 21/40, Jastrzebie</t>
  </si>
  <si>
    <t>5930</t>
  </si>
  <si>
    <t>Moszczynska</t>
  </si>
  <si>
    <t>0065279652</t>
  </si>
  <si>
    <t>+48731730873</t>
  </si>
  <si>
    <t>Wiejska 9/8, Jastrzebie</t>
  </si>
  <si>
    <t>5928</t>
  </si>
  <si>
    <t>Morgas</t>
  </si>
  <si>
    <t>0065294690</t>
  </si>
  <si>
    <t>5923</t>
  </si>
  <si>
    <t>X</t>
  </si>
  <si>
    <t>Nawrat</t>
  </si>
  <si>
    <t>+48577090874</t>
  </si>
  <si>
    <t>Glowna 8, Simoradz</t>
  </si>
  <si>
    <t>5922</t>
  </si>
  <si>
    <t>Horbaczewski</t>
  </si>
  <si>
    <t>+48516656442</t>
  </si>
  <si>
    <t>Filasiewicza 9/34, Cieszyn</t>
  </si>
  <si>
    <t>5932</t>
  </si>
  <si>
    <t>Kacprzyk</t>
  </si>
  <si>
    <t>+48570624090</t>
  </si>
  <si>
    <t>Morcinka 3/34, Cieszyn</t>
  </si>
  <si>
    <t>5933</t>
  </si>
  <si>
    <t>Derlacz</t>
  </si>
  <si>
    <t>+48502167295</t>
  </si>
  <si>
    <t>Os. XXX-lecia 56/2, Wodzislaw Slaski</t>
  </si>
  <si>
    <t>5934</t>
  </si>
  <si>
    <t>Garus</t>
  </si>
  <si>
    <t>0065294946</t>
  </si>
  <si>
    <t>+48794039346</t>
  </si>
  <si>
    <t>Kusocinskiego 18/2, Jastrzebie</t>
  </si>
  <si>
    <t>5935</t>
  </si>
  <si>
    <t>Maks</t>
  </si>
  <si>
    <t>+48504361856</t>
  </si>
  <si>
    <t>Wroblewskiego 116, Rydultowy</t>
  </si>
  <si>
    <t>5936</t>
  </si>
  <si>
    <t>Wędzińska</t>
  </si>
  <si>
    <t>+48537571878</t>
  </si>
  <si>
    <t>Wyszynskiego 53/7, Wodzislaw</t>
  </si>
  <si>
    <t>5937</t>
  </si>
  <si>
    <t>+48783462047</t>
  </si>
  <si>
    <t>Os.Sikorskiego 21f/1, 44-244 Zory</t>
  </si>
  <si>
    <t>5938</t>
  </si>
  <si>
    <t>Kolakowski</t>
  </si>
  <si>
    <t>Mieczyslaw</t>
  </si>
  <si>
    <t>+48795832335</t>
  </si>
  <si>
    <t>Pszczynska 292/205, Jastrzebie</t>
  </si>
  <si>
    <t>5939</t>
  </si>
  <si>
    <t>0001483120</t>
  </si>
  <si>
    <t>+48698656785</t>
  </si>
  <si>
    <t>Cieszynska 34A, Konczyce Wielkie</t>
  </si>
  <si>
    <t>5940</t>
  </si>
  <si>
    <t>+48453289051</t>
  </si>
  <si>
    <t>Bielska 163H, Cieszyn</t>
  </si>
  <si>
    <t>Jež</t>
  </si>
  <si>
    <t>Petr</t>
  </si>
  <si>
    <t>+420 603 455 34</t>
  </si>
  <si>
    <t>U Topolů 689/5, Havířov</t>
  </si>
  <si>
    <t>5941</t>
  </si>
  <si>
    <t>Ostaszewska</t>
  </si>
  <si>
    <t>+48452133259</t>
  </si>
  <si>
    <t>Skrajna 6a/7, Cieszyn</t>
  </si>
  <si>
    <t>5942</t>
  </si>
  <si>
    <t>Noszczynska</t>
  </si>
  <si>
    <t>0301162047</t>
  </si>
  <si>
    <t>+48693504104</t>
  </si>
  <si>
    <t>Jana Kochanowskiego 60/1, Zebrzydowice</t>
  </si>
  <si>
    <t>5943</t>
  </si>
  <si>
    <t>Kutko</t>
  </si>
  <si>
    <t>+48782151794</t>
  </si>
  <si>
    <t>Katowicka 6/15, Jastrzebie</t>
  </si>
  <si>
    <t>5944</t>
  </si>
  <si>
    <t>Kubacki</t>
  </si>
  <si>
    <t>+48505853892</t>
  </si>
  <si>
    <t>Graniczna 9, Pogwizdów</t>
  </si>
  <si>
    <t>5946</t>
  </si>
  <si>
    <t>Nabozny</t>
  </si>
  <si>
    <t>x</t>
  </si>
  <si>
    <t>+48576223728</t>
  </si>
  <si>
    <t>1 Maja 41/5, Jastrzebie</t>
  </si>
  <si>
    <t>5948</t>
  </si>
  <si>
    <t>0065286127</t>
  </si>
  <si>
    <t>+48668816576</t>
  </si>
  <si>
    <t>Chabrowa 14, Mszana</t>
  </si>
  <si>
    <t>5947</t>
  </si>
  <si>
    <t>Dusza</t>
  </si>
  <si>
    <t>0065275170</t>
  </si>
  <si>
    <t>+48791933123</t>
  </si>
  <si>
    <t>Ofiar Faszyzmu 15/8, Jastrzebie</t>
  </si>
  <si>
    <t>9898</t>
  </si>
  <si>
    <t>Rudnicki</t>
  </si>
  <si>
    <t>+48514694796</t>
  </si>
  <si>
    <t>Zbigniewa Sobieszczanskiego 7a/17, Szczytno</t>
  </si>
  <si>
    <t>5945</t>
  </si>
  <si>
    <t>Czyzewska</t>
  </si>
  <si>
    <t>+48515560702</t>
  </si>
  <si>
    <t>Dworkowa 8, Cieszyn</t>
  </si>
  <si>
    <t>5949</t>
  </si>
  <si>
    <t>Jablonska</t>
  </si>
  <si>
    <t>+48888328524</t>
  </si>
  <si>
    <t>Lucjana Mendego 4/6, Wodzislaw Slaski</t>
  </si>
  <si>
    <t>5951</t>
  </si>
  <si>
    <t>Pocha</t>
  </si>
  <si>
    <t>+48739086727</t>
  </si>
  <si>
    <t>Srebrna 18a, Cieszyn</t>
  </si>
  <si>
    <t>5954</t>
  </si>
  <si>
    <t>Rybica</t>
  </si>
  <si>
    <t>+48786333526</t>
  </si>
  <si>
    <t>Frysztacka 161/116, Cieszyn</t>
  </si>
  <si>
    <t>5952</t>
  </si>
  <si>
    <t>+48731335624</t>
  </si>
  <si>
    <t>5955</t>
  </si>
  <si>
    <t>Spychalski</t>
  </si>
  <si>
    <t>Bartłomiej</t>
  </si>
  <si>
    <t>+48607628696</t>
  </si>
  <si>
    <t>Kalinowa 11, Godziszow</t>
  </si>
  <si>
    <t>5953</t>
  </si>
  <si>
    <t>Rownicki</t>
  </si>
  <si>
    <t>Wegielna 1/33, Cieszyn</t>
  </si>
  <si>
    <t>5956</t>
  </si>
  <si>
    <t>Amelia</t>
  </si>
  <si>
    <t>0011061850</t>
  </si>
  <si>
    <t>+48531252065</t>
  </si>
  <si>
    <t>Cieszynska 25, Jastrzebie</t>
  </si>
  <si>
    <t>5958</t>
  </si>
  <si>
    <t>Kislowska</t>
  </si>
  <si>
    <t>+48503467695</t>
  </si>
  <si>
    <t>Kurpiowska 8/30, Jastrzebie</t>
  </si>
  <si>
    <t>5957</t>
  </si>
  <si>
    <t>Nikiel</t>
  </si>
  <si>
    <t>+48537541735</t>
  </si>
  <si>
    <t>Mala Laka 17a/30, Cieszyn</t>
  </si>
  <si>
    <t>5959</t>
  </si>
  <si>
    <t>Olszowy</t>
  </si>
  <si>
    <t>+48889316150</t>
  </si>
  <si>
    <t>Szymanowskiego 5/21, Cieszyn</t>
  </si>
  <si>
    <t>5960</t>
  </si>
  <si>
    <t>Pastuszko</t>
  </si>
  <si>
    <t>+48453379462</t>
  </si>
  <si>
    <t>Moniuszki 4/62, Cieszyn</t>
  </si>
  <si>
    <t>5971</t>
  </si>
  <si>
    <t>Grycz</t>
  </si>
  <si>
    <t>+48605735469</t>
  </si>
  <si>
    <t>Podgorska 11, Ustron</t>
  </si>
  <si>
    <t>5964</t>
  </si>
  <si>
    <t>Czuluk</t>
  </si>
  <si>
    <t>+48512976386</t>
  </si>
  <si>
    <t>Parkowa 4/4, Tworkow</t>
  </si>
  <si>
    <t>5969</t>
  </si>
  <si>
    <t>Stachurski</t>
  </si>
  <si>
    <t>Denis</t>
  </si>
  <si>
    <t>0391131041</t>
  </si>
  <si>
    <t>+48694295838</t>
  </si>
  <si>
    <t>Myslowicka 1c/1, Raciborz</t>
  </si>
  <si>
    <t>5966</t>
  </si>
  <si>
    <t>Kapciak</t>
  </si>
  <si>
    <t>0391131129</t>
  </si>
  <si>
    <t>+48570334198</t>
  </si>
  <si>
    <t>Pszczynska 1/6, Raciborz</t>
  </si>
  <si>
    <t>5970</t>
  </si>
  <si>
    <t>0328432918</t>
  </si>
  <si>
    <t>+48796316872</t>
  </si>
  <si>
    <t>5965</t>
  </si>
  <si>
    <t>Szymula</t>
  </si>
  <si>
    <t>0391108354</t>
  </si>
  <si>
    <t>+48511297666</t>
  </si>
  <si>
    <t>Kosciuszki 44/5, Raciborz</t>
  </si>
  <si>
    <t>5963</t>
  </si>
  <si>
    <t>+48668983898</t>
  </si>
  <si>
    <t>Dworcowa 13, Tworkow</t>
  </si>
  <si>
    <t>5968</t>
  </si>
  <si>
    <t>Szmid</t>
  </si>
  <si>
    <t>0391108338</t>
  </si>
  <si>
    <t>+48507875938</t>
  </si>
  <si>
    <t>Sklodowska 15/3, Raciborz</t>
  </si>
  <si>
    <t>5967</t>
  </si>
  <si>
    <t>Masiak</t>
  </si>
  <si>
    <t>0391131065</t>
  </si>
  <si>
    <t>+48536391484</t>
  </si>
  <si>
    <t>Odrzanska 6a/4, Raciborz</t>
  </si>
  <si>
    <t>5962</t>
  </si>
  <si>
    <t>Mielczarek</t>
  </si>
  <si>
    <t>Patrycjusz</t>
  </si>
  <si>
    <t>+48605871538</t>
  </si>
  <si>
    <t>Elizy Orzeszkowej 16/4, Wodzislaw</t>
  </si>
  <si>
    <t>5973</t>
  </si>
  <si>
    <t>Maniak</t>
  </si>
  <si>
    <t>Bogumila</t>
  </si>
  <si>
    <t>+48882366108</t>
  </si>
  <si>
    <t>Boya Zelenskiego 10, Studzionka</t>
  </si>
  <si>
    <t>5976</t>
  </si>
  <si>
    <t>Darłak</t>
  </si>
  <si>
    <t>+48662103287</t>
  </si>
  <si>
    <t>Franciszka Popiolka 10/4, Cieszyn</t>
  </si>
  <si>
    <t>5974</t>
  </si>
  <si>
    <t>0009237261</t>
  </si>
  <si>
    <t>Karpielowka 57, Koscielisko</t>
  </si>
  <si>
    <t>5975</t>
  </si>
  <si>
    <t>Gasienica-Kotelnicka</t>
  </si>
  <si>
    <t>0009271905</t>
  </si>
  <si>
    <t>+48606840092</t>
  </si>
  <si>
    <t>Za Strugiem 20a, Zakopane</t>
  </si>
  <si>
    <t>5977</t>
  </si>
  <si>
    <t>Ciemala</t>
  </si>
  <si>
    <t>0011067976</t>
  </si>
  <si>
    <t>+48881640091</t>
  </si>
  <si>
    <t>Wyspianskiego 28/5, Cieszyn</t>
  </si>
  <si>
    <t>5980</t>
  </si>
  <si>
    <t>Polok</t>
  </si>
  <si>
    <t>0011141874</t>
  </si>
  <si>
    <t>+48729843874</t>
  </si>
  <si>
    <t>Os.Powstancow Slaskich 1f/9, Zory</t>
  </si>
  <si>
    <t>5981</t>
  </si>
  <si>
    <t>Wolak</t>
  </si>
  <si>
    <t>+48570180512</t>
  </si>
  <si>
    <t>Rzeczna 4B, Pielgrzymowice</t>
  </si>
  <si>
    <t>0011079945</t>
  </si>
  <si>
    <t>5993</t>
  </si>
  <si>
    <t>Kokieć</t>
  </si>
  <si>
    <t>+48698426095</t>
  </si>
  <si>
    <t>Opolska 22/34, Jastrzebie</t>
  </si>
  <si>
    <t>5990</t>
  </si>
  <si>
    <t>+48780639506</t>
  </si>
  <si>
    <t>Kosciuszki 1/1, Zory</t>
  </si>
  <si>
    <t>5996</t>
  </si>
  <si>
    <t>+48885245554</t>
  </si>
  <si>
    <t>Zniwna 9, Rybnik</t>
  </si>
  <si>
    <t>5992</t>
  </si>
  <si>
    <t>Madajczyk</t>
  </si>
  <si>
    <t>Adrianna</t>
  </si>
  <si>
    <t>+48698181062</t>
  </si>
  <si>
    <t>Chorzowska 1a/3, Raciborz</t>
  </si>
  <si>
    <t>5983</t>
  </si>
  <si>
    <t>0391130530</t>
  </si>
  <si>
    <t>+48576492463</t>
  </si>
  <si>
    <t>Wiejska 18A, Raciborz</t>
  </si>
  <si>
    <t>5985</t>
  </si>
  <si>
    <t>Eustachiewicz</t>
  </si>
  <si>
    <t>+48572553447</t>
  </si>
  <si>
    <t>5987</t>
  </si>
  <si>
    <t>Mruzek</t>
  </si>
  <si>
    <t>0391105982</t>
  </si>
  <si>
    <t>+48577217870</t>
  </si>
  <si>
    <t>Borucka 20, Bojanow</t>
  </si>
  <si>
    <t>5986</t>
  </si>
  <si>
    <t>Bolik</t>
  </si>
  <si>
    <t>+48693140889</t>
  </si>
  <si>
    <t>Litewska 8/4, Raciborz</t>
  </si>
  <si>
    <t>5982</t>
  </si>
  <si>
    <t>0391130521</t>
  </si>
  <si>
    <t>5997</t>
  </si>
  <si>
    <t>Czajkowski</t>
  </si>
  <si>
    <t>0013048921</t>
  </si>
  <si>
    <t>+48572715410</t>
  </si>
  <si>
    <t>5998</t>
  </si>
  <si>
    <t>Bogumil</t>
  </si>
  <si>
    <t>+48726356662</t>
  </si>
  <si>
    <t>Os.Powstancow Slaskich 4e/24, Zory</t>
  </si>
  <si>
    <t>5989</t>
  </si>
  <si>
    <t>Bryła</t>
  </si>
  <si>
    <t>+48798705001</t>
  </si>
  <si>
    <t>Olszynska 7, Godow</t>
  </si>
  <si>
    <t>5991</t>
  </si>
  <si>
    <t>+48516659539</t>
  </si>
  <si>
    <t>Armii Krajowej 118b, Pszow</t>
  </si>
  <si>
    <t>6000</t>
  </si>
  <si>
    <t>Psota</t>
  </si>
  <si>
    <t>+48725193627</t>
  </si>
  <si>
    <t>Raciborska 61b, Belsznica</t>
  </si>
  <si>
    <t>5999</t>
  </si>
  <si>
    <t>Bourrioux</t>
  </si>
  <si>
    <t>+48508018740</t>
  </si>
  <si>
    <t>Polnocna 12/28, Jastrzebie</t>
  </si>
  <si>
    <t>5984</t>
  </si>
  <si>
    <t>Zieba</t>
  </si>
  <si>
    <t>+48721864022</t>
  </si>
  <si>
    <t>Zamkowa 5/6, Cieszyn</t>
  </si>
  <si>
    <t>6003</t>
  </si>
  <si>
    <t>Pyżalska</t>
  </si>
  <si>
    <t>Gabriela</t>
  </si>
  <si>
    <t>0065280342</t>
  </si>
  <si>
    <t>+48793847779</t>
  </si>
  <si>
    <t>Wielkopolska 12/13, Jastrzebie</t>
  </si>
  <si>
    <t>6002</t>
  </si>
  <si>
    <t>0065295536</t>
  </si>
  <si>
    <t>+48726528185</t>
  </si>
  <si>
    <t>Liburnia 36, Cieszyn</t>
  </si>
  <si>
    <t>6001</t>
  </si>
  <si>
    <t>+48575311504</t>
  </si>
  <si>
    <t>Zrodlana 3, Konczyce Male</t>
  </si>
  <si>
    <t>6004</t>
  </si>
  <si>
    <t>Romanowska</t>
  </si>
  <si>
    <t>+48785925827</t>
  </si>
  <si>
    <t>Bierunska 28/9, Pszczynska</t>
  </si>
  <si>
    <t>6014</t>
  </si>
  <si>
    <t>Juraszczyk</t>
  </si>
  <si>
    <t>0391131867</t>
  </si>
  <si>
    <t>+48534468849</t>
  </si>
  <si>
    <t>Jastrzebia 6/2, Zory</t>
  </si>
  <si>
    <t>6013</t>
  </si>
  <si>
    <t>Sosnowka</t>
  </si>
  <si>
    <t>0065275388</t>
  </si>
  <si>
    <t>+48516446723</t>
  </si>
  <si>
    <t>Os.Powstancow Slaskich 5e/10, Zory</t>
  </si>
  <si>
    <t>6012</t>
  </si>
  <si>
    <t>Wlodkowski</t>
  </si>
  <si>
    <t>+48795924894</t>
  </si>
  <si>
    <t>Os.Ksiecia Wladyslawa 8d/35, Zory</t>
  </si>
  <si>
    <t>6011</t>
  </si>
  <si>
    <t>Popardowska</t>
  </si>
  <si>
    <t>+48728921150</t>
  </si>
  <si>
    <t>Rogowska 15ł, Czyzowice</t>
  </si>
  <si>
    <t>6005</t>
  </si>
  <si>
    <t>Ciężyk</t>
  </si>
  <si>
    <t>0065280517</t>
  </si>
  <si>
    <t>+48881724142</t>
  </si>
  <si>
    <t>Lotnicza 14/1, Raciborz</t>
  </si>
  <si>
    <t>6006</t>
  </si>
  <si>
    <t>Jaskowiak</t>
  </si>
  <si>
    <t>+48537075287</t>
  </si>
  <si>
    <t>Myslowicka 3/10, Raciborz</t>
  </si>
  <si>
    <t>6007</t>
  </si>
  <si>
    <t>Panus</t>
  </si>
  <si>
    <t>6008</t>
  </si>
  <si>
    <t>6009</t>
  </si>
  <si>
    <t>Forec</t>
  </si>
  <si>
    <t>Tymoteusz</t>
  </si>
  <si>
    <t>+48572523161</t>
  </si>
  <si>
    <t>Lotnicza 54/10, Raciborz</t>
  </si>
  <si>
    <t>6010</t>
  </si>
  <si>
    <t>+48605111659</t>
  </si>
  <si>
    <t>Wojska Polskiego 18, Owsiszcze</t>
  </si>
  <si>
    <t>6015</t>
  </si>
  <si>
    <t>Masny</t>
  </si>
  <si>
    <t>+48516769332</t>
  </si>
  <si>
    <t>Warynskiego 20a/5, Raciborz</t>
  </si>
  <si>
    <t>6022</t>
  </si>
  <si>
    <t>+48577264028</t>
  </si>
  <si>
    <t>Kosciuszki 11/7, Raciborz</t>
  </si>
  <si>
    <t>6019</t>
  </si>
  <si>
    <t>Switalski</t>
  </si>
  <si>
    <t>+48795070591</t>
  </si>
  <si>
    <t>6018</t>
  </si>
  <si>
    <t>Izbaner</t>
  </si>
  <si>
    <t>+48695448934</t>
  </si>
  <si>
    <t>Os.Powstancow Slaskich 8a/19, Zory</t>
  </si>
  <si>
    <t>6017</t>
  </si>
  <si>
    <t>Dżegan</t>
  </si>
  <si>
    <t>+48796180867</t>
  </si>
  <si>
    <t>Os.Sikorskiego 21G/3, 44-244 Zory</t>
  </si>
  <si>
    <t>6016</t>
  </si>
  <si>
    <t>Kuklinska</t>
  </si>
  <si>
    <t>+48606926340</t>
  </si>
  <si>
    <t>Szarych Szeregów 9/9, Jastrzebie</t>
  </si>
  <si>
    <t>6020</t>
  </si>
  <si>
    <t>Pastusiak</t>
  </si>
  <si>
    <t>+48725707672</t>
  </si>
  <si>
    <t>Promienna 5/5, Zory</t>
  </si>
  <si>
    <t>6021</t>
  </si>
  <si>
    <t>Zawierucha</t>
  </si>
  <si>
    <t>0065279995</t>
  </si>
  <si>
    <t>+48733180855</t>
  </si>
  <si>
    <t>os.Pawlikowskiego 17c/41, Zory</t>
  </si>
  <si>
    <t>6023</t>
  </si>
  <si>
    <t>Kapela</t>
  </si>
  <si>
    <t>0065275171</t>
  </si>
  <si>
    <t>+48783252414</t>
  </si>
  <si>
    <t>Zorska 24/6, Raciborz</t>
  </si>
  <si>
    <t>6025</t>
  </si>
  <si>
    <t>6026</t>
  </si>
  <si>
    <t>Sliwa</t>
  </si>
  <si>
    <t>+48792005778</t>
  </si>
  <si>
    <t>Tylna 5, Krzanowice</t>
  </si>
  <si>
    <t>6027</t>
  </si>
  <si>
    <t>Kosciuszki 40/2, Raciborz</t>
  </si>
  <si>
    <t>6030</t>
  </si>
  <si>
    <t>Stankiewicz</t>
  </si>
  <si>
    <t>+48578897780</t>
  </si>
  <si>
    <t>Wloska 10/3, Raciborz</t>
  </si>
  <si>
    <t>6028</t>
  </si>
  <si>
    <t>Daniec</t>
  </si>
  <si>
    <t>+48721446737</t>
  </si>
  <si>
    <t>Krotka 1, Siedliska</t>
  </si>
  <si>
    <t>6032</t>
  </si>
  <si>
    <t>Dudek</t>
  </si>
  <si>
    <t>0065275387</t>
  </si>
  <si>
    <t>+48506602725</t>
  </si>
  <si>
    <t>Warynskiego 16/1, Raciborz</t>
  </si>
  <si>
    <t>6024</t>
  </si>
  <si>
    <t>Jaszowski</t>
  </si>
  <si>
    <t>0065283549</t>
  </si>
  <si>
    <t>+48886892768</t>
  </si>
  <si>
    <t>Bosacka 43/17, Raciborz</t>
  </si>
  <si>
    <t>6037</t>
  </si>
  <si>
    <t>+48511076463</t>
  </si>
  <si>
    <t>Nalkowskiej 38, Zory</t>
  </si>
  <si>
    <t>6038</t>
  </si>
  <si>
    <t>Biegun</t>
  </si>
  <si>
    <t>0001221976</t>
  </si>
  <si>
    <t>+48665552680</t>
  </si>
  <si>
    <t>Os.Powstancow Slaskich 7d/2, Zory</t>
  </si>
  <si>
    <t>6036</t>
  </si>
  <si>
    <t>Krysinski</t>
  </si>
  <si>
    <t>+48882323087</t>
  </si>
  <si>
    <t>Morcinka 17/9, Jastrzebie</t>
  </si>
  <si>
    <t>6035</t>
  </si>
  <si>
    <t>Grzegorczyk</t>
  </si>
  <si>
    <t>+48535291688</t>
  </si>
  <si>
    <t>Karola Miarki 59, Rybnik</t>
  </si>
  <si>
    <t>6033</t>
  </si>
  <si>
    <t>0001179690</t>
  </si>
  <si>
    <t>Moniuszki 10a, Jastrzebie</t>
  </si>
  <si>
    <t>6039</t>
  </si>
  <si>
    <t>Piekar</t>
  </si>
  <si>
    <t>+48606546055</t>
  </si>
  <si>
    <t>6040</t>
  </si>
  <si>
    <t>Pilarczyk</t>
  </si>
  <si>
    <t>+48 515 211 839</t>
  </si>
  <si>
    <t>Szymanowskiego 2/22 Cieszyn</t>
  </si>
  <si>
    <t>6043</t>
  </si>
  <si>
    <t>Smorawska</t>
  </si>
  <si>
    <t>+48693589885</t>
  </si>
  <si>
    <t>Opawska 42/5, Raciborz</t>
  </si>
  <si>
    <t>6048</t>
  </si>
  <si>
    <t>6044</t>
  </si>
  <si>
    <t>Orlik</t>
  </si>
  <si>
    <t>+48508824983</t>
  </si>
  <si>
    <t>Kossaka 5, Siedliska</t>
  </si>
  <si>
    <t>6049</t>
  </si>
  <si>
    <t>Bukowski</t>
  </si>
  <si>
    <t>+48783644810</t>
  </si>
  <si>
    <t>6050</t>
  </si>
  <si>
    <t>Kusnierz</t>
  </si>
  <si>
    <t>Jerzy</t>
  </si>
  <si>
    <t>+48537898567</t>
  </si>
  <si>
    <t>Zborowa 5A/1, Raciborz</t>
  </si>
  <si>
    <t>6045</t>
  </si>
  <si>
    <t>+48509027025</t>
  </si>
  <si>
    <t>Zielona 41/44, Jastrzebie-Zdroj</t>
  </si>
  <si>
    <t>6046</t>
  </si>
  <si>
    <t>Jakubczyk</t>
  </si>
  <si>
    <t>0065286309</t>
  </si>
  <si>
    <t>+48572683283</t>
  </si>
  <si>
    <t>Pszczynska 294/36, Jastrzebie-Zdroj</t>
  </si>
  <si>
    <t>6047</t>
  </si>
  <si>
    <t>Fordon</t>
  </si>
  <si>
    <t>Mirella</t>
  </si>
  <si>
    <t>+48731727207</t>
  </si>
  <si>
    <t>Piekna 3, Zory</t>
  </si>
  <si>
    <t>6051</t>
  </si>
  <si>
    <t>Bernarda</t>
  </si>
  <si>
    <t>+48605555138</t>
  </si>
  <si>
    <t>Bosacka 8/10, Raciborz</t>
  </si>
  <si>
    <t>6052</t>
  </si>
  <si>
    <t>0065286656</t>
  </si>
  <si>
    <t>Batz</t>
  </si>
  <si>
    <t>6059</t>
  </si>
  <si>
    <t>Solich</t>
  </si>
  <si>
    <t>Anastazja</t>
  </si>
  <si>
    <t>0391236035</t>
  </si>
  <si>
    <t>+48883225882</t>
  </si>
  <si>
    <t>Zielona 28/20, Jastrzebie</t>
  </si>
  <si>
    <t>6060</t>
  </si>
  <si>
    <t>0391131396</t>
  </si>
  <si>
    <t>+48575069924</t>
  </si>
  <si>
    <t>Zielona 23/20, Jastrzebie</t>
  </si>
  <si>
    <t>6053</t>
  </si>
  <si>
    <t>Sciegaj</t>
  </si>
  <si>
    <t>+48690454598</t>
  </si>
  <si>
    <t>Bielska 58, Cieszyn</t>
  </si>
  <si>
    <t>6054</t>
  </si>
  <si>
    <t>0391112958</t>
  </si>
  <si>
    <t>6055</t>
  </si>
  <si>
    <t>Błaszczok</t>
  </si>
  <si>
    <t>Romuald</t>
  </si>
  <si>
    <t>+48574925216</t>
  </si>
  <si>
    <t>Lwowska 1/16, Raciborz</t>
  </si>
  <si>
    <t>6062</t>
  </si>
  <si>
    <t>Slusarczyk</t>
  </si>
  <si>
    <t>0000368790</t>
  </si>
  <si>
    <t>+48 663 921 204</t>
  </si>
  <si>
    <t>Slaska 57/9, Jastrzebie</t>
  </si>
  <si>
    <t>6063</t>
  </si>
  <si>
    <t>+48 881 666 432</t>
  </si>
  <si>
    <t>Warminska 54/1, Jastrzebie</t>
  </si>
  <si>
    <t>6061</t>
  </si>
  <si>
    <t>Barczykowski</t>
  </si>
  <si>
    <t>0000342080</t>
  </si>
  <si>
    <t>+48501209106</t>
  </si>
  <si>
    <t>Os.Powstancow Slaskich 4e/33, Zory</t>
  </si>
  <si>
    <t>6058</t>
  </si>
  <si>
    <t>Grabka</t>
  </si>
  <si>
    <t>0001197561</t>
  </si>
  <si>
    <t>+48693819022</t>
  </si>
  <si>
    <t>Słoneczna 14/8, Jastrzebie</t>
  </si>
  <si>
    <t>6056</t>
  </si>
  <si>
    <t>Płowucha</t>
  </si>
  <si>
    <t>+48 886 347 707</t>
  </si>
  <si>
    <t>Bielska 45/1, Cieszyn</t>
  </si>
  <si>
    <t>6057</t>
  </si>
  <si>
    <t>+48 669 863 172</t>
  </si>
  <si>
    <t>G.J.Hallera 64, Cieszyn</t>
  </si>
  <si>
    <t>6064</t>
  </si>
  <si>
    <t>Roszczynialski</t>
  </si>
  <si>
    <t>+48453498557</t>
  </si>
  <si>
    <t>os.Pawlikowskiego 7G/3, Zory</t>
  </si>
  <si>
    <t>77777779</t>
  </si>
  <si>
    <t>Šota</t>
  </si>
  <si>
    <t>Milan</t>
  </si>
  <si>
    <t>0391108200</t>
  </si>
  <si>
    <t>+420735865942</t>
  </si>
  <si>
    <t>Oráčova 1326/1 , Ostrava Hrabůvka, 70030</t>
  </si>
  <si>
    <t>77777780</t>
  </si>
  <si>
    <t>0391130838</t>
  </si>
  <si>
    <t>+420605056028</t>
  </si>
  <si>
    <t>Svatoplukova 615/11,Ostrava Zábřeh,70030</t>
  </si>
  <si>
    <t>6070</t>
  </si>
  <si>
    <t>Galecki</t>
  </si>
  <si>
    <t>+48537615692</t>
  </si>
  <si>
    <t>Wyszynskiego 40/20, Wodzislaw</t>
  </si>
  <si>
    <t>6067</t>
  </si>
  <si>
    <t>Piasecka</t>
  </si>
  <si>
    <t>0391108132</t>
  </si>
  <si>
    <t>+48663466791</t>
  </si>
  <si>
    <t>Moniuszki 3/11, Jastrzebie</t>
  </si>
  <si>
    <t>6069</t>
  </si>
  <si>
    <t>Sanna</t>
  </si>
  <si>
    <t>Cristian</t>
  </si>
  <si>
    <t>0391131882</t>
  </si>
  <si>
    <t>+48579184504</t>
  </si>
  <si>
    <t>Ruchu Oporu 13/6, Jastrzebie</t>
  </si>
  <si>
    <t>6068</t>
  </si>
  <si>
    <t>Bulenda</t>
  </si>
  <si>
    <t>+48573972104</t>
  </si>
  <si>
    <t>Polna 5, Marklowice</t>
  </si>
  <si>
    <t>6071</t>
  </si>
  <si>
    <t>Zerzon</t>
  </si>
  <si>
    <t>+48508969316</t>
  </si>
  <si>
    <t>Pomorska 67/11, Jastrzebie</t>
  </si>
  <si>
    <t>6073</t>
  </si>
  <si>
    <t>Bzdon</t>
  </si>
  <si>
    <t>+48728077942</t>
  </si>
  <si>
    <t>Gwarkow 11/30, Żory</t>
  </si>
  <si>
    <t>6077</t>
  </si>
  <si>
    <t>Machnik</t>
  </si>
  <si>
    <t>0391108217</t>
  </si>
  <si>
    <t>+48666314711</t>
  </si>
  <si>
    <t>Os.Ksiecia Wladyslawa 5c/23, Zory</t>
  </si>
  <si>
    <t>6076</t>
  </si>
  <si>
    <t>0391224474</t>
  </si>
  <si>
    <t>+48536836042</t>
  </si>
  <si>
    <t>6084</t>
  </si>
  <si>
    <t>Kopocz</t>
  </si>
  <si>
    <t>+48694344053</t>
  </si>
  <si>
    <t>Katowicka 18/19, Jastrzebie</t>
  </si>
  <si>
    <t>6075</t>
  </si>
  <si>
    <t>Wojtylak</t>
  </si>
  <si>
    <t>+48792299339</t>
  </si>
  <si>
    <t>Cieszynska 43, Goleszow</t>
  </si>
  <si>
    <t>6083</t>
  </si>
  <si>
    <t>Traczyk</t>
  </si>
  <si>
    <t>0009203085</t>
  </si>
  <si>
    <t>+48514309905</t>
  </si>
  <si>
    <t>Gen.Andersa 19/4, Jastrzebie</t>
  </si>
  <si>
    <t>6081</t>
  </si>
  <si>
    <t>Wiczkowski</t>
  </si>
  <si>
    <t>0391234188</t>
  </si>
  <si>
    <t>+48795022466</t>
  </si>
  <si>
    <t>Bohaterow Warszawy 91e, Rydultowy</t>
  </si>
  <si>
    <t>6079</t>
  </si>
  <si>
    <t>0391234203</t>
  </si>
  <si>
    <t>6080</t>
  </si>
  <si>
    <t>Boldys</t>
  </si>
  <si>
    <t>+48794465187</t>
  </si>
  <si>
    <t>1 Maja 13/2, Jastrzebie</t>
  </si>
  <si>
    <t>6082</t>
  </si>
  <si>
    <t>Madej</t>
  </si>
  <si>
    <t>0391234204</t>
  </si>
  <si>
    <t>+48695129671</t>
  </si>
  <si>
    <t>Os.Ksiecia Wladyslawa 10/36, Zory</t>
  </si>
  <si>
    <t>6085</t>
  </si>
  <si>
    <t>+48518061444</t>
  </si>
  <si>
    <t>Os.1000-lecia 1/32, Jastrzebie</t>
  </si>
  <si>
    <t>6086</t>
  </si>
  <si>
    <t>Marcol</t>
  </si>
  <si>
    <t>+48790251075</t>
  </si>
  <si>
    <t>Gornicza 4/5, Jastrzebie</t>
  </si>
  <si>
    <t>6088</t>
  </si>
  <si>
    <t>Paduch</t>
  </si>
  <si>
    <t>+48794099034</t>
  </si>
  <si>
    <t>Os.1000-lecia 14/33, Jastrzebie</t>
  </si>
  <si>
    <t>6087</t>
  </si>
  <si>
    <t>+48571925669</t>
  </si>
  <si>
    <t>Slaska 59/14, Jastrzebie</t>
  </si>
  <si>
    <t>6090</t>
  </si>
  <si>
    <t>6089</t>
  </si>
  <si>
    <t>+48669692111</t>
  </si>
  <si>
    <t>Marusarzowny4a/31, Jastrzebie</t>
  </si>
  <si>
    <t>6093</t>
  </si>
  <si>
    <t>Burkot</t>
  </si>
  <si>
    <t>+48662094819</t>
  </si>
  <si>
    <t>Os.Ksiecia Wladyslawa 9e/21, Zory</t>
  </si>
  <si>
    <t>6091</t>
  </si>
  <si>
    <t>+48577076054</t>
  </si>
  <si>
    <t>6092</t>
  </si>
  <si>
    <t>Dunat</t>
  </si>
  <si>
    <t>+48452418569</t>
  </si>
  <si>
    <t>Os.1000-lecia 13/59, Jastrzebie</t>
  </si>
  <si>
    <t>6094</t>
  </si>
  <si>
    <t>Skurski</t>
  </si>
  <si>
    <t>+48605341003</t>
  </si>
  <si>
    <t>Marusarzowny 33/13, Jastrzebie</t>
  </si>
  <si>
    <t>6097</t>
  </si>
  <si>
    <t>Krzemien</t>
  </si>
  <si>
    <t>+48721748558</t>
  </si>
  <si>
    <t>Rumiankowa 52, Skoczow</t>
  </si>
  <si>
    <t>6096</t>
  </si>
  <si>
    <t>Olejarka</t>
  </si>
  <si>
    <t>+48605309031</t>
  </si>
  <si>
    <t>Sw.Jerzego 11/40, Cieszyn</t>
  </si>
  <si>
    <t>6095</t>
  </si>
  <si>
    <t>6099</t>
  </si>
  <si>
    <t>Koza</t>
  </si>
  <si>
    <t>0391237665</t>
  </si>
  <si>
    <t>+48721740510</t>
  </si>
  <si>
    <t>Pomorska 48/7, Jastrzebie</t>
  </si>
  <si>
    <t>6100</t>
  </si>
  <si>
    <t>Goralczyk</t>
  </si>
  <si>
    <t>0010330306</t>
  </si>
  <si>
    <t>+48732623509</t>
  </si>
  <si>
    <t>Jasna 1/8, Zory</t>
  </si>
  <si>
    <t>6109</t>
  </si>
  <si>
    <t>Skubala</t>
  </si>
  <si>
    <t>0391131898</t>
  </si>
  <si>
    <t>+48883558504</t>
  </si>
  <si>
    <t>Aleja Jana Pawla II 15c/2, Jastrzebie</t>
  </si>
  <si>
    <t>6112</t>
  </si>
  <si>
    <t>Kranc</t>
  </si>
  <si>
    <t>0328604577</t>
  </si>
  <si>
    <t>+48 889 828 470</t>
  </si>
  <si>
    <t>Slaska 15/8, Jastrzebie</t>
  </si>
  <si>
    <t>6111</t>
  </si>
  <si>
    <t>Chudek</t>
  </si>
  <si>
    <t>Edward</t>
  </si>
  <si>
    <t>+48505129931</t>
  </si>
  <si>
    <t>Ofiar Faszyzmu 4/14, Jastrzebie</t>
  </si>
  <si>
    <t>6110</t>
  </si>
  <si>
    <t>Gorka</t>
  </si>
  <si>
    <t>0301162081</t>
  </si>
  <si>
    <t>+48452497412</t>
  </si>
  <si>
    <t>Warminska 1/14, Jastrzebie</t>
  </si>
  <si>
    <t>6107</t>
  </si>
  <si>
    <t>Rakszawski</t>
  </si>
  <si>
    <t>+48782408748</t>
  </si>
  <si>
    <t>Boczna 13/21, Zory</t>
  </si>
  <si>
    <t>6108</t>
  </si>
  <si>
    <t>0391108389</t>
  </si>
  <si>
    <t>6115</t>
  </si>
  <si>
    <t>Wilenska</t>
  </si>
  <si>
    <t>0001930129</t>
  </si>
  <si>
    <t>+48796319495</t>
  </si>
  <si>
    <t>Os.XXX-lecia 64/10, Wodzislaw Slaski</t>
  </si>
  <si>
    <t>77777781</t>
  </si>
  <si>
    <t>Ozarowski</t>
  </si>
  <si>
    <t>Patryk Piotr</t>
  </si>
  <si>
    <t>+420 725 379 38</t>
  </si>
  <si>
    <t>Cieszynskiego 16/22, 80-809 Gdansk</t>
  </si>
  <si>
    <t>6122</t>
  </si>
  <si>
    <t>Kądziołka</t>
  </si>
  <si>
    <t>+48724774633</t>
  </si>
  <si>
    <t>Os.Sikorskiego 25c/40, 44-244 Zory</t>
  </si>
  <si>
    <t>6127</t>
  </si>
  <si>
    <t>Holeksa</t>
  </si>
  <si>
    <t>0005636011</t>
  </si>
  <si>
    <t>+48721476111</t>
  </si>
  <si>
    <t>Piekna 20, Pielgrzymowice</t>
  </si>
  <si>
    <t>6128</t>
  </si>
  <si>
    <t>Minkus</t>
  </si>
  <si>
    <t>+48505389914</t>
  </si>
  <si>
    <t>Katowicka 16/24, Jastrzebie</t>
  </si>
  <si>
    <t>6125</t>
  </si>
  <si>
    <t>Banaś</t>
  </si>
  <si>
    <t>+48532112917</t>
  </si>
  <si>
    <t>Wielkopolska 11/14, Jastrzebie</t>
  </si>
  <si>
    <t>6126</t>
  </si>
  <si>
    <t>Suligowski</t>
  </si>
  <si>
    <t>+48690941228</t>
  </si>
  <si>
    <t>Kurpiowska 15/14, Jastrzebie</t>
  </si>
  <si>
    <t>6124</t>
  </si>
  <si>
    <t>6123</t>
  </si>
  <si>
    <t>Morcinka 6/6, Jastrzebie</t>
  </si>
  <si>
    <t>6118</t>
  </si>
  <si>
    <t>Miłosz</t>
  </si>
  <si>
    <t>+48575374425</t>
  </si>
  <si>
    <t>Slaska 17/38, Jastrzebie</t>
  </si>
  <si>
    <t>6119</t>
  </si>
  <si>
    <t>Małka</t>
  </si>
  <si>
    <t>+48787969219</t>
  </si>
  <si>
    <t>Mikolajczyka 6/15, Radlin</t>
  </si>
  <si>
    <t>6116</t>
  </si>
  <si>
    <t>Wrzosek</t>
  </si>
  <si>
    <t>+48692383409</t>
  </si>
  <si>
    <t>Patriotow 29c/14, Rybnik</t>
  </si>
  <si>
    <t>6117</t>
  </si>
  <si>
    <t>Jedrzejek</t>
  </si>
  <si>
    <t>+48516580628</t>
  </si>
  <si>
    <t>Elsnera 2a/5, Rybnik</t>
  </si>
  <si>
    <t>6129</t>
  </si>
  <si>
    <t>Marcel</t>
  </si>
  <si>
    <t>+48510082659</t>
  </si>
  <si>
    <t>Niedurnego 15a, Pszow</t>
  </si>
  <si>
    <t>6137</t>
  </si>
  <si>
    <t>+48669229276</t>
  </si>
  <si>
    <t>Marusarzowny 12/11, Jastrzebie</t>
  </si>
  <si>
    <t>6136</t>
  </si>
  <si>
    <t>Milota</t>
  </si>
  <si>
    <t>+48667462933</t>
  </si>
  <si>
    <t>Ruchu Oporu 60/7, Jastrzebie</t>
  </si>
  <si>
    <t>6135</t>
  </si>
  <si>
    <t>Slosarczyk</t>
  </si>
  <si>
    <t>+48534567103</t>
  </si>
  <si>
    <t>Gornicza 40/20, Jastrzebie</t>
  </si>
  <si>
    <t>6133</t>
  </si>
  <si>
    <t>Gorska</t>
  </si>
  <si>
    <t>+48669763810</t>
  </si>
  <si>
    <t>Turystyczna 65/44, Jastrzebie</t>
  </si>
  <si>
    <t>6134</t>
  </si>
  <si>
    <t>Szajthauer</t>
  </si>
  <si>
    <t>+48723074148</t>
  </si>
  <si>
    <t>Piastowska 18/4, Wodzislaw</t>
  </si>
  <si>
    <t>6146</t>
  </si>
  <si>
    <t>Kulawiak</t>
  </si>
  <si>
    <t>0001222380</t>
  </si>
  <si>
    <t>+48786996144</t>
  </si>
  <si>
    <t>Gornicza 4, Jastrzebie-Zdroj</t>
  </si>
  <si>
    <t>6147</t>
  </si>
  <si>
    <t>+48794736070</t>
  </si>
  <si>
    <t>Slaska 28/6, Jastrzebie</t>
  </si>
  <si>
    <t>6148</t>
  </si>
  <si>
    <t>Krzysztofowicz</t>
  </si>
  <si>
    <t>0011771651</t>
  </si>
  <si>
    <t>+48694087974</t>
  </si>
  <si>
    <t>Slaska 87/3, Jastrzebie</t>
  </si>
  <si>
    <t>6154</t>
  </si>
  <si>
    <t>Mirkiewicz</t>
  </si>
  <si>
    <t>0011663567</t>
  </si>
  <si>
    <t>+48725276294</t>
  </si>
  <si>
    <t>Os.Gwarkow 11/8, Zory</t>
  </si>
  <si>
    <t>6158</t>
  </si>
  <si>
    <t>0013054321</t>
  </si>
  <si>
    <t>+48 884 843 588</t>
  </si>
  <si>
    <t>Ofiar Faszyzmu 9/7, Jastrzebie</t>
  </si>
  <si>
    <t>6157</t>
  </si>
  <si>
    <t>0011701365</t>
  </si>
  <si>
    <t>+48781461449</t>
  </si>
  <si>
    <t>6145</t>
  </si>
  <si>
    <t>Pierchala</t>
  </si>
  <si>
    <t>+48505339101</t>
  </si>
  <si>
    <t>Korfantego 77/4, Radlin</t>
  </si>
  <si>
    <t>6143</t>
  </si>
  <si>
    <t>Hernik</t>
  </si>
  <si>
    <t>0013039456</t>
  </si>
  <si>
    <t>+48782503255</t>
  </si>
  <si>
    <t>Chrobrego 3/11, Cieszyn</t>
  </si>
  <si>
    <t>6141</t>
  </si>
  <si>
    <t>Kozlowski</t>
  </si>
  <si>
    <t>+48577436091</t>
  </si>
  <si>
    <t>6144</t>
  </si>
  <si>
    <t>+48510921998</t>
  </si>
  <si>
    <t>Bielska 20/8, Cieszyn</t>
  </si>
  <si>
    <t>6140</t>
  </si>
  <si>
    <t>Lelakowski</t>
  </si>
  <si>
    <t>+48510145526</t>
  </si>
  <si>
    <t>Gorny Chodnik 15, Cieszyn</t>
  </si>
  <si>
    <t>6142</t>
  </si>
  <si>
    <t>Zyla</t>
  </si>
  <si>
    <t>+48506592343</t>
  </si>
  <si>
    <t>Zagrodowa 31a, Konczyce Male</t>
  </si>
  <si>
    <t>6139</t>
  </si>
  <si>
    <t>Penkala</t>
  </si>
  <si>
    <t>+48735236071</t>
  </si>
  <si>
    <t>Poprzeczna 4, Zebrzydowice</t>
  </si>
  <si>
    <t>6159</t>
  </si>
  <si>
    <t>Ziolkowski</t>
  </si>
  <si>
    <t>+48514285763</t>
  </si>
  <si>
    <t>Przepilinskiego 44, Cieszyn</t>
  </si>
  <si>
    <t>6150</t>
  </si>
  <si>
    <t>Biadun</t>
  </si>
  <si>
    <t>+48575831612</t>
  </si>
  <si>
    <t>Wielkopolska 14/9, Jastrzebie</t>
  </si>
  <si>
    <t>6151</t>
  </si>
  <si>
    <t>+48 500 183 253</t>
  </si>
  <si>
    <t>Borowicka 39, Golkowice</t>
  </si>
  <si>
    <t>6152</t>
  </si>
  <si>
    <t>+48505592359</t>
  </si>
  <si>
    <t>Zielona 39/33, Jastrzebie</t>
  </si>
  <si>
    <t>6155</t>
  </si>
  <si>
    <t>Bojda</t>
  </si>
  <si>
    <t>+48507400289</t>
  </si>
  <si>
    <t>Karlowicza 5/13, Cieszyn</t>
  </si>
  <si>
    <t>6149</t>
  </si>
  <si>
    <t>Broniek</t>
  </si>
  <si>
    <t>+48739086729</t>
  </si>
  <si>
    <t>6160</t>
  </si>
  <si>
    <t>+48794528960</t>
  </si>
  <si>
    <t>Ranoszka 62a, Jastrzebie</t>
  </si>
  <si>
    <t>6162</t>
  </si>
  <si>
    <t>Sypulek</t>
  </si>
  <si>
    <t>0391237287</t>
  </si>
  <si>
    <t>+48667366660</t>
  </si>
  <si>
    <t>Ślaska 67/2, Jastrzebie</t>
  </si>
  <si>
    <t>6161</t>
  </si>
  <si>
    <t>Dybas</t>
  </si>
  <si>
    <t>+48512041813</t>
  </si>
  <si>
    <t>Piastow 1/11, Jastrzebie</t>
  </si>
  <si>
    <t>6164</t>
  </si>
  <si>
    <t>Haskiewicz</t>
  </si>
  <si>
    <t>+48666679405</t>
  </si>
  <si>
    <t>26 Marca 19/5, Wodzislaw</t>
  </si>
  <si>
    <t>6163</t>
  </si>
  <si>
    <t>Krasa</t>
  </si>
  <si>
    <t>0391237303</t>
  </si>
  <si>
    <t>+48533620675</t>
  </si>
  <si>
    <t>Os.Powstancow Slaskich 3D/29, Zory</t>
  </si>
  <si>
    <t>6166</t>
  </si>
  <si>
    <t>Czekaj</t>
  </si>
  <si>
    <t>0391237166</t>
  </si>
  <si>
    <t>+48537444518</t>
  </si>
  <si>
    <t>Gleboka 26/6, Cieszyn</t>
  </si>
  <si>
    <t>6169</t>
  </si>
  <si>
    <t>Kasprzyk</t>
  </si>
  <si>
    <t>+48733864551</t>
  </si>
  <si>
    <t>Slaska 19/10, Jastrzebie</t>
  </si>
  <si>
    <t>6171</t>
  </si>
  <si>
    <t>0005154857</t>
  </si>
  <si>
    <t>+48792726707</t>
  </si>
  <si>
    <t>Osiedle Sikorskiego 40, Zory</t>
  </si>
  <si>
    <t>6179</t>
  </si>
  <si>
    <t>Mohr</t>
  </si>
  <si>
    <t>0391184758</t>
  </si>
  <si>
    <t>+48883087765</t>
  </si>
  <si>
    <t>Marusarzowny 2/32, Jastrzebie</t>
  </si>
  <si>
    <t>6176</t>
  </si>
  <si>
    <t>Łudzeń</t>
  </si>
  <si>
    <t>+48697932615</t>
  </si>
  <si>
    <t>Slaska 57/7, Jastrzebie</t>
  </si>
  <si>
    <t>6172</t>
  </si>
  <si>
    <t>0391190077</t>
  </si>
  <si>
    <t>6173</t>
  </si>
  <si>
    <t>Brodzki</t>
  </si>
  <si>
    <t>+48796146160</t>
  </si>
  <si>
    <t>Tomanka 1/8, Cieszyn</t>
  </si>
  <si>
    <t>6174</t>
  </si>
  <si>
    <t>Waszut</t>
  </si>
  <si>
    <t>0391186208</t>
  </si>
  <si>
    <t>+48660957195</t>
  </si>
  <si>
    <t>Limanowskiego 9/28, Cieszyn</t>
  </si>
  <si>
    <t>6180</t>
  </si>
  <si>
    <t>Wronka</t>
  </si>
  <si>
    <t>0009182303</t>
  </si>
  <si>
    <t>+48730888191</t>
  </si>
  <si>
    <t>Rolna 2, Konczyce Male</t>
  </si>
  <si>
    <t>6185</t>
  </si>
  <si>
    <t>Pytlak</t>
  </si>
  <si>
    <t>0011112598</t>
  </si>
  <si>
    <t>+48690930102</t>
  </si>
  <si>
    <t>Katowicka 16/10, Jastrzebie</t>
  </si>
  <si>
    <t>6178</t>
  </si>
  <si>
    <t>Sobik</t>
  </si>
  <si>
    <t>0005639434</t>
  </si>
  <si>
    <t>+48665771437</t>
  </si>
  <si>
    <t>Polna 48, Zory</t>
  </si>
  <si>
    <t>6184</t>
  </si>
  <si>
    <t>Sladek</t>
  </si>
  <si>
    <t>0001243906</t>
  </si>
  <si>
    <t>+48663952979</t>
  </si>
  <si>
    <t>Widok 2, Zory</t>
  </si>
  <si>
    <t>6186</t>
  </si>
  <si>
    <t>Dukat</t>
  </si>
  <si>
    <t>0000387796</t>
  </si>
  <si>
    <t>+48784634767</t>
  </si>
  <si>
    <t>6175</t>
  </si>
  <si>
    <t>0001196113</t>
  </si>
  <si>
    <t>6177</t>
  </si>
  <si>
    <t>0000406768</t>
  </si>
  <si>
    <t>6183</t>
  </si>
  <si>
    <t>Antkiewicz</t>
  </si>
  <si>
    <t>0000410531</t>
  </si>
  <si>
    <t>+48609592689</t>
  </si>
  <si>
    <t>Dobra 5, Rydultowy</t>
  </si>
  <si>
    <t>6182</t>
  </si>
  <si>
    <t>0001179233</t>
  </si>
  <si>
    <t>+48609581115</t>
  </si>
  <si>
    <t>Gorniak</t>
  </si>
  <si>
    <t>0001203746</t>
  </si>
  <si>
    <t>6188</t>
  </si>
  <si>
    <t>Szubert</t>
  </si>
  <si>
    <t>0009184184</t>
  </si>
  <si>
    <t>+48697847736</t>
  </si>
  <si>
    <t>Jeczen</t>
  </si>
  <si>
    <t>+48791139452</t>
  </si>
  <si>
    <t>Pszczynska 292/203, Jastrzebie</t>
  </si>
  <si>
    <t>6192</t>
  </si>
  <si>
    <t>Lagiewka</t>
  </si>
  <si>
    <t>+48690238647</t>
  </si>
  <si>
    <t>Warminska 32/2, Jastrzebie</t>
  </si>
  <si>
    <t>6191</t>
  </si>
  <si>
    <t>6189</t>
  </si>
  <si>
    <t>Aleksandrzak</t>
  </si>
  <si>
    <t>0391195625</t>
  </si>
  <si>
    <t>+48696972017</t>
  </si>
  <si>
    <t>Turystyczna 30/15, Jastrzebie</t>
  </si>
  <si>
    <t>6190</t>
  </si>
  <si>
    <t>6193</t>
  </si>
  <si>
    <t>0008567053</t>
  </si>
  <si>
    <t>+48451273928</t>
  </si>
  <si>
    <t>os.Pawlikowskiego 146/9,Zory</t>
  </si>
  <si>
    <t>6196</t>
  </si>
  <si>
    <t>Kwasnica</t>
  </si>
  <si>
    <t>+48663071593</t>
  </si>
  <si>
    <t>Pszczynska 292/312, Jastrzebie</t>
  </si>
  <si>
    <t>6195</t>
  </si>
  <si>
    <t>Baka</t>
  </si>
  <si>
    <t>+48572475445</t>
  </si>
  <si>
    <t>Aleja Jana Pawla II 5/101, Jastrzebie</t>
  </si>
  <si>
    <t>6198</t>
  </si>
  <si>
    <t>Czerniawski</t>
  </si>
  <si>
    <t>0000348164</t>
  </si>
  <si>
    <t>+48570771307</t>
  </si>
  <si>
    <t>Pawla Bobka 3b/4, Cieszyn</t>
  </si>
  <si>
    <t>6194</t>
  </si>
  <si>
    <t>+48507758338</t>
  </si>
  <si>
    <t>6197</t>
  </si>
  <si>
    <t>0001197174</t>
  </si>
  <si>
    <t>+48516752290</t>
  </si>
  <si>
    <t>Mickiewicza 10/4, Cieszyn</t>
  </si>
  <si>
    <t>6199</t>
  </si>
  <si>
    <t>Perlik</t>
  </si>
  <si>
    <t>0391183034</t>
  </si>
  <si>
    <t>+48785189209</t>
  </si>
  <si>
    <t>Kosciuszki 88, Cieszyn</t>
  </si>
  <si>
    <t>6200</t>
  </si>
  <si>
    <t>Gedyk</t>
  </si>
  <si>
    <t>+48603696846</t>
  </si>
  <si>
    <t>Lompy 12/4, Rybnik</t>
  </si>
  <si>
    <t>6202</t>
  </si>
  <si>
    <t>Bialowas</t>
  </si>
  <si>
    <t>+48574661587</t>
  </si>
  <si>
    <t>6203</t>
  </si>
  <si>
    <t>Paluszek</t>
  </si>
  <si>
    <t>+48784427146</t>
  </si>
  <si>
    <t>Warminska 1/15, Jastrzebie</t>
  </si>
  <si>
    <t>6208</t>
  </si>
  <si>
    <t>0009257498</t>
  </si>
  <si>
    <t>+48451601370</t>
  </si>
  <si>
    <t>Slaska 11/7, Jastrzebie</t>
  </si>
  <si>
    <t>6207</t>
  </si>
  <si>
    <t>Kostecko</t>
  </si>
  <si>
    <t>Nela</t>
  </si>
  <si>
    <t>0011601691</t>
  </si>
  <si>
    <t>+48789597451</t>
  </si>
  <si>
    <t>Kurpiowska 2/54, Jastrzebie</t>
  </si>
  <si>
    <t>6201</t>
  </si>
  <si>
    <t>Merkel</t>
  </si>
  <si>
    <t>+48697493372</t>
  </si>
  <si>
    <t>1000-lecia 14/49, Jastrzebie</t>
  </si>
  <si>
    <t>6209</t>
  </si>
  <si>
    <t>Wujczak</t>
  </si>
  <si>
    <t>+48795763284</t>
  </si>
  <si>
    <t>Moniuszki 4/23, Cieszyn</t>
  </si>
  <si>
    <t>6206</t>
  </si>
  <si>
    <t>0013068368</t>
  </si>
  <si>
    <t>+48517946990</t>
  </si>
  <si>
    <t>os. 1000-lecia 15/21, Jastrzebie</t>
  </si>
  <si>
    <t>6205</t>
  </si>
  <si>
    <t>0000415747</t>
  </si>
  <si>
    <t>6210</t>
  </si>
  <si>
    <t>Krówka</t>
  </si>
  <si>
    <t>+48508044694</t>
  </si>
  <si>
    <t>Kusocinskiego 6/8, Jastrzebie</t>
  </si>
  <si>
    <t>6213</t>
  </si>
  <si>
    <t>Wedzony</t>
  </si>
  <si>
    <t>0391223912</t>
  </si>
  <si>
    <t>+48795971330</t>
  </si>
  <si>
    <t>Jastrzebia 7/51, Zory</t>
  </si>
  <si>
    <t>6211</t>
  </si>
  <si>
    <t>6212</t>
  </si>
  <si>
    <t>Ceglarski</t>
  </si>
  <si>
    <t>0006426952</t>
  </si>
  <si>
    <t>+48788116032</t>
  </si>
  <si>
    <t>Sikorskiego 1c/18, Cieszyn</t>
  </si>
  <si>
    <t>6215</t>
  </si>
  <si>
    <t>0005633984</t>
  </si>
  <si>
    <t>+48576119691</t>
  </si>
  <si>
    <t>Os.Ksiecia Wladyslawa 2b/7, Zory</t>
  </si>
  <si>
    <t>6216</t>
  </si>
  <si>
    <t>Zochowski</t>
  </si>
  <si>
    <t>+48512921084</t>
  </si>
  <si>
    <t>Os.1000-lecia 15b/33, Jastrzebie</t>
  </si>
  <si>
    <t>6218</t>
  </si>
  <si>
    <t>Galysa</t>
  </si>
  <si>
    <t>0391211611</t>
  </si>
  <si>
    <t>+48690230358</t>
  </si>
  <si>
    <t>6219</t>
  </si>
  <si>
    <t>0391235957</t>
  </si>
  <si>
    <t>6221</t>
  </si>
  <si>
    <t>Kwieciński</t>
  </si>
  <si>
    <t>0391222002</t>
  </si>
  <si>
    <t>+48664506685</t>
  </si>
  <si>
    <t>Katowicka 63/5, Cieszyn</t>
  </si>
  <si>
    <t>6222</t>
  </si>
  <si>
    <t>Krzep</t>
  </si>
  <si>
    <t>0391213178</t>
  </si>
  <si>
    <t>+48730413771</t>
  </si>
  <si>
    <t>Slaska 25b/4, Rybnik</t>
  </si>
  <si>
    <t>6217</t>
  </si>
  <si>
    <t>6214</t>
  </si>
  <si>
    <t>+48576817522</t>
  </si>
  <si>
    <t>Harcerska 4/19, Jastrzebie</t>
  </si>
  <si>
    <t>6223</t>
  </si>
  <si>
    <t>Mystkowski</t>
  </si>
  <si>
    <t>0391231139</t>
  </si>
  <si>
    <t>+48780723427</t>
  </si>
  <si>
    <t>Halera 2/5, Radlin</t>
  </si>
  <si>
    <t>6220</t>
  </si>
  <si>
    <t>0391210578</t>
  </si>
  <si>
    <t>Gornicza 4, Jastrzebie</t>
  </si>
  <si>
    <t>6227</t>
  </si>
  <si>
    <t>Gorczyca</t>
  </si>
  <si>
    <t>+48886202727</t>
  </si>
  <si>
    <t>Sosnowa 9b, Zory</t>
  </si>
  <si>
    <t>6228</t>
  </si>
  <si>
    <t>+48452394111</t>
  </si>
  <si>
    <t>Wroclawska 9/3, Jastrzebie</t>
  </si>
  <si>
    <t>6226</t>
  </si>
  <si>
    <t>6225</t>
  </si>
  <si>
    <t>Szklorz</t>
  </si>
  <si>
    <t>+48736240341</t>
  </si>
  <si>
    <t>Popiolka 14/2, Cieszyn</t>
  </si>
  <si>
    <t>6224</t>
  </si>
  <si>
    <t>Kurasiewicz</t>
  </si>
  <si>
    <t>+48666529605</t>
  </si>
  <si>
    <t>Jasna 64/2, Jastrzebie</t>
  </si>
  <si>
    <t>6234</t>
  </si>
  <si>
    <t>Zubert</t>
  </si>
  <si>
    <t>Rozana 13, Zory</t>
  </si>
  <si>
    <t>6229</t>
  </si>
  <si>
    <t>6230</t>
  </si>
  <si>
    <t>Jozefowska</t>
  </si>
  <si>
    <t>+48451559191</t>
  </si>
  <si>
    <t>Sciegiennego 29/9, Radlin</t>
  </si>
  <si>
    <t>6231</t>
  </si>
  <si>
    <t>Schuster</t>
  </si>
  <si>
    <t>0001231535</t>
  </si>
  <si>
    <t>+48604948079</t>
  </si>
  <si>
    <t>3 maja 48, Zory</t>
  </si>
  <si>
    <t>6232</t>
  </si>
  <si>
    <t>Placzek</t>
  </si>
  <si>
    <t>+48573672931</t>
  </si>
  <si>
    <t>Os.Ksiecia Wladyslawa 11f/5, Zory</t>
  </si>
  <si>
    <t>6233</t>
  </si>
  <si>
    <t>Kulik</t>
  </si>
  <si>
    <t>Sabina</t>
  </si>
  <si>
    <t>+48726443774</t>
  </si>
  <si>
    <t>Witolda 5a/8, Pszów</t>
  </si>
  <si>
    <t>6235</t>
  </si>
  <si>
    <t>6238</t>
  </si>
  <si>
    <t>Lipinski</t>
  </si>
  <si>
    <t>+48506777920</t>
  </si>
  <si>
    <t>Przepilinskiego 2, Cieszyn</t>
  </si>
  <si>
    <t>6237</t>
  </si>
  <si>
    <t>Sieradzka</t>
  </si>
  <si>
    <t>0012991063</t>
  </si>
  <si>
    <t>+48690948158</t>
  </si>
  <si>
    <t>Szeroka 28/1, Zory</t>
  </si>
  <si>
    <t>6240</t>
  </si>
  <si>
    <t>Mojrzysz</t>
  </si>
  <si>
    <t>+48736374485</t>
  </si>
  <si>
    <t>Jodlowa 66, Wodzislaw</t>
  </si>
  <si>
    <t>6241</t>
  </si>
  <si>
    <t>0391213628</t>
  </si>
  <si>
    <t>6239</t>
  </si>
  <si>
    <t>Kadynski</t>
  </si>
  <si>
    <t>0391213925</t>
  </si>
  <si>
    <t>+48517081015</t>
  </si>
  <si>
    <t>Lowicka 3/14, Jastrzebie</t>
  </si>
  <si>
    <t>6242</t>
  </si>
  <si>
    <t>Bublewicz</t>
  </si>
  <si>
    <t>+48507442050</t>
  </si>
  <si>
    <t>Morcinka 17b/19, Rybnik</t>
  </si>
  <si>
    <t>6244</t>
  </si>
  <si>
    <t>+48725607543</t>
  </si>
  <si>
    <t>Sw.Jerzego 11/31, Cieszyn</t>
  </si>
  <si>
    <t>6243</t>
  </si>
  <si>
    <t>0001179795</t>
  </si>
  <si>
    <t>+48881419769</t>
  </si>
  <si>
    <t>Os.Powstancow Slaskich 8g/9, Zory</t>
  </si>
  <si>
    <t>6246</t>
  </si>
  <si>
    <t>Tomczyk</t>
  </si>
  <si>
    <t>0009311279</t>
  </si>
  <si>
    <t>+48451608033</t>
  </si>
  <si>
    <t>Kurpiowska 8/2, Jastrzebie</t>
  </si>
  <si>
    <t>6252</t>
  </si>
  <si>
    <t>Szafranski</t>
  </si>
  <si>
    <t>+48784855029</t>
  </si>
  <si>
    <t>Sokola 2/9, Zory</t>
  </si>
  <si>
    <t>6251</t>
  </si>
  <si>
    <t>Hanna</t>
  </si>
  <si>
    <t>0000364325</t>
  </si>
  <si>
    <t>+48576676104</t>
  </si>
  <si>
    <t>6257</t>
  </si>
  <si>
    <t>Kolpowski</t>
  </si>
  <si>
    <t>Rozalio</t>
  </si>
  <si>
    <t>+48578590444</t>
  </si>
  <si>
    <t>Opolska 18/9, Jastrzebie</t>
  </si>
  <si>
    <t>6256</t>
  </si>
  <si>
    <t>Kobus</t>
  </si>
  <si>
    <t>+48796762111</t>
  </si>
  <si>
    <t>Os.1 Maja 32/25, Wodzislaw Slaski</t>
  </si>
  <si>
    <t>6255</t>
  </si>
  <si>
    <t>Delowicz</t>
  </si>
  <si>
    <t>+48536353827</t>
  </si>
  <si>
    <t>Marusarzowny 8/1, Jastrzebie</t>
  </si>
  <si>
    <t>6254</t>
  </si>
  <si>
    <t>0400305869</t>
  </si>
  <si>
    <t>+48601954188</t>
  </si>
  <si>
    <t>Gornoslaska 50, Rybnik</t>
  </si>
  <si>
    <t>6247</t>
  </si>
  <si>
    <t>Wilk</t>
  </si>
  <si>
    <t>+48516029992</t>
  </si>
  <si>
    <t>Jastrzebska 21, Hazlach</t>
  </si>
  <si>
    <t>6248</t>
  </si>
  <si>
    <t>+48509026261</t>
  </si>
  <si>
    <t>Kopernika 2/2, Jastrzebie</t>
  </si>
  <si>
    <t>6253</t>
  </si>
  <si>
    <t>Lichacz</t>
  </si>
  <si>
    <t>0400348206</t>
  </si>
  <si>
    <t>+48451612227</t>
  </si>
  <si>
    <t>Gagarina 110/40, Jastrzebie</t>
  </si>
  <si>
    <t>6249</t>
  </si>
  <si>
    <t>Kroczek</t>
  </si>
  <si>
    <t>0011732794</t>
  </si>
  <si>
    <t>+48781775413</t>
  </si>
  <si>
    <t>Os.Powstancow Slaskich 11h/8, Zory</t>
  </si>
  <si>
    <t>6262</t>
  </si>
  <si>
    <t>Szwajnoch</t>
  </si>
  <si>
    <t>+48510796875</t>
  </si>
  <si>
    <t>Slaska 36/28, Jastrzebie</t>
  </si>
  <si>
    <t>6263</t>
  </si>
  <si>
    <t>Ks.Wladyslawa 7a/6, Zory</t>
  </si>
  <si>
    <t>6259</t>
  </si>
  <si>
    <t>Bilicer</t>
  </si>
  <si>
    <t>+48536393632</t>
  </si>
  <si>
    <t>Szymanowskiego 6/30, Cieszyn</t>
  </si>
  <si>
    <t>6260</t>
  </si>
  <si>
    <t>Iwanek</t>
  </si>
  <si>
    <t>+48511332102</t>
  </si>
  <si>
    <t>Plac Sw.Krzyza 1/14, Cieszyn</t>
  </si>
  <si>
    <t>6250</t>
  </si>
  <si>
    <t>Bąk</t>
  </si>
  <si>
    <t>0000345769</t>
  </si>
  <si>
    <t>+48798832308</t>
  </si>
  <si>
    <t>Kolejowa 38a/6, Rybnik</t>
  </si>
  <si>
    <t>6261</t>
  </si>
  <si>
    <t>+48727060539</t>
  </si>
  <si>
    <t>Marusarzowny 23/4, Jastrzebie</t>
  </si>
  <si>
    <t>6265</t>
  </si>
  <si>
    <t>Heksel</t>
  </si>
  <si>
    <t>+48731447754</t>
  </si>
  <si>
    <t>Krakowska 3/25, Jastrzebie</t>
  </si>
  <si>
    <t>6268</t>
  </si>
  <si>
    <t>Dabrowski</t>
  </si>
  <si>
    <t>+48603463618</t>
  </si>
  <si>
    <t>Katowicka 1/40, Jastrzebie</t>
  </si>
  <si>
    <t>6269</t>
  </si>
  <si>
    <t>Solis</t>
  </si>
  <si>
    <t>0400199798</t>
  </si>
  <si>
    <t>+48504939131</t>
  </si>
  <si>
    <t>Kakolowa 12, Wodzislaw</t>
  </si>
  <si>
    <t>6267</t>
  </si>
  <si>
    <t>Waszynski</t>
  </si>
  <si>
    <t>+48731508811</t>
  </si>
  <si>
    <t>Kraszewskiego 16, Jastrzebie</t>
  </si>
  <si>
    <t>6274</t>
  </si>
  <si>
    <t>0010265609</t>
  </si>
  <si>
    <t>+48533437772</t>
  </si>
  <si>
    <t>Moniuszki 11/1, Jastrzebie</t>
  </si>
  <si>
    <t>6273</t>
  </si>
  <si>
    <t>Prokop</t>
  </si>
  <si>
    <t>+48736338423</t>
  </si>
  <si>
    <t>Matejki 2, Kaczyce</t>
  </si>
  <si>
    <t>6272</t>
  </si>
  <si>
    <t>6275</t>
  </si>
  <si>
    <t>Adamczewski</t>
  </si>
  <si>
    <t>+48570666458</t>
  </si>
  <si>
    <t>Pokoju 2/15, Wodzislaw</t>
  </si>
  <si>
    <t>6277</t>
  </si>
  <si>
    <t>+48691627699</t>
  </si>
  <si>
    <t>Miodowa 1/26, Jastrzebie</t>
  </si>
  <si>
    <t>6276</t>
  </si>
  <si>
    <t>Matyszewski</t>
  </si>
  <si>
    <t>+48792655597</t>
  </si>
  <si>
    <t>Gagarina 110/9, Jastrzebie</t>
  </si>
  <si>
    <t>6278</t>
  </si>
  <si>
    <t>Stasiowski</t>
  </si>
  <si>
    <t>+48793038005</t>
  </si>
  <si>
    <t>Szarych Szeregów 1/2, Jastrzebie</t>
  </si>
  <si>
    <t>6280</t>
  </si>
  <si>
    <t>Skapski</t>
  </si>
  <si>
    <t>Milosz</t>
  </si>
  <si>
    <t>0001220760</t>
  </si>
  <si>
    <t>+48794168530</t>
  </si>
  <si>
    <t>Promienna 5/205, Zory</t>
  </si>
  <si>
    <t>6281</t>
  </si>
  <si>
    <t>+48503669548</t>
  </si>
  <si>
    <t>6284</t>
  </si>
  <si>
    <t>Godlewski</t>
  </si>
  <si>
    <t>+48516225468</t>
  </si>
  <si>
    <t>Kurpiowska 4/31, Jastrzebie</t>
  </si>
  <si>
    <t>6285</t>
  </si>
  <si>
    <t>Koziol</t>
  </si>
  <si>
    <t>0001213224</t>
  </si>
  <si>
    <t>6286</t>
  </si>
  <si>
    <t>+48511159873</t>
  </si>
  <si>
    <t>Slaska 59/10, Jastrzebie</t>
  </si>
  <si>
    <t>6282</t>
  </si>
  <si>
    <t>0400329390</t>
  </si>
  <si>
    <t>+48573957841</t>
  </si>
  <si>
    <t>6279</t>
  </si>
  <si>
    <t>Pojda</t>
  </si>
  <si>
    <t>+420722532239</t>
  </si>
  <si>
    <t>Rostkow 17, Jastrzebie</t>
  </si>
  <si>
    <t>6283</t>
  </si>
  <si>
    <t>Cichy</t>
  </si>
  <si>
    <t>0400329280</t>
  </si>
  <si>
    <t>+48888170348</t>
  </si>
  <si>
    <t>Motokrosowa 28/17, Cieszyn</t>
  </si>
  <si>
    <t>Stavinohová</t>
  </si>
  <si>
    <t>703520121</t>
  </si>
  <si>
    <t>Slovenského národního povstání 808/8</t>
  </si>
  <si>
    <t>Šedivý</t>
  </si>
  <si>
    <t>722370909</t>
  </si>
  <si>
    <t>U Tesly 1172/1, Havířov, 736 01</t>
  </si>
  <si>
    <t>Palička</t>
  </si>
  <si>
    <t>723257849</t>
  </si>
  <si>
    <t>Vančurova 2, Havířov, 736 01</t>
  </si>
  <si>
    <t>s</t>
  </si>
  <si>
    <t>774088455</t>
  </si>
  <si>
    <t>Palackého 483</t>
  </si>
  <si>
    <t>Stalmach</t>
  </si>
  <si>
    <t>Palackého 483, Třinec</t>
  </si>
  <si>
    <t>6292</t>
  </si>
  <si>
    <t>Gawel</t>
  </si>
  <si>
    <t>+48785727722</t>
  </si>
  <si>
    <t>Frysztacka 135, Cieszyn</t>
  </si>
  <si>
    <t>6295</t>
  </si>
  <si>
    <t>Jaworska</t>
  </si>
  <si>
    <t>0000381612</t>
  </si>
  <si>
    <t>+48579388680</t>
  </si>
  <si>
    <t>Warminska 36/8, Jastrzebie</t>
  </si>
  <si>
    <t>6294</t>
  </si>
  <si>
    <t>Talaga</t>
  </si>
  <si>
    <t>+48797109156</t>
  </si>
  <si>
    <t>Turystyczna 26/29, Jastrzebie</t>
  </si>
  <si>
    <t>6293</t>
  </si>
  <si>
    <t>Gach</t>
  </si>
  <si>
    <t>+48577890707</t>
  </si>
  <si>
    <t>Wegielna 3/43, Cieszyn</t>
  </si>
  <si>
    <t>Kočko</t>
  </si>
  <si>
    <t>775672666</t>
  </si>
  <si>
    <t>Sirotčí 582/45, Ostrava</t>
  </si>
  <si>
    <t>6300</t>
  </si>
  <si>
    <t>Nicewicz</t>
  </si>
  <si>
    <t>+48510182372</t>
  </si>
  <si>
    <t>Zielona 43/22, Jastrzebie</t>
  </si>
  <si>
    <t>6299</t>
  </si>
  <si>
    <t>6304</t>
  </si>
  <si>
    <t>Rozanski</t>
  </si>
  <si>
    <t>+48508530591</t>
  </si>
  <si>
    <t>Osiedle 1000-lecia 7/43, Jastrzebie</t>
  </si>
  <si>
    <t>6302</t>
  </si>
  <si>
    <t>Maciazek</t>
  </si>
  <si>
    <t>+48515476799</t>
  </si>
  <si>
    <t>Przemyslawa 1a/8, Wodzislaw</t>
  </si>
  <si>
    <t>6301</t>
  </si>
  <si>
    <t>Bytomski</t>
  </si>
  <si>
    <t>+48576239294</t>
  </si>
  <si>
    <t>Kwiatowa 10/3, Radlin</t>
  </si>
  <si>
    <t>6297</t>
  </si>
  <si>
    <t>Kluska</t>
  </si>
  <si>
    <t>+48792004788</t>
  </si>
  <si>
    <t>Wielkopolska 67/37, Jastrzebie</t>
  </si>
  <si>
    <t>6298</t>
  </si>
  <si>
    <t>+48792025702</t>
  </si>
  <si>
    <t>Wielkopolska 55/32, Jastrzebie</t>
  </si>
  <si>
    <t>6303</t>
  </si>
  <si>
    <t>Danilewski</t>
  </si>
  <si>
    <t>+48792374010</t>
  </si>
  <si>
    <t>Osiedle 1000-lecia 6/12, Jastrzebie</t>
  </si>
  <si>
    <t>6305</t>
  </si>
  <si>
    <t>Badtke</t>
  </si>
  <si>
    <t>+48519657812</t>
  </si>
  <si>
    <t>Osiedle 1000-lecia 14, Jastrzebie</t>
  </si>
  <si>
    <t>6306</t>
  </si>
  <si>
    <t>Pyszynska</t>
  </si>
  <si>
    <t>Mgdalena</t>
  </si>
  <si>
    <t>0004951033</t>
  </si>
  <si>
    <t>+48889930901</t>
  </si>
  <si>
    <t>Piaskowa 11/8, Suszec</t>
  </si>
  <si>
    <t>Mitrenga</t>
  </si>
  <si>
    <t>Karel</t>
  </si>
  <si>
    <t>792363009</t>
  </si>
  <si>
    <t>Palackého 445/2, Třinec</t>
  </si>
  <si>
    <t>6314</t>
  </si>
  <si>
    <t>6317</t>
  </si>
  <si>
    <t>Kordowski</t>
  </si>
  <si>
    <t>0400223833</t>
  </si>
  <si>
    <t>+48570158521</t>
  </si>
  <si>
    <t>Os.Ksiecia Wladyslawa 7f/1a, Zory</t>
  </si>
  <si>
    <t>Hamplová</t>
  </si>
  <si>
    <t>Helena</t>
  </si>
  <si>
    <t>732224534</t>
  </si>
  <si>
    <t>F.S.Tůmy 1236, Orlová</t>
  </si>
  <si>
    <t>6316</t>
  </si>
  <si>
    <t>Melkowski</t>
  </si>
  <si>
    <t>+48694838569</t>
  </si>
  <si>
    <t>Kraszewskiego 1a/17, Cieszyn</t>
  </si>
  <si>
    <t>Čičák</t>
  </si>
  <si>
    <t>730684028</t>
  </si>
  <si>
    <t>Bratranců Veverkových 2805/2</t>
  </si>
  <si>
    <t>Samko</t>
  </si>
  <si>
    <t>775168489</t>
  </si>
  <si>
    <t>Na Vyhlídce 1223/12</t>
  </si>
  <si>
    <t>Konečný</t>
  </si>
  <si>
    <t>Jaroslav</t>
  </si>
  <si>
    <t>734566327</t>
  </si>
  <si>
    <t>Náměstí Budovatelů 1306/29, Karviná</t>
  </si>
  <si>
    <t>6315</t>
  </si>
  <si>
    <t>Galuszka</t>
  </si>
  <si>
    <t>+48797342391</t>
  </si>
  <si>
    <t>Spacerowa 3, Konczyce Male</t>
  </si>
  <si>
    <t>6313</t>
  </si>
  <si>
    <t>Sierny</t>
  </si>
  <si>
    <t>0001170404</t>
  </si>
  <si>
    <t>+48726612146</t>
  </si>
  <si>
    <t>Os.Poludnie 49a/7, Rybnik</t>
  </si>
  <si>
    <t>6318</t>
  </si>
  <si>
    <t>Rudnicka</t>
  </si>
  <si>
    <t>0009316348</t>
  </si>
  <si>
    <t>+48696125355</t>
  </si>
  <si>
    <t>Marusarzowny 39/12, Jastrzebie</t>
  </si>
  <si>
    <t>6320</t>
  </si>
  <si>
    <t>Burek</t>
  </si>
  <si>
    <t>0001197807</t>
  </si>
  <si>
    <t>+48796473850</t>
  </si>
  <si>
    <t>Wielkopolska 65/15, Jastrzebie</t>
  </si>
  <si>
    <t>6321</t>
  </si>
  <si>
    <t>Wroblewski</t>
  </si>
  <si>
    <t>+48728495165</t>
  </si>
  <si>
    <t>Armii Krajowej 84d/4, Jastrzebie</t>
  </si>
  <si>
    <t>6319</t>
  </si>
  <si>
    <t>Siwierski</t>
  </si>
  <si>
    <t>+48792749001</t>
  </si>
  <si>
    <t>Os.Powstancow Slaskich 3c/31, Zory</t>
  </si>
  <si>
    <t>6322</t>
  </si>
  <si>
    <t>Wietecha</t>
  </si>
  <si>
    <t>Dagmara</t>
  </si>
  <si>
    <t>0004502309</t>
  </si>
  <si>
    <t>+48575300693</t>
  </si>
  <si>
    <t>6324</t>
  </si>
  <si>
    <t>Trybus</t>
  </si>
  <si>
    <t>+48506463448</t>
  </si>
  <si>
    <t>Sygnaly 15b, Rybnik</t>
  </si>
  <si>
    <t>6327</t>
  </si>
  <si>
    <t>Jarosz</t>
  </si>
  <si>
    <t>0400209523</t>
  </si>
  <si>
    <t>+48797036388</t>
  </si>
  <si>
    <t>os.Pawlikowskiego 16a/19, Zory</t>
  </si>
  <si>
    <t>6329</t>
  </si>
  <si>
    <t>0400218349</t>
  </si>
  <si>
    <t>+48793183757</t>
  </si>
  <si>
    <t>6328</t>
  </si>
  <si>
    <t>Wasieloff</t>
  </si>
  <si>
    <t>+48539057520</t>
  </si>
  <si>
    <t>Zlote Lany 12/1, Zory</t>
  </si>
  <si>
    <t>6326</t>
  </si>
  <si>
    <t>Powstancow Slaskich 3c/31, Zory</t>
  </si>
  <si>
    <t>6330</t>
  </si>
  <si>
    <t>Juszczak</t>
  </si>
  <si>
    <t>Jadwiga</t>
  </si>
  <si>
    <t>+48605965193</t>
  </si>
  <si>
    <t>3 Maja 11b/3, Czerwionka LESZCZYNY</t>
  </si>
  <si>
    <t>6325</t>
  </si>
  <si>
    <t>0000411882</t>
  </si>
  <si>
    <t>+48694861466</t>
  </si>
  <si>
    <t>Powstancow Slaskich</t>
  </si>
  <si>
    <t>6332</t>
  </si>
  <si>
    <t>+48692787368</t>
  </si>
  <si>
    <t>Wislanska 36, Cieszyn</t>
  </si>
  <si>
    <t>6336</t>
  </si>
  <si>
    <t>Adrian Adam</t>
  </si>
  <si>
    <t>0400333071</t>
  </si>
  <si>
    <t>Wielkopolska 16/22, Jastrzebie Zdroj</t>
  </si>
  <si>
    <t>6335</t>
  </si>
  <si>
    <t>Kisiel</t>
  </si>
  <si>
    <t>0011078620</t>
  </si>
  <si>
    <t>+48663793027</t>
  </si>
  <si>
    <t>Jastrzebia 7/71, Zory</t>
  </si>
  <si>
    <t>6333</t>
  </si>
  <si>
    <t>Forycki</t>
  </si>
  <si>
    <t>0007423108</t>
  </si>
  <si>
    <t>+48531969459</t>
  </si>
  <si>
    <t>1000-lecia 2/10, Wodzislaw</t>
  </si>
  <si>
    <t>6334</t>
  </si>
  <si>
    <t>Pajak</t>
  </si>
  <si>
    <t>Brajan</t>
  </si>
  <si>
    <t>0009183921</t>
  </si>
  <si>
    <t>+48695418912</t>
  </si>
  <si>
    <t>Promienna 7/211, Zory</t>
  </si>
  <si>
    <t>Mysliwiec</t>
  </si>
  <si>
    <t>Emilia</t>
  </si>
  <si>
    <t>+48601142113</t>
  </si>
  <si>
    <t>Przytulna 2, Wodzislaw</t>
  </si>
  <si>
    <t>6340</t>
  </si>
  <si>
    <t>Dlugosz</t>
  </si>
  <si>
    <t>+48794902242</t>
  </si>
  <si>
    <t>Os.Korfantego 8g/2, Zory</t>
  </si>
  <si>
    <t>6337</t>
  </si>
  <si>
    <t>Kuzniak</t>
  </si>
  <si>
    <t>+48782797931</t>
  </si>
  <si>
    <t>Frysztacka 159/44, Cieszyn</t>
  </si>
  <si>
    <t>6338</t>
  </si>
  <si>
    <t>+48576184625</t>
  </si>
  <si>
    <t>Staszica 8/28, Jastrzebie</t>
  </si>
  <si>
    <t>6339</t>
  </si>
  <si>
    <t>Zglenicka</t>
  </si>
  <si>
    <t>+48691408005</t>
  </si>
  <si>
    <t>Warminska 30/1, Jastrzebie</t>
  </si>
  <si>
    <t>6341</t>
  </si>
  <si>
    <t>Tomaszewski</t>
  </si>
  <si>
    <t>+48514780872</t>
  </si>
  <si>
    <t>Kolejowa 19/5, Chocianow</t>
  </si>
  <si>
    <t>6344</t>
  </si>
  <si>
    <t>Skierka</t>
  </si>
  <si>
    <t>0400329906</t>
  </si>
  <si>
    <t>+48514157850</t>
  </si>
  <si>
    <t>Bielska 225, Cieszyn</t>
  </si>
  <si>
    <t>6345</t>
  </si>
  <si>
    <t>+48733420438</t>
  </si>
  <si>
    <t>Bohaterow Westerplatte 6c/7, Rybnik</t>
  </si>
  <si>
    <t>Papież-Procner</t>
  </si>
  <si>
    <t>Bernadeta</t>
  </si>
  <si>
    <t>+48503482395</t>
  </si>
  <si>
    <t>Wyzsza Brama 12, Cieszyn</t>
  </si>
  <si>
    <t>+48696635304</t>
  </si>
  <si>
    <t>Kosciuszki 76a, Zory</t>
  </si>
  <si>
    <t>+48693428088</t>
  </si>
  <si>
    <t>6346</t>
  </si>
  <si>
    <t>os. 1000-lecia 14/33, Jastrzebie</t>
  </si>
  <si>
    <t>6347</t>
  </si>
  <si>
    <t>0001221194</t>
  </si>
  <si>
    <t>0391236044</t>
  </si>
  <si>
    <t>+48513879760</t>
  </si>
  <si>
    <t>Stodoly 58/17, Jastrzebie</t>
  </si>
  <si>
    <t>6348</t>
  </si>
  <si>
    <t>0012045225</t>
  </si>
  <si>
    <t>+48780055325</t>
  </si>
  <si>
    <t>Wroclawska 31/13, Jastrzebie</t>
  </si>
  <si>
    <t>6352</t>
  </si>
  <si>
    <t>Opyd</t>
  </si>
  <si>
    <t>0000404695</t>
  </si>
  <si>
    <t>+48788411532</t>
  </si>
  <si>
    <t>Turystyczna 69/7. Jastrzebie</t>
  </si>
  <si>
    <t>6351</t>
  </si>
  <si>
    <t>+48575251894</t>
  </si>
  <si>
    <t>6350</t>
  </si>
  <si>
    <t>Szrejder</t>
  </si>
  <si>
    <t>0400335141</t>
  </si>
  <si>
    <t>+48668945691</t>
  </si>
  <si>
    <t>Wyzwolenia 29, Rybnik</t>
  </si>
  <si>
    <t>6355</t>
  </si>
  <si>
    <t>+48576006219</t>
  </si>
  <si>
    <t>Poprzeczna 25, Warszowice</t>
  </si>
  <si>
    <t>6354</t>
  </si>
  <si>
    <t>+48515975884</t>
  </si>
  <si>
    <t>Lowiecka 60, Cieszyn</t>
  </si>
  <si>
    <t>Skrobczynski</t>
  </si>
  <si>
    <t>+48453218767</t>
  </si>
  <si>
    <t>Os.Ksiecia Wladyslawa 7a/15, Zory</t>
  </si>
  <si>
    <t>6349</t>
  </si>
  <si>
    <t>0001226215</t>
  </si>
  <si>
    <t>+48513231199</t>
  </si>
  <si>
    <t>Gagarina 112/49, Jastrzebie</t>
  </si>
  <si>
    <t>6353</t>
  </si>
  <si>
    <t>0001164432</t>
  </si>
  <si>
    <t>Os.Powstancow Slaskich 5E/10, Zory</t>
  </si>
  <si>
    <t>6356</t>
  </si>
  <si>
    <t>Rogalska</t>
  </si>
  <si>
    <t>0001232961</t>
  </si>
  <si>
    <t>+48790710584</t>
  </si>
  <si>
    <t>Gwarkow 11/2, Żory</t>
  </si>
  <si>
    <t>Wiczkowska</t>
  </si>
  <si>
    <t>0001226212</t>
  </si>
  <si>
    <t>+48728379634</t>
  </si>
  <si>
    <t>Wodzislawska 88b, Zory</t>
  </si>
  <si>
    <t>0001237946</t>
  </si>
  <si>
    <t>0013481467</t>
  </si>
  <si>
    <t>+48669556916</t>
  </si>
  <si>
    <t>0012104796</t>
  </si>
  <si>
    <t>Ośko</t>
  </si>
  <si>
    <t>0011996938</t>
  </si>
  <si>
    <t>+48533523397</t>
  </si>
  <si>
    <t>Karola Miarki 3/39, Jastrzebie</t>
  </si>
  <si>
    <t>6366</t>
  </si>
  <si>
    <t>0009170810</t>
  </si>
  <si>
    <t>+48785346192</t>
  </si>
  <si>
    <t>Jana Brzechwy 8/6, Jastrzebie</t>
  </si>
  <si>
    <t>63667</t>
  </si>
  <si>
    <t>Mieszczak</t>
  </si>
  <si>
    <t>0009337742</t>
  </si>
  <si>
    <t>+48513900967</t>
  </si>
  <si>
    <t>Pszczynska 224, Jastrzebie</t>
  </si>
  <si>
    <t>6368</t>
  </si>
  <si>
    <t>Maja</t>
  </si>
  <si>
    <t>+48576308946</t>
  </si>
  <si>
    <t>Warminska 12/5, Jastrzebie</t>
  </si>
  <si>
    <t>6369</t>
  </si>
  <si>
    <t>Rzedzianowska</t>
  </si>
  <si>
    <t>+48663760424</t>
  </si>
  <si>
    <t>Os.Powstancow Slaskich 10c/16, Zory</t>
  </si>
  <si>
    <t>6370</t>
  </si>
  <si>
    <t>+48698638579</t>
  </si>
  <si>
    <t>Kaszubska 9/42, Jastrzebie</t>
  </si>
  <si>
    <t>6371</t>
  </si>
  <si>
    <t>+48787295039</t>
  </si>
  <si>
    <t>Ustronna 20, Marklowice Gorne</t>
  </si>
  <si>
    <t>6373</t>
  </si>
  <si>
    <t>Czaus</t>
  </si>
  <si>
    <t>Alan</t>
  </si>
  <si>
    <t>0009223176</t>
  </si>
  <si>
    <t>+48507667975</t>
  </si>
  <si>
    <t>Os.Powstancow Slaskich 14b/6, Zory</t>
  </si>
  <si>
    <t>6375</t>
  </si>
  <si>
    <t>Giedziun</t>
  </si>
  <si>
    <t>+48510547460</t>
  </si>
  <si>
    <t>6376</t>
  </si>
  <si>
    <t>0001243947</t>
  </si>
  <si>
    <t>+48791884399</t>
  </si>
  <si>
    <t>os.Pawlikowskiego 5f/3, Zory</t>
  </si>
  <si>
    <t>Onderka</t>
  </si>
  <si>
    <t>+420739847607</t>
  </si>
  <si>
    <t>Francouzská 1005/6, Ostrava Poruba</t>
  </si>
  <si>
    <t>1658</t>
  </si>
  <si>
    <t>0400305422</t>
  </si>
  <si>
    <t>6380</t>
  </si>
  <si>
    <t>+48515970154</t>
  </si>
  <si>
    <t>Katowicka 11/22, Jastrzebie</t>
  </si>
  <si>
    <t>6379</t>
  </si>
  <si>
    <t>0391211328</t>
  </si>
  <si>
    <t>+48453226029</t>
  </si>
  <si>
    <t>Polnocna 10/35, Jastrzebie</t>
  </si>
  <si>
    <t>6377</t>
  </si>
  <si>
    <t>Milewska</t>
  </si>
  <si>
    <t>0013114582</t>
  </si>
  <si>
    <t>+48509441240</t>
  </si>
  <si>
    <t>Zielona 41/6, Jastrzebie</t>
  </si>
  <si>
    <t>6381</t>
  </si>
  <si>
    <t>Niewiadomski</t>
  </si>
  <si>
    <t>0001207083</t>
  </si>
  <si>
    <t>+48514323748</t>
  </si>
  <si>
    <t>Sienkiewicza 2/2, Radlin</t>
  </si>
  <si>
    <t>6383</t>
  </si>
  <si>
    <t>0009263671</t>
  </si>
  <si>
    <t>+48691839395</t>
  </si>
  <si>
    <t>Pomorska 47/7, Jastrzebie</t>
  </si>
  <si>
    <t>6382</t>
  </si>
  <si>
    <t>+48505698685</t>
  </si>
  <si>
    <t>Pomorska 26/1, Jastrzebie</t>
  </si>
  <si>
    <t>6385</t>
  </si>
  <si>
    <t>+48698614286</t>
  </si>
  <si>
    <t>Puncowska 40/9, Cieszyn</t>
  </si>
  <si>
    <t>6384</t>
  </si>
  <si>
    <t>Bachen</t>
  </si>
  <si>
    <t>0013111646</t>
  </si>
  <si>
    <t>+48575625628</t>
  </si>
  <si>
    <t>Wielkopolska 19/26, Jastrzebie</t>
  </si>
  <si>
    <t>0000347370</t>
  </si>
  <si>
    <t>705981078</t>
  </si>
  <si>
    <t>Hulvácká 1399/11a, Ostrava, 700 30</t>
  </si>
  <si>
    <t>6386</t>
  </si>
  <si>
    <t>Kolibabka</t>
  </si>
  <si>
    <t>+48792427789</t>
  </si>
  <si>
    <t>Przemyslowa 19, Jastrzebie-Zdroj</t>
  </si>
  <si>
    <t>6387</t>
  </si>
  <si>
    <t>Perkowski</t>
  </si>
  <si>
    <t>+48794210387</t>
  </si>
  <si>
    <t>Kaszubska 9/60, 44-335 Jastrzebie-Zdroj</t>
  </si>
  <si>
    <t>6388</t>
  </si>
  <si>
    <t>+48662967022</t>
  </si>
  <si>
    <t>Wislanska 21/25, Cieszyn</t>
  </si>
  <si>
    <t>6389</t>
  </si>
  <si>
    <t>0011110422</t>
  </si>
  <si>
    <t>6390</t>
  </si>
  <si>
    <t>Mendrek</t>
  </si>
  <si>
    <t>+48502981770</t>
  </si>
  <si>
    <t>6391</t>
  </si>
  <si>
    <t>+48791547796</t>
  </si>
  <si>
    <t>1000-lecia 1/34, Jastrzebie</t>
  </si>
  <si>
    <t>6392</t>
  </si>
  <si>
    <t>Gagarina 108/17, Jastrzebie</t>
  </si>
  <si>
    <t>Turewicz</t>
  </si>
  <si>
    <t>+48570119458</t>
  </si>
  <si>
    <t>Kusocinskiego 21/10, Jastrzebie</t>
  </si>
  <si>
    <t>6394</t>
  </si>
  <si>
    <t>0001164442</t>
  </si>
  <si>
    <t>Małopolska 11/10 Jastrzębie-Zdrój</t>
  </si>
  <si>
    <t>Therma</t>
  </si>
  <si>
    <t>6395</t>
  </si>
  <si>
    <t>Grob</t>
  </si>
  <si>
    <t>+48888567719</t>
  </si>
  <si>
    <t>Osiedle Sikorskiego 20F/5</t>
  </si>
  <si>
    <t>Vaník</t>
  </si>
  <si>
    <t>Libor</t>
  </si>
  <si>
    <t>605972936</t>
  </si>
  <si>
    <t>Náměstí Václava Vacka 1675/21, Ostrava</t>
  </si>
  <si>
    <t>Patro</t>
  </si>
  <si>
    <t>Lukasz Marek</t>
  </si>
  <si>
    <t>0400254898</t>
  </si>
  <si>
    <t>+48575294889</t>
  </si>
  <si>
    <t>Malopolska 21/4, Jastrzebie</t>
  </si>
  <si>
    <t>Banet</t>
  </si>
  <si>
    <t>Damian Tomasz</t>
  </si>
  <si>
    <t>0400270189</t>
  </si>
  <si>
    <t>+48693996145</t>
  </si>
  <si>
    <t>Bednorza 2/2, Jastrebie-Zdroj, 44-335</t>
  </si>
  <si>
    <t>Gren</t>
  </si>
  <si>
    <t>Szymon Dominik</t>
  </si>
  <si>
    <t>+48512506414</t>
  </si>
  <si>
    <t>Szarych Szeregow 23/7, Jastrzebie Zdroj, 44-338</t>
  </si>
  <si>
    <t>0400205846</t>
  </si>
  <si>
    <t>+48695657568</t>
  </si>
  <si>
    <t>Kardynala S. Wyszynskiego 40/20, Wodzislaw Slaski, 44-300</t>
  </si>
  <si>
    <t>Ganczorz</t>
  </si>
  <si>
    <t>+48534498321</t>
  </si>
  <si>
    <t>Strzelcow Bytomskich 18, Rydultowy, 44-280</t>
  </si>
  <si>
    <t>0400224359</t>
  </si>
  <si>
    <t>+48690650842</t>
  </si>
  <si>
    <t>Os. XXX-lecia 129/5, Wodzisław Śląski</t>
  </si>
  <si>
    <t>6405</t>
  </si>
  <si>
    <t>Janik</t>
  </si>
  <si>
    <t>+48600127532</t>
  </si>
  <si>
    <t>Kosciuszki 7/2, Jastrzebie</t>
  </si>
  <si>
    <t>6403</t>
  </si>
  <si>
    <t>Rutkowska</t>
  </si>
  <si>
    <t>+48668060807</t>
  </si>
  <si>
    <t>Turystyczna 1/40, Jastrzebie</t>
  </si>
  <si>
    <t>6404</t>
  </si>
  <si>
    <t>+48578648192</t>
  </si>
  <si>
    <t>Os.Powstancow Slaskich 4a/19, Zory</t>
  </si>
  <si>
    <t>6407</t>
  </si>
  <si>
    <t>6406</t>
  </si>
  <si>
    <t>6414</t>
  </si>
  <si>
    <t>Stohandel</t>
  </si>
  <si>
    <t>+48781432761</t>
  </si>
  <si>
    <t>Os.Pawlikowskiego 3A/5, Zory</t>
  </si>
  <si>
    <t>6409</t>
  </si>
  <si>
    <t>Marekwica</t>
  </si>
  <si>
    <t>+48501198081</t>
  </si>
  <si>
    <t>ul.Harbutowicka 123, Skoczów</t>
  </si>
  <si>
    <t>6416</t>
  </si>
  <si>
    <t>Małkowska</t>
  </si>
  <si>
    <t>+48794120970</t>
  </si>
  <si>
    <t>ul.Żołnierzy Niezłomnych 8/9, Jastrzebie-Zdroj</t>
  </si>
  <si>
    <t>6417</t>
  </si>
  <si>
    <t>ul.Stodoły 52/17, Jastrzebie-Zdroj</t>
  </si>
  <si>
    <t>6413</t>
  </si>
  <si>
    <t>+48514328225</t>
  </si>
  <si>
    <t>ul. Rymera 36, Jastrzebie-Zdroj</t>
  </si>
  <si>
    <t>6415</t>
  </si>
  <si>
    <t>Os XXX-Lecia 129/5, Wodzisław Śląski</t>
  </si>
  <si>
    <t>6411</t>
  </si>
  <si>
    <t>+48452394089</t>
  </si>
  <si>
    <t>os.1000-lecia 7/30, Jastrzebie-Zdroj</t>
  </si>
  <si>
    <t>6412</t>
  </si>
  <si>
    <t>ul.Pochwacie 25, Jastrzebie-Zdroj</t>
  </si>
  <si>
    <t>6408</t>
  </si>
  <si>
    <t>+48664052850</t>
  </si>
  <si>
    <t>slawex230@wp.pl</t>
  </si>
  <si>
    <t>Jastrzebska 99, Hazlach</t>
  </si>
  <si>
    <t>6410</t>
  </si>
  <si>
    <t>+48453598834</t>
  </si>
  <si>
    <t>ul.Czuchowska 25, Hazlach</t>
  </si>
  <si>
    <t>6418</t>
  </si>
  <si>
    <t>6419</t>
  </si>
  <si>
    <t>Szmyt</t>
  </si>
  <si>
    <t>0400246529</t>
  </si>
  <si>
    <t>+48505986087</t>
  </si>
  <si>
    <t>1000-lecia 13/1, Jastrzebie</t>
  </si>
  <si>
    <t>6422</t>
  </si>
  <si>
    <t>Jastrzebska</t>
  </si>
  <si>
    <t>+48502187541</t>
  </si>
  <si>
    <t>Moniuszki 4/84, Cieszyn</t>
  </si>
  <si>
    <t>6420</t>
  </si>
  <si>
    <t>Oleś</t>
  </si>
  <si>
    <t>Adriana</t>
  </si>
  <si>
    <t>+48574670852</t>
  </si>
  <si>
    <t>Gwarkow 13/4, Zory</t>
  </si>
  <si>
    <t>6427</t>
  </si>
  <si>
    <t>6428</t>
  </si>
  <si>
    <t>+48695515362</t>
  </si>
  <si>
    <t>6426</t>
  </si>
  <si>
    <t>Grabowski</t>
  </si>
  <si>
    <t>0013399659</t>
  </si>
  <si>
    <t>+48796834453</t>
  </si>
  <si>
    <t>Jastrzebia 7/3, Zory</t>
  </si>
  <si>
    <t>6423</t>
  </si>
  <si>
    <t>Kuczera</t>
  </si>
  <si>
    <t>Donata</t>
  </si>
  <si>
    <t>0003773472</t>
  </si>
  <si>
    <t>+48515842811</t>
  </si>
  <si>
    <t>Pocztowa 3/5, Radlin</t>
  </si>
  <si>
    <t>6424</t>
  </si>
  <si>
    <t>+48888459318</t>
  </si>
  <si>
    <t>Mieleckiego 1/6, Radlin</t>
  </si>
  <si>
    <t>6432</t>
  </si>
  <si>
    <t>Suchołbiak</t>
  </si>
  <si>
    <t>+48 574 458 762</t>
  </si>
  <si>
    <t>Zielona 43/5, 44-335 Jastrzębie-Zdrój</t>
  </si>
  <si>
    <t>6433</t>
  </si>
  <si>
    <t>0013380994</t>
  </si>
  <si>
    <t>48 790 811 126</t>
  </si>
  <si>
    <t>Strażacka 29, 44-266 Świerklany</t>
  </si>
  <si>
    <t>6430</t>
  </si>
  <si>
    <t>Kowalewski</t>
  </si>
  <si>
    <t>0012074454</t>
  </si>
  <si>
    <t>48 783 106 070</t>
  </si>
  <si>
    <t>Lipowa 16, 43-400 Cieszyn</t>
  </si>
  <si>
    <t>6429</t>
  </si>
  <si>
    <t>0013396864</t>
  </si>
  <si>
    <t>+48 883 074 931</t>
  </si>
  <si>
    <t>6437</t>
  </si>
  <si>
    <t>Lebiediew</t>
  </si>
  <si>
    <t>0013418262</t>
  </si>
  <si>
    <t>+48 692 189 392</t>
  </si>
  <si>
    <t>Turystyczna 61/6, 44-335 Jastrzębie-Zdrój</t>
  </si>
  <si>
    <t>6435</t>
  </si>
  <si>
    <t>Janyszka</t>
  </si>
  <si>
    <t>Grażyna</t>
  </si>
  <si>
    <t>0012065099</t>
  </si>
  <si>
    <t>+48691401696</t>
  </si>
  <si>
    <t>Wielkopolska 35/7, Jastrzębie-Zdrój</t>
  </si>
  <si>
    <t>6434</t>
  </si>
  <si>
    <t>Małgorzata</t>
  </si>
  <si>
    <t>+48 729 775 367</t>
  </si>
  <si>
    <t>Górnicza 40/39, 44-335 Jastrzębie-Zdrój</t>
  </si>
  <si>
    <t>6436</t>
  </si>
  <si>
    <t>Wróblewska</t>
  </si>
  <si>
    <t>0013399127</t>
  </si>
  <si>
    <t>48 532 609 658</t>
  </si>
  <si>
    <t>Ruchu Oporu 6/9, 44-335 Jastrzębie-Zdrój</t>
  </si>
  <si>
    <t>6442</t>
  </si>
  <si>
    <t>Halama</t>
  </si>
  <si>
    <t>0012428206</t>
  </si>
  <si>
    <t>+48 574 421 353</t>
  </si>
  <si>
    <t>Karola Miarki 3/21, 44-335 Jastrzębie-Zdrój</t>
  </si>
  <si>
    <t>6441</t>
  </si>
  <si>
    <t>48 728 500 180</t>
  </si>
  <si>
    <t>Karola Miarki 3/26, 44-335 Jastrzębie-Zdrój</t>
  </si>
  <si>
    <t>6431</t>
  </si>
  <si>
    <t>Małczak</t>
  </si>
  <si>
    <t>0012090153</t>
  </si>
  <si>
    <t>+48510216410</t>
  </si>
  <si>
    <t>Osiedle Karola 16/1, Rydultowy</t>
  </si>
  <si>
    <t>6439</t>
  </si>
  <si>
    <t>Ślaska 17/38, Jastrzebie</t>
  </si>
  <si>
    <t>6438</t>
  </si>
  <si>
    <t>+48789958688</t>
  </si>
  <si>
    <t>Wolności 8/15, Radlin</t>
  </si>
  <si>
    <t>6440</t>
  </si>
  <si>
    <t>Święty</t>
  </si>
  <si>
    <t>Czesław</t>
  </si>
  <si>
    <t>0400328807</t>
  </si>
  <si>
    <t>+48797459279</t>
  </si>
  <si>
    <t>Rymera 49e, Radlin</t>
  </si>
  <si>
    <t>6421</t>
  </si>
  <si>
    <t>Mynarski</t>
  </si>
  <si>
    <t>+48883730617</t>
  </si>
  <si>
    <t>Motelowa 3/5, Cieszyn</t>
  </si>
  <si>
    <t>6445</t>
  </si>
  <si>
    <t>+48511823883</t>
  </si>
  <si>
    <t>Os.Powstancow Slaskich 16d/2, Zory</t>
  </si>
  <si>
    <t>6447</t>
  </si>
  <si>
    <t>Chojnacki</t>
  </si>
  <si>
    <t>0400257948</t>
  </si>
  <si>
    <t>+48513612408</t>
  </si>
  <si>
    <t>Morcinka 5/4, Jastrzebie</t>
  </si>
  <si>
    <t>6446</t>
  </si>
  <si>
    <t>Nalepa</t>
  </si>
  <si>
    <t>0400225412</t>
  </si>
  <si>
    <t>+48572935924</t>
  </si>
  <si>
    <t>Krasickiego 6/21, Jastrzebie</t>
  </si>
  <si>
    <t>6444</t>
  </si>
  <si>
    <t>+48513404509</t>
  </si>
  <si>
    <t>Niepodleglosci 98, Jastrzebie</t>
  </si>
  <si>
    <t>6443</t>
  </si>
  <si>
    <t>Pawlowski</t>
  </si>
  <si>
    <t>0400247760</t>
  </si>
  <si>
    <t>+48572924422</t>
  </si>
  <si>
    <t>Sikorskiego 4/36, Cieszyn</t>
  </si>
  <si>
    <t>6456</t>
  </si>
  <si>
    <t>+48726061841</t>
  </si>
  <si>
    <t>ul.Stalmacha 22/6, Skoczow</t>
  </si>
  <si>
    <t>6455</t>
  </si>
  <si>
    <t>Orzepowska</t>
  </si>
  <si>
    <t>+48885193150</t>
  </si>
  <si>
    <t>ul.Chopina 22/69, Cieszyn</t>
  </si>
  <si>
    <t>6459</t>
  </si>
  <si>
    <t>Dzwonkowska</t>
  </si>
  <si>
    <t>+48451518572</t>
  </si>
  <si>
    <t>Wyzwolenia 28/3, Rybnik</t>
  </si>
  <si>
    <t>6458</t>
  </si>
  <si>
    <t>Furman</t>
  </si>
  <si>
    <t>+48502010194</t>
  </si>
  <si>
    <t>Sztolniowa 43/4, Rybnik</t>
  </si>
  <si>
    <t>6460</t>
  </si>
  <si>
    <t>+48532504287</t>
  </si>
  <si>
    <t>J.Lelewela 18, Rydultowy</t>
  </si>
  <si>
    <t>6457</t>
  </si>
  <si>
    <t>Chrzanowska</t>
  </si>
  <si>
    <t>0013412676</t>
  </si>
  <si>
    <t>+48453457574</t>
  </si>
  <si>
    <t>Boguslawskiego 1b/7, Rybnik</t>
  </si>
  <si>
    <t>6452</t>
  </si>
  <si>
    <t>0012010568</t>
  </si>
  <si>
    <t>+48734220541</t>
  </si>
  <si>
    <t>ul. Rymera 159B, Radlin</t>
  </si>
  <si>
    <t>6449</t>
  </si>
  <si>
    <t>Paluch</t>
  </si>
  <si>
    <t>+48724783617</t>
  </si>
  <si>
    <t>ul.Baranowicka 15, Żory</t>
  </si>
  <si>
    <t>6453</t>
  </si>
  <si>
    <t>Potysz</t>
  </si>
  <si>
    <t>0013411278</t>
  </si>
  <si>
    <t>+48795725242</t>
  </si>
  <si>
    <t>ul.Marusarzowny 3/5, Jastrzebie-Zdroj</t>
  </si>
  <si>
    <t>6448</t>
  </si>
  <si>
    <t>0013398346</t>
  </si>
  <si>
    <t>+48664496353</t>
  </si>
  <si>
    <t>6454</t>
  </si>
  <si>
    <t>0001219666</t>
  </si>
  <si>
    <t>+48500654483</t>
  </si>
  <si>
    <t>ul.Swietego Jana 7/5, Wodzislaw Slaski</t>
  </si>
  <si>
    <t>6451</t>
  </si>
  <si>
    <t>Koralewska</t>
  </si>
  <si>
    <t>Madlen</t>
  </si>
  <si>
    <t>+48733707013</t>
  </si>
  <si>
    <t>ul.Poznanska 31/6, Jastrzebie-Zdroj</t>
  </si>
  <si>
    <t>6450</t>
  </si>
  <si>
    <t>Ciesielska</t>
  </si>
  <si>
    <t>0012099337</t>
  </si>
  <si>
    <t>+48514893548</t>
  </si>
  <si>
    <t>Os.Korfantego 11J/3, Żory</t>
  </si>
  <si>
    <t>Powstancow Slaskich 84, Laziska</t>
  </si>
  <si>
    <t>6462</t>
  </si>
  <si>
    <t>+48731006236</t>
  </si>
  <si>
    <t>Raciborska 12b/18, Rybnik</t>
  </si>
  <si>
    <t>6463</t>
  </si>
  <si>
    <t>Jablonowski</t>
  </si>
  <si>
    <t>0400251582</t>
  </si>
  <si>
    <t>+48792946397</t>
  </si>
  <si>
    <t>Zielona 50/9, Jastrzebie</t>
  </si>
  <si>
    <t>6466</t>
  </si>
  <si>
    <t>+48606905579</t>
  </si>
  <si>
    <t>ul.Slaska 15/28, Jastrzebie-Zdroj</t>
  </si>
  <si>
    <t>6470</t>
  </si>
  <si>
    <t>Szkatula</t>
  </si>
  <si>
    <t>0001446944</t>
  </si>
  <si>
    <t>+48737162681</t>
  </si>
  <si>
    <t>ul.Zielona 17/9, Jastrzebie-Zdroj</t>
  </si>
  <si>
    <t>GUZU</t>
  </si>
  <si>
    <t>6464</t>
  </si>
  <si>
    <t>Duslak</t>
  </si>
  <si>
    <t>+48782946436</t>
  </si>
  <si>
    <t>ul.Lowicka 1/11, Jastrzebie-Zdroj</t>
  </si>
  <si>
    <t>6465</t>
  </si>
  <si>
    <t>+48754787606</t>
  </si>
  <si>
    <t>Os.Ks.Wladyslawa 7C/37, Zory</t>
  </si>
  <si>
    <t>6468</t>
  </si>
  <si>
    <t>Bochenski</t>
  </si>
  <si>
    <t>0013465394</t>
  </si>
  <si>
    <t>+48502916549</t>
  </si>
  <si>
    <t>ul.Chrobrego 7/40, Cieszyn</t>
  </si>
  <si>
    <t>6469</t>
  </si>
  <si>
    <t>Czyz</t>
  </si>
  <si>
    <t>0013404274</t>
  </si>
  <si>
    <t>+48502674472</t>
  </si>
  <si>
    <t>ul.Nestora Bucewicza 18, Cieszyn</t>
  </si>
  <si>
    <t>6467</t>
  </si>
  <si>
    <t>0001230657</t>
  </si>
  <si>
    <t>+48791341550</t>
  </si>
  <si>
    <t>ul.Jastrzebia 4/3, Zory</t>
  </si>
  <si>
    <t>6471</t>
  </si>
  <si>
    <t>Szweda</t>
  </si>
  <si>
    <t>0001186182</t>
  </si>
  <si>
    <t>+48601066520</t>
  </si>
  <si>
    <t>ul.1 Maja 8/1 16, Wodzislaw Slaski</t>
  </si>
  <si>
    <t>6474</t>
  </si>
  <si>
    <t>0001430027</t>
  </si>
  <si>
    <t>+48721505226</t>
  </si>
  <si>
    <t>Wroclawska 35/4, Jastrzebie</t>
  </si>
  <si>
    <t>6473</t>
  </si>
  <si>
    <t>0012109172</t>
  </si>
  <si>
    <t>+48796768665</t>
  </si>
  <si>
    <t>Wroclawska 15/7, Jastrzebie</t>
  </si>
  <si>
    <t>6477</t>
  </si>
  <si>
    <t>Wecel</t>
  </si>
  <si>
    <t>+48792805226</t>
  </si>
  <si>
    <t>Moniuszki 3/6, Jastrzebie</t>
  </si>
  <si>
    <t>6475</t>
  </si>
  <si>
    <t>Latak</t>
  </si>
  <si>
    <t>+48576381810</t>
  </si>
  <si>
    <t>Sikorskiego 3e/4, Zory</t>
  </si>
  <si>
    <t>6472</t>
  </si>
  <si>
    <t>Rosochacki</t>
  </si>
  <si>
    <t>0001496256</t>
  </si>
  <si>
    <t>+48691427053</t>
  </si>
  <si>
    <t>Aleja Wojska Polskiego 23/411, Zory</t>
  </si>
  <si>
    <t>6476</t>
  </si>
  <si>
    <t>Pastuszka</t>
  </si>
  <si>
    <t>0000403594</t>
  </si>
  <si>
    <t>+48731805940</t>
  </si>
  <si>
    <t>6478</t>
  </si>
  <si>
    <t>Zlotkowski</t>
  </si>
  <si>
    <t>+48514745255</t>
  </si>
  <si>
    <t>Gornicza 38/1, Jastrzebie</t>
  </si>
  <si>
    <t>6479</t>
  </si>
  <si>
    <t>0001240750</t>
  </si>
  <si>
    <t>+48781282793</t>
  </si>
  <si>
    <t>ul.Waska 16, Rudziczka</t>
  </si>
  <si>
    <t>6481</t>
  </si>
  <si>
    <t>+48577431660</t>
  </si>
  <si>
    <t>ul.Ranoszka 76, Jastrzebie-Zdroj</t>
  </si>
  <si>
    <t>6480</t>
  </si>
  <si>
    <t>Glowacki</t>
  </si>
  <si>
    <t>0012130510</t>
  </si>
  <si>
    <t>+48692618652</t>
  </si>
  <si>
    <t>ul.Stodoly 54/11, Jastrzebie-Zdroj</t>
  </si>
  <si>
    <t>6483</t>
  </si>
  <si>
    <t>0012056106</t>
  </si>
  <si>
    <t>+48782994099</t>
  </si>
  <si>
    <t>ul.3 Maja 68, Zory</t>
  </si>
  <si>
    <t>6482</t>
  </si>
  <si>
    <t>Trachta</t>
  </si>
  <si>
    <t>+48502773037</t>
  </si>
  <si>
    <t>6484</t>
  </si>
  <si>
    <t>Jachym</t>
  </si>
  <si>
    <t>0012129199</t>
  </si>
  <si>
    <t>+48735157330</t>
  </si>
  <si>
    <t>Wrzosowa 2/2, Jastrzebie</t>
  </si>
  <si>
    <t>6485</t>
  </si>
  <si>
    <t>Rojek</t>
  </si>
  <si>
    <t>0013406272</t>
  </si>
  <si>
    <t>+48728393496</t>
  </si>
  <si>
    <t>Pszczynska 15, Zory</t>
  </si>
  <si>
    <t>6486</t>
  </si>
  <si>
    <t>+48664168830</t>
  </si>
  <si>
    <t>Orzepowicka 20b/11, Rybnik</t>
  </si>
  <si>
    <t>6490</t>
  </si>
  <si>
    <t>0000391047</t>
  </si>
  <si>
    <t>+48518187408</t>
  </si>
  <si>
    <t>Lompy 14c/11, Rybnik</t>
  </si>
  <si>
    <t>6489</t>
  </si>
  <si>
    <t>+48518679641</t>
  </si>
  <si>
    <t>Czecha 4/1, Radlin</t>
  </si>
  <si>
    <t>6487</t>
  </si>
  <si>
    <t>Fojcik</t>
  </si>
  <si>
    <t>+48781216180</t>
  </si>
  <si>
    <t>Powstancow Slaskich 4, Chalupki</t>
  </si>
  <si>
    <t>6488</t>
  </si>
  <si>
    <t>0000359749</t>
  </si>
  <si>
    <t>+48539789834</t>
  </si>
  <si>
    <t>6493</t>
  </si>
  <si>
    <t>Zajaczkowska</t>
  </si>
  <si>
    <t>+48504859754</t>
  </si>
  <si>
    <t>1 Maja 253, Golkowice</t>
  </si>
  <si>
    <t>6494</t>
  </si>
  <si>
    <t>Gonek</t>
  </si>
  <si>
    <t>Tristan</t>
  </si>
  <si>
    <t>+48510352243</t>
  </si>
  <si>
    <t>ul.Macierzy Szkolnej 5/20, Cieszyn</t>
  </si>
  <si>
    <t>6495</t>
  </si>
  <si>
    <t>Zymella</t>
  </si>
  <si>
    <t>+48798420134</t>
  </si>
  <si>
    <t>ul.Mikolowska 14, Żory</t>
  </si>
  <si>
    <t>6497</t>
  </si>
  <si>
    <t>+48511137823</t>
  </si>
  <si>
    <t>6496</t>
  </si>
  <si>
    <t>Murawski</t>
  </si>
  <si>
    <t>0013311759</t>
  </si>
  <si>
    <t>+48605111630</t>
  </si>
  <si>
    <t>Miarki 3, Zory</t>
  </si>
  <si>
    <t>0013412171</t>
  </si>
  <si>
    <t>Hajduka 3/2, Cieszyn</t>
  </si>
  <si>
    <t>6491</t>
  </si>
  <si>
    <t>Hernas</t>
  </si>
  <si>
    <t>0001245332</t>
  </si>
  <si>
    <t>+48780721015</t>
  </si>
  <si>
    <t>ul.Wielkopolska 35/7, Jastrzebie-Zdroj</t>
  </si>
  <si>
    <t>6492</t>
  </si>
  <si>
    <t>Skibinski</t>
  </si>
  <si>
    <t>+48534485022</t>
  </si>
  <si>
    <t>ul.Piaskowa 5a/2, Żory</t>
  </si>
  <si>
    <t>6505</t>
  </si>
  <si>
    <t>+48690327839</t>
  </si>
  <si>
    <t>Prusa 7, Zory</t>
  </si>
  <si>
    <t>6503</t>
  </si>
  <si>
    <t>Szczepaniuk</t>
  </si>
  <si>
    <t>+48883151555</t>
  </si>
  <si>
    <t>Os.Ksiecia Wladyslawa 3e/6, Zory</t>
  </si>
  <si>
    <t>6504</t>
  </si>
  <si>
    <t>Sienkowski</t>
  </si>
  <si>
    <t>+48660646530</t>
  </si>
  <si>
    <t>Dabkowa 39, Pawlowice</t>
  </si>
  <si>
    <t>6502</t>
  </si>
  <si>
    <t>Krezelok</t>
  </si>
  <si>
    <t>+48535934269</t>
  </si>
  <si>
    <t>Dzialkowa 12, Cieszyn</t>
  </si>
  <si>
    <t>6506</t>
  </si>
  <si>
    <t>Grynczel</t>
  </si>
  <si>
    <t>+48505878059</t>
  </si>
  <si>
    <t>Zeromskiego 28/9, Jastrzebie</t>
  </si>
  <si>
    <t>6508</t>
  </si>
  <si>
    <t>+48792742229</t>
  </si>
  <si>
    <t>Wislanska 21/7, Cieszyn</t>
  </si>
  <si>
    <t>6507</t>
  </si>
  <si>
    <t>+48739216735</t>
  </si>
  <si>
    <t>Janik-Rurarz</t>
  </si>
  <si>
    <t>0001192974</t>
  </si>
  <si>
    <t>+48537143265</t>
  </si>
  <si>
    <t>Wyszynskiego 26/6, Wodzislaw</t>
  </si>
  <si>
    <t>6512</t>
  </si>
  <si>
    <t>Grzonka</t>
  </si>
  <si>
    <t>+48794061175</t>
  </si>
  <si>
    <t>Warminska 14/10, Jastrzebie</t>
  </si>
  <si>
    <t>6511</t>
  </si>
  <si>
    <t>Albrecht</t>
  </si>
  <si>
    <t>+48577184010</t>
  </si>
  <si>
    <t>Lowicka 15/9 Jastrzebie</t>
  </si>
  <si>
    <t>6514</t>
  </si>
  <si>
    <t>0000353976</t>
  </si>
  <si>
    <t>+48519846460</t>
  </si>
  <si>
    <t>ul.Kaszubska 8/32, Jastrzebie-Zdroj</t>
  </si>
  <si>
    <t>6513</t>
  </si>
  <si>
    <t>+48574185467</t>
  </si>
  <si>
    <t>ul.Kolejowa 11D/2, Zory</t>
  </si>
  <si>
    <t>6516</t>
  </si>
  <si>
    <t>Nowakowska</t>
  </si>
  <si>
    <t>0000336184</t>
  </si>
  <si>
    <t>+48785152379</t>
  </si>
  <si>
    <t>ul.Wolnosci 3, Czernica</t>
  </si>
  <si>
    <t>6517</t>
  </si>
  <si>
    <t>Markiewicz</t>
  </si>
  <si>
    <t>0001167063</t>
  </si>
  <si>
    <t>+48662517425</t>
  </si>
  <si>
    <t>ul.Hutnicza 30, Radlin</t>
  </si>
  <si>
    <t>6518</t>
  </si>
  <si>
    <t>+48533772058</t>
  </si>
  <si>
    <t>ul.Plebiscytowa 25, Rydultowy</t>
  </si>
  <si>
    <t>6515</t>
  </si>
  <si>
    <t>Rakoczy</t>
  </si>
  <si>
    <t>+48571349773</t>
  </si>
  <si>
    <t>Osiedle Gwarkow 22/2, Zory</t>
  </si>
  <si>
    <t>6510</t>
  </si>
  <si>
    <t>0000376823</t>
  </si>
  <si>
    <t>6519</t>
  </si>
  <si>
    <t>Wojtacha</t>
  </si>
  <si>
    <t>+48696217611</t>
  </si>
  <si>
    <t>ul.Kolejowa 12/12, Cieszyn</t>
  </si>
  <si>
    <t>6522</t>
  </si>
  <si>
    <t>0013470814</t>
  </si>
  <si>
    <t>+48574787606</t>
  </si>
  <si>
    <t>6523</t>
  </si>
  <si>
    <t>Pankiewicz</t>
  </si>
  <si>
    <t>+48453629155</t>
  </si>
  <si>
    <t>ul.Slaska 91/8, Jastrzebie-Zdroj</t>
  </si>
  <si>
    <t>6526</t>
  </si>
  <si>
    <t>Wnek</t>
  </si>
  <si>
    <t>+48726893647</t>
  </si>
  <si>
    <t>Kolejowa 11b/5, Zory</t>
  </si>
  <si>
    <t>6529</t>
  </si>
  <si>
    <t>Pudlo</t>
  </si>
  <si>
    <t>+48535146536</t>
  </si>
  <si>
    <t>Truskawkowa 1/6, Jastrzebie</t>
  </si>
  <si>
    <t>6531</t>
  </si>
  <si>
    <t>+48515211839</t>
  </si>
  <si>
    <t>Bobrecka 27/5, Cieszyn</t>
  </si>
  <si>
    <t>Guzu</t>
  </si>
  <si>
    <t>6530</t>
  </si>
  <si>
    <t>Szoldra</t>
  </si>
  <si>
    <t>+48669319773</t>
  </si>
  <si>
    <t>Frysztacka 43, Cieszyn</t>
  </si>
  <si>
    <t>6525</t>
  </si>
  <si>
    <t>0000406366</t>
  </si>
  <si>
    <t>ul.Miarki 90, Pawlowice</t>
  </si>
  <si>
    <t>6524</t>
  </si>
  <si>
    <t>Bartoń</t>
  </si>
  <si>
    <t>+48503667087</t>
  </si>
  <si>
    <t>ul.Cieszynska 218, Jastrzebie-Zdroj</t>
  </si>
  <si>
    <t>6527</t>
  </si>
  <si>
    <t>Towascik</t>
  </si>
  <si>
    <t>+48535779328</t>
  </si>
  <si>
    <t>ul.Slaska 11/34, Jastrzebie-Zdroj</t>
  </si>
  <si>
    <t>6528</t>
  </si>
  <si>
    <t>Kuchta</t>
  </si>
  <si>
    <t>+48534425232</t>
  </si>
  <si>
    <t>ul.Turystyczna 8/11,Jastrzebie-Zdroj</t>
  </si>
  <si>
    <t>6532</t>
  </si>
  <si>
    <t>0001242394</t>
  </si>
  <si>
    <t>+48571524113</t>
  </si>
  <si>
    <t>Teczowa 3/13, Rybnik</t>
  </si>
  <si>
    <t>6534</t>
  </si>
  <si>
    <t>Miklaszewski</t>
  </si>
  <si>
    <t>+48604389506</t>
  </si>
  <si>
    <t>Os.XXX-lecia 1/2, Wodzislaw Slaski</t>
  </si>
  <si>
    <t>Wilenski</t>
  </si>
  <si>
    <t>Idzy</t>
  </si>
  <si>
    <t>+48535346382</t>
  </si>
  <si>
    <t>Kokoszycka 180c/3, Wodzislaw</t>
  </si>
  <si>
    <t>6536</t>
  </si>
  <si>
    <t>Krótki</t>
  </si>
  <si>
    <t>Gabriel</t>
  </si>
  <si>
    <t>+48724757775</t>
  </si>
  <si>
    <t>Os. Ks. Wladyslawa 7a/16, Zory</t>
  </si>
  <si>
    <t>6538</t>
  </si>
  <si>
    <t>6533</t>
  </si>
  <si>
    <t>+48505317548</t>
  </si>
  <si>
    <t>Orzepowicka 16b/19, Rybnik</t>
  </si>
  <si>
    <t>6537</t>
  </si>
  <si>
    <t>0011066856</t>
  </si>
  <si>
    <t>+48 572 475 445</t>
  </si>
  <si>
    <t>6539</t>
  </si>
  <si>
    <t>6540</t>
  </si>
  <si>
    <t>+48694739707</t>
  </si>
  <si>
    <t>Wroclawska 23/29, Jastrzebie</t>
  </si>
  <si>
    <t>6546</t>
  </si>
  <si>
    <t>0001201154</t>
  </si>
  <si>
    <t>+48889092223</t>
  </si>
  <si>
    <t>Dworcowa 8/7. Zory</t>
  </si>
  <si>
    <t>6544</t>
  </si>
  <si>
    <t>Regulski</t>
  </si>
  <si>
    <t>+48500351892</t>
  </si>
  <si>
    <t>Ligocka 31, Rybnik</t>
  </si>
  <si>
    <t>6545</t>
  </si>
  <si>
    <t>Magner</t>
  </si>
  <si>
    <t>+48574220205</t>
  </si>
  <si>
    <t>Astrów 18, Jastrzebie</t>
  </si>
  <si>
    <t>6541</t>
  </si>
  <si>
    <t>Hak</t>
  </si>
  <si>
    <t>0000375023</t>
  </si>
  <si>
    <t>+48508145813</t>
  </si>
  <si>
    <t>Boczna 13/40, Zory</t>
  </si>
  <si>
    <t>6542</t>
  </si>
  <si>
    <t>0000345464</t>
  </si>
  <si>
    <t>+48734066515</t>
  </si>
  <si>
    <t>Pawlikowskiego 16a/19, Zory</t>
  </si>
  <si>
    <t>6543</t>
  </si>
  <si>
    <t>0000343116</t>
  </si>
  <si>
    <t>+48504579238</t>
  </si>
  <si>
    <t>6550</t>
  </si>
  <si>
    <t>Ambroziewicz</t>
  </si>
  <si>
    <t>+48695088294</t>
  </si>
  <si>
    <t>Woszczycka 27, Rudziczka</t>
  </si>
  <si>
    <t>6548</t>
  </si>
  <si>
    <t>Chrzanowski</t>
  </si>
  <si>
    <t>+48723786958</t>
  </si>
  <si>
    <t>Pomorska 97/13, Jastrzebie</t>
  </si>
  <si>
    <t>6547</t>
  </si>
  <si>
    <t>Dziwoki</t>
  </si>
  <si>
    <t>+48692096075</t>
  </si>
  <si>
    <t>Zorska 295, Rybnik</t>
  </si>
  <si>
    <t>6549</t>
  </si>
  <si>
    <t>Czyzowicka 131a/309, Wodzislaw</t>
  </si>
  <si>
    <t>6552</t>
  </si>
  <si>
    <t>6551</t>
  </si>
  <si>
    <t>Kowalak</t>
  </si>
  <si>
    <t>+48693053232</t>
  </si>
  <si>
    <t>Patriotów 27a/14, Rybnik</t>
  </si>
  <si>
    <t>6553</t>
  </si>
  <si>
    <t>0001169937</t>
  </si>
  <si>
    <t>Katowicka 18/38, Jastrzebie</t>
  </si>
  <si>
    <t>6561</t>
  </si>
  <si>
    <t>Wlodarczyk</t>
  </si>
  <si>
    <t>0000339616</t>
  </si>
  <si>
    <t>+48505704531</t>
  </si>
  <si>
    <t>Walowa 16, Wodzislaw</t>
  </si>
  <si>
    <t>6559</t>
  </si>
  <si>
    <t>0000367854</t>
  </si>
  <si>
    <t>6557</t>
  </si>
  <si>
    <t>Ariel</t>
  </si>
  <si>
    <t>+48883227134</t>
  </si>
  <si>
    <t>Gornicza 10/8, Wodzislaw</t>
  </si>
  <si>
    <t>6556</t>
  </si>
  <si>
    <t>Snopek</t>
  </si>
  <si>
    <t>+48697543367</t>
  </si>
  <si>
    <t>Gornicza 14/9, Wodzislaw</t>
  </si>
  <si>
    <t>6560</t>
  </si>
  <si>
    <t>+48795671508</t>
  </si>
  <si>
    <t>Gajowa 28, Marklowice Gorne</t>
  </si>
  <si>
    <t>6558</t>
  </si>
  <si>
    <t>Zymelka</t>
  </si>
  <si>
    <t>0001170190</t>
  </si>
  <si>
    <t>+48692207080</t>
  </si>
  <si>
    <t>Traugutta 204, Rydultowy</t>
  </si>
  <si>
    <t>6563</t>
  </si>
  <si>
    <t>Matusiewicz</t>
  </si>
  <si>
    <t>+48609013152</t>
  </si>
  <si>
    <t>Os.1 Maja 27/4/5, Wodzislaw Slaski</t>
  </si>
  <si>
    <t>6562</t>
  </si>
  <si>
    <t>Ledwon</t>
  </si>
  <si>
    <t>+48578088849</t>
  </si>
  <si>
    <t>Akacjowa 36, Mszana</t>
  </si>
  <si>
    <t>6564</t>
  </si>
  <si>
    <t>Gaszczyk</t>
  </si>
  <si>
    <t>+48664094105</t>
  </si>
  <si>
    <t>Frysztacka 196, Cieszyn</t>
  </si>
  <si>
    <t>6567</t>
  </si>
  <si>
    <t>Grobelska</t>
  </si>
  <si>
    <t>Martyna</t>
  </si>
  <si>
    <t>+48795333067</t>
  </si>
  <si>
    <t>Kusocinskiego 25/8, Jastrzebie</t>
  </si>
  <si>
    <t>6566</t>
  </si>
  <si>
    <t>0391236060</t>
  </si>
  <si>
    <t>Beskidzka 11/8, Jastrzebie</t>
  </si>
  <si>
    <t>6565</t>
  </si>
  <si>
    <t>Lejczyk</t>
  </si>
  <si>
    <t>+48510184637</t>
  </si>
  <si>
    <t>Rybnicka 4/4, Wodzislaw</t>
  </si>
  <si>
    <t>6568</t>
  </si>
  <si>
    <t>Dolezych</t>
  </si>
  <si>
    <t>Lidia</t>
  </si>
  <si>
    <t>0391211437</t>
  </si>
  <si>
    <t>+48533341727</t>
  </si>
  <si>
    <t>Al.Wojska Polskiego 21/37, Żory</t>
  </si>
  <si>
    <t>Pazdan-Gondek</t>
  </si>
  <si>
    <t>Anita</t>
  </si>
  <si>
    <t>+48796445089</t>
  </si>
  <si>
    <t>Stefana Wyszynskiego 15/3, Wodzislaw</t>
  </si>
  <si>
    <t>6571</t>
  </si>
  <si>
    <t>Ulita</t>
  </si>
  <si>
    <t>0006445059</t>
  </si>
  <si>
    <t>+48501276088</t>
  </si>
  <si>
    <t>Turystyczna 53/37, Jastrzebie</t>
  </si>
  <si>
    <t>6570</t>
  </si>
  <si>
    <t>Wieszolek</t>
  </si>
  <si>
    <t>0006448188</t>
  </si>
  <si>
    <t>+48535266104</t>
  </si>
  <si>
    <t>Turystyczna 53/21, Jastrzebie</t>
  </si>
  <si>
    <t>6577</t>
  </si>
  <si>
    <t>Ston</t>
  </si>
  <si>
    <t>+49693225183</t>
  </si>
  <si>
    <t>Os.Powstancow Slaskich 3a/11, Zory</t>
  </si>
  <si>
    <t>Surosz</t>
  </si>
  <si>
    <t>+48507749260</t>
  </si>
  <si>
    <t>Wyszynskiego 7/15, Wodzislaw</t>
  </si>
  <si>
    <t>6576</t>
  </si>
  <si>
    <t>0391108249</t>
  </si>
  <si>
    <t>+48517482705</t>
  </si>
  <si>
    <t>Slaska 75/15, Jastrzebie</t>
  </si>
  <si>
    <t>6574</t>
  </si>
  <si>
    <t>0391211325</t>
  </si>
  <si>
    <t>+48515045987</t>
  </si>
  <si>
    <t>Rybnicka 50/1, Lyski</t>
  </si>
  <si>
    <t>6573</t>
  </si>
  <si>
    <t>Buturla</t>
  </si>
  <si>
    <t>Bozena</t>
  </si>
  <si>
    <t>0391112974</t>
  </si>
  <si>
    <t>+48669267044</t>
  </si>
  <si>
    <t>Osiedle Orlowiec 65/3, Rydultowy</t>
  </si>
  <si>
    <t>+48508331835</t>
  </si>
  <si>
    <t>Osiedle Sikorskiego 3b/10, Zory</t>
  </si>
  <si>
    <t>6572</t>
  </si>
  <si>
    <t>Možíšek</t>
  </si>
  <si>
    <t>52576E</t>
  </si>
  <si>
    <t>739173862</t>
  </si>
  <si>
    <t>Poštovní 735, Studénka - Butovice 742 13</t>
  </si>
  <si>
    <t>6582</t>
  </si>
  <si>
    <t>Czajka</t>
  </si>
  <si>
    <t>+48 881332657</t>
  </si>
  <si>
    <t>Batalionow Chlopskich 14a, Wodzislaw</t>
  </si>
  <si>
    <t>6581</t>
  </si>
  <si>
    <t>Os.XXX-lecia 56/2, Wodzislaw Slaski</t>
  </si>
  <si>
    <t>6580</t>
  </si>
  <si>
    <t>Chciuk</t>
  </si>
  <si>
    <t>+48574416562</t>
  </si>
  <si>
    <t>Gen.Sikorskiego 5/40 Cieszyn</t>
  </si>
  <si>
    <t>6587</t>
  </si>
  <si>
    <t>Klonowski</t>
  </si>
  <si>
    <t>0006451572</t>
  </si>
  <si>
    <t>+48535920208</t>
  </si>
  <si>
    <t>piotr_klonowski@op.pl</t>
  </si>
  <si>
    <t>Karola Miarki 3/31, Jastrzebie</t>
  </si>
  <si>
    <t>6579</t>
  </si>
  <si>
    <t>Herok-Legec</t>
  </si>
  <si>
    <t>+48730336444</t>
  </si>
  <si>
    <t>Wisniowa 3, Konczyce Male</t>
  </si>
  <si>
    <t>6586</t>
  </si>
  <si>
    <t>Kaczmarczyk</t>
  </si>
  <si>
    <t>Jagna</t>
  </si>
  <si>
    <t>+48795990429</t>
  </si>
  <si>
    <t>Polna 23a, Gorzyczki</t>
  </si>
  <si>
    <t>6584</t>
  </si>
  <si>
    <t>Lebok</t>
  </si>
  <si>
    <t>+48792915137</t>
  </si>
  <si>
    <t>XXX-lecia 131/9, Wodzislaw</t>
  </si>
  <si>
    <t>6585</t>
  </si>
  <si>
    <t>Zeromska</t>
  </si>
  <si>
    <t>0012097138</t>
  </si>
  <si>
    <t>+48725454793</t>
  </si>
  <si>
    <t>Sienkiewicza 16/7, Radlin</t>
  </si>
  <si>
    <t>6589</t>
  </si>
  <si>
    <t>Szalamacha</t>
  </si>
  <si>
    <t>0006470456</t>
  </si>
  <si>
    <t>+48691446021</t>
  </si>
  <si>
    <t>Kaszubska 3/29, Jastrzebie</t>
  </si>
  <si>
    <t>6588</t>
  </si>
  <si>
    <t>0006472071</t>
  </si>
  <si>
    <t>+48782998052</t>
  </si>
  <si>
    <t>Slaska 15/4, Jastrzebie</t>
  </si>
  <si>
    <t>6590</t>
  </si>
  <si>
    <t>Jaworski</t>
  </si>
  <si>
    <t>+48533322363</t>
  </si>
  <si>
    <t>Krasickiego 8/18, Jastrzebie</t>
  </si>
  <si>
    <t>6593</t>
  </si>
  <si>
    <t>Luczkowski</t>
  </si>
  <si>
    <t>+48730158696</t>
  </si>
  <si>
    <t>6592</t>
  </si>
  <si>
    <t>Zybul</t>
  </si>
  <si>
    <t>0011869301</t>
  </si>
  <si>
    <t>+48517974452</t>
  </si>
  <si>
    <t>23 Marca 158/64, Wodzislaw</t>
  </si>
  <si>
    <t>77777783</t>
  </si>
  <si>
    <t>Kredba</t>
  </si>
  <si>
    <t>+420734438283</t>
  </si>
  <si>
    <t>Vedlejší 282 Havířov 73564</t>
  </si>
  <si>
    <t>6596</t>
  </si>
  <si>
    <t>0001184819</t>
  </si>
  <si>
    <t>+48512488814</t>
  </si>
  <si>
    <t>Pomorska 31/15, Jastrzebie</t>
  </si>
  <si>
    <t>6595</t>
  </si>
  <si>
    <t>Ferszt</t>
  </si>
  <si>
    <t>+48572049840</t>
  </si>
  <si>
    <t>Kruczkowskiego 2b/6, Pszow</t>
  </si>
  <si>
    <t>6597</t>
  </si>
  <si>
    <t>Mendrok</t>
  </si>
  <si>
    <t>Wanesa</t>
  </si>
  <si>
    <t>+48787900145</t>
  </si>
  <si>
    <t>Korfantego 13/5, Cieszyn</t>
  </si>
  <si>
    <t>Hodulík</t>
  </si>
  <si>
    <t>Mikuláš</t>
  </si>
  <si>
    <t>+420792438146</t>
  </si>
  <si>
    <t>Masarykova 158, Bohumín-Nový Bohumín 735 81</t>
  </si>
  <si>
    <t>1875</t>
  </si>
  <si>
    <t>6598</t>
  </si>
  <si>
    <t>Moskala</t>
  </si>
  <si>
    <t>6413954</t>
  </si>
  <si>
    <t>+48886905110</t>
  </si>
  <si>
    <t>Kosciuszki 38a/4, Cieszyn</t>
  </si>
  <si>
    <t>6599</t>
  </si>
  <si>
    <t>Szymanowicz</t>
  </si>
  <si>
    <t>0012820241</t>
  </si>
  <si>
    <t>+48884542352</t>
  </si>
  <si>
    <t>Szpitalna 2/12, Rydultowy</t>
  </si>
  <si>
    <t>6603</t>
  </si>
  <si>
    <t>Labiuk</t>
  </si>
  <si>
    <t>0012913254</t>
  </si>
  <si>
    <t>+48535309282</t>
  </si>
  <si>
    <t>Szpitalna 4/24 Rydultowy</t>
  </si>
  <si>
    <t>6602</t>
  </si>
  <si>
    <t>6458187</t>
  </si>
  <si>
    <t>6605</t>
  </si>
  <si>
    <t>Jezewski</t>
  </si>
  <si>
    <t>0008369783</t>
  </si>
  <si>
    <t>+48882552735</t>
  </si>
  <si>
    <t>dawis400@wp.pl</t>
  </si>
  <si>
    <t>Malinowa 34, Gorki Wielkie</t>
  </si>
  <si>
    <t>6606</t>
  </si>
  <si>
    <t>0006414168</t>
  </si>
  <si>
    <t>+48790820807</t>
  </si>
  <si>
    <t>rafaello0807@gmail.com</t>
  </si>
  <si>
    <t>6604</t>
  </si>
  <si>
    <t>Obodzinska-Blazicek</t>
  </si>
  <si>
    <t>0011694250</t>
  </si>
  <si>
    <t>+48576660646</t>
  </si>
  <si>
    <t>6600</t>
  </si>
  <si>
    <t>Sielski</t>
  </si>
  <si>
    <t>+48692793632</t>
  </si>
  <si>
    <t>Malolepszy</t>
  </si>
  <si>
    <t>0011966146</t>
  </si>
  <si>
    <t>+48799950943</t>
  </si>
  <si>
    <t>Wrzosowa 25/9, Jastrzebie</t>
  </si>
  <si>
    <t>Pielczyk</t>
  </si>
  <si>
    <t>0006473424</t>
  </si>
  <si>
    <t>+48889521735</t>
  </si>
  <si>
    <t>Kazimierza Ogrodowskiego 7/1, Rybnik</t>
  </si>
  <si>
    <t>0008360558</t>
  </si>
  <si>
    <t>+48500685051</t>
  </si>
  <si>
    <t>6607</t>
  </si>
  <si>
    <t>0006490788</t>
  </si>
  <si>
    <t>zajactomsz123@op.pl</t>
  </si>
  <si>
    <t>ul.Zielona 39/33 , Jastrzebie-Zdroj</t>
  </si>
  <si>
    <t>6608</t>
  </si>
  <si>
    <t>Niewrzal</t>
  </si>
  <si>
    <t>0006458189</t>
  </si>
  <si>
    <t>+48601384937</t>
  </si>
  <si>
    <t>ul.Konopnickiej 32 , Golasowice</t>
  </si>
  <si>
    <t>6609</t>
  </si>
  <si>
    <t>+48519862061</t>
  </si>
  <si>
    <t>ul.Mieleckiego 6/7 , Radlin</t>
  </si>
  <si>
    <t>6613</t>
  </si>
  <si>
    <t>0011678881</t>
  </si>
  <si>
    <t>6601</t>
  </si>
  <si>
    <t>6618</t>
  </si>
  <si>
    <t>Pochciol</t>
  </si>
  <si>
    <t>Adam Jaroslaw</t>
  </si>
  <si>
    <t>+48508651354</t>
  </si>
  <si>
    <t>Os.Pawlikowskiego 22A/8, Zory</t>
  </si>
  <si>
    <t>6620</t>
  </si>
  <si>
    <t>Ciesla</t>
  </si>
  <si>
    <t>Dariusz Wojciech</t>
  </si>
  <si>
    <t>0400214702</t>
  </si>
  <si>
    <t>+48600523854</t>
  </si>
  <si>
    <t>ul.Wodzislawska 15, Jastrzebie-Zdroj</t>
  </si>
  <si>
    <t>6621</t>
  </si>
  <si>
    <t>Adrian Leszek</t>
  </si>
  <si>
    <t>0006472534</t>
  </si>
  <si>
    <t>+48506403427</t>
  </si>
  <si>
    <t>adi98a@op.pl</t>
  </si>
  <si>
    <t>ul.Dabrowskiego 98A, Wodzislaw Slaski</t>
  </si>
  <si>
    <t>6614</t>
  </si>
  <si>
    <t>Bajaka</t>
  </si>
  <si>
    <t>0006408475</t>
  </si>
  <si>
    <t>+48790284168</t>
  </si>
  <si>
    <t>bajakarafal18@gmail.com</t>
  </si>
  <si>
    <t>Os.1000-Lecia 29/5, Jastrzebie-Zdroj</t>
  </si>
  <si>
    <t>6617</t>
  </si>
  <si>
    <t>Kurowski</t>
  </si>
  <si>
    <t>Kamil Jan</t>
  </si>
  <si>
    <t>0400329999</t>
  </si>
  <si>
    <t>+48726331148</t>
  </si>
  <si>
    <t>kurowskikamil817@gmail.com</t>
  </si>
  <si>
    <t>gen.Wladyslawa Andersa 11/7, Jastrzebie-Zdroj</t>
  </si>
  <si>
    <t>6616</t>
  </si>
  <si>
    <t>Wyrzykowski</t>
  </si>
  <si>
    <t>Gabriel Seweryn</t>
  </si>
  <si>
    <t>0400262543</t>
  </si>
  <si>
    <t>+48795420498</t>
  </si>
  <si>
    <t>wyrzykowski.gabriel54@gmail.com</t>
  </si>
  <si>
    <t>ul.26 Marca 28/5, Wodzislaw Slaski</t>
  </si>
  <si>
    <t>6619</t>
  </si>
  <si>
    <t>Jeszka</t>
  </si>
  <si>
    <t>Dominik Krzysztof</t>
  </si>
  <si>
    <t>0400245399</t>
  </si>
  <si>
    <t>+48504991198</t>
  </si>
  <si>
    <t>zowada123412@wp.pl</t>
  </si>
  <si>
    <t>ul.Apteczna 2/1, Wodzislaw Slaski</t>
  </si>
  <si>
    <t>6622</t>
  </si>
  <si>
    <t>Kasandra</t>
  </si>
  <si>
    <t>0012948486</t>
  </si>
  <si>
    <t>+48726157876</t>
  </si>
  <si>
    <t>26 Marca 156/54, Wodzislaw</t>
  </si>
  <si>
    <t>6634</t>
  </si>
  <si>
    <t>Pytlik</t>
  </si>
  <si>
    <t>+48791130013</t>
  </si>
  <si>
    <t>Powstancow Slaskich 26/7, Chalupki</t>
  </si>
  <si>
    <t>6633</t>
  </si>
  <si>
    <t>Szukaj</t>
  </si>
  <si>
    <t>0006445716</t>
  </si>
  <si>
    <t>+48578687716</t>
  </si>
  <si>
    <t>Os.1000-lecia 30/8, Jastrzebie</t>
  </si>
  <si>
    <t>6632</t>
  </si>
  <si>
    <t>Zawartowicz</t>
  </si>
  <si>
    <t>0006436361</t>
  </si>
  <si>
    <t>+48731420756</t>
  </si>
  <si>
    <t>Gornicza 56/9, Wodzislaw</t>
  </si>
  <si>
    <t>6631</t>
  </si>
  <si>
    <t>0006471357</t>
  </si>
  <si>
    <t>+48 537 615 692</t>
  </si>
  <si>
    <t>6629</t>
  </si>
  <si>
    <t>Stokowy</t>
  </si>
  <si>
    <t>0006476055</t>
  </si>
  <si>
    <t>+48514947400</t>
  </si>
  <si>
    <t>6623</t>
  </si>
  <si>
    <t>Miech</t>
  </si>
  <si>
    <t>+48884051183</t>
  </si>
  <si>
    <t>Turystyczna 14/13, Jastrzebie</t>
  </si>
  <si>
    <t>Krzysztoporski</t>
  </si>
  <si>
    <t>+48883126281</t>
  </si>
  <si>
    <t>Szarych Szeregów 6/5, Jastrzebie</t>
  </si>
  <si>
    <t>6626</t>
  </si>
  <si>
    <t>Zok</t>
  </si>
  <si>
    <t>0006409517</t>
  </si>
  <si>
    <t>+48668653275</t>
  </si>
  <si>
    <t>1 Maja 102, Jastrzebie</t>
  </si>
  <si>
    <t>6624</t>
  </si>
  <si>
    <t>Przeworski</t>
  </si>
  <si>
    <t>0006492181</t>
  </si>
  <si>
    <t>+485067478298</t>
  </si>
  <si>
    <t>Irysowa 3, Radlin</t>
  </si>
  <si>
    <t>6625</t>
  </si>
  <si>
    <t>0006407166</t>
  </si>
  <si>
    <t>Powstancow Slaskich 8g/9, Zory</t>
  </si>
  <si>
    <t>6627</t>
  </si>
  <si>
    <t>Grobelny</t>
  </si>
  <si>
    <t>+48535879777</t>
  </si>
  <si>
    <t>Owocowa 7, Zory</t>
  </si>
  <si>
    <t>6642</t>
  </si>
  <si>
    <t>6641</t>
  </si>
  <si>
    <t>Niewiarowski</t>
  </si>
  <si>
    <t>Lucjan</t>
  </si>
  <si>
    <t>+420792479956</t>
  </si>
  <si>
    <t>Osiedle Powstancow Slaskich 1e/6, Zory</t>
  </si>
  <si>
    <t>Mularski</t>
  </si>
  <si>
    <t>Michael</t>
  </si>
  <si>
    <t>+48724402063</t>
  </si>
  <si>
    <t>Kaszubska 8/63, Jastrzebie</t>
  </si>
  <si>
    <t>6635</t>
  </si>
  <si>
    <t>+48570175464</t>
  </si>
  <si>
    <t>Os.Ksiecia Wladyslawa 13c/4, Zory</t>
  </si>
  <si>
    <t>6636</t>
  </si>
  <si>
    <t>Sitkow</t>
  </si>
  <si>
    <t>+48510695517</t>
  </si>
  <si>
    <t>6637</t>
  </si>
  <si>
    <t>6638</t>
  </si>
  <si>
    <t>+48796512042</t>
  </si>
  <si>
    <t>Wroclawska 35/9, Jastrzebie</t>
  </si>
  <si>
    <t>6639</t>
  </si>
  <si>
    <t>Bierski</t>
  </si>
  <si>
    <t>Wieslaw</t>
  </si>
  <si>
    <t>0006413421</t>
  </si>
  <si>
    <t>+48577733919</t>
  </si>
  <si>
    <t>wieslawbierski93@gmail.com</t>
  </si>
  <si>
    <t>Weltzla 11/1, Zory</t>
  </si>
  <si>
    <t>6646</t>
  </si>
  <si>
    <t>Wichniarek</t>
  </si>
  <si>
    <t>0006465280</t>
  </si>
  <si>
    <t>+48888748213</t>
  </si>
  <si>
    <t>nemá email</t>
  </si>
  <si>
    <t>Kaszubska 7/42, Jastrzebie</t>
  </si>
  <si>
    <t>6640</t>
  </si>
  <si>
    <t>Kuska</t>
  </si>
  <si>
    <t>0006412548</t>
  </si>
  <si>
    <t>+48501468271</t>
  </si>
  <si>
    <t>Pover7241@gmail.com</t>
  </si>
  <si>
    <t>Zorska 142b, Rybnik</t>
  </si>
  <si>
    <t>6643</t>
  </si>
  <si>
    <t>0006414651</t>
  </si>
  <si>
    <t>+48517335120</t>
  </si>
  <si>
    <t>pawlasdaniel444@gmail.com</t>
  </si>
  <si>
    <t>Wrzosowa 66J, Radlin</t>
  </si>
  <si>
    <t>6644</t>
  </si>
  <si>
    <t>Tarka</t>
  </si>
  <si>
    <t>0006426523</t>
  </si>
  <si>
    <t>+48530666932</t>
  </si>
  <si>
    <t>tarkakacper42gmail.com</t>
  </si>
  <si>
    <t>Kanarkowa 93, Pniowek</t>
  </si>
  <si>
    <t>Burzyk</t>
  </si>
  <si>
    <t>0006462731</t>
  </si>
  <si>
    <t>+48606264174</t>
  </si>
  <si>
    <t>bartek.buryzk@onet.eu</t>
  </si>
  <si>
    <t>Dworcowa 26, Jastrzebie</t>
  </si>
  <si>
    <t>6649</t>
  </si>
  <si>
    <t>Szoltys</t>
  </si>
  <si>
    <t>Katarzyna Anna</t>
  </si>
  <si>
    <t>+48510429938</t>
  </si>
  <si>
    <t>ul.Promienna 7/115, Zory</t>
  </si>
  <si>
    <t>Krzysztof Tomasz</t>
  </si>
  <si>
    <t>+48 510 695 517</t>
  </si>
  <si>
    <t>Wroclawska 1/26, Jastrzebie-Zdroj, 44-335 </t>
  </si>
  <si>
    <t>6650</t>
  </si>
  <si>
    <t>+48500833797</t>
  </si>
  <si>
    <t>janusz14,66@o2.pl</t>
  </si>
  <si>
    <t>Gagarina 110/55, Jastrzebie</t>
  </si>
  <si>
    <t>6653</t>
  </si>
  <si>
    <t>Kubica</t>
  </si>
  <si>
    <t>+48512423103</t>
  </si>
  <si>
    <t>ul.Lubomska 97H, Krzyzkowice</t>
  </si>
  <si>
    <t>6652</t>
  </si>
  <si>
    <t>Noszczynski</t>
  </si>
  <si>
    <t>+48504164848</t>
  </si>
  <si>
    <t>Slaska 37/12, Jastrzebie</t>
  </si>
  <si>
    <t>6654</t>
  </si>
  <si>
    <t>Franczak</t>
  </si>
  <si>
    <t>+48517326823</t>
  </si>
  <si>
    <t>ul.Wrocławska 7/1</t>
  </si>
  <si>
    <t>6651</t>
  </si>
  <si>
    <t>+48575703049</t>
  </si>
  <si>
    <t>ul.Janusza Kusocinskiego 29/5, Jastrzebie-Zdroj</t>
  </si>
  <si>
    <t>6655</t>
  </si>
  <si>
    <t>Brzeczek</t>
  </si>
  <si>
    <t>Konrad Rafal</t>
  </si>
  <si>
    <t>+48796109539</t>
  </si>
  <si>
    <t>ul.Czernicka 21C, Piece</t>
  </si>
  <si>
    <t>6658</t>
  </si>
  <si>
    <t>+48452717287</t>
  </si>
  <si>
    <t>Swietego Jozefa 18/19, Rybnik</t>
  </si>
  <si>
    <t>6657</t>
  </si>
  <si>
    <t>Pastor</t>
  </si>
  <si>
    <t>+48532111802</t>
  </si>
  <si>
    <t>Marusarzowny 24/8, Jastrzebie</t>
  </si>
  <si>
    <t>6656</t>
  </si>
  <si>
    <t>Botaniczna 6, Konczyce Male</t>
  </si>
  <si>
    <t>6661</t>
  </si>
  <si>
    <t>+48511663644</t>
  </si>
  <si>
    <t>ul.Zielona 9/30, Jastrzebie-Zdroj</t>
  </si>
  <si>
    <t>6659</t>
  </si>
  <si>
    <t>Matelski</t>
  </si>
  <si>
    <t>Krzysztof Krystian</t>
  </si>
  <si>
    <t>+48607768090</t>
  </si>
  <si>
    <t>ul.Kochanowskiego 13/10, Zebrzydowice</t>
  </si>
  <si>
    <t>6660</t>
  </si>
  <si>
    <t>Os.1000-Lecia 14/33, Jastrzebie-Zdroj</t>
  </si>
  <si>
    <t>6662</t>
  </si>
  <si>
    <t>Brudny</t>
  </si>
  <si>
    <t>+48666707239</t>
  </si>
  <si>
    <t>ul.Sportowa 13, Jastrzebie-Zdroj</t>
  </si>
  <si>
    <t>6663</t>
  </si>
  <si>
    <t>ul.Chopina 22/61, Cieszyn</t>
  </si>
  <si>
    <t>6664</t>
  </si>
  <si>
    <t>Kuzma</t>
  </si>
  <si>
    <t>+48667281386</t>
  </si>
  <si>
    <t>ul.Kusocinskiego 44/2, Jastrzebie-Zdroj</t>
  </si>
  <si>
    <t>6670</t>
  </si>
  <si>
    <t>+48724775949</t>
  </si>
  <si>
    <t>PCK 22/10, Wodzislaw</t>
  </si>
  <si>
    <t>6667</t>
  </si>
  <si>
    <t>Szablak</t>
  </si>
  <si>
    <t>+48531755018</t>
  </si>
  <si>
    <t>Spacerowa 33, Gorzyczki</t>
  </si>
  <si>
    <t>6666</t>
  </si>
  <si>
    <t>+48530227768</t>
  </si>
  <si>
    <t>Osiedle 1 Maja 15/2/6, Wodzislaw</t>
  </si>
  <si>
    <t>6665</t>
  </si>
  <si>
    <t>+48577537828</t>
  </si>
  <si>
    <t>mat12dlu@icloud.com</t>
  </si>
  <si>
    <t>Os.Kofrantego 86/2 Zory</t>
  </si>
  <si>
    <t>6671</t>
  </si>
  <si>
    <t>Orzech</t>
  </si>
  <si>
    <t>+48723651862</t>
  </si>
  <si>
    <t>Komorowicka 116/4, Bielsko Biala</t>
  </si>
  <si>
    <t>6668</t>
  </si>
  <si>
    <t>Bernat</t>
  </si>
  <si>
    <t>+48536144033</t>
  </si>
  <si>
    <t>26 Marca 130/12, Wodzislaw</t>
  </si>
  <si>
    <t>6674</t>
  </si>
  <si>
    <t>+48504283959</t>
  </si>
  <si>
    <t>26 Marca 136/8, Wodzislaw</t>
  </si>
  <si>
    <t>6672</t>
  </si>
  <si>
    <t>Lazar</t>
  </si>
  <si>
    <t>+48789628251</t>
  </si>
  <si>
    <t>Wielkopolska 39/27, Jastrzębie-Zdrój</t>
  </si>
  <si>
    <t>6669</t>
  </si>
  <si>
    <t>+48783975928</t>
  </si>
  <si>
    <t>Armii Krajowej 86/27, Jastrzebie</t>
  </si>
  <si>
    <t>6673</t>
  </si>
  <si>
    <t>Bres</t>
  </si>
  <si>
    <t>+48793676412</t>
  </si>
  <si>
    <t>work0777@wp.pl</t>
  </si>
  <si>
    <t>Wielkopolska 57/40, Jastrzebie</t>
  </si>
  <si>
    <t>+48514309678</t>
  </si>
  <si>
    <t>ul.Karola Miarki 3/31, Jastrzebie-Zdroj</t>
  </si>
  <si>
    <t>6676</t>
  </si>
  <si>
    <t>Bienia</t>
  </si>
  <si>
    <t>Marek Ryszard</t>
  </si>
  <si>
    <t>+48570393258</t>
  </si>
  <si>
    <t>ul.Kwiatowa 17, Radlin</t>
  </si>
  <si>
    <t>6677</t>
  </si>
  <si>
    <t>Laszek</t>
  </si>
  <si>
    <t>Bogdan Krzysztof</t>
  </si>
  <si>
    <t>+48690099532</t>
  </si>
  <si>
    <t>Os.Powstancow Slaskich 2C/</t>
  </si>
  <si>
    <t>6678</t>
  </si>
  <si>
    <t>Artur Rafal</t>
  </si>
  <si>
    <t>ul.Boleslawa Chrobrego 33/1, Cieszyn</t>
  </si>
  <si>
    <t>6679</t>
  </si>
  <si>
    <t>Krajewski</t>
  </si>
  <si>
    <t>+48732728244</t>
  </si>
  <si>
    <t>ul.Warminska 54/11, Jastrzebie-Zdroj</t>
  </si>
  <si>
    <t>6683</t>
  </si>
  <si>
    <t>Bugajska</t>
  </si>
  <si>
    <t>+48792804369</t>
  </si>
  <si>
    <t>Os.Sikorskiego 16h/4, Zory</t>
  </si>
  <si>
    <t>6681</t>
  </si>
  <si>
    <t>Cebula</t>
  </si>
  <si>
    <t>+48796833552</t>
  </si>
  <si>
    <t>ul.Hancowka 10, Zory</t>
  </si>
  <si>
    <t>6682</t>
  </si>
  <si>
    <t>Wojtczak</t>
  </si>
  <si>
    <t>Daniel Szymon</t>
  </si>
  <si>
    <t>+48692677508</t>
  </si>
  <si>
    <t>Os.Gwarkow 5c/12, Zory</t>
  </si>
  <si>
    <t>Jan Emil</t>
  </si>
  <si>
    <t>+48507795190</t>
  </si>
  <si>
    <t>Os.Sikorskiego 3e/4, Zory</t>
  </si>
  <si>
    <t>6680</t>
  </si>
  <si>
    <t>Popek</t>
  </si>
  <si>
    <t>Wiktor Daniel</t>
  </si>
  <si>
    <t>+48575137637</t>
  </si>
  <si>
    <t>ul.Promienna 5/102, Zory</t>
  </si>
  <si>
    <t>6685</t>
  </si>
  <si>
    <t>Kąsek</t>
  </si>
  <si>
    <t>+48792409815</t>
  </si>
  <si>
    <t>Hetmanska 7b/11, Rybnik</t>
  </si>
  <si>
    <t>ID</t>
  </si>
  <si>
    <t>Zastávka</t>
  </si>
  <si>
    <t>Sloupec1</t>
  </si>
  <si>
    <t>Miasto (Město)</t>
  </si>
  <si>
    <t>Przystanek / Lokalizacja (Zastávka)</t>
  </si>
  <si>
    <t>Spolu</t>
  </si>
  <si>
    <t>01</t>
  </si>
  <si>
    <t>Cieszyn, Brama Myta (dawne przejście graniczne)</t>
  </si>
  <si>
    <t>Cieszyn</t>
  </si>
  <si>
    <t>Brama Myta (dawne przejście graniczne)</t>
  </si>
  <si>
    <t>02</t>
  </si>
  <si>
    <t>Cieszyn, McDonald's</t>
  </si>
  <si>
    <t>McDonald's</t>
  </si>
  <si>
    <t>03</t>
  </si>
  <si>
    <t>Cieszyn, ul. Katowicka (Cmentarz / Orlen / Biedronka)</t>
  </si>
  <si>
    <t>ul. Katowicka (Cmentarz / Orlen / Biedronka)</t>
  </si>
  <si>
    <t>04</t>
  </si>
  <si>
    <t>Cieszyn, ul. Liburnia (Kaufland)</t>
  </si>
  <si>
    <t>ul. Liburnia (Kaufland)</t>
  </si>
  <si>
    <t>05</t>
  </si>
  <si>
    <t>Cieszyn, ul. Liburnia (Kościół)</t>
  </si>
  <si>
    <t>ul. Liburnia (Kościół)</t>
  </si>
  <si>
    <t>06</t>
  </si>
  <si>
    <t>Cieszyn, ul. Liburnia (Starostwo Powiatowe)</t>
  </si>
  <si>
    <t>ul. Liburnia (Starostwo Powiatowe)</t>
  </si>
  <si>
    <t>07</t>
  </si>
  <si>
    <t>Cieszyn, ul. Liburnia (Warsztat)</t>
  </si>
  <si>
    <t>ul. Liburnia (Warsztat)</t>
  </si>
  <si>
    <t>08</t>
  </si>
  <si>
    <t>Cieszyn, ul. Stawowa (Pastwiska)</t>
  </si>
  <si>
    <t>ul. Stawowa (Pastwiska)</t>
  </si>
  <si>
    <t>09</t>
  </si>
  <si>
    <t>Frýdek-Místek (CZ), Stacja Benzina / KMJ</t>
  </si>
  <si>
    <t>Frýdek-Místek (CZ)</t>
  </si>
  <si>
    <t>Stacja Benzina / KMJ</t>
  </si>
  <si>
    <t>Gołkowice, ul. 1 Maja (Centrum)</t>
  </si>
  <si>
    <t>Gołkowice</t>
  </si>
  <si>
    <t>ul. 1 Maja (Centrum)</t>
  </si>
  <si>
    <t>11</t>
  </si>
  <si>
    <t>Gorzyce, Urząd Gminy</t>
  </si>
  <si>
    <t>Gorzyce</t>
  </si>
  <si>
    <t>Urząd Gminy</t>
  </si>
  <si>
    <t>Gorzyczki, UNIWAR</t>
  </si>
  <si>
    <t>Gorzyczki</t>
  </si>
  <si>
    <t>UNIWAR</t>
  </si>
  <si>
    <t>13</t>
  </si>
  <si>
    <t>Hażlach, Centrum (Skrzyżowanie obok stacji Crab)</t>
  </si>
  <si>
    <t>Hażlach</t>
  </si>
  <si>
    <t>Centrum (Skrzyżowanie obok stacji Crab)</t>
  </si>
  <si>
    <t>Hażlach, Restauracja Parkowa</t>
  </si>
  <si>
    <t>Restauracja Parkowa</t>
  </si>
  <si>
    <t>15</t>
  </si>
  <si>
    <t>Hażlach, Sklep Gastronomia</t>
  </si>
  <si>
    <t>Sklep Gastronomia</t>
  </si>
  <si>
    <t>16</t>
  </si>
  <si>
    <t>Jastrzębie-Zdrój, Al. Jana Pawła II (Hala Sportowa)</t>
  </si>
  <si>
    <t>Jastrzębie-Zdrój</t>
  </si>
  <si>
    <t>Al. Jana Pawła II (Hala Sportowa)</t>
  </si>
  <si>
    <t>Jastrzębie-Zdrój, Al. Piłsudskiego (Dubielec)</t>
  </si>
  <si>
    <t>Al. Piłsudskiego (Dubielec)</t>
  </si>
  <si>
    <t>Jastrzębie-Zdrój, Al. Piłsudskiego (McDonald's)</t>
  </si>
  <si>
    <t>Al. Piłsudskiego (McDonald's)</t>
  </si>
  <si>
    <t>Jastrzębie-Zdrój, Al. Piłsudskiego (Osiedle Gwarków)</t>
  </si>
  <si>
    <t>Al. Piłsudskiego (Osiedle Gwarków)</t>
  </si>
  <si>
    <t>20</t>
  </si>
  <si>
    <t>Jastrzębie-Zdrój, Al. Piłsudskiego (Osiedle Pionierów)</t>
  </si>
  <si>
    <t>Al. Piłsudskiego (Osiedle Pionierów)</t>
  </si>
  <si>
    <t>Jastrzębie-Zdrój, Al. Piłsudskiego (Osiedle Staszica)</t>
  </si>
  <si>
    <t>Al. Piłsudskiego (Osiedle Staszica)</t>
  </si>
  <si>
    <t>Jastrzębie-Zdrój, Al. Piłsudskiego (Pszczyńska/Rybnicka)</t>
  </si>
  <si>
    <t>Al. Piłsudskiego (Pszczyńska/Rybnicka)</t>
  </si>
  <si>
    <t>Jastrzębie-Zdrój, Al. Piłsudskiego (Rondo Dolne)</t>
  </si>
  <si>
    <t>Al. Piłsudskiego (Rondo Dolne)</t>
  </si>
  <si>
    <t>24</t>
  </si>
  <si>
    <t>Jastrzębie-Zdrój, Al. Piłsudskiego (Supersam/Kaufland)</t>
  </si>
  <si>
    <t>Al. Piłsudskiego (Supersam/Kaufland)</t>
  </si>
  <si>
    <t>25</t>
  </si>
  <si>
    <t>Jastrzębie-Zdrój, Al. Piłsudskiego (Urząd Miasta)</t>
  </si>
  <si>
    <t>Al. Piłsudskiego (Urząd Miasta)</t>
  </si>
  <si>
    <t>Jastrzębie-Zdrój, Armii Krajowej</t>
  </si>
  <si>
    <t>Armii Krajowej</t>
  </si>
  <si>
    <t>Jastrzębie-Zdrój, Dworzec Autobusowy (ul. Sybiraków - Mała Strona)</t>
  </si>
  <si>
    <t>Dworzec Autobusowy (ul. Sybiraków - Mała Strona)</t>
  </si>
  <si>
    <t>28</t>
  </si>
  <si>
    <t>Jastrzębie-Zdrój, Dworzec Zdrój (ul. Broniewskiego)</t>
  </si>
  <si>
    <t>Dworzec Zdrój (ul. Broniewskiego)</t>
  </si>
  <si>
    <t>29</t>
  </si>
  <si>
    <t>Jastrzębie-Zdrój, Górne</t>
  </si>
  <si>
    <t>Górne</t>
  </si>
  <si>
    <t>Jastrzębie-Zdrój, Małopolska</t>
  </si>
  <si>
    <t>Małopolska</t>
  </si>
  <si>
    <t>31</t>
  </si>
  <si>
    <t>Jastrzębie-Zdrój, Moszczenica (Urząd Miasta/Zdrój)</t>
  </si>
  <si>
    <t>Moszczenica (Urząd Miasta/Zdrój)</t>
  </si>
  <si>
    <t>Jastrzębie-Zdrój, Podhalańska (Wodociągi)</t>
  </si>
  <si>
    <t>Podhalańska (Wodociągi)</t>
  </si>
  <si>
    <t>Jastrzębie-Zdrój, Ranoszka</t>
  </si>
  <si>
    <t>Ranoszka</t>
  </si>
  <si>
    <t>Jastrzębie-Zdrój, Ruptawa (Cisówka)</t>
  </si>
  <si>
    <t>Ruptawa (Cisówka)</t>
  </si>
  <si>
    <t>35</t>
  </si>
  <si>
    <t>Jastrzębie-Zdrój, Ruptawa (Ośrodek Zdrowia)</t>
  </si>
  <si>
    <t>Ruptawa (Ośrodek Zdrowia)</t>
  </si>
  <si>
    <t>36</t>
  </si>
  <si>
    <t>Jastrzębie-Zdrój, Szeroka (Kaplica)</t>
  </si>
  <si>
    <t>Szeroka (Kaplica)</t>
  </si>
  <si>
    <t>Jastrzębie-Zdrój, Szeroka (Kościół)</t>
  </si>
  <si>
    <t>Szeroka (Kościół)</t>
  </si>
  <si>
    <t>38</t>
  </si>
  <si>
    <t>Jastrzębie-Zdrój, Szeroka (ul. Gagarina)</t>
  </si>
  <si>
    <t>Szeroka (ul. Gagarina)</t>
  </si>
  <si>
    <t>39</t>
  </si>
  <si>
    <t>Jastrzębie-Zdrój, Szeroka (ul. Powstańców Śląskich/Biedronka)</t>
  </si>
  <si>
    <t>Szeroka (ul. Powstańców Śląskich/Biedronka)</t>
  </si>
  <si>
    <t>Jastrzębie-Zdrój, Szeroka (ul. Rybnicka)</t>
  </si>
  <si>
    <t>Szeroka (ul. Rybnicka)</t>
  </si>
  <si>
    <t>Jastrzębie-Zdrój, ul. 11 Listopada (Urząd Skarbowy)</t>
  </si>
  <si>
    <t>ul. 11 Listopada (Urząd Skarbowy)</t>
  </si>
  <si>
    <t>Jastrzębie-Zdrój, ul. Arki Bożka</t>
  </si>
  <si>
    <t>ul. Arki Bożka</t>
  </si>
  <si>
    <t>43</t>
  </si>
  <si>
    <t>Jastrzębie-Zdrój, ul. Cieszyńska (Bzie)</t>
  </si>
  <si>
    <t>ul. Cieszyńska (Bzie)</t>
  </si>
  <si>
    <t>44</t>
  </si>
  <si>
    <t>Jastrzębie-Zdrój, ul. Graniczna (Stacja Paliw)</t>
  </si>
  <si>
    <t>ul. Graniczna (Stacja Paliw)</t>
  </si>
  <si>
    <t>Jastrzębie-Zdrój, ul. Jagiełły (OD Krokus)</t>
  </si>
  <si>
    <t>ul. Jagiełły (OD Krokus)</t>
  </si>
  <si>
    <t>46</t>
  </si>
  <si>
    <t>Jastrzębie-Zdrój, ul. Katowicka</t>
  </si>
  <si>
    <t>ul. Katowicka</t>
  </si>
  <si>
    <t>Jastrzębie-Zdrój, ul. Turystyczna</t>
  </si>
  <si>
    <t>ul. Turystyczna</t>
  </si>
  <si>
    <t>48</t>
  </si>
  <si>
    <t>Jastrzębie-Zdrój, ul. Wodzisławska (Hotel Czarny Rycerz)</t>
  </si>
  <si>
    <t>ul. Wodzisławska (Hotel Czarny Rycerz)</t>
  </si>
  <si>
    <t>Jastrzębie-Zdrój, ul. Zdrojowa</t>
  </si>
  <si>
    <t>ul. Zdrojowa</t>
  </si>
  <si>
    <t>50</t>
  </si>
  <si>
    <t>Jastrzębie-Zdrój, Zofiówka (Kopalnia)</t>
  </si>
  <si>
    <t>Zofiówka (Kopalnia)</t>
  </si>
  <si>
    <t>Karwina (CZ), Frysztat (Dworzec Autobusowy)</t>
  </si>
  <si>
    <t>Karwina (CZ)</t>
  </si>
  <si>
    <t>Frysztat (Dworzec Autobusowy)</t>
  </si>
  <si>
    <t>Kończyce Małe, Sklep</t>
  </si>
  <si>
    <t>Kończyce Małe</t>
  </si>
  <si>
    <t>Sklep</t>
  </si>
  <si>
    <t>53</t>
  </si>
  <si>
    <t>Kończyce Małe, Skrzyżowanie</t>
  </si>
  <si>
    <t>Skrzyżowanie</t>
  </si>
  <si>
    <t>Kończyce Małe, Szkoła</t>
  </si>
  <si>
    <t>Szkoła</t>
  </si>
  <si>
    <t>Kończyce Wielkie, Odnóżka</t>
  </si>
  <si>
    <t>Kończyce Wielkie</t>
  </si>
  <si>
    <t>Odnóżka</t>
  </si>
  <si>
    <t>56</t>
  </si>
  <si>
    <t>Kończyce Wielkie, Ośrodek Zdrowia</t>
  </si>
  <si>
    <t>Ośrodek Zdrowia</t>
  </si>
  <si>
    <t>57</t>
  </si>
  <si>
    <t>Kończyce Wielkie, Spółdzielnia</t>
  </si>
  <si>
    <t>Spółdzielnia</t>
  </si>
  <si>
    <t>58</t>
  </si>
  <si>
    <t>Łaziska, UNIWAR</t>
  </si>
  <si>
    <t>Łaziska</t>
  </si>
  <si>
    <t>59</t>
  </si>
  <si>
    <t>Mszana, Centrum / Urząd Gminy</t>
  </si>
  <si>
    <t>Mszana</t>
  </si>
  <si>
    <t>Centrum / Urząd Gminy</t>
  </si>
  <si>
    <t>60</t>
  </si>
  <si>
    <t>Ostrava (CZ), Dřevoprodej</t>
  </si>
  <si>
    <t>Ostrava (CZ)</t>
  </si>
  <si>
    <t>Dřevoprodej</t>
  </si>
  <si>
    <t>Piotrowice / Petrovice (CZ), Przejście graniczne</t>
  </si>
  <si>
    <t>Piotrowice / Petrovice (CZ)</t>
  </si>
  <si>
    <t>Przejście graniczne</t>
  </si>
  <si>
    <t>Radlin, Korfantego (Centrum)</t>
  </si>
  <si>
    <t>Radlin</t>
  </si>
  <si>
    <t>Korfantego (Centrum)</t>
  </si>
  <si>
    <t>63</t>
  </si>
  <si>
    <t>Radlin, Maja (Dworzec Autobusowy/KWK)</t>
  </si>
  <si>
    <t>Maja (Dworzec Autobusowy/KWK)</t>
  </si>
  <si>
    <t>67</t>
  </si>
  <si>
    <t>Rydułtowy, Dworzec Autobusowy</t>
  </si>
  <si>
    <t>Rydułtowy</t>
  </si>
  <si>
    <t>Dworzec Autobusowy</t>
  </si>
  <si>
    <t>69</t>
  </si>
  <si>
    <t>Rydułtowy, Orłowiec</t>
  </si>
  <si>
    <t>Orłowiec</t>
  </si>
  <si>
    <t>68</t>
  </si>
  <si>
    <t>Rydułtowy, ul. Ładna (McDonald's)</t>
  </si>
  <si>
    <t>ul. Ładna (McDonald's)</t>
  </si>
  <si>
    <t>70</t>
  </si>
  <si>
    <t>Rybnik, Boguszowice (Stary Kościół)</t>
  </si>
  <si>
    <t>Rybnik</t>
  </si>
  <si>
    <t>Boguszowice (Stary Kościół)</t>
  </si>
  <si>
    <t>71</t>
  </si>
  <si>
    <t>Rybnik, Chwałowice (Kopalnia)</t>
  </si>
  <si>
    <t>Chwałowice (Kopalnia)</t>
  </si>
  <si>
    <t>72</t>
  </si>
  <si>
    <t>Rybnik, Dworzec Autobusowy (KM/PKS)</t>
  </si>
  <si>
    <t>Dworzec Autobusowy (KM/PKS)</t>
  </si>
  <si>
    <t>73</t>
  </si>
  <si>
    <t>Rybnik, Niedobczyce (Stadion/Karolinka)</t>
  </si>
  <si>
    <t>Niedobczyce (Stadion/Karolinka)</t>
  </si>
  <si>
    <t>74</t>
  </si>
  <si>
    <t>Rybnik, Paruszowiec (Piaski)</t>
  </si>
  <si>
    <t>Paruszowiec (Piaski)</t>
  </si>
  <si>
    <t>Rybnik, Popielów (Kościół / ul. Konarskiego)</t>
  </si>
  <si>
    <t>Popielów (Kościół / ul. Konarskiego)</t>
  </si>
  <si>
    <t>76</t>
  </si>
  <si>
    <t>Rybnik, Smolna (Franciszek)</t>
  </si>
  <si>
    <t>Smolna (Franciszek)</t>
  </si>
  <si>
    <t>Rybnik, Smolna (obok Biedronki)</t>
  </si>
  <si>
    <t>Smolna (obok Biedronki)</t>
  </si>
  <si>
    <t>Rybnik, Śródmieście (Dworek)</t>
  </si>
  <si>
    <t>Śródmieście (Dworek)</t>
  </si>
  <si>
    <t>79</t>
  </si>
  <si>
    <t>Rybnik, Śródmieście (ul. 3 Maja / Plac Wolności)</t>
  </si>
  <si>
    <t>Śródmieście (ul. 3 Maja / Plac Wolności)</t>
  </si>
  <si>
    <t>64</t>
  </si>
  <si>
    <t>Rybnik, ul. Budowlanych (Stacja Paliw BP)</t>
  </si>
  <si>
    <t>ul. Budowlanych (Stacja Paliw BP)</t>
  </si>
  <si>
    <t>65</t>
  </si>
  <si>
    <t>Rybnik, ul. Władysława Reymonta (Stacja Paliw AMIC Energy)</t>
  </si>
  <si>
    <t>ul. Władysława Reymonta (Stacja Paliw AMIC Energy)</t>
  </si>
  <si>
    <t>66</t>
  </si>
  <si>
    <t>Rybnik, ul. Zebrzydowicka (Parking Biedronka)</t>
  </si>
  <si>
    <t>ul. Zebrzydowicka (Parking Biedronka)</t>
  </si>
  <si>
    <t>Skrzyszów, ul. 1 Maja (Centrum)</t>
  </si>
  <si>
    <t>Skrzyszów</t>
  </si>
  <si>
    <t>Wodzisław Śląski, Dworzec Autobusowy (Galeria Karuzela)</t>
  </si>
  <si>
    <t>Wodzisław Śląski</t>
  </si>
  <si>
    <t>Dworzec Autobusowy (Galeria Karuzela)</t>
  </si>
  <si>
    <t>81</t>
  </si>
  <si>
    <t>Wodzisław Śląski, Kopernika</t>
  </si>
  <si>
    <t>Kopernika</t>
  </si>
  <si>
    <t>82</t>
  </si>
  <si>
    <t>Wodzisław Śląski, PKS / PKP</t>
  </si>
  <si>
    <t>PKS / PKP</t>
  </si>
  <si>
    <t>83</t>
  </si>
  <si>
    <t>Wodzisław Śląski, Radlin II (Dworzec PKP)</t>
  </si>
  <si>
    <t>Radlin II (Dworzec PKP)</t>
  </si>
  <si>
    <t>84</t>
  </si>
  <si>
    <t>Wodzisław Śląski, Radlin II (ul. Chrobrego / Żabka)</t>
  </si>
  <si>
    <t>Radlin II (ul. Chrobrego / Żabka)</t>
  </si>
  <si>
    <t>85</t>
  </si>
  <si>
    <t>Wodzisław Śląski, Radlin II (ul. Rybnicka)</t>
  </si>
  <si>
    <t>Radlin II (ul. Rybnicka)</t>
  </si>
  <si>
    <t>86</t>
  </si>
  <si>
    <t>Wodzisław Śląski, Stacja Paliw Circle K / McDonald's</t>
  </si>
  <si>
    <t>Stacja Paliw Circle K / McDonald's</t>
  </si>
  <si>
    <t>Wodzisław Śląski, Trzy Wzgórza</t>
  </si>
  <si>
    <t>Trzy Wzgórza</t>
  </si>
  <si>
    <t>88</t>
  </si>
  <si>
    <t>Wodzisław Śląski, ul. Bogumińska (Cmentarz/Działki)</t>
  </si>
  <si>
    <t>ul. Bogumińska (Cmentarz/Działki)</t>
  </si>
  <si>
    <t>Wodzisław Śląski, ul. Kubsza (Market Mrówka)</t>
  </si>
  <si>
    <t>ul. Kubsza (Market Mrówka)</t>
  </si>
  <si>
    <t>Wodzisław Śląski, ul. Radlińska (Piekarnia Kłos)</t>
  </si>
  <si>
    <t>ul. Radlińska (Piekarnia Kłos)</t>
  </si>
  <si>
    <t>Wodzisław Śląski, Wilchwy (Blazy)</t>
  </si>
  <si>
    <t>Wilchwy (Blazy)</t>
  </si>
  <si>
    <t>92</t>
  </si>
  <si>
    <t>Wodzisław Śląski, Wilchwy (Osiedle)</t>
  </si>
  <si>
    <t>Wilchwy (Osiedle)</t>
  </si>
  <si>
    <t>93</t>
  </si>
  <si>
    <t>Wodzisław Śląski, Wilchwy (Szkoła)</t>
  </si>
  <si>
    <t>Wilchwy (Szkoła)</t>
  </si>
  <si>
    <t>Wodzisław Śląski, ul. 26. Marca (Szpital)</t>
  </si>
  <si>
    <t>ul. 26. Marca (Szpital)</t>
  </si>
  <si>
    <t>Zebrzydowice, Kino</t>
  </si>
  <si>
    <t>Zebrzydowice</t>
  </si>
  <si>
    <t>Kino</t>
  </si>
  <si>
    <t>96</t>
  </si>
  <si>
    <t>Zebrzydowice, Ośrodek Zdrowia</t>
  </si>
  <si>
    <t>Zebrzydowice, Pętla/Bar (poblíž hranic)</t>
  </si>
  <si>
    <t>Pętla/Bar (poblíž hranic)</t>
  </si>
  <si>
    <t>Zebrzydowice, Rondo</t>
  </si>
  <si>
    <t>Rondo</t>
  </si>
  <si>
    <t>99</t>
  </si>
  <si>
    <t>Żory, Al. Niepodległości (Zegar)</t>
  </si>
  <si>
    <t>Żory</t>
  </si>
  <si>
    <t>Al. Niepodległości (Zegar)</t>
  </si>
  <si>
    <t>100</t>
  </si>
  <si>
    <t>Żory, Al. Zjednoczonej Europy (McDonald's)</t>
  </si>
  <si>
    <t>Al. Zjednoczonej Europy (McDonald's)</t>
  </si>
  <si>
    <t>101</t>
  </si>
  <si>
    <t>Żory, Bajerówka (ul. Jana Pawła II)</t>
  </si>
  <si>
    <t>Bajerówka (ul. Jana Pawła II)</t>
  </si>
  <si>
    <t>102</t>
  </si>
  <si>
    <t>Żory, Centrum Przesiadkowe (Dworzec PKS)</t>
  </si>
  <si>
    <t>Centrum Przesiadkowe (Dworzec PKS)</t>
  </si>
  <si>
    <t>Żory, Sąd Rejonowy (Al. Jana Pawła II)</t>
  </si>
  <si>
    <t>Sąd Rejonowy (Al. Jana Pawła II)</t>
  </si>
  <si>
    <t>Żory, ul. Dąbrowskiego (Sąd)</t>
  </si>
  <si>
    <t>ul. Dąbrowskiego (Sąd)</t>
  </si>
  <si>
    <t>105</t>
  </si>
  <si>
    <t>Żory, ul. Dworcowa (Parking Netto)</t>
  </si>
  <si>
    <t>ul. Dworcowa (Parking Netto)</t>
  </si>
  <si>
    <t>Żory, ul. Męczenników Oświęcimskich</t>
  </si>
  <si>
    <t>ul. Męczenników Oświęcimskich</t>
  </si>
  <si>
    <t>Żory, ul. Wodzisławska (Milla)</t>
  </si>
  <si>
    <t>ul. Wodzisławska (Milla)</t>
  </si>
  <si>
    <t>Vlastní auto</t>
  </si>
  <si>
    <t>Nástup</t>
  </si>
  <si>
    <t>Nástup ID</t>
  </si>
  <si>
    <t>Nepřiřazeno</t>
  </si>
  <si>
    <t>ZAMĚSTNANCI</t>
  </si>
  <si>
    <t>Příjmení</t>
  </si>
  <si>
    <t>Jméno</t>
  </si>
  <si>
    <t>Os.č.</t>
  </si>
  <si>
    <t>Os.č.kl.</t>
  </si>
  <si>
    <t>RFID</t>
  </si>
  <si>
    <t>Telefon</t>
  </si>
  <si>
    <t>Vstup</t>
  </si>
  <si>
    <t>Výstup</t>
  </si>
  <si>
    <t>Doprava</t>
  </si>
  <si>
    <t>Směna</t>
  </si>
  <si>
    <t>Cílová st.</t>
  </si>
  <si>
    <t>Docházka</t>
  </si>
  <si>
    <t>Editace</t>
  </si>
  <si>
    <t>0000-00-00</t>
  </si>
  <si>
    <t>R / O</t>
  </si>
  <si>
    <t>DSC 2</t>
  </si>
  <si>
    <t>N / O</t>
  </si>
  <si>
    <t>21:24:36</t>
  </si>
  <si>
    <t>BATZ 1</t>
  </si>
  <si>
    <t>Ostrava Dřevoprodej</t>
  </si>
  <si>
    <t>O / O</t>
  </si>
  <si>
    <t>13:10:00</t>
  </si>
  <si>
    <t>TATRA METALURGIE</t>
  </si>
  <si>
    <t>Rydultowy dworzec autobusovy</t>
  </si>
  <si>
    <t>HILITE 2</t>
  </si>
  <si>
    <t>Jastrzebie Zdrój McDonald (al. J. Pilsudskiego - przystanek)</t>
  </si>
  <si>
    <t>Jastrzebie Zdrój - Dworzec Zdrój (ul. W. Broniewskiego)</t>
  </si>
  <si>
    <t>O / N/A</t>
  </si>
  <si>
    <t>BATZ 2</t>
  </si>
  <si>
    <t>Źory - Bajerowka</t>
  </si>
  <si>
    <t>R / N/A</t>
  </si>
  <si>
    <t>N / N/A</t>
  </si>
  <si>
    <t>05:00:03</t>
  </si>
  <si>
    <t>DSC 1</t>
  </si>
  <si>
    <t>Radlin - Marcel przyst. autobus. Korfantego KWK</t>
  </si>
  <si>
    <t>04:16:02</t>
  </si>
  <si>
    <t>04:57:00</t>
  </si>
  <si>
    <t>Wodzisław Śląski -  Dworzec PKP przystanek autobusowy</t>
  </si>
  <si>
    <t>Jastrzębie-Zdrój HALA przyst. autobus. Hala Sportowa</t>
  </si>
  <si>
    <t>04:42:40</t>
  </si>
  <si>
    <t>Jastrzębie-Zdrój - KWK Zofiówka przystanek autobusowy</t>
  </si>
  <si>
    <t>Jastrzębie-Zdrój - SUPERSAM przyst. autobus. Al.Piłsudskiego - os. Staszica</t>
  </si>
  <si>
    <t>04:39:57</t>
  </si>
  <si>
    <t>Jastrzębie-Zdrój - Urząd Miasta przyst. autobus. Al. Piłsudskiego - Os. Morcinka</t>
  </si>
  <si>
    <t>04:35:15</t>
  </si>
  <si>
    <t>N/A / N/A</t>
  </si>
  <si>
    <t>04:42:53</t>
  </si>
  <si>
    <t>Wodzisław Śląski Mrowka</t>
  </si>
  <si>
    <t>04:37:54</t>
  </si>
  <si>
    <t>Ostrava dřevoprodej</t>
  </si>
  <si>
    <t>05:03:30</t>
  </si>
  <si>
    <t>Jastr.Zd. - Armii Krajowej</t>
  </si>
  <si>
    <t>21:00:00</t>
  </si>
  <si>
    <t>R / R</t>
  </si>
  <si>
    <t>Szeroka - Gagarina przyst.autobus.</t>
  </si>
  <si>
    <t>04:10:06</t>
  </si>
  <si>
    <t>Źory Sąd przyst. autobus. Al. Jana Pawła II Sąd</t>
  </si>
  <si>
    <t>21:24:45</t>
  </si>
  <si>
    <t>Rydultowy Dworzec Autobusowy</t>
  </si>
  <si>
    <t>05:09:35</t>
  </si>
  <si>
    <t>rybnik dworek parking trafo</t>
  </si>
  <si>
    <t>03:58:38</t>
  </si>
  <si>
    <t>Szeroka - Biedronka</t>
  </si>
  <si>
    <t>05:09:39</t>
  </si>
  <si>
    <t>Cieszyn McDonalds</t>
  </si>
  <si>
    <t>04:40:15</t>
  </si>
  <si>
    <t>Jastr.Zd. - Al. Piłsudskiego - Os. Morcinka / Urząd Miasta</t>
  </si>
  <si>
    <t>R / N</t>
  </si>
  <si>
    <t>13:00:00</t>
  </si>
  <si>
    <t>Wodzisław Śląski stacja paliw Circle K/McDonalds</t>
  </si>
  <si>
    <t>TATRA - ALS - SPRINT</t>
  </si>
  <si>
    <t>Jastrzębie Zdroj - Pilsudskiego Gwarkow</t>
  </si>
  <si>
    <t>04:02:38</t>
  </si>
  <si>
    <t>Rybnik - Stacja paliw AMIC Energy ul. Władysława Stanisława Reymonta 45</t>
  </si>
  <si>
    <t>11:46:43</t>
  </si>
  <si>
    <t>Rybnik - Stacja paliw BP ul. Budowlanych</t>
  </si>
  <si>
    <t>21:23:45</t>
  </si>
  <si>
    <t>Końzyce Male - Szkola</t>
  </si>
  <si>
    <t>Gorzyce Urząd Gminy</t>
  </si>
  <si>
    <t>Jastrzebie Zdroj Dworzec autobusowy</t>
  </si>
  <si>
    <t>Jastr.Zd. - Aleje Piłsudskiego SUPERSAM</t>
  </si>
  <si>
    <t>Źory Bajerówka przyst. autobus. Al. Jana Pawła II Bajerówka</t>
  </si>
  <si>
    <t>04:22:30</t>
  </si>
  <si>
    <t>Jastrzebie Zdrój - Dubielec (ul. Rybnicka - przystanek)</t>
  </si>
  <si>
    <t>Wilchwy przystanek autobusowy   Osiedle</t>
  </si>
  <si>
    <t>04:32:03</t>
  </si>
  <si>
    <t>Ruptawa - Cisówka</t>
  </si>
  <si>
    <t>04:19:09</t>
  </si>
  <si>
    <t>Rydultowy Orlowiec</t>
  </si>
  <si>
    <t>Male Konczyce</t>
  </si>
  <si>
    <t>12:10:00</t>
  </si>
  <si>
    <t>Cieszyn Liburnia</t>
  </si>
  <si>
    <t>21:04:56</t>
  </si>
  <si>
    <t>04:39:24</t>
  </si>
  <si>
    <t>04:48:00</t>
  </si>
  <si>
    <t>Radlin - Centrum przystanek autobus.  Korfantego</t>
  </si>
  <si>
    <t>Zebrzydowice Ośrodek Zdrowia</t>
  </si>
  <si>
    <t>04:27:38</t>
  </si>
  <si>
    <t>04:04:13</t>
  </si>
  <si>
    <t>04:47:15</t>
  </si>
  <si>
    <t>Hażlach za rondo Crab</t>
  </si>
  <si>
    <t>Jastrzebie Zdrój - UM (al. J. Pilsudskiego - przystanek)</t>
  </si>
  <si>
    <t>Jastrzębie Zdroj - Podhalanska Wodociagi</t>
  </si>
  <si>
    <t>04:16:35</t>
  </si>
  <si>
    <t>04:11:51</t>
  </si>
  <si>
    <t>04:47:32</t>
  </si>
  <si>
    <t>00:00:00</t>
  </si>
  <si>
    <t>Žory - Bajerowska</t>
  </si>
  <si>
    <t>03:49:24</t>
  </si>
  <si>
    <t>Szeroka - Kaplica przystanek autobusowy</t>
  </si>
  <si>
    <t>Szeroka ul. Rybnicka</t>
  </si>
  <si>
    <t>Źory - Zegar przystanek autobusowy Al. Niepodległości</t>
  </si>
  <si>
    <t>03:40:17</t>
  </si>
  <si>
    <t>Wodzisław PKP</t>
  </si>
  <si>
    <t>ALLIANCE LAUNDRY 4</t>
  </si>
  <si>
    <t>Szeroka Kaplica</t>
  </si>
  <si>
    <t>04:09:04</t>
  </si>
  <si>
    <t>Jastrzębie Zdroj - dolne Rondo</t>
  </si>
  <si>
    <t>04:07:14</t>
  </si>
  <si>
    <t>HILITE 1</t>
  </si>
  <si>
    <t>Wodzisław Śląski - Piekarnia Klos (ul. Radlinska - przystanek Os XXX - lecia)</t>
  </si>
  <si>
    <t>wodzislaw supersam parking</t>
  </si>
  <si>
    <t>04:42:48</t>
  </si>
  <si>
    <t>Szeroka - Gagarina</t>
  </si>
  <si>
    <t>03:58:17</t>
  </si>
  <si>
    <t>05:01:00</t>
  </si>
  <si>
    <t>04:38:02</t>
  </si>
  <si>
    <t>ALLIANCE LAUNDRY 3</t>
  </si>
  <si>
    <t>Wodzislaw PKP, trasa 3</t>
  </si>
  <si>
    <t>04:23:49</t>
  </si>
  <si>
    <t>Cieszyn Liburnia Kosciol</t>
  </si>
  <si>
    <t>04:55:42</t>
  </si>
  <si>
    <t>Jastrzebie Supersam</t>
  </si>
  <si>
    <t>04:19:25</t>
  </si>
  <si>
    <t>Jastrzebie Urzad Miasta Morcinka</t>
  </si>
  <si>
    <t>04:16:54</t>
  </si>
  <si>
    <t>04:55:46</t>
  </si>
  <si>
    <t>Wodzisław Śląski Dworzec Autobus. Galeria Karuzela</t>
  </si>
  <si>
    <t>Radlin Centrum</t>
  </si>
  <si>
    <t>04:15:14</t>
  </si>
  <si>
    <t>Jastrzębie Wodzisławska Czarny Rycerz</t>
  </si>
  <si>
    <t>Cieszyn Katowicka Orlen</t>
  </si>
  <si>
    <t>04:53:12</t>
  </si>
  <si>
    <t>Halách Skrzyzowanie (Crab)</t>
  </si>
  <si>
    <t>04:47:21</t>
  </si>
  <si>
    <t>04:53:10</t>
  </si>
  <si>
    <t>Źory - Sąd Rejonowy</t>
  </si>
  <si>
    <t>Źory Bajerówka (al. Jana Pawla - przystanek)</t>
  </si>
  <si>
    <t>Wodzisław Śląski - przystanek autobusowy  PKP</t>
  </si>
  <si>
    <t>04:28:32</t>
  </si>
  <si>
    <t>04:23:51</t>
  </si>
  <si>
    <t>Jastrzebie Zdrój - Stokrotka (al. J. Pilsudskiego os. Staszica - przystanek)</t>
  </si>
  <si>
    <t>Jastrzebie Urzad Skarbowy</t>
  </si>
  <si>
    <t>04:22:08</t>
  </si>
  <si>
    <t>Zory Bajerowka</t>
  </si>
  <si>
    <t>04:02:17</t>
  </si>
  <si>
    <t>04:46:03</t>
  </si>
  <si>
    <t>04:19:17</t>
  </si>
  <si>
    <t>04:04:14</t>
  </si>
  <si>
    <t>O / R</t>
  </si>
  <si>
    <t>04:42:57</t>
  </si>
  <si>
    <t>04:21:51</t>
  </si>
  <si>
    <t>Jastrzebie McDonalds</t>
  </si>
  <si>
    <t>04:18:26</t>
  </si>
  <si>
    <t>04:16:19</t>
  </si>
  <si>
    <t>04:04:17</t>
  </si>
  <si>
    <t>04:43:03</t>
  </si>
  <si>
    <t>Jastrzębie Zdroj - Pilsudskiego Pionierow</t>
  </si>
  <si>
    <t>04:13:25</t>
  </si>
  <si>
    <t>Cieszyn - Liburnia Kaufland</t>
  </si>
  <si>
    <t>Cieszyn Liburnia Starostwo</t>
  </si>
  <si>
    <t>04:54:17</t>
  </si>
  <si>
    <t>Radlin - Korfantego</t>
  </si>
  <si>
    <t>04:13:16</t>
  </si>
  <si>
    <t>Jastrzebie Zdrój - Szeroka Biedronka (ul. Powstancow slaskich - parking naprzeciwko Biedronki)</t>
  </si>
  <si>
    <t>03:57:34</t>
  </si>
  <si>
    <t>03:58:09</t>
  </si>
  <si>
    <t>04:43:34</t>
  </si>
  <si>
    <t>Zory - Sad</t>
  </si>
  <si>
    <t>03:46:07</t>
  </si>
  <si>
    <t>21:23:49</t>
  </si>
  <si>
    <t>11:51:14</t>
  </si>
  <si>
    <t>03:58:29</t>
  </si>
  <si>
    <t>Jastrzębie Zdroj - Zrojowa</t>
  </si>
  <si>
    <t>04:35:24</t>
  </si>
  <si>
    <t>radlin korfantego centrum</t>
  </si>
  <si>
    <t>04:17:08</t>
  </si>
  <si>
    <t>Jastrzębie Zdroj - Zdrojowa</t>
  </si>
  <si>
    <t>TATRA -  ALS</t>
  </si>
  <si>
    <t>Žory - Bajerowka</t>
  </si>
  <si>
    <t>GUZU 1</t>
  </si>
  <si>
    <t>Wodzisław Wilchwy Blazy</t>
  </si>
  <si>
    <t>04:04:22</t>
  </si>
  <si>
    <t>03:46:25</t>
  </si>
  <si>
    <t>Golkowice</t>
  </si>
  <si>
    <t>04:02:22</t>
  </si>
  <si>
    <t>04:38:11</t>
  </si>
  <si>
    <t>04:42:35</t>
  </si>
  <si>
    <t>04:26:25</t>
  </si>
  <si>
    <t>04:26:32</t>
  </si>
  <si>
    <t>04:24:09</t>
  </si>
  <si>
    <t>04:08:43</t>
  </si>
  <si>
    <t>04:02:16</t>
  </si>
  <si>
    <t>Źory McDonald (al. zjednocz. Europy - Archiwum)</t>
  </si>
  <si>
    <t>04:41:58</t>
  </si>
  <si>
    <t>Cieszyn - Orlen (ul. Katowicka)</t>
  </si>
  <si>
    <t>04:42:03</t>
  </si>
  <si>
    <t>Zebrzydowice  Rondo</t>
  </si>
  <si>
    <t>04:28:38</t>
  </si>
  <si>
    <t>Szeroka - Kaplica</t>
  </si>
  <si>
    <t>03:56:50</t>
  </si>
  <si>
    <t>04:07:20</t>
  </si>
  <si>
    <t>11:49:29</t>
  </si>
  <si>
    <t>03:46:13</t>
  </si>
  <si>
    <t>Wodzisław Śląski - PKP</t>
  </si>
  <si>
    <t>11:55:20</t>
  </si>
  <si>
    <t>03:46:39</t>
  </si>
  <si>
    <t>rybnik smolna biedronka</t>
  </si>
  <si>
    <t>04:13:15</t>
  </si>
  <si>
    <t>04:02:34</t>
  </si>
  <si>
    <t>03:58:31</t>
  </si>
  <si>
    <t>04:12:07</t>
  </si>
  <si>
    <t>04:17:23</t>
  </si>
  <si>
    <t>03:52:00</t>
  </si>
  <si>
    <t>04:02:00</t>
  </si>
  <si>
    <t>04:52:14</t>
  </si>
  <si>
    <t>Jastr.Zd. - Hala Sportowa</t>
  </si>
  <si>
    <t>11:57:22</t>
  </si>
  <si>
    <t>04:32:42</t>
  </si>
  <si>
    <t>03:55:45</t>
  </si>
  <si>
    <t>04:10:40</t>
  </si>
  <si>
    <t>11:46:46</t>
  </si>
  <si>
    <t>04:35:20</t>
  </si>
  <si>
    <t>Osč</t>
  </si>
  <si>
    <t>jm+př</t>
  </si>
  <si>
    <t>SQL</t>
  </si>
  <si>
    <t>SQL2</t>
  </si>
  <si>
    <t>update zamestnanci set nastup = '0';</t>
  </si>
  <si>
    <t>update dochazka set zastavka = '0';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</si>
</sst>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"/>
    <numFmt numFmtId="165" formatCode="00"/>
  </numFmts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</font>
    <font>
      <b/>
      <sz val="1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4" tint="0.39997558519241921"/>
      </left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3" fillId="0" borderId="0"/>
  </cellStyleXfs>
  <cellXfs count="19">
    <xf numFmtId="0" fontId="0" fillId="0" borderId="0" xfId="0"/>
    <xf numFmtId="164" fontId="0" fillId="0" borderId="0" xfId="0" applyNumberFormat="1"/>
    <xf numFmtId="0" fontId="0" fillId="2" borderId="1" xfId="1" applyFont="1"/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/>
    <xf numFmtId="49" fontId="0" fillId="0" borderId="3" xfId="0" applyNumberFormat="1" applyBorder="1" applyAlignment="1">
      <alignment horizontal="center" vertical="center"/>
    </xf>
    <xf numFmtId="165" fontId="0" fillId="0" borderId="0" xfId="0" applyNumberFormat="1"/>
    <xf numFmtId="49" fontId="0" fillId="4" borderId="3" xfId="0" applyNumberFormat="1" applyFill="1" applyBorder="1" applyAlignment="1">
      <alignment horizontal="center" vertical="center"/>
    </xf>
    <xf numFmtId="0" fontId="0" fillId="4" borderId="0" xfId="0" applyFill="1"/>
    <xf numFmtId="0" fontId="0" fillId="0" borderId="3" xfId="0" applyBorder="1"/>
    <xf numFmtId="0" fontId="0" fillId="4" borderId="3" xfId="0" applyFill="1" applyBorder="1"/>
    <xf numFmtId="0" fontId="0" fillId="0" borderId="0" xfId="0" applyAlignment="1">
      <alignment horizontal="center" vertical="center"/>
    </xf>
    <xf numFmtId="0" fontId="3" fillId="0" borderId="0" xfId="2"/>
    <xf numFmtId="0" fontId="4" fillId="0" borderId="0" xfId="2" applyFont="1"/>
    <xf numFmtId="1" fontId="3" fillId="0" borderId="0" xfId="2" applyNumberFormat="1"/>
    <xf numFmtId="14" fontId="3" fillId="0" borderId="0" xfId="2" applyNumberFormat="1"/>
    <xf numFmtId="0" fontId="0" fillId="5" borderId="0" xfId="0" applyFill="1"/>
    <xf numFmtId="0" fontId="3" fillId="0" borderId="0" xfId="2" applyAlignment="1">
      <alignment horizontal="center"/>
    </xf>
    <xf numFmtId="0" fontId="3" fillId="0" borderId="0" xfId="2"/>
  </cellXfs>
  <cellStyles count="3">
    <cellStyle name="Normální" xfId="0" builtinId="0"/>
    <cellStyle name="Normální 2" xfId="2" xr:uid="{B2AF6E43-257E-4C77-A50E-AD68CEA4A76A}"/>
    <cellStyle name="Poznámka" xfId="1" builtinId="10"/>
  </cellStyles>
  <dxfs count="5">
    <dxf>
      <font>
        <color rgb="FF9C0006"/>
      </font>
      <fill>
        <patternFill>
          <bgColor rgb="FFFFC7CE"/>
        </patternFill>
      </fill>
    </dxf>
    <dxf>
      <numFmt numFmtId="165" formatCode="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1" defaultTableStyle="TableStyleMedium2" defaultPivotStyle="PivotStyleLight16">
    <tableStyle name="Invisible" pivot="0" table="0" count="0" xr9:uid="{33CA9AC2-0D30-40F2-AC8C-EF0826AD59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5A32C-4DEF-4140-8C03-FEA87A1CE3D3}" name="Tab_Zast" displayName="Tab_Zast" ref="B1:D111" totalsRowShown="0" tableBorderDxfId="4">
  <autoFilter ref="B1:D111" xr:uid="{4D1BE48D-C8AA-4D64-B870-069E55BA8A83}"/>
  <sortState xmlns:xlrd2="http://schemas.microsoft.com/office/spreadsheetml/2017/richdata2" ref="B2:D109">
    <sortCondition ref="C1:C109"/>
  </sortState>
  <tableColumns count="3">
    <tableColumn id="1" xr3:uid="{7E0076EB-02C0-489F-9E33-4223B0605D0A}" name="ID" dataDxfId="3"/>
    <tableColumn id="2" xr3:uid="{D394F937-4E21-4797-AAA5-23A8ADF76E12}" name="Zastávka" dataDxfId="2"/>
    <tableColumn id="3" xr3:uid="{E7DB8786-E407-4848-B61B-0C46E5600728}" name="Sloupec1" dataDxfId="1">
      <calculatedColumnFormula>Tab_Zast[[#This Row],[ID]]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CBE0-F081-445B-B6FD-202FF52A38DB}">
  <dimension ref="A1:AB1770"/>
  <sheetViews>
    <sheetView tabSelected="1" zoomScaleNormal="100" workbookViewId="0">
      <selection activeCell="AA12" sqref="AA12"/>
    </sheetView>
  </sheetViews>
  <sheetFormatPr defaultRowHeight="15" outlineLevelCol="1" x14ac:dyDescent="0.25"/>
  <cols>
    <col min="1" max="1" width="5.5703125" style="2" bestFit="1" customWidth="1"/>
    <col min="2" max="2" width="9" bestFit="1" customWidth="1"/>
    <col min="3" max="3" width="14.28515625" bestFit="1" customWidth="1"/>
    <col min="4" max="4" width="19.7109375" bestFit="1" customWidth="1"/>
    <col min="5" max="5" width="21.5703125" bestFit="1" customWidth="1"/>
    <col min="6" max="6" width="14.140625" bestFit="1" customWidth="1"/>
    <col min="7" max="7" width="11.28515625" customWidth="1"/>
    <col min="8" max="8" width="14.5703125" customWidth="1"/>
    <col min="9" max="9" width="15.28515625" customWidth="1"/>
    <col min="10" max="10" width="7" style="2" bestFit="1" customWidth="1"/>
    <col min="11" max="11" width="15" bestFit="1" customWidth="1"/>
    <col min="12" max="12" width="11.28515625" customWidth="1"/>
    <col min="13" max="13" width="34" hidden="1" customWidth="1" outlineLevel="1"/>
    <col min="14" max="14" width="12.7109375" hidden="1" customWidth="1" outlineLevel="1"/>
    <col min="15" max="15" width="54" bestFit="1" customWidth="1" collapsed="1"/>
    <col min="16" max="17" width="5.7109375" bestFit="1" customWidth="1"/>
    <col min="18" max="18" width="6.85546875" bestFit="1" customWidth="1"/>
    <col min="19" max="19" width="7.85546875" bestFit="1" customWidth="1"/>
    <col min="20" max="20" width="9.7109375" bestFit="1" customWidth="1"/>
    <col min="21" max="21" width="13.28515625" bestFit="1" customWidth="1"/>
    <col min="22" max="22" width="18.5703125" bestFit="1" customWidth="1"/>
    <col min="23" max="23" width="18.42578125" bestFit="1" customWidth="1"/>
    <col min="24" max="24" width="7" bestFit="1" customWidth="1"/>
    <col min="25" max="25" width="6.140625" bestFit="1" customWidth="1"/>
    <col min="26" max="26" width="13.85546875" bestFit="1" customWidth="1"/>
    <col min="27" max="27" width="48.7109375" bestFit="1" customWidth="1"/>
    <col min="28" max="28" width="56.5703125" bestFit="1" customWidth="1"/>
  </cols>
  <sheetData>
    <row r="1" spans="1:28" x14ac:dyDescent="0.25">
      <c r="A1" s="2">
        <f>SUBTOTAL(3,A3:A2000)</f>
        <v>1768</v>
      </c>
      <c r="AA1" t="s">
        <v>8788</v>
      </c>
      <c r="AB1" t="s">
        <v>8789</v>
      </c>
    </row>
    <row r="2" spans="1:28" x14ac:dyDescent="0.25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2" t="s">
        <v>9</v>
      </c>
      <c r="K2" t="s">
        <v>10</v>
      </c>
      <c r="L2" t="s">
        <v>11</v>
      </c>
      <c r="M2" s="16" t="s">
        <v>8549</v>
      </c>
      <c r="N2" s="16" t="s">
        <v>8550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8790</v>
      </c>
      <c r="AB2" t="s">
        <v>8791</v>
      </c>
    </row>
    <row r="3" spans="1:28" x14ac:dyDescent="0.25">
      <c r="A3" s="2">
        <v>58</v>
      </c>
      <c r="B3" t="s">
        <v>384</v>
      </c>
      <c r="C3" t="s">
        <v>384</v>
      </c>
      <c r="D3" t="s">
        <v>385</v>
      </c>
      <c r="E3" t="s">
        <v>386</v>
      </c>
      <c r="F3" t="s">
        <v>387</v>
      </c>
      <c r="G3" s="1">
        <v>44942</v>
      </c>
      <c r="H3" s="1">
        <v>73050</v>
      </c>
      <c r="I3" s="1" t="e">
        <v>#N/A</v>
      </c>
      <c r="J3" s="2" t="s">
        <v>8261</v>
      </c>
      <c r="K3" t="s">
        <v>388</v>
      </c>
      <c r="M3" s="16" t="s">
        <v>8262</v>
      </c>
      <c r="N3" s="16" t="str">
        <f>VLOOKUP(M3,Tab_Zast[[Zastávka]:[Sloupec1]],2,0)</f>
        <v>04</v>
      </c>
      <c r="O3" t="s">
        <v>389</v>
      </c>
      <c r="P3">
        <v>1</v>
      </c>
      <c r="Q3">
        <v>0</v>
      </c>
      <c r="R3" t="s">
        <v>179</v>
      </c>
      <c r="S3" t="s">
        <v>31</v>
      </c>
      <c r="T3" t="s">
        <v>32</v>
      </c>
      <c r="V3" s="1" t="e">
        <v>#N/A</v>
      </c>
      <c r="W3" t="s">
        <v>47</v>
      </c>
      <c r="X3">
        <v>1</v>
      </c>
      <c r="Y3">
        <v>0</v>
      </c>
      <c r="AA3" t="str">
        <f>IF(J3&lt;&gt;"00","update zamestnanci set nastup='" &amp; J3 &amp; "' where id='" &amp; A3 &amp; "';","")</f>
        <v>update zamestnanci set nastup='04' where id='58';</v>
      </c>
      <c r="AB3" t="str">
        <f>IF(J3&lt;&gt;"00","update dochazka set zastavka = '" &amp; J3 &amp; "' where zamestnanec = '" &amp; A3 &amp; "';","")</f>
        <v>update dochazka set zastavka = '04' where zamestnanec = '58';</v>
      </c>
    </row>
    <row r="4" spans="1:28" x14ac:dyDescent="0.25">
      <c r="A4" s="2">
        <v>61</v>
      </c>
      <c r="B4" t="s">
        <v>402</v>
      </c>
      <c r="C4" t="s">
        <v>402</v>
      </c>
      <c r="D4" t="s">
        <v>403</v>
      </c>
      <c r="E4" t="s">
        <v>404</v>
      </c>
      <c r="F4" t="s">
        <v>405</v>
      </c>
      <c r="G4" s="1">
        <v>44893</v>
      </c>
      <c r="H4" s="1">
        <v>73050</v>
      </c>
      <c r="I4" s="1" t="e">
        <v>#N/A</v>
      </c>
      <c r="J4" s="2" t="s">
        <v>8261</v>
      </c>
      <c r="K4" t="s">
        <v>406</v>
      </c>
      <c r="M4" s="16" t="s">
        <v>8262</v>
      </c>
      <c r="N4" s="16" t="str">
        <f>VLOOKUP(M4,Tab_Zast[[Zastávka]:[Sloupec1]],2,0)</f>
        <v>04</v>
      </c>
      <c r="O4" t="s">
        <v>407</v>
      </c>
      <c r="P4">
        <v>1</v>
      </c>
      <c r="Q4">
        <v>0</v>
      </c>
      <c r="R4" t="s">
        <v>130</v>
      </c>
      <c r="S4" t="s">
        <v>31</v>
      </c>
      <c r="T4" t="s">
        <v>32</v>
      </c>
      <c r="V4" s="1" t="e">
        <v>#N/A</v>
      </c>
      <c r="W4" t="s">
        <v>47</v>
      </c>
      <c r="X4">
        <v>1</v>
      </c>
      <c r="Y4">
        <v>0</v>
      </c>
      <c r="AA4" t="str">
        <f t="shared" ref="AA4:AA67" si="0">IF(J4&lt;&gt;"00","update zamestnanci set nastup='" &amp; J4 &amp; "' where id='" &amp; A4 &amp; "';","")</f>
        <v>update zamestnanci set nastup='04' where id='61';</v>
      </c>
      <c r="AB4" t="str">
        <f t="shared" ref="AB4:AB67" si="1">IF(J4&lt;&gt;"00","update dochazka set zastavka = '" &amp; J4 &amp; "' where zamestnanec = '" &amp; A4 &amp; "';","")</f>
        <v>update dochazka set zastavka = '04' where zamestnanec = '61';</v>
      </c>
    </row>
    <row r="5" spans="1:28" x14ac:dyDescent="0.25">
      <c r="A5" s="2">
        <v>81</v>
      </c>
      <c r="B5" t="s">
        <v>516</v>
      </c>
      <c r="C5" t="s">
        <v>516</v>
      </c>
      <c r="D5" t="s">
        <v>517</v>
      </c>
      <c r="E5" t="s">
        <v>518</v>
      </c>
      <c r="F5" t="s">
        <v>519</v>
      </c>
      <c r="G5" s="1">
        <v>45049</v>
      </c>
      <c r="H5" s="1" t="e">
        <v>#N/A</v>
      </c>
      <c r="I5" s="1" t="e">
        <v>#N/A</v>
      </c>
      <c r="J5" s="2" t="s">
        <v>8261</v>
      </c>
      <c r="K5" t="s">
        <v>520</v>
      </c>
      <c r="M5" s="16" t="s">
        <v>8262</v>
      </c>
      <c r="N5" s="16" t="str">
        <f>VLOOKUP(M5,Tab_Zast[[Zastávka]:[Sloupec1]],2,0)</f>
        <v>04</v>
      </c>
      <c r="O5" t="s">
        <v>521</v>
      </c>
      <c r="P5">
        <v>1</v>
      </c>
      <c r="Q5">
        <v>0</v>
      </c>
      <c r="R5" t="s">
        <v>129</v>
      </c>
      <c r="S5" t="s">
        <v>31</v>
      </c>
      <c r="T5" t="s">
        <v>32</v>
      </c>
      <c r="V5" s="1" t="e">
        <v>#N/A</v>
      </c>
      <c r="W5" t="s">
        <v>47</v>
      </c>
      <c r="X5">
        <v>1</v>
      </c>
      <c r="Y5">
        <v>0</v>
      </c>
      <c r="AA5" t="str">
        <f t="shared" si="0"/>
        <v>update zamestnanci set nastup='04' where id='81';</v>
      </c>
      <c r="AB5" t="str">
        <f t="shared" si="1"/>
        <v>update dochazka set zastavka = '04' where zamestnanec = '81';</v>
      </c>
    </row>
    <row r="6" spans="1:28" x14ac:dyDescent="0.25">
      <c r="A6" s="2">
        <v>572</v>
      </c>
      <c r="B6" t="s">
        <v>2395</v>
      </c>
      <c r="C6" t="s">
        <v>2396</v>
      </c>
      <c r="D6" t="s">
        <v>2397</v>
      </c>
      <c r="E6" t="s">
        <v>2398</v>
      </c>
      <c r="F6" t="s">
        <v>2399</v>
      </c>
      <c r="G6" s="1">
        <v>45181</v>
      </c>
      <c r="H6" s="1">
        <v>45597</v>
      </c>
      <c r="I6" s="1">
        <v>45597</v>
      </c>
      <c r="J6" s="2" t="s">
        <v>8261</v>
      </c>
      <c r="K6" t="s">
        <v>2400</v>
      </c>
      <c r="M6" s="16" t="s">
        <v>8262</v>
      </c>
      <c r="N6" s="16" t="str">
        <f>VLOOKUP(M6,Tab_Zast[[Zastávka]:[Sloupec1]],2,0)</f>
        <v>04</v>
      </c>
      <c r="O6" t="s">
        <v>2401</v>
      </c>
      <c r="P6">
        <v>1</v>
      </c>
      <c r="Q6">
        <v>0</v>
      </c>
      <c r="R6" t="s">
        <v>31</v>
      </c>
      <c r="S6" t="s">
        <v>31</v>
      </c>
      <c r="T6" t="s">
        <v>32</v>
      </c>
      <c r="V6" s="1" t="e">
        <v>#N/A</v>
      </c>
      <c r="W6" t="s">
        <v>2381</v>
      </c>
      <c r="X6">
        <v>0</v>
      </c>
      <c r="Y6">
        <v>0</v>
      </c>
      <c r="AA6" t="str">
        <f t="shared" si="0"/>
        <v>update zamestnanci set nastup='04' where id='572';</v>
      </c>
      <c r="AB6" t="str">
        <f t="shared" si="1"/>
        <v>update dochazka set zastavka = '04' where zamestnanec = '572';</v>
      </c>
    </row>
    <row r="7" spans="1:28" x14ac:dyDescent="0.25">
      <c r="A7" s="2">
        <v>573</v>
      </c>
      <c r="B7" t="s">
        <v>2402</v>
      </c>
      <c r="C7" t="s">
        <v>2403</v>
      </c>
      <c r="D7" t="s">
        <v>2397</v>
      </c>
      <c r="E7" t="s">
        <v>164</v>
      </c>
      <c r="F7" t="s">
        <v>64</v>
      </c>
      <c r="G7" s="1">
        <v>45418</v>
      </c>
      <c r="H7" s="1">
        <v>45807</v>
      </c>
      <c r="I7" s="1">
        <v>73050</v>
      </c>
      <c r="J7" s="2" t="s">
        <v>8261</v>
      </c>
      <c r="K7" t="s">
        <v>2404</v>
      </c>
      <c r="M7" s="16" t="s">
        <v>8262</v>
      </c>
      <c r="N7" s="16" t="str">
        <f>VLOOKUP(M7,Tab_Zast[[Zastávka]:[Sloupec1]],2,0)</f>
        <v>04</v>
      </c>
      <c r="O7" t="s">
        <v>2401</v>
      </c>
      <c r="P7">
        <v>1</v>
      </c>
      <c r="Q7">
        <v>0</v>
      </c>
      <c r="R7" t="s">
        <v>31</v>
      </c>
      <c r="S7" t="s">
        <v>31</v>
      </c>
      <c r="T7" t="s">
        <v>32</v>
      </c>
      <c r="V7" s="1" t="e">
        <v>#N/A</v>
      </c>
      <c r="W7" t="s">
        <v>2381</v>
      </c>
      <c r="X7">
        <v>0</v>
      </c>
      <c r="Y7">
        <v>0</v>
      </c>
      <c r="AA7" t="str">
        <f t="shared" si="0"/>
        <v>update zamestnanci set nastup='04' where id='573';</v>
      </c>
      <c r="AB7" t="str">
        <f t="shared" si="1"/>
        <v>update dochazka set zastavka = '04' where zamestnanec = '573';</v>
      </c>
    </row>
    <row r="8" spans="1:28" x14ac:dyDescent="0.25">
      <c r="A8" s="2">
        <v>625</v>
      </c>
      <c r="B8" t="s">
        <v>2699</v>
      </c>
      <c r="D8" t="s">
        <v>2700</v>
      </c>
      <c r="E8" t="s">
        <v>2701</v>
      </c>
      <c r="F8" t="s">
        <v>2702</v>
      </c>
      <c r="G8" s="1">
        <v>45103</v>
      </c>
      <c r="H8" s="1">
        <v>45295</v>
      </c>
      <c r="I8" s="1" t="e">
        <v>#N/A</v>
      </c>
      <c r="J8" s="2" t="s">
        <v>8261</v>
      </c>
      <c r="K8" t="s">
        <v>2703</v>
      </c>
      <c r="M8" s="16" t="s">
        <v>8262</v>
      </c>
      <c r="N8" s="16" t="str">
        <f>VLOOKUP(M8,Tab_Zast[[Zastávka]:[Sloupec1]],2,0)</f>
        <v>04</v>
      </c>
      <c r="O8" t="s">
        <v>2704</v>
      </c>
      <c r="P8">
        <v>1</v>
      </c>
      <c r="Q8">
        <v>0</v>
      </c>
      <c r="R8" t="s">
        <v>31</v>
      </c>
      <c r="S8" t="s">
        <v>31</v>
      </c>
      <c r="T8" t="s">
        <v>32</v>
      </c>
      <c r="V8" s="1" t="e">
        <v>#N/A</v>
      </c>
      <c r="W8" t="s">
        <v>47</v>
      </c>
      <c r="X8">
        <v>0</v>
      </c>
      <c r="Y8">
        <v>0</v>
      </c>
      <c r="AA8" t="str">
        <f t="shared" si="0"/>
        <v>update zamestnanci set nastup='04' where id='625';</v>
      </c>
      <c r="AB8" t="str">
        <f t="shared" si="1"/>
        <v>update dochazka set zastavka = '04' where zamestnanec = '625';</v>
      </c>
    </row>
    <row r="9" spans="1:28" x14ac:dyDescent="0.25">
      <c r="A9" s="2">
        <v>659</v>
      </c>
      <c r="B9" t="s">
        <v>2868</v>
      </c>
      <c r="D9" t="s">
        <v>2869</v>
      </c>
      <c r="E9" t="s">
        <v>2870</v>
      </c>
      <c r="F9" t="s">
        <v>2871</v>
      </c>
      <c r="G9" s="1">
        <v>45208</v>
      </c>
      <c r="H9" s="1">
        <v>45307</v>
      </c>
      <c r="I9" s="1">
        <v>73050</v>
      </c>
      <c r="J9" s="2" t="s">
        <v>8261</v>
      </c>
      <c r="K9" t="s">
        <v>2872</v>
      </c>
      <c r="M9" s="16" t="s">
        <v>8262</v>
      </c>
      <c r="N9" s="16" t="str">
        <f>VLOOKUP(M9,Tab_Zast[[Zastávka]:[Sloupec1]],2,0)</f>
        <v>04</v>
      </c>
      <c r="O9" t="s">
        <v>2873</v>
      </c>
      <c r="P9">
        <v>1</v>
      </c>
      <c r="Q9">
        <v>0</v>
      </c>
      <c r="R9" t="s">
        <v>31</v>
      </c>
      <c r="S9" t="s">
        <v>31</v>
      </c>
      <c r="T9" t="s">
        <v>32</v>
      </c>
      <c r="V9" s="1" t="e">
        <v>#N/A</v>
      </c>
      <c r="W9" t="s">
        <v>47</v>
      </c>
      <c r="X9">
        <v>0</v>
      </c>
      <c r="Y9">
        <v>0</v>
      </c>
      <c r="AA9" t="str">
        <f t="shared" si="0"/>
        <v>update zamestnanci set nastup='04' where id='659';</v>
      </c>
      <c r="AB9" t="str">
        <f t="shared" si="1"/>
        <v>update dochazka set zastavka = '04' where zamestnanec = '659';</v>
      </c>
    </row>
    <row r="10" spans="1:28" x14ac:dyDescent="0.25">
      <c r="A10" s="2">
        <v>672</v>
      </c>
      <c r="B10" t="s">
        <v>2938</v>
      </c>
      <c r="C10" t="s">
        <v>2938</v>
      </c>
      <c r="D10" t="s">
        <v>2939</v>
      </c>
      <c r="E10" t="s">
        <v>2940</v>
      </c>
      <c r="F10" t="s">
        <v>2941</v>
      </c>
      <c r="G10" s="1">
        <v>45096</v>
      </c>
      <c r="H10" s="1">
        <v>73050</v>
      </c>
      <c r="I10" s="1" t="e">
        <v>#N/A</v>
      </c>
      <c r="J10" s="2" t="s">
        <v>8261</v>
      </c>
      <c r="K10" t="s">
        <v>2942</v>
      </c>
      <c r="M10" s="16" t="s">
        <v>8262</v>
      </c>
      <c r="N10" s="16" t="str">
        <f>VLOOKUP(M10,Tab_Zast[[Zastávka]:[Sloupec1]],2,0)</f>
        <v>04</v>
      </c>
      <c r="O10" t="s">
        <v>2943</v>
      </c>
      <c r="P10">
        <v>1</v>
      </c>
      <c r="Q10">
        <v>0</v>
      </c>
      <c r="R10" t="s">
        <v>130</v>
      </c>
      <c r="S10" t="s">
        <v>31</v>
      </c>
      <c r="T10" t="s">
        <v>32</v>
      </c>
      <c r="V10" s="1" t="e">
        <v>#N/A</v>
      </c>
      <c r="W10" t="s">
        <v>47</v>
      </c>
      <c r="X10">
        <v>1</v>
      </c>
      <c r="Y10">
        <v>0</v>
      </c>
      <c r="AA10" t="str">
        <f t="shared" si="0"/>
        <v>update zamestnanci set nastup='04' where id='672';</v>
      </c>
      <c r="AB10" t="str">
        <f t="shared" si="1"/>
        <v>update dochazka set zastavka = '04' where zamestnanec = '672';</v>
      </c>
    </row>
    <row r="11" spans="1:28" x14ac:dyDescent="0.25">
      <c r="A11" s="2">
        <v>887</v>
      </c>
      <c r="B11" t="s">
        <v>4005</v>
      </c>
      <c r="D11" t="s">
        <v>4006</v>
      </c>
      <c r="E11" t="s">
        <v>761</v>
      </c>
      <c r="F11" t="s">
        <v>4007</v>
      </c>
      <c r="G11" s="1">
        <v>45390</v>
      </c>
      <c r="H11" s="1">
        <v>45414</v>
      </c>
      <c r="I11" s="1">
        <v>73050</v>
      </c>
      <c r="J11" s="2" t="s">
        <v>8261</v>
      </c>
      <c r="K11" t="s">
        <v>4008</v>
      </c>
      <c r="M11" s="16" t="s">
        <v>8262</v>
      </c>
      <c r="N11" s="16" t="str">
        <f>VLOOKUP(M11,Tab_Zast[[Zastávka]:[Sloupec1]],2,0)</f>
        <v>04</v>
      </c>
      <c r="O11" t="s">
        <v>4009</v>
      </c>
      <c r="P11">
        <v>1</v>
      </c>
      <c r="Q11">
        <v>0</v>
      </c>
      <c r="R11" t="s">
        <v>31</v>
      </c>
      <c r="S11" t="s">
        <v>31</v>
      </c>
      <c r="T11" t="s">
        <v>32</v>
      </c>
      <c r="V11" s="1" t="e">
        <v>#N/A</v>
      </c>
      <c r="W11" t="s">
        <v>2381</v>
      </c>
      <c r="X11">
        <v>0</v>
      </c>
      <c r="Y11">
        <v>205</v>
      </c>
      <c r="Z11" t="s">
        <v>40</v>
      </c>
      <c r="AA11" t="str">
        <f t="shared" si="0"/>
        <v>update zamestnanci set nastup='04' where id='887';</v>
      </c>
      <c r="AB11" t="str">
        <f t="shared" si="1"/>
        <v>update dochazka set zastavka = '04' where zamestnanec = '887';</v>
      </c>
    </row>
    <row r="12" spans="1:28" x14ac:dyDescent="0.25">
      <c r="A12" s="2">
        <v>944</v>
      </c>
      <c r="B12" t="s">
        <v>4262</v>
      </c>
      <c r="C12" t="s">
        <v>4263</v>
      </c>
      <c r="D12" t="s">
        <v>4264</v>
      </c>
      <c r="E12" t="s">
        <v>761</v>
      </c>
      <c r="F12" t="s">
        <v>4265</v>
      </c>
      <c r="G12" s="1">
        <v>45426</v>
      </c>
      <c r="H12" s="1">
        <v>45537</v>
      </c>
      <c r="I12" s="1">
        <v>73050</v>
      </c>
      <c r="J12" s="2" t="s">
        <v>8261</v>
      </c>
      <c r="K12" t="s">
        <v>4266</v>
      </c>
      <c r="M12" s="16" t="s">
        <v>8262</v>
      </c>
      <c r="N12" s="16" t="str">
        <f>VLOOKUP(M12,Tab_Zast[[Zastávka]:[Sloupec1]],2,0)</f>
        <v>04</v>
      </c>
      <c r="O12" t="s">
        <v>4267</v>
      </c>
      <c r="P12">
        <v>1</v>
      </c>
      <c r="Q12">
        <v>0</v>
      </c>
      <c r="R12" t="s">
        <v>31</v>
      </c>
      <c r="S12" t="s">
        <v>31</v>
      </c>
      <c r="T12" t="s">
        <v>32</v>
      </c>
      <c r="V12" s="1">
        <v>45467</v>
      </c>
      <c r="W12" t="s">
        <v>2381</v>
      </c>
      <c r="X12">
        <v>0</v>
      </c>
      <c r="Y12">
        <v>302</v>
      </c>
      <c r="AA12" t="str">
        <f t="shared" si="0"/>
        <v>update zamestnanci set nastup='04' where id='944';</v>
      </c>
      <c r="AB12" t="str">
        <f t="shared" si="1"/>
        <v>update dochazka set zastavka = '04' where zamestnanec = '944';</v>
      </c>
    </row>
    <row r="13" spans="1:28" x14ac:dyDescent="0.25">
      <c r="A13" s="2">
        <v>945</v>
      </c>
      <c r="B13" t="s">
        <v>4268</v>
      </c>
      <c r="C13" t="s">
        <v>4269</v>
      </c>
      <c r="D13" t="s">
        <v>4270</v>
      </c>
      <c r="E13" t="s">
        <v>2628</v>
      </c>
      <c r="F13" t="s">
        <v>64</v>
      </c>
      <c r="G13" s="1">
        <v>45426</v>
      </c>
      <c r="H13" s="1">
        <v>45790</v>
      </c>
      <c r="I13" s="1">
        <v>73050</v>
      </c>
      <c r="J13" s="2" t="s">
        <v>8261</v>
      </c>
      <c r="K13" t="s">
        <v>4271</v>
      </c>
      <c r="M13" s="16" t="s">
        <v>8262</v>
      </c>
      <c r="N13" s="16" t="str">
        <f>VLOOKUP(M13,Tab_Zast[[Zastávka]:[Sloupec1]],2,0)</f>
        <v>04</v>
      </c>
      <c r="O13" t="s">
        <v>4272</v>
      </c>
      <c r="P13">
        <v>1</v>
      </c>
      <c r="Q13">
        <v>0</v>
      </c>
      <c r="R13" t="s">
        <v>31</v>
      </c>
      <c r="S13" t="s">
        <v>31</v>
      </c>
      <c r="T13" t="s">
        <v>32</v>
      </c>
      <c r="V13" s="1" t="e">
        <v>#N/A</v>
      </c>
      <c r="W13" t="s">
        <v>2381</v>
      </c>
      <c r="X13">
        <v>0</v>
      </c>
      <c r="Y13">
        <v>306</v>
      </c>
      <c r="AA13" t="str">
        <f t="shared" si="0"/>
        <v>update zamestnanci set nastup='04' where id='945';</v>
      </c>
      <c r="AB13" t="str">
        <f t="shared" si="1"/>
        <v>update dochazka set zastavka = '04' where zamestnanec = '945';</v>
      </c>
    </row>
    <row r="14" spans="1:28" x14ac:dyDescent="0.25">
      <c r="A14" s="2">
        <v>1047</v>
      </c>
      <c r="B14" t="s">
        <v>4713</v>
      </c>
      <c r="C14" t="s">
        <v>151</v>
      </c>
      <c r="D14" t="s">
        <v>3814</v>
      </c>
      <c r="E14" t="s">
        <v>2120</v>
      </c>
      <c r="F14" t="s">
        <v>4714</v>
      </c>
      <c r="G14" s="1">
        <v>45474</v>
      </c>
      <c r="H14" s="1">
        <v>45483</v>
      </c>
      <c r="I14" s="1">
        <v>73050</v>
      </c>
      <c r="J14" s="2" t="s">
        <v>8261</v>
      </c>
      <c r="K14" t="s">
        <v>4715</v>
      </c>
      <c r="M14" s="16" t="s">
        <v>8262</v>
      </c>
      <c r="N14" s="16" t="str">
        <f>VLOOKUP(M14,Tab_Zast[[Zastávka]:[Sloupec1]],2,0)</f>
        <v>04</v>
      </c>
      <c r="O14" t="s">
        <v>4058</v>
      </c>
      <c r="P14">
        <v>1</v>
      </c>
      <c r="Q14">
        <v>0</v>
      </c>
      <c r="R14" t="s">
        <v>31</v>
      </c>
      <c r="S14" t="s">
        <v>31</v>
      </c>
      <c r="T14" t="s">
        <v>32</v>
      </c>
      <c r="V14" s="1" t="e">
        <v>#N/A</v>
      </c>
      <c r="W14" t="s">
        <v>47</v>
      </c>
      <c r="X14">
        <v>0</v>
      </c>
      <c r="Y14">
        <v>436</v>
      </c>
      <c r="AA14" t="str">
        <f t="shared" si="0"/>
        <v>update zamestnanci set nastup='04' where id='1047';</v>
      </c>
      <c r="AB14" t="str">
        <f t="shared" si="1"/>
        <v>update dochazka set zastavka = '04' where zamestnanec = '1047';</v>
      </c>
    </row>
    <row r="15" spans="1:28" x14ac:dyDescent="0.25">
      <c r="A15" s="2">
        <v>1048</v>
      </c>
      <c r="B15" t="s">
        <v>4716</v>
      </c>
      <c r="C15" t="s">
        <v>151</v>
      </c>
      <c r="D15" t="s">
        <v>456</v>
      </c>
      <c r="E15" t="s">
        <v>4717</v>
      </c>
      <c r="F15" t="s">
        <v>2926</v>
      </c>
      <c r="G15" s="1">
        <v>45474</v>
      </c>
      <c r="H15" s="1">
        <v>45477</v>
      </c>
      <c r="I15" s="1">
        <v>73050</v>
      </c>
      <c r="J15" s="2" t="s">
        <v>8261</v>
      </c>
      <c r="K15" t="s">
        <v>4718</v>
      </c>
      <c r="M15" s="16" t="s">
        <v>8262</v>
      </c>
      <c r="N15" s="16" t="str">
        <f>VLOOKUP(M15,Tab_Zast[[Zastávka]:[Sloupec1]],2,0)</f>
        <v>04</v>
      </c>
      <c r="O15" t="s">
        <v>4058</v>
      </c>
      <c r="P15">
        <v>1</v>
      </c>
      <c r="Q15">
        <v>0</v>
      </c>
      <c r="R15" t="s">
        <v>31</v>
      </c>
      <c r="S15" t="s">
        <v>31</v>
      </c>
      <c r="T15" t="s">
        <v>32</v>
      </c>
      <c r="V15" s="1" t="e">
        <v>#N/A</v>
      </c>
      <c r="W15" t="s">
        <v>47</v>
      </c>
      <c r="X15">
        <v>0</v>
      </c>
      <c r="Y15">
        <v>435</v>
      </c>
      <c r="AA15" t="str">
        <f t="shared" si="0"/>
        <v>update zamestnanci set nastup='04' where id='1048';</v>
      </c>
      <c r="AB15" t="str">
        <f t="shared" si="1"/>
        <v>update dochazka set zastavka = '04' where zamestnanec = '1048';</v>
      </c>
    </row>
    <row r="16" spans="1:28" x14ac:dyDescent="0.25">
      <c r="A16" s="2">
        <v>1062</v>
      </c>
      <c r="B16" t="s">
        <v>4784</v>
      </c>
      <c r="C16" t="s">
        <v>64</v>
      </c>
      <c r="D16" t="s">
        <v>4785</v>
      </c>
      <c r="E16" t="s">
        <v>4786</v>
      </c>
      <c r="F16" t="s">
        <v>4557</v>
      </c>
      <c r="G16" s="1">
        <v>45481</v>
      </c>
      <c r="H16" s="1">
        <v>45485</v>
      </c>
      <c r="I16" s="1">
        <v>73050</v>
      </c>
      <c r="J16" s="2" t="s">
        <v>8261</v>
      </c>
      <c r="K16" t="s">
        <v>4787</v>
      </c>
      <c r="M16" s="16" t="s">
        <v>8262</v>
      </c>
      <c r="N16" s="16" t="str">
        <f>VLOOKUP(M16,Tab_Zast[[Zastávka]:[Sloupec1]],2,0)</f>
        <v>04</v>
      </c>
      <c r="O16" t="s">
        <v>4788</v>
      </c>
      <c r="P16">
        <v>1</v>
      </c>
      <c r="Q16">
        <v>0</v>
      </c>
      <c r="R16" t="s">
        <v>31</v>
      </c>
      <c r="S16" t="s">
        <v>31</v>
      </c>
      <c r="T16" t="s">
        <v>32</v>
      </c>
      <c r="V16" s="1" t="e">
        <v>#N/A</v>
      </c>
      <c r="W16" t="s">
        <v>47</v>
      </c>
      <c r="X16">
        <v>0</v>
      </c>
      <c r="Y16">
        <v>449</v>
      </c>
      <c r="AA16" t="str">
        <f t="shared" si="0"/>
        <v>update zamestnanci set nastup='04' where id='1062';</v>
      </c>
      <c r="AB16" t="str">
        <f t="shared" si="1"/>
        <v>update dochazka set zastavka = '04' where zamestnanec = '1062';</v>
      </c>
    </row>
    <row r="17" spans="1:28" x14ac:dyDescent="0.25">
      <c r="A17" s="2">
        <v>1065</v>
      </c>
      <c r="B17" t="s">
        <v>4795</v>
      </c>
      <c r="C17" t="s">
        <v>64</v>
      </c>
      <c r="D17" t="s">
        <v>4796</v>
      </c>
      <c r="E17" t="s">
        <v>770</v>
      </c>
      <c r="F17" t="s">
        <v>4797</v>
      </c>
      <c r="G17" s="1">
        <v>45481</v>
      </c>
      <c r="H17" s="1">
        <v>45482</v>
      </c>
      <c r="I17" s="1">
        <v>73050</v>
      </c>
      <c r="J17" s="2" t="s">
        <v>8261</v>
      </c>
      <c r="K17" t="s">
        <v>4798</v>
      </c>
      <c r="M17" s="16" t="s">
        <v>8262</v>
      </c>
      <c r="N17" s="16" t="str">
        <f>VLOOKUP(M17,Tab_Zast[[Zastávka]:[Sloupec1]],2,0)</f>
        <v>04</v>
      </c>
      <c r="O17" t="s">
        <v>4799</v>
      </c>
      <c r="P17">
        <v>1</v>
      </c>
      <c r="Q17">
        <v>0</v>
      </c>
      <c r="R17" t="s">
        <v>31</v>
      </c>
      <c r="S17" t="s">
        <v>31</v>
      </c>
      <c r="T17" t="s">
        <v>32</v>
      </c>
      <c r="V17" s="1" t="e">
        <v>#N/A</v>
      </c>
      <c r="W17" t="s">
        <v>47</v>
      </c>
      <c r="X17">
        <v>0</v>
      </c>
      <c r="Y17">
        <v>457</v>
      </c>
      <c r="AA17" t="str">
        <f t="shared" si="0"/>
        <v>update zamestnanci set nastup='04' where id='1065';</v>
      </c>
      <c r="AB17" t="str">
        <f t="shared" si="1"/>
        <v>update dochazka set zastavka = '04' where zamestnanec = '1065';</v>
      </c>
    </row>
    <row r="18" spans="1:28" x14ac:dyDescent="0.25">
      <c r="A18" s="2">
        <v>1066</v>
      </c>
      <c r="B18" t="s">
        <v>4800</v>
      </c>
      <c r="C18" t="s">
        <v>64</v>
      </c>
      <c r="D18" t="s">
        <v>4801</v>
      </c>
      <c r="E18" t="s">
        <v>701</v>
      </c>
      <c r="F18" t="s">
        <v>375</v>
      </c>
      <c r="G18" s="1">
        <v>45481</v>
      </c>
      <c r="H18" s="1">
        <v>45485</v>
      </c>
      <c r="I18" s="1">
        <v>73050</v>
      </c>
      <c r="J18" s="2" t="s">
        <v>8261</v>
      </c>
      <c r="K18" t="s">
        <v>4802</v>
      </c>
      <c r="M18" s="16" t="s">
        <v>8262</v>
      </c>
      <c r="N18" s="16" t="str">
        <f>VLOOKUP(M18,Tab_Zast[[Zastávka]:[Sloupec1]],2,0)</f>
        <v>04</v>
      </c>
      <c r="O18" t="s">
        <v>4803</v>
      </c>
      <c r="P18">
        <v>1</v>
      </c>
      <c r="Q18">
        <v>0</v>
      </c>
      <c r="R18" t="s">
        <v>31</v>
      </c>
      <c r="S18" t="s">
        <v>31</v>
      </c>
      <c r="T18" t="s">
        <v>32</v>
      </c>
      <c r="V18" s="1" t="e">
        <v>#N/A</v>
      </c>
      <c r="W18" t="s">
        <v>47</v>
      </c>
      <c r="X18">
        <v>0</v>
      </c>
      <c r="Y18">
        <v>458</v>
      </c>
      <c r="AA18" t="str">
        <f t="shared" si="0"/>
        <v>update zamestnanci set nastup='04' where id='1066';</v>
      </c>
      <c r="AB18" t="str">
        <f t="shared" si="1"/>
        <v>update dochazka set zastavka = '04' where zamestnanec = '1066';</v>
      </c>
    </row>
    <row r="19" spans="1:28" x14ac:dyDescent="0.25">
      <c r="A19" s="2">
        <v>1092</v>
      </c>
      <c r="B19" t="s">
        <v>4909</v>
      </c>
      <c r="C19" t="s">
        <v>1394</v>
      </c>
      <c r="D19" t="s">
        <v>4910</v>
      </c>
      <c r="E19" t="s">
        <v>201</v>
      </c>
      <c r="F19" t="s">
        <v>4911</v>
      </c>
      <c r="G19" s="1">
        <v>45495</v>
      </c>
      <c r="H19" s="1">
        <v>45513</v>
      </c>
      <c r="I19" s="1">
        <v>73050</v>
      </c>
      <c r="J19" s="2" t="s">
        <v>8261</v>
      </c>
      <c r="K19" t="s">
        <v>4912</v>
      </c>
      <c r="M19" s="16" t="s">
        <v>8262</v>
      </c>
      <c r="N19" s="16" t="str">
        <f>VLOOKUP(M19,Tab_Zast[[Zastávka]:[Sloupec1]],2,0)</f>
        <v>04</v>
      </c>
      <c r="O19" t="s">
        <v>4913</v>
      </c>
      <c r="P19">
        <v>1</v>
      </c>
      <c r="Q19">
        <v>0</v>
      </c>
      <c r="R19" t="s">
        <v>31</v>
      </c>
      <c r="S19" t="s">
        <v>31</v>
      </c>
      <c r="T19" t="s">
        <v>32</v>
      </c>
      <c r="V19" s="1" t="e">
        <v>#N/A</v>
      </c>
      <c r="W19" t="s">
        <v>47</v>
      </c>
      <c r="X19">
        <v>0</v>
      </c>
      <c r="Y19">
        <v>481</v>
      </c>
      <c r="AA19" t="str">
        <f t="shared" si="0"/>
        <v>update zamestnanci set nastup='04' where id='1092';</v>
      </c>
      <c r="AB19" t="str">
        <f t="shared" si="1"/>
        <v>update dochazka set zastavka = '04' where zamestnanec = '1092';</v>
      </c>
    </row>
    <row r="20" spans="1:28" x14ac:dyDescent="0.25">
      <c r="A20" s="2">
        <v>1093</v>
      </c>
      <c r="B20" t="s">
        <v>4914</v>
      </c>
      <c r="C20" t="s">
        <v>64</v>
      </c>
      <c r="D20" t="s">
        <v>4915</v>
      </c>
      <c r="E20" t="s">
        <v>4916</v>
      </c>
      <c r="F20" t="s">
        <v>569</v>
      </c>
      <c r="G20" s="1">
        <v>45495</v>
      </c>
      <c r="H20" s="1">
        <v>45770</v>
      </c>
      <c r="I20" s="1">
        <v>73050</v>
      </c>
      <c r="J20" s="2" t="s">
        <v>8261</v>
      </c>
      <c r="K20" t="s">
        <v>4917</v>
      </c>
      <c r="M20" s="16" t="s">
        <v>8262</v>
      </c>
      <c r="N20" s="16" t="str">
        <f>VLOOKUP(M20,Tab_Zast[[Zastávka]:[Sloupec1]],2,0)</f>
        <v>04</v>
      </c>
      <c r="O20" t="s">
        <v>4918</v>
      </c>
      <c r="P20">
        <v>1</v>
      </c>
      <c r="Q20">
        <v>0</v>
      </c>
      <c r="R20" t="s">
        <v>31</v>
      </c>
      <c r="S20" t="s">
        <v>31</v>
      </c>
      <c r="T20" t="s">
        <v>32</v>
      </c>
      <c r="V20" s="1" t="e">
        <v>#N/A</v>
      </c>
      <c r="W20" t="s">
        <v>2381</v>
      </c>
      <c r="X20">
        <v>0</v>
      </c>
      <c r="Y20">
        <v>482</v>
      </c>
      <c r="AA20" t="str">
        <f t="shared" si="0"/>
        <v>update zamestnanci set nastup='04' where id='1093';</v>
      </c>
      <c r="AB20" t="str">
        <f t="shared" si="1"/>
        <v>update dochazka set zastavka = '04' where zamestnanec = '1093';</v>
      </c>
    </row>
    <row r="21" spans="1:28" x14ac:dyDescent="0.25">
      <c r="A21" s="2">
        <v>1100</v>
      </c>
      <c r="B21" t="s">
        <v>4941</v>
      </c>
      <c r="C21" t="s">
        <v>151</v>
      </c>
      <c r="D21" t="s">
        <v>3907</v>
      </c>
      <c r="E21" t="s">
        <v>3048</v>
      </c>
      <c r="F21" t="s">
        <v>4942</v>
      </c>
      <c r="G21" s="1">
        <v>45502</v>
      </c>
      <c r="H21" s="1">
        <v>45583</v>
      </c>
      <c r="I21" s="1">
        <v>45583</v>
      </c>
      <c r="J21" s="2" t="s">
        <v>8261</v>
      </c>
      <c r="K21" t="s">
        <v>4943</v>
      </c>
      <c r="M21" s="16" t="s">
        <v>8262</v>
      </c>
      <c r="N21" s="16" t="str">
        <f>VLOOKUP(M21,Tab_Zast[[Zastávka]:[Sloupec1]],2,0)</f>
        <v>04</v>
      </c>
      <c r="O21" t="s">
        <v>3909</v>
      </c>
      <c r="P21">
        <v>1</v>
      </c>
      <c r="Q21">
        <v>0</v>
      </c>
      <c r="R21" t="s">
        <v>31</v>
      </c>
      <c r="S21" t="s">
        <v>31</v>
      </c>
      <c r="T21" t="s">
        <v>32</v>
      </c>
      <c r="V21" s="1">
        <v>45579</v>
      </c>
      <c r="W21" t="s">
        <v>47</v>
      </c>
      <c r="X21">
        <v>0</v>
      </c>
      <c r="Y21">
        <v>489</v>
      </c>
      <c r="AA21" t="str">
        <f t="shared" si="0"/>
        <v>update zamestnanci set nastup='04' where id='1100';</v>
      </c>
      <c r="AB21" t="str">
        <f t="shared" si="1"/>
        <v>update dochazka set zastavka = '04' where zamestnanec = '1100';</v>
      </c>
    </row>
    <row r="22" spans="1:28" x14ac:dyDescent="0.25">
      <c r="A22" s="2">
        <v>1101</v>
      </c>
      <c r="B22" t="s">
        <v>4944</v>
      </c>
      <c r="C22" t="s">
        <v>151</v>
      </c>
      <c r="D22" t="s">
        <v>4945</v>
      </c>
      <c r="E22" t="s">
        <v>3373</v>
      </c>
      <c r="F22" t="s">
        <v>4714</v>
      </c>
      <c r="G22" s="1">
        <v>45502</v>
      </c>
      <c r="H22" s="1">
        <v>45510</v>
      </c>
      <c r="I22" s="1">
        <v>73050</v>
      </c>
      <c r="J22" s="2" t="s">
        <v>8261</v>
      </c>
      <c r="K22" t="s">
        <v>4946</v>
      </c>
      <c r="M22" s="16" t="s">
        <v>8262</v>
      </c>
      <c r="N22" s="16" t="str">
        <f>VLOOKUP(M22,Tab_Zast[[Zastávka]:[Sloupec1]],2,0)</f>
        <v>04</v>
      </c>
      <c r="O22" t="s">
        <v>4947</v>
      </c>
      <c r="P22">
        <v>1</v>
      </c>
      <c r="Q22">
        <v>0</v>
      </c>
      <c r="R22" t="s">
        <v>31</v>
      </c>
      <c r="S22" t="s">
        <v>31</v>
      </c>
      <c r="T22" t="s">
        <v>32</v>
      </c>
      <c r="V22" s="1" t="e">
        <v>#N/A</v>
      </c>
      <c r="W22" t="s">
        <v>47</v>
      </c>
      <c r="X22">
        <v>0</v>
      </c>
      <c r="Y22">
        <v>490</v>
      </c>
      <c r="AA22" t="str">
        <f t="shared" si="0"/>
        <v>update zamestnanci set nastup='04' where id='1101';</v>
      </c>
      <c r="AB22" t="str">
        <f t="shared" si="1"/>
        <v>update dochazka set zastavka = '04' where zamestnanec = '1101';</v>
      </c>
    </row>
    <row r="23" spans="1:28" x14ac:dyDescent="0.25">
      <c r="A23" s="2">
        <v>1102</v>
      </c>
      <c r="B23" t="s">
        <v>4948</v>
      </c>
      <c r="C23" t="s">
        <v>151</v>
      </c>
      <c r="D23" t="s">
        <v>4949</v>
      </c>
      <c r="E23" t="s">
        <v>2960</v>
      </c>
      <c r="F23" t="s">
        <v>581</v>
      </c>
      <c r="G23" s="1">
        <v>45502</v>
      </c>
      <c r="H23" s="1">
        <v>45510</v>
      </c>
      <c r="I23" s="1">
        <v>73050</v>
      </c>
      <c r="J23" s="2" t="s">
        <v>8261</v>
      </c>
      <c r="K23" t="s">
        <v>4950</v>
      </c>
      <c r="M23" s="16" t="s">
        <v>8262</v>
      </c>
      <c r="N23" s="16" t="str">
        <f>VLOOKUP(M23,Tab_Zast[[Zastávka]:[Sloupec1]],2,0)</f>
        <v>04</v>
      </c>
      <c r="O23" t="s">
        <v>4058</v>
      </c>
      <c r="P23">
        <v>1</v>
      </c>
      <c r="Q23">
        <v>0</v>
      </c>
      <c r="R23" t="s">
        <v>31</v>
      </c>
      <c r="S23" t="s">
        <v>31</v>
      </c>
      <c r="T23" t="s">
        <v>32</v>
      </c>
      <c r="V23" s="1" t="e">
        <v>#N/A</v>
      </c>
      <c r="W23" t="s">
        <v>47</v>
      </c>
      <c r="X23">
        <v>0</v>
      </c>
      <c r="Y23">
        <v>491</v>
      </c>
      <c r="AA23" t="str">
        <f t="shared" si="0"/>
        <v>update zamestnanci set nastup='04' where id='1102';</v>
      </c>
      <c r="AB23" t="str">
        <f t="shared" si="1"/>
        <v>update dochazka set zastavka = '04' where zamestnanec = '1102';</v>
      </c>
    </row>
    <row r="24" spans="1:28" x14ac:dyDescent="0.25">
      <c r="A24" s="2">
        <v>1106</v>
      </c>
      <c r="B24" t="s">
        <v>4964</v>
      </c>
      <c r="C24" t="s">
        <v>151</v>
      </c>
      <c r="D24" t="s">
        <v>4965</v>
      </c>
      <c r="E24" t="s">
        <v>4717</v>
      </c>
      <c r="F24" t="s">
        <v>4966</v>
      </c>
      <c r="G24" s="1">
        <v>45502</v>
      </c>
      <c r="H24" s="1">
        <v>45537</v>
      </c>
      <c r="I24" s="1">
        <v>73050</v>
      </c>
      <c r="J24" s="2" t="s">
        <v>8261</v>
      </c>
      <c r="K24" t="s">
        <v>4967</v>
      </c>
      <c r="M24" s="16" t="s">
        <v>8262</v>
      </c>
      <c r="N24" s="16" t="str">
        <f>VLOOKUP(M24,Tab_Zast[[Zastávka]:[Sloupec1]],2,0)</f>
        <v>04</v>
      </c>
      <c r="O24" t="s">
        <v>3909</v>
      </c>
      <c r="P24">
        <v>1</v>
      </c>
      <c r="Q24">
        <v>0</v>
      </c>
      <c r="R24" t="s">
        <v>31</v>
      </c>
      <c r="S24" t="s">
        <v>31</v>
      </c>
      <c r="T24" t="s">
        <v>32</v>
      </c>
      <c r="V24" s="1" t="e">
        <v>#N/A</v>
      </c>
      <c r="W24" t="s">
        <v>47</v>
      </c>
      <c r="X24">
        <v>0</v>
      </c>
      <c r="Y24">
        <v>492</v>
      </c>
      <c r="AA24" t="str">
        <f t="shared" si="0"/>
        <v>update zamestnanci set nastup='04' where id='1106';</v>
      </c>
      <c r="AB24" t="str">
        <f t="shared" si="1"/>
        <v>update dochazka set zastavka = '04' where zamestnanec = '1106';</v>
      </c>
    </row>
    <row r="25" spans="1:28" x14ac:dyDescent="0.25">
      <c r="A25" s="2">
        <v>1115</v>
      </c>
      <c r="B25" t="s">
        <v>5000</v>
      </c>
      <c r="C25" t="s">
        <v>151</v>
      </c>
      <c r="D25" t="s">
        <v>5001</v>
      </c>
      <c r="E25" t="s">
        <v>4993</v>
      </c>
      <c r="F25" t="s">
        <v>484</v>
      </c>
      <c r="G25" s="1">
        <v>45509</v>
      </c>
      <c r="H25" s="1">
        <v>45875</v>
      </c>
      <c r="I25" s="1">
        <v>73050</v>
      </c>
      <c r="J25" s="2" t="s">
        <v>8261</v>
      </c>
      <c r="K25" t="s">
        <v>5002</v>
      </c>
      <c r="M25" s="16" t="s">
        <v>8262</v>
      </c>
      <c r="N25" s="16" t="str">
        <f>VLOOKUP(M25,Tab_Zast[[Zastávka]:[Sloupec1]],2,0)</f>
        <v>04</v>
      </c>
      <c r="O25" t="s">
        <v>5003</v>
      </c>
      <c r="P25">
        <v>1</v>
      </c>
      <c r="Q25">
        <v>0</v>
      </c>
      <c r="R25" t="s">
        <v>31</v>
      </c>
      <c r="S25" t="s">
        <v>31</v>
      </c>
      <c r="T25" t="s">
        <v>32</v>
      </c>
      <c r="V25" s="1" t="e">
        <v>#N/A</v>
      </c>
      <c r="W25" t="s">
        <v>47</v>
      </c>
      <c r="X25">
        <v>0</v>
      </c>
      <c r="Y25">
        <v>510</v>
      </c>
      <c r="AA25" t="str">
        <f t="shared" si="0"/>
        <v>update zamestnanci set nastup='04' where id='1115';</v>
      </c>
      <c r="AB25" t="str">
        <f t="shared" si="1"/>
        <v>update dochazka set zastavka = '04' where zamestnanec = '1115';</v>
      </c>
    </row>
    <row r="26" spans="1:28" x14ac:dyDescent="0.25">
      <c r="A26" s="2">
        <v>1116</v>
      </c>
      <c r="B26" t="s">
        <v>5004</v>
      </c>
      <c r="C26" t="s">
        <v>151</v>
      </c>
      <c r="D26" t="s">
        <v>5005</v>
      </c>
      <c r="E26" t="s">
        <v>3481</v>
      </c>
      <c r="F26" t="s">
        <v>67</v>
      </c>
      <c r="G26" s="1">
        <v>45509</v>
      </c>
      <c r="H26" s="1">
        <v>45509</v>
      </c>
      <c r="I26" s="1">
        <v>45509</v>
      </c>
      <c r="J26" s="2" t="s">
        <v>8261</v>
      </c>
      <c r="K26" t="s">
        <v>5006</v>
      </c>
      <c r="M26" s="16" t="s">
        <v>8262</v>
      </c>
      <c r="N26" s="16" t="str">
        <f>VLOOKUP(M26,Tab_Zast[[Zastávka]:[Sloupec1]],2,0)</f>
        <v>04</v>
      </c>
      <c r="O26" t="s">
        <v>5007</v>
      </c>
      <c r="P26">
        <v>1</v>
      </c>
      <c r="Q26">
        <v>0</v>
      </c>
      <c r="R26" t="s">
        <v>31</v>
      </c>
      <c r="S26" t="s">
        <v>31</v>
      </c>
      <c r="T26" t="s">
        <v>32</v>
      </c>
      <c r="V26" s="1" t="e">
        <v>#N/A</v>
      </c>
      <c r="W26" t="s">
        <v>47</v>
      </c>
      <c r="X26">
        <v>0</v>
      </c>
      <c r="Y26">
        <v>509</v>
      </c>
      <c r="AA26" t="str">
        <f t="shared" si="0"/>
        <v>update zamestnanci set nastup='04' where id='1116';</v>
      </c>
      <c r="AB26" t="str">
        <f t="shared" si="1"/>
        <v>update dochazka set zastavka = '04' where zamestnanec = '1116';</v>
      </c>
    </row>
    <row r="27" spans="1:28" x14ac:dyDescent="0.25">
      <c r="A27" s="2">
        <v>1117</v>
      </c>
      <c r="B27" t="s">
        <v>5008</v>
      </c>
      <c r="C27" t="s">
        <v>151</v>
      </c>
      <c r="D27" t="s">
        <v>5005</v>
      </c>
      <c r="E27" t="s">
        <v>3076</v>
      </c>
      <c r="F27" t="s">
        <v>67</v>
      </c>
      <c r="G27" s="1">
        <v>45509</v>
      </c>
      <c r="H27" s="1">
        <v>45509</v>
      </c>
      <c r="I27" s="1">
        <v>45509</v>
      </c>
      <c r="J27" s="2" t="s">
        <v>8261</v>
      </c>
      <c r="K27" t="s">
        <v>5009</v>
      </c>
      <c r="M27" s="16" t="s">
        <v>8262</v>
      </c>
      <c r="N27" s="16" t="str">
        <f>VLOOKUP(M27,Tab_Zast[[Zastávka]:[Sloupec1]],2,0)</f>
        <v>04</v>
      </c>
      <c r="O27" t="s">
        <v>5007</v>
      </c>
      <c r="P27">
        <v>1</v>
      </c>
      <c r="Q27">
        <v>0</v>
      </c>
      <c r="R27" t="s">
        <v>31</v>
      </c>
      <c r="S27" t="s">
        <v>31</v>
      </c>
      <c r="T27" t="s">
        <v>32</v>
      </c>
      <c r="V27" s="1" t="e">
        <v>#N/A</v>
      </c>
      <c r="W27" t="s">
        <v>47</v>
      </c>
      <c r="X27">
        <v>0</v>
      </c>
      <c r="Y27">
        <v>508</v>
      </c>
      <c r="AA27" t="str">
        <f t="shared" si="0"/>
        <v>update zamestnanci set nastup='04' where id='1117';</v>
      </c>
      <c r="AB27" t="str">
        <f t="shared" si="1"/>
        <v>update dochazka set zastavka = '04' where zamestnanec = '1117';</v>
      </c>
    </row>
    <row r="28" spans="1:28" x14ac:dyDescent="0.25">
      <c r="A28" s="2">
        <v>1118</v>
      </c>
      <c r="B28" t="s">
        <v>5010</v>
      </c>
      <c r="C28" t="s">
        <v>151</v>
      </c>
      <c r="D28" t="s">
        <v>5001</v>
      </c>
      <c r="E28" t="s">
        <v>80</v>
      </c>
      <c r="F28" t="s">
        <v>2702</v>
      </c>
      <c r="G28" s="1">
        <v>45509</v>
      </c>
      <c r="H28" s="1">
        <v>45875</v>
      </c>
      <c r="I28" s="1">
        <v>73050</v>
      </c>
      <c r="J28" s="2" t="s">
        <v>8261</v>
      </c>
      <c r="K28" t="s">
        <v>5011</v>
      </c>
      <c r="M28" s="16" t="s">
        <v>8262</v>
      </c>
      <c r="N28" s="16" t="str">
        <f>VLOOKUP(M28,Tab_Zast[[Zastávka]:[Sloupec1]],2,0)</f>
        <v>04</v>
      </c>
      <c r="O28" t="s">
        <v>5012</v>
      </c>
      <c r="P28">
        <v>1</v>
      </c>
      <c r="Q28">
        <v>0</v>
      </c>
      <c r="R28" t="s">
        <v>31</v>
      </c>
      <c r="S28" t="s">
        <v>31</v>
      </c>
      <c r="T28" t="s">
        <v>32</v>
      </c>
      <c r="V28" s="1" t="e">
        <v>#N/A</v>
      </c>
      <c r="W28" t="s">
        <v>47</v>
      </c>
      <c r="X28">
        <v>0</v>
      </c>
      <c r="Y28">
        <v>507</v>
      </c>
      <c r="AA28" t="str">
        <f t="shared" si="0"/>
        <v>update zamestnanci set nastup='04' where id='1118';</v>
      </c>
      <c r="AB28" t="str">
        <f t="shared" si="1"/>
        <v>update dochazka set zastavka = '04' where zamestnanec = '1118';</v>
      </c>
    </row>
    <row r="29" spans="1:28" x14ac:dyDescent="0.25">
      <c r="A29" s="2">
        <v>1119</v>
      </c>
      <c r="B29" t="s">
        <v>5013</v>
      </c>
      <c r="C29" t="s">
        <v>151</v>
      </c>
      <c r="D29" t="s">
        <v>2628</v>
      </c>
      <c r="E29" t="s">
        <v>3373</v>
      </c>
      <c r="F29" t="s">
        <v>5014</v>
      </c>
      <c r="G29" s="1">
        <v>45509</v>
      </c>
      <c r="H29" s="1">
        <v>45553</v>
      </c>
      <c r="I29" s="1">
        <v>73050</v>
      </c>
      <c r="J29" s="2" t="s">
        <v>8261</v>
      </c>
      <c r="K29" t="s">
        <v>5015</v>
      </c>
      <c r="M29" s="16" t="s">
        <v>8262</v>
      </c>
      <c r="N29" s="16" t="str">
        <f>VLOOKUP(M29,Tab_Zast[[Zastávka]:[Sloupec1]],2,0)</f>
        <v>04</v>
      </c>
      <c r="O29" t="s">
        <v>5016</v>
      </c>
      <c r="P29">
        <v>1</v>
      </c>
      <c r="Q29">
        <v>0</v>
      </c>
      <c r="R29" t="s">
        <v>31</v>
      </c>
      <c r="S29" t="s">
        <v>31</v>
      </c>
      <c r="T29" t="s">
        <v>32</v>
      </c>
      <c r="V29" s="1" t="e">
        <v>#N/A</v>
      </c>
      <c r="W29" t="s">
        <v>47</v>
      </c>
      <c r="X29">
        <v>0</v>
      </c>
      <c r="Y29">
        <v>506</v>
      </c>
      <c r="AA29" t="str">
        <f t="shared" si="0"/>
        <v>update zamestnanci set nastup='04' where id='1119';</v>
      </c>
      <c r="AB29" t="str">
        <f t="shared" si="1"/>
        <v>update dochazka set zastavka = '04' where zamestnanec = '1119';</v>
      </c>
    </row>
    <row r="30" spans="1:28" x14ac:dyDescent="0.25">
      <c r="A30" s="2">
        <v>1120</v>
      </c>
      <c r="B30" t="s">
        <v>5017</v>
      </c>
      <c r="C30" t="s">
        <v>151</v>
      </c>
      <c r="D30" t="s">
        <v>3504</v>
      </c>
      <c r="E30" t="s">
        <v>2705</v>
      </c>
      <c r="F30" t="s">
        <v>2893</v>
      </c>
      <c r="G30" s="1">
        <v>45509</v>
      </c>
      <c r="H30" s="1">
        <v>45541</v>
      </c>
      <c r="I30" s="1">
        <v>73050</v>
      </c>
      <c r="J30" s="2" t="s">
        <v>8261</v>
      </c>
      <c r="K30" t="s">
        <v>3505</v>
      </c>
      <c r="M30" s="16" t="s">
        <v>8262</v>
      </c>
      <c r="N30" s="16" t="str">
        <f>VLOOKUP(M30,Tab_Zast[[Zastávka]:[Sloupec1]],2,0)</f>
        <v>04</v>
      </c>
      <c r="O30" t="s">
        <v>5018</v>
      </c>
      <c r="P30">
        <v>1</v>
      </c>
      <c r="Q30">
        <v>0</v>
      </c>
      <c r="R30" t="s">
        <v>31</v>
      </c>
      <c r="S30" t="s">
        <v>31</v>
      </c>
      <c r="T30" t="s">
        <v>32</v>
      </c>
      <c r="V30" s="1" t="e">
        <v>#N/A</v>
      </c>
      <c r="W30" t="s">
        <v>47</v>
      </c>
      <c r="X30">
        <v>0</v>
      </c>
      <c r="Y30">
        <v>505</v>
      </c>
      <c r="AA30" t="str">
        <f t="shared" si="0"/>
        <v>update zamestnanci set nastup='04' where id='1120';</v>
      </c>
      <c r="AB30" t="str">
        <f t="shared" si="1"/>
        <v>update dochazka set zastavka = '04' where zamestnanec = '1120';</v>
      </c>
    </row>
    <row r="31" spans="1:28" x14ac:dyDescent="0.25">
      <c r="A31" s="2">
        <v>1121</v>
      </c>
      <c r="B31" t="s">
        <v>5019</v>
      </c>
      <c r="C31" t="s">
        <v>151</v>
      </c>
      <c r="D31" t="s">
        <v>1601</v>
      </c>
      <c r="E31" t="s">
        <v>1402</v>
      </c>
      <c r="F31" t="s">
        <v>5020</v>
      </c>
      <c r="G31" s="1">
        <v>45509</v>
      </c>
      <c r="H31" s="1">
        <v>45517</v>
      </c>
      <c r="I31" s="1">
        <v>73050</v>
      </c>
      <c r="J31" s="2" t="s">
        <v>8261</v>
      </c>
      <c r="K31" t="s">
        <v>5021</v>
      </c>
      <c r="M31" s="16" t="s">
        <v>8262</v>
      </c>
      <c r="N31" s="16" t="str">
        <f>VLOOKUP(M31,Tab_Zast[[Zastávka]:[Sloupec1]],2,0)</f>
        <v>04</v>
      </c>
      <c r="O31" t="s">
        <v>5022</v>
      </c>
      <c r="P31">
        <v>1</v>
      </c>
      <c r="Q31">
        <v>0</v>
      </c>
      <c r="R31" t="s">
        <v>31</v>
      </c>
      <c r="S31" t="s">
        <v>31</v>
      </c>
      <c r="T31" t="s">
        <v>32</v>
      </c>
      <c r="V31" s="1" t="e">
        <v>#N/A</v>
      </c>
      <c r="W31" t="s">
        <v>47</v>
      </c>
      <c r="X31">
        <v>0</v>
      </c>
      <c r="Y31">
        <v>504</v>
      </c>
      <c r="AA31" t="str">
        <f t="shared" si="0"/>
        <v>update zamestnanci set nastup='04' where id='1121';</v>
      </c>
      <c r="AB31" t="str">
        <f t="shared" si="1"/>
        <v>update dochazka set zastavka = '04' where zamestnanec = '1121';</v>
      </c>
    </row>
    <row r="32" spans="1:28" x14ac:dyDescent="0.25">
      <c r="A32" s="2">
        <v>1122</v>
      </c>
      <c r="B32" t="s">
        <v>5023</v>
      </c>
      <c r="C32" t="s">
        <v>151</v>
      </c>
      <c r="D32" t="s">
        <v>5024</v>
      </c>
      <c r="E32" t="s">
        <v>1509</v>
      </c>
      <c r="F32" t="s">
        <v>67</v>
      </c>
      <c r="G32" s="1">
        <v>45509</v>
      </c>
      <c r="H32" s="1">
        <v>45509</v>
      </c>
      <c r="I32" s="1">
        <v>45509</v>
      </c>
      <c r="J32" s="2" t="s">
        <v>8261</v>
      </c>
      <c r="K32" t="s">
        <v>5025</v>
      </c>
      <c r="M32" s="16" t="s">
        <v>8262</v>
      </c>
      <c r="N32" s="16" t="str">
        <f>VLOOKUP(M32,Tab_Zast[[Zastávka]:[Sloupec1]],2,0)</f>
        <v>04</v>
      </c>
      <c r="O32" t="s">
        <v>5026</v>
      </c>
      <c r="P32">
        <v>1</v>
      </c>
      <c r="Q32">
        <v>0</v>
      </c>
      <c r="R32" t="s">
        <v>31</v>
      </c>
      <c r="S32" t="s">
        <v>31</v>
      </c>
      <c r="T32" t="s">
        <v>32</v>
      </c>
      <c r="V32" s="1" t="e">
        <v>#N/A</v>
      </c>
      <c r="W32" t="s">
        <v>47</v>
      </c>
      <c r="X32">
        <v>0</v>
      </c>
      <c r="Y32">
        <v>511</v>
      </c>
      <c r="AA32" t="str">
        <f t="shared" si="0"/>
        <v>update zamestnanci set nastup='04' where id='1122';</v>
      </c>
      <c r="AB32" t="str">
        <f t="shared" si="1"/>
        <v>update dochazka set zastavka = '04' where zamestnanec = '1122';</v>
      </c>
    </row>
    <row r="33" spans="1:28" x14ac:dyDescent="0.25">
      <c r="A33" s="2">
        <v>1137</v>
      </c>
      <c r="B33" t="s">
        <v>5088</v>
      </c>
      <c r="C33" t="s">
        <v>64</v>
      </c>
      <c r="D33" t="s">
        <v>5089</v>
      </c>
      <c r="E33" t="s">
        <v>755</v>
      </c>
      <c r="F33" t="s">
        <v>552</v>
      </c>
      <c r="G33" s="1">
        <v>45516</v>
      </c>
      <c r="H33" s="1">
        <v>45520</v>
      </c>
      <c r="I33" s="1">
        <v>73050</v>
      </c>
      <c r="J33" s="2" t="s">
        <v>8261</v>
      </c>
      <c r="K33" t="s">
        <v>5090</v>
      </c>
      <c r="M33" s="16" t="s">
        <v>8262</v>
      </c>
      <c r="N33" s="16" t="str">
        <f>VLOOKUP(M33,Tab_Zast[[Zastávka]:[Sloupec1]],2,0)</f>
        <v>04</v>
      </c>
      <c r="O33" t="s">
        <v>5091</v>
      </c>
      <c r="P33">
        <v>1</v>
      </c>
      <c r="Q33">
        <v>0</v>
      </c>
      <c r="R33" t="s">
        <v>31</v>
      </c>
      <c r="S33" t="s">
        <v>31</v>
      </c>
      <c r="T33" t="s">
        <v>32</v>
      </c>
      <c r="V33" s="1" t="e">
        <v>#N/A</v>
      </c>
      <c r="W33" t="s">
        <v>47</v>
      </c>
      <c r="X33">
        <v>0</v>
      </c>
      <c r="Y33">
        <v>518</v>
      </c>
      <c r="AA33" t="str">
        <f t="shared" si="0"/>
        <v>update zamestnanci set nastup='04' where id='1137';</v>
      </c>
      <c r="AB33" t="str">
        <f t="shared" si="1"/>
        <v>update dochazka set zastavka = '04' where zamestnanec = '1137';</v>
      </c>
    </row>
    <row r="34" spans="1:28" x14ac:dyDescent="0.25">
      <c r="A34" s="2">
        <v>1156</v>
      </c>
      <c r="B34" t="s">
        <v>5165</v>
      </c>
      <c r="C34" t="s">
        <v>64</v>
      </c>
      <c r="D34" t="s">
        <v>5166</v>
      </c>
      <c r="E34" t="s">
        <v>2883</v>
      </c>
      <c r="F34" t="s">
        <v>67</v>
      </c>
      <c r="G34" s="1">
        <v>45523</v>
      </c>
      <c r="H34" s="1">
        <v>45523</v>
      </c>
      <c r="I34" s="1">
        <v>45523</v>
      </c>
      <c r="J34" s="2" t="s">
        <v>8261</v>
      </c>
      <c r="K34" t="s">
        <v>5167</v>
      </c>
      <c r="M34" s="16" t="s">
        <v>8262</v>
      </c>
      <c r="N34" s="16" t="str">
        <f>VLOOKUP(M34,Tab_Zast[[Zastávka]:[Sloupec1]],2,0)</f>
        <v>04</v>
      </c>
      <c r="O34" t="s">
        <v>5168</v>
      </c>
      <c r="P34">
        <v>1</v>
      </c>
      <c r="Q34">
        <v>0</v>
      </c>
      <c r="R34" t="s">
        <v>31</v>
      </c>
      <c r="S34" t="s">
        <v>31</v>
      </c>
      <c r="T34" t="s">
        <v>32</v>
      </c>
      <c r="V34" s="1" t="e">
        <v>#N/A</v>
      </c>
      <c r="W34" t="s">
        <v>47</v>
      </c>
      <c r="X34">
        <v>0</v>
      </c>
      <c r="Y34">
        <v>545</v>
      </c>
      <c r="AA34" t="str">
        <f t="shared" si="0"/>
        <v>update zamestnanci set nastup='04' where id='1156';</v>
      </c>
      <c r="AB34" t="str">
        <f t="shared" si="1"/>
        <v>update dochazka set zastavka = '04' where zamestnanec = '1156';</v>
      </c>
    </row>
    <row r="35" spans="1:28" x14ac:dyDescent="0.25">
      <c r="A35" s="2">
        <v>1179</v>
      </c>
      <c r="B35" t="s">
        <v>5255</v>
      </c>
      <c r="C35" t="s">
        <v>1394</v>
      </c>
      <c r="D35" t="s">
        <v>5256</v>
      </c>
      <c r="E35" t="s">
        <v>3223</v>
      </c>
      <c r="F35" t="s">
        <v>67</v>
      </c>
      <c r="G35" s="1">
        <v>45530</v>
      </c>
      <c r="H35" s="1">
        <v>45530</v>
      </c>
      <c r="I35" s="1">
        <v>45530</v>
      </c>
      <c r="J35" s="2" t="s">
        <v>8261</v>
      </c>
      <c r="K35" t="s">
        <v>5257</v>
      </c>
      <c r="M35" s="16" t="s">
        <v>8262</v>
      </c>
      <c r="N35" s="16" t="str">
        <f>VLOOKUP(M35,Tab_Zast[[Zastávka]:[Sloupec1]],2,0)</f>
        <v>04</v>
      </c>
      <c r="O35" t="s">
        <v>5258</v>
      </c>
      <c r="P35">
        <v>1</v>
      </c>
      <c r="Q35">
        <v>0</v>
      </c>
      <c r="R35" t="s">
        <v>31</v>
      </c>
      <c r="S35" t="s">
        <v>31</v>
      </c>
      <c r="T35" t="s">
        <v>32</v>
      </c>
      <c r="V35" s="1" t="e">
        <v>#N/A</v>
      </c>
      <c r="W35" t="s">
        <v>47</v>
      </c>
      <c r="X35">
        <v>0</v>
      </c>
      <c r="Y35">
        <v>567</v>
      </c>
      <c r="AA35" t="str">
        <f t="shared" si="0"/>
        <v>update zamestnanci set nastup='04' where id='1179';</v>
      </c>
      <c r="AB35" t="str">
        <f t="shared" si="1"/>
        <v>update dochazka set zastavka = '04' where zamestnanec = '1179';</v>
      </c>
    </row>
    <row r="36" spans="1:28" x14ac:dyDescent="0.25">
      <c r="A36" s="2">
        <v>1204</v>
      </c>
      <c r="B36" t="s">
        <v>5356</v>
      </c>
      <c r="C36" t="s">
        <v>151</v>
      </c>
      <c r="D36" t="s">
        <v>928</v>
      </c>
      <c r="E36" t="s">
        <v>1744</v>
      </c>
      <c r="F36" t="s">
        <v>64</v>
      </c>
      <c r="G36" s="1">
        <v>45538</v>
      </c>
      <c r="H36" s="1">
        <v>45741</v>
      </c>
      <c r="I36" s="1">
        <v>73050</v>
      </c>
      <c r="J36" s="2" t="s">
        <v>8261</v>
      </c>
      <c r="K36" t="s">
        <v>5357</v>
      </c>
      <c r="M36" s="16" t="s">
        <v>8262</v>
      </c>
      <c r="N36" s="16" t="str">
        <f>VLOOKUP(M36,Tab_Zast[[Zastávka]:[Sloupec1]],2,0)</f>
        <v>04</v>
      </c>
      <c r="O36" t="s">
        <v>5358</v>
      </c>
      <c r="P36">
        <v>1</v>
      </c>
      <c r="Q36">
        <v>0</v>
      </c>
      <c r="R36" t="s">
        <v>31</v>
      </c>
      <c r="S36" t="s">
        <v>31</v>
      </c>
      <c r="T36" t="s">
        <v>32</v>
      </c>
      <c r="V36" s="1" t="e">
        <v>#N/A</v>
      </c>
      <c r="W36" t="s">
        <v>47</v>
      </c>
      <c r="X36">
        <v>0</v>
      </c>
      <c r="Y36">
        <v>594</v>
      </c>
      <c r="AA36" t="str">
        <f t="shared" si="0"/>
        <v>update zamestnanci set nastup='04' where id='1204';</v>
      </c>
      <c r="AB36" t="str">
        <f t="shared" si="1"/>
        <v>update dochazka set zastavka = '04' where zamestnanec = '1204';</v>
      </c>
    </row>
    <row r="37" spans="1:28" x14ac:dyDescent="0.25">
      <c r="A37" s="2">
        <v>1215</v>
      </c>
      <c r="B37" t="s">
        <v>5402</v>
      </c>
      <c r="C37" t="s">
        <v>151</v>
      </c>
      <c r="D37" t="s">
        <v>5403</v>
      </c>
      <c r="E37" t="s">
        <v>3566</v>
      </c>
      <c r="F37" t="s">
        <v>67</v>
      </c>
      <c r="G37" s="1">
        <v>45544</v>
      </c>
      <c r="H37" s="1">
        <v>45544</v>
      </c>
      <c r="I37" s="1">
        <v>73050</v>
      </c>
      <c r="J37" s="2" t="s">
        <v>8261</v>
      </c>
      <c r="K37" t="s">
        <v>5404</v>
      </c>
      <c r="M37" s="16" t="s">
        <v>8262</v>
      </c>
      <c r="N37" s="16" t="str">
        <f>VLOOKUP(M37,Tab_Zast[[Zastávka]:[Sloupec1]],2,0)</f>
        <v>04</v>
      </c>
      <c r="O37" t="s">
        <v>5405</v>
      </c>
      <c r="P37">
        <v>1</v>
      </c>
      <c r="Q37">
        <v>0</v>
      </c>
      <c r="R37" t="s">
        <v>31</v>
      </c>
      <c r="S37" t="s">
        <v>31</v>
      </c>
      <c r="T37" t="s">
        <v>32</v>
      </c>
      <c r="V37" s="1" t="e">
        <v>#N/A</v>
      </c>
      <c r="W37" t="s">
        <v>47</v>
      </c>
      <c r="X37">
        <v>0</v>
      </c>
      <c r="Y37">
        <v>598</v>
      </c>
      <c r="AA37" t="str">
        <f t="shared" si="0"/>
        <v>update zamestnanci set nastup='04' where id='1215';</v>
      </c>
      <c r="AB37" t="str">
        <f t="shared" si="1"/>
        <v>update dochazka set zastavka = '04' where zamestnanec = '1215';</v>
      </c>
    </row>
    <row r="38" spans="1:28" x14ac:dyDescent="0.25">
      <c r="A38" s="2">
        <v>1216</v>
      </c>
      <c r="B38" t="s">
        <v>5406</v>
      </c>
      <c r="C38" t="s">
        <v>151</v>
      </c>
      <c r="D38" t="s">
        <v>5407</v>
      </c>
      <c r="E38" t="s">
        <v>5408</v>
      </c>
      <c r="F38" t="s">
        <v>67</v>
      </c>
      <c r="G38" s="1">
        <v>45544</v>
      </c>
      <c r="H38" s="1">
        <v>45544</v>
      </c>
      <c r="I38" s="1">
        <v>45544</v>
      </c>
      <c r="J38" s="2" t="s">
        <v>8261</v>
      </c>
      <c r="K38" t="s">
        <v>5409</v>
      </c>
      <c r="M38" s="16" t="s">
        <v>8262</v>
      </c>
      <c r="N38" s="16" t="str">
        <f>VLOOKUP(M38,Tab_Zast[[Zastávka]:[Sloupec1]],2,0)</f>
        <v>04</v>
      </c>
      <c r="O38" t="s">
        <v>5410</v>
      </c>
      <c r="P38">
        <v>1</v>
      </c>
      <c r="Q38">
        <v>0</v>
      </c>
      <c r="R38" t="s">
        <v>31</v>
      </c>
      <c r="S38" t="s">
        <v>31</v>
      </c>
      <c r="T38" t="s">
        <v>32</v>
      </c>
      <c r="V38" s="1" t="e">
        <v>#N/A</v>
      </c>
      <c r="W38" t="s">
        <v>47</v>
      </c>
      <c r="X38">
        <v>0</v>
      </c>
      <c r="Y38">
        <v>599</v>
      </c>
      <c r="AA38" t="str">
        <f t="shared" si="0"/>
        <v>update zamestnanci set nastup='04' where id='1216';</v>
      </c>
      <c r="AB38" t="str">
        <f t="shared" si="1"/>
        <v>update dochazka set zastavka = '04' where zamestnanec = '1216';</v>
      </c>
    </row>
    <row r="39" spans="1:28" x14ac:dyDescent="0.25">
      <c r="A39" s="2">
        <v>1252</v>
      </c>
      <c r="B39" t="s">
        <v>5542</v>
      </c>
      <c r="C39" t="s">
        <v>5543</v>
      </c>
      <c r="D39" t="s">
        <v>5544</v>
      </c>
      <c r="E39" t="s">
        <v>3697</v>
      </c>
      <c r="F39" t="s">
        <v>5543</v>
      </c>
      <c r="G39" s="1">
        <v>45554</v>
      </c>
      <c r="H39" s="1">
        <v>45554</v>
      </c>
      <c r="I39" s="1">
        <v>45554</v>
      </c>
      <c r="J39" s="2" t="s">
        <v>8261</v>
      </c>
      <c r="K39" t="s">
        <v>5545</v>
      </c>
      <c r="M39" s="16" t="s">
        <v>8262</v>
      </c>
      <c r="N39" s="16" t="str">
        <f>VLOOKUP(M39,Tab_Zast[[Zastávka]:[Sloupec1]],2,0)</f>
        <v>04</v>
      </c>
      <c r="O39" t="s">
        <v>5546</v>
      </c>
      <c r="P39">
        <v>1</v>
      </c>
      <c r="Q39">
        <v>0</v>
      </c>
      <c r="R39" t="s">
        <v>31</v>
      </c>
      <c r="S39" t="s">
        <v>31</v>
      </c>
      <c r="T39" t="s">
        <v>32</v>
      </c>
      <c r="V39" s="1" t="e">
        <v>#N/A</v>
      </c>
      <c r="W39" t="s">
        <v>47</v>
      </c>
      <c r="X39">
        <v>0</v>
      </c>
      <c r="Y39">
        <v>643</v>
      </c>
      <c r="AA39" t="str">
        <f t="shared" si="0"/>
        <v>update zamestnanci set nastup='04' where id='1252';</v>
      </c>
      <c r="AB39" t="str">
        <f t="shared" si="1"/>
        <v>update dochazka set zastavka = '04' where zamestnanec = '1252';</v>
      </c>
    </row>
    <row r="40" spans="1:28" x14ac:dyDescent="0.25">
      <c r="A40" s="2">
        <v>1253</v>
      </c>
      <c r="B40" t="s">
        <v>5547</v>
      </c>
      <c r="C40" t="s">
        <v>64</v>
      </c>
      <c r="D40" t="s">
        <v>5548</v>
      </c>
      <c r="E40" t="s">
        <v>3373</v>
      </c>
      <c r="F40" t="s">
        <v>4966</v>
      </c>
      <c r="G40" s="1">
        <v>45554</v>
      </c>
      <c r="H40" s="1">
        <v>45602</v>
      </c>
      <c r="I40" s="1">
        <v>45602</v>
      </c>
      <c r="J40" s="2" t="s">
        <v>8261</v>
      </c>
      <c r="K40" t="s">
        <v>5549</v>
      </c>
      <c r="M40" s="16" t="s">
        <v>8262</v>
      </c>
      <c r="N40" s="16" t="str">
        <f>VLOOKUP(M40,Tab_Zast[[Zastávka]:[Sloupec1]],2,0)</f>
        <v>04</v>
      </c>
      <c r="O40" t="s">
        <v>5550</v>
      </c>
      <c r="P40">
        <v>1</v>
      </c>
      <c r="Q40">
        <v>0</v>
      </c>
      <c r="R40" t="s">
        <v>31</v>
      </c>
      <c r="S40" t="s">
        <v>31</v>
      </c>
      <c r="T40" t="s">
        <v>32</v>
      </c>
      <c r="V40" s="1" t="e">
        <v>#N/A</v>
      </c>
      <c r="W40" t="s">
        <v>47</v>
      </c>
      <c r="X40">
        <v>0</v>
      </c>
      <c r="Y40">
        <v>644</v>
      </c>
      <c r="AA40" t="str">
        <f t="shared" si="0"/>
        <v>update zamestnanci set nastup='04' where id='1253';</v>
      </c>
      <c r="AB40" t="str">
        <f t="shared" si="1"/>
        <v>update dochazka set zastavka = '04' where zamestnanec = '1253';</v>
      </c>
    </row>
    <row r="41" spans="1:28" x14ac:dyDescent="0.25">
      <c r="A41" s="2">
        <v>1272</v>
      </c>
      <c r="B41" t="s">
        <v>5626</v>
      </c>
      <c r="C41" t="s">
        <v>1394</v>
      </c>
      <c r="D41" t="s">
        <v>5627</v>
      </c>
      <c r="E41" t="s">
        <v>683</v>
      </c>
      <c r="F41" t="s">
        <v>5541</v>
      </c>
      <c r="G41" s="1">
        <v>45565</v>
      </c>
      <c r="H41" s="1">
        <v>45629</v>
      </c>
      <c r="I41" s="1">
        <v>73050</v>
      </c>
      <c r="J41" s="2" t="s">
        <v>8261</v>
      </c>
      <c r="K41" t="s">
        <v>5628</v>
      </c>
      <c r="M41" s="16" t="s">
        <v>8262</v>
      </c>
      <c r="N41" s="16" t="str">
        <f>VLOOKUP(M41,Tab_Zast[[Zastávka]:[Sloupec1]],2,0)</f>
        <v>04</v>
      </c>
      <c r="O41" t="s">
        <v>5629</v>
      </c>
      <c r="P41">
        <v>1</v>
      </c>
      <c r="Q41">
        <v>0</v>
      </c>
      <c r="R41" t="s">
        <v>31</v>
      </c>
      <c r="S41" t="s">
        <v>31</v>
      </c>
      <c r="T41" t="s">
        <v>32</v>
      </c>
      <c r="V41" s="1" t="e">
        <v>#N/A</v>
      </c>
      <c r="W41" t="s">
        <v>47</v>
      </c>
      <c r="X41">
        <v>0</v>
      </c>
      <c r="Y41">
        <v>658</v>
      </c>
      <c r="AA41" t="str">
        <f t="shared" si="0"/>
        <v>update zamestnanci set nastup='04' where id='1272';</v>
      </c>
      <c r="AB41" t="str">
        <f t="shared" si="1"/>
        <v>update dochazka set zastavka = '04' where zamestnanec = '1272';</v>
      </c>
    </row>
    <row r="42" spans="1:28" x14ac:dyDescent="0.25">
      <c r="A42" s="2">
        <v>1274</v>
      </c>
      <c r="B42" t="s">
        <v>5634</v>
      </c>
      <c r="C42" t="s">
        <v>1394</v>
      </c>
      <c r="D42" t="s">
        <v>5635</v>
      </c>
      <c r="E42" t="s">
        <v>5395</v>
      </c>
      <c r="F42" t="s">
        <v>67</v>
      </c>
      <c r="G42" s="1">
        <v>45565</v>
      </c>
      <c r="H42" s="1">
        <v>45565</v>
      </c>
      <c r="I42" s="1">
        <v>45534</v>
      </c>
      <c r="J42" s="2" t="s">
        <v>8261</v>
      </c>
      <c r="K42" t="s">
        <v>5636</v>
      </c>
      <c r="M42" s="16" t="s">
        <v>8262</v>
      </c>
      <c r="N42" s="16" t="str">
        <f>VLOOKUP(M42,Tab_Zast[[Zastávka]:[Sloupec1]],2,0)</f>
        <v>04</v>
      </c>
      <c r="O42" t="s">
        <v>5637</v>
      </c>
      <c r="P42">
        <v>1</v>
      </c>
      <c r="Q42">
        <v>0</v>
      </c>
      <c r="R42" t="s">
        <v>31</v>
      </c>
      <c r="S42" t="s">
        <v>31</v>
      </c>
      <c r="T42" t="s">
        <v>32</v>
      </c>
      <c r="V42" s="1" t="e">
        <v>#N/A</v>
      </c>
      <c r="W42" t="s">
        <v>47</v>
      </c>
      <c r="X42">
        <v>0</v>
      </c>
      <c r="Y42">
        <v>664</v>
      </c>
      <c r="AA42" t="str">
        <f t="shared" si="0"/>
        <v>update zamestnanci set nastup='04' where id='1274';</v>
      </c>
      <c r="AB42" t="str">
        <f t="shared" si="1"/>
        <v>update dochazka set zastavka = '04' where zamestnanec = '1274';</v>
      </c>
    </row>
    <row r="43" spans="1:28" x14ac:dyDescent="0.25">
      <c r="A43" s="2">
        <v>1281</v>
      </c>
      <c r="B43" t="s">
        <v>5661</v>
      </c>
      <c r="C43" t="s">
        <v>5610</v>
      </c>
      <c r="D43" t="s">
        <v>5662</v>
      </c>
      <c r="E43" t="s">
        <v>5395</v>
      </c>
      <c r="F43" t="s">
        <v>5610</v>
      </c>
      <c r="G43" s="1">
        <v>45568</v>
      </c>
      <c r="H43" s="1">
        <v>45573</v>
      </c>
      <c r="I43" s="1">
        <v>73050</v>
      </c>
      <c r="J43" s="2" t="s">
        <v>8261</v>
      </c>
      <c r="K43" t="s">
        <v>5663</v>
      </c>
      <c r="M43" s="16" t="s">
        <v>8262</v>
      </c>
      <c r="N43" s="16" t="str">
        <f>VLOOKUP(M43,Tab_Zast[[Zastávka]:[Sloupec1]],2,0)</f>
        <v>04</v>
      </c>
      <c r="O43" t="s">
        <v>5664</v>
      </c>
      <c r="P43">
        <v>1</v>
      </c>
      <c r="Q43">
        <v>0</v>
      </c>
      <c r="R43" t="s">
        <v>31</v>
      </c>
      <c r="S43" t="s">
        <v>31</v>
      </c>
      <c r="T43" t="s">
        <v>32</v>
      </c>
      <c r="V43" s="1" t="e">
        <v>#N/A</v>
      </c>
      <c r="W43" t="s">
        <v>47</v>
      </c>
      <c r="X43">
        <v>0</v>
      </c>
      <c r="Y43">
        <v>671</v>
      </c>
      <c r="AA43" t="str">
        <f t="shared" si="0"/>
        <v>update zamestnanci set nastup='04' where id='1281';</v>
      </c>
      <c r="AB43" t="str">
        <f t="shared" si="1"/>
        <v>update dochazka set zastavka = '04' where zamestnanec = '1281';</v>
      </c>
    </row>
    <row r="44" spans="1:28" x14ac:dyDescent="0.25">
      <c r="A44" s="2">
        <v>1282</v>
      </c>
      <c r="B44" t="s">
        <v>5665</v>
      </c>
      <c r="C44" t="s">
        <v>5543</v>
      </c>
      <c r="D44" t="s">
        <v>5666</v>
      </c>
      <c r="E44" t="s">
        <v>3976</v>
      </c>
      <c r="F44" t="s">
        <v>5543</v>
      </c>
      <c r="G44" s="1">
        <v>45568</v>
      </c>
      <c r="H44" s="1">
        <v>45568</v>
      </c>
      <c r="I44" s="1">
        <v>45568</v>
      </c>
      <c r="J44" s="2" t="s">
        <v>8261</v>
      </c>
      <c r="K44" t="s">
        <v>5667</v>
      </c>
      <c r="M44" s="16" t="s">
        <v>8262</v>
      </c>
      <c r="N44" s="16" t="str">
        <f>VLOOKUP(M44,Tab_Zast[[Zastávka]:[Sloupec1]],2,0)</f>
        <v>04</v>
      </c>
      <c r="O44" t="s">
        <v>5668</v>
      </c>
      <c r="P44">
        <v>1</v>
      </c>
      <c r="Q44">
        <v>0</v>
      </c>
      <c r="R44" t="s">
        <v>31</v>
      </c>
      <c r="S44" t="s">
        <v>31</v>
      </c>
      <c r="T44" t="s">
        <v>32</v>
      </c>
      <c r="V44" s="1" t="e">
        <v>#N/A</v>
      </c>
      <c r="W44" t="s">
        <v>47</v>
      </c>
      <c r="X44">
        <v>0</v>
      </c>
      <c r="Y44">
        <v>672</v>
      </c>
      <c r="AA44" t="str">
        <f t="shared" si="0"/>
        <v>update zamestnanci set nastup='04' where id='1282';</v>
      </c>
      <c r="AB44" t="str">
        <f t="shared" si="1"/>
        <v>update dochazka set zastavka = '04' where zamestnanec = '1282';</v>
      </c>
    </row>
    <row r="45" spans="1:28" x14ac:dyDescent="0.25">
      <c r="A45" s="2">
        <v>1283</v>
      </c>
      <c r="B45" t="s">
        <v>5669</v>
      </c>
      <c r="C45" t="s">
        <v>5543</v>
      </c>
      <c r="D45" t="s">
        <v>5670</v>
      </c>
      <c r="E45" t="s">
        <v>2973</v>
      </c>
      <c r="F45" t="s">
        <v>5543</v>
      </c>
      <c r="G45" s="1">
        <v>45568</v>
      </c>
      <c r="H45" s="1">
        <v>45568</v>
      </c>
      <c r="I45" s="1">
        <v>45568</v>
      </c>
      <c r="J45" s="2" t="s">
        <v>8261</v>
      </c>
      <c r="K45" t="s">
        <v>5671</v>
      </c>
      <c r="M45" s="16" t="s">
        <v>8262</v>
      </c>
      <c r="N45" s="16" t="str">
        <f>VLOOKUP(M45,Tab_Zast[[Zastávka]:[Sloupec1]],2,0)</f>
        <v>04</v>
      </c>
      <c r="O45" t="s">
        <v>5672</v>
      </c>
      <c r="P45">
        <v>1</v>
      </c>
      <c r="Q45">
        <v>0</v>
      </c>
      <c r="R45" t="s">
        <v>31</v>
      </c>
      <c r="S45" t="s">
        <v>31</v>
      </c>
      <c r="T45" t="s">
        <v>32</v>
      </c>
      <c r="V45" s="1" t="e">
        <v>#N/A</v>
      </c>
      <c r="W45" t="s">
        <v>47</v>
      </c>
      <c r="X45">
        <v>0</v>
      </c>
      <c r="Y45">
        <v>673</v>
      </c>
      <c r="AA45" t="str">
        <f t="shared" si="0"/>
        <v>update zamestnanci set nastup='04' where id='1283';</v>
      </c>
      <c r="AB45" t="str">
        <f t="shared" si="1"/>
        <v>update dochazka set zastavka = '04' where zamestnanec = '1283';</v>
      </c>
    </row>
    <row r="46" spans="1:28" x14ac:dyDescent="0.25">
      <c r="A46" s="2">
        <v>1284</v>
      </c>
      <c r="B46" t="s">
        <v>5673</v>
      </c>
      <c r="C46" t="s">
        <v>5610</v>
      </c>
      <c r="D46" t="s">
        <v>5674</v>
      </c>
      <c r="E46" t="s">
        <v>574</v>
      </c>
      <c r="F46" t="s">
        <v>5338</v>
      </c>
      <c r="G46" s="1">
        <v>45572</v>
      </c>
      <c r="H46" s="1">
        <v>45677</v>
      </c>
      <c r="I46" s="1">
        <v>73050</v>
      </c>
      <c r="J46" s="2" t="s">
        <v>8261</v>
      </c>
      <c r="K46" t="s">
        <v>5675</v>
      </c>
      <c r="M46" s="16" t="s">
        <v>8262</v>
      </c>
      <c r="N46" s="16" t="str">
        <f>VLOOKUP(M46,Tab_Zast[[Zastávka]:[Sloupec1]],2,0)</f>
        <v>04</v>
      </c>
      <c r="O46" t="s">
        <v>5676</v>
      </c>
      <c r="P46">
        <v>1</v>
      </c>
      <c r="Q46">
        <v>0</v>
      </c>
      <c r="R46" t="s">
        <v>31</v>
      </c>
      <c r="S46" t="s">
        <v>31</v>
      </c>
      <c r="T46" t="s">
        <v>32</v>
      </c>
      <c r="V46" s="1" t="e">
        <v>#N/A</v>
      </c>
      <c r="W46" t="s">
        <v>47</v>
      </c>
      <c r="X46">
        <v>0</v>
      </c>
      <c r="Y46">
        <v>683</v>
      </c>
      <c r="AA46" t="str">
        <f t="shared" si="0"/>
        <v>update zamestnanci set nastup='04' where id='1284';</v>
      </c>
      <c r="AB46" t="str">
        <f t="shared" si="1"/>
        <v>update dochazka set zastavka = '04' where zamestnanec = '1284';</v>
      </c>
    </row>
    <row r="47" spans="1:28" x14ac:dyDescent="0.25">
      <c r="A47" s="2">
        <v>1358</v>
      </c>
      <c r="B47" t="s">
        <v>5961</v>
      </c>
      <c r="C47" t="s">
        <v>64</v>
      </c>
      <c r="D47" t="s">
        <v>5962</v>
      </c>
      <c r="E47" t="s">
        <v>3605</v>
      </c>
      <c r="F47" t="s">
        <v>5898</v>
      </c>
      <c r="G47" s="1">
        <v>45607</v>
      </c>
      <c r="H47" s="1">
        <v>45617</v>
      </c>
      <c r="I47" s="1">
        <v>45617</v>
      </c>
      <c r="J47" s="2" t="s">
        <v>8261</v>
      </c>
      <c r="K47" t="s">
        <v>5963</v>
      </c>
      <c r="M47" s="16" t="s">
        <v>8262</v>
      </c>
      <c r="N47" s="16" t="str">
        <f>VLOOKUP(M47,Tab_Zast[[Zastávka]:[Sloupec1]],2,0)</f>
        <v>04</v>
      </c>
      <c r="O47" t="s">
        <v>5168</v>
      </c>
      <c r="P47">
        <v>1</v>
      </c>
      <c r="Q47">
        <v>0</v>
      </c>
      <c r="R47" t="s">
        <v>31</v>
      </c>
      <c r="S47" t="s">
        <v>31</v>
      </c>
      <c r="T47" t="s">
        <v>32</v>
      </c>
      <c r="V47" s="1">
        <v>45616</v>
      </c>
      <c r="W47" t="s">
        <v>47</v>
      </c>
      <c r="X47">
        <v>0</v>
      </c>
      <c r="Y47">
        <v>748</v>
      </c>
      <c r="AA47" t="str">
        <f t="shared" si="0"/>
        <v>update zamestnanci set nastup='04' where id='1358';</v>
      </c>
      <c r="AB47" t="str">
        <f t="shared" si="1"/>
        <v>update dochazka set zastavka = '04' where zamestnanec = '1358';</v>
      </c>
    </row>
    <row r="48" spans="1:28" x14ac:dyDescent="0.25">
      <c r="A48" s="2">
        <v>1365</v>
      </c>
      <c r="B48" t="s">
        <v>5986</v>
      </c>
      <c r="C48" t="s">
        <v>64</v>
      </c>
      <c r="D48" t="s">
        <v>5670</v>
      </c>
      <c r="E48" t="s">
        <v>2973</v>
      </c>
      <c r="F48" t="s">
        <v>5987</v>
      </c>
      <c r="G48" s="1">
        <v>45607</v>
      </c>
      <c r="H48" s="1">
        <v>45638</v>
      </c>
      <c r="I48" s="1">
        <v>45638</v>
      </c>
      <c r="J48" s="2" t="s">
        <v>8261</v>
      </c>
      <c r="K48" t="s">
        <v>5671</v>
      </c>
      <c r="M48" s="16" t="s">
        <v>8262</v>
      </c>
      <c r="N48" s="16" t="str">
        <f>VLOOKUP(M48,Tab_Zast[[Zastávka]:[Sloupec1]],2,0)</f>
        <v>04</v>
      </c>
      <c r="O48" t="s">
        <v>5672</v>
      </c>
      <c r="P48">
        <v>1</v>
      </c>
      <c r="Q48">
        <v>0</v>
      </c>
      <c r="R48" t="s">
        <v>31</v>
      </c>
      <c r="S48" t="s">
        <v>31</v>
      </c>
      <c r="T48" t="s">
        <v>32</v>
      </c>
      <c r="V48" s="1" t="e">
        <v>#N/A</v>
      </c>
      <c r="W48" t="s">
        <v>5988</v>
      </c>
      <c r="X48">
        <v>0</v>
      </c>
      <c r="Y48">
        <v>756</v>
      </c>
      <c r="AA48" t="str">
        <f t="shared" si="0"/>
        <v>update zamestnanci set nastup='04' where id='1365';</v>
      </c>
      <c r="AB48" t="str">
        <f t="shared" si="1"/>
        <v>update dochazka set zastavka = '04' where zamestnanec = '1365';</v>
      </c>
    </row>
    <row r="49" spans="1:28" x14ac:dyDescent="0.25">
      <c r="A49" s="2">
        <v>1368</v>
      </c>
      <c r="B49" t="s">
        <v>5999</v>
      </c>
      <c r="C49" t="s">
        <v>64</v>
      </c>
      <c r="D49" t="s">
        <v>6000</v>
      </c>
      <c r="E49" t="s">
        <v>4717</v>
      </c>
      <c r="F49" t="s">
        <v>64</v>
      </c>
      <c r="G49" s="1">
        <v>45610</v>
      </c>
      <c r="H49" s="1">
        <v>45610</v>
      </c>
      <c r="I49" s="1">
        <v>45610</v>
      </c>
      <c r="J49" s="2" t="s">
        <v>8261</v>
      </c>
      <c r="K49" t="s">
        <v>6001</v>
      </c>
      <c r="M49" s="16" t="s">
        <v>8262</v>
      </c>
      <c r="N49" s="16" t="str">
        <f>VLOOKUP(M49,Tab_Zast[[Zastávka]:[Sloupec1]],2,0)</f>
        <v>04</v>
      </c>
      <c r="O49" t="s">
        <v>6002</v>
      </c>
      <c r="P49">
        <v>1</v>
      </c>
      <c r="Q49">
        <v>0</v>
      </c>
      <c r="R49" t="s">
        <v>31</v>
      </c>
      <c r="S49" t="s">
        <v>31</v>
      </c>
      <c r="T49" t="s">
        <v>32</v>
      </c>
      <c r="V49" s="1" t="e">
        <v>#N/A</v>
      </c>
      <c r="W49" t="s">
        <v>47</v>
      </c>
      <c r="X49">
        <v>0</v>
      </c>
      <c r="Y49">
        <v>759</v>
      </c>
      <c r="AA49" t="str">
        <f t="shared" si="0"/>
        <v>update zamestnanci set nastup='04' where id='1368';</v>
      </c>
      <c r="AB49" t="str">
        <f t="shared" si="1"/>
        <v>update dochazka set zastavka = '04' where zamestnanec = '1368';</v>
      </c>
    </row>
    <row r="50" spans="1:28" x14ac:dyDescent="0.25">
      <c r="A50" s="2">
        <v>1369</v>
      </c>
      <c r="B50" t="s">
        <v>6003</v>
      </c>
      <c r="C50" t="s">
        <v>64</v>
      </c>
      <c r="D50" t="s">
        <v>4903</v>
      </c>
      <c r="E50" t="s">
        <v>2451</v>
      </c>
      <c r="F50" t="s">
        <v>6004</v>
      </c>
      <c r="G50" s="1">
        <v>45610</v>
      </c>
      <c r="H50" s="1">
        <v>45733</v>
      </c>
      <c r="I50" s="1">
        <v>73050</v>
      </c>
      <c r="J50" s="2" t="s">
        <v>8261</v>
      </c>
      <c r="K50" t="s">
        <v>4904</v>
      </c>
      <c r="M50" s="16" t="s">
        <v>8262</v>
      </c>
      <c r="N50" s="16" t="str">
        <f>VLOOKUP(M50,Tab_Zast[[Zastávka]:[Sloupec1]],2,0)</f>
        <v>04</v>
      </c>
      <c r="O50" t="s">
        <v>4905</v>
      </c>
      <c r="P50">
        <v>1</v>
      </c>
      <c r="Q50">
        <v>0</v>
      </c>
      <c r="R50" t="s">
        <v>31</v>
      </c>
      <c r="S50" t="s">
        <v>31</v>
      </c>
      <c r="T50" t="s">
        <v>32</v>
      </c>
      <c r="V50" s="1" t="e">
        <v>#N/A</v>
      </c>
      <c r="W50" t="s">
        <v>47</v>
      </c>
      <c r="X50">
        <v>0</v>
      </c>
      <c r="Y50">
        <v>760</v>
      </c>
      <c r="AA50" t="str">
        <f t="shared" si="0"/>
        <v>update zamestnanci set nastup='04' where id='1369';</v>
      </c>
      <c r="AB50" t="str">
        <f t="shared" si="1"/>
        <v>update dochazka set zastavka = '04' where zamestnanec = '1369';</v>
      </c>
    </row>
    <row r="51" spans="1:28" x14ac:dyDescent="0.25">
      <c r="A51" s="2">
        <v>1389</v>
      </c>
      <c r="B51" t="s">
        <v>6088</v>
      </c>
      <c r="C51" t="s">
        <v>64</v>
      </c>
      <c r="D51" t="s">
        <v>6089</v>
      </c>
      <c r="E51" t="s">
        <v>4253</v>
      </c>
      <c r="F51" t="s">
        <v>64</v>
      </c>
      <c r="G51" s="1">
        <v>45617</v>
      </c>
      <c r="H51" s="1">
        <v>45617</v>
      </c>
      <c r="I51" s="1">
        <v>45617</v>
      </c>
      <c r="J51" s="2" t="s">
        <v>8261</v>
      </c>
      <c r="K51" t="s">
        <v>6090</v>
      </c>
      <c r="M51" s="16" t="s">
        <v>8262</v>
      </c>
      <c r="N51" s="16" t="str">
        <f>VLOOKUP(M51,Tab_Zast[[Zastávka]:[Sloupec1]],2,0)</f>
        <v>04</v>
      </c>
      <c r="O51" t="s">
        <v>6091</v>
      </c>
      <c r="P51">
        <v>1</v>
      </c>
      <c r="Q51">
        <v>0</v>
      </c>
      <c r="R51" t="s">
        <v>31</v>
      </c>
      <c r="S51" t="s">
        <v>31</v>
      </c>
      <c r="T51" t="s">
        <v>32</v>
      </c>
      <c r="V51" s="1" t="e">
        <v>#N/A</v>
      </c>
      <c r="W51" t="s">
        <v>47</v>
      </c>
      <c r="X51">
        <v>0</v>
      </c>
      <c r="Y51">
        <v>775</v>
      </c>
      <c r="AA51" t="str">
        <f t="shared" si="0"/>
        <v>update zamestnanci set nastup='04' where id='1389';</v>
      </c>
      <c r="AB51" t="str">
        <f t="shared" si="1"/>
        <v>update dochazka set zastavka = '04' where zamestnanec = '1389';</v>
      </c>
    </row>
    <row r="52" spans="1:28" x14ac:dyDescent="0.25">
      <c r="A52" s="2">
        <v>1406</v>
      </c>
      <c r="B52" t="s">
        <v>6149</v>
      </c>
      <c r="C52" t="s">
        <v>64</v>
      </c>
      <c r="D52" t="s">
        <v>6150</v>
      </c>
      <c r="E52" t="s">
        <v>2131</v>
      </c>
      <c r="F52" t="s">
        <v>64</v>
      </c>
      <c r="G52" s="1">
        <v>45621</v>
      </c>
      <c r="H52" s="1">
        <v>45621</v>
      </c>
      <c r="I52" s="1">
        <v>45621</v>
      </c>
      <c r="J52" s="2" t="s">
        <v>8261</v>
      </c>
      <c r="K52" t="s">
        <v>6151</v>
      </c>
      <c r="M52" s="16" t="s">
        <v>8262</v>
      </c>
      <c r="N52" s="16" t="str">
        <f>VLOOKUP(M52,Tab_Zast[[Zastávka]:[Sloupec1]],2,0)</f>
        <v>04</v>
      </c>
      <c r="O52" t="s">
        <v>6152</v>
      </c>
      <c r="P52">
        <v>1</v>
      </c>
      <c r="Q52">
        <v>0</v>
      </c>
      <c r="R52" t="s">
        <v>31</v>
      </c>
      <c r="S52" t="s">
        <v>31</v>
      </c>
      <c r="T52" t="s">
        <v>32</v>
      </c>
      <c r="V52" s="1" t="e">
        <v>#N/A</v>
      </c>
      <c r="X52">
        <v>0</v>
      </c>
      <c r="Y52">
        <v>795</v>
      </c>
      <c r="AA52" t="str">
        <f t="shared" si="0"/>
        <v>update zamestnanci set nastup='04' where id='1406';</v>
      </c>
      <c r="AB52" t="str">
        <f t="shared" si="1"/>
        <v>update dochazka set zastavka = '04' where zamestnanec = '1406';</v>
      </c>
    </row>
    <row r="53" spans="1:28" x14ac:dyDescent="0.25">
      <c r="A53" s="2">
        <v>1407</v>
      </c>
      <c r="B53" t="s">
        <v>6153</v>
      </c>
      <c r="C53" t="s">
        <v>64</v>
      </c>
      <c r="D53" t="s">
        <v>4907</v>
      </c>
      <c r="E53" t="s">
        <v>2120</v>
      </c>
      <c r="F53" t="s">
        <v>5689</v>
      </c>
      <c r="G53" s="1">
        <v>45624</v>
      </c>
      <c r="H53" s="1">
        <v>45733</v>
      </c>
      <c r="I53" s="1">
        <v>73050</v>
      </c>
      <c r="J53" s="2" t="s">
        <v>8261</v>
      </c>
      <c r="K53" t="s">
        <v>4908</v>
      </c>
      <c r="M53" s="16" t="s">
        <v>8262</v>
      </c>
      <c r="N53" s="16" t="str">
        <f>VLOOKUP(M53,Tab_Zast[[Zastávka]:[Sloupec1]],2,0)</f>
        <v>04</v>
      </c>
      <c r="O53" t="s">
        <v>4905</v>
      </c>
      <c r="P53">
        <v>1</v>
      </c>
      <c r="Q53">
        <v>0</v>
      </c>
      <c r="R53" t="s">
        <v>31</v>
      </c>
      <c r="S53" t="s">
        <v>31</v>
      </c>
      <c r="T53" t="s">
        <v>32</v>
      </c>
      <c r="V53" s="1" t="e">
        <v>#N/A</v>
      </c>
      <c r="W53" t="s">
        <v>47</v>
      </c>
      <c r="X53">
        <v>0</v>
      </c>
      <c r="Y53">
        <v>796</v>
      </c>
      <c r="AA53" t="str">
        <f t="shared" si="0"/>
        <v>update zamestnanci set nastup='04' where id='1407';</v>
      </c>
      <c r="AB53" t="str">
        <f t="shared" si="1"/>
        <v>update dochazka set zastavka = '04' where zamestnanec = '1407';</v>
      </c>
    </row>
    <row r="54" spans="1:28" x14ac:dyDescent="0.25">
      <c r="A54" s="2">
        <v>1496</v>
      </c>
      <c r="B54" t="s">
        <v>6499</v>
      </c>
      <c r="C54" t="s">
        <v>569</v>
      </c>
      <c r="D54" t="s">
        <v>6500</v>
      </c>
      <c r="E54" t="s">
        <v>2883</v>
      </c>
      <c r="F54" t="s">
        <v>569</v>
      </c>
      <c r="G54" s="1">
        <v>45719</v>
      </c>
      <c r="H54" s="1">
        <v>45730</v>
      </c>
      <c r="I54" s="1">
        <v>73050</v>
      </c>
      <c r="J54" s="2" t="s">
        <v>8261</v>
      </c>
      <c r="K54" t="s">
        <v>6501</v>
      </c>
      <c r="M54" s="16" t="s">
        <v>8262</v>
      </c>
      <c r="N54" s="16" t="str">
        <f>VLOOKUP(M54,Tab_Zast[[Zastávka]:[Sloupec1]],2,0)</f>
        <v>04</v>
      </c>
      <c r="O54" t="s">
        <v>6502</v>
      </c>
      <c r="P54">
        <v>1</v>
      </c>
      <c r="Q54">
        <v>0</v>
      </c>
      <c r="R54" t="s">
        <v>31</v>
      </c>
      <c r="S54" t="s">
        <v>31</v>
      </c>
      <c r="T54" t="s">
        <v>32</v>
      </c>
      <c r="V54" s="1" t="e">
        <v>#N/A</v>
      </c>
      <c r="W54" t="s">
        <v>2381</v>
      </c>
      <c r="X54">
        <v>0</v>
      </c>
      <c r="Y54">
        <v>889</v>
      </c>
      <c r="AA54" t="str">
        <f t="shared" si="0"/>
        <v>update zamestnanci set nastup='04' where id='1496';</v>
      </c>
      <c r="AB54" t="str">
        <f t="shared" si="1"/>
        <v>update dochazka set zastavka = '04' where zamestnanec = '1496';</v>
      </c>
    </row>
    <row r="55" spans="1:28" x14ac:dyDescent="0.25">
      <c r="A55" s="2">
        <v>1515</v>
      </c>
      <c r="B55" t="s">
        <v>6567</v>
      </c>
      <c r="C55" t="s">
        <v>357</v>
      </c>
      <c r="D55" t="s">
        <v>5407</v>
      </c>
      <c r="E55" t="s">
        <v>5408</v>
      </c>
      <c r="F55" t="s">
        <v>569</v>
      </c>
      <c r="G55" s="1">
        <v>45726</v>
      </c>
      <c r="H55" s="1">
        <v>45832</v>
      </c>
      <c r="I55" s="1">
        <v>73050</v>
      </c>
      <c r="J55" s="2" t="s">
        <v>8261</v>
      </c>
      <c r="K55" t="s">
        <v>5409</v>
      </c>
      <c r="M55" s="16" t="s">
        <v>8262</v>
      </c>
      <c r="N55" s="16" t="str">
        <f>VLOOKUP(M55,Tab_Zast[[Zastávka]:[Sloupec1]],2,0)</f>
        <v>04</v>
      </c>
      <c r="O55" t="s">
        <v>5410</v>
      </c>
      <c r="P55">
        <v>1</v>
      </c>
      <c r="Q55">
        <v>0</v>
      </c>
      <c r="R55" t="s">
        <v>31</v>
      </c>
      <c r="S55" t="s">
        <v>31</v>
      </c>
      <c r="T55" t="s">
        <v>32</v>
      </c>
      <c r="V55" s="1" t="e">
        <v>#N/A</v>
      </c>
      <c r="W55" t="s">
        <v>47</v>
      </c>
      <c r="X55">
        <v>0</v>
      </c>
      <c r="Y55">
        <v>906</v>
      </c>
      <c r="AA55" t="str">
        <f t="shared" si="0"/>
        <v>update zamestnanci set nastup='04' where id='1515';</v>
      </c>
      <c r="AB55" t="str">
        <f t="shared" si="1"/>
        <v>update dochazka set zastavka = '04' where zamestnanec = '1515';</v>
      </c>
    </row>
    <row r="56" spans="1:28" x14ac:dyDescent="0.25">
      <c r="A56" s="2">
        <v>1516</v>
      </c>
      <c r="B56" t="s">
        <v>6568</v>
      </c>
      <c r="C56" t="s">
        <v>357</v>
      </c>
      <c r="D56" t="s">
        <v>6569</v>
      </c>
      <c r="E56" t="s">
        <v>5408</v>
      </c>
      <c r="F56" t="s">
        <v>64</v>
      </c>
      <c r="G56" s="1">
        <v>45726</v>
      </c>
      <c r="H56" s="1">
        <v>45756</v>
      </c>
      <c r="I56" s="1">
        <v>73050</v>
      </c>
      <c r="J56" s="2" t="s">
        <v>8261</v>
      </c>
      <c r="K56" t="s">
        <v>6570</v>
      </c>
      <c r="M56" s="16" t="s">
        <v>8262</v>
      </c>
      <c r="N56" s="16" t="str">
        <f>VLOOKUP(M56,Tab_Zast[[Zastávka]:[Sloupec1]],2,0)</f>
        <v>04</v>
      </c>
      <c r="O56" t="s">
        <v>6571</v>
      </c>
      <c r="P56">
        <v>1</v>
      </c>
      <c r="Q56">
        <v>0</v>
      </c>
      <c r="R56" t="s">
        <v>31</v>
      </c>
      <c r="S56" t="s">
        <v>31</v>
      </c>
      <c r="T56" t="s">
        <v>32</v>
      </c>
      <c r="V56" s="1" t="e">
        <v>#N/A</v>
      </c>
      <c r="W56" t="s">
        <v>47</v>
      </c>
      <c r="X56">
        <v>0</v>
      </c>
      <c r="Y56">
        <v>907</v>
      </c>
      <c r="AA56" t="str">
        <f t="shared" si="0"/>
        <v>update zamestnanci set nastup='04' where id='1516';</v>
      </c>
      <c r="AB56" t="str">
        <f t="shared" si="1"/>
        <v>update dochazka set zastavka = '04' where zamestnanec = '1516';</v>
      </c>
    </row>
    <row r="57" spans="1:28" x14ac:dyDescent="0.25">
      <c r="A57" s="2">
        <v>1531</v>
      </c>
      <c r="B57" t="s">
        <v>6623</v>
      </c>
      <c r="C57" t="s">
        <v>569</v>
      </c>
      <c r="D57" t="s">
        <v>2657</v>
      </c>
      <c r="E57" t="s">
        <v>3204</v>
      </c>
      <c r="F57" t="s">
        <v>1394</v>
      </c>
      <c r="G57" s="1">
        <v>45733</v>
      </c>
      <c r="H57" s="1">
        <v>45763</v>
      </c>
      <c r="I57" s="1">
        <v>73050</v>
      </c>
      <c r="J57" s="2" t="s">
        <v>8261</v>
      </c>
      <c r="K57" t="s">
        <v>6624</v>
      </c>
      <c r="M57" s="16" t="s">
        <v>8262</v>
      </c>
      <c r="N57" s="16" t="str">
        <f>VLOOKUP(M57,Tab_Zast[[Zastávka]:[Sloupec1]],2,0)</f>
        <v>04</v>
      </c>
      <c r="O57" t="s">
        <v>6625</v>
      </c>
      <c r="P57">
        <v>1</v>
      </c>
      <c r="Q57">
        <v>0</v>
      </c>
      <c r="R57" t="s">
        <v>31</v>
      </c>
      <c r="S57" t="s">
        <v>31</v>
      </c>
      <c r="T57" t="s">
        <v>32</v>
      </c>
      <c r="V57" s="1" t="e">
        <v>#N/A</v>
      </c>
      <c r="W57" t="s">
        <v>47</v>
      </c>
      <c r="X57">
        <v>0</v>
      </c>
      <c r="Y57">
        <v>923</v>
      </c>
      <c r="AA57" t="str">
        <f t="shared" si="0"/>
        <v>update zamestnanci set nastup='04' where id='1531';</v>
      </c>
      <c r="AB57" t="str">
        <f t="shared" si="1"/>
        <v>update dochazka set zastavka = '04' where zamestnanec = '1531';</v>
      </c>
    </row>
    <row r="58" spans="1:28" x14ac:dyDescent="0.25">
      <c r="A58" s="2">
        <v>1620</v>
      </c>
      <c r="B58" t="s">
        <v>6960</v>
      </c>
      <c r="C58" t="s">
        <v>569</v>
      </c>
      <c r="D58" t="s">
        <v>6961</v>
      </c>
      <c r="E58" t="s">
        <v>201</v>
      </c>
      <c r="F58" t="s">
        <v>569</v>
      </c>
      <c r="G58" s="1">
        <v>45782</v>
      </c>
      <c r="H58" s="1">
        <v>45849</v>
      </c>
      <c r="I58" s="1">
        <v>73050</v>
      </c>
      <c r="J58" s="2" t="s">
        <v>8261</v>
      </c>
      <c r="K58" t="s">
        <v>6962</v>
      </c>
      <c r="M58" s="16" t="s">
        <v>8262</v>
      </c>
      <c r="N58" s="16" t="str">
        <f>VLOOKUP(M58,Tab_Zast[[Zastávka]:[Sloupec1]],2,0)</f>
        <v>04</v>
      </c>
      <c r="O58" t="s">
        <v>6963</v>
      </c>
      <c r="P58">
        <v>1</v>
      </c>
      <c r="Q58">
        <v>0</v>
      </c>
      <c r="R58" t="s">
        <v>31</v>
      </c>
      <c r="S58" t="s">
        <v>31</v>
      </c>
      <c r="T58" t="s">
        <v>32</v>
      </c>
      <c r="V58" s="1" t="e">
        <v>#N/A</v>
      </c>
      <c r="W58" t="s">
        <v>47</v>
      </c>
      <c r="X58">
        <v>0</v>
      </c>
      <c r="Y58">
        <v>1013</v>
      </c>
      <c r="AA58" t="str">
        <f t="shared" si="0"/>
        <v>update zamestnanci set nastup='04' where id='1620';</v>
      </c>
      <c r="AB58" t="str">
        <f t="shared" si="1"/>
        <v>update dochazka set zastavka = '04' where zamestnanec = '1620';</v>
      </c>
    </row>
    <row r="59" spans="1:28" x14ac:dyDescent="0.25">
      <c r="A59" s="2">
        <v>1623</v>
      </c>
      <c r="B59" t="s">
        <v>6971</v>
      </c>
      <c r="C59" t="s">
        <v>569</v>
      </c>
      <c r="D59" t="s">
        <v>6972</v>
      </c>
      <c r="E59" t="s">
        <v>761</v>
      </c>
      <c r="F59" t="s">
        <v>569</v>
      </c>
      <c r="G59" s="1">
        <v>45782</v>
      </c>
      <c r="H59" s="1">
        <v>45782</v>
      </c>
      <c r="I59" s="1">
        <v>73050</v>
      </c>
      <c r="J59" s="2" t="s">
        <v>8261</v>
      </c>
      <c r="K59" t="s">
        <v>6973</v>
      </c>
      <c r="M59" s="16" t="s">
        <v>8262</v>
      </c>
      <c r="N59" s="16" t="str">
        <f>VLOOKUP(M59,Tab_Zast[[Zastávka]:[Sloupec1]],2,0)</f>
        <v>04</v>
      </c>
      <c r="O59" t="s">
        <v>6974</v>
      </c>
      <c r="P59">
        <v>1</v>
      </c>
      <c r="Q59">
        <v>0</v>
      </c>
      <c r="R59" t="s">
        <v>31</v>
      </c>
      <c r="S59" t="s">
        <v>31</v>
      </c>
      <c r="T59" t="s">
        <v>32</v>
      </c>
      <c r="V59" s="1" t="e">
        <v>#N/A</v>
      </c>
      <c r="W59" t="s">
        <v>47</v>
      </c>
      <c r="X59">
        <v>0</v>
      </c>
      <c r="Y59">
        <v>1016</v>
      </c>
      <c r="AA59" t="str">
        <f t="shared" si="0"/>
        <v>update zamestnanci set nastup='04' where id='1623';</v>
      </c>
      <c r="AB59" t="str">
        <f t="shared" si="1"/>
        <v>update dochazka set zastavka = '04' where zamestnanec = '1623';</v>
      </c>
    </row>
    <row r="60" spans="1:28" x14ac:dyDescent="0.25">
      <c r="A60" s="2">
        <v>1626</v>
      </c>
      <c r="B60" t="s">
        <v>64</v>
      </c>
      <c r="C60" t="s">
        <v>357</v>
      </c>
      <c r="D60" t="s">
        <v>6983</v>
      </c>
      <c r="E60" t="s">
        <v>6984</v>
      </c>
      <c r="F60" t="s">
        <v>569</v>
      </c>
      <c r="G60" s="1">
        <v>45789</v>
      </c>
      <c r="H60" s="1">
        <v>45796</v>
      </c>
      <c r="I60" s="1">
        <v>73050</v>
      </c>
      <c r="J60" s="2" t="s">
        <v>8261</v>
      </c>
      <c r="K60" t="s">
        <v>6985</v>
      </c>
      <c r="M60" s="16" t="s">
        <v>8262</v>
      </c>
      <c r="N60" s="16" t="str">
        <f>VLOOKUP(M60,Tab_Zast[[Zastávka]:[Sloupec1]],2,0)</f>
        <v>04</v>
      </c>
      <c r="O60" t="s">
        <v>6986</v>
      </c>
      <c r="P60">
        <v>1</v>
      </c>
      <c r="Q60">
        <v>0</v>
      </c>
      <c r="R60" t="s">
        <v>129</v>
      </c>
      <c r="S60" t="s">
        <v>179</v>
      </c>
      <c r="T60" t="s">
        <v>32</v>
      </c>
      <c r="V60" s="1" t="e">
        <v>#N/A</v>
      </c>
      <c r="W60" t="s">
        <v>47</v>
      </c>
      <c r="X60">
        <v>0</v>
      </c>
      <c r="Y60">
        <v>1024</v>
      </c>
      <c r="AA60" t="str">
        <f t="shared" si="0"/>
        <v>update zamestnanci set nastup='04' where id='1626';</v>
      </c>
      <c r="AB60" t="str">
        <f t="shared" si="1"/>
        <v>update dochazka set zastavka = '04' where zamestnanec = '1626';</v>
      </c>
    </row>
    <row r="61" spans="1:28" x14ac:dyDescent="0.25">
      <c r="A61" s="2">
        <v>1704</v>
      </c>
      <c r="B61" t="s">
        <v>7231</v>
      </c>
      <c r="C61" t="s">
        <v>569</v>
      </c>
      <c r="D61" t="s">
        <v>7232</v>
      </c>
      <c r="E61" t="s">
        <v>2973</v>
      </c>
      <c r="F61" t="s">
        <v>569</v>
      </c>
      <c r="G61" s="1">
        <v>45838</v>
      </c>
      <c r="H61" s="1">
        <v>45838</v>
      </c>
      <c r="I61" s="1">
        <v>45838</v>
      </c>
      <c r="J61" s="2" t="s">
        <v>8261</v>
      </c>
      <c r="K61" t="s">
        <v>7233</v>
      </c>
      <c r="M61" s="16" t="s">
        <v>8262</v>
      </c>
      <c r="N61" s="16" t="str">
        <f>VLOOKUP(M61,Tab_Zast[[Zastávka]:[Sloupec1]],2,0)</f>
        <v>04</v>
      </c>
      <c r="O61" t="s">
        <v>7234</v>
      </c>
      <c r="P61">
        <v>1</v>
      </c>
      <c r="Q61">
        <v>0</v>
      </c>
      <c r="R61" t="s">
        <v>31</v>
      </c>
      <c r="S61" t="s">
        <v>31</v>
      </c>
      <c r="T61" t="s">
        <v>32</v>
      </c>
      <c r="V61" s="1" t="e">
        <v>#N/A</v>
      </c>
      <c r="W61" t="s">
        <v>47</v>
      </c>
      <c r="X61">
        <v>0</v>
      </c>
      <c r="Y61">
        <v>1097</v>
      </c>
      <c r="AA61" t="str">
        <f t="shared" si="0"/>
        <v>update zamestnanci set nastup='04' where id='1704';</v>
      </c>
      <c r="AB61" t="str">
        <f t="shared" si="1"/>
        <v>update dochazka set zastavka = '04' where zamestnanec = '1704';</v>
      </c>
    </row>
    <row r="62" spans="1:28" x14ac:dyDescent="0.25">
      <c r="A62" s="2">
        <v>1800</v>
      </c>
      <c r="B62" t="s">
        <v>7607</v>
      </c>
      <c r="C62" t="s">
        <v>569</v>
      </c>
      <c r="D62" t="s">
        <v>7421</v>
      </c>
      <c r="E62" t="s">
        <v>707</v>
      </c>
      <c r="F62" t="s">
        <v>569</v>
      </c>
      <c r="G62" s="1">
        <v>45894</v>
      </c>
      <c r="H62" s="1">
        <v>45894</v>
      </c>
      <c r="I62" s="1">
        <v>45894</v>
      </c>
      <c r="J62" s="2" t="s">
        <v>8261</v>
      </c>
      <c r="K62" t="s">
        <v>7423</v>
      </c>
      <c r="M62" s="16" t="s">
        <v>8262</v>
      </c>
      <c r="N62" s="16" t="str">
        <f>VLOOKUP(M62,Tab_Zast[[Zastávka]:[Sloupec1]],2,0)</f>
        <v>04</v>
      </c>
      <c r="O62" t="s">
        <v>7424</v>
      </c>
      <c r="P62">
        <v>1</v>
      </c>
      <c r="Q62">
        <v>0</v>
      </c>
      <c r="R62" t="s">
        <v>31</v>
      </c>
      <c r="S62" t="s">
        <v>31</v>
      </c>
      <c r="T62" t="s">
        <v>32</v>
      </c>
      <c r="V62" s="1" t="e">
        <v>#N/A</v>
      </c>
      <c r="W62" t="s">
        <v>47</v>
      </c>
      <c r="X62">
        <v>0</v>
      </c>
      <c r="Y62">
        <v>1194</v>
      </c>
      <c r="AA62" t="str">
        <f t="shared" si="0"/>
        <v>update zamestnanci set nastup='04' where id='1800';</v>
      </c>
      <c r="AB62" t="str">
        <f t="shared" si="1"/>
        <v>update dochazka set zastavka = '04' where zamestnanec = '1800';</v>
      </c>
    </row>
    <row r="63" spans="1:28" x14ac:dyDescent="0.25">
      <c r="A63" s="2">
        <v>1801</v>
      </c>
      <c r="B63" t="s">
        <v>7607</v>
      </c>
      <c r="C63" t="s">
        <v>569</v>
      </c>
      <c r="D63" t="s">
        <v>7608</v>
      </c>
      <c r="E63" t="s">
        <v>2536</v>
      </c>
      <c r="F63" t="s">
        <v>569</v>
      </c>
      <c r="G63" s="1">
        <v>45894</v>
      </c>
      <c r="H63" s="1">
        <v>45894</v>
      </c>
      <c r="I63" s="1">
        <v>45894</v>
      </c>
      <c r="J63" s="2" t="s">
        <v>8261</v>
      </c>
      <c r="K63" t="s">
        <v>7609</v>
      </c>
      <c r="M63" s="16" t="s">
        <v>8262</v>
      </c>
      <c r="N63" s="16" t="str">
        <f>VLOOKUP(M63,Tab_Zast[[Zastávka]:[Sloupec1]],2,0)</f>
        <v>04</v>
      </c>
      <c r="O63" t="s">
        <v>7610</v>
      </c>
      <c r="P63">
        <v>1</v>
      </c>
      <c r="Q63">
        <v>0</v>
      </c>
      <c r="R63" t="s">
        <v>31</v>
      </c>
      <c r="S63" t="s">
        <v>31</v>
      </c>
      <c r="T63" t="s">
        <v>32</v>
      </c>
      <c r="V63" s="1" t="e">
        <v>#N/A</v>
      </c>
      <c r="W63" t="s">
        <v>47</v>
      </c>
      <c r="X63">
        <v>0</v>
      </c>
      <c r="Y63">
        <v>1195</v>
      </c>
      <c r="AA63" t="str">
        <f t="shared" si="0"/>
        <v>update zamestnanci set nastup='04' where id='1801';</v>
      </c>
      <c r="AB63" t="str">
        <f t="shared" si="1"/>
        <v>update dochazka set zastavka = '04' where zamestnanec = '1801';</v>
      </c>
    </row>
    <row r="64" spans="1:28" x14ac:dyDescent="0.25">
      <c r="A64" s="2">
        <v>1939</v>
      </c>
      <c r="B64" t="s">
        <v>8158</v>
      </c>
      <c r="C64" t="s">
        <v>569</v>
      </c>
      <c r="D64" t="s">
        <v>5256</v>
      </c>
      <c r="E64" t="s">
        <v>3223</v>
      </c>
      <c r="F64" t="s">
        <v>8158</v>
      </c>
      <c r="G64" s="1">
        <v>45988</v>
      </c>
      <c r="H64" s="1" t="e">
        <v>#N/A</v>
      </c>
      <c r="I64" s="1" t="e">
        <v>#N/A</v>
      </c>
      <c r="J64" s="2" t="s">
        <v>8261</v>
      </c>
      <c r="K64" t="s">
        <v>5257</v>
      </c>
      <c r="M64" s="16" t="s">
        <v>8262</v>
      </c>
      <c r="N64" s="16" t="str">
        <f>VLOOKUP(M64,Tab_Zast[[Zastávka]:[Sloupec1]],2,0)</f>
        <v>04</v>
      </c>
      <c r="O64" t="s">
        <v>8159</v>
      </c>
      <c r="P64">
        <v>1</v>
      </c>
      <c r="Q64">
        <v>0</v>
      </c>
      <c r="R64" t="s">
        <v>129</v>
      </c>
      <c r="S64" t="s">
        <v>31</v>
      </c>
      <c r="T64" t="s">
        <v>32</v>
      </c>
      <c r="V64" s="1" t="e">
        <v>#N/A</v>
      </c>
      <c r="W64" t="s">
        <v>5988</v>
      </c>
      <c r="X64">
        <v>1</v>
      </c>
      <c r="Y64">
        <v>1354</v>
      </c>
      <c r="AA64" t="str">
        <f t="shared" si="0"/>
        <v>update zamestnanci set nastup='04' where id='1939';</v>
      </c>
      <c r="AB64" t="str">
        <f t="shared" si="1"/>
        <v>update dochazka set zastavka = '04' where zamestnanec = '1939';</v>
      </c>
    </row>
    <row r="65" spans="1:28" x14ac:dyDescent="0.25">
      <c r="A65" s="2">
        <v>1954</v>
      </c>
      <c r="B65" t="s">
        <v>8213</v>
      </c>
      <c r="C65" t="s">
        <v>569</v>
      </c>
      <c r="D65" t="s">
        <v>5946</v>
      </c>
      <c r="E65" t="s">
        <v>8214</v>
      </c>
      <c r="F65" t="s">
        <v>8213</v>
      </c>
      <c r="G65" s="1">
        <v>45999</v>
      </c>
      <c r="H65" s="1" t="e">
        <v>#N/A</v>
      </c>
      <c r="I65" s="1" t="e">
        <v>#N/A</v>
      </c>
      <c r="J65" s="2" t="s">
        <v>8261</v>
      </c>
      <c r="K65" t="s">
        <v>5947</v>
      </c>
      <c r="M65" s="16" t="s">
        <v>8262</v>
      </c>
      <c r="N65" s="16" t="str">
        <f>VLOOKUP(M65,Tab_Zast[[Zastávka]:[Sloupec1]],2,0)</f>
        <v>04</v>
      </c>
      <c r="O65" t="s">
        <v>8215</v>
      </c>
      <c r="P65">
        <v>1</v>
      </c>
      <c r="Q65">
        <v>0</v>
      </c>
      <c r="R65" t="s">
        <v>129</v>
      </c>
      <c r="S65" t="s">
        <v>31</v>
      </c>
      <c r="T65" t="s">
        <v>32</v>
      </c>
      <c r="V65" s="1" t="e">
        <v>#N/A</v>
      </c>
      <c r="W65" t="s">
        <v>47</v>
      </c>
      <c r="X65">
        <v>1</v>
      </c>
      <c r="Y65">
        <v>1372</v>
      </c>
      <c r="AA65" t="str">
        <f t="shared" si="0"/>
        <v>update zamestnanci set nastup='04' where id='1954';</v>
      </c>
      <c r="AB65" t="str">
        <f t="shared" si="1"/>
        <v>update dochazka set zastavka = '04' where zamestnanec = '1954';</v>
      </c>
    </row>
    <row r="66" spans="1:28" x14ac:dyDescent="0.25">
      <c r="A66" s="2">
        <v>6</v>
      </c>
      <c r="B66" t="s">
        <v>63</v>
      </c>
      <c r="C66" t="s">
        <v>64</v>
      </c>
      <c r="D66" t="s">
        <v>65</v>
      </c>
      <c r="E66" t="s">
        <v>66</v>
      </c>
      <c r="F66" t="s">
        <v>67</v>
      </c>
      <c r="G66" s="1">
        <v>44978</v>
      </c>
      <c r="H66" s="1">
        <v>45408</v>
      </c>
      <c r="I66" s="1">
        <v>73050</v>
      </c>
      <c r="J66" s="2" t="s">
        <v>8318</v>
      </c>
      <c r="K66" t="s">
        <v>68</v>
      </c>
      <c r="M66" s="16" t="s">
        <v>8319</v>
      </c>
      <c r="N66" s="16" t="str">
        <f>VLOOKUP(M66,Tab_Zast[[Zastávka]:[Sloupec1]],2,0)</f>
        <v>24</v>
      </c>
      <c r="O66" t="s">
        <v>69</v>
      </c>
      <c r="P66">
        <v>1</v>
      </c>
      <c r="Q66">
        <v>0</v>
      </c>
      <c r="R66" t="s">
        <v>31</v>
      </c>
      <c r="S66" t="s">
        <v>31</v>
      </c>
      <c r="T66" t="s">
        <v>32</v>
      </c>
      <c r="V66" s="1">
        <v>45384</v>
      </c>
      <c r="W66" t="s">
        <v>33</v>
      </c>
      <c r="X66">
        <v>0</v>
      </c>
      <c r="Y66">
        <v>0</v>
      </c>
      <c r="AA66" t="str">
        <f t="shared" si="0"/>
        <v>update zamestnanci set nastup='24' where id='6';</v>
      </c>
      <c r="AB66" t="str">
        <f t="shared" si="1"/>
        <v>update dochazka set zastavka = '24' where zamestnanec = '6';</v>
      </c>
    </row>
    <row r="67" spans="1:28" x14ac:dyDescent="0.25">
      <c r="A67" s="2">
        <v>30</v>
      </c>
      <c r="B67" t="s">
        <v>218</v>
      </c>
      <c r="D67" t="s">
        <v>219</v>
      </c>
      <c r="E67" t="s">
        <v>220</v>
      </c>
      <c r="F67" t="s">
        <v>221</v>
      </c>
      <c r="G67" s="1">
        <v>45201</v>
      </c>
      <c r="H67" s="1">
        <v>45266</v>
      </c>
      <c r="I67" s="1" t="e">
        <v>#N/A</v>
      </c>
      <c r="J67" s="2" t="s">
        <v>8318</v>
      </c>
      <c r="K67" t="s">
        <v>222</v>
      </c>
      <c r="M67" s="16" t="s">
        <v>8319</v>
      </c>
      <c r="N67" s="16" t="str">
        <f>VLOOKUP(M67,Tab_Zast[[Zastávka]:[Sloupec1]],2,0)</f>
        <v>24</v>
      </c>
      <c r="O67" t="s">
        <v>223</v>
      </c>
      <c r="P67">
        <v>1</v>
      </c>
      <c r="Q67">
        <v>0</v>
      </c>
      <c r="R67" t="s">
        <v>31</v>
      </c>
      <c r="S67" t="s">
        <v>31</v>
      </c>
      <c r="T67" t="s">
        <v>32</v>
      </c>
      <c r="V67" s="1" t="e">
        <v>#N/A</v>
      </c>
      <c r="W67" t="s">
        <v>47</v>
      </c>
      <c r="X67">
        <v>0</v>
      </c>
      <c r="Y67">
        <v>0</v>
      </c>
      <c r="Z67" t="s">
        <v>40</v>
      </c>
      <c r="AA67" t="str">
        <f t="shared" si="0"/>
        <v>update zamestnanci set nastup='24' where id='30';</v>
      </c>
      <c r="AB67" t="str">
        <f t="shared" si="1"/>
        <v>update dochazka set zastavka = '24' where zamestnanec = '30';</v>
      </c>
    </row>
    <row r="68" spans="1:28" x14ac:dyDescent="0.25">
      <c r="A68" s="2">
        <v>55</v>
      </c>
      <c r="B68" t="s">
        <v>366</v>
      </c>
      <c r="D68" t="s">
        <v>367</v>
      </c>
      <c r="E68" t="s">
        <v>368</v>
      </c>
      <c r="F68" t="s">
        <v>369</v>
      </c>
      <c r="G68" s="1">
        <v>44477</v>
      </c>
      <c r="H68" s="1">
        <v>45317</v>
      </c>
      <c r="I68" s="1">
        <v>73050</v>
      </c>
      <c r="J68" s="2" t="s">
        <v>8318</v>
      </c>
      <c r="K68" t="s">
        <v>370</v>
      </c>
      <c r="M68" s="16" t="s">
        <v>8319</v>
      </c>
      <c r="N68" s="16" t="str">
        <f>VLOOKUP(M68,Tab_Zast[[Zastávka]:[Sloupec1]],2,0)</f>
        <v>24</v>
      </c>
      <c r="O68" t="s">
        <v>371</v>
      </c>
      <c r="P68">
        <v>1</v>
      </c>
      <c r="Q68">
        <v>0</v>
      </c>
      <c r="R68" t="s">
        <v>31</v>
      </c>
      <c r="S68" t="s">
        <v>31</v>
      </c>
      <c r="T68" t="s">
        <v>32</v>
      </c>
      <c r="V68" s="1" t="e">
        <v>#N/A</v>
      </c>
      <c r="W68" t="s">
        <v>47</v>
      </c>
      <c r="X68">
        <v>0</v>
      </c>
      <c r="Y68">
        <v>0</v>
      </c>
      <c r="Z68" t="s">
        <v>54</v>
      </c>
      <c r="AA68" t="str">
        <f t="shared" ref="AA68:AA131" si="2">IF(J68&lt;&gt;"00","update zamestnanci set nastup='" &amp; J68 &amp; "' where id='" &amp; A68 &amp; "';","")</f>
        <v>update zamestnanci set nastup='24' where id='55';</v>
      </c>
      <c r="AB68" t="str">
        <f t="shared" ref="AB68:AB131" si="3">IF(J68&lt;&gt;"00","update dochazka set zastavka = '" &amp; J68 &amp; "' where zamestnanec = '" &amp; A68 &amp; "';","")</f>
        <v>update dochazka set zastavka = '24' where zamestnanec = '55';</v>
      </c>
    </row>
    <row r="69" spans="1:28" x14ac:dyDescent="0.25">
      <c r="A69" s="2">
        <v>64</v>
      </c>
      <c r="B69" t="s">
        <v>419</v>
      </c>
      <c r="D69" t="s">
        <v>420</v>
      </c>
      <c r="E69" t="s">
        <v>421</v>
      </c>
      <c r="F69" t="s">
        <v>422</v>
      </c>
      <c r="G69" s="1">
        <v>45201</v>
      </c>
      <c r="H69" s="1">
        <v>45336</v>
      </c>
      <c r="I69" s="1">
        <v>73050</v>
      </c>
      <c r="J69" s="2" t="s">
        <v>8318</v>
      </c>
      <c r="K69" t="s">
        <v>423</v>
      </c>
      <c r="M69" s="16" t="s">
        <v>8319</v>
      </c>
      <c r="N69" s="16" t="str">
        <f>VLOOKUP(M69,Tab_Zast[[Zastávka]:[Sloupec1]],2,0)</f>
        <v>24</v>
      </c>
      <c r="O69" t="s">
        <v>424</v>
      </c>
      <c r="P69">
        <v>1</v>
      </c>
      <c r="Q69">
        <v>0</v>
      </c>
      <c r="R69" t="s">
        <v>31</v>
      </c>
      <c r="S69" t="s">
        <v>31</v>
      </c>
      <c r="T69" t="s">
        <v>32</v>
      </c>
      <c r="V69" s="1" t="e">
        <v>#N/A</v>
      </c>
      <c r="W69" t="s">
        <v>47</v>
      </c>
      <c r="X69">
        <v>0</v>
      </c>
      <c r="Y69">
        <v>0</v>
      </c>
      <c r="AA69" t="str">
        <f t="shared" si="2"/>
        <v>update zamestnanci set nastup='24' where id='64';</v>
      </c>
      <c r="AB69" t="str">
        <f t="shared" si="3"/>
        <v>update dochazka set zastavka = '24' where zamestnanec = '64';</v>
      </c>
    </row>
    <row r="70" spans="1:28" x14ac:dyDescent="0.25">
      <c r="A70" s="2">
        <v>69</v>
      </c>
      <c r="B70" t="s">
        <v>449</v>
      </c>
      <c r="D70" t="s">
        <v>450</v>
      </c>
      <c r="E70" t="s">
        <v>451</v>
      </c>
      <c r="F70" t="s">
        <v>452</v>
      </c>
      <c r="G70" s="1">
        <v>45082</v>
      </c>
      <c r="H70" s="1">
        <v>45246</v>
      </c>
      <c r="I70" s="1" t="e">
        <v>#N/A</v>
      </c>
      <c r="J70" s="2" t="s">
        <v>8318</v>
      </c>
      <c r="K70" t="s">
        <v>453</v>
      </c>
      <c r="M70" s="16" t="s">
        <v>8319</v>
      </c>
      <c r="N70" s="16" t="str">
        <f>VLOOKUP(M70,Tab_Zast[[Zastávka]:[Sloupec1]],2,0)</f>
        <v>24</v>
      </c>
      <c r="O70" t="s">
        <v>454</v>
      </c>
      <c r="P70">
        <v>1</v>
      </c>
      <c r="Q70">
        <v>0</v>
      </c>
      <c r="R70" t="s">
        <v>179</v>
      </c>
      <c r="S70" t="s">
        <v>31</v>
      </c>
      <c r="T70" t="s">
        <v>32</v>
      </c>
      <c r="V70" s="1" t="e">
        <v>#N/A</v>
      </c>
      <c r="W70" t="s">
        <v>47</v>
      </c>
      <c r="X70">
        <v>0</v>
      </c>
      <c r="Y70">
        <v>0</v>
      </c>
      <c r="Z70" t="s">
        <v>54</v>
      </c>
      <c r="AA70" t="str">
        <f t="shared" si="2"/>
        <v>update zamestnanci set nastup='24' where id='69';</v>
      </c>
      <c r="AB70" t="str">
        <f t="shared" si="3"/>
        <v>update dochazka set zastavka = '24' where zamestnanec = '69';</v>
      </c>
    </row>
    <row r="71" spans="1:28" x14ac:dyDescent="0.25">
      <c r="A71" s="2">
        <v>77</v>
      </c>
      <c r="B71" t="s">
        <v>494</v>
      </c>
      <c r="C71" t="s">
        <v>494</v>
      </c>
      <c r="D71" t="s">
        <v>495</v>
      </c>
      <c r="E71" t="s">
        <v>496</v>
      </c>
      <c r="F71" t="s">
        <v>497</v>
      </c>
      <c r="G71" s="1">
        <v>44795</v>
      </c>
      <c r="H71" s="1">
        <v>73050</v>
      </c>
      <c r="I71" s="1" t="e">
        <v>#N/A</v>
      </c>
      <c r="J71" s="2" t="s">
        <v>8318</v>
      </c>
      <c r="K71" t="s">
        <v>498</v>
      </c>
      <c r="M71" s="16" t="s">
        <v>8319</v>
      </c>
      <c r="N71" s="16" t="str">
        <f>VLOOKUP(M71,Tab_Zast[[Zastávka]:[Sloupec1]],2,0)</f>
        <v>24</v>
      </c>
      <c r="O71" t="s">
        <v>499</v>
      </c>
      <c r="P71">
        <v>1</v>
      </c>
      <c r="Q71">
        <v>0</v>
      </c>
      <c r="R71" t="s">
        <v>179</v>
      </c>
      <c r="S71" t="s">
        <v>31</v>
      </c>
      <c r="T71" t="s">
        <v>32</v>
      </c>
      <c r="V71" s="1" t="e">
        <v>#N/A</v>
      </c>
      <c r="W71" t="s">
        <v>47</v>
      </c>
      <c r="X71">
        <v>1</v>
      </c>
      <c r="Y71">
        <v>0</v>
      </c>
      <c r="AA71" t="str">
        <f t="shared" si="2"/>
        <v>update zamestnanci set nastup='24' where id='77';</v>
      </c>
      <c r="AB71" t="str">
        <f t="shared" si="3"/>
        <v>update dochazka set zastavka = '24' where zamestnanec = '77';</v>
      </c>
    </row>
    <row r="72" spans="1:28" x14ac:dyDescent="0.25">
      <c r="A72" s="2">
        <v>89</v>
      </c>
      <c r="B72" t="s">
        <v>561</v>
      </c>
      <c r="C72" t="s">
        <v>561</v>
      </c>
      <c r="D72" t="s">
        <v>562</v>
      </c>
      <c r="E72" t="s">
        <v>563</v>
      </c>
      <c r="F72" t="s">
        <v>64</v>
      </c>
      <c r="G72" s="1">
        <v>45078</v>
      </c>
      <c r="H72" s="1">
        <v>45754</v>
      </c>
      <c r="I72" s="1">
        <v>73050</v>
      </c>
      <c r="J72" s="2" t="s">
        <v>8318</v>
      </c>
      <c r="K72" t="s">
        <v>564</v>
      </c>
      <c r="M72" s="16" t="s">
        <v>8319</v>
      </c>
      <c r="N72" s="16" t="str">
        <f>VLOOKUP(M72,Tab_Zast[[Zastávka]:[Sloupec1]],2,0)</f>
        <v>24</v>
      </c>
      <c r="O72" t="s">
        <v>565</v>
      </c>
      <c r="P72">
        <v>1</v>
      </c>
      <c r="Q72">
        <v>0</v>
      </c>
      <c r="R72" t="s">
        <v>31</v>
      </c>
      <c r="S72" t="s">
        <v>31</v>
      </c>
      <c r="T72" t="s">
        <v>32</v>
      </c>
      <c r="V72" s="1">
        <v>45699</v>
      </c>
      <c r="W72" t="s">
        <v>47</v>
      </c>
      <c r="X72">
        <v>0</v>
      </c>
      <c r="Y72">
        <v>0</v>
      </c>
      <c r="AA72" t="str">
        <f t="shared" si="2"/>
        <v>update zamestnanci set nastup='24' where id='89';</v>
      </c>
      <c r="AB72" t="str">
        <f t="shared" si="3"/>
        <v>update dochazka set zastavka = '24' where zamestnanec = '89';</v>
      </c>
    </row>
    <row r="73" spans="1:28" x14ac:dyDescent="0.25">
      <c r="A73" s="2">
        <v>113</v>
      </c>
      <c r="B73" t="s">
        <v>699</v>
      </c>
      <c r="C73" t="s">
        <v>699</v>
      </c>
      <c r="D73" t="s">
        <v>700</v>
      </c>
      <c r="E73" t="s">
        <v>701</v>
      </c>
      <c r="F73" t="s">
        <v>702</v>
      </c>
      <c r="G73" s="1">
        <v>45021</v>
      </c>
      <c r="H73" s="1">
        <v>73050</v>
      </c>
      <c r="I73" s="1" t="e">
        <v>#N/A</v>
      </c>
      <c r="J73" s="2" t="s">
        <v>8318</v>
      </c>
      <c r="K73" t="s">
        <v>703</v>
      </c>
      <c r="M73" s="16" t="s">
        <v>8319</v>
      </c>
      <c r="N73" s="16" t="str">
        <f>VLOOKUP(M73,Tab_Zast[[Zastávka]:[Sloupec1]],2,0)</f>
        <v>24</v>
      </c>
      <c r="O73" t="s">
        <v>704</v>
      </c>
      <c r="P73">
        <v>1</v>
      </c>
      <c r="Q73">
        <v>0</v>
      </c>
      <c r="R73" t="s">
        <v>179</v>
      </c>
      <c r="S73" t="s">
        <v>31</v>
      </c>
      <c r="T73" t="s">
        <v>32</v>
      </c>
      <c r="V73" s="1" t="e">
        <v>#N/A</v>
      </c>
      <c r="W73" t="s">
        <v>47</v>
      </c>
      <c r="X73">
        <v>1</v>
      </c>
      <c r="Y73">
        <v>0</v>
      </c>
      <c r="AA73" t="str">
        <f t="shared" si="2"/>
        <v>update zamestnanci set nastup='24' where id='113';</v>
      </c>
      <c r="AB73" t="str">
        <f t="shared" si="3"/>
        <v>update dochazka set zastavka = '24' where zamestnanec = '113';</v>
      </c>
    </row>
    <row r="74" spans="1:28" x14ac:dyDescent="0.25">
      <c r="A74" s="2">
        <v>117</v>
      </c>
      <c r="B74" t="s">
        <v>723</v>
      </c>
      <c r="D74" t="s">
        <v>724</v>
      </c>
      <c r="E74" t="s">
        <v>725</v>
      </c>
      <c r="F74" t="s">
        <v>726</v>
      </c>
      <c r="G74" s="1">
        <v>45152</v>
      </c>
      <c r="H74" s="1">
        <v>45236</v>
      </c>
      <c r="I74" s="1" t="e">
        <v>#N/A</v>
      </c>
      <c r="J74" s="2" t="s">
        <v>8318</v>
      </c>
      <c r="K74" t="s">
        <v>727</v>
      </c>
      <c r="M74" s="16" t="s">
        <v>8319</v>
      </c>
      <c r="N74" s="16" t="str">
        <f>VLOOKUP(M74,Tab_Zast[[Zastávka]:[Sloupec1]],2,0)</f>
        <v>24</v>
      </c>
      <c r="O74" t="s">
        <v>728</v>
      </c>
      <c r="P74">
        <v>1</v>
      </c>
      <c r="Q74">
        <v>0</v>
      </c>
      <c r="R74" t="s">
        <v>31</v>
      </c>
      <c r="S74" t="s">
        <v>31</v>
      </c>
      <c r="T74" t="s">
        <v>32</v>
      </c>
      <c r="V74" s="1" t="e">
        <v>#N/A</v>
      </c>
      <c r="W74" t="s">
        <v>47</v>
      </c>
      <c r="X74">
        <v>0</v>
      </c>
      <c r="Y74">
        <v>0</v>
      </c>
      <c r="Z74" t="s">
        <v>54</v>
      </c>
      <c r="AA74" t="str">
        <f t="shared" si="2"/>
        <v>update zamestnanci set nastup='24' where id='117';</v>
      </c>
      <c r="AB74" t="str">
        <f t="shared" si="3"/>
        <v>update dochazka set zastavka = '24' where zamestnanec = '117';</v>
      </c>
    </row>
    <row r="75" spans="1:28" x14ac:dyDescent="0.25">
      <c r="A75" s="2">
        <v>575</v>
      </c>
      <c r="B75" t="s">
        <v>2410</v>
      </c>
      <c r="D75" t="s">
        <v>2411</v>
      </c>
      <c r="E75" t="s">
        <v>2412</v>
      </c>
      <c r="F75" t="s">
        <v>2413</v>
      </c>
      <c r="G75" s="1">
        <v>45153</v>
      </c>
      <c r="H75" s="1">
        <v>45230</v>
      </c>
      <c r="I75" s="1" t="e">
        <v>#N/A</v>
      </c>
      <c r="J75" s="2" t="s">
        <v>8318</v>
      </c>
      <c r="K75" t="s">
        <v>2414</v>
      </c>
      <c r="M75" s="16" t="s">
        <v>8319</v>
      </c>
      <c r="N75" s="16" t="str">
        <f>VLOOKUP(M75,Tab_Zast[[Zastávka]:[Sloupec1]],2,0)</f>
        <v>24</v>
      </c>
      <c r="O75" t="s">
        <v>2415</v>
      </c>
      <c r="P75">
        <v>1</v>
      </c>
      <c r="Q75">
        <v>0</v>
      </c>
      <c r="R75" t="s">
        <v>31</v>
      </c>
      <c r="S75" t="s">
        <v>31</v>
      </c>
      <c r="T75" t="s">
        <v>32</v>
      </c>
      <c r="V75" s="1" t="e">
        <v>#N/A</v>
      </c>
      <c r="W75" t="s">
        <v>2381</v>
      </c>
      <c r="X75">
        <v>0</v>
      </c>
      <c r="Y75">
        <v>0</v>
      </c>
      <c r="Z75" t="s">
        <v>54</v>
      </c>
      <c r="AA75" t="str">
        <f t="shared" si="2"/>
        <v>update zamestnanci set nastup='24' where id='575';</v>
      </c>
      <c r="AB75" t="str">
        <f t="shared" si="3"/>
        <v>update dochazka set zastavka = '24' where zamestnanec = '575';</v>
      </c>
    </row>
    <row r="76" spans="1:28" x14ac:dyDescent="0.25">
      <c r="A76" s="2">
        <v>616</v>
      </c>
      <c r="B76" t="s">
        <v>2650</v>
      </c>
      <c r="D76" t="s">
        <v>2651</v>
      </c>
      <c r="E76" t="s">
        <v>2652</v>
      </c>
      <c r="F76" t="s">
        <v>2653</v>
      </c>
      <c r="G76" s="1">
        <v>45096</v>
      </c>
      <c r="H76" s="1">
        <v>45408</v>
      </c>
      <c r="I76" s="1">
        <v>73050</v>
      </c>
      <c r="J76" s="2" t="s">
        <v>8318</v>
      </c>
      <c r="K76" t="s">
        <v>2654</v>
      </c>
      <c r="M76" s="16" t="s">
        <v>8319</v>
      </c>
      <c r="N76" s="16" t="str">
        <f>VLOOKUP(M76,Tab_Zast[[Zastávka]:[Sloupec1]],2,0)</f>
        <v>24</v>
      </c>
      <c r="O76" t="s">
        <v>2655</v>
      </c>
      <c r="P76">
        <v>1</v>
      </c>
      <c r="Q76">
        <v>0</v>
      </c>
      <c r="R76" t="s">
        <v>31</v>
      </c>
      <c r="S76" t="s">
        <v>31</v>
      </c>
      <c r="T76" t="s">
        <v>32</v>
      </c>
      <c r="V76" s="1" t="e">
        <v>#N/A</v>
      </c>
      <c r="W76" t="s">
        <v>47</v>
      </c>
      <c r="X76">
        <v>0</v>
      </c>
      <c r="Y76">
        <v>0</v>
      </c>
      <c r="Z76" t="s">
        <v>54</v>
      </c>
      <c r="AA76" t="str">
        <f t="shared" si="2"/>
        <v>update zamestnanci set nastup='24' where id='616';</v>
      </c>
      <c r="AB76" t="str">
        <f t="shared" si="3"/>
        <v>update dochazka set zastavka = '24' where zamestnanec = '616';</v>
      </c>
    </row>
    <row r="77" spans="1:28" x14ac:dyDescent="0.25">
      <c r="A77" s="2">
        <v>620</v>
      </c>
      <c r="B77" t="s">
        <v>2673</v>
      </c>
      <c r="C77" t="s">
        <v>2673</v>
      </c>
      <c r="D77" t="s">
        <v>2674</v>
      </c>
      <c r="E77" t="s">
        <v>2675</v>
      </c>
      <c r="F77" t="s">
        <v>2676</v>
      </c>
      <c r="G77" s="1">
        <v>45028</v>
      </c>
      <c r="H77" s="1">
        <v>73050</v>
      </c>
      <c r="I77" s="1" t="e">
        <v>#N/A</v>
      </c>
      <c r="J77" s="2" t="s">
        <v>8318</v>
      </c>
      <c r="K77" t="s">
        <v>2677</v>
      </c>
      <c r="M77" s="16" t="s">
        <v>8319</v>
      </c>
      <c r="N77" s="16" t="str">
        <f>VLOOKUP(M77,Tab_Zast[[Zastávka]:[Sloupec1]],2,0)</f>
        <v>24</v>
      </c>
      <c r="O77" t="s">
        <v>2678</v>
      </c>
      <c r="P77">
        <v>1</v>
      </c>
      <c r="Q77">
        <v>0</v>
      </c>
      <c r="R77" t="s">
        <v>130</v>
      </c>
      <c r="S77" t="s">
        <v>31</v>
      </c>
      <c r="T77" t="s">
        <v>32</v>
      </c>
      <c r="V77" s="1" t="e">
        <v>#N/A</v>
      </c>
      <c r="W77" t="s">
        <v>47</v>
      </c>
      <c r="X77">
        <v>1</v>
      </c>
      <c r="Y77">
        <v>0</v>
      </c>
      <c r="AA77" t="str">
        <f t="shared" si="2"/>
        <v>update zamestnanci set nastup='24' where id='620';</v>
      </c>
      <c r="AB77" t="str">
        <f t="shared" si="3"/>
        <v>update dochazka set zastavka = '24' where zamestnanec = '620';</v>
      </c>
    </row>
    <row r="78" spans="1:28" x14ac:dyDescent="0.25">
      <c r="A78" s="2">
        <v>654</v>
      </c>
      <c r="B78" t="s">
        <v>2842</v>
      </c>
      <c r="D78" t="s">
        <v>2843</v>
      </c>
      <c r="E78" t="s">
        <v>2844</v>
      </c>
      <c r="F78" t="s">
        <v>484</v>
      </c>
      <c r="G78" s="1">
        <v>45222</v>
      </c>
      <c r="H78" s="1">
        <v>45336</v>
      </c>
      <c r="I78" s="1">
        <v>73050</v>
      </c>
      <c r="J78" s="2" t="s">
        <v>8318</v>
      </c>
      <c r="K78" t="s">
        <v>2845</v>
      </c>
      <c r="M78" s="16" t="s">
        <v>8319</v>
      </c>
      <c r="N78" s="16" t="str">
        <f>VLOOKUP(M78,Tab_Zast[[Zastávka]:[Sloupec1]],2,0)</f>
        <v>24</v>
      </c>
      <c r="O78" t="s">
        <v>2846</v>
      </c>
      <c r="P78">
        <v>1</v>
      </c>
      <c r="Q78">
        <v>0</v>
      </c>
      <c r="R78" t="s">
        <v>31</v>
      </c>
      <c r="S78" t="s">
        <v>31</v>
      </c>
      <c r="T78" t="s">
        <v>32</v>
      </c>
      <c r="V78" s="1" t="e">
        <v>#N/A</v>
      </c>
      <c r="W78" t="s">
        <v>47</v>
      </c>
      <c r="X78">
        <v>0</v>
      </c>
      <c r="Y78">
        <v>0</v>
      </c>
      <c r="AA78" t="str">
        <f t="shared" si="2"/>
        <v>update zamestnanci set nastup='24' where id='654';</v>
      </c>
      <c r="AB78" t="str">
        <f t="shared" si="3"/>
        <v>update dochazka set zastavka = '24' where zamestnanec = '654';</v>
      </c>
    </row>
    <row r="79" spans="1:28" x14ac:dyDescent="0.25">
      <c r="A79" s="2">
        <v>662</v>
      </c>
      <c r="B79" t="s">
        <v>2887</v>
      </c>
      <c r="D79" t="s">
        <v>2888</v>
      </c>
      <c r="E79" t="s">
        <v>2889</v>
      </c>
      <c r="F79" t="s">
        <v>535</v>
      </c>
      <c r="G79" s="1">
        <v>45229</v>
      </c>
      <c r="H79" s="1">
        <v>45237</v>
      </c>
      <c r="I79" s="1" t="e">
        <v>#N/A</v>
      </c>
      <c r="J79" s="2" t="s">
        <v>8318</v>
      </c>
      <c r="K79" t="s">
        <v>2890</v>
      </c>
      <c r="M79" s="16" t="s">
        <v>8319</v>
      </c>
      <c r="N79" s="16" t="str">
        <f>VLOOKUP(M79,Tab_Zast[[Zastávka]:[Sloupec1]],2,0)</f>
        <v>24</v>
      </c>
      <c r="O79" t="s">
        <v>2891</v>
      </c>
      <c r="P79">
        <v>1</v>
      </c>
      <c r="Q79">
        <v>0</v>
      </c>
      <c r="R79" t="s">
        <v>31</v>
      </c>
      <c r="S79" t="s">
        <v>31</v>
      </c>
      <c r="T79" t="s">
        <v>32</v>
      </c>
      <c r="V79" s="1" t="e">
        <v>#N/A</v>
      </c>
      <c r="W79" t="s">
        <v>47</v>
      </c>
      <c r="X79">
        <v>0</v>
      </c>
      <c r="Y79">
        <v>0</v>
      </c>
      <c r="Z79" t="s">
        <v>54</v>
      </c>
      <c r="AA79" t="str">
        <f t="shared" si="2"/>
        <v>update zamestnanci set nastup='24' where id='662';</v>
      </c>
      <c r="AB79" t="str">
        <f t="shared" si="3"/>
        <v>update dochazka set zastavka = '24' where zamestnanec = '662';</v>
      </c>
    </row>
    <row r="80" spans="1:28" x14ac:dyDescent="0.25">
      <c r="A80" s="2">
        <v>664</v>
      </c>
      <c r="B80" t="s">
        <v>2895</v>
      </c>
      <c r="D80" t="s">
        <v>2896</v>
      </c>
      <c r="E80" t="s">
        <v>2897</v>
      </c>
      <c r="F80" t="s">
        <v>2898</v>
      </c>
      <c r="G80" s="1">
        <v>45229</v>
      </c>
      <c r="H80" s="1">
        <v>45362</v>
      </c>
      <c r="I80" s="1">
        <v>73050</v>
      </c>
      <c r="J80" s="2" t="s">
        <v>8318</v>
      </c>
      <c r="K80" t="s">
        <v>2899</v>
      </c>
      <c r="M80" s="16" t="s">
        <v>8319</v>
      </c>
      <c r="N80" s="16" t="str">
        <f>VLOOKUP(M80,Tab_Zast[[Zastávka]:[Sloupec1]],2,0)</f>
        <v>24</v>
      </c>
      <c r="O80" t="s">
        <v>2900</v>
      </c>
      <c r="P80">
        <v>1</v>
      </c>
      <c r="Q80">
        <v>0</v>
      </c>
      <c r="R80" t="s">
        <v>31</v>
      </c>
      <c r="S80" t="s">
        <v>31</v>
      </c>
      <c r="T80" t="s">
        <v>32</v>
      </c>
      <c r="V80" s="1" t="e">
        <v>#N/A</v>
      </c>
      <c r="W80" t="s">
        <v>47</v>
      </c>
      <c r="X80">
        <v>0</v>
      </c>
      <c r="Y80">
        <v>0</v>
      </c>
      <c r="Z80" t="s">
        <v>54</v>
      </c>
      <c r="AA80" t="str">
        <f t="shared" si="2"/>
        <v>update zamestnanci set nastup='24' where id='664';</v>
      </c>
      <c r="AB80" t="str">
        <f t="shared" si="3"/>
        <v>update dochazka set zastavka = '24' where zamestnanec = '664';</v>
      </c>
    </row>
    <row r="81" spans="1:28" x14ac:dyDescent="0.25">
      <c r="A81" s="2">
        <v>668</v>
      </c>
      <c r="B81" t="s">
        <v>2917</v>
      </c>
      <c r="C81" t="s">
        <v>2917</v>
      </c>
      <c r="D81" t="s">
        <v>2918</v>
      </c>
      <c r="E81" t="s">
        <v>2919</v>
      </c>
      <c r="F81" t="s">
        <v>2920</v>
      </c>
      <c r="G81" s="1">
        <v>45229</v>
      </c>
      <c r="H81" s="1">
        <v>73050</v>
      </c>
      <c r="I81" s="1" t="e">
        <v>#N/A</v>
      </c>
      <c r="J81" s="2" t="s">
        <v>8318</v>
      </c>
      <c r="K81" t="s">
        <v>2921</v>
      </c>
      <c r="M81" s="16" t="s">
        <v>8319</v>
      </c>
      <c r="N81" s="16" t="str">
        <f>VLOOKUP(M81,Tab_Zast[[Zastávka]:[Sloupec1]],2,0)</f>
        <v>24</v>
      </c>
      <c r="O81" t="s">
        <v>2922</v>
      </c>
      <c r="P81">
        <v>1</v>
      </c>
      <c r="Q81">
        <v>0</v>
      </c>
      <c r="R81" t="s">
        <v>179</v>
      </c>
      <c r="S81" t="s">
        <v>31</v>
      </c>
      <c r="T81" t="s">
        <v>32</v>
      </c>
      <c r="V81" s="1" t="e">
        <v>#N/A</v>
      </c>
      <c r="W81" t="s">
        <v>47</v>
      </c>
      <c r="X81">
        <v>1</v>
      </c>
      <c r="Y81">
        <v>0</v>
      </c>
      <c r="AA81" t="str">
        <f t="shared" si="2"/>
        <v>update zamestnanci set nastup='24' where id='668';</v>
      </c>
      <c r="AB81" t="str">
        <f t="shared" si="3"/>
        <v>update dochazka set zastavka = '24' where zamestnanec = '668';</v>
      </c>
    </row>
    <row r="82" spans="1:28" x14ac:dyDescent="0.25">
      <c r="A82" s="2">
        <v>888</v>
      </c>
      <c r="B82" t="s">
        <v>4010</v>
      </c>
      <c r="C82" t="s">
        <v>4011</v>
      </c>
      <c r="D82" t="s">
        <v>4012</v>
      </c>
      <c r="E82" t="s">
        <v>3223</v>
      </c>
      <c r="F82" t="s">
        <v>569</v>
      </c>
      <c r="G82" s="1">
        <v>45390</v>
      </c>
      <c r="H82" s="1">
        <v>45754</v>
      </c>
      <c r="I82" s="1">
        <v>73050</v>
      </c>
      <c r="J82" s="2" t="s">
        <v>8318</v>
      </c>
      <c r="K82" t="s">
        <v>4013</v>
      </c>
      <c r="M82" s="16" t="s">
        <v>8319</v>
      </c>
      <c r="N82" s="16" t="str">
        <f>VLOOKUP(M82,Tab_Zast[[Zastávka]:[Sloupec1]],2,0)</f>
        <v>24</v>
      </c>
      <c r="O82" t="s">
        <v>4014</v>
      </c>
      <c r="P82">
        <v>1</v>
      </c>
      <c r="Q82">
        <v>0</v>
      </c>
      <c r="R82" t="s">
        <v>31</v>
      </c>
      <c r="S82" t="s">
        <v>31</v>
      </c>
      <c r="T82" t="s">
        <v>32</v>
      </c>
      <c r="V82" s="1">
        <v>45751</v>
      </c>
      <c r="W82" t="s">
        <v>2381</v>
      </c>
      <c r="X82">
        <v>0</v>
      </c>
      <c r="Y82">
        <v>228</v>
      </c>
      <c r="AA82" t="str">
        <f t="shared" si="2"/>
        <v>update zamestnanci set nastup='24' where id='888';</v>
      </c>
      <c r="AB82" t="str">
        <f t="shared" si="3"/>
        <v>update dochazka set zastavka = '24' where zamestnanec = '888';</v>
      </c>
    </row>
    <row r="83" spans="1:28" x14ac:dyDescent="0.25">
      <c r="A83" s="2">
        <v>889</v>
      </c>
      <c r="B83" t="s">
        <v>4015</v>
      </c>
      <c r="D83" t="s">
        <v>3937</v>
      </c>
      <c r="E83" t="s">
        <v>4016</v>
      </c>
      <c r="F83" t="s">
        <v>4017</v>
      </c>
      <c r="G83" s="1">
        <v>45390</v>
      </c>
      <c r="H83" s="1">
        <v>45427</v>
      </c>
      <c r="I83" s="1">
        <v>73050</v>
      </c>
      <c r="J83" s="2" t="s">
        <v>8318</v>
      </c>
      <c r="K83" t="s">
        <v>4018</v>
      </c>
      <c r="M83" s="16" t="s">
        <v>8319</v>
      </c>
      <c r="N83" s="16" t="str">
        <f>VLOOKUP(M83,Tab_Zast[[Zastávka]:[Sloupec1]],2,0)</f>
        <v>24</v>
      </c>
      <c r="O83" t="s">
        <v>3940</v>
      </c>
      <c r="P83">
        <v>1</v>
      </c>
      <c r="Q83">
        <v>0</v>
      </c>
      <c r="R83" t="s">
        <v>31</v>
      </c>
      <c r="S83" t="s">
        <v>31</v>
      </c>
      <c r="T83" t="s">
        <v>32</v>
      </c>
      <c r="V83" s="1" t="e">
        <v>#N/A</v>
      </c>
      <c r="W83" t="s">
        <v>2381</v>
      </c>
      <c r="X83">
        <v>0</v>
      </c>
      <c r="Y83">
        <v>225</v>
      </c>
      <c r="Z83" t="s">
        <v>40</v>
      </c>
      <c r="AA83" t="str">
        <f t="shared" si="2"/>
        <v>update zamestnanci set nastup='24' where id='889';</v>
      </c>
      <c r="AB83" t="str">
        <f t="shared" si="3"/>
        <v>update dochazka set zastavka = '24' where zamestnanec = '889';</v>
      </c>
    </row>
    <row r="84" spans="1:28" x14ac:dyDescent="0.25">
      <c r="A84" s="2">
        <v>1009</v>
      </c>
      <c r="B84" t="s">
        <v>167</v>
      </c>
      <c r="C84" t="s">
        <v>1394</v>
      </c>
      <c r="D84" t="s">
        <v>4548</v>
      </c>
      <c r="E84" t="s">
        <v>719</v>
      </c>
      <c r="F84" t="s">
        <v>67</v>
      </c>
      <c r="G84" s="1">
        <v>45455</v>
      </c>
      <c r="H84" s="1">
        <v>45464</v>
      </c>
      <c r="I84" s="1">
        <v>73050</v>
      </c>
      <c r="J84" s="2" t="s">
        <v>8318</v>
      </c>
      <c r="K84" t="s">
        <v>4549</v>
      </c>
      <c r="M84" s="16" t="s">
        <v>8319</v>
      </c>
      <c r="N84" s="16" t="str">
        <f>VLOOKUP(M84,Tab_Zast[[Zastávka]:[Sloupec1]],2,0)</f>
        <v>24</v>
      </c>
      <c r="O84" t="s">
        <v>4550</v>
      </c>
      <c r="P84">
        <v>0</v>
      </c>
      <c r="Q84">
        <v>0</v>
      </c>
      <c r="R84" t="s">
        <v>31</v>
      </c>
      <c r="S84" t="s">
        <v>31</v>
      </c>
      <c r="T84" t="s">
        <v>32</v>
      </c>
      <c r="V84" s="1" t="e">
        <v>#N/A</v>
      </c>
      <c r="X84">
        <v>0</v>
      </c>
      <c r="Y84">
        <v>396</v>
      </c>
      <c r="AA84" t="str">
        <f t="shared" si="2"/>
        <v>update zamestnanci set nastup='24' where id='1009';</v>
      </c>
      <c r="AB84" t="str">
        <f t="shared" si="3"/>
        <v>update dochazka set zastavka = '24' where zamestnanec = '1009';</v>
      </c>
    </row>
    <row r="85" spans="1:28" x14ac:dyDescent="0.25">
      <c r="A85" s="2">
        <v>1029</v>
      </c>
      <c r="B85" t="s">
        <v>4634</v>
      </c>
      <c r="C85" t="s">
        <v>151</v>
      </c>
      <c r="D85" t="s">
        <v>4635</v>
      </c>
      <c r="E85" t="s">
        <v>719</v>
      </c>
      <c r="F85" t="s">
        <v>2850</v>
      </c>
      <c r="G85" s="1">
        <v>45467</v>
      </c>
      <c r="H85" s="1">
        <v>45533</v>
      </c>
      <c r="I85" s="1">
        <v>73050</v>
      </c>
      <c r="J85" s="2" t="s">
        <v>8318</v>
      </c>
      <c r="K85" t="s">
        <v>4636</v>
      </c>
      <c r="M85" s="16" t="s">
        <v>8319</v>
      </c>
      <c r="N85" s="16" t="str">
        <f>VLOOKUP(M85,Tab_Zast[[Zastávka]:[Sloupec1]],2,0)</f>
        <v>24</v>
      </c>
      <c r="O85" t="s">
        <v>4637</v>
      </c>
      <c r="P85">
        <v>1</v>
      </c>
      <c r="Q85">
        <v>0</v>
      </c>
      <c r="R85" t="s">
        <v>31</v>
      </c>
      <c r="S85" t="s">
        <v>31</v>
      </c>
      <c r="T85" t="s">
        <v>32</v>
      </c>
      <c r="V85" s="1" t="e">
        <v>#N/A</v>
      </c>
      <c r="W85" t="s">
        <v>47</v>
      </c>
      <c r="X85">
        <v>0</v>
      </c>
      <c r="Y85">
        <v>417</v>
      </c>
      <c r="AA85" t="str">
        <f t="shared" si="2"/>
        <v>update zamestnanci set nastup='24' where id='1029';</v>
      </c>
      <c r="AB85" t="str">
        <f t="shared" si="3"/>
        <v>update dochazka set zastavka = '24' where zamestnanec = '1029';</v>
      </c>
    </row>
    <row r="86" spans="1:28" x14ac:dyDescent="0.25">
      <c r="A86" s="2">
        <v>1032</v>
      </c>
      <c r="B86" t="s">
        <v>4647</v>
      </c>
      <c r="C86" t="s">
        <v>151</v>
      </c>
      <c r="D86" t="s">
        <v>4648</v>
      </c>
      <c r="E86" t="s">
        <v>593</v>
      </c>
      <c r="F86" t="s">
        <v>67</v>
      </c>
      <c r="G86" s="1">
        <v>45467</v>
      </c>
      <c r="H86" s="1">
        <v>45467</v>
      </c>
      <c r="I86" s="1">
        <v>45467</v>
      </c>
      <c r="J86" s="2" t="s">
        <v>8318</v>
      </c>
      <c r="K86" t="s">
        <v>4649</v>
      </c>
      <c r="M86" s="16" t="s">
        <v>8319</v>
      </c>
      <c r="N86" s="16" t="str">
        <f>VLOOKUP(M86,Tab_Zast[[Zastávka]:[Sloupec1]],2,0)</f>
        <v>24</v>
      </c>
      <c r="O86" t="s">
        <v>4650</v>
      </c>
      <c r="P86">
        <v>1</v>
      </c>
      <c r="Q86">
        <v>0</v>
      </c>
      <c r="R86" t="s">
        <v>31</v>
      </c>
      <c r="S86" t="s">
        <v>31</v>
      </c>
      <c r="T86" t="s">
        <v>32</v>
      </c>
      <c r="V86" s="1" t="e">
        <v>#N/A</v>
      </c>
      <c r="W86" t="s">
        <v>47</v>
      </c>
      <c r="X86">
        <v>0</v>
      </c>
      <c r="Y86">
        <v>420</v>
      </c>
      <c r="AA86" t="str">
        <f t="shared" si="2"/>
        <v>update zamestnanci set nastup='24' where id='1032';</v>
      </c>
      <c r="AB86" t="str">
        <f t="shared" si="3"/>
        <v>update dochazka set zastavka = '24' where zamestnanec = '1032';</v>
      </c>
    </row>
    <row r="87" spans="1:28" x14ac:dyDescent="0.25">
      <c r="A87" s="2">
        <v>1135</v>
      </c>
      <c r="B87" t="s">
        <v>5081</v>
      </c>
      <c r="C87" t="s">
        <v>151</v>
      </c>
      <c r="D87" t="s">
        <v>4648</v>
      </c>
      <c r="E87" t="s">
        <v>593</v>
      </c>
      <c r="F87" t="s">
        <v>67</v>
      </c>
      <c r="G87" s="1">
        <v>45516</v>
      </c>
      <c r="H87" s="1">
        <v>45516</v>
      </c>
      <c r="I87" s="1">
        <v>45516</v>
      </c>
      <c r="J87" s="2" t="s">
        <v>8318</v>
      </c>
      <c r="K87" t="s">
        <v>5082</v>
      </c>
      <c r="M87" s="16" t="s">
        <v>8319</v>
      </c>
      <c r="N87" s="16" t="str">
        <f>VLOOKUP(M87,Tab_Zast[[Zastávka]:[Sloupec1]],2,0)</f>
        <v>24</v>
      </c>
      <c r="O87" t="s">
        <v>5083</v>
      </c>
      <c r="P87">
        <v>1</v>
      </c>
      <c r="Q87">
        <v>0</v>
      </c>
      <c r="R87" t="s">
        <v>31</v>
      </c>
      <c r="S87" t="s">
        <v>31</v>
      </c>
      <c r="T87" t="s">
        <v>32</v>
      </c>
      <c r="V87" s="1" t="e">
        <v>#N/A</v>
      </c>
      <c r="W87" t="s">
        <v>47</v>
      </c>
      <c r="X87">
        <v>0</v>
      </c>
      <c r="Y87">
        <v>525</v>
      </c>
      <c r="AA87" t="str">
        <f t="shared" si="2"/>
        <v>update zamestnanci set nastup='24' where id='1135';</v>
      </c>
      <c r="AB87" t="str">
        <f t="shared" si="3"/>
        <v>update dochazka set zastavka = '24' where zamestnanec = '1135';</v>
      </c>
    </row>
    <row r="88" spans="1:28" x14ac:dyDescent="0.25">
      <c r="A88" s="2">
        <v>1139</v>
      </c>
      <c r="B88" t="s">
        <v>5095</v>
      </c>
      <c r="C88" t="s">
        <v>151</v>
      </c>
      <c r="D88" t="s">
        <v>5096</v>
      </c>
      <c r="E88" t="s">
        <v>5097</v>
      </c>
      <c r="F88" t="s">
        <v>5098</v>
      </c>
      <c r="G88" s="1">
        <v>45516</v>
      </c>
      <c r="H88" s="1">
        <v>45518</v>
      </c>
      <c r="I88" s="1">
        <v>73050</v>
      </c>
      <c r="J88" s="2" t="s">
        <v>8318</v>
      </c>
      <c r="K88" t="s">
        <v>5099</v>
      </c>
      <c r="M88" s="16" t="s">
        <v>8319</v>
      </c>
      <c r="N88" s="16" t="str">
        <f>VLOOKUP(M88,Tab_Zast[[Zastávka]:[Sloupec1]],2,0)</f>
        <v>24</v>
      </c>
      <c r="O88" t="s">
        <v>5100</v>
      </c>
      <c r="P88">
        <v>1</v>
      </c>
      <c r="Q88">
        <v>0</v>
      </c>
      <c r="R88" t="s">
        <v>31</v>
      </c>
      <c r="S88" t="s">
        <v>31</v>
      </c>
      <c r="T88" t="s">
        <v>32</v>
      </c>
      <c r="V88" s="1" t="e">
        <v>#N/A</v>
      </c>
      <c r="W88" t="s">
        <v>47</v>
      </c>
      <c r="X88">
        <v>0</v>
      </c>
      <c r="Y88">
        <v>528</v>
      </c>
      <c r="AA88" t="str">
        <f t="shared" si="2"/>
        <v>update zamestnanci set nastup='24' where id='1139';</v>
      </c>
      <c r="AB88" t="str">
        <f t="shared" si="3"/>
        <v>update dochazka set zastavka = '24' where zamestnanec = '1139';</v>
      </c>
    </row>
    <row r="89" spans="1:28" x14ac:dyDescent="0.25">
      <c r="A89" s="2">
        <v>1140</v>
      </c>
      <c r="B89" t="s">
        <v>5101</v>
      </c>
      <c r="C89" t="s">
        <v>64</v>
      </c>
      <c r="D89" t="s">
        <v>5102</v>
      </c>
      <c r="E89" t="s">
        <v>1750</v>
      </c>
      <c r="F89" t="s">
        <v>5103</v>
      </c>
      <c r="G89" s="1">
        <v>45516</v>
      </c>
      <c r="H89" s="1">
        <v>45518</v>
      </c>
      <c r="I89" s="1">
        <v>73050</v>
      </c>
      <c r="J89" s="2" t="s">
        <v>8318</v>
      </c>
      <c r="K89" t="s">
        <v>5104</v>
      </c>
      <c r="M89" s="16" t="s">
        <v>8319</v>
      </c>
      <c r="N89" s="16" t="str">
        <f>VLOOKUP(M89,Tab_Zast[[Zastávka]:[Sloupec1]],2,0)</f>
        <v>24</v>
      </c>
      <c r="O89" t="s">
        <v>5105</v>
      </c>
      <c r="P89">
        <v>1</v>
      </c>
      <c r="Q89">
        <v>0</v>
      </c>
      <c r="R89" t="s">
        <v>31</v>
      </c>
      <c r="S89" t="s">
        <v>31</v>
      </c>
      <c r="T89" t="s">
        <v>32</v>
      </c>
      <c r="V89" s="1" t="e">
        <v>#N/A</v>
      </c>
      <c r="W89" t="s">
        <v>47</v>
      </c>
      <c r="X89">
        <v>0</v>
      </c>
      <c r="Y89">
        <v>529</v>
      </c>
      <c r="AA89" t="str">
        <f t="shared" si="2"/>
        <v>update zamestnanci set nastup='24' where id='1140';</v>
      </c>
      <c r="AB89" t="str">
        <f t="shared" si="3"/>
        <v>update dochazka set zastavka = '24' where zamestnanec = '1140';</v>
      </c>
    </row>
    <row r="90" spans="1:28" x14ac:dyDescent="0.25">
      <c r="A90" s="2">
        <v>1158</v>
      </c>
      <c r="B90" t="s">
        <v>5170</v>
      </c>
      <c r="C90" t="s">
        <v>64</v>
      </c>
      <c r="D90" t="s">
        <v>5171</v>
      </c>
      <c r="E90" t="s">
        <v>182</v>
      </c>
      <c r="F90" t="s">
        <v>67</v>
      </c>
      <c r="G90" s="1">
        <v>45985</v>
      </c>
      <c r="H90" s="1">
        <v>45985</v>
      </c>
      <c r="I90" s="1">
        <v>45985</v>
      </c>
      <c r="J90" s="2" t="s">
        <v>8318</v>
      </c>
      <c r="K90" t="s">
        <v>5172</v>
      </c>
      <c r="M90" s="16" t="s">
        <v>8319</v>
      </c>
      <c r="N90" s="16" t="str">
        <f>VLOOKUP(M90,Tab_Zast[[Zastávka]:[Sloupec1]],2,0)</f>
        <v>24</v>
      </c>
      <c r="O90" t="s">
        <v>5173</v>
      </c>
      <c r="P90">
        <v>1</v>
      </c>
      <c r="Q90">
        <v>0</v>
      </c>
      <c r="R90" t="s">
        <v>31</v>
      </c>
      <c r="S90" t="s">
        <v>31</v>
      </c>
      <c r="T90" t="s">
        <v>32</v>
      </c>
      <c r="V90" s="1" t="e">
        <v>#N/A</v>
      </c>
      <c r="W90" t="s">
        <v>47</v>
      </c>
      <c r="X90">
        <v>0</v>
      </c>
      <c r="Y90">
        <v>547</v>
      </c>
      <c r="AA90" t="str">
        <f t="shared" si="2"/>
        <v>update zamestnanci set nastup='24' where id='1158';</v>
      </c>
      <c r="AB90" t="str">
        <f t="shared" si="3"/>
        <v>update dochazka set zastavka = '24' where zamestnanec = '1158';</v>
      </c>
    </row>
    <row r="91" spans="1:28" x14ac:dyDescent="0.25">
      <c r="A91" s="2">
        <v>1280</v>
      </c>
      <c r="B91" t="s">
        <v>5657</v>
      </c>
      <c r="C91" t="s">
        <v>5543</v>
      </c>
      <c r="D91" t="s">
        <v>5658</v>
      </c>
      <c r="E91" t="s">
        <v>725</v>
      </c>
      <c r="F91" t="s">
        <v>5543</v>
      </c>
      <c r="G91" s="1">
        <v>45568</v>
      </c>
      <c r="H91" s="1">
        <v>45579</v>
      </c>
      <c r="I91" s="1">
        <v>73050</v>
      </c>
      <c r="J91" s="2" t="s">
        <v>8318</v>
      </c>
      <c r="K91" t="s">
        <v>5659</v>
      </c>
      <c r="M91" s="16" t="s">
        <v>8319</v>
      </c>
      <c r="N91" s="16" t="str">
        <f>VLOOKUP(M91,Tab_Zast[[Zastávka]:[Sloupec1]],2,0)</f>
        <v>24</v>
      </c>
      <c r="O91" t="s">
        <v>5660</v>
      </c>
      <c r="P91">
        <v>1</v>
      </c>
      <c r="Q91">
        <v>0</v>
      </c>
      <c r="R91" t="s">
        <v>31</v>
      </c>
      <c r="S91" t="s">
        <v>31</v>
      </c>
      <c r="T91" t="s">
        <v>32</v>
      </c>
      <c r="V91" s="1" t="e">
        <v>#N/A</v>
      </c>
      <c r="W91" t="s">
        <v>47</v>
      </c>
      <c r="X91">
        <v>0</v>
      </c>
      <c r="Y91">
        <v>670</v>
      </c>
      <c r="AA91" t="str">
        <f t="shared" si="2"/>
        <v>update zamestnanci set nastup='24' where id='1280';</v>
      </c>
      <c r="AB91" t="str">
        <f t="shared" si="3"/>
        <v>update dochazka set zastavka = '24' where zamestnanec = '1280';</v>
      </c>
    </row>
    <row r="92" spans="1:28" x14ac:dyDescent="0.25">
      <c r="A92" s="2">
        <v>1302</v>
      </c>
      <c r="B92" t="s">
        <v>5750</v>
      </c>
      <c r="C92" t="s">
        <v>64</v>
      </c>
      <c r="D92" t="s">
        <v>5751</v>
      </c>
      <c r="E92" t="s">
        <v>719</v>
      </c>
      <c r="F92" t="s">
        <v>1176</v>
      </c>
      <c r="G92" s="1">
        <v>45579</v>
      </c>
      <c r="H92" s="1">
        <v>45825</v>
      </c>
      <c r="I92" s="1">
        <v>73050</v>
      </c>
      <c r="J92" s="2" t="s">
        <v>8318</v>
      </c>
      <c r="K92" t="s">
        <v>5752</v>
      </c>
      <c r="M92" s="16" t="s">
        <v>8319</v>
      </c>
      <c r="N92" s="16" t="str">
        <f>VLOOKUP(M92,Tab_Zast[[Zastávka]:[Sloupec1]],2,0)</f>
        <v>24</v>
      </c>
      <c r="O92" t="s">
        <v>5753</v>
      </c>
      <c r="P92">
        <v>1</v>
      </c>
      <c r="Q92">
        <v>0</v>
      </c>
      <c r="R92" t="s">
        <v>31</v>
      </c>
      <c r="S92" t="s">
        <v>31</v>
      </c>
      <c r="T92" t="s">
        <v>32</v>
      </c>
      <c r="V92" s="1" t="e">
        <v>#N/A</v>
      </c>
      <c r="W92" t="s">
        <v>47</v>
      </c>
      <c r="X92">
        <v>0</v>
      </c>
      <c r="Y92">
        <v>698</v>
      </c>
      <c r="AA92" t="str">
        <f t="shared" si="2"/>
        <v>update zamestnanci set nastup='24' where id='1302';</v>
      </c>
      <c r="AB92" t="str">
        <f t="shared" si="3"/>
        <v>update dochazka set zastavka = '24' where zamestnanec = '1302';</v>
      </c>
    </row>
    <row r="93" spans="1:28" x14ac:dyDescent="0.25">
      <c r="A93" s="2">
        <v>1318</v>
      </c>
      <c r="B93" t="s">
        <v>5810</v>
      </c>
      <c r="C93" t="s">
        <v>64</v>
      </c>
      <c r="D93" t="s">
        <v>5811</v>
      </c>
      <c r="E93" t="s">
        <v>5812</v>
      </c>
      <c r="F93" t="s">
        <v>5813</v>
      </c>
      <c r="G93" s="1">
        <v>45582</v>
      </c>
      <c r="H93" s="1">
        <v>45602</v>
      </c>
      <c r="I93" s="1">
        <v>45602</v>
      </c>
      <c r="J93" s="2" t="s">
        <v>8318</v>
      </c>
      <c r="K93" t="s">
        <v>5814</v>
      </c>
      <c r="M93" s="16" t="s">
        <v>8319</v>
      </c>
      <c r="N93" s="16" t="str">
        <f>VLOOKUP(M93,Tab_Zast[[Zastávka]:[Sloupec1]],2,0)</f>
        <v>24</v>
      </c>
      <c r="O93" t="s">
        <v>5815</v>
      </c>
      <c r="P93">
        <v>1</v>
      </c>
      <c r="Q93">
        <v>0</v>
      </c>
      <c r="R93" t="s">
        <v>31</v>
      </c>
      <c r="S93" t="s">
        <v>31</v>
      </c>
      <c r="T93" t="s">
        <v>32</v>
      </c>
      <c r="V93" s="1" t="e">
        <v>#N/A</v>
      </c>
      <c r="W93" t="s">
        <v>47</v>
      </c>
      <c r="X93">
        <v>0</v>
      </c>
      <c r="Y93">
        <v>709</v>
      </c>
      <c r="AA93" t="str">
        <f t="shared" si="2"/>
        <v>update zamestnanci set nastup='24' where id='1318';</v>
      </c>
      <c r="AB93" t="str">
        <f t="shared" si="3"/>
        <v>update dochazka set zastavka = '24' where zamestnanec = '1318';</v>
      </c>
    </row>
    <row r="94" spans="1:28" x14ac:dyDescent="0.25">
      <c r="A94" s="2">
        <v>1320</v>
      </c>
      <c r="B94" t="s">
        <v>5820</v>
      </c>
      <c r="C94" t="s">
        <v>64</v>
      </c>
      <c r="D94" t="s">
        <v>3561</v>
      </c>
      <c r="E94" t="s">
        <v>3321</v>
      </c>
      <c r="F94" t="s">
        <v>2745</v>
      </c>
      <c r="G94" s="1">
        <v>45582</v>
      </c>
      <c r="H94" s="1">
        <v>73050</v>
      </c>
      <c r="I94" s="1" t="e">
        <v>#N/A</v>
      </c>
      <c r="J94" s="2" t="s">
        <v>8318</v>
      </c>
      <c r="K94" t="s">
        <v>5821</v>
      </c>
      <c r="M94" s="16" t="s">
        <v>8319</v>
      </c>
      <c r="N94" s="16" t="str">
        <f>VLOOKUP(M94,Tab_Zast[[Zastávka]:[Sloupec1]],2,0)</f>
        <v>24</v>
      </c>
      <c r="O94" t="s">
        <v>5822</v>
      </c>
      <c r="P94">
        <v>1</v>
      </c>
      <c r="Q94">
        <v>0</v>
      </c>
      <c r="R94" t="s">
        <v>129</v>
      </c>
      <c r="S94" t="s">
        <v>31</v>
      </c>
      <c r="T94" t="s">
        <v>32</v>
      </c>
      <c r="V94" s="1" t="e">
        <v>#N/A</v>
      </c>
      <c r="W94" t="s">
        <v>47</v>
      </c>
      <c r="X94">
        <v>1</v>
      </c>
      <c r="Y94">
        <v>708</v>
      </c>
      <c r="AA94" t="str">
        <f t="shared" si="2"/>
        <v>update zamestnanci set nastup='24' where id='1320';</v>
      </c>
      <c r="AB94" t="str">
        <f t="shared" si="3"/>
        <v>update dochazka set zastavka = '24' where zamestnanec = '1320';</v>
      </c>
    </row>
    <row r="95" spans="1:28" x14ac:dyDescent="0.25">
      <c r="A95" s="2">
        <v>1384</v>
      </c>
      <c r="B95" t="s">
        <v>6068</v>
      </c>
      <c r="C95" t="s">
        <v>64</v>
      </c>
      <c r="D95" t="s">
        <v>6069</v>
      </c>
      <c r="E95" t="s">
        <v>725</v>
      </c>
      <c r="F95" t="s">
        <v>64</v>
      </c>
      <c r="G95" s="1">
        <v>45614</v>
      </c>
      <c r="H95" s="1">
        <v>45614</v>
      </c>
      <c r="I95" s="1">
        <v>45614</v>
      </c>
      <c r="J95" s="2" t="s">
        <v>8318</v>
      </c>
      <c r="K95" t="s">
        <v>6070</v>
      </c>
      <c r="M95" s="16" t="s">
        <v>8319</v>
      </c>
      <c r="N95" s="16" t="str">
        <f>VLOOKUP(M95,Tab_Zast[[Zastávka]:[Sloupec1]],2,0)</f>
        <v>24</v>
      </c>
      <c r="O95" t="s">
        <v>6071</v>
      </c>
      <c r="P95">
        <v>1</v>
      </c>
      <c r="Q95">
        <v>0</v>
      </c>
      <c r="R95" t="s">
        <v>31</v>
      </c>
      <c r="S95" t="s">
        <v>31</v>
      </c>
      <c r="T95" t="s">
        <v>32</v>
      </c>
      <c r="V95" s="1" t="e">
        <v>#N/A</v>
      </c>
      <c r="W95" t="s">
        <v>47</v>
      </c>
      <c r="X95">
        <v>0</v>
      </c>
      <c r="Y95">
        <v>773</v>
      </c>
      <c r="AA95" t="str">
        <f t="shared" si="2"/>
        <v>update zamestnanci set nastup='24' where id='1384';</v>
      </c>
      <c r="AB95" t="str">
        <f t="shared" si="3"/>
        <v>update dochazka set zastavka = '24' where zamestnanec = '1384';</v>
      </c>
    </row>
    <row r="96" spans="1:28" x14ac:dyDescent="0.25">
      <c r="A96" s="2">
        <v>1398</v>
      </c>
      <c r="B96" t="s">
        <v>6124</v>
      </c>
      <c r="C96" t="s">
        <v>64</v>
      </c>
      <c r="D96" t="s">
        <v>632</v>
      </c>
      <c r="E96" t="s">
        <v>1402</v>
      </c>
      <c r="F96" t="s">
        <v>64</v>
      </c>
      <c r="G96" s="1">
        <v>45624</v>
      </c>
      <c r="H96" s="1">
        <v>45624</v>
      </c>
      <c r="I96" s="1">
        <v>45624</v>
      </c>
      <c r="J96" s="2" t="s">
        <v>8318</v>
      </c>
      <c r="K96" t="s">
        <v>6125</v>
      </c>
      <c r="M96" s="16" t="s">
        <v>8319</v>
      </c>
      <c r="N96" s="16" t="str">
        <f>VLOOKUP(M96,Tab_Zast[[Zastávka]:[Sloupec1]],2,0)</f>
        <v>24</v>
      </c>
      <c r="O96" t="s">
        <v>6126</v>
      </c>
      <c r="P96">
        <v>1</v>
      </c>
      <c r="Q96">
        <v>0</v>
      </c>
      <c r="R96" t="s">
        <v>31</v>
      </c>
      <c r="S96" t="s">
        <v>31</v>
      </c>
      <c r="T96" t="s">
        <v>32</v>
      </c>
      <c r="V96" s="1" t="e">
        <v>#N/A</v>
      </c>
      <c r="W96" t="s">
        <v>47</v>
      </c>
      <c r="X96">
        <v>0</v>
      </c>
      <c r="Y96">
        <v>787</v>
      </c>
      <c r="AA96" t="str">
        <f t="shared" si="2"/>
        <v>update zamestnanci set nastup='24' where id='1398';</v>
      </c>
      <c r="AB96" t="str">
        <f t="shared" si="3"/>
        <v>update dochazka set zastavka = '24' where zamestnanec = '1398';</v>
      </c>
    </row>
    <row r="97" spans="1:28" x14ac:dyDescent="0.25">
      <c r="A97" s="2">
        <v>1402</v>
      </c>
      <c r="B97" t="s">
        <v>6135</v>
      </c>
      <c r="C97" t="s">
        <v>64</v>
      </c>
      <c r="D97" t="s">
        <v>2888</v>
      </c>
      <c r="E97" t="s">
        <v>1007</v>
      </c>
      <c r="F97" t="s">
        <v>468</v>
      </c>
      <c r="G97" s="1">
        <v>45624</v>
      </c>
      <c r="H97" s="1">
        <v>45629</v>
      </c>
      <c r="I97" s="1">
        <v>73050</v>
      </c>
      <c r="J97" s="2" t="s">
        <v>8318</v>
      </c>
      <c r="K97" t="s">
        <v>6136</v>
      </c>
      <c r="M97" s="16" t="s">
        <v>8319</v>
      </c>
      <c r="N97" s="16" t="str">
        <f>VLOOKUP(M97,Tab_Zast[[Zastávka]:[Sloupec1]],2,0)</f>
        <v>24</v>
      </c>
      <c r="O97" t="s">
        <v>6126</v>
      </c>
      <c r="P97">
        <v>1</v>
      </c>
      <c r="Q97">
        <v>0</v>
      </c>
      <c r="R97" t="s">
        <v>31</v>
      </c>
      <c r="S97" t="s">
        <v>31</v>
      </c>
      <c r="T97" t="s">
        <v>32</v>
      </c>
      <c r="V97" s="1" t="e">
        <v>#N/A</v>
      </c>
      <c r="W97" t="s">
        <v>47</v>
      </c>
      <c r="X97">
        <v>0</v>
      </c>
      <c r="Y97">
        <v>791</v>
      </c>
      <c r="AA97" t="str">
        <f t="shared" si="2"/>
        <v>update zamestnanci set nastup='24' where id='1402';</v>
      </c>
      <c r="AB97" t="str">
        <f t="shared" si="3"/>
        <v>update dochazka set zastavka = '24' where zamestnanec = '1402';</v>
      </c>
    </row>
    <row r="98" spans="1:28" x14ac:dyDescent="0.25">
      <c r="A98" s="2">
        <v>1411</v>
      </c>
      <c r="B98" t="s">
        <v>6169</v>
      </c>
      <c r="C98" t="s">
        <v>64</v>
      </c>
      <c r="D98" t="s">
        <v>6170</v>
      </c>
      <c r="E98" t="s">
        <v>3481</v>
      </c>
      <c r="F98" t="s">
        <v>6171</v>
      </c>
      <c r="G98" s="1">
        <v>45628</v>
      </c>
      <c r="H98" s="1">
        <v>45691</v>
      </c>
      <c r="I98" s="1">
        <v>73050</v>
      </c>
      <c r="J98" s="2" t="s">
        <v>8318</v>
      </c>
      <c r="K98" t="s">
        <v>6172</v>
      </c>
      <c r="M98" s="16" t="s">
        <v>8319</v>
      </c>
      <c r="N98" s="16" t="str">
        <f>VLOOKUP(M98,Tab_Zast[[Zastávka]:[Sloupec1]],2,0)</f>
        <v>24</v>
      </c>
      <c r="O98" t="s">
        <v>6173</v>
      </c>
      <c r="P98">
        <v>1</v>
      </c>
      <c r="Q98">
        <v>0</v>
      </c>
      <c r="R98" t="s">
        <v>31</v>
      </c>
      <c r="S98" t="s">
        <v>31</v>
      </c>
      <c r="T98" t="s">
        <v>32</v>
      </c>
      <c r="V98" s="1" t="e">
        <v>#N/A</v>
      </c>
      <c r="W98" t="s">
        <v>47</v>
      </c>
      <c r="X98">
        <v>0</v>
      </c>
      <c r="Y98">
        <v>800</v>
      </c>
      <c r="AA98" t="str">
        <f t="shared" si="2"/>
        <v>update zamestnanci set nastup='24' where id='1411';</v>
      </c>
      <c r="AB98" t="str">
        <f t="shared" si="3"/>
        <v>update dochazka set zastavka = '24' where zamestnanec = '1411';</v>
      </c>
    </row>
    <row r="99" spans="1:28" x14ac:dyDescent="0.25">
      <c r="A99" s="2">
        <v>1413</v>
      </c>
      <c r="B99" t="s">
        <v>6179</v>
      </c>
      <c r="C99" t="s">
        <v>64</v>
      </c>
      <c r="D99" t="s">
        <v>6180</v>
      </c>
      <c r="E99" t="s">
        <v>2451</v>
      </c>
      <c r="F99" t="s">
        <v>6181</v>
      </c>
      <c r="G99" s="1">
        <v>45628</v>
      </c>
      <c r="H99" s="1" t="e">
        <v>#N/A</v>
      </c>
      <c r="I99" s="1" t="e">
        <v>#N/A</v>
      </c>
      <c r="J99" s="2" t="s">
        <v>8318</v>
      </c>
      <c r="K99" t="s">
        <v>6182</v>
      </c>
      <c r="M99" s="16" t="s">
        <v>8319</v>
      </c>
      <c r="N99" s="16" t="str">
        <f>VLOOKUP(M99,Tab_Zast[[Zastávka]:[Sloupec1]],2,0)</f>
        <v>24</v>
      </c>
      <c r="O99" t="s">
        <v>6183</v>
      </c>
      <c r="P99">
        <v>1</v>
      </c>
      <c r="Q99">
        <v>0</v>
      </c>
      <c r="R99" t="s">
        <v>31</v>
      </c>
      <c r="S99" t="s">
        <v>31</v>
      </c>
      <c r="T99" t="s">
        <v>32</v>
      </c>
      <c r="V99" s="1" t="e">
        <v>#N/A</v>
      </c>
      <c r="W99" t="s">
        <v>47</v>
      </c>
      <c r="X99">
        <v>1</v>
      </c>
      <c r="Y99">
        <v>802</v>
      </c>
      <c r="AA99" t="str">
        <f t="shared" si="2"/>
        <v>update zamestnanci set nastup='24' where id='1413';</v>
      </c>
      <c r="AB99" t="str">
        <f t="shared" si="3"/>
        <v>update dochazka set zastavka = '24' where zamestnanec = '1413';</v>
      </c>
    </row>
    <row r="100" spans="1:28" x14ac:dyDescent="0.25">
      <c r="A100" s="2">
        <v>1514</v>
      </c>
      <c r="B100" t="s">
        <v>6564</v>
      </c>
      <c r="C100" t="s">
        <v>357</v>
      </c>
      <c r="D100" t="s">
        <v>4041</v>
      </c>
      <c r="E100" t="s">
        <v>3697</v>
      </c>
      <c r="F100" t="s">
        <v>357</v>
      </c>
      <c r="G100" s="1">
        <v>45726</v>
      </c>
      <c r="H100" s="1">
        <v>45726</v>
      </c>
      <c r="I100" s="1">
        <v>73050</v>
      </c>
      <c r="J100" s="2" t="s">
        <v>8318</v>
      </c>
      <c r="K100" t="s">
        <v>6565</v>
      </c>
      <c r="M100" s="16" t="s">
        <v>8319</v>
      </c>
      <c r="N100" s="16" t="str">
        <f>VLOOKUP(M100,Tab_Zast[[Zastávka]:[Sloupec1]],2,0)</f>
        <v>24</v>
      </c>
      <c r="O100" t="s">
        <v>6566</v>
      </c>
      <c r="P100">
        <v>1</v>
      </c>
      <c r="Q100">
        <v>0</v>
      </c>
      <c r="R100" t="s">
        <v>31</v>
      </c>
      <c r="S100" t="s">
        <v>31</v>
      </c>
      <c r="T100" t="s">
        <v>32</v>
      </c>
      <c r="V100" s="1" t="e">
        <v>#N/A</v>
      </c>
      <c r="X100">
        <v>0</v>
      </c>
      <c r="Y100">
        <v>905</v>
      </c>
      <c r="AA100" t="str">
        <f t="shared" si="2"/>
        <v>update zamestnanci set nastup='24' where id='1514';</v>
      </c>
      <c r="AB100" t="str">
        <f t="shared" si="3"/>
        <v>update dochazka set zastavka = '24' where zamestnanec = '1514';</v>
      </c>
    </row>
    <row r="101" spans="1:28" x14ac:dyDescent="0.25">
      <c r="A101" s="2">
        <v>1536</v>
      </c>
      <c r="B101" t="s">
        <v>6643</v>
      </c>
      <c r="C101" t="s">
        <v>569</v>
      </c>
      <c r="D101" t="s">
        <v>6644</v>
      </c>
      <c r="E101" t="s">
        <v>6645</v>
      </c>
      <c r="F101" t="s">
        <v>569</v>
      </c>
      <c r="G101" s="1">
        <v>45740</v>
      </c>
      <c r="H101" s="1">
        <v>45754</v>
      </c>
      <c r="I101" s="1">
        <v>73050</v>
      </c>
      <c r="J101" s="2" t="s">
        <v>8318</v>
      </c>
      <c r="K101" t="s">
        <v>6646</v>
      </c>
      <c r="M101" s="16" t="s">
        <v>8319</v>
      </c>
      <c r="N101" s="16" t="str">
        <f>VLOOKUP(M101,Tab_Zast[[Zastávka]:[Sloupec1]],2,0)</f>
        <v>24</v>
      </c>
      <c r="O101" t="s">
        <v>6647</v>
      </c>
      <c r="P101">
        <v>1</v>
      </c>
      <c r="Q101">
        <v>0</v>
      </c>
      <c r="R101" t="s">
        <v>31</v>
      </c>
      <c r="S101" t="s">
        <v>31</v>
      </c>
      <c r="T101" t="s">
        <v>32</v>
      </c>
      <c r="V101" s="1" t="e">
        <v>#N/A</v>
      </c>
      <c r="W101" t="s">
        <v>47</v>
      </c>
      <c r="X101">
        <v>0</v>
      </c>
      <c r="Y101">
        <v>932</v>
      </c>
      <c r="AA101" t="str">
        <f t="shared" si="2"/>
        <v>update zamestnanci set nastup='24' where id='1536';</v>
      </c>
      <c r="AB101" t="str">
        <f t="shared" si="3"/>
        <v>update dochazka set zastavka = '24' where zamestnanec = '1536';</v>
      </c>
    </row>
    <row r="102" spans="1:28" x14ac:dyDescent="0.25">
      <c r="A102" s="2">
        <v>1564</v>
      </c>
      <c r="B102" t="s">
        <v>6748</v>
      </c>
      <c r="C102" t="s">
        <v>357</v>
      </c>
      <c r="D102" t="s">
        <v>6749</v>
      </c>
      <c r="E102" t="s">
        <v>3373</v>
      </c>
      <c r="F102" t="s">
        <v>569</v>
      </c>
      <c r="G102" s="1">
        <v>45754</v>
      </c>
      <c r="H102" s="1">
        <v>45852</v>
      </c>
      <c r="I102" s="1">
        <v>73050</v>
      </c>
      <c r="J102" s="2" t="s">
        <v>8318</v>
      </c>
      <c r="K102" t="s">
        <v>6750</v>
      </c>
      <c r="M102" s="16" t="s">
        <v>8319</v>
      </c>
      <c r="N102" s="16" t="str">
        <f>VLOOKUP(M102,Tab_Zast[[Zastávka]:[Sloupec1]],2,0)</f>
        <v>24</v>
      </c>
      <c r="O102" t="s">
        <v>6751</v>
      </c>
      <c r="P102">
        <v>1</v>
      </c>
      <c r="Q102">
        <v>0</v>
      </c>
      <c r="R102" t="s">
        <v>31</v>
      </c>
      <c r="S102" t="s">
        <v>31</v>
      </c>
      <c r="T102" t="s">
        <v>32</v>
      </c>
      <c r="V102" s="1" t="e">
        <v>#N/A</v>
      </c>
      <c r="W102" t="s">
        <v>47</v>
      </c>
      <c r="X102">
        <v>0</v>
      </c>
      <c r="Y102">
        <v>960</v>
      </c>
      <c r="AA102" t="str">
        <f t="shared" si="2"/>
        <v>update zamestnanci set nastup='24' where id='1564';</v>
      </c>
      <c r="AB102" t="str">
        <f t="shared" si="3"/>
        <v>update dochazka set zastavka = '24' where zamestnanec = '1564';</v>
      </c>
    </row>
    <row r="103" spans="1:28" x14ac:dyDescent="0.25">
      <c r="A103" s="2">
        <v>1565</v>
      </c>
      <c r="B103" t="s">
        <v>6752</v>
      </c>
      <c r="C103" t="s">
        <v>357</v>
      </c>
      <c r="D103" t="s">
        <v>6753</v>
      </c>
      <c r="E103" t="s">
        <v>725</v>
      </c>
      <c r="F103" t="s">
        <v>6754</v>
      </c>
      <c r="G103" s="1">
        <v>45754</v>
      </c>
      <c r="H103" s="1">
        <v>45839</v>
      </c>
      <c r="I103" s="1">
        <v>73050</v>
      </c>
      <c r="J103" s="2" t="s">
        <v>8318</v>
      </c>
      <c r="K103" t="s">
        <v>6750</v>
      </c>
      <c r="M103" s="16" t="s">
        <v>8319</v>
      </c>
      <c r="N103" s="16" t="str">
        <f>VLOOKUP(M103,Tab_Zast[[Zastávka]:[Sloupec1]],2,0)</f>
        <v>24</v>
      </c>
      <c r="O103" t="s">
        <v>6751</v>
      </c>
      <c r="P103">
        <v>1</v>
      </c>
      <c r="Q103">
        <v>0</v>
      </c>
      <c r="R103" t="s">
        <v>31</v>
      </c>
      <c r="S103" t="s">
        <v>31</v>
      </c>
      <c r="T103" t="s">
        <v>32</v>
      </c>
      <c r="V103" s="1" t="e">
        <v>#N/A</v>
      </c>
      <c r="W103" t="s">
        <v>47</v>
      </c>
      <c r="X103">
        <v>0</v>
      </c>
      <c r="Y103">
        <v>961</v>
      </c>
      <c r="AA103" t="str">
        <f t="shared" si="2"/>
        <v>update zamestnanci set nastup='24' where id='1565';</v>
      </c>
      <c r="AB103" t="str">
        <f t="shared" si="3"/>
        <v>update dochazka set zastavka = '24' where zamestnanec = '1565';</v>
      </c>
    </row>
    <row r="104" spans="1:28" x14ac:dyDescent="0.25">
      <c r="A104" s="2">
        <v>1566</v>
      </c>
      <c r="B104" t="s">
        <v>6755</v>
      </c>
      <c r="C104" t="s">
        <v>357</v>
      </c>
      <c r="D104" t="s">
        <v>2674</v>
      </c>
      <c r="E104" t="s">
        <v>761</v>
      </c>
      <c r="F104" t="s">
        <v>569</v>
      </c>
      <c r="G104" s="1">
        <v>45754</v>
      </c>
      <c r="H104" s="1">
        <v>45908</v>
      </c>
      <c r="I104" s="1">
        <v>73050</v>
      </c>
      <c r="J104" s="2" t="s">
        <v>8318</v>
      </c>
      <c r="K104" t="s">
        <v>6756</v>
      </c>
      <c r="M104" s="16" t="s">
        <v>8319</v>
      </c>
      <c r="N104" s="16" t="str">
        <f>VLOOKUP(M104,Tab_Zast[[Zastávka]:[Sloupec1]],2,0)</f>
        <v>24</v>
      </c>
      <c r="O104" t="s">
        <v>6757</v>
      </c>
      <c r="P104">
        <v>1</v>
      </c>
      <c r="Q104">
        <v>0</v>
      </c>
      <c r="R104" t="s">
        <v>31</v>
      </c>
      <c r="S104" t="s">
        <v>31</v>
      </c>
      <c r="T104" t="s">
        <v>32</v>
      </c>
      <c r="V104" s="1" t="e">
        <v>#N/A</v>
      </c>
      <c r="W104" t="s">
        <v>47</v>
      </c>
      <c r="X104">
        <v>0</v>
      </c>
      <c r="Y104">
        <v>962</v>
      </c>
      <c r="AA104" t="str">
        <f t="shared" si="2"/>
        <v>update zamestnanci set nastup='24' where id='1566';</v>
      </c>
      <c r="AB104" t="str">
        <f t="shared" si="3"/>
        <v>update dochazka set zastavka = '24' where zamestnanec = '1566';</v>
      </c>
    </row>
    <row r="105" spans="1:28" x14ac:dyDescent="0.25">
      <c r="A105" s="2">
        <v>1602</v>
      </c>
      <c r="B105" t="s">
        <v>6884</v>
      </c>
      <c r="C105" t="s">
        <v>357</v>
      </c>
      <c r="D105" t="s">
        <v>6885</v>
      </c>
      <c r="E105" t="s">
        <v>2451</v>
      </c>
      <c r="F105" t="s">
        <v>6886</v>
      </c>
      <c r="G105" s="1">
        <v>45771</v>
      </c>
      <c r="H105" s="1">
        <v>45811</v>
      </c>
      <c r="I105" s="1">
        <v>73050</v>
      </c>
      <c r="J105" s="2" t="s">
        <v>8318</v>
      </c>
      <c r="K105" t="s">
        <v>6887</v>
      </c>
      <c r="M105" s="16" t="s">
        <v>8319</v>
      </c>
      <c r="N105" s="16" t="str">
        <f>VLOOKUP(M105,Tab_Zast[[Zastávka]:[Sloupec1]],2,0)</f>
        <v>24</v>
      </c>
      <c r="O105" t="s">
        <v>6888</v>
      </c>
      <c r="P105">
        <v>1</v>
      </c>
      <c r="Q105">
        <v>0</v>
      </c>
      <c r="R105" t="s">
        <v>31</v>
      </c>
      <c r="S105" t="s">
        <v>31</v>
      </c>
      <c r="T105" t="s">
        <v>32</v>
      </c>
      <c r="V105" s="1" t="e">
        <v>#N/A</v>
      </c>
      <c r="W105" t="s">
        <v>47</v>
      </c>
      <c r="X105">
        <v>0</v>
      </c>
      <c r="Y105">
        <v>997</v>
      </c>
      <c r="AA105" t="str">
        <f t="shared" si="2"/>
        <v>update zamestnanci set nastup='24' where id='1602';</v>
      </c>
      <c r="AB105" t="str">
        <f t="shared" si="3"/>
        <v>update dochazka set zastavka = '24' where zamestnanec = '1602';</v>
      </c>
    </row>
    <row r="106" spans="1:28" x14ac:dyDescent="0.25">
      <c r="A106" s="2">
        <v>1631</v>
      </c>
      <c r="B106" t="s">
        <v>6997</v>
      </c>
      <c r="C106" t="s">
        <v>569</v>
      </c>
      <c r="D106" t="s">
        <v>471</v>
      </c>
      <c r="E106" t="s">
        <v>737</v>
      </c>
      <c r="F106" t="s">
        <v>6998</v>
      </c>
      <c r="G106" s="1">
        <v>45789</v>
      </c>
      <c r="H106" s="1">
        <v>45789</v>
      </c>
      <c r="I106" s="1">
        <v>73050</v>
      </c>
      <c r="J106" s="2" t="s">
        <v>8318</v>
      </c>
      <c r="K106" t="s">
        <v>6999</v>
      </c>
      <c r="M106" s="16" t="s">
        <v>8319</v>
      </c>
      <c r="N106" s="16" t="str">
        <f>VLOOKUP(M106,Tab_Zast[[Zastávka]:[Sloupec1]],2,0)</f>
        <v>24</v>
      </c>
      <c r="O106" t="s">
        <v>7000</v>
      </c>
      <c r="P106">
        <v>1</v>
      </c>
      <c r="Q106">
        <v>0</v>
      </c>
      <c r="R106" t="s">
        <v>31</v>
      </c>
      <c r="S106" t="s">
        <v>31</v>
      </c>
      <c r="T106" t="s">
        <v>32</v>
      </c>
      <c r="V106" s="1">
        <v>45789</v>
      </c>
      <c r="W106" t="s">
        <v>47</v>
      </c>
      <c r="X106">
        <v>0</v>
      </c>
      <c r="Y106">
        <v>1021</v>
      </c>
      <c r="AA106" t="str">
        <f t="shared" si="2"/>
        <v>update zamestnanci set nastup='24' where id='1631';</v>
      </c>
      <c r="AB106" t="str">
        <f t="shared" si="3"/>
        <v>update dochazka set zastavka = '24' where zamestnanec = '1631';</v>
      </c>
    </row>
    <row r="107" spans="1:28" x14ac:dyDescent="0.25">
      <c r="A107" s="2">
        <v>1632</v>
      </c>
      <c r="B107" t="s">
        <v>7001</v>
      </c>
      <c r="C107" t="s">
        <v>357</v>
      </c>
      <c r="D107" t="s">
        <v>7002</v>
      </c>
      <c r="E107" t="s">
        <v>4899</v>
      </c>
      <c r="F107" t="s">
        <v>7003</v>
      </c>
      <c r="G107" s="1">
        <v>45789</v>
      </c>
      <c r="H107" s="1">
        <v>73050</v>
      </c>
      <c r="I107" s="1" t="e">
        <v>#N/A</v>
      </c>
      <c r="J107" s="2" t="s">
        <v>8318</v>
      </c>
      <c r="K107" t="s">
        <v>7004</v>
      </c>
      <c r="M107" s="16" t="s">
        <v>8319</v>
      </c>
      <c r="N107" s="16" t="str">
        <f>VLOOKUP(M107,Tab_Zast[[Zastávka]:[Sloupec1]],2,0)</f>
        <v>24</v>
      </c>
      <c r="O107" t="s">
        <v>7005</v>
      </c>
      <c r="P107">
        <v>1</v>
      </c>
      <c r="Q107">
        <v>0</v>
      </c>
      <c r="R107" t="s">
        <v>179</v>
      </c>
      <c r="S107" t="s">
        <v>31</v>
      </c>
      <c r="T107" t="s">
        <v>32</v>
      </c>
      <c r="V107" s="1" t="e">
        <v>#N/A</v>
      </c>
      <c r="W107" t="s">
        <v>47</v>
      </c>
      <c r="X107">
        <v>1</v>
      </c>
      <c r="Y107">
        <v>1022</v>
      </c>
      <c r="AA107" t="str">
        <f t="shared" si="2"/>
        <v>update zamestnanci set nastup='24' where id='1632';</v>
      </c>
      <c r="AB107" t="str">
        <f t="shared" si="3"/>
        <v>update dochazka set zastavka = '24' where zamestnanec = '1632';</v>
      </c>
    </row>
    <row r="108" spans="1:28" x14ac:dyDescent="0.25">
      <c r="A108" s="2">
        <v>1651</v>
      </c>
      <c r="B108" t="s">
        <v>7063</v>
      </c>
      <c r="C108" t="s">
        <v>569</v>
      </c>
      <c r="D108" t="s">
        <v>1540</v>
      </c>
      <c r="E108" t="s">
        <v>661</v>
      </c>
      <c r="F108" t="s">
        <v>569</v>
      </c>
      <c r="G108" s="1">
        <v>45796</v>
      </c>
      <c r="H108" s="1">
        <v>45834</v>
      </c>
      <c r="I108" s="1">
        <v>73050</v>
      </c>
      <c r="J108" s="2" t="s">
        <v>8318</v>
      </c>
      <c r="K108" t="s">
        <v>7064</v>
      </c>
      <c r="M108" s="16" t="s">
        <v>8319</v>
      </c>
      <c r="N108" s="16" t="str">
        <f>VLOOKUP(M108,Tab_Zast[[Zastávka]:[Sloupec1]],2,0)</f>
        <v>24</v>
      </c>
      <c r="O108" t="s">
        <v>7065</v>
      </c>
      <c r="P108">
        <v>1</v>
      </c>
      <c r="Q108">
        <v>0</v>
      </c>
      <c r="R108" t="s">
        <v>31</v>
      </c>
      <c r="S108" t="s">
        <v>31</v>
      </c>
      <c r="T108" t="s">
        <v>32</v>
      </c>
      <c r="V108" s="1" t="e">
        <v>#N/A</v>
      </c>
      <c r="W108" t="s">
        <v>47</v>
      </c>
      <c r="X108">
        <v>0</v>
      </c>
      <c r="Y108">
        <v>1044</v>
      </c>
      <c r="AA108" t="str">
        <f t="shared" si="2"/>
        <v>update zamestnanci set nastup='24' where id='1651';</v>
      </c>
      <c r="AB108" t="str">
        <f t="shared" si="3"/>
        <v>update dochazka set zastavka = '24' where zamestnanec = '1651';</v>
      </c>
    </row>
    <row r="109" spans="1:28" x14ac:dyDescent="0.25">
      <c r="A109" s="2">
        <v>1652</v>
      </c>
      <c r="B109" t="s">
        <v>7066</v>
      </c>
      <c r="C109" t="s">
        <v>357</v>
      </c>
      <c r="D109" t="s">
        <v>6898</v>
      </c>
      <c r="E109" t="s">
        <v>6899</v>
      </c>
      <c r="F109" t="s">
        <v>569</v>
      </c>
      <c r="G109" s="1">
        <v>45796</v>
      </c>
      <c r="H109" s="1">
        <v>45818</v>
      </c>
      <c r="I109" s="1">
        <v>73050</v>
      </c>
      <c r="J109" s="2" t="s">
        <v>8318</v>
      </c>
      <c r="K109" t="s">
        <v>6901</v>
      </c>
      <c r="M109" s="16" t="s">
        <v>8319</v>
      </c>
      <c r="N109" s="16" t="str">
        <f>VLOOKUP(M109,Tab_Zast[[Zastávka]:[Sloupec1]],2,0)</f>
        <v>24</v>
      </c>
      <c r="O109" t="s">
        <v>6888</v>
      </c>
      <c r="P109">
        <v>1</v>
      </c>
      <c r="Q109">
        <v>0</v>
      </c>
      <c r="R109" t="s">
        <v>31</v>
      </c>
      <c r="S109" t="s">
        <v>31</v>
      </c>
      <c r="T109" t="s">
        <v>32</v>
      </c>
      <c r="V109" s="1" t="e">
        <v>#N/A</v>
      </c>
      <c r="W109" t="s">
        <v>47</v>
      </c>
      <c r="X109">
        <v>0</v>
      </c>
      <c r="Y109">
        <v>1045</v>
      </c>
      <c r="AA109" t="str">
        <f t="shared" si="2"/>
        <v>update zamestnanci set nastup='24' where id='1652';</v>
      </c>
      <c r="AB109" t="str">
        <f t="shared" si="3"/>
        <v>update dochazka set zastavka = '24' where zamestnanec = '1652';</v>
      </c>
    </row>
    <row r="110" spans="1:28" x14ac:dyDescent="0.25">
      <c r="A110" s="2">
        <v>1660</v>
      </c>
      <c r="B110" t="s">
        <v>7090</v>
      </c>
      <c r="C110" t="s">
        <v>357</v>
      </c>
      <c r="D110" t="s">
        <v>4984</v>
      </c>
      <c r="E110" t="s">
        <v>3717</v>
      </c>
      <c r="F110" t="s">
        <v>7091</v>
      </c>
      <c r="G110" s="1">
        <v>45803</v>
      </c>
      <c r="H110" s="1">
        <v>45834</v>
      </c>
      <c r="I110" s="1">
        <v>73050</v>
      </c>
      <c r="J110" s="2" t="s">
        <v>8318</v>
      </c>
      <c r="K110" t="s">
        <v>7092</v>
      </c>
      <c r="M110" s="16" t="s">
        <v>8319</v>
      </c>
      <c r="N110" s="16" t="str">
        <f>VLOOKUP(M110,Tab_Zast[[Zastávka]:[Sloupec1]],2,0)</f>
        <v>24</v>
      </c>
      <c r="O110" t="s">
        <v>7093</v>
      </c>
      <c r="P110">
        <v>1</v>
      </c>
      <c r="Q110">
        <v>0</v>
      </c>
      <c r="R110" t="s">
        <v>31</v>
      </c>
      <c r="S110" t="s">
        <v>31</v>
      </c>
      <c r="T110" t="s">
        <v>32</v>
      </c>
      <c r="V110" s="1" t="e">
        <v>#N/A</v>
      </c>
      <c r="W110" t="s">
        <v>47</v>
      </c>
      <c r="X110">
        <v>0</v>
      </c>
      <c r="Y110">
        <v>1053</v>
      </c>
      <c r="AA110" t="str">
        <f t="shared" si="2"/>
        <v>update zamestnanci set nastup='24' where id='1660';</v>
      </c>
      <c r="AB110" t="str">
        <f t="shared" si="3"/>
        <v>update dochazka set zastavka = '24' where zamestnanec = '1660';</v>
      </c>
    </row>
    <row r="111" spans="1:28" x14ac:dyDescent="0.25">
      <c r="A111" s="2">
        <v>1670</v>
      </c>
      <c r="B111" t="s">
        <v>7126</v>
      </c>
      <c r="C111" t="s">
        <v>357</v>
      </c>
      <c r="D111" t="s">
        <v>7127</v>
      </c>
      <c r="E111" t="s">
        <v>1947</v>
      </c>
      <c r="F111" t="s">
        <v>357</v>
      </c>
      <c r="G111" s="1">
        <v>45813</v>
      </c>
      <c r="H111" s="1">
        <v>45813</v>
      </c>
      <c r="I111" s="1">
        <v>45813</v>
      </c>
      <c r="J111" s="2" t="s">
        <v>8318</v>
      </c>
      <c r="K111" t="s">
        <v>7128</v>
      </c>
      <c r="M111" s="16" t="s">
        <v>8319</v>
      </c>
      <c r="N111" s="16" t="str">
        <f>VLOOKUP(M111,Tab_Zast[[Zastávka]:[Sloupec1]],2,0)</f>
        <v>24</v>
      </c>
      <c r="O111" t="s">
        <v>7129</v>
      </c>
      <c r="P111">
        <v>1</v>
      </c>
      <c r="Q111">
        <v>0</v>
      </c>
      <c r="R111" t="s">
        <v>31</v>
      </c>
      <c r="S111" t="s">
        <v>31</v>
      </c>
      <c r="T111" t="s">
        <v>32</v>
      </c>
      <c r="V111" s="1" t="e">
        <v>#N/A</v>
      </c>
      <c r="W111" t="s">
        <v>5988</v>
      </c>
      <c r="X111">
        <v>0</v>
      </c>
      <c r="Y111">
        <v>1062</v>
      </c>
      <c r="AA111" t="str">
        <f t="shared" si="2"/>
        <v>update zamestnanci set nastup='24' where id='1670';</v>
      </c>
      <c r="AB111" t="str">
        <f t="shared" si="3"/>
        <v>update dochazka set zastavka = '24' where zamestnanec = '1670';</v>
      </c>
    </row>
    <row r="112" spans="1:28" x14ac:dyDescent="0.25">
      <c r="A112" s="2">
        <v>1677</v>
      </c>
      <c r="B112" t="s">
        <v>7146</v>
      </c>
      <c r="C112" t="s">
        <v>569</v>
      </c>
      <c r="D112" t="s">
        <v>3656</v>
      </c>
      <c r="E112" t="s">
        <v>3657</v>
      </c>
      <c r="F112" t="s">
        <v>7147</v>
      </c>
      <c r="G112" s="1">
        <v>45818</v>
      </c>
      <c r="H112" s="1" t="e">
        <v>#N/A</v>
      </c>
      <c r="I112" s="1" t="e">
        <v>#N/A</v>
      </c>
      <c r="J112" s="2" t="s">
        <v>8318</v>
      </c>
      <c r="K112" t="s">
        <v>3659</v>
      </c>
      <c r="M112" s="16" t="s">
        <v>8319</v>
      </c>
      <c r="N112" s="16" t="str">
        <f>VLOOKUP(M112,Tab_Zast[[Zastávka]:[Sloupec1]],2,0)</f>
        <v>24</v>
      </c>
      <c r="O112" t="s">
        <v>7148</v>
      </c>
      <c r="P112">
        <v>1</v>
      </c>
      <c r="Q112">
        <v>0</v>
      </c>
      <c r="R112" t="s">
        <v>129</v>
      </c>
      <c r="S112" t="s">
        <v>31</v>
      </c>
      <c r="T112" t="s">
        <v>32</v>
      </c>
      <c r="V112" s="1" t="e">
        <v>#N/A</v>
      </c>
      <c r="W112" t="s">
        <v>7149</v>
      </c>
      <c r="X112">
        <v>1</v>
      </c>
      <c r="Y112">
        <v>1069</v>
      </c>
      <c r="AA112" t="str">
        <f t="shared" si="2"/>
        <v>update zamestnanci set nastup='24' where id='1677';</v>
      </c>
      <c r="AB112" t="str">
        <f t="shared" si="3"/>
        <v>update dochazka set zastavka = '24' where zamestnanec = '1677';</v>
      </c>
    </row>
    <row r="113" spans="1:28" x14ac:dyDescent="0.25">
      <c r="A113" s="2">
        <v>1755</v>
      </c>
      <c r="B113" t="s">
        <v>7439</v>
      </c>
      <c r="C113" t="s">
        <v>64</v>
      </c>
      <c r="D113" t="s">
        <v>1024</v>
      </c>
      <c r="E113" t="s">
        <v>3070</v>
      </c>
      <c r="F113" t="s">
        <v>7440</v>
      </c>
      <c r="G113" s="1">
        <v>45860</v>
      </c>
      <c r="H113" s="1">
        <v>45967</v>
      </c>
      <c r="I113" s="1" t="e">
        <v>#N/A</v>
      </c>
      <c r="J113" s="2" t="s">
        <v>8318</v>
      </c>
      <c r="K113" t="s">
        <v>7441</v>
      </c>
      <c r="M113" s="16" t="s">
        <v>8319</v>
      </c>
      <c r="N113" s="16" t="str">
        <f>VLOOKUP(M113,Tab_Zast[[Zastávka]:[Sloupec1]],2,0)</f>
        <v>24</v>
      </c>
      <c r="O113" t="s">
        <v>7442</v>
      </c>
      <c r="P113">
        <v>1</v>
      </c>
      <c r="Q113">
        <v>0</v>
      </c>
      <c r="R113" t="s">
        <v>31</v>
      </c>
      <c r="S113" t="s">
        <v>31</v>
      </c>
      <c r="T113" t="s">
        <v>32</v>
      </c>
      <c r="V113" s="1" t="e">
        <v>#N/A</v>
      </c>
      <c r="W113" t="s">
        <v>2381</v>
      </c>
      <c r="X113">
        <v>0</v>
      </c>
      <c r="Y113">
        <v>1148</v>
      </c>
      <c r="AA113" t="str">
        <f t="shared" si="2"/>
        <v>update zamestnanci set nastup='24' where id='1755';</v>
      </c>
      <c r="AB113" t="str">
        <f t="shared" si="3"/>
        <v>update dochazka set zastavka = '24' where zamestnanec = '1755';</v>
      </c>
    </row>
    <row r="114" spans="1:28" x14ac:dyDescent="0.25">
      <c r="A114" s="2">
        <v>1756</v>
      </c>
      <c r="B114" t="s">
        <v>7443</v>
      </c>
      <c r="C114" t="s">
        <v>64</v>
      </c>
      <c r="D114" t="s">
        <v>6180</v>
      </c>
      <c r="E114" t="s">
        <v>3048</v>
      </c>
      <c r="F114" t="s">
        <v>7444</v>
      </c>
      <c r="G114" s="1">
        <v>45860</v>
      </c>
      <c r="H114" s="1">
        <v>73050</v>
      </c>
      <c r="I114" s="1" t="e">
        <v>#N/A</v>
      </c>
      <c r="J114" s="2" t="s">
        <v>8318</v>
      </c>
      <c r="K114" t="s">
        <v>7445</v>
      </c>
      <c r="M114" s="16" t="s">
        <v>8319</v>
      </c>
      <c r="N114" s="16" t="str">
        <f>VLOOKUP(M114,Tab_Zast[[Zastávka]:[Sloupec1]],2,0)</f>
        <v>24</v>
      </c>
      <c r="O114" t="s">
        <v>7446</v>
      </c>
      <c r="P114">
        <v>1</v>
      </c>
      <c r="Q114">
        <v>0</v>
      </c>
      <c r="R114" t="s">
        <v>179</v>
      </c>
      <c r="S114" t="s">
        <v>31</v>
      </c>
      <c r="T114" t="s">
        <v>32</v>
      </c>
      <c r="V114" s="1" t="e">
        <v>#N/A</v>
      </c>
      <c r="W114" t="s">
        <v>2381</v>
      </c>
      <c r="X114">
        <v>1</v>
      </c>
      <c r="Y114">
        <v>1149</v>
      </c>
      <c r="AA114" t="str">
        <f t="shared" si="2"/>
        <v>update zamestnanci set nastup='24' where id='1756';</v>
      </c>
      <c r="AB114" t="str">
        <f t="shared" si="3"/>
        <v>update dochazka set zastavka = '24' where zamestnanec = '1756';</v>
      </c>
    </row>
    <row r="115" spans="1:28" x14ac:dyDescent="0.25">
      <c r="A115" s="2">
        <v>1803</v>
      </c>
      <c r="B115" t="s">
        <v>7614</v>
      </c>
      <c r="C115" t="s">
        <v>357</v>
      </c>
      <c r="D115" t="s">
        <v>7615</v>
      </c>
      <c r="E115" t="s">
        <v>2156</v>
      </c>
      <c r="F115" t="s">
        <v>357</v>
      </c>
      <c r="G115" s="1">
        <v>45894</v>
      </c>
      <c r="H115" s="1">
        <v>45894</v>
      </c>
      <c r="I115" s="1">
        <v>45894</v>
      </c>
      <c r="J115" s="2" t="s">
        <v>8318</v>
      </c>
      <c r="K115" t="s">
        <v>7616</v>
      </c>
      <c r="M115" s="16" t="s">
        <v>8319</v>
      </c>
      <c r="N115" s="16" t="str">
        <f>VLOOKUP(M115,Tab_Zast[[Zastávka]:[Sloupec1]],2,0)</f>
        <v>24</v>
      </c>
      <c r="O115" t="s">
        <v>7617</v>
      </c>
      <c r="P115">
        <v>1</v>
      </c>
      <c r="Q115">
        <v>0</v>
      </c>
      <c r="R115" t="s">
        <v>31</v>
      </c>
      <c r="S115" t="s">
        <v>31</v>
      </c>
      <c r="T115" t="s">
        <v>32</v>
      </c>
      <c r="V115" s="1" t="e">
        <v>#N/A</v>
      </c>
      <c r="W115" t="s">
        <v>47</v>
      </c>
      <c r="X115">
        <v>0</v>
      </c>
      <c r="Y115">
        <v>1197</v>
      </c>
      <c r="AA115" t="str">
        <f t="shared" si="2"/>
        <v>update zamestnanci set nastup='24' where id='1803';</v>
      </c>
      <c r="AB115" t="str">
        <f t="shared" si="3"/>
        <v>update dochazka set zastavka = '24' where zamestnanec = '1803';</v>
      </c>
    </row>
    <row r="116" spans="1:28" x14ac:dyDescent="0.25">
      <c r="A116" s="2">
        <v>1828</v>
      </c>
      <c r="B116" t="s">
        <v>7705</v>
      </c>
      <c r="C116" t="s">
        <v>357</v>
      </c>
      <c r="D116" t="s">
        <v>7706</v>
      </c>
      <c r="E116" t="s">
        <v>4461</v>
      </c>
      <c r="F116" t="s">
        <v>569</v>
      </c>
      <c r="G116" s="1">
        <v>45908</v>
      </c>
      <c r="H116" s="1">
        <v>45908</v>
      </c>
      <c r="I116" s="1">
        <v>45908</v>
      </c>
      <c r="J116" s="2" t="s">
        <v>8318</v>
      </c>
      <c r="K116" t="s">
        <v>7707</v>
      </c>
      <c r="M116" s="16" t="s">
        <v>8319</v>
      </c>
      <c r="N116" s="16" t="str">
        <f>VLOOKUP(M116,Tab_Zast[[Zastávka]:[Sloupec1]],2,0)</f>
        <v>24</v>
      </c>
      <c r="O116" t="s">
        <v>7708</v>
      </c>
      <c r="P116">
        <v>1</v>
      </c>
      <c r="Q116">
        <v>0</v>
      </c>
      <c r="R116" t="s">
        <v>31</v>
      </c>
      <c r="S116" t="s">
        <v>31</v>
      </c>
      <c r="T116" t="s">
        <v>32</v>
      </c>
      <c r="V116" s="1" t="e">
        <v>#N/A</v>
      </c>
      <c r="W116" t="s">
        <v>5988</v>
      </c>
      <c r="X116">
        <v>0</v>
      </c>
      <c r="Y116">
        <v>1222</v>
      </c>
      <c r="AA116" t="str">
        <f t="shared" si="2"/>
        <v>update zamestnanci set nastup='24' where id='1828';</v>
      </c>
      <c r="AB116" t="str">
        <f t="shared" si="3"/>
        <v>update dochazka set zastavka = '24' where zamestnanec = '1828';</v>
      </c>
    </row>
    <row r="117" spans="1:28" x14ac:dyDescent="0.25">
      <c r="A117" s="2">
        <v>1830</v>
      </c>
      <c r="B117" t="s">
        <v>7713</v>
      </c>
      <c r="C117" t="s">
        <v>357</v>
      </c>
      <c r="D117" t="s">
        <v>4364</v>
      </c>
      <c r="E117" t="s">
        <v>3373</v>
      </c>
      <c r="F117" t="s">
        <v>7695</v>
      </c>
      <c r="G117" s="1">
        <v>45908</v>
      </c>
      <c r="H117" s="1">
        <v>45985</v>
      </c>
      <c r="I117" s="1" t="e">
        <v>#N/A</v>
      </c>
      <c r="J117" s="2" t="s">
        <v>8318</v>
      </c>
      <c r="K117" t="s">
        <v>6526</v>
      </c>
      <c r="M117" s="16" t="s">
        <v>8319</v>
      </c>
      <c r="N117" s="16" t="str">
        <f>VLOOKUP(M117,Tab_Zast[[Zastávka]:[Sloupec1]],2,0)</f>
        <v>24</v>
      </c>
      <c r="O117" t="s">
        <v>7714</v>
      </c>
      <c r="P117">
        <v>1</v>
      </c>
      <c r="Q117">
        <v>0</v>
      </c>
      <c r="R117" t="s">
        <v>31</v>
      </c>
      <c r="S117" t="s">
        <v>31</v>
      </c>
      <c r="T117" t="s">
        <v>32</v>
      </c>
      <c r="V117" s="1" t="e">
        <v>#N/A</v>
      </c>
      <c r="W117" t="s">
        <v>5988</v>
      </c>
      <c r="X117">
        <v>0</v>
      </c>
      <c r="Y117">
        <v>1224</v>
      </c>
      <c r="AA117" t="str">
        <f t="shared" si="2"/>
        <v>update zamestnanci set nastup='24' where id='1830';</v>
      </c>
      <c r="AB117" t="str">
        <f t="shared" si="3"/>
        <v>update dochazka set zastavka = '24' where zamestnanec = '1830';</v>
      </c>
    </row>
    <row r="118" spans="1:28" x14ac:dyDescent="0.25">
      <c r="A118" s="2">
        <v>1831</v>
      </c>
      <c r="B118" t="s">
        <v>7715</v>
      </c>
      <c r="C118" t="s">
        <v>357</v>
      </c>
      <c r="D118" t="s">
        <v>5252</v>
      </c>
      <c r="E118" t="s">
        <v>182</v>
      </c>
      <c r="F118" t="s">
        <v>569</v>
      </c>
      <c r="G118" s="1">
        <v>45908</v>
      </c>
      <c r="H118" s="1">
        <v>45908</v>
      </c>
      <c r="I118" s="1">
        <v>45908</v>
      </c>
      <c r="J118" s="2" t="s">
        <v>8318</v>
      </c>
      <c r="K118" t="s">
        <v>5253</v>
      </c>
      <c r="M118" s="16" t="s">
        <v>8319</v>
      </c>
      <c r="N118" s="16" t="str">
        <f>VLOOKUP(M118,Tab_Zast[[Zastávka]:[Sloupec1]],2,0)</f>
        <v>24</v>
      </c>
      <c r="O118" t="s">
        <v>5254</v>
      </c>
      <c r="P118">
        <v>1</v>
      </c>
      <c r="Q118">
        <v>0</v>
      </c>
      <c r="R118" t="s">
        <v>31</v>
      </c>
      <c r="S118" t="s">
        <v>31</v>
      </c>
      <c r="T118" t="s">
        <v>32</v>
      </c>
      <c r="V118" s="1" t="e">
        <v>#N/A</v>
      </c>
      <c r="W118" t="s">
        <v>5988</v>
      </c>
      <c r="X118">
        <v>0</v>
      </c>
      <c r="Y118">
        <v>1226</v>
      </c>
      <c r="AA118" t="str">
        <f t="shared" si="2"/>
        <v>update zamestnanci set nastup='24' where id='1831';</v>
      </c>
      <c r="AB118" t="str">
        <f t="shared" si="3"/>
        <v>update dochazka set zastavka = '24' where zamestnanec = '1831';</v>
      </c>
    </row>
    <row r="119" spans="1:28" x14ac:dyDescent="0.25">
      <c r="A119" s="2">
        <v>1843</v>
      </c>
      <c r="B119" t="s">
        <v>7758</v>
      </c>
      <c r="C119" t="s">
        <v>357</v>
      </c>
      <c r="D119" t="s">
        <v>7759</v>
      </c>
      <c r="E119" t="s">
        <v>7760</v>
      </c>
      <c r="F119" t="s">
        <v>7469</v>
      </c>
      <c r="G119" s="1">
        <v>45915</v>
      </c>
      <c r="H119" s="1">
        <v>45915</v>
      </c>
      <c r="I119" s="1">
        <v>73050</v>
      </c>
      <c r="J119" s="2" t="s">
        <v>8318</v>
      </c>
      <c r="K119" t="s">
        <v>7761</v>
      </c>
      <c r="M119" s="16" t="s">
        <v>8319</v>
      </c>
      <c r="N119" s="16" t="str">
        <f>VLOOKUP(M119,Tab_Zast[[Zastávka]:[Sloupec1]],2,0)</f>
        <v>24</v>
      </c>
      <c r="O119" t="s">
        <v>7762</v>
      </c>
      <c r="P119">
        <v>1</v>
      </c>
      <c r="Q119">
        <v>0</v>
      </c>
      <c r="R119" t="s">
        <v>31</v>
      </c>
      <c r="S119" t="s">
        <v>31</v>
      </c>
      <c r="T119" t="s">
        <v>32</v>
      </c>
      <c r="V119" s="1" t="e">
        <v>#N/A</v>
      </c>
      <c r="W119" t="s">
        <v>47</v>
      </c>
      <c r="X119">
        <v>0</v>
      </c>
      <c r="Y119">
        <v>1239</v>
      </c>
      <c r="AA119" t="str">
        <f t="shared" si="2"/>
        <v>update zamestnanci set nastup='24' where id='1843';</v>
      </c>
      <c r="AB119" t="str">
        <f t="shared" si="3"/>
        <v>update dochazka set zastavka = '24' where zamestnanec = '1843';</v>
      </c>
    </row>
    <row r="120" spans="1:28" x14ac:dyDescent="0.25">
      <c r="A120" s="2">
        <v>1844</v>
      </c>
      <c r="B120" t="s">
        <v>7763</v>
      </c>
      <c r="C120" t="s">
        <v>357</v>
      </c>
      <c r="D120" t="s">
        <v>4544</v>
      </c>
      <c r="E120" t="s">
        <v>3048</v>
      </c>
      <c r="F120" t="s">
        <v>7764</v>
      </c>
      <c r="G120" s="1">
        <v>45915</v>
      </c>
      <c r="H120" s="1">
        <v>45966</v>
      </c>
      <c r="I120" s="1" t="e">
        <v>#N/A</v>
      </c>
      <c r="J120" s="2" t="s">
        <v>8318</v>
      </c>
      <c r="K120" t="s">
        <v>4546</v>
      </c>
      <c r="M120" s="16" t="s">
        <v>8319</v>
      </c>
      <c r="N120" s="16" t="str">
        <f>VLOOKUP(M120,Tab_Zast[[Zastávka]:[Sloupec1]],2,0)</f>
        <v>24</v>
      </c>
      <c r="O120" t="s">
        <v>7765</v>
      </c>
      <c r="P120">
        <v>1</v>
      </c>
      <c r="Q120">
        <v>0</v>
      </c>
      <c r="R120" t="s">
        <v>31</v>
      </c>
      <c r="S120" t="s">
        <v>31</v>
      </c>
      <c r="T120" t="s">
        <v>32</v>
      </c>
      <c r="V120" s="1" t="e">
        <v>#N/A</v>
      </c>
      <c r="W120" t="s">
        <v>47</v>
      </c>
      <c r="X120">
        <v>0</v>
      </c>
      <c r="Y120">
        <v>1240</v>
      </c>
      <c r="AA120" t="str">
        <f t="shared" si="2"/>
        <v>update zamestnanci set nastup='24' where id='1844';</v>
      </c>
      <c r="AB120" t="str">
        <f t="shared" si="3"/>
        <v>update dochazka set zastavka = '24' where zamestnanec = '1844';</v>
      </c>
    </row>
    <row r="121" spans="1:28" x14ac:dyDescent="0.25">
      <c r="A121" s="2">
        <v>1852</v>
      </c>
      <c r="B121" t="s">
        <v>7797</v>
      </c>
      <c r="C121" t="s">
        <v>357</v>
      </c>
      <c r="D121" t="s">
        <v>1839</v>
      </c>
      <c r="E121" t="s">
        <v>7760</v>
      </c>
      <c r="F121" t="s">
        <v>7798</v>
      </c>
      <c r="G121" s="1">
        <v>45922</v>
      </c>
      <c r="H121" s="1">
        <v>45961</v>
      </c>
      <c r="I121" s="1" t="e">
        <v>#N/A</v>
      </c>
      <c r="J121" s="2" t="s">
        <v>8318</v>
      </c>
      <c r="K121" t="s">
        <v>7799</v>
      </c>
      <c r="M121" s="16" t="s">
        <v>8319</v>
      </c>
      <c r="N121" s="16" t="str">
        <f>VLOOKUP(M121,Tab_Zast[[Zastávka]:[Sloupec1]],2,0)</f>
        <v>24</v>
      </c>
      <c r="O121" t="s">
        <v>7800</v>
      </c>
      <c r="P121">
        <v>1</v>
      </c>
      <c r="Q121">
        <v>0</v>
      </c>
      <c r="R121" t="s">
        <v>31</v>
      </c>
      <c r="S121" t="s">
        <v>31</v>
      </c>
      <c r="T121" t="s">
        <v>32</v>
      </c>
      <c r="V121" s="1" t="e">
        <v>#N/A</v>
      </c>
      <c r="W121" t="s">
        <v>47</v>
      </c>
      <c r="X121">
        <v>0</v>
      </c>
      <c r="Y121">
        <v>1248</v>
      </c>
      <c r="AA121" t="str">
        <f t="shared" si="2"/>
        <v>update zamestnanci set nastup='24' where id='1852';</v>
      </c>
      <c r="AB121" t="str">
        <f t="shared" si="3"/>
        <v>update dochazka set zastavka = '24' where zamestnanec = '1852';</v>
      </c>
    </row>
    <row r="122" spans="1:28" x14ac:dyDescent="0.25">
      <c r="A122" s="2">
        <v>1915</v>
      </c>
      <c r="B122" t="s">
        <v>8061</v>
      </c>
      <c r="C122" t="s">
        <v>569</v>
      </c>
      <c r="D122" t="s">
        <v>8062</v>
      </c>
      <c r="E122" t="s">
        <v>3373</v>
      </c>
      <c r="F122" t="s">
        <v>569</v>
      </c>
      <c r="G122" s="1">
        <v>45979</v>
      </c>
      <c r="H122" s="1">
        <v>45979</v>
      </c>
      <c r="I122" s="1" t="e">
        <v>#N/A</v>
      </c>
      <c r="J122" s="2" t="s">
        <v>8318</v>
      </c>
      <c r="K122" t="s">
        <v>8063</v>
      </c>
      <c r="M122" s="16" t="s">
        <v>8319</v>
      </c>
      <c r="N122" s="16" t="str">
        <f>VLOOKUP(M122,Tab_Zast[[Zastávka]:[Sloupec1]],2,0)</f>
        <v>24</v>
      </c>
      <c r="O122" t="s">
        <v>5173</v>
      </c>
      <c r="P122">
        <v>1</v>
      </c>
      <c r="Q122">
        <v>0</v>
      </c>
      <c r="R122" t="s">
        <v>31</v>
      </c>
      <c r="S122" t="s">
        <v>31</v>
      </c>
      <c r="T122" t="s">
        <v>32</v>
      </c>
      <c r="V122" s="1" t="e">
        <v>#N/A</v>
      </c>
      <c r="W122" t="s">
        <v>47</v>
      </c>
      <c r="X122">
        <v>0</v>
      </c>
      <c r="Y122">
        <v>1326</v>
      </c>
      <c r="AA122" t="str">
        <f t="shared" si="2"/>
        <v>update zamestnanci set nastup='24' where id='1915';</v>
      </c>
      <c r="AB122" t="str">
        <f t="shared" si="3"/>
        <v>update dochazka set zastavka = '24' where zamestnanec = '1915';</v>
      </c>
    </row>
    <row r="123" spans="1:28" x14ac:dyDescent="0.25">
      <c r="A123" s="2">
        <v>1916</v>
      </c>
      <c r="B123" t="s">
        <v>8064</v>
      </c>
      <c r="C123" t="s">
        <v>569</v>
      </c>
      <c r="D123" t="s">
        <v>8062</v>
      </c>
      <c r="E123" t="s">
        <v>182</v>
      </c>
      <c r="F123" t="s">
        <v>569</v>
      </c>
      <c r="G123" s="1">
        <v>45979</v>
      </c>
      <c r="H123" s="1">
        <v>45979</v>
      </c>
      <c r="I123" s="1" t="e">
        <v>#N/A</v>
      </c>
      <c r="J123" s="2" t="s">
        <v>8318</v>
      </c>
      <c r="K123" t="s">
        <v>5172</v>
      </c>
      <c r="M123" s="16" t="s">
        <v>8319</v>
      </c>
      <c r="N123" s="16" t="str">
        <f>VLOOKUP(M123,Tab_Zast[[Zastávka]:[Sloupec1]],2,0)</f>
        <v>24</v>
      </c>
      <c r="O123" t="s">
        <v>5173</v>
      </c>
      <c r="P123">
        <v>1</v>
      </c>
      <c r="Q123">
        <v>0</v>
      </c>
      <c r="R123" t="s">
        <v>31</v>
      </c>
      <c r="S123" t="s">
        <v>31</v>
      </c>
      <c r="T123" t="s">
        <v>32</v>
      </c>
      <c r="V123" s="1" t="e">
        <v>#N/A</v>
      </c>
      <c r="W123" t="s">
        <v>47</v>
      </c>
      <c r="X123">
        <v>0</v>
      </c>
      <c r="Y123">
        <v>1327</v>
      </c>
      <c r="AA123" t="str">
        <f t="shared" si="2"/>
        <v>update zamestnanci set nastup='24' where id='1916';</v>
      </c>
      <c r="AB123" t="str">
        <f t="shared" si="3"/>
        <v>update dochazka set zastavka = '24' where zamestnanec = '1916';</v>
      </c>
    </row>
    <row r="124" spans="1:28" x14ac:dyDescent="0.25">
      <c r="A124" s="2">
        <v>1917</v>
      </c>
      <c r="B124" t="s">
        <v>8065</v>
      </c>
      <c r="C124" t="s">
        <v>569</v>
      </c>
      <c r="D124" t="s">
        <v>3875</v>
      </c>
      <c r="E124" t="s">
        <v>4305</v>
      </c>
      <c r="F124" t="s">
        <v>8065</v>
      </c>
      <c r="G124" s="1">
        <v>45979</v>
      </c>
      <c r="H124" s="1" t="e">
        <v>#N/A</v>
      </c>
      <c r="I124" s="1" t="e">
        <v>#N/A</v>
      </c>
      <c r="J124" s="2" t="s">
        <v>8318</v>
      </c>
      <c r="K124" t="s">
        <v>8066</v>
      </c>
      <c r="M124" s="16" t="s">
        <v>8319</v>
      </c>
      <c r="N124" s="16" t="str">
        <f>VLOOKUP(M124,Tab_Zast[[Zastávka]:[Sloupec1]],2,0)</f>
        <v>24</v>
      </c>
      <c r="O124" t="s">
        <v>8067</v>
      </c>
      <c r="P124">
        <v>1</v>
      </c>
      <c r="Q124">
        <v>0</v>
      </c>
      <c r="R124" t="s">
        <v>179</v>
      </c>
      <c r="S124" t="s">
        <v>31</v>
      </c>
      <c r="T124" t="s">
        <v>32</v>
      </c>
      <c r="V124" s="1" t="e">
        <v>#N/A</v>
      </c>
      <c r="W124" t="s">
        <v>47</v>
      </c>
      <c r="X124">
        <v>1</v>
      </c>
      <c r="Y124">
        <v>1329</v>
      </c>
      <c r="AA124" t="str">
        <f t="shared" si="2"/>
        <v>update zamestnanci set nastup='24' where id='1917';</v>
      </c>
      <c r="AB124" t="str">
        <f t="shared" si="3"/>
        <v>update dochazka set zastavka = '24' where zamestnanec = '1917';</v>
      </c>
    </row>
    <row r="125" spans="1:28" x14ac:dyDescent="0.25">
      <c r="A125" s="2">
        <v>1925</v>
      </c>
      <c r="B125" t="s">
        <v>357</v>
      </c>
      <c r="C125" t="s">
        <v>357</v>
      </c>
      <c r="D125" t="s">
        <v>8062</v>
      </c>
      <c r="E125" t="s">
        <v>8108</v>
      </c>
      <c r="F125" t="s">
        <v>357</v>
      </c>
      <c r="G125" s="1">
        <v>45985</v>
      </c>
      <c r="H125" s="1">
        <v>45985</v>
      </c>
      <c r="I125" s="1">
        <v>45985</v>
      </c>
      <c r="J125" s="2" t="s">
        <v>8318</v>
      </c>
      <c r="K125" t="s">
        <v>8109</v>
      </c>
      <c r="M125" s="16" t="s">
        <v>8319</v>
      </c>
      <c r="N125" s="16" t="str">
        <f>VLOOKUP(M125,Tab_Zast[[Zastávka]:[Sloupec1]],2,0)</f>
        <v>24</v>
      </c>
      <c r="O125" t="s">
        <v>8110</v>
      </c>
      <c r="P125">
        <v>1</v>
      </c>
      <c r="Q125">
        <v>0</v>
      </c>
      <c r="R125" t="s">
        <v>31</v>
      </c>
      <c r="S125" t="s">
        <v>31</v>
      </c>
      <c r="T125" t="s">
        <v>32</v>
      </c>
      <c r="V125" s="1" t="e">
        <v>#N/A</v>
      </c>
      <c r="W125" t="s">
        <v>47</v>
      </c>
      <c r="X125">
        <v>0</v>
      </c>
      <c r="Y125">
        <v>1339</v>
      </c>
      <c r="AA125" t="str">
        <f t="shared" si="2"/>
        <v>update zamestnanci set nastup='24' where id='1925';</v>
      </c>
      <c r="AB125" t="str">
        <f t="shared" si="3"/>
        <v>update dochazka set zastavka = '24' where zamestnanec = '1925';</v>
      </c>
    </row>
    <row r="126" spans="1:28" x14ac:dyDescent="0.25">
      <c r="A126" s="2">
        <v>1955</v>
      </c>
      <c r="B126" t="s">
        <v>8216</v>
      </c>
      <c r="C126" t="s">
        <v>569</v>
      </c>
      <c r="D126" t="s">
        <v>8217</v>
      </c>
      <c r="E126" t="s">
        <v>5408</v>
      </c>
      <c r="F126" t="s">
        <v>8216</v>
      </c>
      <c r="G126" s="1">
        <v>45999</v>
      </c>
      <c r="H126" s="1">
        <v>45999</v>
      </c>
      <c r="I126" s="1">
        <v>45999</v>
      </c>
      <c r="J126" s="2" t="s">
        <v>8318</v>
      </c>
      <c r="K126" t="s">
        <v>8218</v>
      </c>
      <c r="M126" s="16" t="s">
        <v>8319</v>
      </c>
      <c r="N126" s="16" t="str">
        <f>VLOOKUP(M126,Tab_Zast[[Zastávka]:[Sloupec1]],2,0)</f>
        <v>24</v>
      </c>
      <c r="O126" t="s">
        <v>8219</v>
      </c>
      <c r="P126">
        <v>1</v>
      </c>
      <c r="Q126">
        <v>0</v>
      </c>
      <c r="R126" t="s">
        <v>31</v>
      </c>
      <c r="S126" t="s">
        <v>31</v>
      </c>
      <c r="T126" t="s">
        <v>32</v>
      </c>
      <c r="V126" s="1" t="e">
        <v>#N/A</v>
      </c>
      <c r="W126" t="s">
        <v>47</v>
      </c>
      <c r="X126">
        <v>0</v>
      </c>
      <c r="Y126">
        <v>1373</v>
      </c>
      <c r="AA126" t="str">
        <f t="shared" si="2"/>
        <v>update zamestnanci set nastup='24' where id='1955';</v>
      </c>
      <c r="AB126" t="str">
        <f t="shared" si="3"/>
        <v>update dochazka set zastavka = '24' where zamestnanec = '1955';</v>
      </c>
    </row>
    <row r="127" spans="1:28" x14ac:dyDescent="0.25">
      <c r="A127" s="2">
        <v>40</v>
      </c>
      <c r="B127" t="s">
        <v>277</v>
      </c>
      <c r="C127" t="s">
        <v>277</v>
      </c>
      <c r="D127" t="s">
        <v>278</v>
      </c>
      <c r="E127" t="s">
        <v>279</v>
      </c>
      <c r="F127" t="s">
        <v>280</v>
      </c>
      <c r="G127" s="1">
        <v>44851</v>
      </c>
      <c r="H127" s="1">
        <v>45583</v>
      </c>
      <c r="I127" s="1">
        <v>73050</v>
      </c>
      <c r="J127" s="2" t="s">
        <v>2410</v>
      </c>
      <c r="K127" t="s">
        <v>281</v>
      </c>
      <c r="M127" s="16" t="s">
        <v>8539</v>
      </c>
      <c r="N127" s="16" t="str">
        <f>VLOOKUP(M127,Tab_Zast[[Zastávka]:[Sloupec1]],2,0)</f>
        <v>104</v>
      </c>
      <c r="O127" t="s">
        <v>282</v>
      </c>
      <c r="P127">
        <v>1</v>
      </c>
      <c r="Q127">
        <v>0</v>
      </c>
      <c r="R127" t="s">
        <v>31</v>
      </c>
      <c r="S127" t="s">
        <v>31</v>
      </c>
      <c r="T127" t="s">
        <v>32</v>
      </c>
      <c r="V127" s="1">
        <v>45569</v>
      </c>
      <c r="W127" t="s">
        <v>47</v>
      </c>
      <c r="X127">
        <v>0</v>
      </c>
      <c r="Y127">
        <v>0</v>
      </c>
      <c r="AA127" t="str">
        <f t="shared" si="2"/>
        <v>update zamestnanci set nastup='104' where id='40';</v>
      </c>
      <c r="AB127" t="str">
        <f t="shared" si="3"/>
        <v>update dochazka set zastavka = '104' where zamestnanec = '40';</v>
      </c>
    </row>
    <row r="128" spans="1:28" x14ac:dyDescent="0.25">
      <c r="A128" s="2">
        <v>108</v>
      </c>
      <c r="B128" t="s">
        <v>669</v>
      </c>
      <c r="C128" t="s">
        <v>669</v>
      </c>
      <c r="D128" t="s">
        <v>670</v>
      </c>
      <c r="E128" t="s">
        <v>671</v>
      </c>
      <c r="F128" t="s">
        <v>672</v>
      </c>
      <c r="G128" s="1">
        <v>44851</v>
      </c>
      <c r="H128" s="1">
        <v>45520</v>
      </c>
      <c r="I128" s="1">
        <v>73050</v>
      </c>
      <c r="J128" s="2" t="s">
        <v>2410</v>
      </c>
      <c r="K128" t="s">
        <v>673</v>
      </c>
      <c r="M128" s="16" t="s">
        <v>8539</v>
      </c>
      <c r="N128" s="16" t="str">
        <f>VLOOKUP(M128,Tab_Zast[[Zastávka]:[Sloupec1]],2,0)</f>
        <v>104</v>
      </c>
      <c r="O128" t="s">
        <v>674</v>
      </c>
      <c r="P128">
        <v>1</v>
      </c>
      <c r="Q128">
        <v>0</v>
      </c>
      <c r="R128" t="s">
        <v>31</v>
      </c>
      <c r="S128" t="s">
        <v>31</v>
      </c>
      <c r="T128" t="s">
        <v>32</v>
      </c>
      <c r="V128" s="1" t="e">
        <v>#N/A</v>
      </c>
      <c r="W128" t="s">
        <v>47</v>
      </c>
      <c r="X128">
        <v>0</v>
      </c>
      <c r="Y128">
        <v>0</v>
      </c>
      <c r="AA128" t="str">
        <f t="shared" si="2"/>
        <v>update zamestnanci set nastup='104' where id='108';</v>
      </c>
      <c r="AB128" t="str">
        <f t="shared" si="3"/>
        <v>update dochazka set zastavka = '104' where zamestnanec = '108';</v>
      </c>
    </row>
    <row r="129" spans="1:28" x14ac:dyDescent="0.25">
      <c r="A129" s="2">
        <v>617</v>
      </c>
      <c r="B129" t="s">
        <v>2656</v>
      </c>
      <c r="D129" t="s">
        <v>2657</v>
      </c>
      <c r="E129" t="s">
        <v>2658</v>
      </c>
      <c r="F129" t="s">
        <v>2659</v>
      </c>
      <c r="G129" s="1">
        <v>45208</v>
      </c>
      <c r="H129" s="1">
        <v>45233</v>
      </c>
      <c r="I129" s="1" t="e">
        <v>#N/A</v>
      </c>
      <c r="J129" s="2" t="s">
        <v>2410</v>
      </c>
      <c r="K129" t="s">
        <v>2660</v>
      </c>
      <c r="M129" s="16" t="s">
        <v>8539</v>
      </c>
      <c r="N129" s="16" t="str">
        <f>VLOOKUP(M129,Tab_Zast[[Zastávka]:[Sloupec1]],2,0)</f>
        <v>104</v>
      </c>
      <c r="O129" t="s">
        <v>2661</v>
      </c>
      <c r="P129">
        <v>1</v>
      </c>
      <c r="Q129">
        <v>0</v>
      </c>
      <c r="R129" t="s">
        <v>31</v>
      </c>
      <c r="S129" t="s">
        <v>31</v>
      </c>
      <c r="T129" t="s">
        <v>32</v>
      </c>
      <c r="V129" s="1" t="e">
        <v>#N/A</v>
      </c>
      <c r="W129" t="s">
        <v>47</v>
      </c>
      <c r="X129">
        <v>0</v>
      </c>
      <c r="Y129">
        <v>0</v>
      </c>
      <c r="Z129" t="s">
        <v>54</v>
      </c>
      <c r="AA129" t="str">
        <f t="shared" si="2"/>
        <v>update zamestnanci set nastup='104' where id='617';</v>
      </c>
      <c r="AB129" t="str">
        <f t="shared" si="3"/>
        <v>update dochazka set zastavka = '104' where zamestnanec = '617';</v>
      </c>
    </row>
    <row r="130" spans="1:28" x14ac:dyDescent="0.25">
      <c r="A130" s="2">
        <v>648</v>
      </c>
      <c r="B130" t="s">
        <v>2811</v>
      </c>
      <c r="D130" t="s">
        <v>2812</v>
      </c>
      <c r="E130" t="s">
        <v>2813</v>
      </c>
      <c r="F130" t="s">
        <v>2814</v>
      </c>
      <c r="G130" s="1">
        <v>45210</v>
      </c>
      <c r="H130" s="1">
        <v>45351</v>
      </c>
      <c r="I130" s="1">
        <v>73050</v>
      </c>
      <c r="J130" s="2" t="s">
        <v>2410</v>
      </c>
      <c r="M130" s="16" t="s">
        <v>8539</v>
      </c>
      <c r="N130" s="16" t="str">
        <f>VLOOKUP(M130,Tab_Zast[[Zastávka]:[Sloupec1]],2,0)</f>
        <v>104</v>
      </c>
      <c r="O130" t="s">
        <v>2815</v>
      </c>
      <c r="P130">
        <v>1</v>
      </c>
      <c r="Q130">
        <v>0</v>
      </c>
      <c r="R130" t="s">
        <v>31</v>
      </c>
      <c r="S130" t="s">
        <v>31</v>
      </c>
      <c r="T130" t="s">
        <v>32</v>
      </c>
      <c r="V130" s="1" t="e">
        <v>#N/A</v>
      </c>
      <c r="W130" t="s">
        <v>33</v>
      </c>
      <c r="X130">
        <v>0</v>
      </c>
      <c r="Y130">
        <v>0</v>
      </c>
      <c r="Z130" t="s">
        <v>54</v>
      </c>
      <c r="AA130" t="str">
        <f t="shared" si="2"/>
        <v>update zamestnanci set nastup='104' where id='648';</v>
      </c>
      <c r="AB130" t="str">
        <f t="shared" si="3"/>
        <v>update dochazka set zastavka = '104' where zamestnanec = '648';</v>
      </c>
    </row>
    <row r="131" spans="1:28" x14ac:dyDescent="0.25">
      <c r="A131" s="2">
        <v>657</v>
      </c>
      <c r="B131" t="s">
        <v>2858</v>
      </c>
      <c r="D131" t="s">
        <v>2859</v>
      </c>
      <c r="E131" t="s">
        <v>2860</v>
      </c>
      <c r="F131" t="s">
        <v>321</v>
      </c>
      <c r="G131" s="1">
        <v>45222</v>
      </c>
      <c r="H131" s="1">
        <v>45331</v>
      </c>
      <c r="I131" s="1">
        <v>73050</v>
      </c>
      <c r="J131" s="2" t="s">
        <v>2410</v>
      </c>
      <c r="K131" t="s">
        <v>2861</v>
      </c>
      <c r="M131" s="16" t="s">
        <v>8539</v>
      </c>
      <c r="N131" s="16" t="str">
        <f>VLOOKUP(M131,Tab_Zast[[Zastávka]:[Sloupec1]],2,0)</f>
        <v>104</v>
      </c>
      <c r="O131" t="s">
        <v>2862</v>
      </c>
      <c r="P131">
        <v>1</v>
      </c>
      <c r="Q131">
        <v>0</v>
      </c>
      <c r="R131" t="s">
        <v>31</v>
      </c>
      <c r="S131" t="s">
        <v>31</v>
      </c>
      <c r="T131" t="s">
        <v>32</v>
      </c>
      <c r="V131" s="1" t="e">
        <v>#N/A</v>
      </c>
      <c r="W131" t="s">
        <v>47</v>
      </c>
      <c r="X131">
        <v>0</v>
      </c>
      <c r="Y131">
        <v>0</v>
      </c>
      <c r="AA131" t="str">
        <f t="shared" si="2"/>
        <v>update zamestnanci set nastup='104' where id='657';</v>
      </c>
      <c r="AB131" t="str">
        <f t="shared" si="3"/>
        <v>update dochazka set zastavka = '104' where zamestnanec = '657';</v>
      </c>
    </row>
    <row r="132" spans="1:28" x14ac:dyDescent="0.25">
      <c r="A132" s="2">
        <v>972</v>
      </c>
      <c r="B132" t="s">
        <v>64</v>
      </c>
      <c r="C132" t="s">
        <v>64</v>
      </c>
      <c r="D132" t="s">
        <v>4403</v>
      </c>
      <c r="E132" t="s">
        <v>2807</v>
      </c>
      <c r="F132" t="s">
        <v>64</v>
      </c>
      <c r="G132" s="1">
        <v>45446</v>
      </c>
      <c r="H132" s="1">
        <v>45446</v>
      </c>
      <c r="I132" s="1">
        <v>45446</v>
      </c>
      <c r="J132" s="2" t="s">
        <v>2410</v>
      </c>
      <c r="K132" t="s">
        <v>4404</v>
      </c>
      <c r="M132" s="16" t="s">
        <v>8539</v>
      </c>
      <c r="N132" s="16" t="str">
        <f>VLOOKUP(M132,Tab_Zast[[Zastávka]:[Sloupec1]],2,0)</f>
        <v>104</v>
      </c>
      <c r="O132" t="s">
        <v>4405</v>
      </c>
      <c r="P132">
        <v>1</v>
      </c>
      <c r="Q132">
        <v>0</v>
      </c>
      <c r="R132" t="s">
        <v>129</v>
      </c>
      <c r="S132" t="s">
        <v>179</v>
      </c>
      <c r="T132" t="s">
        <v>32</v>
      </c>
      <c r="V132" s="1" t="e">
        <v>#N/A</v>
      </c>
      <c r="W132" t="s">
        <v>47</v>
      </c>
      <c r="X132">
        <v>0</v>
      </c>
      <c r="Y132">
        <v>363</v>
      </c>
      <c r="Z132" t="s">
        <v>40</v>
      </c>
      <c r="AA132" t="str">
        <f t="shared" ref="AA132:AA195" si="4">IF(J132&lt;&gt;"00","update zamestnanci set nastup='" &amp; J132 &amp; "' where id='" &amp; A132 &amp; "';","")</f>
        <v>update zamestnanci set nastup='104' where id='972';</v>
      </c>
      <c r="AB132" t="str">
        <f t="shared" ref="AB132:AB195" si="5">IF(J132&lt;&gt;"00","update dochazka set zastavka = '" &amp; J132 &amp; "' where zamestnanec = '" &amp; A132 &amp; "';","")</f>
        <v>update dochazka set zastavka = '104' where zamestnanec = '972';</v>
      </c>
    </row>
    <row r="133" spans="1:28" x14ac:dyDescent="0.25">
      <c r="A133" s="2">
        <v>973</v>
      </c>
      <c r="B133" t="s">
        <v>64</v>
      </c>
      <c r="C133" t="s">
        <v>64</v>
      </c>
      <c r="D133" t="s">
        <v>4403</v>
      </c>
      <c r="E133" t="s">
        <v>770</v>
      </c>
      <c r="F133" t="s">
        <v>64</v>
      </c>
      <c r="G133" s="1">
        <v>45446</v>
      </c>
      <c r="H133" s="1">
        <v>45446</v>
      </c>
      <c r="I133" s="1">
        <v>45446</v>
      </c>
      <c r="J133" s="2" t="s">
        <v>2410</v>
      </c>
      <c r="K133" t="s">
        <v>4404</v>
      </c>
      <c r="M133" s="16" t="s">
        <v>8539</v>
      </c>
      <c r="N133" s="16" t="str">
        <f>VLOOKUP(M133,Tab_Zast[[Zastávka]:[Sloupec1]],2,0)</f>
        <v>104</v>
      </c>
      <c r="O133" t="s">
        <v>4405</v>
      </c>
      <c r="P133">
        <v>1</v>
      </c>
      <c r="Q133">
        <v>0</v>
      </c>
      <c r="R133" t="s">
        <v>129</v>
      </c>
      <c r="S133" t="s">
        <v>179</v>
      </c>
      <c r="T133" t="s">
        <v>32</v>
      </c>
      <c r="V133" s="1" t="e">
        <v>#N/A</v>
      </c>
      <c r="W133" t="s">
        <v>47</v>
      </c>
      <c r="X133">
        <v>0</v>
      </c>
      <c r="Y133">
        <v>364</v>
      </c>
      <c r="Z133" t="s">
        <v>40</v>
      </c>
      <c r="AA133" t="str">
        <f t="shared" si="4"/>
        <v>update zamestnanci set nastup='104' where id='973';</v>
      </c>
      <c r="AB133" t="str">
        <f t="shared" si="5"/>
        <v>update dochazka set zastavka = '104' where zamestnanec = '973';</v>
      </c>
    </row>
    <row r="134" spans="1:28" x14ac:dyDescent="0.25">
      <c r="A134" s="2">
        <v>1003</v>
      </c>
      <c r="B134" t="s">
        <v>64</v>
      </c>
      <c r="C134" t="s">
        <v>64</v>
      </c>
      <c r="D134" t="s">
        <v>3521</v>
      </c>
      <c r="E134" t="s">
        <v>3522</v>
      </c>
      <c r="F134" t="s">
        <v>64</v>
      </c>
      <c r="G134" s="1">
        <v>45453</v>
      </c>
      <c r="H134" s="1">
        <v>45453</v>
      </c>
      <c r="I134" s="1">
        <v>45453</v>
      </c>
      <c r="J134" s="2" t="s">
        <v>2410</v>
      </c>
      <c r="K134" t="s">
        <v>4202</v>
      </c>
      <c r="M134" s="16" t="s">
        <v>8539</v>
      </c>
      <c r="N134" s="16" t="str">
        <f>VLOOKUP(M134,Tab_Zast[[Zastávka]:[Sloupec1]],2,0)</f>
        <v>104</v>
      </c>
      <c r="O134" t="s">
        <v>3525</v>
      </c>
      <c r="P134">
        <v>1</v>
      </c>
      <c r="Q134">
        <v>0</v>
      </c>
      <c r="R134" t="s">
        <v>129</v>
      </c>
      <c r="S134" t="s">
        <v>179</v>
      </c>
      <c r="T134" t="s">
        <v>32</v>
      </c>
      <c r="V134" s="1" t="e">
        <v>#N/A</v>
      </c>
      <c r="X134">
        <v>0</v>
      </c>
      <c r="Y134">
        <v>75</v>
      </c>
      <c r="AA134" t="str">
        <f t="shared" si="4"/>
        <v>update zamestnanci set nastup='104' where id='1003';</v>
      </c>
      <c r="AB134" t="str">
        <f t="shared" si="5"/>
        <v>update dochazka set zastavka = '104' where zamestnanec = '1003';</v>
      </c>
    </row>
    <row r="135" spans="1:28" x14ac:dyDescent="0.25">
      <c r="A135" s="2">
        <v>1004</v>
      </c>
      <c r="B135" t="s">
        <v>64</v>
      </c>
      <c r="C135" t="s">
        <v>64</v>
      </c>
      <c r="D135" t="s">
        <v>3383</v>
      </c>
      <c r="E135" t="s">
        <v>3384</v>
      </c>
      <c r="F135" t="s">
        <v>64</v>
      </c>
      <c r="G135" s="1">
        <v>45453</v>
      </c>
      <c r="H135" s="1">
        <v>45453</v>
      </c>
      <c r="I135" s="1">
        <v>45453</v>
      </c>
      <c r="J135" s="2" t="s">
        <v>2410</v>
      </c>
      <c r="K135" t="s">
        <v>4528</v>
      </c>
      <c r="M135" s="16" t="s">
        <v>8539</v>
      </c>
      <c r="N135" s="16" t="str">
        <f>VLOOKUP(M135,Tab_Zast[[Zastávka]:[Sloupec1]],2,0)</f>
        <v>104</v>
      </c>
      <c r="O135" t="s">
        <v>4529</v>
      </c>
      <c r="P135">
        <v>1</v>
      </c>
      <c r="Q135">
        <v>0</v>
      </c>
      <c r="R135" t="s">
        <v>129</v>
      </c>
      <c r="S135" t="s">
        <v>179</v>
      </c>
      <c r="T135" t="s">
        <v>32</v>
      </c>
      <c r="V135" s="1" t="e">
        <v>#N/A</v>
      </c>
      <c r="X135">
        <v>0</v>
      </c>
      <c r="Y135">
        <v>6</v>
      </c>
      <c r="AA135" t="str">
        <f t="shared" si="4"/>
        <v>update zamestnanci set nastup='104' where id='1004';</v>
      </c>
      <c r="AB135" t="str">
        <f t="shared" si="5"/>
        <v>update dochazka set zastavka = '104' where zamestnanec = '1004';</v>
      </c>
    </row>
    <row r="136" spans="1:28" x14ac:dyDescent="0.25">
      <c r="A136" s="2">
        <v>1011</v>
      </c>
      <c r="B136" t="s">
        <v>4555</v>
      </c>
      <c r="C136" t="s">
        <v>64</v>
      </c>
      <c r="D136" t="s">
        <v>4556</v>
      </c>
      <c r="E136" t="s">
        <v>725</v>
      </c>
      <c r="F136" t="s">
        <v>4557</v>
      </c>
      <c r="G136" s="1">
        <v>45460</v>
      </c>
      <c r="H136" s="1">
        <v>45467</v>
      </c>
      <c r="I136" s="1">
        <v>73050</v>
      </c>
      <c r="J136" s="2" t="s">
        <v>2410</v>
      </c>
      <c r="K136" t="s">
        <v>4558</v>
      </c>
      <c r="M136" s="16" t="s">
        <v>8539</v>
      </c>
      <c r="N136" s="16" t="str">
        <f>VLOOKUP(M136,Tab_Zast[[Zastávka]:[Sloupec1]],2,0)</f>
        <v>104</v>
      </c>
      <c r="O136" t="s">
        <v>4559</v>
      </c>
      <c r="P136">
        <v>1</v>
      </c>
      <c r="Q136">
        <v>0</v>
      </c>
      <c r="R136" t="s">
        <v>31</v>
      </c>
      <c r="S136" t="s">
        <v>31</v>
      </c>
      <c r="T136" t="s">
        <v>32</v>
      </c>
      <c r="V136" s="1" t="e">
        <v>#N/A</v>
      </c>
      <c r="W136" t="s">
        <v>47</v>
      </c>
      <c r="X136">
        <v>0</v>
      </c>
      <c r="Y136">
        <v>401</v>
      </c>
      <c r="AA136" t="str">
        <f t="shared" si="4"/>
        <v>update zamestnanci set nastup='104' where id='1011';</v>
      </c>
      <c r="AB136" t="str">
        <f t="shared" si="5"/>
        <v>update dochazka set zastavka = '104' where zamestnanec = '1011';</v>
      </c>
    </row>
    <row r="137" spans="1:28" x14ac:dyDescent="0.25">
      <c r="A137" s="2">
        <v>1033</v>
      </c>
      <c r="B137" t="s">
        <v>4651</v>
      </c>
      <c r="C137" t="s">
        <v>64</v>
      </c>
      <c r="D137" t="s">
        <v>4652</v>
      </c>
      <c r="E137" t="s">
        <v>3373</v>
      </c>
      <c r="F137" t="s">
        <v>64</v>
      </c>
      <c r="G137" s="1">
        <v>45467</v>
      </c>
      <c r="H137" s="1">
        <v>45467</v>
      </c>
      <c r="I137" s="1">
        <v>45467</v>
      </c>
      <c r="J137" s="2" t="s">
        <v>2410</v>
      </c>
      <c r="K137" t="s">
        <v>4653</v>
      </c>
      <c r="M137" s="16" t="s">
        <v>8539</v>
      </c>
      <c r="N137" s="16" t="str">
        <f>VLOOKUP(M137,Tab_Zast[[Zastávka]:[Sloupec1]],2,0)</f>
        <v>104</v>
      </c>
      <c r="O137" t="s">
        <v>4654</v>
      </c>
      <c r="P137">
        <v>1</v>
      </c>
      <c r="Q137">
        <v>0</v>
      </c>
      <c r="R137" t="s">
        <v>31</v>
      </c>
      <c r="S137" t="s">
        <v>31</v>
      </c>
      <c r="T137" t="s">
        <v>32</v>
      </c>
      <c r="V137" s="1" t="e">
        <v>#N/A</v>
      </c>
      <c r="W137" t="s">
        <v>47</v>
      </c>
      <c r="X137">
        <v>0</v>
      </c>
      <c r="Y137">
        <v>421</v>
      </c>
      <c r="AA137" t="str">
        <f t="shared" si="4"/>
        <v>update zamestnanci set nastup='104' where id='1033';</v>
      </c>
      <c r="AB137" t="str">
        <f t="shared" si="5"/>
        <v>update dochazka set zastavka = '104' where zamestnanec = '1033';</v>
      </c>
    </row>
    <row r="138" spans="1:28" x14ac:dyDescent="0.25">
      <c r="A138" s="2">
        <v>1061</v>
      </c>
      <c r="B138" t="s">
        <v>4780</v>
      </c>
      <c r="C138" t="s">
        <v>64</v>
      </c>
      <c r="D138" t="s">
        <v>4781</v>
      </c>
      <c r="E138" t="s">
        <v>3267</v>
      </c>
      <c r="F138" t="s">
        <v>64</v>
      </c>
      <c r="G138" s="1">
        <v>45481</v>
      </c>
      <c r="H138" s="1">
        <v>45481</v>
      </c>
      <c r="I138" s="1">
        <v>45481</v>
      </c>
      <c r="J138" s="2" t="s">
        <v>2410</v>
      </c>
      <c r="K138" t="s">
        <v>4782</v>
      </c>
      <c r="M138" s="16" t="s">
        <v>8539</v>
      </c>
      <c r="N138" s="16" t="str">
        <f>VLOOKUP(M138,Tab_Zast[[Zastávka]:[Sloupec1]],2,0)</f>
        <v>104</v>
      </c>
      <c r="O138" t="s">
        <v>4783</v>
      </c>
      <c r="P138">
        <v>1</v>
      </c>
      <c r="Q138">
        <v>0</v>
      </c>
      <c r="R138" t="s">
        <v>31</v>
      </c>
      <c r="S138" t="s">
        <v>31</v>
      </c>
      <c r="T138" t="s">
        <v>32</v>
      </c>
      <c r="V138" s="1" t="e">
        <v>#N/A</v>
      </c>
      <c r="W138" t="s">
        <v>47</v>
      </c>
      <c r="X138">
        <v>0</v>
      </c>
      <c r="Y138">
        <v>454</v>
      </c>
      <c r="AA138" t="str">
        <f t="shared" si="4"/>
        <v>update zamestnanci set nastup='104' where id='1061';</v>
      </c>
      <c r="AB138" t="str">
        <f t="shared" si="5"/>
        <v>update dochazka set zastavka = '104' where zamestnanec = '1061';</v>
      </c>
    </row>
    <row r="139" spans="1:28" x14ac:dyDescent="0.25">
      <c r="A139" s="2">
        <v>1094</v>
      </c>
      <c r="B139" t="s">
        <v>4919</v>
      </c>
      <c r="C139" t="s">
        <v>1394</v>
      </c>
      <c r="D139" t="s">
        <v>4781</v>
      </c>
      <c r="E139" t="s">
        <v>3267</v>
      </c>
      <c r="F139" t="s">
        <v>67</v>
      </c>
      <c r="G139" s="1">
        <v>45495</v>
      </c>
      <c r="H139" s="1">
        <v>45495</v>
      </c>
      <c r="I139" s="1">
        <v>45495</v>
      </c>
      <c r="J139" s="2" t="s">
        <v>2410</v>
      </c>
      <c r="K139" t="s">
        <v>4782</v>
      </c>
      <c r="M139" s="16" t="s">
        <v>8539</v>
      </c>
      <c r="N139" s="16" t="str">
        <f>VLOOKUP(M139,Tab_Zast[[Zastávka]:[Sloupec1]],2,0)</f>
        <v>104</v>
      </c>
      <c r="O139" t="s">
        <v>4920</v>
      </c>
      <c r="P139">
        <v>1</v>
      </c>
      <c r="Q139">
        <v>0</v>
      </c>
      <c r="R139" t="s">
        <v>129</v>
      </c>
      <c r="S139" t="s">
        <v>31</v>
      </c>
      <c r="T139" t="s">
        <v>32</v>
      </c>
      <c r="V139" s="1" t="e">
        <v>#N/A</v>
      </c>
      <c r="W139" t="s">
        <v>47</v>
      </c>
      <c r="X139">
        <v>0</v>
      </c>
      <c r="Y139">
        <v>483</v>
      </c>
      <c r="AA139" t="str">
        <f t="shared" si="4"/>
        <v>update zamestnanci set nastup='104' where id='1094';</v>
      </c>
      <c r="AB139" t="str">
        <f t="shared" si="5"/>
        <v>update dochazka set zastavka = '104' where zamestnanec = '1094';</v>
      </c>
    </row>
    <row r="140" spans="1:28" x14ac:dyDescent="0.25">
      <c r="A140" s="2">
        <v>1103</v>
      </c>
      <c r="B140" t="s">
        <v>4951</v>
      </c>
      <c r="C140" t="s">
        <v>151</v>
      </c>
      <c r="D140" t="s">
        <v>4952</v>
      </c>
      <c r="E140" t="s">
        <v>2865</v>
      </c>
      <c r="F140" t="s">
        <v>4953</v>
      </c>
      <c r="G140" s="1">
        <v>45502</v>
      </c>
      <c r="H140" s="1">
        <v>45516</v>
      </c>
      <c r="I140" s="1">
        <v>73050</v>
      </c>
      <c r="J140" s="2" t="s">
        <v>2410</v>
      </c>
      <c r="K140" t="s">
        <v>4954</v>
      </c>
      <c r="M140" s="16" t="s">
        <v>8539</v>
      </c>
      <c r="N140" s="16" t="str">
        <f>VLOOKUP(M140,Tab_Zast[[Zastávka]:[Sloupec1]],2,0)</f>
        <v>104</v>
      </c>
      <c r="O140" t="s">
        <v>4955</v>
      </c>
      <c r="P140">
        <v>1</v>
      </c>
      <c r="Q140">
        <v>0</v>
      </c>
      <c r="R140" t="s">
        <v>31</v>
      </c>
      <c r="S140" t="s">
        <v>31</v>
      </c>
      <c r="T140" t="s">
        <v>32</v>
      </c>
      <c r="V140" s="1">
        <v>45509</v>
      </c>
      <c r="W140" t="s">
        <v>47</v>
      </c>
      <c r="X140">
        <v>0</v>
      </c>
      <c r="Y140">
        <v>496</v>
      </c>
      <c r="AA140" t="str">
        <f t="shared" si="4"/>
        <v>update zamestnanci set nastup='104' where id='1103';</v>
      </c>
      <c r="AB140" t="str">
        <f t="shared" si="5"/>
        <v>update dochazka set zastavka = '104' where zamestnanec = '1103';</v>
      </c>
    </row>
    <row r="141" spans="1:28" x14ac:dyDescent="0.25">
      <c r="A141" s="2">
        <v>1104</v>
      </c>
      <c r="B141" t="s">
        <v>4956</v>
      </c>
      <c r="C141" t="s">
        <v>151</v>
      </c>
      <c r="D141" t="s">
        <v>4818</v>
      </c>
      <c r="E141" t="s">
        <v>707</v>
      </c>
      <c r="F141" t="s">
        <v>422</v>
      </c>
      <c r="G141" s="1">
        <v>45502</v>
      </c>
      <c r="H141" s="1">
        <v>45506</v>
      </c>
      <c r="I141" s="1">
        <v>73050</v>
      </c>
      <c r="J141" s="2" t="s">
        <v>2410</v>
      </c>
      <c r="K141" t="s">
        <v>4957</v>
      </c>
      <c r="M141" s="16" t="s">
        <v>8539</v>
      </c>
      <c r="N141" s="16" t="str">
        <f>VLOOKUP(M141,Tab_Zast[[Zastávka]:[Sloupec1]],2,0)</f>
        <v>104</v>
      </c>
      <c r="O141" t="s">
        <v>4958</v>
      </c>
      <c r="P141">
        <v>1</v>
      </c>
      <c r="Q141">
        <v>0</v>
      </c>
      <c r="R141" t="s">
        <v>31</v>
      </c>
      <c r="S141" t="s">
        <v>31</v>
      </c>
      <c r="T141" t="s">
        <v>32</v>
      </c>
      <c r="V141" s="1">
        <v>45506</v>
      </c>
      <c r="W141" t="s">
        <v>47</v>
      </c>
      <c r="X141">
        <v>0</v>
      </c>
      <c r="Y141">
        <v>495</v>
      </c>
      <c r="AA141" t="str">
        <f t="shared" si="4"/>
        <v>update zamestnanci set nastup='104' where id='1104';</v>
      </c>
      <c r="AB141" t="str">
        <f t="shared" si="5"/>
        <v>update dochazka set zastavka = '104' where zamestnanec = '1104';</v>
      </c>
    </row>
    <row r="142" spans="1:28" x14ac:dyDescent="0.25">
      <c r="A142" s="2">
        <v>1105</v>
      </c>
      <c r="B142" t="s">
        <v>4959</v>
      </c>
      <c r="C142" t="s">
        <v>64</v>
      </c>
      <c r="D142" t="s">
        <v>4960</v>
      </c>
      <c r="E142" t="s">
        <v>770</v>
      </c>
      <c r="F142" t="s">
        <v>4961</v>
      </c>
      <c r="G142" s="1">
        <v>45502</v>
      </c>
      <c r="H142" s="1" t="e">
        <v>#N/A</v>
      </c>
      <c r="I142" s="1" t="e">
        <v>#N/A</v>
      </c>
      <c r="J142" s="2" t="s">
        <v>2410</v>
      </c>
      <c r="K142" t="s">
        <v>4962</v>
      </c>
      <c r="M142" s="16" t="s">
        <v>8539</v>
      </c>
      <c r="N142" s="16" t="str">
        <f>VLOOKUP(M142,Tab_Zast[[Zastávka]:[Sloupec1]],2,0)</f>
        <v>104</v>
      </c>
      <c r="O142" t="s">
        <v>4963</v>
      </c>
      <c r="P142">
        <v>1</v>
      </c>
      <c r="Q142">
        <v>0</v>
      </c>
      <c r="R142" t="s">
        <v>179</v>
      </c>
      <c r="S142" t="s">
        <v>31</v>
      </c>
      <c r="T142" t="s">
        <v>32</v>
      </c>
      <c r="V142" s="1" t="e">
        <v>#N/A</v>
      </c>
      <c r="W142" t="s">
        <v>47</v>
      </c>
      <c r="X142">
        <v>1</v>
      </c>
      <c r="Y142">
        <v>493</v>
      </c>
      <c r="AA142" t="str">
        <f t="shared" si="4"/>
        <v>update zamestnanci set nastup='104' where id='1105';</v>
      </c>
      <c r="AB142" t="str">
        <f t="shared" si="5"/>
        <v>update dochazka set zastavka = '104' where zamestnanec = '1105';</v>
      </c>
    </row>
    <row r="143" spans="1:28" x14ac:dyDescent="0.25">
      <c r="A143" s="2">
        <v>1107</v>
      </c>
      <c r="B143" t="s">
        <v>4968</v>
      </c>
      <c r="C143" t="s">
        <v>151</v>
      </c>
      <c r="D143" t="s">
        <v>4969</v>
      </c>
      <c r="E143" t="s">
        <v>2451</v>
      </c>
      <c r="F143" t="s">
        <v>67</v>
      </c>
      <c r="G143" s="1">
        <v>45502</v>
      </c>
      <c r="H143" s="1">
        <v>45502</v>
      </c>
      <c r="I143" s="1">
        <v>45502</v>
      </c>
      <c r="J143" s="2" t="s">
        <v>2410</v>
      </c>
      <c r="K143" t="s">
        <v>4970</v>
      </c>
      <c r="M143" s="16" t="s">
        <v>8539</v>
      </c>
      <c r="N143" s="16" t="str">
        <f>VLOOKUP(M143,Tab_Zast[[Zastávka]:[Sloupec1]],2,0)</f>
        <v>104</v>
      </c>
      <c r="O143" t="s">
        <v>4971</v>
      </c>
      <c r="P143">
        <v>1</v>
      </c>
      <c r="Q143">
        <v>0</v>
      </c>
      <c r="R143" t="s">
        <v>31</v>
      </c>
      <c r="S143" t="s">
        <v>31</v>
      </c>
      <c r="T143" t="s">
        <v>32</v>
      </c>
      <c r="V143" s="1" t="e">
        <v>#N/A</v>
      </c>
      <c r="W143" t="s">
        <v>47</v>
      </c>
      <c r="X143">
        <v>0</v>
      </c>
      <c r="Y143">
        <v>494</v>
      </c>
      <c r="AA143" t="str">
        <f t="shared" si="4"/>
        <v>update zamestnanci set nastup='104' where id='1107';</v>
      </c>
      <c r="AB143" t="str">
        <f t="shared" si="5"/>
        <v>update dochazka set zastavka = '104' where zamestnanec = '1107';</v>
      </c>
    </row>
    <row r="144" spans="1:28" x14ac:dyDescent="0.25">
      <c r="A144" s="2">
        <v>1134</v>
      </c>
      <c r="B144" t="s">
        <v>5077</v>
      </c>
      <c r="C144" t="s">
        <v>151</v>
      </c>
      <c r="D144" t="s">
        <v>5078</v>
      </c>
      <c r="E144" t="s">
        <v>1402</v>
      </c>
      <c r="F144" t="s">
        <v>67</v>
      </c>
      <c r="G144" s="1">
        <v>45516</v>
      </c>
      <c r="H144" s="1">
        <v>45516</v>
      </c>
      <c r="I144" s="1">
        <v>45516</v>
      </c>
      <c r="J144" s="2" t="s">
        <v>2410</v>
      </c>
      <c r="K144" t="s">
        <v>5079</v>
      </c>
      <c r="M144" s="16" t="s">
        <v>8539</v>
      </c>
      <c r="N144" s="16" t="str">
        <f>VLOOKUP(M144,Tab_Zast[[Zastávka]:[Sloupec1]],2,0)</f>
        <v>104</v>
      </c>
      <c r="O144" t="s">
        <v>5080</v>
      </c>
      <c r="P144">
        <v>1</v>
      </c>
      <c r="Q144">
        <v>0</v>
      </c>
      <c r="R144" t="s">
        <v>31</v>
      </c>
      <c r="S144" t="s">
        <v>31</v>
      </c>
      <c r="T144" t="s">
        <v>32</v>
      </c>
      <c r="V144" s="1" t="e">
        <v>#N/A</v>
      </c>
      <c r="W144" t="s">
        <v>47</v>
      </c>
      <c r="X144">
        <v>0</v>
      </c>
      <c r="Y144">
        <v>523</v>
      </c>
      <c r="AA144" t="str">
        <f t="shared" si="4"/>
        <v>update zamestnanci set nastup='104' where id='1134';</v>
      </c>
      <c r="AB144" t="str">
        <f t="shared" si="5"/>
        <v>update dochazka set zastavka = '104' where zamestnanec = '1134';</v>
      </c>
    </row>
    <row r="145" spans="1:28" x14ac:dyDescent="0.25">
      <c r="A145" s="2">
        <v>1136</v>
      </c>
      <c r="B145" t="s">
        <v>5084</v>
      </c>
      <c r="C145" t="s">
        <v>151</v>
      </c>
      <c r="D145" t="s">
        <v>5085</v>
      </c>
      <c r="E145" t="s">
        <v>3921</v>
      </c>
      <c r="F145" t="s">
        <v>67</v>
      </c>
      <c r="G145" s="1">
        <v>45516</v>
      </c>
      <c r="H145" s="1">
        <v>45516</v>
      </c>
      <c r="I145" s="1">
        <v>45516</v>
      </c>
      <c r="J145" s="2" t="s">
        <v>2410</v>
      </c>
      <c r="K145" t="s">
        <v>5086</v>
      </c>
      <c r="M145" s="16" t="s">
        <v>8539</v>
      </c>
      <c r="N145" s="16" t="str">
        <f>VLOOKUP(M145,Tab_Zast[[Zastávka]:[Sloupec1]],2,0)</f>
        <v>104</v>
      </c>
      <c r="O145" t="s">
        <v>5087</v>
      </c>
      <c r="P145">
        <v>1</v>
      </c>
      <c r="Q145">
        <v>0</v>
      </c>
      <c r="R145" t="s">
        <v>31</v>
      </c>
      <c r="S145" t="s">
        <v>31</v>
      </c>
      <c r="T145" t="s">
        <v>32</v>
      </c>
      <c r="V145" s="1" t="e">
        <v>#N/A</v>
      </c>
      <c r="W145" t="s">
        <v>47</v>
      </c>
      <c r="X145">
        <v>0</v>
      </c>
      <c r="Y145">
        <v>526</v>
      </c>
      <c r="AA145" t="str">
        <f t="shared" si="4"/>
        <v>update zamestnanci set nastup='104' where id='1136';</v>
      </c>
      <c r="AB145" t="str">
        <f t="shared" si="5"/>
        <v>update dochazka set zastavka = '104' where zamestnanec = '1136';</v>
      </c>
    </row>
    <row r="146" spans="1:28" x14ac:dyDescent="0.25">
      <c r="A146" s="2">
        <v>1157</v>
      </c>
      <c r="B146" t="s">
        <v>5077</v>
      </c>
      <c r="C146" t="s">
        <v>64</v>
      </c>
      <c r="D146" t="s">
        <v>5078</v>
      </c>
      <c r="E146" t="s">
        <v>1402</v>
      </c>
      <c r="F146" t="s">
        <v>67</v>
      </c>
      <c r="G146" s="1">
        <v>45523</v>
      </c>
      <c r="H146" s="1">
        <v>45523</v>
      </c>
      <c r="I146" s="1">
        <v>45523</v>
      </c>
      <c r="J146" s="2" t="s">
        <v>2410</v>
      </c>
      <c r="K146" t="s">
        <v>5079</v>
      </c>
      <c r="M146" s="16" t="s">
        <v>8539</v>
      </c>
      <c r="N146" s="16" t="str">
        <f>VLOOKUP(M146,Tab_Zast[[Zastávka]:[Sloupec1]],2,0)</f>
        <v>104</v>
      </c>
      <c r="O146" t="s">
        <v>5169</v>
      </c>
      <c r="P146">
        <v>1</v>
      </c>
      <c r="Q146">
        <v>0</v>
      </c>
      <c r="R146" t="s">
        <v>31</v>
      </c>
      <c r="S146" t="s">
        <v>31</v>
      </c>
      <c r="T146" t="s">
        <v>32</v>
      </c>
      <c r="V146" s="1" t="e">
        <v>#N/A</v>
      </c>
      <c r="W146" t="s">
        <v>47</v>
      </c>
      <c r="X146">
        <v>0</v>
      </c>
      <c r="Y146">
        <v>546</v>
      </c>
      <c r="AA146" t="str">
        <f t="shared" si="4"/>
        <v>update zamestnanci set nastup='104' where id='1157';</v>
      </c>
      <c r="AB146" t="str">
        <f t="shared" si="5"/>
        <v>update dochazka set zastavka = '104' where zamestnanec = '1157';</v>
      </c>
    </row>
    <row r="147" spans="1:28" x14ac:dyDescent="0.25">
      <c r="A147" s="2">
        <v>1161</v>
      </c>
      <c r="B147" t="s">
        <v>5182</v>
      </c>
      <c r="C147" t="s">
        <v>64</v>
      </c>
      <c r="D147" t="s">
        <v>5183</v>
      </c>
      <c r="E147" t="s">
        <v>1402</v>
      </c>
      <c r="F147" t="s">
        <v>5184</v>
      </c>
      <c r="G147" s="1">
        <v>45523</v>
      </c>
      <c r="H147" s="1">
        <v>45553</v>
      </c>
      <c r="I147" s="1">
        <v>73050</v>
      </c>
      <c r="J147" s="2" t="s">
        <v>2410</v>
      </c>
      <c r="K147" t="s">
        <v>5185</v>
      </c>
      <c r="M147" s="16" t="s">
        <v>8539</v>
      </c>
      <c r="N147" s="16" t="str">
        <f>VLOOKUP(M147,Tab_Zast[[Zastávka]:[Sloupec1]],2,0)</f>
        <v>104</v>
      </c>
      <c r="O147" t="s">
        <v>5186</v>
      </c>
      <c r="P147">
        <v>1</v>
      </c>
      <c r="Q147">
        <v>0</v>
      </c>
      <c r="R147" t="s">
        <v>31</v>
      </c>
      <c r="S147" t="s">
        <v>31</v>
      </c>
      <c r="T147" t="s">
        <v>32</v>
      </c>
      <c r="V147" s="1" t="e">
        <v>#N/A</v>
      </c>
      <c r="W147" t="s">
        <v>47</v>
      </c>
      <c r="X147">
        <v>0</v>
      </c>
      <c r="Y147">
        <v>550</v>
      </c>
      <c r="AA147" t="str">
        <f t="shared" si="4"/>
        <v>update zamestnanci set nastup='104' where id='1161';</v>
      </c>
      <c r="AB147" t="str">
        <f t="shared" si="5"/>
        <v>update dochazka set zastavka = '104' where zamestnanec = '1161';</v>
      </c>
    </row>
    <row r="148" spans="1:28" x14ac:dyDescent="0.25">
      <c r="A148" s="2">
        <v>1205</v>
      </c>
      <c r="B148" t="s">
        <v>5359</v>
      </c>
      <c r="C148" t="s">
        <v>151</v>
      </c>
      <c r="D148" t="s">
        <v>5360</v>
      </c>
      <c r="E148" t="s">
        <v>574</v>
      </c>
      <c r="F148" t="s">
        <v>67</v>
      </c>
      <c r="G148" s="1">
        <v>45538</v>
      </c>
      <c r="H148" s="1">
        <v>45538</v>
      </c>
      <c r="I148" s="1">
        <v>45538</v>
      </c>
      <c r="J148" s="2" t="s">
        <v>2410</v>
      </c>
      <c r="K148" t="s">
        <v>5361</v>
      </c>
      <c r="M148" s="16" t="s">
        <v>8539</v>
      </c>
      <c r="N148" s="16" t="str">
        <f>VLOOKUP(M148,Tab_Zast[[Zastávka]:[Sloupec1]],2,0)</f>
        <v>104</v>
      </c>
      <c r="O148" t="s">
        <v>5362</v>
      </c>
      <c r="P148">
        <v>1</v>
      </c>
      <c r="Q148">
        <v>0</v>
      </c>
      <c r="R148" t="s">
        <v>31</v>
      </c>
      <c r="S148" t="s">
        <v>31</v>
      </c>
      <c r="T148" t="s">
        <v>32</v>
      </c>
      <c r="V148" s="1" t="e">
        <v>#N/A</v>
      </c>
      <c r="W148" t="s">
        <v>47</v>
      </c>
      <c r="X148">
        <v>0</v>
      </c>
      <c r="Y148">
        <v>576</v>
      </c>
      <c r="AA148" t="str">
        <f t="shared" si="4"/>
        <v>update zamestnanci set nastup='104' where id='1205';</v>
      </c>
      <c r="AB148" t="str">
        <f t="shared" si="5"/>
        <v>update dochazka set zastavka = '104' where zamestnanec = '1205';</v>
      </c>
    </row>
    <row r="149" spans="1:28" x14ac:dyDescent="0.25">
      <c r="A149" s="2">
        <v>1233</v>
      </c>
      <c r="B149" t="s">
        <v>5470</v>
      </c>
      <c r="C149" t="s">
        <v>64</v>
      </c>
      <c r="D149" t="s">
        <v>5471</v>
      </c>
      <c r="E149" t="s">
        <v>182</v>
      </c>
      <c r="F149" t="s">
        <v>67</v>
      </c>
      <c r="G149" s="1">
        <v>45551</v>
      </c>
      <c r="H149" s="1">
        <v>45551</v>
      </c>
      <c r="I149" s="1">
        <v>45551</v>
      </c>
      <c r="J149" s="2" t="s">
        <v>2410</v>
      </c>
      <c r="K149" t="s">
        <v>5472</v>
      </c>
      <c r="M149" s="16" t="s">
        <v>8539</v>
      </c>
      <c r="N149" s="16" t="str">
        <f>VLOOKUP(M149,Tab_Zast[[Zastávka]:[Sloupec1]],2,0)</f>
        <v>104</v>
      </c>
      <c r="O149" t="s">
        <v>5473</v>
      </c>
      <c r="P149">
        <v>1</v>
      </c>
      <c r="Q149">
        <v>0</v>
      </c>
      <c r="R149" t="s">
        <v>31</v>
      </c>
      <c r="S149" t="s">
        <v>31</v>
      </c>
      <c r="T149" t="s">
        <v>32</v>
      </c>
      <c r="V149" s="1" t="e">
        <v>#N/A</v>
      </c>
      <c r="W149" t="s">
        <v>47</v>
      </c>
      <c r="X149">
        <v>0</v>
      </c>
      <c r="Y149">
        <v>624</v>
      </c>
      <c r="AA149" t="str">
        <f t="shared" si="4"/>
        <v>update zamestnanci set nastup='104' where id='1233';</v>
      </c>
      <c r="AB149" t="str">
        <f t="shared" si="5"/>
        <v>update dochazka set zastavka = '104' where zamestnanec = '1233';</v>
      </c>
    </row>
    <row r="150" spans="1:28" x14ac:dyDescent="0.25">
      <c r="A150" s="2">
        <v>1245</v>
      </c>
      <c r="B150" t="s">
        <v>5516</v>
      </c>
      <c r="C150" t="s">
        <v>64</v>
      </c>
      <c r="D150" t="s">
        <v>5471</v>
      </c>
      <c r="E150" t="s">
        <v>182</v>
      </c>
      <c r="F150" t="s">
        <v>5517</v>
      </c>
      <c r="G150" s="1">
        <v>45554</v>
      </c>
      <c r="H150" s="1">
        <v>45555</v>
      </c>
      <c r="I150" s="1">
        <v>73050</v>
      </c>
      <c r="J150" s="2" t="s">
        <v>2410</v>
      </c>
      <c r="K150" t="s">
        <v>5472</v>
      </c>
      <c r="M150" s="16" t="s">
        <v>8539</v>
      </c>
      <c r="N150" s="16" t="str">
        <f>VLOOKUP(M150,Tab_Zast[[Zastávka]:[Sloupec1]],2,0)</f>
        <v>104</v>
      </c>
      <c r="O150" t="s">
        <v>5473</v>
      </c>
      <c r="P150">
        <v>1</v>
      </c>
      <c r="Q150">
        <v>0</v>
      </c>
      <c r="R150" t="s">
        <v>31</v>
      </c>
      <c r="S150" t="s">
        <v>31</v>
      </c>
      <c r="T150" t="s">
        <v>32</v>
      </c>
      <c r="V150" s="1" t="e">
        <v>#N/A</v>
      </c>
      <c r="W150" t="s">
        <v>47</v>
      </c>
      <c r="X150">
        <v>0</v>
      </c>
      <c r="Y150">
        <v>636</v>
      </c>
      <c r="AA150" t="str">
        <f t="shared" si="4"/>
        <v>update zamestnanci set nastup='104' where id='1245';</v>
      </c>
      <c r="AB150" t="str">
        <f t="shared" si="5"/>
        <v>update dochazka set zastavka = '104' where zamestnanec = '1245';</v>
      </c>
    </row>
    <row r="151" spans="1:28" x14ac:dyDescent="0.25">
      <c r="A151" s="2">
        <v>1247</v>
      </c>
      <c r="B151" t="s">
        <v>5519</v>
      </c>
      <c r="C151" t="s">
        <v>64</v>
      </c>
      <c r="D151" t="s">
        <v>5520</v>
      </c>
      <c r="E151" t="s">
        <v>5521</v>
      </c>
      <c r="F151" t="s">
        <v>5522</v>
      </c>
      <c r="G151" s="1">
        <v>45554</v>
      </c>
      <c r="H151" s="1">
        <v>45559</v>
      </c>
      <c r="I151" s="1">
        <v>73050</v>
      </c>
      <c r="J151" s="2" t="s">
        <v>2410</v>
      </c>
      <c r="K151" t="s">
        <v>5523</v>
      </c>
      <c r="M151" s="16" t="s">
        <v>8539</v>
      </c>
      <c r="N151" s="16" t="str">
        <f>VLOOKUP(M151,Tab_Zast[[Zastávka]:[Sloupec1]],2,0)</f>
        <v>104</v>
      </c>
      <c r="O151" t="s">
        <v>5524</v>
      </c>
      <c r="P151">
        <v>1</v>
      </c>
      <c r="Q151">
        <v>0</v>
      </c>
      <c r="R151" t="s">
        <v>31</v>
      </c>
      <c r="S151" t="s">
        <v>31</v>
      </c>
      <c r="T151" t="s">
        <v>32</v>
      </c>
      <c r="V151" s="1" t="e">
        <v>#N/A</v>
      </c>
      <c r="W151" t="s">
        <v>47</v>
      </c>
      <c r="X151">
        <v>0</v>
      </c>
      <c r="Y151">
        <v>638</v>
      </c>
      <c r="AA151" t="str">
        <f t="shared" si="4"/>
        <v>update zamestnanci set nastup='104' where id='1247';</v>
      </c>
      <c r="AB151" t="str">
        <f t="shared" si="5"/>
        <v>update dochazka set zastavka = '104' where zamestnanec = '1247';</v>
      </c>
    </row>
    <row r="152" spans="1:28" x14ac:dyDescent="0.25">
      <c r="A152" s="2">
        <v>1248</v>
      </c>
      <c r="B152" t="s">
        <v>5525</v>
      </c>
      <c r="C152" t="s">
        <v>64</v>
      </c>
      <c r="D152" t="s">
        <v>5526</v>
      </c>
      <c r="E152" t="s">
        <v>755</v>
      </c>
      <c r="F152" t="s">
        <v>5527</v>
      </c>
      <c r="G152" s="1">
        <v>45554</v>
      </c>
      <c r="H152" s="1">
        <v>45572</v>
      </c>
      <c r="I152" s="1">
        <v>73050</v>
      </c>
      <c r="J152" s="2" t="s">
        <v>2410</v>
      </c>
      <c r="K152" t="s">
        <v>5528</v>
      </c>
      <c r="M152" s="16" t="s">
        <v>8539</v>
      </c>
      <c r="N152" s="16" t="str">
        <f>VLOOKUP(M152,Tab_Zast[[Zastávka]:[Sloupec1]],2,0)</f>
        <v>104</v>
      </c>
      <c r="O152" t="s">
        <v>5529</v>
      </c>
      <c r="P152">
        <v>1</v>
      </c>
      <c r="Q152">
        <v>0</v>
      </c>
      <c r="R152" t="s">
        <v>31</v>
      </c>
      <c r="S152" t="s">
        <v>31</v>
      </c>
      <c r="T152" t="s">
        <v>32</v>
      </c>
      <c r="V152" s="1" t="e">
        <v>#N/A</v>
      </c>
      <c r="W152" t="s">
        <v>47</v>
      </c>
      <c r="X152">
        <v>0</v>
      </c>
      <c r="Y152">
        <v>639</v>
      </c>
      <c r="AA152" t="str">
        <f t="shared" si="4"/>
        <v>update zamestnanci set nastup='104' where id='1248';</v>
      </c>
      <c r="AB152" t="str">
        <f t="shared" si="5"/>
        <v>update dochazka set zastavka = '104' where zamestnanec = '1248';</v>
      </c>
    </row>
    <row r="153" spans="1:28" x14ac:dyDescent="0.25">
      <c r="A153" s="2">
        <v>1303</v>
      </c>
      <c r="B153" t="s">
        <v>5754</v>
      </c>
      <c r="C153" t="s">
        <v>5610</v>
      </c>
      <c r="D153" t="s">
        <v>5256</v>
      </c>
      <c r="E153" t="s">
        <v>1402</v>
      </c>
      <c r="F153" t="s">
        <v>5610</v>
      </c>
      <c r="G153" s="1">
        <v>45579</v>
      </c>
      <c r="H153" s="1">
        <v>45579</v>
      </c>
      <c r="I153" s="1">
        <v>45579</v>
      </c>
      <c r="J153" s="2" t="s">
        <v>2410</v>
      </c>
      <c r="K153" t="s">
        <v>5755</v>
      </c>
      <c r="M153" s="16" t="s">
        <v>8539</v>
      </c>
      <c r="N153" s="16" t="str">
        <f>VLOOKUP(M153,Tab_Zast[[Zastávka]:[Sloupec1]],2,0)</f>
        <v>104</v>
      </c>
      <c r="O153" t="s">
        <v>5756</v>
      </c>
      <c r="P153">
        <v>1</v>
      </c>
      <c r="Q153">
        <v>0</v>
      </c>
      <c r="R153" t="s">
        <v>31</v>
      </c>
      <c r="S153" t="s">
        <v>31</v>
      </c>
      <c r="T153" t="s">
        <v>32</v>
      </c>
      <c r="V153" s="1" t="e">
        <v>#N/A</v>
      </c>
      <c r="W153" t="s">
        <v>47</v>
      </c>
      <c r="X153">
        <v>0</v>
      </c>
      <c r="Y153">
        <v>699</v>
      </c>
      <c r="AA153" t="str">
        <f t="shared" si="4"/>
        <v>update zamestnanci set nastup='104' where id='1303';</v>
      </c>
      <c r="AB153" t="str">
        <f t="shared" si="5"/>
        <v>update dochazka set zastavka = '104' where zamestnanec = '1303';</v>
      </c>
    </row>
    <row r="154" spans="1:28" x14ac:dyDescent="0.25">
      <c r="A154" s="2">
        <v>1304</v>
      </c>
      <c r="B154" t="s">
        <v>5757</v>
      </c>
      <c r="C154" t="s">
        <v>64</v>
      </c>
      <c r="D154" t="s">
        <v>444</v>
      </c>
      <c r="E154" t="s">
        <v>3204</v>
      </c>
      <c r="F154" t="s">
        <v>468</v>
      </c>
      <c r="G154" s="1">
        <v>45579</v>
      </c>
      <c r="H154" s="1">
        <v>45621</v>
      </c>
      <c r="I154" s="1">
        <v>45621</v>
      </c>
      <c r="J154" s="2" t="s">
        <v>2410</v>
      </c>
      <c r="K154" t="s">
        <v>5758</v>
      </c>
      <c r="M154" s="16" t="s">
        <v>8539</v>
      </c>
      <c r="N154" s="16" t="str">
        <f>VLOOKUP(M154,Tab_Zast[[Zastávka]:[Sloupec1]],2,0)</f>
        <v>104</v>
      </c>
      <c r="O154" t="s">
        <v>5759</v>
      </c>
      <c r="P154">
        <v>1</v>
      </c>
      <c r="Q154">
        <v>0</v>
      </c>
      <c r="R154" t="s">
        <v>31</v>
      </c>
      <c r="S154" t="s">
        <v>31</v>
      </c>
      <c r="T154" t="s">
        <v>32</v>
      </c>
      <c r="V154" s="1" t="e">
        <v>#N/A</v>
      </c>
      <c r="W154" t="s">
        <v>47</v>
      </c>
      <c r="X154">
        <v>0</v>
      </c>
      <c r="Y154">
        <v>700</v>
      </c>
      <c r="AA154" t="str">
        <f t="shared" si="4"/>
        <v>update zamestnanci set nastup='104' where id='1304';</v>
      </c>
      <c r="AB154" t="str">
        <f t="shared" si="5"/>
        <v>update dochazka set zastavka = '104' where zamestnanec = '1304';</v>
      </c>
    </row>
    <row r="155" spans="1:28" x14ac:dyDescent="0.25">
      <c r="A155" s="2">
        <v>1321</v>
      </c>
      <c r="B155" t="s">
        <v>5823</v>
      </c>
      <c r="C155" t="s">
        <v>64</v>
      </c>
      <c r="D155" t="s">
        <v>5824</v>
      </c>
      <c r="E155" t="s">
        <v>633</v>
      </c>
      <c r="F155" t="s">
        <v>5179</v>
      </c>
      <c r="G155" s="1">
        <v>45582</v>
      </c>
      <c r="H155" s="1">
        <v>45631</v>
      </c>
      <c r="I155" s="1">
        <v>45631</v>
      </c>
      <c r="J155" s="2" t="s">
        <v>2410</v>
      </c>
      <c r="K155" t="s">
        <v>5825</v>
      </c>
      <c r="M155" s="16" t="s">
        <v>8539</v>
      </c>
      <c r="N155" s="16" t="str">
        <f>VLOOKUP(M155,Tab_Zast[[Zastávka]:[Sloupec1]],2,0)</f>
        <v>104</v>
      </c>
      <c r="O155" t="s">
        <v>5826</v>
      </c>
      <c r="P155">
        <v>1</v>
      </c>
      <c r="Q155">
        <v>0</v>
      </c>
      <c r="R155" t="s">
        <v>31</v>
      </c>
      <c r="S155" t="s">
        <v>31</v>
      </c>
      <c r="T155" t="s">
        <v>32</v>
      </c>
      <c r="V155" s="1" t="e">
        <v>#N/A</v>
      </c>
      <c r="W155" t="s">
        <v>47</v>
      </c>
      <c r="X155">
        <v>0</v>
      </c>
      <c r="Y155">
        <v>710</v>
      </c>
      <c r="AA155" t="str">
        <f t="shared" si="4"/>
        <v>update zamestnanci set nastup='104' where id='1321';</v>
      </c>
      <c r="AB155" t="str">
        <f t="shared" si="5"/>
        <v>update dochazka set zastavka = '104' where zamestnanec = '1321';</v>
      </c>
    </row>
    <row r="156" spans="1:28" x14ac:dyDescent="0.25">
      <c r="A156" s="2">
        <v>1323</v>
      </c>
      <c r="B156" t="s">
        <v>5832</v>
      </c>
      <c r="C156" t="s">
        <v>5610</v>
      </c>
      <c r="D156" t="s">
        <v>5833</v>
      </c>
      <c r="E156" t="s">
        <v>2966</v>
      </c>
      <c r="F156" t="s">
        <v>5834</v>
      </c>
      <c r="G156" s="1">
        <v>45586</v>
      </c>
      <c r="H156" s="1">
        <v>45733</v>
      </c>
      <c r="I156" s="1">
        <v>73050</v>
      </c>
      <c r="J156" s="2" t="s">
        <v>2410</v>
      </c>
      <c r="K156" t="s">
        <v>5835</v>
      </c>
      <c r="M156" s="16" t="s">
        <v>8539</v>
      </c>
      <c r="N156" s="16" t="str">
        <f>VLOOKUP(M156,Tab_Zast[[Zastávka]:[Sloupec1]],2,0)</f>
        <v>104</v>
      </c>
      <c r="O156" t="s">
        <v>5836</v>
      </c>
      <c r="P156">
        <v>1</v>
      </c>
      <c r="Q156">
        <v>0</v>
      </c>
      <c r="R156" t="s">
        <v>31</v>
      </c>
      <c r="S156" t="s">
        <v>31</v>
      </c>
      <c r="T156" t="s">
        <v>32</v>
      </c>
      <c r="V156" s="1" t="e">
        <v>#N/A</v>
      </c>
      <c r="W156" t="s">
        <v>47</v>
      </c>
      <c r="X156">
        <v>0</v>
      </c>
      <c r="Y156">
        <v>720</v>
      </c>
      <c r="AA156" t="str">
        <f t="shared" si="4"/>
        <v>update zamestnanci set nastup='104' where id='1323';</v>
      </c>
      <c r="AB156" t="str">
        <f t="shared" si="5"/>
        <v>update dochazka set zastavka = '104' where zamestnanec = '1323';</v>
      </c>
    </row>
    <row r="157" spans="1:28" x14ac:dyDescent="0.25">
      <c r="A157" s="2">
        <v>1324</v>
      </c>
      <c r="B157" t="s">
        <v>5837</v>
      </c>
      <c r="C157" t="s">
        <v>64</v>
      </c>
      <c r="D157" t="s">
        <v>5838</v>
      </c>
      <c r="E157" t="s">
        <v>2883</v>
      </c>
      <c r="F157" t="s">
        <v>357</v>
      </c>
      <c r="G157" s="1">
        <v>45586</v>
      </c>
      <c r="H157" s="1">
        <v>45719</v>
      </c>
      <c r="I157" s="1">
        <v>73050</v>
      </c>
      <c r="J157" s="2" t="s">
        <v>2410</v>
      </c>
      <c r="K157" t="s">
        <v>5839</v>
      </c>
      <c r="M157" s="16" t="s">
        <v>8539</v>
      </c>
      <c r="N157" s="16" t="str">
        <f>VLOOKUP(M157,Tab_Zast[[Zastávka]:[Sloupec1]],2,0)</f>
        <v>104</v>
      </c>
      <c r="O157" t="s">
        <v>5840</v>
      </c>
      <c r="P157">
        <v>1</v>
      </c>
      <c r="Q157">
        <v>0</v>
      </c>
      <c r="R157" t="s">
        <v>31</v>
      </c>
      <c r="S157" t="s">
        <v>31</v>
      </c>
      <c r="T157" t="s">
        <v>32</v>
      </c>
      <c r="V157" s="1" t="e">
        <v>#N/A</v>
      </c>
      <c r="W157" t="s">
        <v>47</v>
      </c>
      <c r="X157">
        <v>0</v>
      </c>
      <c r="Y157">
        <v>721</v>
      </c>
      <c r="AA157" t="str">
        <f t="shared" si="4"/>
        <v>update zamestnanci set nastup='104' where id='1324';</v>
      </c>
      <c r="AB157" t="str">
        <f t="shared" si="5"/>
        <v>update dochazka set zastavka = '104' where zamestnanec = '1324';</v>
      </c>
    </row>
    <row r="158" spans="1:28" x14ac:dyDescent="0.25">
      <c r="A158" s="2">
        <v>1362</v>
      </c>
      <c r="B158" t="s">
        <v>5977</v>
      </c>
      <c r="C158" t="s">
        <v>64</v>
      </c>
      <c r="D158" t="s">
        <v>5978</v>
      </c>
      <c r="E158" t="s">
        <v>5979</v>
      </c>
      <c r="F158" t="s">
        <v>64</v>
      </c>
      <c r="G158" s="1">
        <v>45607</v>
      </c>
      <c r="H158" s="1">
        <v>45607</v>
      </c>
      <c r="I158" s="1">
        <v>45607</v>
      </c>
      <c r="J158" s="2" t="s">
        <v>2410</v>
      </c>
      <c r="K158" t="s">
        <v>5980</v>
      </c>
      <c r="M158" s="16" t="s">
        <v>8539</v>
      </c>
      <c r="N158" s="16" t="str">
        <f>VLOOKUP(M158,Tab_Zast[[Zastávka]:[Sloupec1]],2,0)</f>
        <v>104</v>
      </c>
      <c r="O158" t="s">
        <v>5981</v>
      </c>
      <c r="P158">
        <v>1</v>
      </c>
      <c r="Q158">
        <v>0</v>
      </c>
      <c r="R158" t="s">
        <v>31</v>
      </c>
      <c r="S158" t="s">
        <v>31</v>
      </c>
      <c r="T158" t="s">
        <v>32</v>
      </c>
      <c r="V158" s="1" t="e">
        <v>#N/A</v>
      </c>
      <c r="W158" t="s">
        <v>47</v>
      </c>
      <c r="X158">
        <v>0</v>
      </c>
      <c r="Y158">
        <v>753</v>
      </c>
      <c r="AA158" t="str">
        <f t="shared" si="4"/>
        <v>update zamestnanci set nastup='104' where id='1362';</v>
      </c>
      <c r="AB158" t="str">
        <f t="shared" si="5"/>
        <v>update dochazka set zastavka = '104' where zamestnanec = '1362';</v>
      </c>
    </row>
    <row r="159" spans="1:28" x14ac:dyDescent="0.25">
      <c r="A159" s="2">
        <v>1385</v>
      </c>
      <c r="B159" t="s">
        <v>6072</v>
      </c>
      <c r="C159" t="s">
        <v>64</v>
      </c>
      <c r="D159" t="s">
        <v>6073</v>
      </c>
      <c r="E159" t="s">
        <v>3152</v>
      </c>
      <c r="F159" t="s">
        <v>64</v>
      </c>
      <c r="G159" s="1">
        <v>45614</v>
      </c>
      <c r="H159" s="1">
        <v>45614</v>
      </c>
      <c r="I159" s="1">
        <v>73050</v>
      </c>
      <c r="J159" s="2" t="s">
        <v>2410</v>
      </c>
      <c r="K159" t="s">
        <v>6074</v>
      </c>
      <c r="M159" s="16" t="s">
        <v>8539</v>
      </c>
      <c r="N159" s="16" t="str">
        <f>VLOOKUP(M159,Tab_Zast[[Zastávka]:[Sloupec1]],2,0)</f>
        <v>104</v>
      </c>
      <c r="O159" t="s">
        <v>6075</v>
      </c>
      <c r="P159">
        <v>1</v>
      </c>
      <c r="Q159">
        <v>0</v>
      </c>
      <c r="R159" t="s">
        <v>31</v>
      </c>
      <c r="S159" t="s">
        <v>31</v>
      </c>
      <c r="T159" t="s">
        <v>32</v>
      </c>
      <c r="V159" s="1">
        <v>45614</v>
      </c>
      <c r="W159" t="s">
        <v>47</v>
      </c>
      <c r="X159">
        <v>0</v>
      </c>
      <c r="Y159">
        <v>774</v>
      </c>
      <c r="AA159" t="str">
        <f t="shared" si="4"/>
        <v>update zamestnanci set nastup='104' where id='1385';</v>
      </c>
      <c r="AB159" t="str">
        <f t="shared" si="5"/>
        <v>update dochazka set zastavka = '104' where zamestnanec = '1385';</v>
      </c>
    </row>
    <row r="160" spans="1:28" x14ac:dyDescent="0.25">
      <c r="A160" s="2">
        <v>1386</v>
      </c>
      <c r="B160" t="s">
        <v>6076</v>
      </c>
      <c r="C160" t="s">
        <v>64</v>
      </c>
      <c r="D160" t="s">
        <v>6077</v>
      </c>
      <c r="E160" t="s">
        <v>3697</v>
      </c>
      <c r="F160" t="s">
        <v>6078</v>
      </c>
      <c r="G160" s="1">
        <v>45617</v>
      </c>
      <c r="H160" s="1">
        <v>45930</v>
      </c>
      <c r="I160" s="1">
        <v>73050</v>
      </c>
      <c r="J160" s="2" t="s">
        <v>2410</v>
      </c>
      <c r="K160" t="s">
        <v>6079</v>
      </c>
      <c r="M160" s="16" t="s">
        <v>8539</v>
      </c>
      <c r="N160" s="16" t="str">
        <f>VLOOKUP(M160,Tab_Zast[[Zastávka]:[Sloupec1]],2,0)</f>
        <v>104</v>
      </c>
      <c r="O160" t="s">
        <v>6080</v>
      </c>
      <c r="P160">
        <v>1</v>
      </c>
      <c r="Q160">
        <v>0</v>
      </c>
      <c r="R160" t="s">
        <v>31</v>
      </c>
      <c r="S160" t="s">
        <v>31</v>
      </c>
      <c r="T160" t="s">
        <v>32</v>
      </c>
      <c r="V160" s="1">
        <v>45835</v>
      </c>
      <c r="W160" t="s">
        <v>47</v>
      </c>
      <c r="X160">
        <v>0</v>
      </c>
      <c r="Y160">
        <v>776</v>
      </c>
      <c r="AA160" t="str">
        <f t="shared" si="4"/>
        <v>update zamestnanci set nastup='104' where id='1386';</v>
      </c>
      <c r="AB160" t="str">
        <f t="shared" si="5"/>
        <v>update dochazka set zastavka = '104' where zamestnanec = '1386';</v>
      </c>
    </row>
    <row r="161" spans="1:28" x14ac:dyDescent="0.25">
      <c r="A161" s="2">
        <v>1490</v>
      </c>
      <c r="B161" t="s">
        <v>6474</v>
      </c>
      <c r="C161" t="s">
        <v>569</v>
      </c>
      <c r="D161" t="s">
        <v>6475</v>
      </c>
      <c r="E161" t="s">
        <v>743</v>
      </c>
      <c r="F161" t="s">
        <v>569</v>
      </c>
      <c r="G161" s="1">
        <v>45715</v>
      </c>
      <c r="H161" s="1">
        <v>45756</v>
      </c>
      <c r="I161" s="1">
        <v>73050</v>
      </c>
      <c r="J161" s="2" t="s">
        <v>2410</v>
      </c>
      <c r="K161" t="s">
        <v>6476</v>
      </c>
      <c r="M161" s="16" t="s">
        <v>8539</v>
      </c>
      <c r="N161" s="16" t="str">
        <f>VLOOKUP(M161,Tab_Zast[[Zastávka]:[Sloupec1]],2,0)</f>
        <v>104</v>
      </c>
      <c r="O161" t="s">
        <v>6477</v>
      </c>
      <c r="P161">
        <v>1</v>
      </c>
      <c r="Q161">
        <v>0</v>
      </c>
      <c r="R161" t="s">
        <v>31</v>
      </c>
      <c r="S161" t="s">
        <v>31</v>
      </c>
      <c r="T161" t="s">
        <v>32</v>
      </c>
      <c r="V161" s="1" t="e">
        <v>#N/A</v>
      </c>
      <c r="W161" t="s">
        <v>47</v>
      </c>
      <c r="X161">
        <v>0</v>
      </c>
      <c r="Y161">
        <v>881</v>
      </c>
      <c r="AA161" t="str">
        <f t="shared" si="4"/>
        <v>update zamestnanci set nastup='104' where id='1490';</v>
      </c>
      <c r="AB161" t="str">
        <f t="shared" si="5"/>
        <v>update dochazka set zastavka = '104' where zamestnanec = '1490';</v>
      </c>
    </row>
    <row r="162" spans="1:28" x14ac:dyDescent="0.25">
      <c r="A162" s="2">
        <v>1491</v>
      </c>
      <c r="B162" t="s">
        <v>6478</v>
      </c>
      <c r="C162" t="s">
        <v>569</v>
      </c>
      <c r="D162" t="s">
        <v>6479</v>
      </c>
      <c r="E162" t="s">
        <v>3152</v>
      </c>
      <c r="F162" t="s">
        <v>1394</v>
      </c>
      <c r="G162" s="1">
        <v>45715</v>
      </c>
      <c r="H162" s="1">
        <v>45727</v>
      </c>
      <c r="I162" s="1">
        <v>73050</v>
      </c>
      <c r="J162" s="2" t="s">
        <v>2410</v>
      </c>
      <c r="K162" t="s">
        <v>6480</v>
      </c>
      <c r="M162" s="16" t="s">
        <v>8539</v>
      </c>
      <c r="N162" s="16" t="str">
        <f>VLOOKUP(M162,Tab_Zast[[Zastávka]:[Sloupec1]],2,0)</f>
        <v>104</v>
      </c>
      <c r="O162" t="s">
        <v>5186</v>
      </c>
      <c r="P162">
        <v>1</v>
      </c>
      <c r="Q162">
        <v>0</v>
      </c>
      <c r="R162" t="s">
        <v>31</v>
      </c>
      <c r="S162" t="s">
        <v>31</v>
      </c>
      <c r="T162" t="s">
        <v>32</v>
      </c>
      <c r="V162" s="1">
        <v>45724</v>
      </c>
      <c r="W162" t="s">
        <v>47</v>
      </c>
      <c r="X162">
        <v>0</v>
      </c>
      <c r="Y162">
        <v>882</v>
      </c>
      <c r="AA162" t="str">
        <f t="shared" si="4"/>
        <v>update zamestnanci set nastup='104' where id='1491';</v>
      </c>
      <c r="AB162" t="str">
        <f t="shared" si="5"/>
        <v>update dochazka set zastavka = '104' where zamestnanec = '1491';</v>
      </c>
    </row>
    <row r="163" spans="1:28" x14ac:dyDescent="0.25">
      <c r="A163" s="2">
        <v>1513</v>
      </c>
      <c r="B163" t="s">
        <v>6560</v>
      </c>
      <c r="C163" t="s">
        <v>569</v>
      </c>
      <c r="D163" t="s">
        <v>6561</v>
      </c>
      <c r="E163" t="s">
        <v>3152</v>
      </c>
      <c r="F163" t="s">
        <v>357</v>
      </c>
      <c r="G163" s="1">
        <v>45726</v>
      </c>
      <c r="H163" s="1">
        <v>45726</v>
      </c>
      <c r="I163" s="1">
        <v>73050</v>
      </c>
      <c r="J163" s="2" t="s">
        <v>2410</v>
      </c>
      <c r="K163" t="s">
        <v>6562</v>
      </c>
      <c r="M163" s="16" t="s">
        <v>8539</v>
      </c>
      <c r="N163" s="16" t="str">
        <f>VLOOKUP(M163,Tab_Zast[[Zastávka]:[Sloupec1]],2,0)</f>
        <v>104</v>
      </c>
      <c r="O163" t="s">
        <v>6563</v>
      </c>
      <c r="P163">
        <v>1</v>
      </c>
      <c r="Q163">
        <v>0</v>
      </c>
      <c r="R163" t="s">
        <v>31</v>
      </c>
      <c r="S163" t="s">
        <v>31</v>
      </c>
      <c r="T163" t="s">
        <v>32</v>
      </c>
      <c r="V163" s="1" t="e">
        <v>#N/A</v>
      </c>
      <c r="W163" t="s">
        <v>47</v>
      </c>
      <c r="X163">
        <v>0</v>
      </c>
      <c r="Y163">
        <v>904</v>
      </c>
      <c r="AA163" t="str">
        <f t="shared" si="4"/>
        <v>update zamestnanci set nastup='104' where id='1513';</v>
      </c>
      <c r="AB163" t="str">
        <f t="shared" si="5"/>
        <v>update dochazka set zastavka = '104' where zamestnanec = '1513';</v>
      </c>
    </row>
    <row r="164" spans="1:28" x14ac:dyDescent="0.25">
      <c r="A164" s="2">
        <v>1532</v>
      </c>
      <c r="B164" t="s">
        <v>6626</v>
      </c>
      <c r="C164" t="s">
        <v>569</v>
      </c>
      <c r="D164" t="s">
        <v>2657</v>
      </c>
      <c r="E164" t="s">
        <v>2451</v>
      </c>
      <c r="F164" t="s">
        <v>6627</v>
      </c>
      <c r="G164" s="1">
        <v>45733</v>
      </c>
      <c r="H164" s="1">
        <v>73050</v>
      </c>
      <c r="I164" s="1" t="e">
        <v>#N/A</v>
      </c>
      <c r="J164" s="2" t="s">
        <v>2410</v>
      </c>
      <c r="K164" t="s">
        <v>6628</v>
      </c>
      <c r="M164" s="16" t="s">
        <v>8539</v>
      </c>
      <c r="N164" s="16" t="str">
        <f>VLOOKUP(M164,Tab_Zast[[Zastávka]:[Sloupec1]],2,0)</f>
        <v>104</v>
      </c>
      <c r="O164" t="s">
        <v>6629</v>
      </c>
      <c r="P164">
        <v>1</v>
      </c>
      <c r="Q164">
        <v>0</v>
      </c>
      <c r="R164" t="s">
        <v>129</v>
      </c>
      <c r="S164" t="s">
        <v>31</v>
      </c>
      <c r="T164" t="s">
        <v>32</v>
      </c>
      <c r="V164" s="1" t="e">
        <v>#N/A</v>
      </c>
      <c r="W164" t="s">
        <v>47</v>
      </c>
      <c r="X164">
        <v>1</v>
      </c>
      <c r="Y164">
        <v>922</v>
      </c>
      <c r="AA164" t="str">
        <f t="shared" si="4"/>
        <v>update zamestnanci set nastup='104' where id='1532';</v>
      </c>
      <c r="AB164" t="str">
        <f t="shared" si="5"/>
        <v>update dochazka set zastavka = '104' where zamestnanec = '1532';</v>
      </c>
    </row>
    <row r="165" spans="1:28" x14ac:dyDescent="0.25">
      <c r="A165" s="2">
        <v>1604</v>
      </c>
      <c r="B165" t="s">
        <v>6893</v>
      </c>
      <c r="C165" t="s">
        <v>569</v>
      </c>
      <c r="D165" t="s">
        <v>6894</v>
      </c>
      <c r="E165" t="s">
        <v>2451</v>
      </c>
      <c r="F165" t="s">
        <v>5162</v>
      </c>
      <c r="G165" s="1">
        <v>45770</v>
      </c>
      <c r="H165" s="1">
        <v>45770</v>
      </c>
      <c r="I165" s="1">
        <v>73050</v>
      </c>
      <c r="J165" s="2" t="s">
        <v>2410</v>
      </c>
      <c r="K165" t="s">
        <v>6895</v>
      </c>
      <c r="M165" s="16" t="s">
        <v>8539</v>
      </c>
      <c r="N165" s="16" t="str">
        <f>VLOOKUP(M165,Tab_Zast[[Zastávka]:[Sloupec1]],2,0)</f>
        <v>104</v>
      </c>
      <c r="O165" t="s">
        <v>6896</v>
      </c>
      <c r="P165">
        <v>1</v>
      </c>
      <c r="Q165">
        <v>0</v>
      </c>
      <c r="R165" t="s">
        <v>31</v>
      </c>
      <c r="S165" t="s">
        <v>31</v>
      </c>
      <c r="T165" t="s">
        <v>32</v>
      </c>
      <c r="V165" s="1" t="e">
        <v>#N/A</v>
      </c>
      <c r="W165" t="s">
        <v>47</v>
      </c>
      <c r="X165">
        <v>0</v>
      </c>
      <c r="Y165">
        <v>996</v>
      </c>
      <c r="AA165" t="str">
        <f t="shared" si="4"/>
        <v>update zamestnanci set nastup='104' where id='1604';</v>
      </c>
      <c r="AB165" t="str">
        <f t="shared" si="5"/>
        <v>update dochazka set zastavka = '104' where zamestnanec = '1604';</v>
      </c>
    </row>
    <row r="166" spans="1:28" x14ac:dyDescent="0.25">
      <c r="A166" s="2">
        <v>1609</v>
      </c>
      <c r="B166" t="s">
        <v>6914</v>
      </c>
      <c r="C166" t="s">
        <v>357</v>
      </c>
      <c r="D166" t="s">
        <v>6915</v>
      </c>
      <c r="E166" t="s">
        <v>695</v>
      </c>
      <c r="F166" t="s">
        <v>357</v>
      </c>
      <c r="G166" s="1">
        <v>45775</v>
      </c>
      <c r="H166" s="1">
        <v>45775</v>
      </c>
      <c r="I166" s="1">
        <v>45775</v>
      </c>
      <c r="J166" s="2" t="s">
        <v>2410</v>
      </c>
      <c r="K166" t="s">
        <v>6916</v>
      </c>
      <c r="M166" s="16" t="s">
        <v>8539</v>
      </c>
      <c r="N166" s="16" t="str">
        <f>VLOOKUP(M166,Tab_Zast[[Zastávka]:[Sloupec1]],2,0)</f>
        <v>104</v>
      </c>
      <c r="O166" t="s">
        <v>6917</v>
      </c>
      <c r="P166">
        <v>1</v>
      </c>
      <c r="Q166">
        <v>0</v>
      </c>
      <c r="R166" t="s">
        <v>31</v>
      </c>
      <c r="S166" t="s">
        <v>31</v>
      </c>
      <c r="T166" t="s">
        <v>32</v>
      </c>
      <c r="V166" s="1" t="e">
        <v>#N/A</v>
      </c>
      <c r="W166" t="s">
        <v>47</v>
      </c>
      <c r="X166">
        <v>0</v>
      </c>
      <c r="Y166">
        <v>1002</v>
      </c>
      <c r="AA166" t="str">
        <f t="shared" si="4"/>
        <v>update zamestnanci set nastup='104' where id='1609';</v>
      </c>
      <c r="AB166" t="str">
        <f t="shared" si="5"/>
        <v>update dochazka set zastavka = '104' where zamestnanec = '1609';</v>
      </c>
    </row>
    <row r="167" spans="1:28" x14ac:dyDescent="0.25">
      <c r="A167" s="2">
        <v>1610</v>
      </c>
      <c r="B167" t="s">
        <v>6918</v>
      </c>
      <c r="C167" t="s">
        <v>357</v>
      </c>
      <c r="D167" t="s">
        <v>6894</v>
      </c>
      <c r="E167" t="s">
        <v>2451</v>
      </c>
      <c r="F167" t="s">
        <v>569</v>
      </c>
      <c r="G167" s="1">
        <v>45775</v>
      </c>
      <c r="H167" s="1">
        <v>45789</v>
      </c>
      <c r="I167" s="1">
        <v>73050</v>
      </c>
      <c r="J167" s="2" t="s">
        <v>2410</v>
      </c>
      <c r="K167" t="s">
        <v>6895</v>
      </c>
      <c r="M167" s="16" t="s">
        <v>8539</v>
      </c>
      <c r="N167" s="16" t="str">
        <f>VLOOKUP(M167,Tab_Zast[[Zastávka]:[Sloupec1]],2,0)</f>
        <v>104</v>
      </c>
      <c r="O167" t="s">
        <v>6919</v>
      </c>
      <c r="P167">
        <v>1</v>
      </c>
      <c r="Q167">
        <v>0</v>
      </c>
      <c r="R167" t="s">
        <v>31</v>
      </c>
      <c r="S167" t="s">
        <v>31</v>
      </c>
      <c r="T167" t="s">
        <v>32</v>
      </c>
      <c r="V167" s="1" t="e">
        <v>#N/A</v>
      </c>
      <c r="W167" t="s">
        <v>47</v>
      </c>
      <c r="X167">
        <v>0</v>
      </c>
      <c r="Y167">
        <v>1003</v>
      </c>
      <c r="AA167" t="str">
        <f t="shared" si="4"/>
        <v>update zamestnanci set nastup='104' where id='1610';</v>
      </c>
      <c r="AB167" t="str">
        <f t="shared" si="5"/>
        <v>update dochazka set zastavka = '104' where zamestnanec = '1610';</v>
      </c>
    </row>
    <row r="168" spans="1:28" x14ac:dyDescent="0.25">
      <c r="A168" s="2">
        <v>1611</v>
      </c>
      <c r="B168" t="s">
        <v>6920</v>
      </c>
      <c r="C168" t="s">
        <v>569</v>
      </c>
      <c r="D168" t="s">
        <v>6921</v>
      </c>
      <c r="E168" t="s">
        <v>6922</v>
      </c>
      <c r="F168" t="s">
        <v>357</v>
      </c>
      <c r="G168" s="1">
        <v>45775</v>
      </c>
      <c r="H168" s="1">
        <v>45987</v>
      </c>
      <c r="I168" s="1" t="e">
        <v>#N/A</v>
      </c>
      <c r="J168" s="2" t="s">
        <v>2410</v>
      </c>
      <c r="K168" t="s">
        <v>6923</v>
      </c>
      <c r="M168" s="16" t="s">
        <v>8539</v>
      </c>
      <c r="N168" s="16" t="str">
        <f>VLOOKUP(M168,Tab_Zast[[Zastávka]:[Sloupec1]],2,0)</f>
        <v>104</v>
      </c>
      <c r="O168" t="s">
        <v>6924</v>
      </c>
      <c r="P168">
        <v>1</v>
      </c>
      <c r="Q168">
        <v>0</v>
      </c>
      <c r="R168" t="s">
        <v>31</v>
      </c>
      <c r="S168" t="s">
        <v>31</v>
      </c>
      <c r="T168" t="s">
        <v>32</v>
      </c>
      <c r="V168" s="1" t="e">
        <v>#N/A</v>
      </c>
      <c r="W168" t="s">
        <v>47</v>
      </c>
      <c r="X168">
        <v>0</v>
      </c>
      <c r="Y168">
        <v>1005</v>
      </c>
      <c r="AA168" t="str">
        <f t="shared" si="4"/>
        <v>update zamestnanci set nastup='104' where id='1611';</v>
      </c>
      <c r="AB168" t="str">
        <f t="shared" si="5"/>
        <v>update dochazka set zastavka = '104' where zamestnanec = '1611';</v>
      </c>
    </row>
    <row r="169" spans="1:28" x14ac:dyDescent="0.25">
      <c r="A169" s="2">
        <v>1619</v>
      </c>
      <c r="B169" t="s">
        <v>6956</v>
      </c>
      <c r="C169" t="s">
        <v>569</v>
      </c>
      <c r="D169" t="s">
        <v>6957</v>
      </c>
      <c r="E169" t="s">
        <v>3321</v>
      </c>
      <c r="F169" t="s">
        <v>569</v>
      </c>
      <c r="G169" s="1">
        <v>45782</v>
      </c>
      <c r="H169" s="1">
        <v>45782</v>
      </c>
      <c r="I169" s="1">
        <v>73050</v>
      </c>
      <c r="J169" s="2" t="s">
        <v>2410</v>
      </c>
      <c r="K169" t="s">
        <v>6958</v>
      </c>
      <c r="M169" s="16" t="s">
        <v>8539</v>
      </c>
      <c r="N169" s="16" t="str">
        <f>VLOOKUP(M169,Tab_Zast[[Zastávka]:[Sloupec1]],2,0)</f>
        <v>104</v>
      </c>
      <c r="O169" t="s">
        <v>6959</v>
      </c>
      <c r="P169">
        <v>1</v>
      </c>
      <c r="Q169">
        <v>0</v>
      </c>
      <c r="R169" t="s">
        <v>31</v>
      </c>
      <c r="S169" t="s">
        <v>31</v>
      </c>
      <c r="T169" t="s">
        <v>32</v>
      </c>
      <c r="V169" s="1" t="e">
        <v>#N/A</v>
      </c>
      <c r="W169" t="s">
        <v>47</v>
      </c>
      <c r="X169">
        <v>0</v>
      </c>
      <c r="Y169">
        <v>1012</v>
      </c>
      <c r="AA169" t="str">
        <f t="shared" si="4"/>
        <v>update zamestnanci set nastup='104' where id='1619';</v>
      </c>
      <c r="AB169" t="str">
        <f t="shared" si="5"/>
        <v>update dochazka set zastavka = '104' where zamestnanec = '1619';</v>
      </c>
    </row>
    <row r="170" spans="1:28" x14ac:dyDescent="0.25">
      <c r="A170" s="2">
        <v>1627</v>
      </c>
      <c r="B170" t="s">
        <v>64</v>
      </c>
      <c r="C170" t="s">
        <v>3594</v>
      </c>
      <c r="D170" t="s">
        <v>6277</v>
      </c>
      <c r="E170" t="s">
        <v>2705</v>
      </c>
      <c r="F170" t="s">
        <v>357</v>
      </c>
      <c r="G170" s="1">
        <v>45789</v>
      </c>
      <c r="H170" s="1">
        <v>45797</v>
      </c>
      <c r="I170" s="1">
        <v>73050</v>
      </c>
      <c r="J170" s="2" t="s">
        <v>2410</v>
      </c>
      <c r="K170" t="s">
        <v>6987</v>
      </c>
      <c r="M170" s="16" t="s">
        <v>8539</v>
      </c>
      <c r="N170" s="16" t="str">
        <f>VLOOKUP(M170,Tab_Zast[[Zastávka]:[Sloupec1]],2,0)</f>
        <v>104</v>
      </c>
      <c r="O170" t="s">
        <v>6988</v>
      </c>
      <c r="P170">
        <v>1</v>
      </c>
      <c r="Q170">
        <v>0</v>
      </c>
      <c r="R170" t="s">
        <v>129</v>
      </c>
      <c r="S170" t="s">
        <v>179</v>
      </c>
      <c r="T170" t="s">
        <v>32</v>
      </c>
      <c r="V170" s="1" t="e">
        <v>#N/A</v>
      </c>
      <c r="W170" t="s">
        <v>47</v>
      </c>
      <c r="X170">
        <v>0</v>
      </c>
      <c r="Y170">
        <v>1027</v>
      </c>
      <c r="AA170" t="str">
        <f t="shared" si="4"/>
        <v>update zamestnanci set nastup='104' where id='1627';</v>
      </c>
      <c r="AB170" t="str">
        <f t="shared" si="5"/>
        <v>update dochazka set zastavka = '104' where zamestnanec = '1627';</v>
      </c>
    </row>
    <row r="171" spans="1:28" x14ac:dyDescent="0.25">
      <c r="A171" s="2">
        <v>1628</v>
      </c>
      <c r="B171" t="s">
        <v>64</v>
      </c>
      <c r="C171" t="s">
        <v>357</v>
      </c>
      <c r="D171" t="s">
        <v>5917</v>
      </c>
      <c r="E171" t="s">
        <v>2120</v>
      </c>
      <c r="F171" t="s">
        <v>1394</v>
      </c>
      <c r="G171" s="1">
        <v>45789</v>
      </c>
      <c r="H171" s="1">
        <v>45797</v>
      </c>
      <c r="I171" s="1">
        <v>73050</v>
      </c>
      <c r="J171" s="2" t="s">
        <v>2410</v>
      </c>
      <c r="K171" t="s">
        <v>6989</v>
      </c>
      <c r="M171" s="16" t="s">
        <v>8539</v>
      </c>
      <c r="N171" s="16" t="str">
        <f>VLOOKUP(M171,Tab_Zast[[Zastávka]:[Sloupec1]],2,0)</f>
        <v>104</v>
      </c>
      <c r="O171" t="s">
        <v>6988</v>
      </c>
      <c r="P171">
        <v>1</v>
      </c>
      <c r="Q171">
        <v>0</v>
      </c>
      <c r="R171" t="s">
        <v>129</v>
      </c>
      <c r="S171" t="s">
        <v>179</v>
      </c>
      <c r="T171" t="s">
        <v>32</v>
      </c>
      <c r="V171" s="1" t="e">
        <v>#N/A</v>
      </c>
      <c r="W171" t="s">
        <v>47</v>
      </c>
      <c r="X171">
        <v>0</v>
      </c>
      <c r="Y171">
        <v>1028</v>
      </c>
      <c r="AA171" t="str">
        <f t="shared" si="4"/>
        <v>update zamestnanci set nastup='104' where id='1628';</v>
      </c>
      <c r="AB171" t="str">
        <f t="shared" si="5"/>
        <v>update dochazka set zastavka = '104' where zamestnanec = '1628';</v>
      </c>
    </row>
    <row r="172" spans="1:28" x14ac:dyDescent="0.25">
      <c r="A172" s="2">
        <v>1656</v>
      </c>
      <c r="B172" t="s">
        <v>7078</v>
      </c>
      <c r="C172" t="s">
        <v>569</v>
      </c>
      <c r="D172" t="s">
        <v>1787</v>
      </c>
      <c r="E172" t="s">
        <v>633</v>
      </c>
      <c r="F172" t="s">
        <v>7079</v>
      </c>
      <c r="G172" s="1">
        <v>45803</v>
      </c>
      <c r="H172" s="1">
        <v>73050</v>
      </c>
      <c r="I172" s="1" t="e">
        <v>#N/A</v>
      </c>
      <c r="J172" s="2" t="s">
        <v>2410</v>
      </c>
      <c r="K172" t="s">
        <v>7080</v>
      </c>
      <c r="M172" s="16" t="s">
        <v>8539</v>
      </c>
      <c r="N172" s="16" t="str">
        <f>VLOOKUP(M172,Tab_Zast[[Zastávka]:[Sloupec1]],2,0)</f>
        <v>104</v>
      </c>
      <c r="O172" t="s">
        <v>7081</v>
      </c>
      <c r="P172">
        <v>1</v>
      </c>
      <c r="Q172">
        <v>0</v>
      </c>
      <c r="R172" t="s">
        <v>130</v>
      </c>
      <c r="S172" t="s">
        <v>31</v>
      </c>
      <c r="T172" t="s">
        <v>32</v>
      </c>
      <c r="V172" s="1" t="e">
        <v>#N/A</v>
      </c>
      <c r="W172" t="s">
        <v>47</v>
      </c>
      <c r="X172">
        <v>1</v>
      </c>
      <c r="Y172">
        <v>1049</v>
      </c>
      <c r="AA172" t="str">
        <f t="shared" si="4"/>
        <v>update zamestnanci set nastup='104' where id='1656';</v>
      </c>
      <c r="AB172" t="str">
        <f t="shared" si="5"/>
        <v>update dochazka set zastavka = '104' where zamestnanec = '1656';</v>
      </c>
    </row>
    <row r="173" spans="1:28" x14ac:dyDescent="0.25">
      <c r="A173" s="2">
        <v>1689</v>
      </c>
      <c r="B173" t="s">
        <v>7189</v>
      </c>
      <c r="C173" t="s">
        <v>357</v>
      </c>
      <c r="D173" t="s">
        <v>1079</v>
      </c>
      <c r="E173" t="s">
        <v>1402</v>
      </c>
      <c r="F173" t="s">
        <v>569</v>
      </c>
      <c r="G173" s="1">
        <v>45826</v>
      </c>
      <c r="H173" s="1">
        <v>45877</v>
      </c>
      <c r="I173" s="1">
        <v>73050</v>
      </c>
      <c r="J173" s="2" t="s">
        <v>2410</v>
      </c>
      <c r="K173" t="s">
        <v>7190</v>
      </c>
      <c r="M173" s="16" t="s">
        <v>8539</v>
      </c>
      <c r="N173" s="16" t="str">
        <f>VLOOKUP(M173,Tab_Zast[[Zastávka]:[Sloupec1]],2,0)</f>
        <v>104</v>
      </c>
      <c r="O173" t="s">
        <v>7191</v>
      </c>
      <c r="P173">
        <v>1</v>
      </c>
      <c r="Q173">
        <v>0</v>
      </c>
      <c r="R173" t="s">
        <v>31</v>
      </c>
      <c r="S173" t="s">
        <v>31</v>
      </c>
      <c r="T173" t="s">
        <v>32</v>
      </c>
      <c r="V173" s="1" t="e">
        <v>#N/A</v>
      </c>
      <c r="W173" t="s">
        <v>47</v>
      </c>
      <c r="X173">
        <v>0</v>
      </c>
      <c r="Y173">
        <v>1081</v>
      </c>
      <c r="AA173" t="str">
        <f t="shared" si="4"/>
        <v>update zamestnanci set nastup='104' where id='1689';</v>
      </c>
      <c r="AB173" t="str">
        <f t="shared" si="5"/>
        <v>update dochazka set zastavka = '104' where zamestnanec = '1689';</v>
      </c>
    </row>
    <row r="174" spans="1:28" x14ac:dyDescent="0.25">
      <c r="A174" s="2">
        <v>1705</v>
      </c>
      <c r="B174" t="s">
        <v>7235</v>
      </c>
      <c r="C174" t="s">
        <v>569</v>
      </c>
      <c r="D174" t="s">
        <v>7236</v>
      </c>
      <c r="E174" t="s">
        <v>7237</v>
      </c>
      <c r="F174" t="s">
        <v>569</v>
      </c>
      <c r="G174" s="1">
        <v>45838</v>
      </c>
      <c r="H174" s="1">
        <v>45846</v>
      </c>
      <c r="I174" s="1">
        <v>73050</v>
      </c>
      <c r="J174" s="2" t="s">
        <v>2410</v>
      </c>
      <c r="K174" t="s">
        <v>7238</v>
      </c>
      <c r="M174" s="16" t="s">
        <v>8539</v>
      </c>
      <c r="N174" s="16" t="str">
        <f>VLOOKUP(M174,Tab_Zast[[Zastávka]:[Sloupec1]],2,0)</f>
        <v>104</v>
      </c>
      <c r="O174" t="s">
        <v>7239</v>
      </c>
      <c r="P174">
        <v>1</v>
      </c>
      <c r="Q174">
        <v>0</v>
      </c>
      <c r="R174" t="s">
        <v>31</v>
      </c>
      <c r="S174" t="s">
        <v>31</v>
      </c>
      <c r="T174" t="s">
        <v>32</v>
      </c>
      <c r="V174" s="1" t="e">
        <v>#N/A</v>
      </c>
      <c r="W174" t="s">
        <v>47</v>
      </c>
      <c r="X174">
        <v>0</v>
      </c>
      <c r="Y174">
        <v>1098</v>
      </c>
      <c r="AA174" t="str">
        <f t="shared" si="4"/>
        <v>update zamestnanci set nastup='104' where id='1705';</v>
      </c>
      <c r="AB174" t="str">
        <f t="shared" si="5"/>
        <v>update dochazka set zastavka = '104' where zamestnanec = '1705';</v>
      </c>
    </row>
    <row r="175" spans="1:28" x14ac:dyDescent="0.25">
      <c r="A175" s="2">
        <v>1726</v>
      </c>
      <c r="B175" t="s">
        <v>7321</v>
      </c>
      <c r="C175" t="s">
        <v>569</v>
      </c>
      <c r="D175" t="s">
        <v>6089</v>
      </c>
      <c r="E175" t="s">
        <v>4870</v>
      </c>
      <c r="F175" t="s">
        <v>569</v>
      </c>
      <c r="G175" s="1">
        <v>45845</v>
      </c>
      <c r="H175" s="1">
        <v>45852</v>
      </c>
      <c r="I175" s="1">
        <v>73050</v>
      </c>
      <c r="J175" s="2" t="s">
        <v>2410</v>
      </c>
      <c r="K175" t="s">
        <v>7322</v>
      </c>
      <c r="M175" s="16" t="s">
        <v>8539</v>
      </c>
      <c r="N175" s="16" t="str">
        <f>VLOOKUP(M175,Tab_Zast[[Zastávka]:[Sloupec1]],2,0)</f>
        <v>104</v>
      </c>
      <c r="O175" t="s">
        <v>7323</v>
      </c>
      <c r="P175">
        <v>1</v>
      </c>
      <c r="Q175">
        <v>0</v>
      </c>
      <c r="R175" t="s">
        <v>129</v>
      </c>
      <c r="S175" t="s">
        <v>31</v>
      </c>
      <c r="T175" t="s">
        <v>32</v>
      </c>
      <c r="V175" s="1" t="e">
        <v>#N/A</v>
      </c>
      <c r="W175" t="s">
        <v>47</v>
      </c>
      <c r="X175">
        <v>0</v>
      </c>
      <c r="Y175">
        <v>1118</v>
      </c>
      <c r="AA175" t="str">
        <f t="shared" si="4"/>
        <v>update zamestnanci set nastup='104' where id='1726';</v>
      </c>
      <c r="AB175" t="str">
        <f t="shared" si="5"/>
        <v>update dochazka set zastavka = '104' where zamestnanec = '1726';</v>
      </c>
    </row>
    <row r="176" spans="1:28" x14ac:dyDescent="0.25">
      <c r="A176" s="2">
        <v>1802</v>
      </c>
      <c r="B176" t="s">
        <v>7611</v>
      </c>
      <c r="C176" t="s">
        <v>569</v>
      </c>
      <c r="D176" t="s">
        <v>754</v>
      </c>
      <c r="E176" t="s">
        <v>755</v>
      </c>
      <c r="F176" t="s">
        <v>7612</v>
      </c>
      <c r="G176" s="1">
        <v>45894</v>
      </c>
      <c r="H176" s="1">
        <v>45915</v>
      </c>
      <c r="I176" s="1">
        <v>73050</v>
      </c>
      <c r="J176" s="2" t="s">
        <v>2410</v>
      </c>
      <c r="K176" t="s">
        <v>7613</v>
      </c>
      <c r="M176" s="16" t="s">
        <v>8539</v>
      </c>
      <c r="N176" s="16" t="str">
        <f>VLOOKUP(M176,Tab_Zast[[Zastávka]:[Sloupec1]],2,0)</f>
        <v>104</v>
      </c>
      <c r="O176" t="s">
        <v>7419</v>
      </c>
      <c r="P176">
        <v>1</v>
      </c>
      <c r="Q176">
        <v>0</v>
      </c>
      <c r="R176" t="s">
        <v>31</v>
      </c>
      <c r="S176" t="s">
        <v>31</v>
      </c>
      <c r="T176" t="s">
        <v>32</v>
      </c>
      <c r="V176" s="1" t="e">
        <v>#N/A</v>
      </c>
      <c r="W176" t="s">
        <v>47</v>
      </c>
      <c r="X176">
        <v>0</v>
      </c>
      <c r="Y176">
        <v>1196</v>
      </c>
      <c r="AA176" t="str">
        <f t="shared" si="4"/>
        <v>update zamestnanci set nastup='104' where id='1802';</v>
      </c>
      <c r="AB176" t="str">
        <f t="shared" si="5"/>
        <v>update dochazka set zastavka = '104' where zamestnanec = '1802';</v>
      </c>
    </row>
    <row r="177" spans="1:28" x14ac:dyDescent="0.25">
      <c r="A177" s="2">
        <v>1815</v>
      </c>
      <c r="B177" t="s">
        <v>7661</v>
      </c>
      <c r="C177" t="s">
        <v>357</v>
      </c>
      <c r="D177" t="s">
        <v>7662</v>
      </c>
      <c r="E177" t="s">
        <v>7663</v>
      </c>
      <c r="F177" t="s">
        <v>357</v>
      </c>
      <c r="G177" s="1">
        <v>45901</v>
      </c>
      <c r="H177" s="1">
        <v>45940</v>
      </c>
      <c r="I177" s="1">
        <v>73050</v>
      </c>
      <c r="J177" s="2" t="s">
        <v>2410</v>
      </c>
      <c r="K177" t="s">
        <v>7664</v>
      </c>
      <c r="M177" s="16" t="s">
        <v>8539</v>
      </c>
      <c r="N177" s="16" t="str">
        <f>VLOOKUP(M177,Tab_Zast[[Zastávka]:[Sloupec1]],2,0)</f>
        <v>104</v>
      </c>
      <c r="O177" t="s">
        <v>7665</v>
      </c>
      <c r="P177">
        <v>1</v>
      </c>
      <c r="Q177">
        <v>0</v>
      </c>
      <c r="R177" t="s">
        <v>31</v>
      </c>
      <c r="S177" t="s">
        <v>31</v>
      </c>
      <c r="T177" t="s">
        <v>32</v>
      </c>
      <c r="V177" s="1" t="e">
        <v>#N/A</v>
      </c>
      <c r="W177" t="s">
        <v>47</v>
      </c>
      <c r="X177">
        <v>0</v>
      </c>
      <c r="Y177">
        <v>1211</v>
      </c>
      <c r="AA177" t="str">
        <f t="shared" si="4"/>
        <v>update zamestnanci set nastup='104' where id='1815';</v>
      </c>
      <c r="AB177" t="str">
        <f t="shared" si="5"/>
        <v>update dochazka set zastavka = '104' where zamestnanec = '1815';</v>
      </c>
    </row>
    <row r="178" spans="1:28" x14ac:dyDescent="0.25">
      <c r="A178" s="2">
        <v>1829</v>
      </c>
      <c r="B178" t="s">
        <v>7709</v>
      </c>
      <c r="C178" t="s">
        <v>357</v>
      </c>
      <c r="D178" t="s">
        <v>7710</v>
      </c>
      <c r="E178" t="s">
        <v>5395</v>
      </c>
      <c r="F178" t="s">
        <v>357</v>
      </c>
      <c r="G178" s="1">
        <v>45908</v>
      </c>
      <c r="H178" s="1">
        <v>45908</v>
      </c>
      <c r="I178" s="1">
        <v>45908</v>
      </c>
      <c r="J178" s="2" t="s">
        <v>2410</v>
      </c>
      <c r="K178" t="s">
        <v>7711</v>
      </c>
      <c r="M178" s="16" t="s">
        <v>8539</v>
      </c>
      <c r="N178" s="16" t="str">
        <f>VLOOKUP(M178,Tab_Zast[[Zastávka]:[Sloupec1]],2,0)</f>
        <v>104</v>
      </c>
      <c r="O178" t="s">
        <v>7712</v>
      </c>
      <c r="P178">
        <v>1</v>
      </c>
      <c r="Q178">
        <v>0</v>
      </c>
      <c r="R178" t="s">
        <v>31</v>
      </c>
      <c r="S178" t="s">
        <v>31</v>
      </c>
      <c r="T178" t="s">
        <v>32</v>
      </c>
      <c r="V178" s="1" t="e">
        <v>#N/A</v>
      </c>
      <c r="W178" t="s">
        <v>5988</v>
      </c>
      <c r="X178">
        <v>0</v>
      </c>
      <c r="Y178">
        <v>1223</v>
      </c>
      <c r="AA178" t="str">
        <f t="shared" si="4"/>
        <v>update zamestnanci set nastup='104' where id='1829';</v>
      </c>
      <c r="AB178" t="str">
        <f t="shared" si="5"/>
        <v>update dochazka set zastavka = '104' where zamestnanec = '1829';</v>
      </c>
    </row>
    <row r="179" spans="1:28" x14ac:dyDescent="0.25">
      <c r="A179" s="2">
        <v>1846</v>
      </c>
      <c r="B179" t="s">
        <v>7770</v>
      </c>
      <c r="C179" t="s">
        <v>569</v>
      </c>
      <c r="D179" t="s">
        <v>7771</v>
      </c>
      <c r="E179" t="s">
        <v>7772</v>
      </c>
      <c r="F179" t="s">
        <v>7773</v>
      </c>
      <c r="G179" s="1">
        <v>45915</v>
      </c>
      <c r="H179" s="1" t="e">
        <v>#N/A</v>
      </c>
      <c r="I179" s="1" t="e">
        <v>#N/A</v>
      </c>
      <c r="J179" s="2" t="s">
        <v>2410</v>
      </c>
      <c r="K179" t="s">
        <v>7774</v>
      </c>
      <c r="M179" s="16" t="s">
        <v>8539</v>
      </c>
      <c r="N179" s="16" t="str">
        <f>VLOOKUP(M179,Tab_Zast[[Zastávka]:[Sloupec1]],2,0)</f>
        <v>104</v>
      </c>
      <c r="O179" t="s">
        <v>7775</v>
      </c>
      <c r="P179">
        <v>1</v>
      </c>
      <c r="Q179">
        <v>0</v>
      </c>
      <c r="R179" t="s">
        <v>31</v>
      </c>
      <c r="S179" t="s">
        <v>31</v>
      </c>
      <c r="T179" t="s">
        <v>32</v>
      </c>
      <c r="U179" t="s">
        <v>254</v>
      </c>
      <c r="V179" s="1" t="e">
        <v>#N/A</v>
      </c>
      <c r="W179" t="s">
        <v>47</v>
      </c>
      <c r="X179">
        <v>1</v>
      </c>
      <c r="Y179">
        <v>1242</v>
      </c>
      <c r="AA179" t="str">
        <f t="shared" si="4"/>
        <v>update zamestnanci set nastup='104' where id='1846';</v>
      </c>
      <c r="AB179" t="str">
        <f t="shared" si="5"/>
        <v>update dochazka set zastavka = '104' where zamestnanec = '1846';</v>
      </c>
    </row>
    <row r="180" spans="1:28" x14ac:dyDescent="0.25">
      <c r="A180" s="2">
        <v>1850</v>
      </c>
      <c r="B180" t="s">
        <v>7790</v>
      </c>
      <c r="C180" t="s">
        <v>357</v>
      </c>
      <c r="D180" t="s">
        <v>7791</v>
      </c>
      <c r="E180" t="s">
        <v>2285</v>
      </c>
      <c r="F180" t="s">
        <v>357</v>
      </c>
      <c r="G180" s="1">
        <v>45922</v>
      </c>
      <c r="H180" s="1">
        <v>45922</v>
      </c>
      <c r="I180" s="1">
        <v>73050</v>
      </c>
      <c r="J180" s="2" t="s">
        <v>2410</v>
      </c>
      <c r="K180" t="s">
        <v>7792</v>
      </c>
      <c r="M180" s="16" t="s">
        <v>8539</v>
      </c>
      <c r="N180" s="16" t="str">
        <f>VLOOKUP(M180,Tab_Zast[[Zastávka]:[Sloupec1]],2,0)</f>
        <v>104</v>
      </c>
      <c r="O180" t="s">
        <v>7793</v>
      </c>
      <c r="P180">
        <v>1</v>
      </c>
      <c r="Q180">
        <v>0</v>
      </c>
      <c r="R180" t="s">
        <v>31</v>
      </c>
      <c r="S180" t="s">
        <v>31</v>
      </c>
      <c r="T180" t="s">
        <v>32</v>
      </c>
      <c r="V180" s="1" t="e">
        <v>#N/A</v>
      </c>
      <c r="W180" t="s">
        <v>47</v>
      </c>
      <c r="X180">
        <v>0</v>
      </c>
      <c r="Y180">
        <v>1246</v>
      </c>
      <c r="AA180" t="str">
        <f t="shared" si="4"/>
        <v>update zamestnanci set nastup='104' where id='1850';</v>
      </c>
      <c r="AB180" t="str">
        <f t="shared" si="5"/>
        <v>update dochazka set zastavka = '104' where zamestnanec = '1850';</v>
      </c>
    </row>
    <row r="181" spans="1:28" x14ac:dyDescent="0.25">
      <c r="A181" s="2">
        <v>1911</v>
      </c>
      <c r="B181" t="s">
        <v>8048</v>
      </c>
      <c r="C181" t="s">
        <v>569</v>
      </c>
      <c r="D181" t="s">
        <v>6590</v>
      </c>
      <c r="E181" t="s">
        <v>671</v>
      </c>
      <c r="F181" t="s">
        <v>8048</v>
      </c>
      <c r="G181" s="1">
        <v>45979</v>
      </c>
      <c r="H181" s="1" t="e">
        <v>#N/A</v>
      </c>
      <c r="I181" s="1" t="e">
        <v>#N/A</v>
      </c>
      <c r="J181" s="2" t="s">
        <v>2410</v>
      </c>
      <c r="K181" t="s">
        <v>6591</v>
      </c>
      <c r="M181" s="16" t="s">
        <v>8539</v>
      </c>
      <c r="N181" s="16" t="str">
        <f>VLOOKUP(M181,Tab_Zast[[Zastávka]:[Sloupec1]],2,0)</f>
        <v>104</v>
      </c>
      <c r="O181" t="s">
        <v>6592</v>
      </c>
      <c r="P181">
        <v>1</v>
      </c>
      <c r="Q181">
        <v>0</v>
      </c>
      <c r="R181" t="s">
        <v>129</v>
      </c>
      <c r="S181" t="s">
        <v>31</v>
      </c>
      <c r="T181" t="s">
        <v>32</v>
      </c>
      <c r="V181" s="1" t="e">
        <v>#N/A</v>
      </c>
      <c r="W181" t="s">
        <v>2381</v>
      </c>
      <c r="X181">
        <v>1</v>
      </c>
      <c r="Y181">
        <v>1324</v>
      </c>
      <c r="AA181" t="str">
        <f t="shared" si="4"/>
        <v>update zamestnanci set nastup='104' where id='1911';</v>
      </c>
      <c r="AB181" t="str">
        <f t="shared" si="5"/>
        <v>update dochazka set zastavka = '104' where zamestnanec = '1911';</v>
      </c>
    </row>
    <row r="182" spans="1:28" x14ac:dyDescent="0.25">
      <c r="A182" s="2">
        <v>1912</v>
      </c>
      <c r="B182" t="s">
        <v>8049</v>
      </c>
      <c r="C182" t="s">
        <v>569</v>
      </c>
      <c r="D182" t="s">
        <v>8050</v>
      </c>
      <c r="E182" t="s">
        <v>8051</v>
      </c>
      <c r="F182" t="s">
        <v>8049</v>
      </c>
      <c r="G182" s="1">
        <v>45979</v>
      </c>
      <c r="H182" s="1" t="e">
        <v>#N/A</v>
      </c>
      <c r="I182" s="1" t="e">
        <v>#N/A</v>
      </c>
      <c r="J182" s="2" t="s">
        <v>2410</v>
      </c>
      <c r="K182" t="s">
        <v>8052</v>
      </c>
      <c r="M182" s="16" t="s">
        <v>8539</v>
      </c>
      <c r="N182" s="16" t="str">
        <f>VLOOKUP(M182,Tab_Zast[[Zastávka]:[Sloupec1]],2,0)</f>
        <v>104</v>
      </c>
      <c r="O182" t="s">
        <v>8053</v>
      </c>
      <c r="P182">
        <v>1</v>
      </c>
      <c r="Q182">
        <v>0</v>
      </c>
      <c r="R182" t="s">
        <v>129</v>
      </c>
      <c r="S182" t="s">
        <v>31</v>
      </c>
      <c r="T182" t="s">
        <v>32</v>
      </c>
      <c r="V182" s="1" t="e">
        <v>#N/A</v>
      </c>
      <c r="W182" t="s">
        <v>2381</v>
      </c>
      <c r="X182">
        <v>1</v>
      </c>
      <c r="Y182">
        <v>1295</v>
      </c>
      <c r="AA182" t="str">
        <f t="shared" si="4"/>
        <v>update zamestnanci set nastup='104' where id='1912';</v>
      </c>
      <c r="AB182" t="str">
        <f t="shared" si="5"/>
        <v>update dochazka set zastavka = '104' where zamestnanec = '1912';</v>
      </c>
    </row>
    <row r="183" spans="1:28" x14ac:dyDescent="0.25">
      <c r="A183" s="2">
        <v>1914</v>
      </c>
      <c r="B183" t="s">
        <v>8058</v>
      </c>
      <c r="C183" t="s">
        <v>569</v>
      </c>
      <c r="D183" t="s">
        <v>1000</v>
      </c>
      <c r="E183" t="s">
        <v>1947</v>
      </c>
      <c r="F183" t="s">
        <v>569</v>
      </c>
      <c r="G183" s="1">
        <v>45979</v>
      </c>
      <c r="H183" s="1">
        <v>45979</v>
      </c>
      <c r="I183" s="1" t="e">
        <v>#N/A</v>
      </c>
      <c r="J183" s="2" t="s">
        <v>2410</v>
      </c>
      <c r="K183" t="s">
        <v>8059</v>
      </c>
      <c r="M183" s="16" t="s">
        <v>8539</v>
      </c>
      <c r="N183" s="16" t="str">
        <f>VLOOKUP(M183,Tab_Zast[[Zastávka]:[Sloupec1]],2,0)</f>
        <v>104</v>
      </c>
      <c r="O183" t="s">
        <v>8060</v>
      </c>
      <c r="P183">
        <v>1</v>
      </c>
      <c r="Q183">
        <v>0</v>
      </c>
      <c r="R183" t="s">
        <v>31</v>
      </c>
      <c r="S183" t="s">
        <v>31</v>
      </c>
      <c r="T183" t="s">
        <v>32</v>
      </c>
      <c r="V183" s="1" t="e">
        <v>#N/A</v>
      </c>
      <c r="W183" t="s">
        <v>47</v>
      </c>
      <c r="X183">
        <v>0</v>
      </c>
      <c r="Y183">
        <v>1325</v>
      </c>
      <c r="AA183" t="str">
        <f t="shared" si="4"/>
        <v>update zamestnanci set nastup='104' where id='1914';</v>
      </c>
      <c r="AB183" t="str">
        <f t="shared" si="5"/>
        <v>update dochazka set zastavka = '104' where zamestnanec = '1914';</v>
      </c>
    </row>
    <row r="184" spans="1:28" x14ac:dyDescent="0.25">
      <c r="A184" s="2">
        <v>1944</v>
      </c>
      <c r="B184" t="s">
        <v>8174</v>
      </c>
      <c r="C184" t="s">
        <v>569</v>
      </c>
      <c r="D184" t="s">
        <v>6957</v>
      </c>
      <c r="E184" t="s">
        <v>2613</v>
      </c>
      <c r="F184" t="s">
        <v>8174</v>
      </c>
      <c r="G184" s="1">
        <v>45992</v>
      </c>
      <c r="H184" s="1" t="e">
        <v>#N/A</v>
      </c>
      <c r="I184" s="1" t="e">
        <v>#N/A</v>
      </c>
      <c r="J184" s="2" t="s">
        <v>2410</v>
      </c>
      <c r="K184" t="s">
        <v>8175</v>
      </c>
      <c r="L184" t="s">
        <v>8176</v>
      </c>
      <c r="M184" s="16" t="s">
        <v>8539</v>
      </c>
      <c r="N184" s="16" t="str">
        <f>VLOOKUP(M184,Tab_Zast[[Zastávka]:[Sloupec1]],2,0)</f>
        <v>104</v>
      </c>
      <c r="O184" t="s">
        <v>8177</v>
      </c>
      <c r="P184">
        <v>1</v>
      </c>
      <c r="Q184">
        <v>0</v>
      </c>
      <c r="R184" t="s">
        <v>129</v>
      </c>
      <c r="S184" t="s">
        <v>31</v>
      </c>
      <c r="T184" t="s">
        <v>32</v>
      </c>
      <c r="V184" s="1" t="e">
        <v>#N/A</v>
      </c>
      <c r="W184" t="s">
        <v>47</v>
      </c>
      <c r="X184">
        <v>1</v>
      </c>
      <c r="Y184">
        <v>1361</v>
      </c>
      <c r="AA184" t="str">
        <f t="shared" si="4"/>
        <v>update zamestnanci set nastup='104' where id='1944';</v>
      </c>
      <c r="AB184" t="str">
        <f t="shared" si="5"/>
        <v>update dochazka set zastavka = '104' where zamestnanec = '1944';</v>
      </c>
    </row>
    <row r="185" spans="1:28" x14ac:dyDescent="0.25">
      <c r="A185" s="2">
        <v>1957</v>
      </c>
      <c r="B185" t="s">
        <v>8224</v>
      </c>
      <c r="C185" t="s">
        <v>64</v>
      </c>
      <c r="D185" t="s">
        <v>8225</v>
      </c>
      <c r="E185" t="s">
        <v>2131</v>
      </c>
      <c r="F185" t="s">
        <v>8224</v>
      </c>
      <c r="G185" s="1">
        <v>46002</v>
      </c>
      <c r="H185" s="1" t="e">
        <v>#N/A</v>
      </c>
      <c r="I185" s="1" t="e">
        <v>#N/A</v>
      </c>
      <c r="J185" s="2" t="s">
        <v>2410</v>
      </c>
      <c r="K185" t="s">
        <v>8226</v>
      </c>
      <c r="M185" s="16" t="s">
        <v>8539</v>
      </c>
      <c r="N185" s="16" t="str">
        <f>VLOOKUP(M185,Tab_Zast[[Zastávka]:[Sloupec1]],2,0)</f>
        <v>104</v>
      </c>
      <c r="O185" t="s">
        <v>8227</v>
      </c>
      <c r="P185">
        <v>1</v>
      </c>
      <c r="Q185">
        <v>0</v>
      </c>
      <c r="R185" t="s">
        <v>129</v>
      </c>
      <c r="S185" t="s">
        <v>31</v>
      </c>
      <c r="T185" t="s">
        <v>32</v>
      </c>
      <c r="V185" s="1" t="e">
        <v>#N/A</v>
      </c>
      <c r="W185" t="s">
        <v>5988</v>
      </c>
      <c r="X185">
        <v>1</v>
      </c>
      <c r="Y185">
        <v>1378</v>
      </c>
      <c r="AA185" t="str">
        <f t="shared" si="4"/>
        <v>update zamestnanci set nastup='104' where id='1957';</v>
      </c>
      <c r="AB185" t="str">
        <f t="shared" si="5"/>
        <v>update dochazka set zastavka = '104' where zamestnanec = '1957';</v>
      </c>
    </row>
    <row r="186" spans="1:28" x14ac:dyDescent="0.25">
      <c r="A186" s="2">
        <v>1958</v>
      </c>
      <c r="B186" t="s">
        <v>8228</v>
      </c>
      <c r="C186" t="s">
        <v>357</v>
      </c>
      <c r="D186" t="s">
        <v>8229</v>
      </c>
      <c r="E186" t="s">
        <v>8230</v>
      </c>
      <c r="F186" t="s">
        <v>8228</v>
      </c>
      <c r="G186" s="1">
        <v>46002</v>
      </c>
      <c r="H186" s="1" t="e">
        <v>#N/A</v>
      </c>
      <c r="I186" s="1" t="e">
        <v>#N/A</v>
      </c>
      <c r="J186" s="2" t="s">
        <v>2410</v>
      </c>
      <c r="K186" t="s">
        <v>8231</v>
      </c>
      <c r="M186" s="16" t="s">
        <v>8539</v>
      </c>
      <c r="N186" s="16" t="str">
        <f>VLOOKUP(M186,Tab_Zast[[Zastávka]:[Sloupec1]],2,0)</f>
        <v>104</v>
      </c>
      <c r="O186" t="s">
        <v>8232</v>
      </c>
      <c r="P186">
        <v>1</v>
      </c>
      <c r="Q186">
        <v>0</v>
      </c>
      <c r="R186" t="s">
        <v>129</v>
      </c>
      <c r="S186" t="s">
        <v>31</v>
      </c>
      <c r="T186" t="s">
        <v>32</v>
      </c>
      <c r="V186" s="1" t="e">
        <v>#N/A</v>
      </c>
      <c r="W186" t="s">
        <v>5988</v>
      </c>
      <c r="X186">
        <v>1</v>
      </c>
      <c r="Y186">
        <v>1379</v>
      </c>
      <c r="AA186" t="str">
        <f t="shared" si="4"/>
        <v>update zamestnanci set nastup='104' where id='1958';</v>
      </c>
      <c r="AB186" t="str">
        <f t="shared" si="5"/>
        <v>update dochazka set zastavka = '104' where zamestnanec = '1958';</v>
      </c>
    </row>
    <row r="187" spans="1:28" x14ac:dyDescent="0.25">
      <c r="A187" s="2">
        <v>166</v>
      </c>
      <c r="B187" t="s">
        <v>1016</v>
      </c>
      <c r="D187" t="s">
        <v>1017</v>
      </c>
      <c r="E187" t="s">
        <v>1018</v>
      </c>
      <c r="F187" t="s">
        <v>1019</v>
      </c>
      <c r="G187" s="1">
        <v>45181</v>
      </c>
      <c r="H187" s="1">
        <v>45342</v>
      </c>
      <c r="I187" s="1">
        <v>73050</v>
      </c>
      <c r="J187" s="2" t="s">
        <v>8318</v>
      </c>
      <c r="K187" t="s">
        <v>1020</v>
      </c>
      <c r="M187" s="16" t="s">
        <v>8319</v>
      </c>
      <c r="N187" s="16" t="str">
        <f>VLOOKUP(M187,Tab_Zast[[Zastávka]:[Sloupec1]],2,0)</f>
        <v>24</v>
      </c>
      <c r="O187" t="s">
        <v>1021</v>
      </c>
      <c r="P187">
        <v>6</v>
      </c>
      <c r="Q187">
        <v>0</v>
      </c>
      <c r="R187" t="s">
        <v>31</v>
      </c>
      <c r="S187" t="s">
        <v>31</v>
      </c>
      <c r="T187" t="s">
        <v>32</v>
      </c>
      <c r="V187" s="1" t="e">
        <v>#N/A</v>
      </c>
      <c r="W187" t="s">
        <v>1022</v>
      </c>
      <c r="X187">
        <v>0</v>
      </c>
      <c r="Y187">
        <v>0</v>
      </c>
      <c r="Z187" t="s">
        <v>54</v>
      </c>
      <c r="AA187" t="str">
        <f t="shared" si="4"/>
        <v>update zamestnanci set nastup='24' where id='166';</v>
      </c>
      <c r="AB187" t="str">
        <f t="shared" si="5"/>
        <v>update dochazka set zastavka = '24' where zamestnanec = '166';</v>
      </c>
    </row>
    <row r="188" spans="1:28" x14ac:dyDescent="0.25">
      <c r="A188" s="2">
        <v>167</v>
      </c>
      <c r="B188" t="s">
        <v>1023</v>
      </c>
      <c r="D188" t="s">
        <v>1024</v>
      </c>
      <c r="E188" t="s">
        <v>1025</v>
      </c>
      <c r="F188" t="s">
        <v>1026</v>
      </c>
      <c r="G188" s="1">
        <v>45168</v>
      </c>
      <c r="H188" s="1">
        <v>45303</v>
      </c>
      <c r="I188" s="1">
        <v>73050</v>
      </c>
      <c r="J188" s="2" t="s">
        <v>8318</v>
      </c>
      <c r="K188" t="s">
        <v>1027</v>
      </c>
      <c r="M188" s="16" t="s">
        <v>8319</v>
      </c>
      <c r="N188" s="16" t="str">
        <f>VLOOKUP(M188,Tab_Zast[[Zastávka]:[Sloupec1]],2,0)</f>
        <v>24</v>
      </c>
      <c r="O188" t="s">
        <v>1028</v>
      </c>
      <c r="P188">
        <v>6</v>
      </c>
      <c r="Q188">
        <v>0</v>
      </c>
      <c r="R188" t="s">
        <v>31</v>
      </c>
      <c r="S188" t="s">
        <v>31</v>
      </c>
      <c r="T188" t="s">
        <v>32</v>
      </c>
      <c r="V188" s="1" t="e">
        <v>#N/A</v>
      </c>
      <c r="W188" t="s">
        <v>1022</v>
      </c>
      <c r="X188">
        <v>0</v>
      </c>
      <c r="Y188">
        <v>0</v>
      </c>
      <c r="Z188" t="s">
        <v>54</v>
      </c>
      <c r="AA188" t="str">
        <f t="shared" si="4"/>
        <v>update zamestnanci set nastup='24' where id='167';</v>
      </c>
      <c r="AB188" t="str">
        <f t="shared" si="5"/>
        <v>update dochazka set zastavka = '24' where zamestnanec = '167';</v>
      </c>
    </row>
    <row r="189" spans="1:28" x14ac:dyDescent="0.25">
      <c r="A189" s="2">
        <v>171</v>
      </c>
      <c r="B189" t="s">
        <v>1049</v>
      </c>
      <c r="D189" t="s">
        <v>1050</v>
      </c>
      <c r="E189" t="s">
        <v>1051</v>
      </c>
      <c r="F189" t="s">
        <v>1052</v>
      </c>
      <c r="G189" s="1">
        <v>45203</v>
      </c>
      <c r="H189" s="1">
        <v>45342</v>
      </c>
      <c r="I189" s="1">
        <v>73050</v>
      </c>
      <c r="J189" s="2" t="s">
        <v>8318</v>
      </c>
      <c r="K189" t="s">
        <v>1053</v>
      </c>
      <c r="M189" s="16" t="s">
        <v>8319</v>
      </c>
      <c r="N189" s="16" t="str">
        <f>VLOOKUP(M189,Tab_Zast[[Zastávka]:[Sloupec1]],2,0)</f>
        <v>24</v>
      </c>
      <c r="O189" t="s">
        <v>1054</v>
      </c>
      <c r="P189">
        <v>6</v>
      </c>
      <c r="Q189">
        <v>0</v>
      </c>
      <c r="R189" t="s">
        <v>31</v>
      </c>
      <c r="S189" t="s">
        <v>31</v>
      </c>
      <c r="T189" t="s">
        <v>32</v>
      </c>
      <c r="V189" s="1" t="e">
        <v>#N/A</v>
      </c>
      <c r="W189" t="s">
        <v>1022</v>
      </c>
      <c r="X189">
        <v>0</v>
      </c>
      <c r="Y189">
        <v>0</v>
      </c>
      <c r="Z189" t="s">
        <v>54</v>
      </c>
      <c r="AA189" t="str">
        <f t="shared" si="4"/>
        <v>update zamestnanci set nastup='24' where id='171';</v>
      </c>
      <c r="AB189" t="str">
        <f t="shared" si="5"/>
        <v>update dochazka set zastavka = '24' where zamestnanec = '171';</v>
      </c>
    </row>
    <row r="190" spans="1:28" x14ac:dyDescent="0.25">
      <c r="A190" s="2">
        <v>191</v>
      </c>
      <c r="B190" t="s">
        <v>1173</v>
      </c>
      <c r="D190" t="s">
        <v>1174</v>
      </c>
      <c r="E190" t="s">
        <v>1175</v>
      </c>
      <c r="F190" t="s">
        <v>1176</v>
      </c>
      <c r="G190" s="1">
        <v>45203</v>
      </c>
      <c r="H190" s="1">
        <v>45266</v>
      </c>
      <c r="I190" s="1" t="e">
        <v>#N/A</v>
      </c>
      <c r="J190" s="2" t="s">
        <v>8318</v>
      </c>
      <c r="K190" t="s">
        <v>1177</v>
      </c>
      <c r="M190" s="16" t="s">
        <v>8319</v>
      </c>
      <c r="N190" s="16" t="str">
        <f>VLOOKUP(M190,Tab_Zast[[Zastávka]:[Sloupec1]],2,0)</f>
        <v>24</v>
      </c>
      <c r="O190" t="s">
        <v>1178</v>
      </c>
      <c r="P190">
        <v>6</v>
      </c>
      <c r="Q190">
        <v>0</v>
      </c>
      <c r="R190" t="s">
        <v>31</v>
      </c>
      <c r="S190" t="s">
        <v>31</v>
      </c>
      <c r="T190" t="s">
        <v>32</v>
      </c>
      <c r="V190" s="1" t="e">
        <v>#N/A</v>
      </c>
      <c r="W190" t="s">
        <v>1022</v>
      </c>
      <c r="X190">
        <v>0</v>
      </c>
      <c r="Y190">
        <v>0</v>
      </c>
      <c r="Z190" t="s">
        <v>54</v>
      </c>
      <c r="AA190" t="str">
        <f t="shared" si="4"/>
        <v>update zamestnanci set nastup='24' where id='191';</v>
      </c>
      <c r="AB190" t="str">
        <f t="shared" si="5"/>
        <v>update dochazka set zastavka = '24' where zamestnanec = '191';</v>
      </c>
    </row>
    <row r="191" spans="1:28" x14ac:dyDescent="0.25">
      <c r="A191" s="2">
        <v>413</v>
      </c>
      <c r="B191" t="s">
        <v>1393</v>
      </c>
      <c r="C191" t="s">
        <v>1394</v>
      </c>
      <c r="D191" t="s">
        <v>1395</v>
      </c>
      <c r="E191" t="s">
        <v>1396</v>
      </c>
      <c r="F191" t="s">
        <v>1397</v>
      </c>
      <c r="G191" s="1">
        <v>45019</v>
      </c>
      <c r="H191" s="1">
        <v>73050</v>
      </c>
      <c r="I191" s="1" t="e">
        <v>#N/A</v>
      </c>
      <c r="J191" s="2" t="s">
        <v>8318</v>
      </c>
      <c r="K191" t="s">
        <v>1398</v>
      </c>
      <c r="M191" s="16" t="s">
        <v>8319</v>
      </c>
      <c r="N191" s="16" t="str">
        <f>VLOOKUP(M191,Tab_Zast[[Zastávka]:[Sloupec1]],2,0)</f>
        <v>24</v>
      </c>
      <c r="O191" t="s">
        <v>1399</v>
      </c>
      <c r="P191">
        <v>6</v>
      </c>
      <c r="Q191">
        <v>0</v>
      </c>
      <c r="R191" t="s">
        <v>130</v>
      </c>
      <c r="S191" t="s">
        <v>31</v>
      </c>
      <c r="T191" t="s">
        <v>32</v>
      </c>
      <c r="V191" s="1" t="e">
        <v>#N/A</v>
      </c>
      <c r="W191" t="s">
        <v>1216</v>
      </c>
      <c r="X191">
        <v>1</v>
      </c>
      <c r="Y191">
        <v>0</v>
      </c>
      <c r="Z191" t="s">
        <v>54</v>
      </c>
      <c r="AA191" t="str">
        <f t="shared" si="4"/>
        <v>update zamestnanci set nastup='24' where id='413';</v>
      </c>
      <c r="AB191" t="str">
        <f t="shared" si="5"/>
        <v>update dochazka set zastavka = '24' where zamestnanec = '413';</v>
      </c>
    </row>
    <row r="192" spans="1:28" x14ac:dyDescent="0.25">
      <c r="A192" s="2">
        <v>427</v>
      </c>
      <c r="B192" t="s">
        <v>1479</v>
      </c>
      <c r="C192" t="s">
        <v>1480</v>
      </c>
      <c r="D192" t="s">
        <v>1481</v>
      </c>
      <c r="E192" t="s">
        <v>1482</v>
      </c>
      <c r="F192" t="s">
        <v>1483</v>
      </c>
      <c r="G192" s="1">
        <v>44900</v>
      </c>
      <c r="H192" s="1">
        <v>73050</v>
      </c>
      <c r="I192" s="1" t="e">
        <v>#N/A</v>
      </c>
      <c r="J192" s="2" t="s">
        <v>8318</v>
      </c>
      <c r="K192" t="s">
        <v>1484</v>
      </c>
      <c r="M192" s="16" t="s">
        <v>8319</v>
      </c>
      <c r="N192" s="16" t="str">
        <f>VLOOKUP(M192,Tab_Zast[[Zastávka]:[Sloupec1]],2,0)</f>
        <v>24</v>
      </c>
      <c r="O192" t="s">
        <v>1485</v>
      </c>
      <c r="P192">
        <v>6</v>
      </c>
      <c r="Q192">
        <v>0</v>
      </c>
      <c r="R192" t="s">
        <v>179</v>
      </c>
      <c r="S192" t="s">
        <v>31</v>
      </c>
      <c r="T192" t="s">
        <v>32</v>
      </c>
      <c r="V192" s="1" t="e">
        <v>#N/A</v>
      </c>
      <c r="W192" t="s">
        <v>1216</v>
      </c>
      <c r="X192">
        <v>1</v>
      </c>
      <c r="Y192">
        <v>0</v>
      </c>
      <c r="AA192" t="str">
        <f t="shared" si="4"/>
        <v>update zamestnanci set nastup='24' where id='427';</v>
      </c>
      <c r="AB192" t="str">
        <f t="shared" si="5"/>
        <v>update dochazka set zastavka = '24' where zamestnanec = '427';</v>
      </c>
    </row>
    <row r="193" spans="1:28" x14ac:dyDescent="0.25">
      <c r="A193" s="2">
        <v>456</v>
      </c>
      <c r="B193" t="s">
        <v>1664</v>
      </c>
      <c r="C193" t="s">
        <v>1665</v>
      </c>
      <c r="D193" t="s">
        <v>1666</v>
      </c>
      <c r="E193" t="s">
        <v>1667</v>
      </c>
      <c r="F193" t="s">
        <v>1668</v>
      </c>
      <c r="G193" s="1">
        <v>44802</v>
      </c>
      <c r="H193" s="1">
        <v>73050</v>
      </c>
      <c r="I193" s="1" t="e">
        <v>#N/A</v>
      </c>
      <c r="J193" s="2" t="s">
        <v>8318</v>
      </c>
      <c r="K193" t="s">
        <v>1669</v>
      </c>
      <c r="M193" s="16" t="s">
        <v>8319</v>
      </c>
      <c r="N193" s="16" t="str">
        <f>VLOOKUP(M193,Tab_Zast[[Zastávka]:[Sloupec1]],2,0)</f>
        <v>24</v>
      </c>
      <c r="O193" t="s">
        <v>1670</v>
      </c>
      <c r="P193">
        <v>6</v>
      </c>
      <c r="Q193">
        <v>0</v>
      </c>
      <c r="R193" t="s">
        <v>179</v>
      </c>
      <c r="S193" t="s">
        <v>31</v>
      </c>
      <c r="T193" t="s">
        <v>32</v>
      </c>
      <c r="V193" s="1" t="e">
        <v>#N/A</v>
      </c>
      <c r="W193" t="s">
        <v>1216</v>
      </c>
      <c r="X193">
        <v>1</v>
      </c>
      <c r="Y193">
        <v>0</v>
      </c>
      <c r="AA193" t="str">
        <f t="shared" si="4"/>
        <v>update zamestnanci set nastup='24' where id='456';</v>
      </c>
      <c r="AB193" t="str">
        <f t="shared" si="5"/>
        <v>update dochazka set zastavka = '24' where zamestnanec = '456';</v>
      </c>
    </row>
    <row r="194" spans="1:28" x14ac:dyDescent="0.25">
      <c r="A194" s="2">
        <v>476</v>
      </c>
      <c r="B194" t="s">
        <v>186</v>
      </c>
      <c r="C194" t="s">
        <v>1792</v>
      </c>
      <c r="D194" t="s">
        <v>1793</v>
      </c>
      <c r="E194" t="s">
        <v>1794</v>
      </c>
      <c r="F194" t="s">
        <v>1795</v>
      </c>
      <c r="G194" s="1">
        <v>44593</v>
      </c>
      <c r="H194" s="1">
        <v>73050</v>
      </c>
      <c r="I194" s="1" t="e">
        <v>#N/A</v>
      </c>
      <c r="J194" s="2" t="s">
        <v>8318</v>
      </c>
      <c r="K194" t="s">
        <v>1796</v>
      </c>
      <c r="M194" s="16" t="s">
        <v>8319</v>
      </c>
      <c r="N194" s="16" t="str">
        <f>VLOOKUP(M194,Tab_Zast[[Zastávka]:[Sloupec1]],2,0)</f>
        <v>24</v>
      </c>
      <c r="O194" t="s">
        <v>1797</v>
      </c>
      <c r="P194">
        <v>6</v>
      </c>
      <c r="Q194">
        <v>0</v>
      </c>
      <c r="R194" t="s">
        <v>130</v>
      </c>
      <c r="S194" t="s">
        <v>31</v>
      </c>
      <c r="T194" t="s">
        <v>32</v>
      </c>
      <c r="V194" s="1" t="e">
        <v>#N/A</v>
      </c>
      <c r="W194" t="s">
        <v>1216</v>
      </c>
      <c r="X194">
        <v>1</v>
      </c>
      <c r="Y194">
        <v>0</v>
      </c>
      <c r="AA194" t="str">
        <f t="shared" si="4"/>
        <v>update zamestnanci set nastup='24' where id='476';</v>
      </c>
      <c r="AB194" t="str">
        <f t="shared" si="5"/>
        <v>update dochazka set zastavka = '24' where zamestnanec = '476';</v>
      </c>
    </row>
    <row r="195" spans="1:28" x14ac:dyDescent="0.25">
      <c r="A195" s="2">
        <v>484</v>
      </c>
      <c r="B195" t="s">
        <v>1844</v>
      </c>
      <c r="C195" t="s">
        <v>1845</v>
      </c>
      <c r="D195" t="s">
        <v>1846</v>
      </c>
      <c r="E195" t="s">
        <v>1847</v>
      </c>
      <c r="F195" t="s">
        <v>1848</v>
      </c>
      <c r="G195" s="1">
        <v>44657</v>
      </c>
      <c r="H195" s="1">
        <v>45930</v>
      </c>
      <c r="I195" s="1">
        <v>73050</v>
      </c>
      <c r="J195" s="2" t="s">
        <v>8318</v>
      </c>
      <c r="K195" t="s">
        <v>1849</v>
      </c>
      <c r="M195" s="16" t="s">
        <v>8319</v>
      </c>
      <c r="N195" s="16" t="str">
        <f>VLOOKUP(M195,Tab_Zast[[Zastávka]:[Sloupec1]],2,0)</f>
        <v>24</v>
      </c>
      <c r="O195" t="s">
        <v>1850</v>
      </c>
      <c r="P195">
        <v>6</v>
      </c>
      <c r="Q195">
        <v>0</v>
      </c>
      <c r="R195" t="s">
        <v>31</v>
      </c>
      <c r="S195" t="s">
        <v>31</v>
      </c>
      <c r="T195" t="s">
        <v>32</v>
      </c>
      <c r="V195" s="1" t="e">
        <v>#N/A</v>
      </c>
      <c r="W195" t="s">
        <v>1216</v>
      </c>
      <c r="X195">
        <v>0</v>
      </c>
      <c r="Y195">
        <v>0</v>
      </c>
      <c r="AA195" t="str">
        <f t="shared" si="4"/>
        <v>update zamestnanci set nastup='24' where id='484';</v>
      </c>
      <c r="AB195" t="str">
        <f t="shared" si="5"/>
        <v>update dochazka set zastavka = '24' where zamestnanec = '484';</v>
      </c>
    </row>
    <row r="196" spans="1:28" x14ac:dyDescent="0.25">
      <c r="A196" s="2">
        <v>493</v>
      </c>
      <c r="B196" t="s">
        <v>1900</v>
      </c>
      <c r="C196" t="s">
        <v>1901</v>
      </c>
      <c r="D196" t="s">
        <v>1902</v>
      </c>
      <c r="E196" t="s">
        <v>1903</v>
      </c>
      <c r="F196" t="s">
        <v>1904</v>
      </c>
      <c r="G196" s="1">
        <v>44937</v>
      </c>
      <c r="H196" s="1">
        <v>73050</v>
      </c>
      <c r="I196" s="1" t="e">
        <v>#N/A</v>
      </c>
      <c r="J196" s="2" t="s">
        <v>8318</v>
      </c>
      <c r="K196" t="s">
        <v>1905</v>
      </c>
      <c r="M196" s="16" t="s">
        <v>8319</v>
      </c>
      <c r="N196" s="16" t="str">
        <f>VLOOKUP(M196,Tab_Zast[[Zastávka]:[Sloupec1]],2,0)</f>
        <v>24</v>
      </c>
      <c r="O196" t="s">
        <v>1906</v>
      </c>
      <c r="P196">
        <v>6</v>
      </c>
      <c r="Q196">
        <v>0</v>
      </c>
      <c r="R196" t="s">
        <v>130</v>
      </c>
      <c r="S196" t="s">
        <v>31</v>
      </c>
      <c r="T196" t="s">
        <v>32</v>
      </c>
      <c r="V196" s="1" t="e">
        <v>#N/A</v>
      </c>
      <c r="W196" t="s">
        <v>1216</v>
      </c>
      <c r="X196">
        <v>1</v>
      </c>
      <c r="Y196">
        <v>0</v>
      </c>
      <c r="AA196" t="str">
        <f t="shared" ref="AA196:AA259" si="6">IF(J196&lt;&gt;"00","update zamestnanci set nastup='" &amp; J196 &amp; "' where id='" &amp; A196 &amp; "';","")</f>
        <v>update zamestnanci set nastup='24' where id='493';</v>
      </c>
      <c r="AB196" t="str">
        <f t="shared" ref="AB196:AB259" si="7">IF(J196&lt;&gt;"00","update dochazka set zastavka = '" &amp; J196 &amp; "' where zamestnanec = '" &amp; A196 &amp; "';","")</f>
        <v>update dochazka set zastavka = '24' where zamestnanec = '493';</v>
      </c>
    </row>
    <row r="197" spans="1:28" x14ac:dyDescent="0.25">
      <c r="A197" s="2">
        <v>700</v>
      </c>
      <c r="B197" t="s">
        <v>3099</v>
      </c>
      <c r="D197" t="s">
        <v>2674</v>
      </c>
      <c r="E197" t="s">
        <v>761</v>
      </c>
      <c r="F197" t="s">
        <v>3100</v>
      </c>
      <c r="G197" s="1">
        <v>45259</v>
      </c>
      <c r="H197" s="1">
        <v>45314</v>
      </c>
      <c r="I197" s="1">
        <v>73050</v>
      </c>
      <c r="J197" s="2" t="s">
        <v>8318</v>
      </c>
      <c r="K197" t="s">
        <v>3101</v>
      </c>
      <c r="M197" s="16" t="s">
        <v>8319</v>
      </c>
      <c r="N197" s="16" t="str">
        <f>VLOOKUP(M197,Tab_Zast[[Zastávka]:[Sloupec1]],2,0)</f>
        <v>24</v>
      </c>
      <c r="O197" t="s">
        <v>3102</v>
      </c>
      <c r="P197">
        <v>6</v>
      </c>
      <c r="Q197">
        <v>0</v>
      </c>
      <c r="R197" t="s">
        <v>31</v>
      </c>
      <c r="S197" t="s">
        <v>31</v>
      </c>
      <c r="T197" t="s">
        <v>32</v>
      </c>
      <c r="V197" s="1" t="e">
        <v>#N/A</v>
      </c>
      <c r="W197" t="s">
        <v>1216</v>
      </c>
      <c r="X197">
        <v>0</v>
      </c>
      <c r="Y197">
        <v>0</v>
      </c>
      <c r="Z197" t="s">
        <v>54</v>
      </c>
      <c r="AA197" t="str">
        <f t="shared" si="6"/>
        <v>update zamestnanci set nastup='24' where id='700';</v>
      </c>
      <c r="AB197" t="str">
        <f t="shared" si="7"/>
        <v>update dochazka set zastavka = '24' where zamestnanec = '700';</v>
      </c>
    </row>
    <row r="198" spans="1:28" x14ac:dyDescent="0.25">
      <c r="A198" s="2">
        <v>707</v>
      </c>
      <c r="B198" t="s">
        <v>3136</v>
      </c>
      <c r="D198" t="s">
        <v>3137</v>
      </c>
      <c r="E198" t="s">
        <v>3138</v>
      </c>
      <c r="F198" t="s">
        <v>67</v>
      </c>
      <c r="G198" s="1">
        <v>45268</v>
      </c>
      <c r="H198" s="1">
        <v>45300</v>
      </c>
      <c r="I198" s="1">
        <v>45626</v>
      </c>
      <c r="J198" s="2" t="s">
        <v>8318</v>
      </c>
      <c r="K198" t="s">
        <v>3139</v>
      </c>
      <c r="M198" s="16" t="s">
        <v>8319</v>
      </c>
      <c r="N198" s="16" t="str">
        <f>VLOOKUP(M198,Tab_Zast[[Zastávka]:[Sloupec1]],2,0)</f>
        <v>24</v>
      </c>
      <c r="O198" t="s">
        <v>3140</v>
      </c>
      <c r="P198">
        <v>6</v>
      </c>
      <c r="Q198">
        <v>0</v>
      </c>
      <c r="R198" t="s">
        <v>31</v>
      </c>
      <c r="S198" t="s">
        <v>31</v>
      </c>
      <c r="T198" t="s">
        <v>32</v>
      </c>
      <c r="V198" s="1" t="e">
        <v>#N/A</v>
      </c>
      <c r="W198" t="s">
        <v>1216</v>
      </c>
      <c r="X198">
        <v>0</v>
      </c>
      <c r="Y198">
        <v>0</v>
      </c>
      <c r="Z198" t="s">
        <v>54</v>
      </c>
      <c r="AA198" t="str">
        <f t="shared" si="6"/>
        <v>update zamestnanci set nastup='24' where id='707';</v>
      </c>
      <c r="AB198" t="str">
        <f t="shared" si="7"/>
        <v>update dochazka set zastavka = '24' where zamestnanec = '707';</v>
      </c>
    </row>
    <row r="199" spans="1:28" x14ac:dyDescent="0.25">
      <c r="A199" s="2">
        <v>709</v>
      </c>
      <c r="B199" t="s">
        <v>3146</v>
      </c>
      <c r="D199" t="s">
        <v>3147</v>
      </c>
      <c r="E199" t="s">
        <v>725</v>
      </c>
      <c r="F199" t="s">
        <v>3148</v>
      </c>
      <c r="G199" s="1">
        <v>45272</v>
      </c>
      <c r="H199" s="1">
        <v>45303</v>
      </c>
      <c r="I199" s="1">
        <v>73050</v>
      </c>
      <c r="J199" s="2" t="s">
        <v>8318</v>
      </c>
      <c r="K199" t="s">
        <v>3149</v>
      </c>
      <c r="M199" s="16" t="s">
        <v>8319</v>
      </c>
      <c r="N199" s="16" t="str">
        <f>VLOOKUP(M199,Tab_Zast[[Zastávka]:[Sloupec1]],2,0)</f>
        <v>24</v>
      </c>
      <c r="O199" t="s">
        <v>3150</v>
      </c>
      <c r="P199">
        <v>6</v>
      </c>
      <c r="Q199">
        <v>0</v>
      </c>
      <c r="R199" t="s">
        <v>31</v>
      </c>
      <c r="S199" t="s">
        <v>31</v>
      </c>
      <c r="T199" t="s">
        <v>32</v>
      </c>
      <c r="V199" s="1" t="e">
        <v>#N/A</v>
      </c>
      <c r="W199" t="s">
        <v>1216</v>
      </c>
      <c r="X199">
        <v>0</v>
      </c>
      <c r="Y199">
        <v>0</v>
      </c>
      <c r="Z199" t="s">
        <v>54</v>
      </c>
      <c r="AA199" t="str">
        <f t="shared" si="6"/>
        <v>update zamestnanci set nastup='24' where id='709';</v>
      </c>
      <c r="AB199" t="str">
        <f t="shared" si="7"/>
        <v>update dochazka set zastavka = '24' where zamestnanec = '709';</v>
      </c>
    </row>
    <row r="200" spans="1:28" x14ac:dyDescent="0.25">
      <c r="A200" s="2">
        <v>755</v>
      </c>
      <c r="B200" t="s">
        <v>3360</v>
      </c>
      <c r="D200" t="s">
        <v>3361</v>
      </c>
      <c r="E200" t="s">
        <v>80</v>
      </c>
      <c r="F200" t="s">
        <v>3362</v>
      </c>
      <c r="G200" s="1">
        <v>45313</v>
      </c>
      <c r="H200" s="1">
        <v>45003</v>
      </c>
      <c r="I200" s="1">
        <v>73050</v>
      </c>
      <c r="J200" s="2" t="s">
        <v>8318</v>
      </c>
      <c r="K200" t="s">
        <v>3363</v>
      </c>
      <c r="M200" s="16" t="s">
        <v>8319</v>
      </c>
      <c r="N200" s="16" t="str">
        <f>VLOOKUP(M200,Tab_Zast[[Zastávka]:[Sloupec1]],2,0)</f>
        <v>24</v>
      </c>
      <c r="O200" t="s">
        <v>3364</v>
      </c>
      <c r="P200">
        <v>6</v>
      </c>
      <c r="Q200">
        <v>0</v>
      </c>
      <c r="R200" t="s">
        <v>31</v>
      </c>
      <c r="S200" t="s">
        <v>31</v>
      </c>
      <c r="T200" t="s">
        <v>32</v>
      </c>
      <c r="V200" s="1" t="e">
        <v>#N/A</v>
      </c>
      <c r="W200" t="s">
        <v>1216</v>
      </c>
      <c r="X200">
        <v>0</v>
      </c>
      <c r="Y200">
        <v>0</v>
      </c>
      <c r="Z200" t="s">
        <v>54</v>
      </c>
      <c r="AA200" t="str">
        <f t="shared" si="6"/>
        <v>update zamestnanci set nastup='24' where id='755';</v>
      </c>
      <c r="AB200" t="str">
        <f t="shared" si="7"/>
        <v>update dochazka set zastavka = '24' where zamestnanec = '755';</v>
      </c>
    </row>
    <row r="201" spans="1:28" x14ac:dyDescent="0.25">
      <c r="A201" s="2">
        <v>777</v>
      </c>
      <c r="B201" t="s">
        <v>3474</v>
      </c>
      <c r="D201" t="s">
        <v>909</v>
      </c>
      <c r="E201" t="s">
        <v>3475</v>
      </c>
      <c r="F201" t="s">
        <v>3476</v>
      </c>
      <c r="G201" s="1">
        <v>45327</v>
      </c>
      <c r="H201" s="1">
        <v>45336</v>
      </c>
      <c r="I201" s="1">
        <v>73050</v>
      </c>
      <c r="J201" s="2" t="s">
        <v>8318</v>
      </c>
      <c r="K201" t="s">
        <v>3477</v>
      </c>
      <c r="M201" s="16" t="s">
        <v>8319</v>
      </c>
      <c r="N201" s="16" t="str">
        <f>VLOOKUP(M201,Tab_Zast[[Zastávka]:[Sloupec1]],2,0)</f>
        <v>24</v>
      </c>
      <c r="O201" t="s">
        <v>3478</v>
      </c>
      <c r="P201">
        <v>6</v>
      </c>
      <c r="Q201">
        <v>0</v>
      </c>
      <c r="R201" t="s">
        <v>31</v>
      </c>
      <c r="S201" t="s">
        <v>31</v>
      </c>
      <c r="T201" t="s">
        <v>32</v>
      </c>
      <c r="V201" s="1" t="e">
        <v>#N/A</v>
      </c>
      <c r="W201" t="s">
        <v>1216</v>
      </c>
      <c r="X201">
        <v>0</v>
      </c>
      <c r="Y201">
        <v>0</v>
      </c>
      <c r="Z201" t="s">
        <v>54</v>
      </c>
      <c r="AA201" t="str">
        <f t="shared" si="6"/>
        <v>update zamestnanci set nastup='24' where id='777';</v>
      </c>
      <c r="AB201" t="str">
        <f t="shared" si="7"/>
        <v>update dochazka set zastavka = '24' where zamestnanec = '777';</v>
      </c>
    </row>
    <row r="202" spans="1:28" x14ac:dyDescent="0.25">
      <c r="A202" s="2">
        <v>805</v>
      </c>
      <c r="B202" t="s">
        <v>3613</v>
      </c>
      <c r="D202" t="s">
        <v>3614</v>
      </c>
      <c r="E202" t="s">
        <v>3260</v>
      </c>
      <c r="F202" t="s">
        <v>3615</v>
      </c>
      <c r="G202" s="1">
        <v>45341</v>
      </c>
      <c r="H202" s="1">
        <v>45348</v>
      </c>
      <c r="I202" s="1">
        <v>73050</v>
      </c>
      <c r="J202" s="2" t="s">
        <v>8318</v>
      </c>
      <c r="K202" t="s">
        <v>3616</v>
      </c>
      <c r="M202" s="16" t="s">
        <v>8319</v>
      </c>
      <c r="N202" s="16" t="str">
        <f>VLOOKUP(M202,Tab_Zast[[Zastávka]:[Sloupec1]],2,0)</f>
        <v>24</v>
      </c>
      <c r="O202" t="s">
        <v>3617</v>
      </c>
      <c r="P202">
        <v>6</v>
      </c>
      <c r="Q202">
        <v>0</v>
      </c>
      <c r="R202" t="s">
        <v>31</v>
      </c>
      <c r="S202" t="s">
        <v>31</v>
      </c>
      <c r="T202" t="s">
        <v>32</v>
      </c>
      <c r="V202" s="1" t="e">
        <v>#N/A</v>
      </c>
      <c r="W202" t="s">
        <v>1216</v>
      </c>
      <c r="X202">
        <v>0</v>
      </c>
      <c r="Y202">
        <v>0</v>
      </c>
      <c r="Z202" t="s">
        <v>54</v>
      </c>
      <c r="AA202" t="str">
        <f t="shared" si="6"/>
        <v>update zamestnanci set nastup='24' where id='805';</v>
      </c>
      <c r="AB202" t="str">
        <f t="shared" si="7"/>
        <v>update dochazka set zastavka = '24' where zamestnanec = '805';</v>
      </c>
    </row>
    <row r="203" spans="1:28" x14ac:dyDescent="0.25">
      <c r="A203" s="2">
        <v>814</v>
      </c>
      <c r="B203" t="s">
        <v>3655</v>
      </c>
      <c r="D203" t="s">
        <v>3656</v>
      </c>
      <c r="E203" t="s">
        <v>3657</v>
      </c>
      <c r="F203" t="s">
        <v>3658</v>
      </c>
      <c r="G203" s="1">
        <v>45344</v>
      </c>
      <c r="H203" s="1">
        <v>45408</v>
      </c>
      <c r="I203" s="1">
        <v>73050</v>
      </c>
      <c r="J203" s="2" t="s">
        <v>8318</v>
      </c>
      <c r="K203" t="s">
        <v>3659</v>
      </c>
      <c r="M203" s="16" t="s">
        <v>8319</v>
      </c>
      <c r="N203" s="16" t="str">
        <f>VLOOKUP(M203,Tab_Zast[[Zastávka]:[Sloupec1]],2,0)</f>
        <v>24</v>
      </c>
      <c r="O203" t="s">
        <v>3660</v>
      </c>
      <c r="P203">
        <v>6</v>
      </c>
      <c r="Q203">
        <v>0</v>
      </c>
      <c r="R203" t="s">
        <v>31</v>
      </c>
      <c r="S203" t="s">
        <v>31</v>
      </c>
      <c r="T203" t="s">
        <v>32</v>
      </c>
      <c r="V203" s="1" t="e">
        <v>#N/A</v>
      </c>
      <c r="W203" t="s">
        <v>1216</v>
      </c>
      <c r="X203">
        <v>0</v>
      </c>
      <c r="Y203">
        <v>0</v>
      </c>
      <c r="AA203" t="str">
        <f t="shared" si="6"/>
        <v>update zamestnanci set nastup='24' where id='814';</v>
      </c>
      <c r="AB203" t="str">
        <f t="shared" si="7"/>
        <v>update dochazka set zastavka = '24' where zamestnanec = '814';</v>
      </c>
    </row>
    <row r="204" spans="1:28" x14ac:dyDescent="0.25">
      <c r="A204" s="2">
        <v>824</v>
      </c>
      <c r="B204" t="s">
        <v>3706</v>
      </c>
      <c r="D204" t="s">
        <v>3707</v>
      </c>
      <c r="E204" t="s">
        <v>563</v>
      </c>
      <c r="F204" t="s">
        <v>3708</v>
      </c>
      <c r="G204" s="1">
        <v>45348</v>
      </c>
      <c r="H204" s="1">
        <v>45350</v>
      </c>
      <c r="I204" s="1">
        <v>73050</v>
      </c>
      <c r="J204" s="2" t="s">
        <v>8318</v>
      </c>
      <c r="K204" t="s">
        <v>3709</v>
      </c>
      <c r="M204" s="16" t="s">
        <v>8319</v>
      </c>
      <c r="N204" s="16" t="str">
        <f>VLOOKUP(M204,Tab_Zast[[Zastávka]:[Sloupec1]],2,0)</f>
        <v>24</v>
      </c>
      <c r="O204" t="s">
        <v>3710</v>
      </c>
      <c r="P204">
        <v>6</v>
      </c>
      <c r="Q204">
        <v>0</v>
      </c>
      <c r="R204" t="s">
        <v>31</v>
      </c>
      <c r="S204" t="s">
        <v>31</v>
      </c>
      <c r="T204" t="s">
        <v>32</v>
      </c>
      <c r="V204" s="1" t="e">
        <v>#N/A</v>
      </c>
      <c r="W204" t="s">
        <v>1216</v>
      </c>
      <c r="X204">
        <v>0</v>
      </c>
      <c r="Y204">
        <v>0</v>
      </c>
      <c r="Z204" t="s">
        <v>54</v>
      </c>
      <c r="AA204" t="str">
        <f t="shared" si="6"/>
        <v>update zamestnanci set nastup='24' where id='824';</v>
      </c>
      <c r="AB204" t="str">
        <f t="shared" si="7"/>
        <v>update dochazka set zastavka = '24' where zamestnanec = '824';</v>
      </c>
    </row>
    <row r="205" spans="1:28" x14ac:dyDescent="0.25">
      <c r="A205" s="2">
        <v>851</v>
      </c>
      <c r="B205" t="s">
        <v>3839</v>
      </c>
      <c r="D205" t="s">
        <v>3840</v>
      </c>
      <c r="E205" t="s">
        <v>643</v>
      </c>
      <c r="F205" t="s">
        <v>67</v>
      </c>
      <c r="G205" s="1">
        <v>45362</v>
      </c>
      <c r="H205" s="1">
        <v>45362</v>
      </c>
      <c r="I205" s="1">
        <v>73050</v>
      </c>
      <c r="J205" s="2" t="s">
        <v>8318</v>
      </c>
      <c r="K205" t="s">
        <v>3841</v>
      </c>
      <c r="M205" s="16" t="s">
        <v>8319</v>
      </c>
      <c r="N205" s="16" t="str">
        <f>VLOOKUP(M205,Tab_Zast[[Zastávka]:[Sloupec1]],2,0)</f>
        <v>24</v>
      </c>
      <c r="O205" t="s">
        <v>3842</v>
      </c>
      <c r="P205">
        <v>6</v>
      </c>
      <c r="Q205">
        <v>0</v>
      </c>
      <c r="R205" t="s">
        <v>31</v>
      </c>
      <c r="S205" t="s">
        <v>31</v>
      </c>
      <c r="T205" t="s">
        <v>32</v>
      </c>
      <c r="V205" s="1" t="e">
        <v>#N/A</v>
      </c>
      <c r="W205" t="s">
        <v>1216</v>
      </c>
      <c r="X205">
        <v>0</v>
      </c>
      <c r="Y205">
        <v>169</v>
      </c>
      <c r="Z205" t="s">
        <v>54</v>
      </c>
      <c r="AA205" t="str">
        <f t="shared" si="6"/>
        <v>update zamestnanci set nastup='24' where id='851';</v>
      </c>
      <c r="AB205" t="str">
        <f t="shared" si="7"/>
        <v>update dochazka set zastavka = '24' where zamestnanec = '851';</v>
      </c>
    </row>
    <row r="206" spans="1:28" x14ac:dyDescent="0.25">
      <c r="A206" s="2">
        <v>854</v>
      </c>
      <c r="B206" t="s">
        <v>3855</v>
      </c>
      <c r="D206" t="s">
        <v>2896</v>
      </c>
      <c r="E206" t="s">
        <v>2120</v>
      </c>
      <c r="F206" t="s">
        <v>1969</v>
      </c>
      <c r="G206" s="1">
        <v>45364</v>
      </c>
      <c r="H206" s="1">
        <v>45408</v>
      </c>
      <c r="I206" s="1">
        <v>73050</v>
      </c>
      <c r="J206" s="2" t="s">
        <v>8318</v>
      </c>
      <c r="K206" t="s">
        <v>2899</v>
      </c>
      <c r="M206" s="16" t="s">
        <v>8319</v>
      </c>
      <c r="N206" s="16" t="str">
        <f>VLOOKUP(M206,Tab_Zast[[Zastávka]:[Sloupec1]],2,0)</f>
        <v>24</v>
      </c>
      <c r="O206" t="s">
        <v>3856</v>
      </c>
      <c r="P206">
        <v>6</v>
      </c>
      <c r="Q206">
        <v>0</v>
      </c>
      <c r="R206" t="s">
        <v>31</v>
      </c>
      <c r="S206" t="s">
        <v>31</v>
      </c>
      <c r="T206" t="s">
        <v>32</v>
      </c>
      <c r="V206" s="1" t="e">
        <v>#N/A</v>
      </c>
      <c r="W206" t="s">
        <v>1216</v>
      </c>
      <c r="X206">
        <v>0</v>
      </c>
      <c r="Y206">
        <v>185</v>
      </c>
      <c r="Z206" t="s">
        <v>54</v>
      </c>
      <c r="AA206" t="str">
        <f t="shared" si="6"/>
        <v>update zamestnanci set nastup='24' where id='854';</v>
      </c>
      <c r="AB206" t="str">
        <f t="shared" si="7"/>
        <v>update dochazka set zastavka = '24' where zamestnanec = '854';</v>
      </c>
    </row>
    <row r="207" spans="1:28" x14ac:dyDescent="0.25">
      <c r="A207" s="2">
        <v>855</v>
      </c>
      <c r="B207" t="s">
        <v>3857</v>
      </c>
      <c r="D207" t="s">
        <v>3858</v>
      </c>
      <c r="E207" t="s">
        <v>1509</v>
      </c>
      <c r="F207" t="s">
        <v>3859</v>
      </c>
      <c r="G207" s="1">
        <v>45369</v>
      </c>
      <c r="H207" s="1">
        <v>45372</v>
      </c>
      <c r="I207" s="1">
        <v>73050</v>
      </c>
      <c r="J207" s="2" t="s">
        <v>8318</v>
      </c>
      <c r="K207" t="s">
        <v>3860</v>
      </c>
      <c r="M207" s="16" t="s">
        <v>8319</v>
      </c>
      <c r="N207" s="16" t="str">
        <f>VLOOKUP(M207,Tab_Zast[[Zastávka]:[Sloupec1]],2,0)</f>
        <v>24</v>
      </c>
      <c r="O207" t="s">
        <v>3861</v>
      </c>
      <c r="P207">
        <v>6</v>
      </c>
      <c r="Q207">
        <v>0</v>
      </c>
      <c r="R207" t="s">
        <v>31</v>
      </c>
      <c r="S207" t="s">
        <v>31</v>
      </c>
      <c r="T207" t="s">
        <v>32</v>
      </c>
      <c r="V207" s="1" t="e">
        <v>#N/A</v>
      </c>
      <c r="W207" t="s">
        <v>1216</v>
      </c>
      <c r="X207">
        <v>0</v>
      </c>
      <c r="Y207">
        <v>170</v>
      </c>
      <c r="Z207" t="s">
        <v>54</v>
      </c>
      <c r="AA207" t="str">
        <f t="shared" si="6"/>
        <v>update zamestnanci set nastup='24' where id='855';</v>
      </c>
      <c r="AB207" t="str">
        <f t="shared" si="7"/>
        <v>update dochazka set zastavka = '24' where zamestnanec = '855';</v>
      </c>
    </row>
    <row r="208" spans="1:28" x14ac:dyDescent="0.25">
      <c r="A208" s="2">
        <v>864</v>
      </c>
      <c r="B208" t="s">
        <v>3897</v>
      </c>
      <c r="D208" t="s">
        <v>3898</v>
      </c>
      <c r="E208" t="s">
        <v>671</v>
      </c>
      <c r="F208" t="s">
        <v>3899</v>
      </c>
      <c r="G208" s="1">
        <v>45369</v>
      </c>
      <c r="H208" s="1">
        <v>45379</v>
      </c>
      <c r="I208" s="1">
        <v>73050</v>
      </c>
      <c r="J208" s="2" t="s">
        <v>8318</v>
      </c>
      <c r="K208" t="s">
        <v>3900</v>
      </c>
      <c r="M208" s="16" t="s">
        <v>8319</v>
      </c>
      <c r="N208" s="16" t="str">
        <f>VLOOKUP(M208,Tab_Zast[[Zastávka]:[Sloupec1]],2,0)</f>
        <v>24</v>
      </c>
      <c r="O208" t="s">
        <v>2873</v>
      </c>
      <c r="P208">
        <v>6</v>
      </c>
      <c r="Q208">
        <v>0</v>
      </c>
      <c r="R208" t="s">
        <v>31</v>
      </c>
      <c r="S208" t="s">
        <v>31</v>
      </c>
      <c r="T208" t="s">
        <v>32</v>
      </c>
      <c r="V208" s="1" t="e">
        <v>#N/A</v>
      </c>
      <c r="W208" t="s">
        <v>1216</v>
      </c>
      <c r="X208">
        <v>0</v>
      </c>
      <c r="Y208">
        <v>0</v>
      </c>
      <c r="Z208" t="s">
        <v>54</v>
      </c>
      <c r="AA208" t="str">
        <f t="shared" si="6"/>
        <v>update zamestnanci set nastup='24' where id='864';</v>
      </c>
      <c r="AB208" t="str">
        <f t="shared" si="7"/>
        <v>update dochazka set zastavka = '24' where zamestnanec = '864';</v>
      </c>
    </row>
    <row r="209" spans="1:28" x14ac:dyDescent="0.25">
      <c r="A209" s="2">
        <v>872</v>
      </c>
      <c r="B209" t="s">
        <v>3935</v>
      </c>
      <c r="C209" t="s">
        <v>3936</v>
      </c>
      <c r="D209" t="s">
        <v>3937</v>
      </c>
      <c r="E209" t="s">
        <v>593</v>
      </c>
      <c r="F209" t="s">
        <v>3938</v>
      </c>
      <c r="G209" s="1">
        <v>45377</v>
      </c>
      <c r="H209" s="1">
        <v>45457</v>
      </c>
      <c r="I209" s="1">
        <v>73050</v>
      </c>
      <c r="J209" s="2" t="s">
        <v>8318</v>
      </c>
      <c r="K209" t="s">
        <v>3939</v>
      </c>
      <c r="M209" s="16" t="s">
        <v>8319</v>
      </c>
      <c r="N209" s="16" t="str">
        <f>VLOOKUP(M209,Tab_Zast[[Zastávka]:[Sloupec1]],2,0)</f>
        <v>24</v>
      </c>
      <c r="O209" t="s">
        <v>3940</v>
      </c>
      <c r="P209">
        <v>6</v>
      </c>
      <c r="Q209">
        <v>0</v>
      </c>
      <c r="R209" t="s">
        <v>31</v>
      </c>
      <c r="S209" t="s">
        <v>31</v>
      </c>
      <c r="T209" t="s">
        <v>32</v>
      </c>
      <c r="V209" s="1" t="e">
        <v>#N/A</v>
      </c>
      <c r="W209" t="s">
        <v>1216</v>
      </c>
      <c r="X209">
        <v>0</v>
      </c>
      <c r="Y209">
        <v>219</v>
      </c>
      <c r="AA209" t="str">
        <f t="shared" si="6"/>
        <v>update zamestnanci set nastup='24' where id='872';</v>
      </c>
      <c r="AB209" t="str">
        <f t="shared" si="7"/>
        <v>update dochazka set zastavka = '24' where zamestnanec = '872';</v>
      </c>
    </row>
    <row r="210" spans="1:28" x14ac:dyDescent="0.25">
      <c r="A210" s="2">
        <v>904</v>
      </c>
      <c r="B210" t="s">
        <v>4086</v>
      </c>
      <c r="D210" t="s">
        <v>4087</v>
      </c>
      <c r="E210" t="s">
        <v>719</v>
      </c>
      <c r="F210" t="s">
        <v>1904</v>
      </c>
      <c r="G210" s="1">
        <v>45393</v>
      </c>
      <c r="H210" s="1">
        <v>45429</v>
      </c>
      <c r="I210" s="1">
        <v>73050</v>
      </c>
      <c r="J210" s="2" t="s">
        <v>8318</v>
      </c>
      <c r="K210" t="s">
        <v>4088</v>
      </c>
      <c r="M210" s="16" t="s">
        <v>8319</v>
      </c>
      <c r="N210" s="16" t="str">
        <f>VLOOKUP(M210,Tab_Zast[[Zastávka]:[Sloupec1]],2,0)</f>
        <v>24</v>
      </c>
      <c r="O210" t="s">
        <v>4089</v>
      </c>
      <c r="P210">
        <v>6</v>
      </c>
      <c r="Q210">
        <v>0</v>
      </c>
      <c r="R210" t="s">
        <v>31</v>
      </c>
      <c r="S210" t="s">
        <v>31</v>
      </c>
      <c r="T210" t="s">
        <v>32</v>
      </c>
      <c r="V210" s="1" t="e">
        <v>#N/A</v>
      </c>
      <c r="W210" t="s">
        <v>1216</v>
      </c>
      <c r="X210">
        <v>0</v>
      </c>
      <c r="Y210">
        <v>256</v>
      </c>
      <c r="AA210" t="str">
        <f t="shared" si="6"/>
        <v>update zamestnanci set nastup='24' where id='904';</v>
      </c>
      <c r="AB210" t="str">
        <f t="shared" si="7"/>
        <v>update dochazka set zastavka = '24' where zamestnanec = '904';</v>
      </c>
    </row>
    <row r="211" spans="1:28" x14ac:dyDescent="0.25">
      <c r="A211" s="2">
        <v>925</v>
      </c>
      <c r="B211" t="s">
        <v>4184</v>
      </c>
      <c r="C211" t="s">
        <v>64</v>
      </c>
      <c r="D211" t="s">
        <v>4185</v>
      </c>
      <c r="E211" t="s">
        <v>737</v>
      </c>
      <c r="F211" t="s">
        <v>4186</v>
      </c>
      <c r="G211" s="1">
        <v>45407</v>
      </c>
      <c r="H211" s="1">
        <v>45434</v>
      </c>
      <c r="I211" s="1">
        <v>73050</v>
      </c>
      <c r="J211" s="2" t="s">
        <v>8318</v>
      </c>
      <c r="K211" t="s">
        <v>4187</v>
      </c>
      <c r="M211" s="16" t="s">
        <v>8319</v>
      </c>
      <c r="N211" s="16" t="str">
        <f>VLOOKUP(M211,Tab_Zast[[Zastávka]:[Sloupec1]],2,0)</f>
        <v>24</v>
      </c>
      <c r="O211" t="s">
        <v>4188</v>
      </c>
      <c r="P211">
        <v>6</v>
      </c>
      <c r="Q211">
        <v>0</v>
      </c>
      <c r="R211" t="s">
        <v>31</v>
      </c>
      <c r="S211" t="s">
        <v>31</v>
      </c>
      <c r="T211" t="s">
        <v>32</v>
      </c>
      <c r="V211" s="1" t="e">
        <v>#N/A</v>
      </c>
      <c r="W211" t="s">
        <v>1216</v>
      </c>
      <c r="X211">
        <v>0</v>
      </c>
      <c r="Y211">
        <v>294</v>
      </c>
      <c r="AA211" t="str">
        <f t="shared" si="6"/>
        <v>update zamestnanci set nastup='24' where id='925';</v>
      </c>
      <c r="AB211" t="str">
        <f t="shared" si="7"/>
        <v>update dochazka set zastavka = '24' where zamestnanec = '925';</v>
      </c>
    </row>
    <row r="212" spans="1:28" x14ac:dyDescent="0.25">
      <c r="A212" s="2">
        <v>942</v>
      </c>
      <c r="B212" t="s">
        <v>4251</v>
      </c>
      <c r="C212" t="s">
        <v>4252</v>
      </c>
      <c r="D212" t="s">
        <v>414</v>
      </c>
      <c r="E212" t="s">
        <v>4253</v>
      </c>
      <c r="F212" t="s">
        <v>3143</v>
      </c>
      <c r="G212" s="1">
        <v>45425</v>
      </c>
      <c r="H212" s="1">
        <v>73050</v>
      </c>
      <c r="I212" s="1" t="e">
        <v>#N/A</v>
      </c>
      <c r="J212" s="2" t="s">
        <v>8318</v>
      </c>
      <c r="K212" t="s">
        <v>4254</v>
      </c>
      <c r="M212" s="16" t="s">
        <v>8319</v>
      </c>
      <c r="N212" s="16" t="str">
        <f>VLOOKUP(M212,Tab_Zast[[Zastávka]:[Sloupec1]],2,0)</f>
        <v>24</v>
      </c>
      <c r="O212" t="s">
        <v>4255</v>
      </c>
      <c r="P212">
        <v>6</v>
      </c>
      <c r="Q212">
        <v>0</v>
      </c>
      <c r="R212" t="s">
        <v>130</v>
      </c>
      <c r="S212" t="s">
        <v>31</v>
      </c>
      <c r="T212" t="s">
        <v>32</v>
      </c>
      <c r="V212" s="1" t="e">
        <v>#N/A</v>
      </c>
      <c r="W212" t="s">
        <v>1216</v>
      </c>
      <c r="X212">
        <v>1</v>
      </c>
      <c r="Y212">
        <v>325</v>
      </c>
      <c r="AA212" t="str">
        <f t="shared" si="6"/>
        <v>update zamestnanci set nastup='24' where id='942';</v>
      </c>
      <c r="AB212" t="str">
        <f t="shared" si="7"/>
        <v>update dochazka set zastavka = '24' where zamestnanec = '942';</v>
      </c>
    </row>
    <row r="213" spans="1:28" x14ac:dyDescent="0.25">
      <c r="A213" s="2">
        <v>1008</v>
      </c>
      <c r="B213" t="s">
        <v>4542</v>
      </c>
      <c r="C213" t="s">
        <v>4543</v>
      </c>
      <c r="D213" t="s">
        <v>4544</v>
      </c>
      <c r="E213" t="s">
        <v>3048</v>
      </c>
      <c r="F213" t="s">
        <v>4545</v>
      </c>
      <c r="G213" s="1">
        <v>45455</v>
      </c>
      <c r="H213" s="1">
        <v>45600</v>
      </c>
      <c r="I213" s="1">
        <v>73050</v>
      </c>
      <c r="J213" s="2" t="s">
        <v>8318</v>
      </c>
      <c r="K213" t="s">
        <v>4546</v>
      </c>
      <c r="M213" s="16" t="s">
        <v>8319</v>
      </c>
      <c r="N213" s="16" t="str">
        <f>VLOOKUP(M213,Tab_Zast[[Zastávka]:[Sloupec1]],2,0)</f>
        <v>24</v>
      </c>
      <c r="O213" t="s">
        <v>4547</v>
      </c>
      <c r="P213">
        <v>6</v>
      </c>
      <c r="Q213">
        <v>0</v>
      </c>
      <c r="R213" t="s">
        <v>31</v>
      </c>
      <c r="S213" t="s">
        <v>31</v>
      </c>
      <c r="T213" t="s">
        <v>32</v>
      </c>
      <c r="V213" s="1" t="e">
        <v>#N/A</v>
      </c>
      <c r="W213" t="s">
        <v>1216</v>
      </c>
      <c r="X213">
        <v>0</v>
      </c>
      <c r="Y213">
        <v>395</v>
      </c>
      <c r="AA213" t="str">
        <f t="shared" si="6"/>
        <v>update zamestnanci set nastup='24' where id='1008';</v>
      </c>
      <c r="AB213" t="str">
        <f t="shared" si="7"/>
        <v>update dochazka set zastavka = '24' where zamestnanec = '1008';</v>
      </c>
    </row>
    <row r="214" spans="1:28" x14ac:dyDescent="0.25">
      <c r="A214" s="2">
        <v>1014</v>
      </c>
      <c r="B214" t="s">
        <v>4562</v>
      </c>
      <c r="C214" t="s">
        <v>4563</v>
      </c>
      <c r="D214" t="s">
        <v>4564</v>
      </c>
      <c r="E214" t="s">
        <v>201</v>
      </c>
      <c r="F214" t="s">
        <v>4565</v>
      </c>
      <c r="G214" s="1">
        <v>45461</v>
      </c>
      <c r="H214" s="1">
        <v>45541</v>
      </c>
      <c r="I214" s="1">
        <v>73050</v>
      </c>
      <c r="J214" s="2" t="s">
        <v>8318</v>
      </c>
      <c r="K214" t="s">
        <v>4566</v>
      </c>
      <c r="M214" s="16" t="s">
        <v>8319</v>
      </c>
      <c r="N214" s="16" t="str">
        <f>VLOOKUP(M214,Tab_Zast[[Zastávka]:[Sloupec1]],2,0)</f>
        <v>24</v>
      </c>
      <c r="O214" t="s">
        <v>4567</v>
      </c>
      <c r="P214">
        <v>6</v>
      </c>
      <c r="Q214">
        <v>0</v>
      </c>
      <c r="R214" t="s">
        <v>31</v>
      </c>
      <c r="S214" t="s">
        <v>31</v>
      </c>
      <c r="T214" t="s">
        <v>32</v>
      </c>
      <c r="V214" s="1" t="e">
        <v>#N/A</v>
      </c>
      <c r="W214" t="s">
        <v>1216</v>
      </c>
      <c r="X214">
        <v>0</v>
      </c>
      <c r="Y214">
        <v>403</v>
      </c>
      <c r="AA214" t="str">
        <f t="shared" si="6"/>
        <v>update zamestnanci set nastup='24' where id='1014';</v>
      </c>
      <c r="AB214" t="str">
        <f t="shared" si="7"/>
        <v>update dochazka set zastavka = '24' where zamestnanec = '1014';</v>
      </c>
    </row>
    <row r="215" spans="1:28" x14ac:dyDescent="0.25">
      <c r="A215" s="2">
        <v>1026</v>
      </c>
      <c r="B215" t="s">
        <v>4619</v>
      </c>
      <c r="C215" t="s">
        <v>1394</v>
      </c>
      <c r="D215" t="s">
        <v>4620</v>
      </c>
      <c r="E215" t="s">
        <v>2877</v>
      </c>
      <c r="F215" t="s">
        <v>4621</v>
      </c>
      <c r="G215" s="1">
        <v>45462</v>
      </c>
      <c r="H215" s="1">
        <v>45471</v>
      </c>
      <c r="I215" s="1">
        <v>73050</v>
      </c>
      <c r="J215" s="2" t="s">
        <v>8318</v>
      </c>
      <c r="K215" t="s">
        <v>4622</v>
      </c>
      <c r="M215" s="16" t="s">
        <v>8319</v>
      </c>
      <c r="N215" s="16" t="str">
        <f>VLOOKUP(M215,Tab_Zast[[Zastávka]:[Sloupec1]],2,0)</f>
        <v>24</v>
      </c>
      <c r="O215" t="s">
        <v>4623</v>
      </c>
      <c r="P215">
        <v>6</v>
      </c>
      <c r="Q215">
        <v>0</v>
      </c>
      <c r="R215" t="s">
        <v>31</v>
      </c>
      <c r="S215" t="s">
        <v>31</v>
      </c>
      <c r="T215" t="s">
        <v>32</v>
      </c>
      <c r="V215" s="1" t="e">
        <v>#N/A</v>
      </c>
      <c r="W215" t="s">
        <v>1216</v>
      </c>
      <c r="X215">
        <v>0</v>
      </c>
      <c r="Y215">
        <v>415</v>
      </c>
      <c r="AA215" t="str">
        <f t="shared" si="6"/>
        <v>update zamestnanci set nastup='24' where id='1026';</v>
      </c>
      <c r="AB215" t="str">
        <f t="shared" si="7"/>
        <v>update dochazka set zastavka = '24' where zamestnanec = '1026';</v>
      </c>
    </row>
    <row r="216" spans="1:28" x14ac:dyDescent="0.25">
      <c r="A216" s="2">
        <v>1078</v>
      </c>
      <c r="B216" t="s">
        <v>4851</v>
      </c>
      <c r="C216" t="s">
        <v>1394</v>
      </c>
      <c r="D216" t="s">
        <v>4823</v>
      </c>
      <c r="E216" t="s">
        <v>2613</v>
      </c>
      <c r="F216" t="s">
        <v>67</v>
      </c>
      <c r="G216" s="1">
        <v>45482</v>
      </c>
      <c r="H216" s="1">
        <v>45482</v>
      </c>
      <c r="I216" s="1">
        <v>45482</v>
      </c>
      <c r="J216" s="2" t="s">
        <v>8318</v>
      </c>
      <c r="K216" t="s">
        <v>4824</v>
      </c>
      <c r="M216" s="16" t="s">
        <v>8319</v>
      </c>
      <c r="N216" s="16" t="str">
        <f>VLOOKUP(M216,Tab_Zast[[Zastávka]:[Sloupec1]],2,0)</f>
        <v>24</v>
      </c>
      <c r="O216" t="s">
        <v>4852</v>
      </c>
      <c r="P216">
        <v>6</v>
      </c>
      <c r="Q216">
        <v>0</v>
      </c>
      <c r="R216" t="s">
        <v>31</v>
      </c>
      <c r="S216" t="s">
        <v>31</v>
      </c>
      <c r="T216" t="s">
        <v>32</v>
      </c>
      <c r="V216" s="1" t="e">
        <v>#N/A</v>
      </c>
      <c r="W216" t="s">
        <v>1216</v>
      </c>
      <c r="X216">
        <v>0</v>
      </c>
      <c r="Y216">
        <v>465</v>
      </c>
      <c r="AA216" t="str">
        <f t="shared" si="6"/>
        <v>update zamestnanci set nastup='24' where id='1078';</v>
      </c>
      <c r="AB216" t="str">
        <f t="shared" si="7"/>
        <v>update dochazka set zastavka = '24' where zamestnanec = '1078';</v>
      </c>
    </row>
    <row r="217" spans="1:28" x14ac:dyDescent="0.25">
      <c r="A217" s="2">
        <v>1089</v>
      </c>
      <c r="B217" t="s">
        <v>4897</v>
      </c>
      <c r="C217" t="s">
        <v>1394</v>
      </c>
      <c r="D217" t="s">
        <v>4898</v>
      </c>
      <c r="E217" t="s">
        <v>4899</v>
      </c>
      <c r="F217" t="s">
        <v>67</v>
      </c>
      <c r="G217" s="1">
        <v>45490</v>
      </c>
      <c r="H217" s="1">
        <v>45491</v>
      </c>
      <c r="I217" s="1">
        <v>73050</v>
      </c>
      <c r="J217" s="2" t="s">
        <v>8318</v>
      </c>
      <c r="K217" t="s">
        <v>4900</v>
      </c>
      <c r="M217" s="16" t="s">
        <v>8319</v>
      </c>
      <c r="N217" s="16" t="str">
        <f>VLOOKUP(M217,Tab_Zast[[Zastávka]:[Sloupec1]],2,0)</f>
        <v>24</v>
      </c>
      <c r="O217" t="s">
        <v>4901</v>
      </c>
      <c r="P217">
        <v>6</v>
      </c>
      <c r="Q217">
        <v>0</v>
      </c>
      <c r="R217" t="s">
        <v>31</v>
      </c>
      <c r="S217" t="s">
        <v>31</v>
      </c>
      <c r="T217" t="s">
        <v>32</v>
      </c>
      <c r="V217" s="1" t="e">
        <v>#N/A</v>
      </c>
      <c r="W217" t="s">
        <v>1216</v>
      </c>
      <c r="X217">
        <v>0</v>
      </c>
      <c r="Y217">
        <v>478</v>
      </c>
      <c r="AA217" t="str">
        <f t="shared" si="6"/>
        <v>update zamestnanci set nastup='24' where id='1089';</v>
      </c>
      <c r="AB217" t="str">
        <f t="shared" si="7"/>
        <v>update dochazka set zastavka = '24' where zamestnanec = '1089';</v>
      </c>
    </row>
    <row r="218" spans="1:28" x14ac:dyDescent="0.25">
      <c r="A218" s="2">
        <v>1138</v>
      </c>
      <c r="B218" t="s">
        <v>1394</v>
      </c>
      <c r="C218" t="s">
        <v>1394</v>
      </c>
      <c r="D218" t="s">
        <v>5092</v>
      </c>
      <c r="E218" t="s">
        <v>2391</v>
      </c>
      <c r="F218" t="s">
        <v>67</v>
      </c>
      <c r="G218" s="1">
        <v>45516</v>
      </c>
      <c r="H218" s="1">
        <v>45516</v>
      </c>
      <c r="I218" s="1">
        <v>45516</v>
      </c>
      <c r="J218" s="2" t="s">
        <v>8318</v>
      </c>
      <c r="K218" t="s">
        <v>5093</v>
      </c>
      <c r="M218" s="16" t="s">
        <v>8319</v>
      </c>
      <c r="N218" s="16" t="str">
        <f>VLOOKUP(M218,Tab_Zast[[Zastávka]:[Sloupec1]],2,0)</f>
        <v>24</v>
      </c>
      <c r="O218" t="s">
        <v>5094</v>
      </c>
      <c r="P218">
        <v>6</v>
      </c>
      <c r="Q218">
        <v>0</v>
      </c>
      <c r="R218" t="s">
        <v>130</v>
      </c>
      <c r="S218" t="s">
        <v>31</v>
      </c>
      <c r="T218" t="s">
        <v>32</v>
      </c>
      <c r="V218" s="1" t="e">
        <v>#N/A</v>
      </c>
      <c r="W218" t="s">
        <v>1216</v>
      </c>
      <c r="X218">
        <v>0</v>
      </c>
      <c r="Y218">
        <v>527</v>
      </c>
      <c r="AA218" t="str">
        <f t="shared" si="6"/>
        <v>update zamestnanci set nastup='24' where id='1138';</v>
      </c>
      <c r="AB218" t="str">
        <f t="shared" si="7"/>
        <v>update dochazka set zastavka = '24' where zamestnanec = '1138';</v>
      </c>
    </row>
    <row r="219" spans="1:28" x14ac:dyDescent="0.25">
      <c r="A219" s="2">
        <v>1279</v>
      </c>
      <c r="B219" t="s">
        <v>5652</v>
      </c>
      <c r="C219" t="s">
        <v>64</v>
      </c>
      <c r="D219" t="s">
        <v>1626</v>
      </c>
      <c r="E219" t="s">
        <v>5653</v>
      </c>
      <c r="F219" t="s">
        <v>5654</v>
      </c>
      <c r="G219" s="1">
        <v>45567</v>
      </c>
      <c r="H219" s="1">
        <v>45574</v>
      </c>
      <c r="I219" s="1">
        <v>73050</v>
      </c>
      <c r="J219" s="2" t="s">
        <v>8318</v>
      </c>
      <c r="K219" t="s">
        <v>5655</v>
      </c>
      <c r="M219" s="16" t="s">
        <v>8319</v>
      </c>
      <c r="N219" s="16" t="str">
        <f>VLOOKUP(M219,Tab_Zast[[Zastávka]:[Sloupec1]],2,0)</f>
        <v>24</v>
      </c>
      <c r="O219" t="s">
        <v>5656</v>
      </c>
      <c r="P219">
        <v>6</v>
      </c>
      <c r="Q219">
        <v>0</v>
      </c>
      <c r="R219" t="s">
        <v>31</v>
      </c>
      <c r="S219" t="s">
        <v>31</v>
      </c>
      <c r="T219" t="s">
        <v>32</v>
      </c>
      <c r="V219" s="1" t="e">
        <v>#N/A</v>
      </c>
      <c r="W219" t="s">
        <v>1216</v>
      </c>
      <c r="X219">
        <v>0</v>
      </c>
      <c r="Y219">
        <v>669</v>
      </c>
      <c r="AA219" t="str">
        <f t="shared" si="6"/>
        <v>update zamestnanci set nastup='24' where id='1279';</v>
      </c>
      <c r="AB219" t="str">
        <f t="shared" si="7"/>
        <v>update dochazka set zastavka = '24' where zamestnanec = '1279';</v>
      </c>
    </row>
    <row r="220" spans="1:28" x14ac:dyDescent="0.25">
      <c r="A220" s="2">
        <v>1300</v>
      </c>
      <c r="B220" t="s">
        <v>5745</v>
      </c>
      <c r="C220" t="s">
        <v>5610</v>
      </c>
      <c r="D220" t="s">
        <v>5746</v>
      </c>
      <c r="E220" t="s">
        <v>5097</v>
      </c>
      <c r="F220" t="s">
        <v>5610</v>
      </c>
      <c r="G220" s="1">
        <v>45576</v>
      </c>
      <c r="H220" s="1">
        <v>45663</v>
      </c>
      <c r="I220" s="1">
        <v>73050</v>
      </c>
      <c r="J220" s="2" t="s">
        <v>8318</v>
      </c>
      <c r="K220" t="s">
        <v>5747</v>
      </c>
      <c r="M220" s="16" t="s">
        <v>8319</v>
      </c>
      <c r="N220" s="16" t="str">
        <f>VLOOKUP(M220,Tab_Zast[[Zastávka]:[Sloupec1]],2,0)</f>
        <v>24</v>
      </c>
      <c r="O220" t="s">
        <v>5748</v>
      </c>
      <c r="P220">
        <v>6</v>
      </c>
      <c r="Q220">
        <v>0</v>
      </c>
      <c r="R220" t="s">
        <v>130</v>
      </c>
      <c r="S220" t="s">
        <v>31</v>
      </c>
      <c r="T220" t="s">
        <v>32</v>
      </c>
      <c r="V220" s="1" t="e">
        <v>#N/A</v>
      </c>
      <c r="W220" t="s">
        <v>1216</v>
      </c>
      <c r="X220">
        <v>0</v>
      </c>
      <c r="Y220">
        <v>690</v>
      </c>
      <c r="AA220" t="str">
        <f t="shared" si="6"/>
        <v>update zamestnanci set nastup='24' where id='1300';</v>
      </c>
      <c r="AB220" t="str">
        <f t="shared" si="7"/>
        <v>update dochazka set zastavka = '24' where zamestnanec = '1300';</v>
      </c>
    </row>
    <row r="221" spans="1:28" x14ac:dyDescent="0.25">
      <c r="A221" s="2">
        <v>1301</v>
      </c>
      <c r="B221" t="s">
        <v>5745</v>
      </c>
      <c r="C221" t="s">
        <v>5610</v>
      </c>
      <c r="D221" t="s">
        <v>5746</v>
      </c>
      <c r="E221" t="s">
        <v>5097</v>
      </c>
      <c r="F221" t="s">
        <v>5749</v>
      </c>
      <c r="G221" s="1">
        <v>45576</v>
      </c>
      <c r="H221" s="1">
        <v>45663</v>
      </c>
      <c r="I221" s="1">
        <v>73050</v>
      </c>
      <c r="J221" s="2" t="s">
        <v>8318</v>
      </c>
      <c r="K221" t="s">
        <v>5747</v>
      </c>
      <c r="M221" s="16" t="s">
        <v>8319</v>
      </c>
      <c r="N221" s="16" t="str">
        <f>VLOOKUP(M221,Tab_Zast[[Zastávka]:[Sloupec1]],2,0)</f>
        <v>24</v>
      </c>
      <c r="O221" t="s">
        <v>5748</v>
      </c>
      <c r="P221">
        <v>6</v>
      </c>
      <c r="Q221">
        <v>0</v>
      </c>
      <c r="R221" t="s">
        <v>31</v>
      </c>
      <c r="S221" t="s">
        <v>31</v>
      </c>
      <c r="T221" t="s">
        <v>32</v>
      </c>
      <c r="V221" s="1" t="e">
        <v>#N/A</v>
      </c>
      <c r="W221" t="s">
        <v>1216</v>
      </c>
      <c r="X221">
        <v>0</v>
      </c>
      <c r="Y221">
        <v>690</v>
      </c>
      <c r="AA221" t="str">
        <f t="shared" si="6"/>
        <v>update zamestnanci set nastup='24' where id='1301';</v>
      </c>
      <c r="AB221" t="str">
        <f t="shared" si="7"/>
        <v>update dochazka set zastavka = '24' where zamestnanec = '1301';</v>
      </c>
    </row>
    <row r="222" spans="1:28" x14ac:dyDescent="0.25">
      <c r="A222" s="2">
        <v>1419</v>
      </c>
      <c r="B222" t="s">
        <v>6204</v>
      </c>
      <c r="C222" t="s">
        <v>64</v>
      </c>
      <c r="D222" t="s">
        <v>6205</v>
      </c>
      <c r="E222" t="s">
        <v>689</v>
      </c>
      <c r="F222" t="s">
        <v>6206</v>
      </c>
      <c r="G222" s="1">
        <v>45636</v>
      </c>
      <c r="H222" s="1" t="e">
        <v>#N/A</v>
      </c>
      <c r="I222" s="1" t="e">
        <v>#N/A</v>
      </c>
      <c r="J222" s="2" t="s">
        <v>8318</v>
      </c>
      <c r="K222" t="s">
        <v>6207</v>
      </c>
      <c r="M222" s="16" t="s">
        <v>8319</v>
      </c>
      <c r="N222" s="16" t="str">
        <f>VLOOKUP(M222,Tab_Zast[[Zastávka]:[Sloupec1]],2,0)</f>
        <v>24</v>
      </c>
      <c r="O222" t="s">
        <v>6208</v>
      </c>
      <c r="P222">
        <v>6</v>
      </c>
      <c r="Q222">
        <v>0</v>
      </c>
      <c r="R222" t="s">
        <v>179</v>
      </c>
      <c r="S222" t="s">
        <v>31</v>
      </c>
      <c r="T222" t="s">
        <v>32</v>
      </c>
      <c r="V222" s="1" t="e">
        <v>#N/A</v>
      </c>
      <c r="W222" t="s">
        <v>1216</v>
      </c>
      <c r="X222">
        <v>1</v>
      </c>
      <c r="Y222">
        <v>816</v>
      </c>
      <c r="AA222" t="str">
        <f t="shared" si="6"/>
        <v>update zamestnanci set nastup='24' where id='1419';</v>
      </c>
      <c r="AB222" t="str">
        <f t="shared" si="7"/>
        <v>update dochazka set zastavka = '24' where zamestnanec = '1419';</v>
      </c>
    </row>
    <row r="223" spans="1:28" x14ac:dyDescent="0.25">
      <c r="A223" s="2">
        <v>1422</v>
      </c>
      <c r="B223" t="s">
        <v>6217</v>
      </c>
      <c r="C223" t="s">
        <v>64</v>
      </c>
      <c r="D223" t="s">
        <v>6218</v>
      </c>
      <c r="E223" t="s">
        <v>1968</v>
      </c>
      <c r="F223" t="s">
        <v>4606</v>
      </c>
      <c r="G223" s="1">
        <v>45637</v>
      </c>
      <c r="H223" s="1">
        <v>45685</v>
      </c>
      <c r="I223" s="1">
        <v>73050</v>
      </c>
      <c r="J223" s="2" t="s">
        <v>8318</v>
      </c>
      <c r="K223" t="s">
        <v>6219</v>
      </c>
      <c r="M223" s="16" t="s">
        <v>8319</v>
      </c>
      <c r="N223" s="16" t="str">
        <f>VLOOKUP(M223,Tab_Zast[[Zastávka]:[Sloupec1]],2,0)</f>
        <v>24</v>
      </c>
      <c r="O223" t="s">
        <v>6220</v>
      </c>
      <c r="P223">
        <v>6</v>
      </c>
      <c r="Q223">
        <v>0</v>
      </c>
      <c r="R223" t="s">
        <v>31</v>
      </c>
      <c r="S223" t="s">
        <v>31</v>
      </c>
      <c r="T223" t="s">
        <v>32</v>
      </c>
      <c r="V223" s="1" t="e">
        <v>#N/A</v>
      </c>
      <c r="W223" t="s">
        <v>1022</v>
      </c>
      <c r="X223">
        <v>0</v>
      </c>
      <c r="Y223">
        <v>813</v>
      </c>
      <c r="AA223" t="str">
        <f t="shared" si="6"/>
        <v>update zamestnanci set nastup='24' where id='1422';</v>
      </c>
      <c r="AB223" t="str">
        <f t="shared" si="7"/>
        <v>update dochazka set zastavka = '24' where zamestnanec = '1422';</v>
      </c>
    </row>
    <row r="224" spans="1:28" x14ac:dyDescent="0.25">
      <c r="A224" s="2">
        <v>1425</v>
      </c>
      <c r="B224" t="s">
        <v>6224</v>
      </c>
      <c r="C224" t="s">
        <v>64</v>
      </c>
      <c r="D224" t="s">
        <v>3561</v>
      </c>
      <c r="E224" t="s">
        <v>6225</v>
      </c>
      <c r="F224" t="s">
        <v>3799</v>
      </c>
      <c r="G224" s="1">
        <v>45637</v>
      </c>
      <c r="H224" s="1">
        <v>45699</v>
      </c>
      <c r="I224" s="1">
        <v>73050</v>
      </c>
      <c r="J224" s="2" t="s">
        <v>8318</v>
      </c>
      <c r="K224" t="s">
        <v>6226</v>
      </c>
      <c r="M224" s="16" t="s">
        <v>8319</v>
      </c>
      <c r="N224" s="16" t="str">
        <f>VLOOKUP(M224,Tab_Zast[[Zastávka]:[Sloupec1]],2,0)</f>
        <v>24</v>
      </c>
      <c r="O224" t="s">
        <v>6227</v>
      </c>
      <c r="P224">
        <v>6</v>
      </c>
      <c r="Q224">
        <v>0</v>
      </c>
      <c r="R224" t="s">
        <v>31</v>
      </c>
      <c r="S224" t="s">
        <v>31</v>
      </c>
      <c r="T224" t="s">
        <v>32</v>
      </c>
      <c r="V224" s="1" t="e">
        <v>#N/A</v>
      </c>
      <c r="W224" t="s">
        <v>1022</v>
      </c>
      <c r="X224">
        <v>0</v>
      </c>
      <c r="Y224">
        <v>809</v>
      </c>
      <c r="AA224" t="str">
        <f t="shared" si="6"/>
        <v>update zamestnanci set nastup='24' where id='1425';</v>
      </c>
      <c r="AB224" t="str">
        <f t="shared" si="7"/>
        <v>update dochazka set zastavka = '24' where zamestnanec = '1425';</v>
      </c>
    </row>
    <row r="225" spans="1:28" x14ac:dyDescent="0.25">
      <c r="A225" s="2">
        <v>1436</v>
      </c>
      <c r="B225" t="s">
        <v>6268</v>
      </c>
      <c r="C225" t="s">
        <v>64</v>
      </c>
      <c r="D225" t="s">
        <v>2108</v>
      </c>
      <c r="E225" t="s">
        <v>5282</v>
      </c>
      <c r="F225" t="s">
        <v>2745</v>
      </c>
      <c r="G225" s="1">
        <v>45679</v>
      </c>
      <c r="H225" s="1">
        <v>45699</v>
      </c>
      <c r="I225" s="1">
        <v>73050</v>
      </c>
      <c r="J225" s="2" t="s">
        <v>8318</v>
      </c>
      <c r="K225" t="s">
        <v>6269</v>
      </c>
      <c r="M225" s="16" t="s">
        <v>8319</v>
      </c>
      <c r="N225" s="16" t="str">
        <f>VLOOKUP(M225,Tab_Zast[[Zastávka]:[Sloupec1]],2,0)</f>
        <v>24</v>
      </c>
      <c r="O225" t="s">
        <v>6270</v>
      </c>
      <c r="P225">
        <v>6</v>
      </c>
      <c r="Q225">
        <v>0</v>
      </c>
      <c r="R225" t="s">
        <v>31</v>
      </c>
      <c r="S225" t="s">
        <v>31</v>
      </c>
      <c r="T225" t="s">
        <v>32</v>
      </c>
      <c r="V225" s="1" t="e">
        <v>#N/A</v>
      </c>
      <c r="W225" t="s">
        <v>1022</v>
      </c>
      <c r="X225">
        <v>0</v>
      </c>
      <c r="Y225">
        <v>825</v>
      </c>
      <c r="AA225" t="str">
        <f t="shared" si="6"/>
        <v>update zamestnanci set nastup='24' where id='1436';</v>
      </c>
      <c r="AB225" t="str">
        <f t="shared" si="7"/>
        <v>update dochazka set zastavka = '24' where zamestnanec = '1436';</v>
      </c>
    </row>
    <row r="226" spans="1:28" x14ac:dyDescent="0.25">
      <c r="A226" s="2">
        <v>1437</v>
      </c>
      <c r="B226" t="s">
        <v>6271</v>
      </c>
      <c r="C226" t="s">
        <v>64</v>
      </c>
      <c r="D226" t="s">
        <v>6272</v>
      </c>
      <c r="E226" t="s">
        <v>5049</v>
      </c>
      <c r="F226" t="s">
        <v>6273</v>
      </c>
      <c r="G226" s="1">
        <v>45679</v>
      </c>
      <c r="H226" s="1">
        <v>45777</v>
      </c>
      <c r="I226" s="1">
        <v>73050</v>
      </c>
      <c r="J226" s="2" t="s">
        <v>8318</v>
      </c>
      <c r="K226" t="s">
        <v>6274</v>
      </c>
      <c r="M226" s="16" t="s">
        <v>8319</v>
      </c>
      <c r="N226" s="16" t="str">
        <f>VLOOKUP(M226,Tab_Zast[[Zastávka]:[Sloupec1]],2,0)</f>
        <v>24</v>
      </c>
      <c r="O226" t="s">
        <v>6275</v>
      </c>
      <c r="P226">
        <v>6</v>
      </c>
      <c r="Q226">
        <v>0</v>
      </c>
      <c r="R226" t="s">
        <v>31</v>
      </c>
      <c r="S226" t="s">
        <v>31</v>
      </c>
      <c r="T226" t="s">
        <v>32</v>
      </c>
      <c r="V226" s="1">
        <v>45777</v>
      </c>
      <c r="W226" t="s">
        <v>1022</v>
      </c>
      <c r="X226">
        <v>0</v>
      </c>
      <c r="Y226">
        <v>826</v>
      </c>
      <c r="AA226" t="str">
        <f t="shared" si="6"/>
        <v>update zamestnanci set nastup='24' where id='1437';</v>
      </c>
      <c r="AB226" t="str">
        <f t="shared" si="7"/>
        <v>update dochazka set zastavka = '24' where zamestnanec = '1437';</v>
      </c>
    </row>
    <row r="227" spans="1:28" x14ac:dyDescent="0.25">
      <c r="A227" s="2">
        <v>1483</v>
      </c>
      <c r="B227" t="s">
        <v>6446</v>
      </c>
      <c r="C227" t="s">
        <v>64</v>
      </c>
      <c r="D227" t="s">
        <v>5348</v>
      </c>
      <c r="E227" t="s">
        <v>5395</v>
      </c>
      <c r="F227" t="s">
        <v>6447</v>
      </c>
      <c r="G227" s="1">
        <v>45709</v>
      </c>
      <c r="H227" s="1">
        <v>73050</v>
      </c>
      <c r="I227" s="1" t="e">
        <v>#N/A</v>
      </c>
      <c r="J227" s="2" t="s">
        <v>8318</v>
      </c>
      <c r="K227" t="s">
        <v>6448</v>
      </c>
      <c r="M227" s="16" t="s">
        <v>8319</v>
      </c>
      <c r="N227" s="16" t="str">
        <f>VLOOKUP(M227,Tab_Zast[[Zastávka]:[Sloupec1]],2,0)</f>
        <v>24</v>
      </c>
      <c r="O227" t="s">
        <v>6449</v>
      </c>
      <c r="P227">
        <v>6</v>
      </c>
      <c r="Q227">
        <v>0</v>
      </c>
      <c r="R227" t="s">
        <v>179</v>
      </c>
      <c r="S227" t="s">
        <v>31</v>
      </c>
      <c r="T227" t="s">
        <v>32</v>
      </c>
      <c r="V227" s="1" t="e">
        <v>#N/A</v>
      </c>
      <c r="W227" t="s">
        <v>1216</v>
      </c>
      <c r="X227">
        <v>1</v>
      </c>
      <c r="Y227">
        <v>874</v>
      </c>
      <c r="AA227" t="str">
        <f t="shared" si="6"/>
        <v>update zamestnanci set nastup='24' where id='1483';</v>
      </c>
      <c r="AB227" t="str">
        <f t="shared" si="7"/>
        <v>update dochazka set zastavka = '24' where zamestnanec = '1483';</v>
      </c>
    </row>
    <row r="228" spans="1:28" x14ac:dyDescent="0.25">
      <c r="A228" s="2">
        <v>1493</v>
      </c>
      <c r="B228" t="s">
        <v>6485</v>
      </c>
      <c r="C228" t="s">
        <v>64</v>
      </c>
      <c r="D228" t="s">
        <v>3691</v>
      </c>
      <c r="E228" t="s">
        <v>3321</v>
      </c>
      <c r="F228" t="s">
        <v>6486</v>
      </c>
      <c r="G228" s="1">
        <v>45715</v>
      </c>
      <c r="H228" s="1">
        <v>45751</v>
      </c>
      <c r="I228" s="1">
        <v>73050</v>
      </c>
      <c r="J228" s="2" t="s">
        <v>8318</v>
      </c>
      <c r="K228" t="s">
        <v>6487</v>
      </c>
      <c r="M228" s="16" t="s">
        <v>8319</v>
      </c>
      <c r="N228" s="16" t="str">
        <f>VLOOKUP(M228,Tab_Zast[[Zastávka]:[Sloupec1]],2,0)</f>
        <v>24</v>
      </c>
      <c r="O228" t="s">
        <v>6488</v>
      </c>
      <c r="P228">
        <v>6</v>
      </c>
      <c r="Q228">
        <v>0</v>
      </c>
      <c r="R228" t="s">
        <v>31</v>
      </c>
      <c r="S228" t="s">
        <v>31</v>
      </c>
      <c r="T228" t="s">
        <v>32</v>
      </c>
      <c r="V228" s="1">
        <v>45748</v>
      </c>
      <c r="W228" t="s">
        <v>1216</v>
      </c>
      <c r="X228">
        <v>0</v>
      </c>
      <c r="Y228">
        <v>886</v>
      </c>
      <c r="AA228" t="str">
        <f t="shared" si="6"/>
        <v>update zamestnanci set nastup='24' where id='1493';</v>
      </c>
      <c r="AB228" t="str">
        <f t="shared" si="7"/>
        <v>update dochazka set zastavka = '24' where zamestnanec = '1493';</v>
      </c>
    </row>
    <row r="229" spans="1:28" x14ac:dyDescent="0.25">
      <c r="A229" s="2">
        <v>1533</v>
      </c>
      <c r="B229" t="s">
        <v>6630</v>
      </c>
      <c r="C229" t="s">
        <v>64</v>
      </c>
      <c r="D229" t="s">
        <v>6631</v>
      </c>
      <c r="E229" t="s">
        <v>2641</v>
      </c>
      <c r="F229" t="s">
        <v>6632</v>
      </c>
      <c r="G229" s="1">
        <v>45736</v>
      </c>
      <c r="H229" s="1">
        <v>45771</v>
      </c>
      <c r="I229" s="1">
        <v>73050</v>
      </c>
      <c r="J229" s="2" t="s">
        <v>8318</v>
      </c>
      <c r="K229" t="s">
        <v>6633</v>
      </c>
      <c r="M229" s="16" t="s">
        <v>8319</v>
      </c>
      <c r="N229" s="16" t="str">
        <f>VLOOKUP(M229,Tab_Zast[[Zastávka]:[Sloupec1]],2,0)</f>
        <v>24</v>
      </c>
      <c r="O229" t="s">
        <v>6634</v>
      </c>
      <c r="P229">
        <v>6</v>
      </c>
      <c r="Q229">
        <v>0</v>
      </c>
      <c r="R229" t="s">
        <v>31</v>
      </c>
      <c r="S229" t="s">
        <v>31</v>
      </c>
      <c r="T229" t="s">
        <v>32</v>
      </c>
      <c r="V229" s="1" t="e">
        <v>#N/A</v>
      </c>
      <c r="W229" t="s">
        <v>1216</v>
      </c>
      <c r="X229">
        <v>0</v>
      </c>
      <c r="Y229">
        <v>924</v>
      </c>
      <c r="AA229" t="str">
        <f t="shared" si="6"/>
        <v>update zamestnanci set nastup='24' where id='1533';</v>
      </c>
      <c r="AB229" t="str">
        <f t="shared" si="7"/>
        <v>update dochazka set zastavka = '24' where zamestnanec = '1533';</v>
      </c>
    </row>
    <row r="230" spans="1:28" x14ac:dyDescent="0.25">
      <c r="A230" s="2">
        <v>1545</v>
      </c>
      <c r="B230" t="s">
        <v>6677</v>
      </c>
      <c r="C230" t="s">
        <v>64</v>
      </c>
      <c r="D230" t="s">
        <v>6678</v>
      </c>
      <c r="E230" t="s">
        <v>4016</v>
      </c>
      <c r="F230" t="s">
        <v>4814</v>
      </c>
      <c r="G230" s="1">
        <v>45743</v>
      </c>
      <c r="H230" s="1">
        <v>45743</v>
      </c>
      <c r="I230" s="1">
        <v>45743</v>
      </c>
      <c r="J230" s="2" t="s">
        <v>8318</v>
      </c>
      <c r="K230" t="s">
        <v>6679</v>
      </c>
      <c r="M230" s="16" t="s">
        <v>8319</v>
      </c>
      <c r="N230" s="16" t="str">
        <f>VLOOKUP(M230,Tab_Zast[[Zastávka]:[Sloupec1]],2,0)</f>
        <v>24</v>
      </c>
      <c r="O230" t="s">
        <v>6680</v>
      </c>
      <c r="P230">
        <v>6</v>
      </c>
      <c r="Q230">
        <v>0</v>
      </c>
      <c r="R230" t="s">
        <v>31</v>
      </c>
      <c r="S230" t="s">
        <v>31</v>
      </c>
      <c r="T230" t="s">
        <v>32</v>
      </c>
      <c r="V230" s="1" t="e">
        <v>#N/A</v>
      </c>
      <c r="W230" t="s">
        <v>3052</v>
      </c>
      <c r="X230">
        <v>0</v>
      </c>
      <c r="Y230">
        <v>935</v>
      </c>
      <c r="AA230" t="str">
        <f t="shared" si="6"/>
        <v>update zamestnanci set nastup='24' where id='1545';</v>
      </c>
      <c r="AB230" t="str">
        <f t="shared" si="7"/>
        <v>update dochazka set zastavka = '24' where zamestnanec = '1545';</v>
      </c>
    </row>
    <row r="231" spans="1:28" x14ac:dyDescent="0.25">
      <c r="A231" s="2">
        <v>1559</v>
      </c>
      <c r="B231" t="s">
        <v>6729</v>
      </c>
      <c r="C231" t="s">
        <v>64</v>
      </c>
      <c r="D231" t="s">
        <v>1056</v>
      </c>
      <c r="E231" t="s">
        <v>4461</v>
      </c>
      <c r="F231" t="s">
        <v>1394</v>
      </c>
      <c r="G231" s="1">
        <v>45750</v>
      </c>
      <c r="H231" s="1">
        <v>45750</v>
      </c>
      <c r="I231" s="1">
        <v>45750</v>
      </c>
      <c r="J231" s="2" t="s">
        <v>8318</v>
      </c>
      <c r="K231" t="s">
        <v>6730</v>
      </c>
      <c r="M231" s="16" t="s">
        <v>8319</v>
      </c>
      <c r="N231" s="16" t="str">
        <f>VLOOKUP(M231,Tab_Zast[[Zastávka]:[Sloupec1]],2,0)</f>
        <v>24</v>
      </c>
      <c r="O231" t="s">
        <v>6731</v>
      </c>
      <c r="P231">
        <v>6</v>
      </c>
      <c r="Q231">
        <v>0</v>
      </c>
      <c r="R231" t="s">
        <v>31</v>
      </c>
      <c r="S231" t="s">
        <v>31</v>
      </c>
      <c r="T231" t="s">
        <v>32</v>
      </c>
      <c r="V231" s="1" t="e">
        <v>#N/A</v>
      </c>
      <c r="W231" t="s">
        <v>1216</v>
      </c>
      <c r="X231">
        <v>0</v>
      </c>
      <c r="Y231">
        <v>953</v>
      </c>
      <c r="AA231" t="str">
        <f t="shared" si="6"/>
        <v>update zamestnanci set nastup='24' where id='1559';</v>
      </c>
      <c r="AB231" t="str">
        <f t="shared" si="7"/>
        <v>update dochazka set zastavka = '24' where zamestnanec = '1559';</v>
      </c>
    </row>
    <row r="232" spans="1:28" x14ac:dyDescent="0.25">
      <c r="A232" s="2">
        <v>1605</v>
      </c>
      <c r="B232" t="s">
        <v>6897</v>
      </c>
      <c r="C232" t="s">
        <v>64</v>
      </c>
      <c r="D232" t="s">
        <v>6898</v>
      </c>
      <c r="E232" t="s">
        <v>6899</v>
      </c>
      <c r="F232" t="s">
        <v>6900</v>
      </c>
      <c r="G232" s="1">
        <v>45772</v>
      </c>
      <c r="H232" s="1">
        <v>45791</v>
      </c>
      <c r="I232" s="1">
        <v>73050</v>
      </c>
      <c r="J232" s="2" t="s">
        <v>8318</v>
      </c>
      <c r="K232" t="s">
        <v>6901</v>
      </c>
      <c r="M232" s="16" t="s">
        <v>8319</v>
      </c>
      <c r="N232" s="16" t="str">
        <f>VLOOKUP(M232,Tab_Zast[[Zastávka]:[Sloupec1]],2,0)</f>
        <v>24</v>
      </c>
      <c r="O232" t="s">
        <v>6888</v>
      </c>
      <c r="P232">
        <v>6</v>
      </c>
      <c r="Q232">
        <v>0</v>
      </c>
      <c r="R232" t="s">
        <v>31</v>
      </c>
      <c r="S232" t="s">
        <v>31</v>
      </c>
      <c r="T232" t="s">
        <v>32</v>
      </c>
      <c r="V232" s="1">
        <v>45791</v>
      </c>
      <c r="W232" t="s">
        <v>1216</v>
      </c>
      <c r="X232">
        <v>0</v>
      </c>
      <c r="Y232">
        <v>998</v>
      </c>
      <c r="AA232" t="str">
        <f t="shared" si="6"/>
        <v>update zamestnanci set nastup='24' where id='1605';</v>
      </c>
      <c r="AB232" t="str">
        <f t="shared" si="7"/>
        <v>update dochazka set zastavka = '24' where zamestnanec = '1605';</v>
      </c>
    </row>
    <row r="233" spans="1:28" x14ac:dyDescent="0.25">
      <c r="A233" s="2">
        <v>1663</v>
      </c>
      <c r="B233" t="s">
        <v>7104</v>
      </c>
      <c r="C233" t="s">
        <v>64</v>
      </c>
      <c r="D233" t="s">
        <v>4407</v>
      </c>
      <c r="E233" t="s">
        <v>4305</v>
      </c>
      <c r="F233" t="s">
        <v>7105</v>
      </c>
      <c r="G233" s="1">
        <v>45804</v>
      </c>
      <c r="H233" s="1">
        <v>45818</v>
      </c>
      <c r="I233" s="1">
        <v>73050</v>
      </c>
      <c r="J233" s="2" t="s">
        <v>8318</v>
      </c>
      <c r="K233" t="s">
        <v>7106</v>
      </c>
      <c r="M233" s="16" t="s">
        <v>8319</v>
      </c>
      <c r="N233" s="16" t="str">
        <f>VLOOKUP(M233,Tab_Zast[[Zastávka]:[Sloupec1]],2,0)</f>
        <v>24</v>
      </c>
      <c r="O233" t="s">
        <v>7107</v>
      </c>
      <c r="P233">
        <v>6</v>
      </c>
      <c r="Q233">
        <v>0</v>
      </c>
      <c r="R233" t="s">
        <v>31</v>
      </c>
      <c r="S233" t="s">
        <v>31</v>
      </c>
      <c r="T233" t="s">
        <v>32</v>
      </c>
      <c r="V233" s="1">
        <v>45819</v>
      </c>
      <c r="W233" t="s">
        <v>1216</v>
      </c>
      <c r="X233">
        <v>0</v>
      </c>
      <c r="Y233">
        <v>1054</v>
      </c>
      <c r="AA233" t="str">
        <f t="shared" si="6"/>
        <v>update zamestnanci set nastup='24' where id='1663';</v>
      </c>
      <c r="AB233" t="str">
        <f t="shared" si="7"/>
        <v>update dochazka set zastavka = '24' where zamestnanec = '1663';</v>
      </c>
    </row>
    <row r="234" spans="1:28" x14ac:dyDescent="0.25">
      <c r="A234" s="2">
        <v>1664</v>
      </c>
      <c r="B234" t="s">
        <v>7108</v>
      </c>
      <c r="C234" t="s">
        <v>64</v>
      </c>
      <c r="D234" t="s">
        <v>6024</v>
      </c>
      <c r="E234" t="s">
        <v>743</v>
      </c>
      <c r="F234" t="s">
        <v>64</v>
      </c>
      <c r="G234" s="1">
        <v>45804</v>
      </c>
      <c r="H234" s="1">
        <v>45808</v>
      </c>
      <c r="I234" s="1">
        <v>73050</v>
      </c>
      <c r="J234" s="2" t="s">
        <v>8318</v>
      </c>
      <c r="K234" t="s">
        <v>7109</v>
      </c>
      <c r="M234" s="16" t="s">
        <v>8319</v>
      </c>
      <c r="N234" s="16" t="str">
        <f>VLOOKUP(M234,Tab_Zast[[Zastávka]:[Sloupec1]],2,0)</f>
        <v>24</v>
      </c>
      <c r="O234" t="s">
        <v>7110</v>
      </c>
      <c r="P234">
        <v>6</v>
      </c>
      <c r="Q234">
        <v>0</v>
      </c>
      <c r="R234" t="s">
        <v>31</v>
      </c>
      <c r="S234" t="s">
        <v>31</v>
      </c>
      <c r="T234" t="s">
        <v>32</v>
      </c>
      <c r="V234" s="1">
        <v>45808</v>
      </c>
      <c r="W234" t="s">
        <v>1216</v>
      </c>
      <c r="X234">
        <v>0</v>
      </c>
      <c r="Y234">
        <v>1055</v>
      </c>
      <c r="AA234" t="str">
        <f t="shared" si="6"/>
        <v>update zamestnanci set nastup='24' where id='1664';</v>
      </c>
      <c r="AB234" t="str">
        <f t="shared" si="7"/>
        <v>update dochazka set zastavka = '24' where zamestnanec = '1664';</v>
      </c>
    </row>
    <row r="235" spans="1:28" x14ac:dyDescent="0.25">
      <c r="A235" s="2">
        <v>1666</v>
      </c>
      <c r="B235" t="s">
        <v>7114</v>
      </c>
      <c r="C235" t="s">
        <v>64</v>
      </c>
      <c r="D235" t="s">
        <v>7115</v>
      </c>
      <c r="E235" t="s">
        <v>800</v>
      </c>
      <c r="F235" t="s">
        <v>7116</v>
      </c>
      <c r="G235" s="1">
        <v>45806</v>
      </c>
      <c r="H235" s="1">
        <v>45813</v>
      </c>
      <c r="I235" s="1">
        <v>73050</v>
      </c>
      <c r="J235" s="2" t="s">
        <v>8318</v>
      </c>
      <c r="K235" t="s">
        <v>7117</v>
      </c>
      <c r="M235" s="16" t="s">
        <v>8319</v>
      </c>
      <c r="N235" s="16" t="str">
        <f>VLOOKUP(M235,Tab_Zast[[Zastávka]:[Sloupec1]],2,0)</f>
        <v>24</v>
      </c>
      <c r="O235" t="s">
        <v>7118</v>
      </c>
      <c r="P235">
        <v>6</v>
      </c>
      <c r="Q235">
        <v>0</v>
      </c>
      <c r="R235" t="s">
        <v>31</v>
      </c>
      <c r="S235" t="s">
        <v>31</v>
      </c>
      <c r="T235" t="s">
        <v>32</v>
      </c>
      <c r="V235" s="1">
        <v>45813</v>
      </c>
      <c r="W235" t="s">
        <v>1216</v>
      </c>
      <c r="X235">
        <v>0</v>
      </c>
      <c r="Y235">
        <v>1057</v>
      </c>
      <c r="AA235" t="str">
        <f t="shared" si="6"/>
        <v>update zamestnanci set nastup='24' where id='1666';</v>
      </c>
      <c r="AB235" t="str">
        <f t="shared" si="7"/>
        <v>update dochazka set zastavka = '24' where zamestnanec = '1666';</v>
      </c>
    </row>
    <row r="236" spans="1:28" x14ac:dyDescent="0.25">
      <c r="A236" s="2">
        <v>1698</v>
      </c>
      <c r="B236" t="s">
        <v>7213</v>
      </c>
      <c r="C236" t="s">
        <v>64</v>
      </c>
      <c r="D236" t="s">
        <v>4041</v>
      </c>
      <c r="E236" t="s">
        <v>1744</v>
      </c>
      <c r="F236" t="s">
        <v>357</v>
      </c>
      <c r="G236" s="1">
        <v>45832</v>
      </c>
      <c r="H236" s="1">
        <v>45834</v>
      </c>
      <c r="I236" s="1">
        <v>73050</v>
      </c>
      <c r="J236" s="2" t="s">
        <v>8318</v>
      </c>
      <c r="K236" t="s">
        <v>7214</v>
      </c>
      <c r="M236" s="16" t="s">
        <v>8319</v>
      </c>
      <c r="N236" s="16" t="str">
        <f>VLOOKUP(M236,Tab_Zast[[Zastávka]:[Sloupec1]],2,0)</f>
        <v>24</v>
      </c>
      <c r="O236" t="s">
        <v>7215</v>
      </c>
      <c r="P236">
        <v>6</v>
      </c>
      <c r="Q236">
        <v>0</v>
      </c>
      <c r="R236" t="s">
        <v>31</v>
      </c>
      <c r="S236" t="s">
        <v>31</v>
      </c>
      <c r="T236" t="s">
        <v>32</v>
      </c>
      <c r="V236" s="1" t="e">
        <v>#N/A</v>
      </c>
      <c r="W236" t="s">
        <v>3052</v>
      </c>
      <c r="X236">
        <v>0</v>
      </c>
      <c r="Y236">
        <v>1085</v>
      </c>
      <c r="AA236" t="str">
        <f t="shared" si="6"/>
        <v>update zamestnanci set nastup='24' where id='1698';</v>
      </c>
      <c r="AB236" t="str">
        <f t="shared" si="7"/>
        <v>update dochazka set zastavka = '24' where zamestnanec = '1698';</v>
      </c>
    </row>
    <row r="237" spans="1:28" x14ac:dyDescent="0.25">
      <c r="A237" s="2">
        <v>1699</v>
      </c>
      <c r="B237" t="s">
        <v>7216</v>
      </c>
      <c r="C237" t="s">
        <v>64</v>
      </c>
      <c r="D237" t="s">
        <v>4041</v>
      </c>
      <c r="E237" t="s">
        <v>3697</v>
      </c>
      <c r="F237" t="s">
        <v>357</v>
      </c>
      <c r="G237" s="1">
        <v>45832</v>
      </c>
      <c r="H237" s="1">
        <v>45834</v>
      </c>
      <c r="I237" s="1">
        <v>73050</v>
      </c>
      <c r="J237" s="2" t="s">
        <v>8318</v>
      </c>
      <c r="K237" t="s">
        <v>7214</v>
      </c>
      <c r="M237" s="16" t="s">
        <v>8319</v>
      </c>
      <c r="N237" s="16" t="str">
        <f>VLOOKUP(M237,Tab_Zast[[Zastávka]:[Sloupec1]],2,0)</f>
        <v>24</v>
      </c>
      <c r="O237" t="s">
        <v>7217</v>
      </c>
      <c r="P237">
        <v>6</v>
      </c>
      <c r="Q237">
        <v>0</v>
      </c>
      <c r="R237" t="s">
        <v>31</v>
      </c>
      <c r="S237" t="s">
        <v>31</v>
      </c>
      <c r="T237" t="s">
        <v>32</v>
      </c>
      <c r="V237" s="1" t="e">
        <v>#N/A</v>
      </c>
      <c r="W237" t="s">
        <v>3052</v>
      </c>
      <c r="X237">
        <v>0</v>
      </c>
      <c r="Y237">
        <v>1086</v>
      </c>
      <c r="AA237" t="str">
        <f t="shared" si="6"/>
        <v>update zamestnanci set nastup='24' where id='1699';</v>
      </c>
      <c r="AB237" t="str">
        <f t="shared" si="7"/>
        <v>update dochazka set zastavka = '24' where zamestnanec = '1699';</v>
      </c>
    </row>
    <row r="238" spans="1:28" x14ac:dyDescent="0.25">
      <c r="A238" s="2">
        <v>1716</v>
      </c>
      <c r="B238" t="s">
        <v>7278</v>
      </c>
      <c r="C238" t="s">
        <v>64</v>
      </c>
      <c r="D238" t="s">
        <v>7279</v>
      </c>
      <c r="E238" t="s">
        <v>7280</v>
      </c>
      <c r="F238" t="s">
        <v>7281</v>
      </c>
      <c r="G238" s="1">
        <v>45839</v>
      </c>
      <c r="H238" s="1">
        <v>45889</v>
      </c>
      <c r="I238" s="1">
        <v>73050</v>
      </c>
      <c r="J238" s="2" t="s">
        <v>8318</v>
      </c>
      <c r="K238" t="s">
        <v>7282</v>
      </c>
      <c r="M238" s="16" t="s">
        <v>8319</v>
      </c>
      <c r="N238" s="16" t="str">
        <f>VLOOKUP(M238,Tab_Zast[[Zastávka]:[Sloupec1]],2,0)</f>
        <v>24</v>
      </c>
      <c r="O238" t="s">
        <v>7283</v>
      </c>
      <c r="P238">
        <v>6</v>
      </c>
      <c r="Q238">
        <v>0</v>
      </c>
      <c r="R238" t="s">
        <v>31</v>
      </c>
      <c r="S238" t="s">
        <v>31</v>
      </c>
      <c r="T238" t="s">
        <v>32</v>
      </c>
      <c r="V238" s="1" t="e">
        <v>#N/A</v>
      </c>
      <c r="W238" t="s">
        <v>3052</v>
      </c>
      <c r="X238">
        <v>0</v>
      </c>
      <c r="Y238">
        <v>1109</v>
      </c>
      <c r="AA238" t="str">
        <f t="shared" si="6"/>
        <v>update zamestnanci set nastup='24' where id='1716';</v>
      </c>
      <c r="AB238" t="str">
        <f t="shared" si="7"/>
        <v>update dochazka set zastavka = '24' where zamestnanec = '1716';</v>
      </c>
    </row>
    <row r="239" spans="1:28" x14ac:dyDescent="0.25">
      <c r="A239" s="2">
        <v>1742</v>
      </c>
      <c r="B239" t="s">
        <v>7385</v>
      </c>
      <c r="C239" t="s">
        <v>569</v>
      </c>
      <c r="D239" t="s">
        <v>7386</v>
      </c>
      <c r="E239" t="s">
        <v>7387</v>
      </c>
      <c r="F239" t="s">
        <v>64</v>
      </c>
      <c r="G239" s="1">
        <v>45852</v>
      </c>
      <c r="H239" s="1">
        <v>45875</v>
      </c>
      <c r="I239" s="1">
        <v>73050</v>
      </c>
      <c r="J239" s="2" t="s">
        <v>8318</v>
      </c>
      <c r="K239" t="s">
        <v>7388</v>
      </c>
      <c r="M239" s="16" t="s">
        <v>8319</v>
      </c>
      <c r="N239" s="16" t="str">
        <f>VLOOKUP(M239,Tab_Zast[[Zastávka]:[Sloupec1]],2,0)</f>
        <v>24</v>
      </c>
      <c r="O239" t="s">
        <v>7389</v>
      </c>
      <c r="P239">
        <v>6</v>
      </c>
      <c r="Q239">
        <v>0</v>
      </c>
      <c r="R239" t="s">
        <v>31</v>
      </c>
      <c r="S239" t="s">
        <v>31</v>
      </c>
      <c r="T239" t="s">
        <v>32</v>
      </c>
      <c r="V239" s="1" t="e">
        <v>#N/A</v>
      </c>
      <c r="W239" t="s">
        <v>3052</v>
      </c>
      <c r="X239">
        <v>0</v>
      </c>
      <c r="Y239">
        <v>1128</v>
      </c>
      <c r="AA239" t="str">
        <f t="shared" si="6"/>
        <v>update zamestnanci set nastup='24' where id='1742';</v>
      </c>
      <c r="AB239" t="str">
        <f t="shared" si="7"/>
        <v>update dochazka set zastavka = '24' where zamestnanec = '1742';</v>
      </c>
    </row>
    <row r="240" spans="1:28" x14ac:dyDescent="0.25">
      <c r="A240" s="2">
        <v>1779</v>
      </c>
      <c r="B240" t="s">
        <v>64</v>
      </c>
      <c r="C240" t="s">
        <v>569</v>
      </c>
      <c r="D240" t="s">
        <v>6885</v>
      </c>
      <c r="E240" t="s">
        <v>2451</v>
      </c>
      <c r="F240" t="s">
        <v>7534</v>
      </c>
      <c r="G240" s="1">
        <v>45876</v>
      </c>
      <c r="H240" s="1">
        <v>45880</v>
      </c>
      <c r="I240" s="1">
        <v>73050</v>
      </c>
      <c r="J240" s="2" t="s">
        <v>8318</v>
      </c>
      <c r="K240" t="s">
        <v>6887</v>
      </c>
      <c r="M240" s="16" t="s">
        <v>8319</v>
      </c>
      <c r="N240" s="16" t="str">
        <f>VLOOKUP(M240,Tab_Zast[[Zastávka]:[Sloupec1]],2,0)</f>
        <v>24</v>
      </c>
      <c r="O240" t="s">
        <v>6888</v>
      </c>
      <c r="P240">
        <v>6</v>
      </c>
      <c r="Q240">
        <v>0</v>
      </c>
      <c r="R240" t="s">
        <v>129</v>
      </c>
      <c r="S240" t="s">
        <v>179</v>
      </c>
      <c r="T240" t="s">
        <v>32</v>
      </c>
      <c r="V240" s="1" t="e">
        <v>#N/A</v>
      </c>
      <c r="W240" t="s">
        <v>3052</v>
      </c>
      <c r="X240">
        <v>0</v>
      </c>
      <c r="Y240">
        <v>1174</v>
      </c>
      <c r="AA240" t="str">
        <f t="shared" si="6"/>
        <v>update zamestnanci set nastup='24' where id='1779';</v>
      </c>
      <c r="AB240" t="str">
        <f t="shared" si="7"/>
        <v>update dochazka set zastavka = '24' where zamestnanec = '1779';</v>
      </c>
    </row>
    <row r="241" spans="1:28" x14ac:dyDescent="0.25">
      <c r="A241" s="2">
        <v>1781</v>
      </c>
      <c r="B241" t="s">
        <v>7536</v>
      </c>
      <c r="C241" t="s">
        <v>569</v>
      </c>
      <c r="D241" t="s">
        <v>7537</v>
      </c>
      <c r="E241" t="s">
        <v>707</v>
      </c>
      <c r="F241" t="s">
        <v>7538</v>
      </c>
      <c r="G241" s="1">
        <v>45876</v>
      </c>
      <c r="H241" s="1">
        <v>45883</v>
      </c>
      <c r="I241" s="1">
        <v>73050</v>
      </c>
      <c r="J241" s="2" t="s">
        <v>8318</v>
      </c>
      <c r="K241" t="s">
        <v>7539</v>
      </c>
      <c r="M241" s="16" t="s">
        <v>8319</v>
      </c>
      <c r="N241" s="16" t="str">
        <f>VLOOKUP(M241,Tab_Zast[[Zastávka]:[Sloupec1]],2,0)</f>
        <v>24</v>
      </c>
      <c r="O241" t="s">
        <v>7540</v>
      </c>
      <c r="P241">
        <v>6</v>
      </c>
      <c r="Q241">
        <v>0</v>
      </c>
      <c r="R241" t="s">
        <v>31</v>
      </c>
      <c r="S241" t="s">
        <v>31</v>
      </c>
      <c r="T241" t="s">
        <v>32</v>
      </c>
      <c r="V241" s="1" t="e">
        <v>#N/A</v>
      </c>
      <c r="W241" t="s">
        <v>3052</v>
      </c>
      <c r="X241">
        <v>0</v>
      </c>
      <c r="Y241">
        <v>1168</v>
      </c>
      <c r="AA241" t="str">
        <f t="shared" si="6"/>
        <v>update zamestnanci set nastup='24' where id='1781';</v>
      </c>
      <c r="AB241" t="str">
        <f t="shared" si="7"/>
        <v>update dochazka set zastavka = '24' where zamestnanec = '1781';</v>
      </c>
    </row>
    <row r="242" spans="1:28" x14ac:dyDescent="0.25">
      <c r="A242" s="2">
        <v>1793</v>
      </c>
      <c r="B242" t="s">
        <v>7581</v>
      </c>
      <c r="C242" t="s">
        <v>569</v>
      </c>
      <c r="D242" t="s">
        <v>7100</v>
      </c>
      <c r="E242" t="s">
        <v>671</v>
      </c>
      <c r="F242" t="s">
        <v>7582</v>
      </c>
      <c r="G242" s="1">
        <v>45889</v>
      </c>
      <c r="H242" s="1">
        <v>73050</v>
      </c>
      <c r="I242" s="1" t="e">
        <v>#N/A</v>
      </c>
      <c r="J242" s="2" t="s">
        <v>8318</v>
      </c>
      <c r="K242" t="s">
        <v>7583</v>
      </c>
      <c r="M242" s="16" t="s">
        <v>8319</v>
      </c>
      <c r="N242" s="16" t="str">
        <f>VLOOKUP(M242,Tab_Zast[[Zastávka]:[Sloupec1]],2,0)</f>
        <v>24</v>
      </c>
      <c r="O242" t="s">
        <v>7584</v>
      </c>
      <c r="P242">
        <v>6</v>
      </c>
      <c r="Q242">
        <v>0</v>
      </c>
      <c r="R242" t="s">
        <v>179</v>
      </c>
      <c r="S242" t="s">
        <v>129</v>
      </c>
      <c r="T242" t="s">
        <v>32</v>
      </c>
      <c r="V242" s="1" t="e">
        <v>#N/A</v>
      </c>
      <c r="W242" t="s">
        <v>3052</v>
      </c>
      <c r="X242">
        <v>1</v>
      </c>
      <c r="Y242">
        <v>1186</v>
      </c>
      <c r="AA242" t="str">
        <f t="shared" si="6"/>
        <v>update zamestnanci set nastup='24' where id='1793';</v>
      </c>
      <c r="AB242" t="str">
        <f t="shared" si="7"/>
        <v>update dochazka set zastavka = '24' where zamestnanec = '1793';</v>
      </c>
    </row>
    <row r="243" spans="1:28" x14ac:dyDescent="0.25">
      <c r="A243" s="2">
        <v>1808</v>
      </c>
      <c r="B243" t="s">
        <v>7634</v>
      </c>
      <c r="C243" t="s">
        <v>357</v>
      </c>
      <c r="D243" t="s">
        <v>7488</v>
      </c>
      <c r="E243" t="s">
        <v>743</v>
      </c>
      <c r="F243" t="s">
        <v>7635</v>
      </c>
      <c r="G243" s="1">
        <v>45897</v>
      </c>
      <c r="H243" s="1">
        <v>45926</v>
      </c>
      <c r="I243" s="1">
        <v>73050</v>
      </c>
      <c r="J243" s="2" t="s">
        <v>8318</v>
      </c>
      <c r="K243" t="s">
        <v>7490</v>
      </c>
      <c r="M243" s="16" t="s">
        <v>8319</v>
      </c>
      <c r="N243" s="16" t="str">
        <f>VLOOKUP(M243,Tab_Zast[[Zastávka]:[Sloupec1]],2,0)</f>
        <v>24</v>
      </c>
      <c r="O243" t="s">
        <v>7636</v>
      </c>
      <c r="P243">
        <v>6</v>
      </c>
      <c r="Q243">
        <v>0</v>
      </c>
      <c r="R243" t="s">
        <v>31</v>
      </c>
      <c r="S243" t="s">
        <v>31</v>
      </c>
      <c r="T243" t="s">
        <v>32</v>
      </c>
      <c r="V243" s="1" t="e">
        <v>#N/A</v>
      </c>
      <c r="W243" t="s">
        <v>3052</v>
      </c>
      <c r="X243">
        <v>0</v>
      </c>
      <c r="Y243">
        <v>1202</v>
      </c>
      <c r="AA243" t="str">
        <f t="shared" si="6"/>
        <v>update zamestnanci set nastup='24' where id='1808';</v>
      </c>
      <c r="AB243" t="str">
        <f t="shared" si="7"/>
        <v>update dochazka set zastavka = '24' where zamestnanec = '1808';</v>
      </c>
    </row>
    <row r="244" spans="1:28" x14ac:dyDescent="0.25">
      <c r="A244" s="2">
        <v>1871</v>
      </c>
      <c r="B244" t="s">
        <v>7877</v>
      </c>
      <c r="C244" t="s">
        <v>357</v>
      </c>
      <c r="D244" t="s">
        <v>1902</v>
      </c>
      <c r="E244" t="s">
        <v>182</v>
      </c>
      <c r="F244" t="s">
        <v>7878</v>
      </c>
      <c r="G244" s="1">
        <v>45936</v>
      </c>
      <c r="H244" s="1">
        <v>73050</v>
      </c>
      <c r="I244" s="1" t="e">
        <v>#N/A</v>
      </c>
      <c r="J244" s="2" t="s">
        <v>8318</v>
      </c>
      <c r="K244" t="s">
        <v>7879</v>
      </c>
      <c r="M244" s="16" t="s">
        <v>8319</v>
      </c>
      <c r="N244" s="16" t="str">
        <f>VLOOKUP(M244,Tab_Zast[[Zastávka]:[Sloupec1]],2,0)</f>
        <v>24</v>
      </c>
      <c r="O244" t="s">
        <v>7880</v>
      </c>
      <c r="P244">
        <v>6</v>
      </c>
      <c r="Q244">
        <v>0</v>
      </c>
      <c r="R244" t="s">
        <v>129</v>
      </c>
      <c r="S244" t="s">
        <v>31</v>
      </c>
      <c r="T244" t="s">
        <v>32</v>
      </c>
      <c r="V244" s="1" t="e">
        <v>#N/A</v>
      </c>
      <c r="W244" t="s">
        <v>1216</v>
      </c>
      <c r="X244">
        <v>1</v>
      </c>
      <c r="Y244">
        <v>1267</v>
      </c>
      <c r="AA244" t="str">
        <f t="shared" si="6"/>
        <v>update zamestnanci set nastup='24' where id='1871';</v>
      </c>
      <c r="AB244" t="str">
        <f t="shared" si="7"/>
        <v>update dochazka set zastavka = '24' where zamestnanec = '1871';</v>
      </c>
    </row>
    <row r="245" spans="1:28" x14ac:dyDescent="0.25">
      <c r="A245" s="2">
        <v>22</v>
      </c>
      <c r="B245" t="s">
        <v>167</v>
      </c>
      <c r="D245" t="s">
        <v>168</v>
      </c>
      <c r="E245" t="s">
        <v>169</v>
      </c>
      <c r="F245" t="s">
        <v>170</v>
      </c>
      <c r="G245" s="1">
        <v>44927</v>
      </c>
      <c r="H245" s="1">
        <v>45230</v>
      </c>
      <c r="I245" s="1" t="e">
        <v>#N/A</v>
      </c>
      <c r="J245" s="2" t="s">
        <v>357</v>
      </c>
      <c r="K245" t="s">
        <v>171</v>
      </c>
      <c r="M245" s="16" t="s">
        <v>8551</v>
      </c>
      <c r="N245" s="16" t="str">
        <f>VLOOKUP(M245,Tab_Zast[[Zastávka]:[Sloupec1]],2,0)</f>
        <v>00</v>
      </c>
      <c r="O245" t="s">
        <v>172</v>
      </c>
      <c r="P245">
        <v>2</v>
      </c>
      <c r="Q245">
        <v>0</v>
      </c>
      <c r="R245" t="s">
        <v>31</v>
      </c>
      <c r="S245" t="s">
        <v>31</v>
      </c>
      <c r="T245" t="s">
        <v>32</v>
      </c>
      <c r="V245" s="1" t="e">
        <v>#N/A</v>
      </c>
      <c r="W245" t="s">
        <v>90</v>
      </c>
      <c r="X245">
        <v>0</v>
      </c>
      <c r="Y245">
        <v>0</v>
      </c>
      <c r="Z245" t="s">
        <v>40</v>
      </c>
      <c r="AA245" t="str">
        <f t="shared" si="6"/>
        <v/>
      </c>
      <c r="AB245" t="str">
        <f t="shared" si="7"/>
        <v/>
      </c>
    </row>
    <row r="246" spans="1:28" x14ac:dyDescent="0.25">
      <c r="A246" s="2">
        <v>41</v>
      </c>
      <c r="B246" t="s">
        <v>167</v>
      </c>
      <c r="D246" t="s">
        <v>283</v>
      </c>
      <c r="E246" t="s">
        <v>284</v>
      </c>
      <c r="F246" t="s">
        <v>285</v>
      </c>
      <c r="G246" s="1">
        <v>44927</v>
      </c>
      <c r="H246" s="1">
        <v>45212</v>
      </c>
      <c r="I246" s="1" t="e">
        <v>#N/A</v>
      </c>
      <c r="J246" s="2" t="s">
        <v>357</v>
      </c>
      <c r="K246" t="s">
        <v>286</v>
      </c>
      <c r="M246" s="16" t="s">
        <v>8551</v>
      </c>
      <c r="N246" s="16" t="str">
        <f>VLOOKUP(M246,Tab_Zast[[Zastávka]:[Sloupec1]],2,0)</f>
        <v>00</v>
      </c>
      <c r="O246" t="s">
        <v>287</v>
      </c>
      <c r="P246">
        <v>1</v>
      </c>
      <c r="Q246">
        <v>0</v>
      </c>
      <c r="R246" t="s">
        <v>31</v>
      </c>
      <c r="S246" t="s">
        <v>31</v>
      </c>
      <c r="T246" t="s">
        <v>32</v>
      </c>
      <c r="V246" s="1" t="e">
        <v>#N/A</v>
      </c>
      <c r="X246">
        <v>0</v>
      </c>
      <c r="Y246">
        <v>0</v>
      </c>
      <c r="Z246" t="s">
        <v>54</v>
      </c>
      <c r="AA246" t="str">
        <f t="shared" si="6"/>
        <v/>
      </c>
      <c r="AB246" t="str">
        <f t="shared" si="7"/>
        <v/>
      </c>
    </row>
    <row r="247" spans="1:28" x14ac:dyDescent="0.25">
      <c r="A247" s="2">
        <v>47</v>
      </c>
      <c r="B247" t="s">
        <v>167</v>
      </c>
      <c r="D247" t="s">
        <v>319</v>
      </c>
      <c r="E247" t="s">
        <v>320</v>
      </c>
      <c r="F247" t="s">
        <v>321</v>
      </c>
      <c r="G247" s="1">
        <v>44927</v>
      </c>
      <c r="H247" s="1">
        <v>45212</v>
      </c>
      <c r="I247" s="1" t="e">
        <v>#N/A</v>
      </c>
      <c r="J247" s="2" t="s">
        <v>357</v>
      </c>
      <c r="K247" t="s">
        <v>322</v>
      </c>
      <c r="M247" s="16" t="s">
        <v>8551</v>
      </c>
      <c r="N247" s="16" t="str">
        <f>VLOOKUP(M247,Tab_Zast[[Zastávka]:[Sloupec1]],2,0)</f>
        <v>00</v>
      </c>
      <c r="O247" t="s">
        <v>323</v>
      </c>
      <c r="P247">
        <v>1</v>
      </c>
      <c r="Q247">
        <v>0</v>
      </c>
      <c r="R247" t="s">
        <v>31</v>
      </c>
      <c r="S247" t="s">
        <v>31</v>
      </c>
      <c r="T247" t="s">
        <v>32</v>
      </c>
      <c r="V247" s="1" t="e">
        <v>#N/A</v>
      </c>
      <c r="X247">
        <v>0</v>
      </c>
      <c r="Y247">
        <v>0</v>
      </c>
      <c r="Z247" t="s">
        <v>54</v>
      </c>
      <c r="AA247" t="str">
        <f t="shared" si="6"/>
        <v/>
      </c>
      <c r="AB247" t="str">
        <f t="shared" si="7"/>
        <v/>
      </c>
    </row>
    <row r="248" spans="1:28" x14ac:dyDescent="0.25">
      <c r="A248" s="2">
        <v>73</v>
      </c>
      <c r="B248" t="s">
        <v>167</v>
      </c>
      <c r="D248" t="s">
        <v>471</v>
      </c>
      <c r="E248" t="s">
        <v>472</v>
      </c>
      <c r="F248" t="s">
        <v>473</v>
      </c>
      <c r="G248" s="1">
        <v>44927</v>
      </c>
      <c r="H248" s="1">
        <v>45180</v>
      </c>
      <c r="I248" s="1" t="e">
        <v>#N/A</v>
      </c>
      <c r="J248" s="2" t="s">
        <v>357</v>
      </c>
      <c r="K248" t="s">
        <v>474</v>
      </c>
      <c r="M248" s="16" t="s">
        <v>8551</v>
      </c>
      <c r="N248" s="16" t="str">
        <f>VLOOKUP(M248,Tab_Zast[[Zastávka]:[Sloupec1]],2,0)</f>
        <v>00</v>
      </c>
      <c r="O248" t="s">
        <v>475</v>
      </c>
      <c r="P248">
        <v>1</v>
      </c>
      <c r="Q248">
        <v>0</v>
      </c>
      <c r="R248" t="s">
        <v>31</v>
      </c>
      <c r="S248" t="s">
        <v>31</v>
      </c>
      <c r="T248" t="s">
        <v>32</v>
      </c>
      <c r="V248" s="1" t="e">
        <v>#N/A</v>
      </c>
      <c r="X248">
        <v>0</v>
      </c>
      <c r="Y248">
        <v>0</v>
      </c>
      <c r="Z248" t="s">
        <v>54</v>
      </c>
      <c r="AA248" t="str">
        <f t="shared" si="6"/>
        <v/>
      </c>
      <c r="AB248" t="str">
        <f t="shared" si="7"/>
        <v/>
      </c>
    </row>
    <row r="249" spans="1:28" x14ac:dyDescent="0.25">
      <c r="A249" s="2">
        <v>75</v>
      </c>
      <c r="B249" t="s">
        <v>167</v>
      </c>
      <c r="D249" t="s">
        <v>482</v>
      </c>
      <c r="E249" t="s">
        <v>483</v>
      </c>
      <c r="F249" t="s">
        <v>484</v>
      </c>
      <c r="G249" s="1">
        <v>44927</v>
      </c>
      <c r="H249" s="1">
        <v>45216</v>
      </c>
      <c r="I249" s="1" t="e">
        <v>#N/A</v>
      </c>
      <c r="J249" s="2" t="s">
        <v>357</v>
      </c>
      <c r="K249" t="s">
        <v>485</v>
      </c>
      <c r="M249" s="16" t="s">
        <v>8551</v>
      </c>
      <c r="N249" s="16" t="str">
        <f>VLOOKUP(M249,Tab_Zast[[Zastávka]:[Sloupec1]],2,0)</f>
        <v>00</v>
      </c>
      <c r="O249" t="s">
        <v>486</v>
      </c>
      <c r="P249">
        <v>1</v>
      </c>
      <c r="Q249">
        <v>0</v>
      </c>
      <c r="R249" t="s">
        <v>31</v>
      </c>
      <c r="S249" t="s">
        <v>31</v>
      </c>
      <c r="T249" t="s">
        <v>32</v>
      </c>
      <c r="V249" s="1" t="e">
        <v>#N/A</v>
      </c>
      <c r="X249">
        <v>0</v>
      </c>
      <c r="Y249">
        <v>0</v>
      </c>
      <c r="Z249" t="s">
        <v>54</v>
      </c>
      <c r="AA249" t="str">
        <f t="shared" si="6"/>
        <v/>
      </c>
      <c r="AB249" t="str">
        <f t="shared" si="7"/>
        <v/>
      </c>
    </row>
    <row r="250" spans="1:28" x14ac:dyDescent="0.25">
      <c r="A250" s="2">
        <v>84</v>
      </c>
      <c r="B250" t="s">
        <v>167</v>
      </c>
      <c r="D250" t="s">
        <v>533</v>
      </c>
      <c r="E250" t="s">
        <v>534</v>
      </c>
      <c r="F250" t="s">
        <v>535</v>
      </c>
      <c r="G250" s="1">
        <v>44927</v>
      </c>
      <c r="H250" s="1">
        <v>45212</v>
      </c>
      <c r="I250" s="1" t="e">
        <v>#N/A</v>
      </c>
      <c r="J250" s="2" t="s">
        <v>357</v>
      </c>
      <c r="K250" t="s">
        <v>536</v>
      </c>
      <c r="M250" s="16" t="s">
        <v>8551</v>
      </c>
      <c r="N250" s="16" t="str">
        <f>VLOOKUP(M250,Tab_Zast[[Zastávka]:[Sloupec1]],2,0)</f>
        <v>00</v>
      </c>
      <c r="O250" t="s">
        <v>537</v>
      </c>
      <c r="P250">
        <v>1</v>
      </c>
      <c r="Q250">
        <v>0</v>
      </c>
      <c r="R250" t="s">
        <v>31</v>
      </c>
      <c r="S250" t="s">
        <v>31</v>
      </c>
      <c r="T250" t="s">
        <v>32</v>
      </c>
      <c r="V250" s="1" t="e">
        <v>#N/A</v>
      </c>
      <c r="X250">
        <v>0</v>
      </c>
      <c r="Y250">
        <v>0</v>
      </c>
      <c r="Z250" t="s">
        <v>54</v>
      </c>
      <c r="AA250" t="str">
        <f t="shared" si="6"/>
        <v/>
      </c>
      <c r="AB250" t="str">
        <f t="shared" si="7"/>
        <v/>
      </c>
    </row>
    <row r="251" spans="1:28" x14ac:dyDescent="0.25">
      <c r="A251" s="2">
        <v>86</v>
      </c>
      <c r="B251" t="s">
        <v>167</v>
      </c>
      <c r="D251" t="s">
        <v>544</v>
      </c>
      <c r="E251" t="s">
        <v>545</v>
      </c>
      <c r="F251" t="s">
        <v>546</v>
      </c>
      <c r="G251" s="1">
        <v>44927</v>
      </c>
      <c r="H251" s="1">
        <v>45212</v>
      </c>
      <c r="I251" s="1" t="e">
        <v>#N/A</v>
      </c>
      <c r="J251" s="2" t="s">
        <v>357</v>
      </c>
      <c r="K251" t="s">
        <v>547</v>
      </c>
      <c r="M251" s="16" t="s">
        <v>8551</v>
      </c>
      <c r="N251" s="16" t="str">
        <f>VLOOKUP(M251,Tab_Zast[[Zastávka]:[Sloupec1]],2,0)</f>
        <v>00</v>
      </c>
      <c r="O251" t="s">
        <v>548</v>
      </c>
      <c r="P251">
        <v>1</v>
      </c>
      <c r="Q251">
        <v>0</v>
      </c>
      <c r="R251" t="s">
        <v>31</v>
      </c>
      <c r="S251" t="s">
        <v>31</v>
      </c>
      <c r="T251" t="s">
        <v>32</v>
      </c>
      <c r="V251" s="1" t="e">
        <v>#N/A</v>
      </c>
      <c r="X251">
        <v>0</v>
      </c>
      <c r="Y251">
        <v>0</v>
      </c>
      <c r="Z251" t="s">
        <v>54</v>
      </c>
      <c r="AA251" t="str">
        <f t="shared" si="6"/>
        <v/>
      </c>
      <c r="AB251" t="str">
        <f t="shared" si="7"/>
        <v/>
      </c>
    </row>
    <row r="252" spans="1:28" x14ac:dyDescent="0.25">
      <c r="A252" s="2">
        <v>107</v>
      </c>
      <c r="B252" t="s">
        <v>167</v>
      </c>
      <c r="D252" t="s">
        <v>665</v>
      </c>
      <c r="E252" t="s">
        <v>574</v>
      </c>
      <c r="F252" t="s">
        <v>666</v>
      </c>
      <c r="G252" s="1">
        <v>44927</v>
      </c>
      <c r="H252" s="1">
        <v>45215</v>
      </c>
      <c r="I252" s="1" t="e">
        <v>#N/A</v>
      </c>
      <c r="J252" s="2" t="s">
        <v>357</v>
      </c>
      <c r="K252" t="s">
        <v>667</v>
      </c>
      <c r="M252" s="16" t="s">
        <v>8551</v>
      </c>
      <c r="N252" s="16" t="str">
        <f>VLOOKUP(M252,Tab_Zast[[Zastávka]:[Sloupec1]],2,0)</f>
        <v>00</v>
      </c>
      <c r="O252" t="s">
        <v>668</v>
      </c>
      <c r="P252">
        <v>1</v>
      </c>
      <c r="Q252">
        <v>0</v>
      </c>
      <c r="R252" t="s">
        <v>31</v>
      </c>
      <c r="S252" t="s">
        <v>31</v>
      </c>
      <c r="T252" t="s">
        <v>32</v>
      </c>
      <c r="V252" s="1" t="e">
        <v>#N/A</v>
      </c>
      <c r="X252">
        <v>0</v>
      </c>
      <c r="Y252">
        <v>0</v>
      </c>
      <c r="Z252" t="s">
        <v>54</v>
      </c>
      <c r="AA252" t="str">
        <f t="shared" si="6"/>
        <v/>
      </c>
      <c r="AB252" t="str">
        <f t="shared" si="7"/>
        <v/>
      </c>
    </row>
    <row r="253" spans="1:28" x14ac:dyDescent="0.25">
      <c r="A253" s="2">
        <v>132</v>
      </c>
      <c r="B253" t="s">
        <v>807</v>
      </c>
      <c r="D253" t="s">
        <v>808</v>
      </c>
      <c r="E253" t="s">
        <v>809</v>
      </c>
      <c r="F253" t="s">
        <v>67</v>
      </c>
      <c r="G253" s="1">
        <v>45079</v>
      </c>
      <c r="H253" s="1">
        <v>45233</v>
      </c>
      <c r="I253" s="1">
        <v>73050</v>
      </c>
      <c r="J253" s="2" t="s">
        <v>357</v>
      </c>
      <c r="K253" t="s">
        <v>810</v>
      </c>
      <c r="M253" s="16" t="s">
        <v>8551</v>
      </c>
      <c r="N253" s="16" t="str">
        <f>VLOOKUP(M253,Tab_Zast[[Zastávka]:[Sloupec1]],2,0)</f>
        <v>00</v>
      </c>
      <c r="O253" t="s">
        <v>811</v>
      </c>
      <c r="P253">
        <v>4</v>
      </c>
      <c r="Q253">
        <v>0</v>
      </c>
      <c r="R253" t="s">
        <v>31</v>
      </c>
      <c r="S253" t="s">
        <v>31</v>
      </c>
      <c r="T253" t="s">
        <v>32</v>
      </c>
      <c r="V253" s="1" t="e">
        <v>#N/A</v>
      </c>
      <c r="W253" t="s">
        <v>62</v>
      </c>
      <c r="X253">
        <v>0</v>
      </c>
      <c r="Y253">
        <v>0</v>
      </c>
      <c r="Z253" t="s">
        <v>54</v>
      </c>
      <c r="AA253" t="str">
        <f t="shared" si="6"/>
        <v/>
      </c>
      <c r="AB253" t="str">
        <f t="shared" si="7"/>
        <v/>
      </c>
    </row>
    <row r="254" spans="1:28" x14ac:dyDescent="0.25">
      <c r="A254" s="2">
        <v>173</v>
      </c>
      <c r="B254" t="s">
        <v>167</v>
      </c>
      <c r="D254" t="s">
        <v>1061</v>
      </c>
      <c r="E254" t="s">
        <v>1062</v>
      </c>
      <c r="F254" t="s">
        <v>1063</v>
      </c>
      <c r="G254" s="1">
        <v>44927</v>
      </c>
      <c r="H254" s="1">
        <v>45215</v>
      </c>
      <c r="I254" s="1" t="e">
        <v>#N/A</v>
      </c>
      <c r="J254" s="2" t="s">
        <v>357</v>
      </c>
      <c r="K254" t="s">
        <v>1064</v>
      </c>
      <c r="M254" s="16" t="s">
        <v>8551</v>
      </c>
      <c r="N254" s="16" t="str">
        <f>VLOOKUP(M254,Tab_Zast[[Zastávka]:[Sloupec1]],2,0)</f>
        <v>00</v>
      </c>
      <c r="O254" t="s">
        <v>1065</v>
      </c>
      <c r="P254">
        <v>6</v>
      </c>
      <c r="Q254">
        <v>0</v>
      </c>
      <c r="R254" t="s">
        <v>31</v>
      </c>
      <c r="S254" t="s">
        <v>31</v>
      </c>
      <c r="T254" t="s">
        <v>32</v>
      </c>
      <c r="V254" s="1" t="e">
        <v>#N/A</v>
      </c>
      <c r="X254">
        <v>0</v>
      </c>
      <c r="Y254">
        <v>0</v>
      </c>
      <c r="Z254" t="s">
        <v>54</v>
      </c>
      <c r="AA254" t="str">
        <f t="shared" si="6"/>
        <v/>
      </c>
      <c r="AB254" t="str">
        <f t="shared" si="7"/>
        <v/>
      </c>
    </row>
    <row r="255" spans="1:28" x14ac:dyDescent="0.25">
      <c r="A255" s="2">
        <v>183</v>
      </c>
      <c r="B255" t="s">
        <v>1122</v>
      </c>
      <c r="D255" t="s">
        <v>1123</v>
      </c>
      <c r="E255" t="s">
        <v>1124</v>
      </c>
      <c r="F255" t="s">
        <v>1125</v>
      </c>
      <c r="G255" s="1">
        <v>45147</v>
      </c>
      <c r="H255" s="1">
        <v>45226</v>
      </c>
      <c r="I255" s="1">
        <v>73050</v>
      </c>
      <c r="J255" s="2" t="s">
        <v>357</v>
      </c>
      <c r="K255" t="s">
        <v>1126</v>
      </c>
      <c r="M255" s="16" t="s">
        <v>8551</v>
      </c>
      <c r="N255" s="16" t="str">
        <f>VLOOKUP(M255,Tab_Zast[[Zastávka]:[Sloupec1]],2,0)</f>
        <v>00</v>
      </c>
      <c r="O255" t="s">
        <v>1127</v>
      </c>
      <c r="P255">
        <v>6</v>
      </c>
      <c r="Q255">
        <v>0</v>
      </c>
      <c r="R255" t="s">
        <v>31</v>
      </c>
      <c r="S255" t="s">
        <v>31</v>
      </c>
      <c r="T255" t="s">
        <v>32</v>
      </c>
      <c r="V255" s="1" t="e">
        <v>#N/A</v>
      </c>
      <c r="W255" t="s">
        <v>1022</v>
      </c>
      <c r="X255">
        <v>0</v>
      </c>
      <c r="Y255">
        <v>0</v>
      </c>
      <c r="Z255" t="s">
        <v>54</v>
      </c>
      <c r="AA255" t="str">
        <f t="shared" si="6"/>
        <v/>
      </c>
      <c r="AB255" t="str">
        <f t="shared" si="7"/>
        <v/>
      </c>
    </row>
    <row r="256" spans="1:28" x14ac:dyDescent="0.25">
      <c r="A256" s="2">
        <v>192</v>
      </c>
      <c r="B256" t="s">
        <v>1179</v>
      </c>
      <c r="D256" t="s">
        <v>1180</v>
      </c>
      <c r="E256" t="s">
        <v>1181</v>
      </c>
      <c r="F256" t="s">
        <v>1182</v>
      </c>
      <c r="G256" s="1">
        <v>45190</v>
      </c>
      <c r="H256" s="1">
        <v>45215</v>
      </c>
      <c r="I256" s="1">
        <v>73050</v>
      </c>
      <c r="J256" s="2" t="s">
        <v>357</v>
      </c>
      <c r="K256" t="s">
        <v>1183</v>
      </c>
      <c r="M256" s="16" t="s">
        <v>8551</v>
      </c>
      <c r="N256" s="16" t="str">
        <f>VLOOKUP(M256,Tab_Zast[[Zastávka]:[Sloupec1]],2,0)</f>
        <v>00</v>
      </c>
      <c r="O256" t="s">
        <v>1184</v>
      </c>
      <c r="P256">
        <v>6</v>
      </c>
      <c r="Q256">
        <v>0</v>
      </c>
      <c r="R256" t="s">
        <v>31</v>
      </c>
      <c r="S256" t="s">
        <v>31</v>
      </c>
      <c r="T256" t="s">
        <v>32</v>
      </c>
      <c r="V256" s="1" t="e">
        <v>#N/A</v>
      </c>
      <c r="W256" t="s">
        <v>1022</v>
      </c>
      <c r="X256">
        <v>0</v>
      </c>
      <c r="Y256">
        <v>0</v>
      </c>
      <c r="Z256" t="s">
        <v>54</v>
      </c>
      <c r="AA256" t="str">
        <f t="shared" si="6"/>
        <v/>
      </c>
      <c r="AB256" t="str">
        <f t="shared" si="7"/>
        <v/>
      </c>
    </row>
    <row r="257" spans="1:28" x14ac:dyDescent="0.25">
      <c r="A257" s="2">
        <v>396</v>
      </c>
      <c r="B257" t="s">
        <v>1290</v>
      </c>
      <c r="D257" t="s">
        <v>1291</v>
      </c>
      <c r="E257" t="s">
        <v>1292</v>
      </c>
      <c r="F257" t="s">
        <v>1293</v>
      </c>
      <c r="G257" s="1">
        <v>45119</v>
      </c>
      <c r="H257" s="1">
        <v>45219</v>
      </c>
      <c r="I257" s="1" t="e">
        <v>#N/A</v>
      </c>
      <c r="J257" s="2" t="s">
        <v>357</v>
      </c>
      <c r="K257" t="s">
        <v>1294</v>
      </c>
      <c r="M257" s="16" t="s">
        <v>8551</v>
      </c>
      <c r="N257" s="16" t="str">
        <f>VLOOKUP(M257,Tab_Zast[[Zastávka]:[Sloupec1]],2,0)</f>
        <v>00</v>
      </c>
      <c r="O257" t="s">
        <v>1295</v>
      </c>
      <c r="P257">
        <v>6</v>
      </c>
      <c r="Q257">
        <v>0</v>
      </c>
      <c r="R257" t="s">
        <v>31</v>
      </c>
      <c r="S257" t="s">
        <v>31</v>
      </c>
      <c r="T257" t="s">
        <v>32</v>
      </c>
      <c r="V257" s="1" t="e">
        <v>#N/A</v>
      </c>
      <c r="W257" t="s">
        <v>1216</v>
      </c>
      <c r="X257">
        <v>0</v>
      </c>
      <c r="Y257">
        <v>0</v>
      </c>
      <c r="Z257" t="s">
        <v>54</v>
      </c>
      <c r="AA257" t="str">
        <f t="shared" si="6"/>
        <v/>
      </c>
      <c r="AB257" t="str">
        <f t="shared" si="7"/>
        <v/>
      </c>
    </row>
    <row r="258" spans="1:28" x14ac:dyDescent="0.25">
      <c r="A258" s="2">
        <v>429</v>
      </c>
      <c r="B258" t="s">
        <v>1493</v>
      </c>
      <c r="D258" t="s">
        <v>1494</v>
      </c>
      <c r="E258" t="s">
        <v>1495</v>
      </c>
      <c r="F258" t="s">
        <v>1496</v>
      </c>
      <c r="G258" s="1">
        <v>45041</v>
      </c>
      <c r="H258" s="1">
        <v>45406</v>
      </c>
      <c r="I258" s="1">
        <v>73050</v>
      </c>
      <c r="J258" s="2" t="s">
        <v>357</v>
      </c>
      <c r="K258" t="s">
        <v>1497</v>
      </c>
      <c r="M258" s="16" t="s">
        <v>8551</v>
      </c>
      <c r="N258" s="16" t="str">
        <f>VLOOKUP(M258,Tab_Zast[[Zastávka]:[Sloupec1]],2,0)</f>
        <v>00</v>
      </c>
      <c r="O258" t="s">
        <v>1498</v>
      </c>
      <c r="P258">
        <v>6</v>
      </c>
      <c r="Q258">
        <v>0</v>
      </c>
      <c r="R258" t="s">
        <v>31</v>
      </c>
      <c r="S258" t="s">
        <v>31</v>
      </c>
      <c r="T258" t="s">
        <v>32</v>
      </c>
      <c r="V258" s="1" t="e">
        <v>#N/A</v>
      </c>
      <c r="W258" t="s">
        <v>1216</v>
      </c>
      <c r="X258">
        <v>0</v>
      </c>
      <c r="Y258">
        <v>0</v>
      </c>
      <c r="Z258" t="s">
        <v>40</v>
      </c>
      <c r="AA258" t="str">
        <f t="shared" si="6"/>
        <v/>
      </c>
      <c r="AB258" t="str">
        <f t="shared" si="7"/>
        <v/>
      </c>
    </row>
    <row r="259" spans="1:28" x14ac:dyDescent="0.25">
      <c r="A259" s="2">
        <v>459</v>
      </c>
      <c r="B259" t="s">
        <v>1684</v>
      </c>
      <c r="D259" t="s">
        <v>1685</v>
      </c>
      <c r="E259" t="s">
        <v>1686</v>
      </c>
      <c r="F259" t="s">
        <v>1687</v>
      </c>
      <c r="G259" s="1">
        <v>45180</v>
      </c>
      <c r="H259" s="1">
        <v>45215</v>
      </c>
      <c r="I259" s="1" t="e">
        <v>#N/A</v>
      </c>
      <c r="J259" s="2" t="s">
        <v>357</v>
      </c>
      <c r="K259" t="s">
        <v>1688</v>
      </c>
      <c r="M259" s="16" t="s">
        <v>8551</v>
      </c>
      <c r="N259" s="16" t="str">
        <f>VLOOKUP(M259,Tab_Zast[[Zastávka]:[Sloupec1]],2,0)</f>
        <v>00</v>
      </c>
      <c r="O259" t="s">
        <v>1689</v>
      </c>
      <c r="P259">
        <v>6</v>
      </c>
      <c r="Q259">
        <v>0</v>
      </c>
      <c r="R259" t="s">
        <v>31</v>
      </c>
      <c r="S259" t="s">
        <v>31</v>
      </c>
      <c r="T259" t="s">
        <v>32</v>
      </c>
      <c r="V259" s="1" t="e">
        <v>#N/A</v>
      </c>
      <c r="W259" t="s">
        <v>1216</v>
      </c>
      <c r="X259">
        <v>0</v>
      </c>
      <c r="Y259">
        <v>0</v>
      </c>
      <c r="Z259" t="s">
        <v>54</v>
      </c>
      <c r="AA259" t="str">
        <f t="shared" si="6"/>
        <v/>
      </c>
      <c r="AB259" t="str">
        <f t="shared" si="7"/>
        <v/>
      </c>
    </row>
    <row r="260" spans="1:28" x14ac:dyDescent="0.25">
      <c r="A260" s="2">
        <v>498</v>
      </c>
      <c r="B260" t="s">
        <v>1932</v>
      </c>
      <c r="D260" t="s">
        <v>1933</v>
      </c>
      <c r="E260" t="s">
        <v>1934</v>
      </c>
      <c r="F260" t="s">
        <v>1935</v>
      </c>
      <c r="G260" s="1">
        <v>45209</v>
      </c>
      <c r="H260" s="1">
        <v>45219</v>
      </c>
      <c r="I260" s="1" t="e">
        <v>#N/A</v>
      </c>
      <c r="J260" s="2" t="s">
        <v>357</v>
      </c>
      <c r="K260" t="s">
        <v>1936</v>
      </c>
      <c r="M260" s="16" t="s">
        <v>8551</v>
      </c>
      <c r="N260" s="16" t="str">
        <f>VLOOKUP(M260,Tab_Zast[[Zastávka]:[Sloupec1]],2,0)</f>
        <v>00</v>
      </c>
      <c r="O260" t="s">
        <v>1937</v>
      </c>
      <c r="P260">
        <v>6</v>
      </c>
      <c r="Q260">
        <v>0</v>
      </c>
      <c r="R260" t="s">
        <v>31</v>
      </c>
      <c r="S260" t="s">
        <v>31</v>
      </c>
      <c r="T260" t="s">
        <v>32</v>
      </c>
      <c r="V260" s="1" t="e">
        <v>#N/A</v>
      </c>
      <c r="W260" t="s">
        <v>1216</v>
      </c>
      <c r="X260">
        <v>0</v>
      </c>
      <c r="Y260">
        <v>0</v>
      </c>
      <c r="Z260" t="s">
        <v>54</v>
      </c>
      <c r="AA260" t="str">
        <f t="shared" ref="AA260:AA323" si="8">IF(J260&lt;&gt;"00","update zamestnanci set nastup='" &amp; J260 &amp; "' where id='" &amp; A260 &amp; "';","")</f>
        <v/>
      </c>
      <c r="AB260" t="str">
        <f t="shared" ref="AB260:AB323" si="9">IF(J260&lt;&gt;"00","update dochazka set zastavka = '" &amp; J260 &amp; "' where zamestnanec = '" &amp; A260 &amp; "';","")</f>
        <v/>
      </c>
    </row>
    <row r="261" spans="1:28" x14ac:dyDescent="0.25">
      <c r="A261" s="2">
        <v>510</v>
      </c>
      <c r="B261" t="s">
        <v>2005</v>
      </c>
      <c r="D261" t="s">
        <v>2006</v>
      </c>
      <c r="E261" t="s">
        <v>2007</v>
      </c>
      <c r="F261" t="s">
        <v>2008</v>
      </c>
      <c r="G261" s="1">
        <v>45161</v>
      </c>
      <c r="H261" s="1">
        <v>45198</v>
      </c>
      <c r="I261" s="1">
        <v>73050</v>
      </c>
      <c r="J261" s="2" t="s">
        <v>357</v>
      </c>
      <c r="K261" t="s">
        <v>2009</v>
      </c>
      <c r="M261" s="16" t="s">
        <v>8551</v>
      </c>
      <c r="N261" s="16" t="str">
        <f>VLOOKUP(M261,Tab_Zast[[Zastávka]:[Sloupec1]],2,0)</f>
        <v>00</v>
      </c>
      <c r="O261" t="s">
        <v>2010</v>
      </c>
      <c r="P261">
        <v>6</v>
      </c>
      <c r="Q261">
        <v>0</v>
      </c>
      <c r="R261" t="s">
        <v>31</v>
      </c>
      <c r="S261" t="s">
        <v>31</v>
      </c>
      <c r="T261" t="s">
        <v>32</v>
      </c>
      <c r="V261" s="1" t="e">
        <v>#N/A</v>
      </c>
      <c r="W261" t="s">
        <v>1216</v>
      </c>
      <c r="X261">
        <v>0</v>
      </c>
      <c r="Y261">
        <v>0</v>
      </c>
      <c r="Z261" t="s">
        <v>54</v>
      </c>
      <c r="AA261" t="str">
        <f t="shared" si="8"/>
        <v/>
      </c>
      <c r="AB261" t="str">
        <f t="shared" si="9"/>
        <v/>
      </c>
    </row>
    <row r="262" spans="1:28" x14ac:dyDescent="0.25">
      <c r="A262" s="2">
        <v>514</v>
      </c>
      <c r="B262" t="s">
        <v>2031</v>
      </c>
      <c r="D262" t="s">
        <v>2032</v>
      </c>
      <c r="E262" t="s">
        <v>2033</v>
      </c>
      <c r="F262" t="s">
        <v>2034</v>
      </c>
      <c r="G262" s="1">
        <v>45166</v>
      </c>
      <c r="H262" s="1">
        <v>45222</v>
      </c>
      <c r="I262" s="1">
        <v>73050</v>
      </c>
      <c r="J262" s="2" t="s">
        <v>357</v>
      </c>
      <c r="K262" t="s">
        <v>2035</v>
      </c>
      <c r="M262" s="16" t="s">
        <v>8551</v>
      </c>
      <c r="N262" s="16" t="str">
        <f>VLOOKUP(M262,Tab_Zast[[Zastávka]:[Sloupec1]],2,0)</f>
        <v>00</v>
      </c>
      <c r="O262" t="s">
        <v>2036</v>
      </c>
      <c r="P262">
        <v>6</v>
      </c>
      <c r="Q262">
        <v>0</v>
      </c>
      <c r="R262" t="s">
        <v>31</v>
      </c>
      <c r="S262" t="s">
        <v>31</v>
      </c>
      <c r="T262" t="s">
        <v>32</v>
      </c>
      <c r="V262" s="1" t="e">
        <v>#N/A</v>
      </c>
      <c r="W262" t="s">
        <v>1216</v>
      </c>
      <c r="X262">
        <v>0</v>
      </c>
      <c r="Y262">
        <v>0</v>
      </c>
      <c r="Z262" t="s">
        <v>54</v>
      </c>
      <c r="AA262" t="str">
        <f t="shared" si="8"/>
        <v/>
      </c>
      <c r="AB262" t="str">
        <f t="shared" si="9"/>
        <v/>
      </c>
    </row>
    <row r="263" spans="1:28" x14ac:dyDescent="0.25">
      <c r="A263" s="2">
        <v>534</v>
      </c>
      <c r="B263" t="s">
        <v>2154</v>
      </c>
      <c r="D263" t="s">
        <v>2155</v>
      </c>
      <c r="E263" t="s">
        <v>2156</v>
      </c>
      <c r="F263" t="s">
        <v>2157</v>
      </c>
      <c r="G263" s="1">
        <v>45082</v>
      </c>
      <c r="H263" s="1">
        <v>45208</v>
      </c>
      <c r="I263" s="1">
        <v>73050</v>
      </c>
      <c r="J263" s="2" t="s">
        <v>357</v>
      </c>
      <c r="K263" t="s">
        <v>2158</v>
      </c>
      <c r="M263" s="16" t="s">
        <v>8551</v>
      </c>
      <c r="N263" s="16" t="str">
        <f>VLOOKUP(M263,Tab_Zast[[Zastávka]:[Sloupec1]],2,0)</f>
        <v>00</v>
      </c>
      <c r="O263" t="s">
        <v>2159</v>
      </c>
      <c r="P263">
        <v>6</v>
      </c>
      <c r="Q263">
        <v>0</v>
      </c>
      <c r="R263" t="s">
        <v>31</v>
      </c>
      <c r="S263" t="s">
        <v>31</v>
      </c>
      <c r="T263" t="s">
        <v>32</v>
      </c>
      <c r="V263" s="1" t="e">
        <v>#N/A</v>
      </c>
      <c r="W263" t="s">
        <v>1216</v>
      </c>
      <c r="X263">
        <v>0</v>
      </c>
      <c r="Y263">
        <v>0</v>
      </c>
      <c r="Z263" t="s">
        <v>54</v>
      </c>
      <c r="AA263" t="str">
        <f t="shared" si="8"/>
        <v/>
      </c>
      <c r="AB263" t="str">
        <f t="shared" si="9"/>
        <v/>
      </c>
    </row>
    <row r="264" spans="1:28" x14ac:dyDescent="0.25">
      <c r="A264" s="2">
        <v>535</v>
      </c>
      <c r="B264" t="s">
        <v>2160</v>
      </c>
      <c r="D264" t="s">
        <v>2161</v>
      </c>
      <c r="E264" t="s">
        <v>2162</v>
      </c>
      <c r="F264" t="s">
        <v>2163</v>
      </c>
      <c r="G264" s="1">
        <v>45210</v>
      </c>
      <c r="H264" s="1">
        <v>45218</v>
      </c>
      <c r="I264" s="1" t="e">
        <v>#N/A</v>
      </c>
      <c r="J264" s="2" t="s">
        <v>357</v>
      </c>
      <c r="K264" t="s">
        <v>2164</v>
      </c>
      <c r="M264" s="16" t="s">
        <v>8551</v>
      </c>
      <c r="N264" s="16" t="str">
        <f>VLOOKUP(M264,Tab_Zast[[Zastávka]:[Sloupec1]],2,0)</f>
        <v>00</v>
      </c>
      <c r="O264" t="s">
        <v>2165</v>
      </c>
      <c r="P264">
        <v>6</v>
      </c>
      <c r="Q264">
        <v>0</v>
      </c>
      <c r="R264" t="s">
        <v>31</v>
      </c>
      <c r="S264" t="s">
        <v>31</v>
      </c>
      <c r="T264" t="s">
        <v>32</v>
      </c>
      <c r="V264" s="1" t="e">
        <v>#N/A</v>
      </c>
      <c r="W264" t="s">
        <v>1216</v>
      </c>
      <c r="X264">
        <v>0</v>
      </c>
      <c r="Y264">
        <v>0</v>
      </c>
      <c r="Z264" t="s">
        <v>54</v>
      </c>
      <c r="AA264" t="str">
        <f t="shared" si="8"/>
        <v/>
      </c>
      <c r="AB264" t="str">
        <f t="shared" si="9"/>
        <v/>
      </c>
    </row>
    <row r="265" spans="1:28" x14ac:dyDescent="0.25">
      <c r="A265" s="2">
        <v>554</v>
      </c>
      <c r="B265" t="s">
        <v>2283</v>
      </c>
      <c r="D265" t="s">
        <v>2284</v>
      </c>
      <c r="E265" t="s">
        <v>2285</v>
      </c>
      <c r="F265" t="s">
        <v>2286</v>
      </c>
      <c r="G265" s="1">
        <v>45022</v>
      </c>
      <c r="H265" s="1">
        <v>45216</v>
      </c>
      <c r="I265" s="1" t="e">
        <v>#N/A</v>
      </c>
      <c r="J265" s="2" t="s">
        <v>357</v>
      </c>
      <c r="K265" t="s">
        <v>2287</v>
      </c>
      <c r="M265" s="16" t="s">
        <v>8551</v>
      </c>
      <c r="N265" s="16" t="str">
        <f>VLOOKUP(M265,Tab_Zast[[Zastávka]:[Sloupec1]],2,0)</f>
        <v>00</v>
      </c>
      <c r="O265" t="s">
        <v>2288</v>
      </c>
      <c r="P265">
        <v>6</v>
      </c>
      <c r="Q265">
        <v>0</v>
      </c>
      <c r="R265" t="s">
        <v>31</v>
      </c>
      <c r="S265" t="s">
        <v>31</v>
      </c>
      <c r="T265" t="s">
        <v>32</v>
      </c>
      <c r="V265" s="1" t="e">
        <v>#N/A</v>
      </c>
      <c r="W265" t="s">
        <v>1216</v>
      </c>
      <c r="X265">
        <v>0</v>
      </c>
      <c r="Y265">
        <v>0</v>
      </c>
      <c r="Z265" t="s">
        <v>54</v>
      </c>
      <c r="AA265" t="str">
        <f t="shared" si="8"/>
        <v/>
      </c>
      <c r="AB265" t="str">
        <f t="shared" si="9"/>
        <v/>
      </c>
    </row>
    <row r="266" spans="1:28" x14ac:dyDescent="0.25">
      <c r="A266" s="2">
        <v>557</v>
      </c>
      <c r="B266" t="s">
        <v>2302</v>
      </c>
      <c r="D266" t="s">
        <v>2297</v>
      </c>
      <c r="E266" t="s">
        <v>2303</v>
      </c>
      <c r="F266" t="s">
        <v>2304</v>
      </c>
      <c r="G266" s="1">
        <v>45055</v>
      </c>
      <c r="H266" s="1">
        <v>45203</v>
      </c>
      <c r="I266" s="1" t="e">
        <v>#N/A</v>
      </c>
      <c r="J266" s="2" t="s">
        <v>357</v>
      </c>
      <c r="K266" t="s">
        <v>2305</v>
      </c>
      <c r="M266" s="16" t="s">
        <v>8551</v>
      </c>
      <c r="N266" s="16" t="str">
        <f>VLOOKUP(M266,Tab_Zast[[Zastávka]:[Sloupec1]],2,0)</f>
        <v>00</v>
      </c>
      <c r="O266" t="s">
        <v>2306</v>
      </c>
      <c r="P266">
        <v>6</v>
      </c>
      <c r="Q266">
        <v>0</v>
      </c>
      <c r="R266" t="s">
        <v>31</v>
      </c>
      <c r="S266" t="s">
        <v>31</v>
      </c>
      <c r="T266" t="s">
        <v>32</v>
      </c>
      <c r="V266" s="1" t="e">
        <v>#N/A</v>
      </c>
      <c r="W266" t="s">
        <v>1216</v>
      </c>
      <c r="X266">
        <v>0</v>
      </c>
      <c r="Y266">
        <v>0</v>
      </c>
      <c r="Z266" t="s">
        <v>54</v>
      </c>
      <c r="AA266" t="str">
        <f t="shared" si="8"/>
        <v/>
      </c>
      <c r="AB266" t="str">
        <f t="shared" si="9"/>
        <v/>
      </c>
    </row>
    <row r="267" spans="1:28" x14ac:dyDescent="0.25">
      <c r="A267" s="2">
        <v>564</v>
      </c>
      <c r="B267" t="s">
        <v>2345</v>
      </c>
      <c r="D267" t="s">
        <v>2346</v>
      </c>
      <c r="E267" t="s">
        <v>2347</v>
      </c>
      <c r="F267" t="s">
        <v>2348</v>
      </c>
      <c r="G267" s="1">
        <v>45145</v>
      </c>
      <c r="H267" s="1">
        <v>45198</v>
      </c>
      <c r="I267" s="1" t="e">
        <v>#N/A</v>
      </c>
      <c r="J267" s="2" t="s">
        <v>357</v>
      </c>
      <c r="K267" t="s">
        <v>2349</v>
      </c>
      <c r="M267" s="16" t="s">
        <v>8551</v>
      </c>
      <c r="N267" s="16" t="str">
        <f>VLOOKUP(M267,Tab_Zast[[Zastávka]:[Sloupec1]],2,0)</f>
        <v>00</v>
      </c>
      <c r="O267" t="s">
        <v>2350</v>
      </c>
      <c r="P267">
        <v>6</v>
      </c>
      <c r="Q267">
        <v>0</v>
      </c>
      <c r="R267" t="s">
        <v>31</v>
      </c>
      <c r="S267" t="s">
        <v>31</v>
      </c>
      <c r="T267" t="s">
        <v>32</v>
      </c>
      <c r="V267" s="1" t="e">
        <v>#N/A</v>
      </c>
      <c r="W267" t="s">
        <v>1216</v>
      </c>
      <c r="X267">
        <v>0</v>
      </c>
      <c r="Y267">
        <v>0</v>
      </c>
      <c r="Z267" t="s">
        <v>54</v>
      </c>
      <c r="AA267" t="str">
        <f t="shared" si="8"/>
        <v/>
      </c>
      <c r="AB267" t="str">
        <f t="shared" si="9"/>
        <v/>
      </c>
    </row>
    <row r="268" spans="1:28" x14ac:dyDescent="0.25">
      <c r="A268" s="2">
        <v>585</v>
      </c>
      <c r="B268" t="s">
        <v>2469</v>
      </c>
      <c r="D268" t="s">
        <v>2470</v>
      </c>
      <c r="E268" t="s">
        <v>2471</v>
      </c>
      <c r="F268" t="s">
        <v>2472</v>
      </c>
      <c r="G268" s="1">
        <v>45187</v>
      </c>
      <c r="H268" s="1">
        <v>45215</v>
      </c>
      <c r="I268" s="1" t="e">
        <v>#N/A</v>
      </c>
      <c r="J268" s="2" t="s">
        <v>357</v>
      </c>
      <c r="K268" t="s">
        <v>2473</v>
      </c>
      <c r="M268" s="16" t="s">
        <v>8551</v>
      </c>
      <c r="N268" s="16" t="str">
        <f>VLOOKUP(M268,Tab_Zast[[Zastávka]:[Sloupec1]],2,0)</f>
        <v>00</v>
      </c>
      <c r="O268" t="s">
        <v>2474</v>
      </c>
      <c r="P268">
        <v>3</v>
      </c>
      <c r="Q268">
        <v>0</v>
      </c>
      <c r="R268" t="s">
        <v>31</v>
      </c>
      <c r="S268" t="s">
        <v>31</v>
      </c>
      <c r="T268" t="s">
        <v>32</v>
      </c>
      <c r="V268" s="1" t="e">
        <v>#N/A</v>
      </c>
      <c r="W268" t="s">
        <v>493</v>
      </c>
      <c r="X268">
        <v>0</v>
      </c>
      <c r="Y268">
        <v>0</v>
      </c>
      <c r="Z268" t="s">
        <v>54</v>
      </c>
      <c r="AA268" t="str">
        <f t="shared" si="8"/>
        <v/>
      </c>
      <c r="AB268" t="str">
        <f t="shared" si="9"/>
        <v/>
      </c>
    </row>
    <row r="269" spans="1:28" x14ac:dyDescent="0.25">
      <c r="A269" s="2">
        <v>594</v>
      </c>
      <c r="B269" t="s">
        <v>2522</v>
      </c>
      <c r="D269" t="s">
        <v>2523</v>
      </c>
      <c r="E269" t="s">
        <v>2524</v>
      </c>
      <c r="F269" t="s">
        <v>67</v>
      </c>
      <c r="G269" s="1">
        <v>45152</v>
      </c>
      <c r="H269" s="1">
        <v>45203</v>
      </c>
      <c r="I269" s="1">
        <v>73050</v>
      </c>
      <c r="J269" s="2" t="s">
        <v>357</v>
      </c>
      <c r="K269" t="s">
        <v>2525</v>
      </c>
      <c r="M269" s="16" t="s">
        <v>8551</v>
      </c>
      <c r="N269" s="16" t="str">
        <f>VLOOKUP(M269,Tab_Zast[[Zastávka]:[Sloupec1]],2,0)</f>
        <v>00</v>
      </c>
      <c r="O269" t="s">
        <v>2526</v>
      </c>
      <c r="P269">
        <v>3</v>
      </c>
      <c r="Q269">
        <v>0</v>
      </c>
      <c r="R269" t="s">
        <v>31</v>
      </c>
      <c r="S269" t="s">
        <v>31</v>
      </c>
      <c r="T269" t="s">
        <v>32</v>
      </c>
      <c r="V269" s="1" t="e">
        <v>#N/A</v>
      </c>
      <c r="W269" t="s">
        <v>493</v>
      </c>
      <c r="X269">
        <v>0</v>
      </c>
      <c r="Y269">
        <v>0</v>
      </c>
      <c r="Z269" t="s">
        <v>40</v>
      </c>
      <c r="AA269" t="str">
        <f t="shared" si="8"/>
        <v/>
      </c>
      <c r="AB269" t="str">
        <f t="shared" si="9"/>
        <v/>
      </c>
    </row>
    <row r="270" spans="1:28" x14ac:dyDescent="0.25">
      <c r="A270" s="2">
        <v>602</v>
      </c>
      <c r="B270" t="s">
        <v>2570</v>
      </c>
      <c r="D270" t="s">
        <v>2571</v>
      </c>
      <c r="E270" t="s">
        <v>1654</v>
      </c>
      <c r="F270" t="s">
        <v>2572</v>
      </c>
      <c r="G270" s="1">
        <v>45119</v>
      </c>
      <c r="H270" s="1">
        <v>45267</v>
      </c>
      <c r="I270" s="1" t="e">
        <v>#N/A</v>
      </c>
      <c r="J270" s="2" t="s">
        <v>357</v>
      </c>
      <c r="K270" t="s">
        <v>2573</v>
      </c>
      <c r="M270" s="16" t="s">
        <v>8551</v>
      </c>
      <c r="N270" s="16" t="str">
        <f>VLOOKUP(M270,Tab_Zast[[Zastávka]:[Sloupec1]],2,0)</f>
        <v>00</v>
      </c>
      <c r="O270" t="s">
        <v>2574</v>
      </c>
      <c r="P270">
        <v>3</v>
      </c>
      <c r="Q270">
        <v>0</v>
      </c>
      <c r="R270" t="s">
        <v>31</v>
      </c>
      <c r="S270" t="s">
        <v>31</v>
      </c>
      <c r="T270" t="s">
        <v>32</v>
      </c>
      <c r="V270" s="1" t="e">
        <v>#N/A</v>
      </c>
      <c r="W270" t="s">
        <v>493</v>
      </c>
      <c r="X270">
        <v>0</v>
      </c>
      <c r="Y270">
        <v>0</v>
      </c>
      <c r="Z270" t="s">
        <v>54</v>
      </c>
      <c r="AA270" t="str">
        <f t="shared" si="8"/>
        <v/>
      </c>
      <c r="AB270" t="str">
        <f t="shared" si="9"/>
        <v/>
      </c>
    </row>
    <row r="271" spans="1:28" x14ac:dyDescent="0.25">
      <c r="A271" s="2">
        <v>611</v>
      </c>
      <c r="B271" t="s">
        <v>2623</v>
      </c>
      <c r="D271" t="s">
        <v>2321</v>
      </c>
      <c r="E271" t="s">
        <v>2624</v>
      </c>
      <c r="F271" t="s">
        <v>67</v>
      </c>
      <c r="G271" s="1">
        <v>45201</v>
      </c>
      <c r="H271" s="1">
        <v>45222</v>
      </c>
      <c r="I271" s="1">
        <v>73050</v>
      </c>
      <c r="J271" s="2" t="s">
        <v>357</v>
      </c>
      <c r="K271" t="s">
        <v>2625</v>
      </c>
      <c r="M271" s="16" t="s">
        <v>8551</v>
      </c>
      <c r="N271" s="16" t="str">
        <f>VLOOKUP(M271,Tab_Zast[[Zastávka]:[Sloupec1]],2,0)</f>
        <v>00</v>
      </c>
      <c r="O271" t="s">
        <v>2626</v>
      </c>
      <c r="P271">
        <v>3</v>
      </c>
      <c r="Q271">
        <v>0</v>
      </c>
      <c r="R271" t="s">
        <v>31</v>
      </c>
      <c r="S271" t="s">
        <v>31</v>
      </c>
      <c r="T271" t="s">
        <v>32</v>
      </c>
      <c r="V271" s="1" t="e">
        <v>#N/A</v>
      </c>
      <c r="W271" t="s">
        <v>493</v>
      </c>
      <c r="X271">
        <v>0</v>
      </c>
      <c r="Y271">
        <v>0</v>
      </c>
      <c r="Z271" t="s">
        <v>40</v>
      </c>
      <c r="AA271" t="str">
        <f t="shared" si="8"/>
        <v/>
      </c>
      <c r="AB271" t="str">
        <f t="shared" si="9"/>
        <v/>
      </c>
    </row>
    <row r="272" spans="1:28" x14ac:dyDescent="0.25">
      <c r="A272" s="2">
        <v>640</v>
      </c>
      <c r="B272" t="s">
        <v>167</v>
      </c>
      <c r="D272" t="s">
        <v>2770</v>
      </c>
      <c r="E272" t="s">
        <v>2771</v>
      </c>
      <c r="F272" t="s">
        <v>2772</v>
      </c>
      <c r="G272" s="1">
        <v>44927</v>
      </c>
      <c r="H272" s="1">
        <v>45219</v>
      </c>
      <c r="I272" s="1" t="e">
        <v>#N/A</v>
      </c>
      <c r="J272" s="2" t="s">
        <v>357</v>
      </c>
      <c r="K272" t="s">
        <v>2773</v>
      </c>
      <c r="M272" s="16" t="s">
        <v>8551</v>
      </c>
      <c r="N272" s="16" t="str">
        <f>VLOOKUP(M272,Tab_Zast[[Zastávka]:[Sloupec1]],2,0)</f>
        <v>00</v>
      </c>
      <c r="O272" t="s">
        <v>2774</v>
      </c>
      <c r="P272">
        <v>1</v>
      </c>
      <c r="Q272">
        <v>0</v>
      </c>
      <c r="R272" t="s">
        <v>31</v>
      </c>
      <c r="S272" t="s">
        <v>31</v>
      </c>
      <c r="T272" t="s">
        <v>32</v>
      </c>
      <c r="V272" s="1" t="e">
        <v>#N/A</v>
      </c>
      <c r="W272" t="s">
        <v>47</v>
      </c>
      <c r="X272">
        <v>0</v>
      </c>
      <c r="Y272">
        <v>0</v>
      </c>
      <c r="Z272" t="s">
        <v>54</v>
      </c>
      <c r="AA272" t="str">
        <f t="shared" si="8"/>
        <v/>
      </c>
      <c r="AB272" t="str">
        <f t="shared" si="9"/>
        <v/>
      </c>
    </row>
    <row r="273" spans="1:28" x14ac:dyDescent="0.25">
      <c r="A273" s="2">
        <v>643</v>
      </c>
      <c r="B273" t="s">
        <v>167</v>
      </c>
      <c r="D273" t="s">
        <v>2785</v>
      </c>
      <c r="E273" t="s">
        <v>2786</v>
      </c>
      <c r="F273" t="s">
        <v>2787</v>
      </c>
      <c r="G273" s="1">
        <v>44927</v>
      </c>
      <c r="H273" s="1">
        <v>45218</v>
      </c>
      <c r="I273" s="1" t="e">
        <v>#N/A</v>
      </c>
      <c r="J273" s="2" t="s">
        <v>357</v>
      </c>
      <c r="K273" t="s">
        <v>2788</v>
      </c>
      <c r="M273" s="16" t="s">
        <v>8551</v>
      </c>
      <c r="N273" s="16" t="str">
        <f>VLOOKUP(M273,Tab_Zast[[Zastávka]:[Sloupec1]],2,0)</f>
        <v>00</v>
      </c>
      <c r="O273" t="s">
        <v>2789</v>
      </c>
      <c r="P273">
        <v>1</v>
      </c>
      <c r="Q273">
        <v>0</v>
      </c>
      <c r="R273" t="s">
        <v>31</v>
      </c>
      <c r="S273" t="s">
        <v>31</v>
      </c>
      <c r="T273" t="s">
        <v>32</v>
      </c>
      <c r="V273" s="1" t="e">
        <v>#N/A</v>
      </c>
      <c r="W273" t="s">
        <v>47</v>
      </c>
      <c r="X273">
        <v>0</v>
      </c>
      <c r="Y273">
        <v>0</v>
      </c>
      <c r="Z273" t="s">
        <v>54</v>
      </c>
      <c r="AA273" t="str">
        <f t="shared" si="8"/>
        <v/>
      </c>
      <c r="AB273" t="str">
        <f t="shared" si="9"/>
        <v/>
      </c>
    </row>
    <row r="274" spans="1:28" x14ac:dyDescent="0.25">
      <c r="A274" s="2">
        <v>644</v>
      </c>
      <c r="B274" t="s">
        <v>167</v>
      </c>
      <c r="D274" t="s">
        <v>2785</v>
      </c>
      <c r="E274" t="s">
        <v>2790</v>
      </c>
      <c r="F274" t="s">
        <v>2791</v>
      </c>
      <c r="G274" s="1">
        <v>44927</v>
      </c>
      <c r="H274" s="1">
        <v>45218</v>
      </c>
      <c r="I274" s="1" t="e">
        <v>#N/A</v>
      </c>
      <c r="J274" s="2" t="s">
        <v>357</v>
      </c>
      <c r="K274" t="s">
        <v>2792</v>
      </c>
      <c r="M274" s="16" t="s">
        <v>8551</v>
      </c>
      <c r="N274" s="16" t="str">
        <f>VLOOKUP(M274,Tab_Zast[[Zastávka]:[Sloupec1]],2,0)</f>
        <v>00</v>
      </c>
      <c r="O274" t="s">
        <v>2793</v>
      </c>
      <c r="P274">
        <v>1</v>
      </c>
      <c r="Q274">
        <v>0</v>
      </c>
      <c r="R274" t="s">
        <v>31</v>
      </c>
      <c r="S274" t="s">
        <v>31</v>
      </c>
      <c r="T274" t="s">
        <v>32</v>
      </c>
      <c r="V274" s="1" t="e">
        <v>#N/A</v>
      </c>
      <c r="W274" t="s">
        <v>47</v>
      </c>
      <c r="X274">
        <v>0</v>
      </c>
      <c r="Y274">
        <v>0</v>
      </c>
      <c r="Z274" t="s">
        <v>54</v>
      </c>
      <c r="AA274" t="str">
        <f t="shared" si="8"/>
        <v/>
      </c>
      <c r="AB274" t="str">
        <f t="shared" si="9"/>
        <v/>
      </c>
    </row>
    <row r="275" spans="1:28" x14ac:dyDescent="0.25">
      <c r="A275" s="2">
        <v>645</v>
      </c>
      <c r="B275" t="s">
        <v>2794</v>
      </c>
      <c r="D275" t="s">
        <v>2795</v>
      </c>
      <c r="E275" t="s">
        <v>2796</v>
      </c>
      <c r="F275" t="s">
        <v>2797</v>
      </c>
      <c r="G275" s="1">
        <v>45215</v>
      </c>
      <c r="H275" s="1">
        <v>45225</v>
      </c>
      <c r="I275" s="1" t="e">
        <v>#N/A</v>
      </c>
      <c r="J275" s="2" t="s">
        <v>357</v>
      </c>
      <c r="K275" t="s">
        <v>2798</v>
      </c>
      <c r="M275" s="16" t="s">
        <v>8551</v>
      </c>
      <c r="N275" s="16" t="str">
        <f>VLOOKUP(M275,Tab_Zast[[Zastávka]:[Sloupec1]],2,0)</f>
        <v>00</v>
      </c>
      <c r="O275" t="s">
        <v>2799</v>
      </c>
      <c r="P275">
        <v>1</v>
      </c>
      <c r="Q275">
        <v>0</v>
      </c>
      <c r="R275" t="s">
        <v>31</v>
      </c>
      <c r="S275" t="s">
        <v>31</v>
      </c>
      <c r="T275" t="s">
        <v>32</v>
      </c>
      <c r="V275" s="1" t="e">
        <v>#N/A</v>
      </c>
      <c r="W275" t="s">
        <v>47</v>
      </c>
      <c r="X275">
        <v>0</v>
      </c>
      <c r="Y275">
        <v>0</v>
      </c>
      <c r="Z275" t="s">
        <v>40</v>
      </c>
      <c r="AA275" t="str">
        <f t="shared" si="8"/>
        <v/>
      </c>
      <c r="AB275" t="str">
        <f t="shared" si="9"/>
        <v/>
      </c>
    </row>
    <row r="276" spans="1:28" x14ac:dyDescent="0.25">
      <c r="A276" s="2">
        <v>649</v>
      </c>
      <c r="B276" t="s">
        <v>2816</v>
      </c>
      <c r="D276" t="s">
        <v>2817</v>
      </c>
      <c r="E276" t="s">
        <v>755</v>
      </c>
      <c r="F276" t="s">
        <v>2818</v>
      </c>
      <c r="G276" s="1">
        <v>45216</v>
      </c>
      <c r="H276" s="1">
        <v>45236</v>
      </c>
      <c r="I276" s="1">
        <v>73050</v>
      </c>
      <c r="J276" s="2" t="s">
        <v>357</v>
      </c>
      <c r="K276" t="s">
        <v>2819</v>
      </c>
      <c r="M276" s="16" t="s">
        <v>8551</v>
      </c>
      <c r="N276" s="16" t="str">
        <f>VLOOKUP(M276,Tab_Zast[[Zastávka]:[Sloupec1]],2,0)</f>
        <v>00</v>
      </c>
      <c r="O276" t="s">
        <v>2820</v>
      </c>
      <c r="P276">
        <v>6</v>
      </c>
      <c r="Q276">
        <v>0</v>
      </c>
      <c r="R276" t="s">
        <v>31</v>
      </c>
      <c r="S276" t="s">
        <v>31</v>
      </c>
      <c r="T276" t="s">
        <v>32</v>
      </c>
      <c r="V276" s="1" t="e">
        <v>#N/A</v>
      </c>
      <c r="W276" t="s">
        <v>1216</v>
      </c>
      <c r="X276">
        <v>0</v>
      </c>
      <c r="Y276">
        <v>0</v>
      </c>
      <c r="Z276" t="s">
        <v>54</v>
      </c>
      <c r="AA276" t="str">
        <f t="shared" si="8"/>
        <v/>
      </c>
      <c r="AB276" t="str">
        <f t="shared" si="9"/>
        <v/>
      </c>
    </row>
    <row r="277" spans="1:28" x14ac:dyDescent="0.25">
      <c r="A277" s="2">
        <v>652</v>
      </c>
      <c r="B277" t="s">
        <v>2832</v>
      </c>
      <c r="D277" t="s">
        <v>2136</v>
      </c>
      <c r="E277" t="s">
        <v>1509</v>
      </c>
      <c r="F277" t="s">
        <v>2833</v>
      </c>
      <c r="G277" s="1">
        <v>45218</v>
      </c>
      <c r="H277" s="1">
        <v>45233</v>
      </c>
      <c r="I277" s="1">
        <v>73050</v>
      </c>
      <c r="J277" s="2" t="s">
        <v>357</v>
      </c>
      <c r="K277" t="s">
        <v>2834</v>
      </c>
      <c r="M277" s="16" t="s">
        <v>8551</v>
      </c>
      <c r="N277" s="16" t="str">
        <f>VLOOKUP(M277,Tab_Zast[[Zastávka]:[Sloupec1]],2,0)</f>
        <v>00</v>
      </c>
      <c r="O277" t="s">
        <v>2835</v>
      </c>
      <c r="P277">
        <v>6</v>
      </c>
      <c r="Q277">
        <v>0</v>
      </c>
      <c r="R277" t="s">
        <v>31</v>
      </c>
      <c r="S277" t="s">
        <v>31</v>
      </c>
      <c r="T277" t="s">
        <v>32</v>
      </c>
      <c r="V277" s="1" t="e">
        <v>#N/A</v>
      </c>
      <c r="W277" t="s">
        <v>1216</v>
      </c>
      <c r="X277">
        <v>0</v>
      </c>
      <c r="Y277">
        <v>0</v>
      </c>
      <c r="Z277" t="s">
        <v>54</v>
      </c>
      <c r="AA277" t="str">
        <f t="shared" si="8"/>
        <v/>
      </c>
      <c r="AB277" t="str">
        <f t="shared" si="9"/>
        <v/>
      </c>
    </row>
    <row r="278" spans="1:28" x14ac:dyDescent="0.25">
      <c r="A278" s="2">
        <v>715</v>
      </c>
      <c r="B278" t="s">
        <v>3172</v>
      </c>
      <c r="D278" t="s">
        <v>2517</v>
      </c>
      <c r="E278" t="s">
        <v>3173</v>
      </c>
      <c r="F278" t="s">
        <v>67</v>
      </c>
      <c r="G278" s="1">
        <v>45278</v>
      </c>
      <c r="H278" s="1">
        <v>45291</v>
      </c>
      <c r="I278" s="1" t="e">
        <v>#N/A</v>
      </c>
      <c r="J278" s="2" t="s">
        <v>357</v>
      </c>
      <c r="M278" s="16" t="s">
        <v>8551</v>
      </c>
      <c r="N278" s="16" t="str">
        <f>VLOOKUP(M278,Tab_Zast[[Zastávka]:[Sloupec1]],2,0)</f>
        <v>00</v>
      </c>
      <c r="O278" t="s">
        <v>3174</v>
      </c>
      <c r="P278">
        <v>0</v>
      </c>
      <c r="Q278">
        <v>0</v>
      </c>
      <c r="R278" t="s">
        <v>179</v>
      </c>
      <c r="S278" t="s">
        <v>129</v>
      </c>
      <c r="T278" t="s">
        <v>32</v>
      </c>
      <c r="V278" s="1" t="e">
        <v>#N/A</v>
      </c>
      <c r="X278">
        <v>0</v>
      </c>
      <c r="Y278">
        <v>0</v>
      </c>
      <c r="AA278" t="str">
        <f t="shared" si="8"/>
        <v/>
      </c>
      <c r="AB278" t="str">
        <f t="shared" si="9"/>
        <v/>
      </c>
    </row>
    <row r="279" spans="1:28" x14ac:dyDescent="0.25">
      <c r="A279" s="2">
        <v>954</v>
      </c>
      <c r="B279" t="s">
        <v>4314</v>
      </c>
      <c r="C279" t="s">
        <v>167</v>
      </c>
      <c r="D279" t="s">
        <v>4315</v>
      </c>
      <c r="E279" t="s">
        <v>4316</v>
      </c>
      <c r="F279" t="s">
        <v>167</v>
      </c>
      <c r="G279" s="1">
        <v>45432</v>
      </c>
      <c r="H279" s="1">
        <v>45432</v>
      </c>
      <c r="I279" s="1">
        <v>45432</v>
      </c>
      <c r="J279" s="2" t="s">
        <v>357</v>
      </c>
      <c r="K279" t="s">
        <v>4317</v>
      </c>
      <c r="M279" s="16" t="s">
        <v>8551</v>
      </c>
      <c r="N279" s="16" t="str">
        <f>VLOOKUP(M279,Tab_Zast[[Zastávka]:[Sloupec1]],2,0)</f>
        <v>00</v>
      </c>
      <c r="O279" t="s">
        <v>167</v>
      </c>
      <c r="P279">
        <v>6</v>
      </c>
      <c r="Q279">
        <v>0</v>
      </c>
      <c r="R279" t="s">
        <v>31</v>
      </c>
      <c r="S279" t="s">
        <v>31</v>
      </c>
      <c r="T279" t="s">
        <v>32</v>
      </c>
      <c r="V279" s="1" t="e">
        <v>#N/A</v>
      </c>
      <c r="W279" t="s">
        <v>1216</v>
      </c>
      <c r="X279">
        <v>0</v>
      </c>
      <c r="Y279">
        <v>352</v>
      </c>
      <c r="AA279" t="str">
        <f t="shared" si="8"/>
        <v/>
      </c>
      <c r="AB279" t="str">
        <f t="shared" si="9"/>
        <v/>
      </c>
    </row>
    <row r="280" spans="1:28" x14ac:dyDescent="0.25">
      <c r="A280" s="2">
        <v>1268</v>
      </c>
      <c r="B280" t="s">
        <v>5608</v>
      </c>
      <c r="C280" t="s">
        <v>1394</v>
      </c>
      <c r="D280" t="s">
        <v>5609</v>
      </c>
      <c r="E280" t="s">
        <v>725</v>
      </c>
      <c r="F280" t="s">
        <v>5610</v>
      </c>
      <c r="G280" s="1">
        <v>45565</v>
      </c>
      <c r="H280" s="1">
        <v>45589</v>
      </c>
      <c r="I280" s="1">
        <v>45589</v>
      </c>
      <c r="J280" s="2" t="s">
        <v>357</v>
      </c>
      <c r="K280" t="s">
        <v>5611</v>
      </c>
      <c r="M280" s="16" t="s">
        <v>8551</v>
      </c>
      <c r="N280" s="16" t="str">
        <f>VLOOKUP(M280,Tab_Zast[[Zastávka]:[Sloupec1]],2,0)</f>
        <v>00</v>
      </c>
      <c r="O280" t="s">
        <v>5612</v>
      </c>
      <c r="P280">
        <v>1</v>
      </c>
      <c r="Q280">
        <v>0</v>
      </c>
      <c r="R280" t="s">
        <v>31</v>
      </c>
      <c r="S280" t="s">
        <v>31</v>
      </c>
      <c r="T280" t="s">
        <v>32</v>
      </c>
      <c r="V280" s="1">
        <v>45585</v>
      </c>
      <c r="W280" t="s">
        <v>47</v>
      </c>
      <c r="X280">
        <v>0</v>
      </c>
      <c r="Y280">
        <v>659</v>
      </c>
      <c r="AA280" t="str">
        <f t="shared" si="8"/>
        <v/>
      </c>
      <c r="AB280" t="str">
        <f t="shared" si="9"/>
        <v/>
      </c>
    </row>
    <row r="281" spans="1:28" x14ac:dyDescent="0.25">
      <c r="A281" s="2">
        <v>1285</v>
      </c>
      <c r="B281" t="s">
        <v>5677</v>
      </c>
      <c r="C281" t="s">
        <v>5610</v>
      </c>
      <c r="D281" t="s">
        <v>5678</v>
      </c>
      <c r="E281" t="s">
        <v>3373</v>
      </c>
      <c r="F281" t="s">
        <v>5610</v>
      </c>
      <c r="G281" s="1">
        <v>45572</v>
      </c>
      <c r="H281" s="1">
        <v>45589</v>
      </c>
      <c r="I281" s="1">
        <v>45589</v>
      </c>
      <c r="J281" s="2" t="s">
        <v>357</v>
      </c>
      <c r="K281" t="s">
        <v>5679</v>
      </c>
      <c r="M281" s="16" t="s">
        <v>8551</v>
      </c>
      <c r="N281" s="16" t="str">
        <f>VLOOKUP(M281,Tab_Zast[[Zastávka]:[Sloupec1]],2,0)</f>
        <v>00</v>
      </c>
      <c r="O281" t="s">
        <v>5680</v>
      </c>
      <c r="P281">
        <v>1</v>
      </c>
      <c r="Q281">
        <v>0</v>
      </c>
      <c r="R281" t="s">
        <v>31</v>
      </c>
      <c r="S281" t="s">
        <v>31</v>
      </c>
      <c r="T281" t="s">
        <v>32</v>
      </c>
      <c r="V281" s="1">
        <v>45588</v>
      </c>
      <c r="W281" t="s">
        <v>47</v>
      </c>
      <c r="X281">
        <v>0</v>
      </c>
      <c r="Y281">
        <v>681</v>
      </c>
      <c r="AA281" t="str">
        <f t="shared" si="8"/>
        <v/>
      </c>
      <c r="AB281" t="str">
        <f t="shared" si="9"/>
        <v/>
      </c>
    </row>
    <row r="282" spans="1:28" x14ac:dyDescent="0.25">
      <c r="A282" s="2">
        <v>1290</v>
      </c>
      <c r="B282" t="s">
        <v>5700</v>
      </c>
      <c r="C282" t="s">
        <v>5610</v>
      </c>
      <c r="D282" t="s">
        <v>5678</v>
      </c>
      <c r="E282" t="s">
        <v>5282</v>
      </c>
      <c r="F282" t="s">
        <v>5610</v>
      </c>
      <c r="G282" s="1">
        <v>45572</v>
      </c>
      <c r="H282" s="1">
        <v>45579</v>
      </c>
      <c r="I282" s="1">
        <v>45579</v>
      </c>
      <c r="J282" s="2" t="s">
        <v>357</v>
      </c>
      <c r="K282" t="s">
        <v>5701</v>
      </c>
      <c r="M282" s="16" t="s">
        <v>8551</v>
      </c>
      <c r="N282" s="16" t="str">
        <f>VLOOKUP(M282,Tab_Zast[[Zastávka]:[Sloupec1]],2,0)</f>
        <v>00</v>
      </c>
      <c r="O282" t="s">
        <v>5702</v>
      </c>
      <c r="P282">
        <v>1</v>
      </c>
      <c r="Q282">
        <v>0</v>
      </c>
      <c r="R282" t="s">
        <v>31</v>
      </c>
      <c r="S282" t="s">
        <v>31</v>
      </c>
      <c r="T282" t="s">
        <v>32</v>
      </c>
      <c r="V282" s="1" t="e">
        <v>#N/A</v>
      </c>
      <c r="W282" t="s">
        <v>47</v>
      </c>
      <c r="X282">
        <v>0</v>
      </c>
      <c r="Y282">
        <v>678</v>
      </c>
      <c r="Z282" t="s">
        <v>54</v>
      </c>
      <c r="AA282" t="str">
        <f t="shared" si="8"/>
        <v/>
      </c>
      <c r="AB282" t="str">
        <f t="shared" si="9"/>
        <v/>
      </c>
    </row>
    <row r="283" spans="1:28" x14ac:dyDescent="0.25">
      <c r="A283" s="2">
        <v>1307</v>
      </c>
      <c r="B283" t="s">
        <v>5769</v>
      </c>
      <c r="C283" t="s">
        <v>179</v>
      </c>
      <c r="D283" t="s">
        <v>5770</v>
      </c>
      <c r="E283" t="s">
        <v>2960</v>
      </c>
      <c r="F283" t="s">
        <v>5610</v>
      </c>
      <c r="G283" s="1">
        <v>45579</v>
      </c>
      <c r="H283" s="1">
        <v>45589</v>
      </c>
      <c r="I283" s="1">
        <v>45589</v>
      </c>
      <c r="J283" s="2" t="s">
        <v>357</v>
      </c>
      <c r="K283" t="s">
        <v>5771</v>
      </c>
      <c r="M283" s="16" t="s">
        <v>8551</v>
      </c>
      <c r="N283" s="16" t="str">
        <f>VLOOKUP(M283,Tab_Zast[[Zastávka]:[Sloupec1]],2,0)</f>
        <v>00</v>
      </c>
      <c r="O283" t="s">
        <v>5768</v>
      </c>
      <c r="P283">
        <v>1</v>
      </c>
      <c r="Q283">
        <v>0</v>
      </c>
      <c r="R283" t="s">
        <v>31</v>
      </c>
      <c r="S283" t="s">
        <v>31</v>
      </c>
      <c r="T283" t="s">
        <v>32</v>
      </c>
      <c r="V283" s="1" t="e">
        <v>#N/A</v>
      </c>
      <c r="W283" t="s">
        <v>47</v>
      </c>
      <c r="X283">
        <v>0</v>
      </c>
      <c r="Y283">
        <v>692</v>
      </c>
      <c r="AA283" t="str">
        <f t="shared" si="8"/>
        <v/>
      </c>
      <c r="AB283" t="str">
        <f t="shared" si="9"/>
        <v/>
      </c>
    </row>
    <row r="284" spans="1:28" x14ac:dyDescent="0.25">
      <c r="A284" s="2">
        <v>1309</v>
      </c>
      <c r="B284" t="s">
        <v>5777</v>
      </c>
      <c r="C284" t="s">
        <v>64</v>
      </c>
      <c r="D284" t="s">
        <v>5778</v>
      </c>
      <c r="E284" t="s">
        <v>3373</v>
      </c>
      <c r="F284" t="s">
        <v>5610</v>
      </c>
      <c r="G284" s="1">
        <v>45579</v>
      </c>
      <c r="H284" s="1">
        <v>45590</v>
      </c>
      <c r="I284" s="1">
        <v>45590</v>
      </c>
      <c r="J284" s="2" t="s">
        <v>357</v>
      </c>
      <c r="K284" t="s">
        <v>5779</v>
      </c>
      <c r="M284" s="16" t="s">
        <v>8551</v>
      </c>
      <c r="N284" s="16" t="str">
        <f>VLOOKUP(M284,Tab_Zast[[Zastávka]:[Sloupec1]],2,0)</f>
        <v>00</v>
      </c>
      <c r="O284" t="s">
        <v>5780</v>
      </c>
      <c r="P284">
        <v>1</v>
      </c>
      <c r="Q284">
        <v>0</v>
      </c>
      <c r="R284" t="s">
        <v>31</v>
      </c>
      <c r="S284" t="s">
        <v>31</v>
      </c>
      <c r="T284" t="s">
        <v>32</v>
      </c>
      <c r="V284" s="1" t="e">
        <v>#N/A</v>
      </c>
      <c r="X284">
        <v>0</v>
      </c>
      <c r="Y284">
        <v>694</v>
      </c>
      <c r="Z284" t="s">
        <v>54</v>
      </c>
      <c r="AA284" t="str">
        <f t="shared" si="8"/>
        <v/>
      </c>
      <c r="AB284" t="str">
        <f t="shared" si="9"/>
        <v/>
      </c>
    </row>
    <row r="285" spans="1:28" x14ac:dyDescent="0.25">
      <c r="A285" s="2">
        <v>1319</v>
      </c>
      <c r="B285" t="s">
        <v>5816</v>
      </c>
      <c r="C285" t="s">
        <v>64</v>
      </c>
      <c r="D285" t="s">
        <v>3975</v>
      </c>
      <c r="E285" t="s">
        <v>737</v>
      </c>
      <c r="F285" t="s">
        <v>5817</v>
      </c>
      <c r="G285" s="1">
        <v>45582</v>
      </c>
      <c r="H285" s="1">
        <v>45589</v>
      </c>
      <c r="I285" s="1">
        <v>73050</v>
      </c>
      <c r="J285" s="2" t="s">
        <v>357</v>
      </c>
      <c r="K285" t="s">
        <v>5818</v>
      </c>
      <c r="M285" s="16" t="s">
        <v>8551</v>
      </c>
      <c r="N285" s="16" t="str">
        <f>VLOOKUP(M285,Tab_Zast[[Zastávka]:[Sloupec1]],2,0)</f>
        <v>00</v>
      </c>
      <c r="O285" t="s">
        <v>5819</v>
      </c>
      <c r="P285">
        <v>1</v>
      </c>
      <c r="Q285">
        <v>0</v>
      </c>
      <c r="R285" t="s">
        <v>31</v>
      </c>
      <c r="S285" t="s">
        <v>31</v>
      </c>
      <c r="T285" t="s">
        <v>32</v>
      </c>
      <c r="V285" s="1">
        <v>45588</v>
      </c>
      <c r="W285" t="s">
        <v>47</v>
      </c>
      <c r="X285">
        <v>0</v>
      </c>
      <c r="Y285">
        <v>707</v>
      </c>
      <c r="AA285" t="str">
        <f t="shared" si="8"/>
        <v/>
      </c>
      <c r="AB285" t="str">
        <f t="shared" si="9"/>
        <v/>
      </c>
    </row>
    <row r="286" spans="1:28" x14ac:dyDescent="0.25">
      <c r="A286" s="2">
        <v>1329</v>
      </c>
      <c r="B286" t="s">
        <v>5856</v>
      </c>
      <c r="C286" t="s">
        <v>64</v>
      </c>
      <c r="D286" t="s">
        <v>5761</v>
      </c>
      <c r="E286" t="s">
        <v>5762</v>
      </c>
      <c r="F286" t="s">
        <v>5610</v>
      </c>
      <c r="G286" s="1">
        <v>45586</v>
      </c>
      <c r="H286" s="1">
        <v>45592</v>
      </c>
      <c r="I286" s="1">
        <v>45589</v>
      </c>
      <c r="J286" s="2" t="s">
        <v>357</v>
      </c>
      <c r="K286" t="s">
        <v>5763</v>
      </c>
      <c r="M286" s="16" t="s">
        <v>8551</v>
      </c>
      <c r="N286" s="16" t="str">
        <f>VLOOKUP(M286,Tab_Zast[[Zastávka]:[Sloupec1]],2,0)</f>
        <v>00</v>
      </c>
      <c r="O286" t="s">
        <v>5764</v>
      </c>
      <c r="P286">
        <v>1</v>
      </c>
      <c r="Q286">
        <v>0</v>
      </c>
      <c r="R286" t="s">
        <v>31</v>
      </c>
      <c r="S286" t="s">
        <v>31</v>
      </c>
      <c r="T286" t="s">
        <v>32</v>
      </c>
      <c r="V286" s="1" t="e">
        <v>#N/A</v>
      </c>
      <c r="W286" t="s">
        <v>47</v>
      </c>
      <c r="X286">
        <v>0</v>
      </c>
      <c r="Y286">
        <v>716</v>
      </c>
      <c r="AA286" t="str">
        <f t="shared" si="8"/>
        <v/>
      </c>
      <c r="AB286" t="str">
        <f t="shared" si="9"/>
        <v/>
      </c>
    </row>
    <row r="287" spans="1:28" x14ac:dyDescent="0.25">
      <c r="A287" s="2">
        <v>1364</v>
      </c>
      <c r="B287" t="s">
        <v>64</v>
      </c>
      <c r="C287" t="s">
        <v>64</v>
      </c>
      <c r="D287" t="s">
        <v>5670</v>
      </c>
      <c r="E287" t="s">
        <v>2973</v>
      </c>
      <c r="F287" t="s">
        <v>64</v>
      </c>
      <c r="G287" s="1">
        <v>44927</v>
      </c>
      <c r="H287" s="1">
        <v>44927</v>
      </c>
      <c r="I287" s="1">
        <v>73050</v>
      </c>
      <c r="J287" s="2" t="s">
        <v>357</v>
      </c>
      <c r="K287" t="s">
        <v>5671</v>
      </c>
      <c r="M287" s="16" t="s">
        <v>8551</v>
      </c>
      <c r="N287" s="16" t="str">
        <f>VLOOKUP(M287,Tab_Zast[[Zastávka]:[Sloupec1]],2,0)</f>
        <v>00</v>
      </c>
      <c r="O287" t="s">
        <v>5672</v>
      </c>
      <c r="P287">
        <v>0</v>
      </c>
      <c r="Q287">
        <v>0</v>
      </c>
      <c r="R287" t="s">
        <v>31</v>
      </c>
      <c r="S287" t="s">
        <v>179</v>
      </c>
      <c r="T287" t="s">
        <v>32</v>
      </c>
      <c r="V287" s="1" t="e">
        <v>#N/A</v>
      </c>
      <c r="X287">
        <v>0</v>
      </c>
      <c r="Y287">
        <v>755</v>
      </c>
      <c r="AA287" t="str">
        <f t="shared" si="8"/>
        <v/>
      </c>
      <c r="AB287" t="str">
        <f t="shared" si="9"/>
        <v/>
      </c>
    </row>
    <row r="288" spans="1:28" x14ac:dyDescent="0.25">
      <c r="A288" s="2">
        <v>1478</v>
      </c>
      <c r="B288" t="s">
        <v>357</v>
      </c>
      <c r="C288" t="s">
        <v>569</v>
      </c>
      <c r="D288" t="s">
        <v>6432</v>
      </c>
      <c r="E288" t="s">
        <v>3550</v>
      </c>
      <c r="F288" t="s">
        <v>569</v>
      </c>
      <c r="G288" s="1">
        <v>45979</v>
      </c>
      <c r="H288" s="1">
        <v>45979</v>
      </c>
      <c r="I288" s="1" t="e">
        <v>#N/A</v>
      </c>
      <c r="J288" s="2" t="s">
        <v>357</v>
      </c>
      <c r="K288" t="s">
        <v>6433</v>
      </c>
      <c r="M288" s="16" t="s">
        <v>8551</v>
      </c>
      <c r="N288" s="16" t="str">
        <f>VLOOKUP(M288,Tab_Zast[[Zastávka]:[Sloupec1]],2,0)</f>
        <v>00</v>
      </c>
      <c r="O288" t="s">
        <v>6434</v>
      </c>
      <c r="P288">
        <v>0</v>
      </c>
      <c r="Q288">
        <v>0</v>
      </c>
      <c r="R288" t="s">
        <v>31</v>
      </c>
      <c r="S288" t="s">
        <v>31</v>
      </c>
      <c r="T288" t="s">
        <v>32</v>
      </c>
      <c r="V288" s="1" t="e">
        <v>#N/A</v>
      </c>
      <c r="X288">
        <v>0</v>
      </c>
      <c r="Y288">
        <v>869</v>
      </c>
      <c r="AA288" t="str">
        <f t="shared" si="8"/>
        <v/>
      </c>
      <c r="AB288" t="str">
        <f t="shared" si="9"/>
        <v/>
      </c>
    </row>
    <row r="289" spans="1:28" x14ac:dyDescent="0.25">
      <c r="A289" s="2">
        <v>1573</v>
      </c>
      <c r="B289" t="s">
        <v>64</v>
      </c>
      <c r="C289" t="s">
        <v>64</v>
      </c>
      <c r="D289" t="s">
        <v>6779</v>
      </c>
      <c r="E289" t="s">
        <v>5588</v>
      </c>
      <c r="F289" t="s">
        <v>357</v>
      </c>
      <c r="G289" s="1">
        <v>45757</v>
      </c>
      <c r="H289" s="1">
        <v>45757</v>
      </c>
      <c r="I289" s="1">
        <v>73050</v>
      </c>
      <c r="J289" s="2" t="s">
        <v>357</v>
      </c>
      <c r="K289" t="s">
        <v>6780</v>
      </c>
      <c r="M289" s="16" t="s">
        <v>8551</v>
      </c>
      <c r="N289" s="16" t="str">
        <f>VLOOKUP(M289,Tab_Zast[[Zastávka]:[Sloupec1]],2,0)</f>
        <v>00</v>
      </c>
      <c r="O289" t="s">
        <v>6781</v>
      </c>
      <c r="P289">
        <v>0</v>
      </c>
      <c r="Q289">
        <v>0</v>
      </c>
      <c r="R289" t="s">
        <v>31</v>
      </c>
      <c r="S289" t="s">
        <v>179</v>
      </c>
      <c r="T289" t="s">
        <v>32</v>
      </c>
      <c r="V289" s="1" t="e">
        <v>#N/A</v>
      </c>
      <c r="X289">
        <v>0</v>
      </c>
      <c r="Y289">
        <v>967</v>
      </c>
      <c r="AA289" t="str">
        <f t="shared" si="8"/>
        <v/>
      </c>
      <c r="AB289" t="str">
        <f t="shared" si="9"/>
        <v/>
      </c>
    </row>
    <row r="290" spans="1:28" x14ac:dyDescent="0.25">
      <c r="A290" s="2">
        <v>1597</v>
      </c>
      <c r="B290" t="s">
        <v>64</v>
      </c>
      <c r="C290" t="s">
        <v>64</v>
      </c>
      <c r="D290" t="s">
        <v>6863</v>
      </c>
      <c r="E290" t="s">
        <v>649</v>
      </c>
      <c r="F290" t="s">
        <v>64</v>
      </c>
      <c r="G290" s="1">
        <v>45770</v>
      </c>
      <c r="H290" s="1">
        <v>45770</v>
      </c>
      <c r="I290" s="1">
        <v>45770</v>
      </c>
      <c r="J290" s="2" t="s">
        <v>357</v>
      </c>
      <c r="K290" t="s">
        <v>6864</v>
      </c>
      <c r="M290" s="16" t="s">
        <v>8551</v>
      </c>
      <c r="N290" s="16" t="str">
        <f>VLOOKUP(M290,Tab_Zast[[Zastávka]:[Sloupec1]],2,0)</f>
        <v>00</v>
      </c>
      <c r="O290" t="s">
        <v>6865</v>
      </c>
      <c r="P290">
        <v>6</v>
      </c>
      <c r="Q290">
        <v>0</v>
      </c>
      <c r="R290" t="s">
        <v>129</v>
      </c>
      <c r="S290" t="s">
        <v>179</v>
      </c>
      <c r="T290" t="s">
        <v>32</v>
      </c>
      <c r="V290" s="1" t="e">
        <v>#N/A</v>
      </c>
      <c r="X290">
        <v>0</v>
      </c>
      <c r="Y290">
        <v>985</v>
      </c>
      <c r="AA290" t="str">
        <f t="shared" si="8"/>
        <v/>
      </c>
      <c r="AB290" t="str">
        <f t="shared" si="9"/>
        <v/>
      </c>
    </row>
    <row r="291" spans="1:28" x14ac:dyDescent="0.25">
      <c r="A291" s="2">
        <v>1598</v>
      </c>
      <c r="B291" t="s">
        <v>64</v>
      </c>
      <c r="C291" t="s">
        <v>64</v>
      </c>
      <c r="D291" t="s">
        <v>6866</v>
      </c>
      <c r="E291" t="s">
        <v>6867</v>
      </c>
      <c r="F291" t="s">
        <v>64</v>
      </c>
      <c r="G291" s="1">
        <v>45770</v>
      </c>
      <c r="H291" s="1">
        <v>45770</v>
      </c>
      <c r="I291" s="1">
        <v>73050</v>
      </c>
      <c r="J291" s="2" t="s">
        <v>357</v>
      </c>
      <c r="K291" t="s">
        <v>6868</v>
      </c>
      <c r="M291" s="16" t="s">
        <v>8551</v>
      </c>
      <c r="N291" s="16" t="str">
        <f>VLOOKUP(M291,Tab_Zast[[Zastávka]:[Sloupec1]],2,0)</f>
        <v>00</v>
      </c>
      <c r="O291" t="s">
        <v>6869</v>
      </c>
      <c r="P291">
        <v>0</v>
      </c>
      <c r="Q291">
        <v>0</v>
      </c>
      <c r="R291" t="s">
        <v>31</v>
      </c>
      <c r="S291" t="s">
        <v>179</v>
      </c>
      <c r="T291" t="s">
        <v>32</v>
      </c>
      <c r="V291" s="1" t="e">
        <v>#N/A</v>
      </c>
      <c r="W291" t="s">
        <v>1022</v>
      </c>
      <c r="X291">
        <v>0</v>
      </c>
      <c r="Y291">
        <v>987</v>
      </c>
      <c r="AA291" t="str">
        <f t="shared" si="8"/>
        <v/>
      </c>
      <c r="AB291" t="str">
        <f t="shared" si="9"/>
        <v/>
      </c>
    </row>
    <row r="292" spans="1:28" x14ac:dyDescent="0.25">
      <c r="A292" s="2">
        <v>1657</v>
      </c>
      <c r="B292" t="s">
        <v>64</v>
      </c>
      <c r="C292" t="s">
        <v>64</v>
      </c>
      <c r="D292" t="s">
        <v>7082</v>
      </c>
      <c r="E292" t="s">
        <v>86</v>
      </c>
      <c r="F292" t="s">
        <v>64</v>
      </c>
      <c r="G292" s="1">
        <v>45803</v>
      </c>
      <c r="H292" s="1">
        <v>45803</v>
      </c>
      <c r="I292" s="1">
        <v>45803</v>
      </c>
      <c r="J292" s="2" t="s">
        <v>357</v>
      </c>
      <c r="K292" t="s">
        <v>7083</v>
      </c>
      <c r="M292" s="16" t="s">
        <v>8551</v>
      </c>
      <c r="N292" s="16" t="str">
        <f>VLOOKUP(M292,Tab_Zast[[Zastávka]:[Sloupec1]],2,0)</f>
        <v>00</v>
      </c>
      <c r="O292" t="s">
        <v>7084</v>
      </c>
      <c r="P292">
        <v>0</v>
      </c>
      <c r="Q292">
        <v>0</v>
      </c>
      <c r="R292" t="s">
        <v>31</v>
      </c>
      <c r="S292" t="s">
        <v>179</v>
      </c>
      <c r="T292" t="s">
        <v>32</v>
      </c>
      <c r="V292" s="1" t="e">
        <v>#N/A</v>
      </c>
      <c r="W292" t="s">
        <v>493</v>
      </c>
      <c r="X292">
        <v>0</v>
      </c>
      <c r="Y292">
        <v>1051</v>
      </c>
      <c r="AA292" t="str">
        <f t="shared" si="8"/>
        <v/>
      </c>
      <c r="AB292" t="str">
        <f t="shared" si="9"/>
        <v/>
      </c>
    </row>
    <row r="293" spans="1:28" x14ac:dyDescent="0.25">
      <c r="A293" s="2">
        <v>1757</v>
      </c>
      <c r="B293" t="s">
        <v>7447</v>
      </c>
      <c r="C293" t="s">
        <v>64</v>
      </c>
      <c r="D293" t="s">
        <v>7448</v>
      </c>
      <c r="E293" t="s">
        <v>3432</v>
      </c>
      <c r="F293" t="s">
        <v>64</v>
      </c>
      <c r="G293" s="1">
        <v>45861</v>
      </c>
      <c r="H293" s="1">
        <v>45861</v>
      </c>
      <c r="I293" s="1">
        <v>45861</v>
      </c>
      <c r="J293" s="2" t="s">
        <v>357</v>
      </c>
      <c r="K293" t="s">
        <v>7449</v>
      </c>
      <c r="M293" s="16" t="s">
        <v>8551</v>
      </c>
      <c r="N293" s="16" t="str">
        <f>VLOOKUP(M293,Tab_Zast[[Zastávka]:[Sloupec1]],2,0)</f>
        <v>00</v>
      </c>
      <c r="O293" t="s">
        <v>7450</v>
      </c>
      <c r="P293">
        <v>10</v>
      </c>
      <c r="Q293">
        <v>0</v>
      </c>
      <c r="R293" t="s">
        <v>31</v>
      </c>
      <c r="S293" t="s">
        <v>31</v>
      </c>
      <c r="T293" t="s">
        <v>32</v>
      </c>
      <c r="V293" s="1" t="e">
        <v>#N/A</v>
      </c>
      <c r="X293">
        <v>0</v>
      </c>
      <c r="Y293">
        <v>1153</v>
      </c>
      <c r="AA293" t="str">
        <f t="shared" si="8"/>
        <v/>
      </c>
      <c r="AB293" t="str">
        <f t="shared" si="9"/>
        <v/>
      </c>
    </row>
    <row r="294" spans="1:28" x14ac:dyDescent="0.25">
      <c r="A294" s="2">
        <v>1758</v>
      </c>
      <c r="B294" t="s">
        <v>7451</v>
      </c>
      <c r="C294" t="s">
        <v>64</v>
      </c>
      <c r="D294" t="s">
        <v>7452</v>
      </c>
      <c r="E294" t="s">
        <v>86</v>
      </c>
      <c r="F294" t="s">
        <v>64</v>
      </c>
      <c r="G294" s="1">
        <v>45861</v>
      </c>
      <c r="H294" s="1">
        <v>45861</v>
      </c>
      <c r="I294" s="1">
        <v>45861</v>
      </c>
      <c r="J294" s="2" t="s">
        <v>357</v>
      </c>
      <c r="K294" t="s">
        <v>7453</v>
      </c>
      <c r="M294" s="16" t="s">
        <v>8551</v>
      </c>
      <c r="N294" s="16" t="str">
        <f>VLOOKUP(M294,Tab_Zast[[Zastávka]:[Sloupec1]],2,0)</f>
        <v>00</v>
      </c>
      <c r="O294" t="s">
        <v>7454</v>
      </c>
      <c r="P294">
        <v>10</v>
      </c>
      <c r="Q294">
        <v>0</v>
      </c>
      <c r="R294" t="s">
        <v>31</v>
      </c>
      <c r="S294" t="s">
        <v>31</v>
      </c>
      <c r="T294" t="s">
        <v>32</v>
      </c>
      <c r="V294" s="1" t="e">
        <v>#N/A</v>
      </c>
      <c r="X294">
        <v>0</v>
      </c>
      <c r="Y294">
        <v>1151</v>
      </c>
      <c r="AA294" t="str">
        <f t="shared" si="8"/>
        <v/>
      </c>
      <c r="AB294" t="str">
        <f t="shared" si="9"/>
        <v/>
      </c>
    </row>
    <row r="295" spans="1:28" x14ac:dyDescent="0.25">
      <c r="A295" s="2">
        <v>1880</v>
      </c>
      <c r="B295" t="s">
        <v>7912</v>
      </c>
      <c r="C295" t="s">
        <v>569</v>
      </c>
      <c r="D295" t="s">
        <v>7913</v>
      </c>
      <c r="E295" t="s">
        <v>3048</v>
      </c>
      <c r="F295" t="s">
        <v>7914</v>
      </c>
      <c r="G295" s="1">
        <v>45945</v>
      </c>
      <c r="H295" s="1" t="e">
        <v>#N/A</v>
      </c>
      <c r="I295" s="1" t="e">
        <v>#N/A</v>
      </c>
      <c r="J295" s="2" t="s">
        <v>357</v>
      </c>
      <c r="K295" t="s">
        <v>7915</v>
      </c>
      <c r="L295" t="s">
        <v>7916</v>
      </c>
      <c r="M295" s="16" t="s">
        <v>8551</v>
      </c>
      <c r="N295" s="16" t="str">
        <f>VLOOKUP(M295,Tab_Zast[[Zastávka]:[Sloupec1]],2,0)</f>
        <v>00</v>
      </c>
      <c r="O295" t="s">
        <v>7917</v>
      </c>
      <c r="P295">
        <v>8</v>
      </c>
      <c r="Q295">
        <v>0</v>
      </c>
      <c r="R295" t="s">
        <v>129</v>
      </c>
      <c r="S295" t="s">
        <v>31</v>
      </c>
      <c r="T295" t="s">
        <v>32</v>
      </c>
      <c r="V295" s="1" t="e">
        <v>#N/A</v>
      </c>
      <c r="W295" t="s">
        <v>3023</v>
      </c>
      <c r="X295">
        <v>1</v>
      </c>
      <c r="Y295">
        <v>1279</v>
      </c>
      <c r="AA295" t="str">
        <f t="shared" si="8"/>
        <v/>
      </c>
      <c r="AB295" t="str">
        <f t="shared" si="9"/>
        <v/>
      </c>
    </row>
    <row r="296" spans="1:28" x14ac:dyDescent="0.25">
      <c r="A296" s="2">
        <v>57</v>
      </c>
      <c r="B296" t="s">
        <v>378</v>
      </c>
      <c r="C296" t="s">
        <v>378</v>
      </c>
      <c r="D296" t="s">
        <v>379</v>
      </c>
      <c r="E296" t="s">
        <v>380</v>
      </c>
      <c r="F296" t="s">
        <v>381</v>
      </c>
      <c r="G296" s="1">
        <v>44677</v>
      </c>
      <c r="H296" s="1">
        <v>73050</v>
      </c>
      <c r="I296" s="1" t="e">
        <v>#N/A</v>
      </c>
      <c r="J296" s="2" t="s">
        <v>8321</v>
      </c>
      <c r="K296" t="s">
        <v>382</v>
      </c>
      <c r="M296" s="16" t="s">
        <v>8322</v>
      </c>
      <c r="N296" s="16" t="str">
        <f>VLOOKUP(M296,Tab_Zast[[Zastávka]:[Sloupec1]],2,0)</f>
        <v>25</v>
      </c>
      <c r="O296" t="s">
        <v>383</v>
      </c>
      <c r="P296">
        <v>1</v>
      </c>
      <c r="Q296">
        <v>0</v>
      </c>
      <c r="R296" t="s">
        <v>130</v>
      </c>
      <c r="S296" t="s">
        <v>31</v>
      </c>
      <c r="T296" t="s">
        <v>32</v>
      </c>
      <c r="V296" s="1" t="e">
        <v>#N/A</v>
      </c>
      <c r="W296" t="s">
        <v>47</v>
      </c>
      <c r="X296">
        <v>1</v>
      </c>
      <c r="Y296">
        <v>0</v>
      </c>
      <c r="AA296" t="str">
        <f t="shared" si="8"/>
        <v>update zamestnanci set nastup='25' where id='57';</v>
      </c>
      <c r="AB296" t="str">
        <f t="shared" si="9"/>
        <v>update dochazka set zastavka = '25' where zamestnanec = '57';</v>
      </c>
    </row>
    <row r="297" spans="1:28" x14ac:dyDescent="0.25">
      <c r="A297" s="2">
        <v>59</v>
      </c>
      <c r="B297" t="s">
        <v>390</v>
      </c>
      <c r="D297" t="s">
        <v>391</v>
      </c>
      <c r="E297" t="s">
        <v>392</v>
      </c>
      <c r="F297" t="s">
        <v>393</v>
      </c>
      <c r="G297" s="1">
        <v>45078</v>
      </c>
      <c r="H297" s="1">
        <v>45253</v>
      </c>
      <c r="I297" s="1" t="e">
        <v>#N/A</v>
      </c>
      <c r="J297" s="2" t="s">
        <v>8321</v>
      </c>
      <c r="K297" t="s">
        <v>394</v>
      </c>
      <c r="M297" s="16" t="s">
        <v>8322</v>
      </c>
      <c r="N297" s="16" t="str">
        <f>VLOOKUP(M297,Tab_Zast[[Zastávka]:[Sloupec1]],2,0)</f>
        <v>25</v>
      </c>
      <c r="O297" t="s">
        <v>395</v>
      </c>
      <c r="P297">
        <v>1</v>
      </c>
      <c r="Q297">
        <v>0</v>
      </c>
      <c r="R297" t="s">
        <v>31</v>
      </c>
      <c r="S297" t="s">
        <v>31</v>
      </c>
      <c r="T297" t="s">
        <v>32</v>
      </c>
      <c r="V297" s="1" t="e">
        <v>#N/A</v>
      </c>
      <c r="W297" t="s">
        <v>47</v>
      </c>
      <c r="X297">
        <v>0</v>
      </c>
      <c r="Y297">
        <v>0</v>
      </c>
      <c r="Z297" t="s">
        <v>40</v>
      </c>
      <c r="AA297" t="str">
        <f t="shared" si="8"/>
        <v>update zamestnanci set nastup='25' where id='59';</v>
      </c>
      <c r="AB297" t="str">
        <f t="shared" si="9"/>
        <v>update dochazka set zastavka = '25' where zamestnanec = '59';</v>
      </c>
    </row>
    <row r="298" spans="1:28" x14ac:dyDescent="0.25">
      <c r="A298" s="2">
        <v>85</v>
      </c>
      <c r="B298" t="s">
        <v>538</v>
      </c>
      <c r="C298" t="s">
        <v>538</v>
      </c>
      <c r="D298" t="s">
        <v>539</v>
      </c>
      <c r="E298" t="s">
        <v>540</v>
      </c>
      <c r="F298" t="s">
        <v>541</v>
      </c>
      <c r="G298" s="1">
        <v>45061</v>
      </c>
      <c r="H298" s="1">
        <v>45926</v>
      </c>
      <c r="I298" s="1">
        <v>73050</v>
      </c>
      <c r="J298" s="2" t="s">
        <v>8321</v>
      </c>
      <c r="K298" t="s">
        <v>542</v>
      </c>
      <c r="M298" s="16" t="s">
        <v>8322</v>
      </c>
      <c r="N298" s="16" t="str">
        <f>VLOOKUP(M298,Tab_Zast[[Zastávka]:[Sloupec1]],2,0)</f>
        <v>25</v>
      </c>
      <c r="O298" t="s">
        <v>543</v>
      </c>
      <c r="P298">
        <v>1</v>
      </c>
      <c r="Q298">
        <v>0</v>
      </c>
      <c r="R298" t="s">
        <v>31</v>
      </c>
      <c r="S298" t="s">
        <v>31</v>
      </c>
      <c r="T298" t="s">
        <v>32</v>
      </c>
      <c r="V298" s="1" t="e">
        <v>#N/A</v>
      </c>
      <c r="W298" t="s">
        <v>47</v>
      </c>
      <c r="X298">
        <v>0</v>
      </c>
      <c r="Y298">
        <v>0</v>
      </c>
      <c r="AA298" t="str">
        <f t="shared" si="8"/>
        <v>update zamestnanci set nastup='25' where id='85';</v>
      </c>
      <c r="AB298" t="str">
        <f t="shared" si="9"/>
        <v>update dochazka set zastavka = '25' where zamestnanec = '85';</v>
      </c>
    </row>
    <row r="299" spans="1:28" x14ac:dyDescent="0.25">
      <c r="A299" s="2">
        <v>87</v>
      </c>
      <c r="B299" t="s">
        <v>549</v>
      </c>
      <c r="D299" t="s">
        <v>550</v>
      </c>
      <c r="E299" t="s">
        <v>551</v>
      </c>
      <c r="F299" t="s">
        <v>552</v>
      </c>
      <c r="G299" s="1">
        <v>45174</v>
      </c>
      <c r="H299" s="1">
        <v>45307</v>
      </c>
      <c r="I299" s="1">
        <v>73050</v>
      </c>
      <c r="J299" s="2" t="s">
        <v>8321</v>
      </c>
      <c r="K299" t="s">
        <v>553</v>
      </c>
      <c r="M299" s="16" t="s">
        <v>8322</v>
      </c>
      <c r="N299" s="16" t="str">
        <f>VLOOKUP(M299,Tab_Zast[[Zastávka]:[Sloupec1]],2,0)</f>
        <v>25</v>
      </c>
      <c r="O299" t="s">
        <v>554</v>
      </c>
      <c r="P299">
        <v>1</v>
      </c>
      <c r="Q299">
        <v>0</v>
      </c>
      <c r="R299" t="s">
        <v>31</v>
      </c>
      <c r="S299" t="s">
        <v>31</v>
      </c>
      <c r="T299" t="s">
        <v>32</v>
      </c>
      <c r="V299" s="1" t="e">
        <v>#N/A</v>
      </c>
      <c r="W299" t="s">
        <v>47</v>
      </c>
      <c r="X299">
        <v>0</v>
      </c>
      <c r="Y299">
        <v>0</v>
      </c>
      <c r="AA299" t="str">
        <f t="shared" si="8"/>
        <v>update zamestnanci set nastup='25' where id='87';</v>
      </c>
      <c r="AB299" t="str">
        <f t="shared" si="9"/>
        <v>update dochazka set zastavka = '25' where zamestnanec = '87';</v>
      </c>
    </row>
    <row r="300" spans="1:28" x14ac:dyDescent="0.25">
      <c r="A300" s="2">
        <v>93</v>
      </c>
      <c r="B300" t="s">
        <v>584</v>
      </c>
      <c r="C300" t="s">
        <v>585</v>
      </c>
      <c r="D300" t="s">
        <v>586</v>
      </c>
      <c r="E300" t="s">
        <v>587</v>
      </c>
      <c r="F300" t="s">
        <v>588</v>
      </c>
      <c r="G300" s="1">
        <v>45162</v>
      </c>
      <c r="H300" s="1">
        <v>73050</v>
      </c>
      <c r="I300" s="1" t="e">
        <v>#N/A</v>
      </c>
      <c r="J300" s="2" t="s">
        <v>8321</v>
      </c>
      <c r="K300" t="s">
        <v>589</v>
      </c>
      <c r="M300" s="16" t="s">
        <v>8322</v>
      </c>
      <c r="N300" s="16" t="str">
        <f>VLOOKUP(M300,Tab_Zast[[Zastávka]:[Sloupec1]],2,0)</f>
        <v>25</v>
      </c>
      <c r="O300" t="s">
        <v>590</v>
      </c>
      <c r="P300">
        <v>1</v>
      </c>
      <c r="Q300">
        <v>0</v>
      </c>
      <c r="R300" t="s">
        <v>130</v>
      </c>
      <c r="S300" t="s">
        <v>31</v>
      </c>
      <c r="T300" t="s">
        <v>32</v>
      </c>
      <c r="V300" s="1" t="e">
        <v>#N/A</v>
      </c>
      <c r="W300" t="s">
        <v>47</v>
      </c>
      <c r="X300">
        <v>1</v>
      </c>
      <c r="Y300">
        <v>0</v>
      </c>
      <c r="AA300" t="str">
        <f t="shared" si="8"/>
        <v>update zamestnanci set nastup='25' where id='93';</v>
      </c>
      <c r="AB300" t="str">
        <f t="shared" si="9"/>
        <v>update dochazka set zastavka = '25' where zamestnanec = '93';</v>
      </c>
    </row>
    <row r="301" spans="1:28" x14ac:dyDescent="0.25">
      <c r="A301" s="2">
        <v>178</v>
      </c>
      <c r="B301" t="s">
        <v>1090</v>
      </c>
      <c r="D301" t="s">
        <v>1091</v>
      </c>
      <c r="E301" t="s">
        <v>1092</v>
      </c>
      <c r="F301" t="s">
        <v>1093</v>
      </c>
      <c r="G301" s="1">
        <v>45147</v>
      </c>
      <c r="H301" s="1">
        <v>45293</v>
      </c>
      <c r="I301" s="1" t="e">
        <v>#N/A</v>
      </c>
      <c r="J301" s="2" t="s">
        <v>8299</v>
      </c>
      <c r="K301" t="s">
        <v>1094</v>
      </c>
      <c r="M301" s="16" t="s">
        <v>8300</v>
      </c>
      <c r="N301" s="16" t="str">
        <f>VLOOKUP(M301,Tab_Zast[[Zastávka]:[Sloupec1]],2,0)</f>
        <v>16</v>
      </c>
      <c r="O301" t="s">
        <v>1095</v>
      </c>
      <c r="P301">
        <v>6</v>
      </c>
      <c r="Q301">
        <v>0</v>
      </c>
      <c r="R301" t="s">
        <v>31</v>
      </c>
      <c r="S301" t="s">
        <v>31</v>
      </c>
      <c r="T301" t="s">
        <v>32</v>
      </c>
      <c r="V301" s="1" t="e">
        <v>#N/A</v>
      </c>
      <c r="W301" t="s">
        <v>1022</v>
      </c>
      <c r="X301">
        <v>0</v>
      </c>
      <c r="Y301">
        <v>0</v>
      </c>
      <c r="Z301" t="s">
        <v>54</v>
      </c>
      <c r="AA301" t="str">
        <f t="shared" si="8"/>
        <v>update zamestnanci set nastup='16' where id='178';</v>
      </c>
      <c r="AB301" t="str">
        <f t="shared" si="9"/>
        <v>update dochazka set zastavka = '16' where zamestnanec = '178';</v>
      </c>
    </row>
    <row r="302" spans="1:28" x14ac:dyDescent="0.25">
      <c r="A302" s="2">
        <v>189</v>
      </c>
      <c r="B302" t="s">
        <v>1160</v>
      </c>
      <c r="C302" t="s">
        <v>1161</v>
      </c>
      <c r="D302" t="s">
        <v>1162</v>
      </c>
      <c r="E302" t="s">
        <v>1163</v>
      </c>
      <c r="F302" t="s">
        <v>1164</v>
      </c>
      <c r="G302" s="1">
        <v>44843</v>
      </c>
      <c r="H302" s="1">
        <v>73050</v>
      </c>
      <c r="I302" s="1" t="e">
        <v>#N/A</v>
      </c>
      <c r="J302" s="2" t="s">
        <v>8299</v>
      </c>
      <c r="K302" t="s">
        <v>1165</v>
      </c>
      <c r="M302" s="16" t="s">
        <v>8300</v>
      </c>
      <c r="N302" s="16" t="str">
        <f>VLOOKUP(M302,Tab_Zast[[Zastávka]:[Sloupec1]],2,0)</f>
        <v>16</v>
      </c>
      <c r="O302" t="s">
        <v>1166</v>
      </c>
      <c r="P302">
        <v>6</v>
      </c>
      <c r="Q302">
        <v>0</v>
      </c>
      <c r="R302" t="s">
        <v>129</v>
      </c>
      <c r="S302" t="s">
        <v>129</v>
      </c>
      <c r="T302" t="s">
        <v>32</v>
      </c>
      <c r="V302" s="1" t="e">
        <v>#N/A</v>
      </c>
      <c r="W302" t="s">
        <v>1022</v>
      </c>
      <c r="X302">
        <v>1</v>
      </c>
      <c r="Y302">
        <v>0</v>
      </c>
      <c r="AA302" t="str">
        <f t="shared" si="8"/>
        <v>update zamestnanci set nastup='16' where id='189';</v>
      </c>
      <c r="AB302" t="str">
        <f t="shared" si="9"/>
        <v>update dochazka set zastavka = '16' where zamestnanec = '189';</v>
      </c>
    </row>
    <row r="303" spans="1:28" x14ac:dyDescent="0.25">
      <c r="A303" s="2">
        <v>190</v>
      </c>
      <c r="B303" t="s">
        <v>1167</v>
      </c>
      <c r="D303" t="s">
        <v>1168</v>
      </c>
      <c r="E303" t="s">
        <v>1169</v>
      </c>
      <c r="F303" t="s">
        <v>1170</v>
      </c>
      <c r="G303" s="1">
        <v>45089</v>
      </c>
      <c r="H303" s="1">
        <v>45331</v>
      </c>
      <c r="I303" s="1">
        <v>73050</v>
      </c>
      <c r="J303" s="2" t="s">
        <v>8299</v>
      </c>
      <c r="K303" t="s">
        <v>1171</v>
      </c>
      <c r="M303" s="16" t="s">
        <v>8300</v>
      </c>
      <c r="N303" s="16" t="str">
        <f>VLOOKUP(M303,Tab_Zast[[Zastávka]:[Sloupec1]],2,0)</f>
        <v>16</v>
      </c>
      <c r="O303" t="s">
        <v>1172</v>
      </c>
      <c r="P303">
        <v>6</v>
      </c>
      <c r="Q303">
        <v>0</v>
      </c>
      <c r="R303" t="s">
        <v>31</v>
      </c>
      <c r="S303" t="s">
        <v>31</v>
      </c>
      <c r="T303" t="s">
        <v>32</v>
      </c>
      <c r="V303" s="1" t="e">
        <v>#N/A</v>
      </c>
      <c r="W303" t="s">
        <v>1022</v>
      </c>
      <c r="X303">
        <v>0</v>
      </c>
      <c r="Y303">
        <v>0</v>
      </c>
      <c r="Z303" t="s">
        <v>54</v>
      </c>
      <c r="AA303" t="str">
        <f t="shared" si="8"/>
        <v>update zamestnanci set nastup='16' where id='190';</v>
      </c>
      <c r="AB303" t="str">
        <f t="shared" si="9"/>
        <v>update dochazka set zastavka = '16' where zamestnanec = '190';</v>
      </c>
    </row>
    <row r="304" spans="1:28" x14ac:dyDescent="0.25">
      <c r="A304" s="2">
        <v>445</v>
      </c>
      <c r="B304" t="s">
        <v>124</v>
      </c>
      <c r="C304" t="s">
        <v>1593</v>
      </c>
      <c r="D304" t="s">
        <v>1594</v>
      </c>
      <c r="E304" t="s">
        <v>1595</v>
      </c>
      <c r="F304" t="s">
        <v>1596</v>
      </c>
      <c r="G304" s="1">
        <v>44593</v>
      </c>
      <c r="H304" s="1">
        <v>73050</v>
      </c>
      <c r="I304" s="1" t="e">
        <v>#N/A</v>
      </c>
      <c r="J304" s="2" t="s">
        <v>8299</v>
      </c>
      <c r="K304" t="s">
        <v>1597</v>
      </c>
      <c r="M304" s="16" t="s">
        <v>8300</v>
      </c>
      <c r="N304" s="16" t="str">
        <f>VLOOKUP(M304,Tab_Zast[[Zastávka]:[Sloupec1]],2,0)</f>
        <v>16</v>
      </c>
      <c r="O304" t="s">
        <v>1598</v>
      </c>
      <c r="P304">
        <v>6</v>
      </c>
      <c r="Q304">
        <v>0</v>
      </c>
      <c r="R304" t="s">
        <v>130</v>
      </c>
      <c r="S304" t="s">
        <v>31</v>
      </c>
      <c r="T304" t="s">
        <v>32</v>
      </c>
      <c r="V304" s="1" t="e">
        <v>#N/A</v>
      </c>
      <c r="W304" t="s">
        <v>1216</v>
      </c>
      <c r="X304">
        <v>1</v>
      </c>
      <c r="Y304">
        <v>0</v>
      </c>
      <c r="AA304" t="str">
        <f t="shared" si="8"/>
        <v>update zamestnanci set nastup='16' where id='445';</v>
      </c>
      <c r="AB304" t="str">
        <f t="shared" si="9"/>
        <v>update dochazka set zastavka = '16' where zamestnanec = '445';</v>
      </c>
    </row>
    <row r="305" spans="1:28" x14ac:dyDescent="0.25">
      <c r="A305" s="2">
        <v>477</v>
      </c>
      <c r="B305" t="s">
        <v>1798</v>
      </c>
      <c r="D305" t="s">
        <v>1799</v>
      </c>
      <c r="E305" t="s">
        <v>1800</v>
      </c>
      <c r="F305" t="s">
        <v>1801</v>
      </c>
      <c r="G305" s="1">
        <v>44685</v>
      </c>
      <c r="H305" s="1">
        <v>45415</v>
      </c>
      <c r="I305" s="1">
        <v>73050</v>
      </c>
      <c r="J305" s="2" t="s">
        <v>8299</v>
      </c>
      <c r="K305" t="s">
        <v>1802</v>
      </c>
      <c r="M305" s="16" t="s">
        <v>8300</v>
      </c>
      <c r="N305" s="16" t="str">
        <f>VLOOKUP(M305,Tab_Zast[[Zastávka]:[Sloupec1]],2,0)</f>
        <v>16</v>
      </c>
      <c r="O305" t="s">
        <v>1803</v>
      </c>
      <c r="P305">
        <v>6</v>
      </c>
      <c r="Q305">
        <v>0</v>
      </c>
      <c r="R305" t="s">
        <v>31</v>
      </c>
      <c r="S305" t="s">
        <v>31</v>
      </c>
      <c r="T305" t="s">
        <v>32</v>
      </c>
      <c r="V305" s="1" t="e">
        <v>#N/A</v>
      </c>
      <c r="W305" t="s">
        <v>1216</v>
      </c>
      <c r="X305">
        <v>0</v>
      </c>
      <c r="Y305">
        <v>0</v>
      </c>
      <c r="AA305" t="str">
        <f t="shared" si="8"/>
        <v>update zamestnanci set nastup='16' where id='477';</v>
      </c>
      <c r="AB305" t="str">
        <f t="shared" si="9"/>
        <v>update dochazka set zastavka = '16' where zamestnanec = '477';</v>
      </c>
    </row>
    <row r="306" spans="1:28" x14ac:dyDescent="0.25">
      <c r="A306" s="2">
        <v>540</v>
      </c>
      <c r="B306" t="s">
        <v>2192</v>
      </c>
      <c r="C306" t="s">
        <v>2193</v>
      </c>
      <c r="D306" t="s">
        <v>2194</v>
      </c>
      <c r="E306" t="s">
        <v>2195</v>
      </c>
      <c r="F306" t="s">
        <v>2196</v>
      </c>
      <c r="G306" s="1">
        <v>44593</v>
      </c>
      <c r="H306" s="1">
        <v>73050</v>
      </c>
      <c r="I306" s="1" t="e">
        <v>#N/A</v>
      </c>
      <c r="J306" s="2" t="s">
        <v>8299</v>
      </c>
      <c r="K306" t="s">
        <v>2197</v>
      </c>
      <c r="M306" s="16" t="s">
        <v>8300</v>
      </c>
      <c r="N306" s="16" t="str">
        <f>VLOOKUP(M306,Tab_Zast[[Zastávka]:[Sloupec1]],2,0)</f>
        <v>16</v>
      </c>
      <c r="O306" t="s">
        <v>2198</v>
      </c>
      <c r="P306">
        <v>6</v>
      </c>
      <c r="Q306">
        <v>0</v>
      </c>
      <c r="R306" t="s">
        <v>130</v>
      </c>
      <c r="S306" t="s">
        <v>31</v>
      </c>
      <c r="T306" t="s">
        <v>32</v>
      </c>
      <c r="V306" s="1" t="e">
        <v>#N/A</v>
      </c>
      <c r="W306" t="s">
        <v>1216</v>
      </c>
      <c r="X306">
        <v>1</v>
      </c>
      <c r="Y306">
        <v>0</v>
      </c>
      <c r="AA306" t="str">
        <f t="shared" si="8"/>
        <v>update zamestnanci set nastup='16' where id='540';</v>
      </c>
      <c r="AB306" t="str">
        <f t="shared" si="9"/>
        <v>update dochazka set zastavka = '16' where zamestnanec = '540';</v>
      </c>
    </row>
    <row r="307" spans="1:28" x14ac:dyDescent="0.25">
      <c r="A307" s="2">
        <v>568</v>
      </c>
      <c r="B307" t="s">
        <v>844</v>
      </c>
      <c r="C307" t="s">
        <v>2370</v>
      </c>
      <c r="D307" t="s">
        <v>2371</v>
      </c>
      <c r="E307" t="s">
        <v>2372</v>
      </c>
      <c r="F307" t="s">
        <v>2373</v>
      </c>
      <c r="G307" s="1">
        <v>44593</v>
      </c>
      <c r="H307" s="1">
        <v>45856</v>
      </c>
      <c r="I307" s="1">
        <v>73050</v>
      </c>
      <c r="J307" s="2" t="s">
        <v>8299</v>
      </c>
      <c r="K307" t="s">
        <v>2374</v>
      </c>
      <c r="M307" s="16" t="s">
        <v>8300</v>
      </c>
      <c r="N307" s="16" t="str">
        <f>VLOOKUP(M307,Tab_Zast[[Zastávka]:[Sloupec1]],2,0)</f>
        <v>16</v>
      </c>
      <c r="O307" t="s">
        <v>2375</v>
      </c>
      <c r="P307">
        <v>6</v>
      </c>
      <c r="Q307">
        <v>0</v>
      </c>
      <c r="R307" t="s">
        <v>31</v>
      </c>
      <c r="S307" t="s">
        <v>31</v>
      </c>
      <c r="T307" t="s">
        <v>32</v>
      </c>
      <c r="V307" s="1" t="e">
        <v>#N/A</v>
      </c>
      <c r="W307" t="s">
        <v>1216</v>
      </c>
      <c r="X307">
        <v>0</v>
      </c>
      <c r="Y307">
        <v>0</v>
      </c>
      <c r="AA307" t="str">
        <f t="shared" si="8"/>
        <v>update zamestnanci set nastup='16' where id='568';</v>
      </c>
      <c r="AB307" t="str">
        <f t="shared" si="9"/>
        <v>update dochazka set zastavka = '16' where zamestnanec = '568';</v>
      </c>
    </row>
    <row r="308" spans="1:28" x14ac:dyDescent="0.25">
      <c r="A308" s="2">
        <v>574</v>
      </c>
      <c r="B308" t="s">
        <v>2405</v>
      </c>
      <c r="D308" t="s">
        <v>391</v>
      </c>
      <c r="E308" t="s">
        <v>2406</v>
      </c>
      <c r="F308" t="s">
        <v>2407</v>
      </c>
      <c r="G308" s="1">
        <v>45181</v>
      </c>
      <c r="H308" s="1">
        <v>45310</v>
      </c>
      <c r="I308" s="1">
        <v>73050</v>
      </c>
      <c r="J308" s="2" t="s">
        <v>8321</v>
      </c>
      <c r="K308" t="s">
        <v>2408</v>
      </c>
      <c r="M308" s="16" t="s">
        <v>8322</v>
      </c>
      <c r="N308" s="16" t="str">
        <f>VLOOKUP(M308,Tab_Zast[[Zastávka]:[Sloupec1]],2,0)</f>
        <v>25</v>
      </c>
      <c r="O308" t="s">
        <v>2409</v>
      </c>
      <c r="P308">
        <v>1</v>
      </c>
      <c r="Q308">
        <v>0</v>
      </c>
      <c r="R308" t="s">
        <v>31</v>
      </c>
      <c r="S308" t="s">
        <v>31</v>
      </c>
      <c r="T308" t="s">
        <v>32</v>
      </c>
      <c r="V308" s="1" t="e">
        <v>#N/A</v>
      </c>
      <c r="W308" t="s">
        <v>2381</v>
      </c>
      <c r="X308">
        <v>0</v>
      </c>
      <c r="Y308">
        <v>0</v>
      </c>
      <c r="AA308" t="str">
        <f t="shared" si="8"/>
        <v>update zamestnanci set nastup='25' where id='574';</v>
      </c>
      <c r="AB308" t="str">
        <f t="shared" si="9"/>
        <v>update dochazka set zastavka = '25' where zamestnanec = '574';</v>
      </c>
    </row>
    <row r="309" spans="1:28" x14ac:dyDescent="0.25">
      <c r="A309" s="2">
        <v>665</v>
      </c>
      <c r="B309" t="s">
        <v>2901</v>
      </c>
      <c r="D309" t="s">
        <v>2902</v>
      </c>
      <c r="E309" t="s">
        <v>2903</v>
      </c>
      <c r="F309" t="s">
        <v>2904</v>
      </c>
      <c r="G309" s="1">
        <v>45229</v>
      </c>
      <c r="H309" s="1">
        <v>45408</v>
      </c>
      <c r="I309" s="1">
        <v>73050</v>
      </c>
      <c r="J309" s="2" t="s">
        <v>8321</v>
      </c>
      <c r="K309" t="s">
        <v>2905</v>
      </c>
      <c r="M309" s="16" t="s">
        <v>8322</v>
      </c>
      <c r="N309" s="16" t="str">
        <f>VLOOKUP(M309,Tab_Zast[[Zastávka]:[Sloupec1]],2,0)</f>
        <v>25</v>
      </c>
      <c r="O309" t="s">
        <v>2906</v>
      </c>
      <c r="P309">
        <v>1</v>
      </c>
      <c r="Q309">
        <v>0</v>
      </c>
      <c r="R309" t="s">
        <v>31</v>
      </c>
      <c r="S309" t="s">
        <v>31</v>
      </c>
      <c r="T309" t="s">
        <v>32</v>
      </c>
      <c r="V309" s="1">
        <v>45359</v>
      </c>
      <c r="W309" t="s">
        <v>47</v>
      </c>
      <c r="X309">
        <v>0</v>
      </c>
      <c r="Y309">
        <v>0</v>
      </c>
      <c r="Z309" t="s">
        <v>54</v>
      </c>
      <c r="AA309" t="str">
        <f t="shared" si="8"/>
        <v>update zamestnanci set nastup='25' where id='665';</v>
      </c>
      <c r="AB309" t="str">
        <f t="shared" si="9"/>
        <v>update dochazka set zastavka = '25' where zamestnanec = '665';</v>
      </c>
    </row>
    <row r="310" spans="1:28" x14ac:dyDescent="0.25">
      <c r="A310" s="2">
        <v>666</v>
      </c>
      <c r="B310" t="s">
        <v>2907</v>
      </c>
      <c r="D310" t="s">
        <v>2908</v>
      </c>
      <c r="E310" t="s">
        <v>2909</v>
      </c>
      <c r="F310" t="s">
        <v>2910</v>
      </c>
      <c r="G310" s="1">
        <v>45229</v>
      </c>
      <c r="H310" s="1">
        <v>45314</v>
      </c>
      <c r="I310" s="1">
        <v>73050</v>
      </c>
      <c r="J310" s="2" t="s">
        <v>8321</v>
      </c>
      <c r="K310" t="s">
        <v>2911</v>
      </c>
      <c r="M310" s="16" t="s">
        <v>8322</v>
      </c>
      <c r="N310" s="16" t="str">
        <f>VLOOKUP(M310,Tab_Zast[[Zastávka]:[Sloupec1]],2,0)</f>
        <v>25</v>
      </c>
      <c r="O310" t="s">
        <v>475</v>
      </c>
      <c r="P310">
        <v>1</v>
      </c>
      <c r="Q310">
        <v>0</v>
      </c>
      <c r="R310" t="s">
        <v>31</v>
      </c>
      <c r="S310" t="s">
        <v>31</v>
      </c>
      <c r="T310" t="s">
        <v>32</v>
      </c>
      <c r="V310" s="1" t="e">
        <v>#N/A</v>
      </c>
      <c r="W310" t="s">
        <v>47</v>
      </c>
      <c r="X310">
        <v>0</v>
      </c>
      <c r="Y310">
        <v>0</v>
      </c>
      <c r="AA310" t="str">
        <f t="shared" si="8"/>
        <v>update zamestnanci set nastup='25' where id='666';</v>
      </c>
      <c r="AB310" t="str">
        <f t="shared" si="9"/>
        <v>update dochazka set zastavka = '25' where zamestnanec = '666';</v>
      </c>
    </row>
    <row r="311" spans="1:28" x14ac:dyDescent="0.25">
      <c r="A311" s="2">
        <v>669</v>
      </c>
      <c r="B311" t="s">
        <v>2923</v>
      </c>
      <c r="D311" t="s">
        <v>2924</v>
      </c>
      <c r="E311" t="s">
        <v>2925</v>
      </c>
      <c r="F311" t="s">
        <v>2926</v>
      </c>
      <c r="G311" s="1">
        <v>45229</v>
      </c>
      <c r="H311" s="1">
        <v>45307</v>
      </c>
      <c r="I311" s="1">
        <v>73050</v>
      </c>
      <c r="J311" s="2" t="s">
        <v>8321</v>
      </c>
      <c r="K311" t="s">
        <v>2927</v>
      </c>
      <c r="M311" s="16" t="s">
        <v>8322</v>
      </c>
      <c r="N311" s="16" t="str">
        <f>VLOOKUP(M311,Tab_Zast[[Zastávka]:[Sloupec1]],2,0)</f>
        <v>25</v>
      </c>
      <c r="O311" t="s">
        <v>2928</v>
      </c>
      <c r="P311">
        <v>1</v>
      </c>
      <c r="Q311">
        <v>0</v>
      </c>
      <c r="R311" t="s">
        <v>31</v>
      </c>
      <c r="S311" t="s">
        <v>31</v>
      </c>
      <c r="T311" t="s">
        <v>32</v>
      </c>
      <c r="V311" s="1" t="e">
        <v>#N/A</v>
      </c>
      <c r="W311" t="s">
        <v>47</v>
      </c>
      <c r="X311">
        <v>0</v>
      </c>
      <c r="Y311">
        <v>0</v>
      </c>
      <c r="AA311" t="str">
        <f t="shared" si="8"/>
        <v>update zamestnanci set nastup='25' where id='669';</v>
      </c>
      <c r="AB311" t="str">
        <f t="shared" si="9"/>
        <v>update dochazka set zastavka = '25' where zamestnanec = '669';</v>
      </c>
    </row>
    <row r="312" spans="1:28" x14ac:dyDescent="0.25">
      <c r="A312" s="2">
        <v>763</v>
      </c>
      <c r="B312" t="s">
        <v>3404</v>
      </c>
      <c r="D312" t="s">
        <v>3405</v>
      </c>
      <c r="E312" t="s">
        <v>2966</v>
      </c>
      <c r="F312" t="s">
        <v>67</v>
      </c>
      <c r="G312" s="1">
        <v>45320</v>
      </c>
      <c r="H312" s="1">
        <v>45322</v>
      </c>
      <c r="I312" s="1">
        <v>73050</v>
      </c>
      <c r="J312" s="2" t="s">
        <v>8299</v>
      </c>
      <c r="K312" t="s">
        <v>3406</v>
      </c>
      <c r="M312" s="16" t="s">
        <v>8300</v>
      </c>
      <c r="N312" s="16" t="str">
        <f>VLOOKUP(M312,Tab_Zast[[Zastávka]:[Sloupec1]],2,0)</f>
        <v>16</v>
      </c>
      <c r="O312" t="s">
        <v>3407</v>
      </c>
      <c r="P312">
        <v>6</v>
      </c>
      <c r="Q312">
        <v>0</v>
      </c>
      <c r="R312" t="s">
        <v>31</v>
      </c>
      <c r="S312" t="s">
        <v>31</v>
      </c>
      <c r="T312" t="s">
        <v>32</v>
      </c>
      <c r="V312" s="1" t="e">
        <v>#N/A</v>
      </c>
      <c r="W312" t="s">
        <v>1216</v>
      </c>
      <c r="X312">
        <v>0</v>
      </c>
      <c r="Y312">
        <v>0</v>
      </c>
      <c r="Z312" t="s">
        <v>54</v>
      </c>
      <c r="AA312" t="str">
        <f t="shared" si="8"/>
        <v>update zamestnanci set nastup='16' where id='763';</v>
      </c>
      <c r="AB312" t="str">
        <f t="shared" si="9"/>
        <v>update dochazka set zastavka = '16' where zamestnanec = '763';</v>
      </c>
    </row>
    <row r="313" spans="1:28" x14ac:dyDescent="0.25">
      <c r="A313" s="2">
        <v>764</v>
      </c>
      <c r="B313" t="s">
        <v>3408</v>
      </c>
      <c r="D313" t="s">
        <v>3409</v>
      </c>
      <c r="E313" t="s">
        <v>2973</v>
      </c>
      <c r="F313" t="s">
        <v>67</v>
      </c>
      <c r="G313" s="1">
        <v>45320</v>
      </c>
      <c r="H313" s="1">
        <v>45322</v>
      </c>
      <c r="I313" s="1">
        <v>73050</v>
      </c>
      <c r="J313" s="2" t="s">
        <v>8299</v>
      </c>
      <c r="K313" t="s">
        <v>3410</v>
      </c>
      <c r="M313" s="16" t="s">
        <v>8300</v>
      </c>
      <c r="N313" s="16" t="str">
        <f>VLOOKUP(M313,Tab_Zast[[Zastávka]:[Sloupec1]],2,0)</f>
        <v>16</v>
      </c>
      <c r="O313" t="s">
        <v>3407</v>
      </c>
      <c r="P313">
        <v>6</v>
      </c>
      <c r="Q313">
        <v>0</v>
      </c>
      <c r="R313" t="s">
        <v>31</v>
      </c>
      <c r="S313" t="s">
        <v>31</v>
      </c>
      <c r="T313" t="s">
        <v>32</v>
      </c>
      <c r="V313" s="1" t="e">
        <v>#N/A</v>
      </c>
      <c r="W313" t="s">
        <v>1216</v>
      </c>
      <c r="X313">
        <v>0</v>
      </c>
      <c r="Y313">
        <v>0</v>
      </c>
      <c r="Z313" t="s">
        <v>54</v>
      </c>
      <c r="AA313" t="str">
        <f t="shared" si="8"/>
        <v>update zamestnanci set nastup='16' where id='764';</v>
      </c>
      <c r="AB313" t="str">
        <f t="shared" si="9"/>
        <v>update dochazka set zastavka = '16' where zamestnanec = '764';</v>
      </c>
    </row>
    <row r="314" spans="1:28" x14ac:dyDescent="0.25">
      <c r="A314" s="2">
        <v>798</v>
      </c>
      <c r="B314" t="s">
        <v>3577</v>
      </c>
      <c r="D314" t="s">
        <v>3578</v>
      </c>
      <c r="E314" t="s">
        <v>3126</v>
      </c>
      <c r="F314" t="s">
        <v>3579</v>
      </c>
      <c r="G314" s="1">
        <v>45336</v>
      </c>
      <c r="H314" s="1">
        <v>45401</v>
      </c>
      <c r="I314" s="1">
        <v>73050</v>
      </c>
      <c r="J314" s="2" t="s">
        <v>8299</v>
      </c>
      <c r="K314" t="s">
        <v>3580</v>
      </c>
      <c r="M314" s="16" t="s">
        <v>8300</v>
      </c>
      <c r="N314" s="16" t="str">
        <f>VLOOKUP(M314,Tab_Zast[[Zastávka]:[Sloupec1]],2,0)</f>
        <v>16</v>
      </c>
      <c r="O314" t="s">
        <v>3581</v>
      </c>
      <c r="P314">
        <v>6</v>
      </c>
      <c r="Q314">
        <v>0</v>
      </c>
      <c r="R314" t="s">
        <v>31</v>
      </c>
      <c r="S314" t="s">
        <v>31</v>
      </c>
      <c r="T314" t="s">
        <v>32</v>
      </c>
      <c r="V314" s="1" t="e">
        <v>#N/A</v>
      </c>
      <c r="W314" t="s">
        <v>1216</v>
      </c>
      <c r="X314">
        <v>0</v>
      </c>
      <c r="Y314">
        <v>0</v>
      </c>
      <c r="Z314" t="s">
        <v>40</v>
      </c>
      <c r="AA314" t="str">
        <f t="shared" si="8"/>
        <v>update zamestnanci set nastup='16' where id='798';</v>
      </c>
      <c r="AB314" t="str">
        <f t="shared" si="9"/>
        <v>update dochazka set zastavka = '16' where zamestnanec = '798';</v>
      </c>
    </row>
    <row r="315" spans="1:28" x14ac:dyDescent="0.25">
      <c r="A315" s="2">
        <v>829</v>
      </c>
      <c r="B315" t="s">
        <v>3731</v>
      </c>
      <c r="C315" t="s">
        <v>3732</v>
      </c>
      <c r="D315" t="s">
        <v>3733</v>
      </c>
      <c r="E315" t="s">
        <v>3734</v>
      </c>
      <c r="F315" t="s">
        <v>3735</v>
      </c>
      <c r="G315" s="1">
        <v>45349</v>
      </c>
      <c r="H315" s="1">
        <v>73051</v>
      </c>
      <c r="I315" s="1" t="e">
        <v>#N/A</v>
      </c>
      <c r="J315" s="2" t="s">
        <v>8299</v>
      </c>
      <c r="K315" t="s">
        <v>3736</v>
      </c>
      <c r="M315" s="16" t="s">
        <v>8300</v>
      </c>
      <c r="N315" s="16" t="str">
        <f>VLOOKUP(M315,Tab_Zast[[Zastávka]:[Sloupec1]],2,0)</f>
        <v>16</v>
      </c>
      <c r="O315" t="s">
        <v>3737</v>
      </c>
      <c r="P315">
        <v>6</v>
      </c>
      <c r="Q315">
        <v>0</v>
      </c>
      <c r="R315" t="s">
        <v>130</v>
      </c>
      <c r="S315" t="s">
        <v>31</v>
      </c>
      <c r="T315" t="s">
        <v>32</v>
      </c>
      <c r="V315" s="1" t="e">
        <v>#N/A</v>
      </c>
      <c r="W315" t="s">
        <v>1216</v>
      </c>
      <c r="X315">
        <v>1</v>
      </c>
      <c r="Y315">
        <v>0</v>
      </c>
      <c r="AA315" t="str">
        <f t="shared" si="8"/>
        <v>update zamestnanci set nastup='16' where id='829';</v>
      </c>
      <c r="AB315" t="str">
        <f t="shared" si="9"/>
        <v>update dochazka set zastavka = '16' where zamestnanec = '829';</v>
      </c>
    </row>
    <row r="316" spans="1:28" x14ac:dyDescent="0.25">
      <c r="A316" s="2">
        <v>843</v>
      </c>
      <c r="B316" t="s">
        <v>3813</v>
      </c>
      <c r="D316" t="s">
        <v>3814</v>
      </c>
      <c r="E316" t="s">
        <v>3321</v>
      </c>
      <c r="F316" t="s">
        <v>3815</v>
      </c>
      <c r="G316" s="1">
        <v>45357</v>
      </c>
      <c r="H316" s="1">
        <v>45426</v>
      </c>
      <c r="I316" s="1">
        <v>73050</v>
      </c>
      <c r="J316" s="2" t="s">
        <v>8299</v>
      </c>
      <c r="K316" t="s">
        <v>3816</v>
      </c>
      <c r="M316" s="16" t="s">
        <v>8300</v>
      </c>
      <c r="N316" s="16" t="str">
        <f>VLOOKUP(M316,Tab_Zast[[Zastávka]:[Sloupec1]],2,0)</f>
        <v>16</v>
      </c>
      <c r="O316" t="s">
        <v>3817</v>
      </c>
      <c r="P316">
        <v>6</v>
      </c>
      <c r="Q316">
        <v>0</v>
      </c>
      <c r="R316" t="s">
        <v>31</v>
      </c>
      <c r="S316" t="s">
        <v>31</v>
      </c>
      <c r="T316" t="s">
        <v>32</v>
      </c>
      <c r="V316" s="1" t="e">
        <v>#N/A</v>
      </c>
      <c r="W316" t="s">
        <v>1216</v>
      </c>
      <c r="X316">
        <v>0</v>
      </c>
      <c r="Y316">
        <v>0</v>
      </c>
      <c r="AA316" t="str">
        <f t="shared" si="8"/>
        <v>update zamestnanci set nastup='16' where id='843';</v>
      </c>
      <c r="AB316" t="str">
        <f t="shared" si="9"/>
        <v>update dochazka set zastavka = '16' where zamestnanec = '843';</v>
      </c>
    </row>
    <row r="317" spans="1:28" x14ac:dyDescent="0.25">
      <c r="A317" s="2">
        <v>862</v>
      </c>
      <c r="B317" t="s">
        <v>3886</v>
      </c>
      <c r="D317" t="s">
        <v>3887</v>
      </c>
      <c r="E317" t="s">
        <v>1402</v>
      </c>
      <c r="F317" t="s">
        <v>3888</v>
      </c>
      <c r="G317" s="1">
        <v>45369</v>
      </c>
      <c r="H317" s="1">
        <v>45406</v>
      </c>
      <c r="I317" s="1">
        <v>73050</v>
      </c>
      <c r="J317" s="2" t="s">
        <v>8321</v>
      </c>
      <c r="K317" t="s">
        <v>3889</v>
      </c>
      <c r="M317" s="16" t="s">
        <v>8322</v>
      </c>
      <c r="N317" s="16" t="str">
        <f>VLOOKUP(M317,Tab_Zast[[Zastávka]:[Sloupec1]],2,0)</f>
        <v>25</v>
      </c>
      <c r="O317" t="s">
        <v>3890</v>
      </c>
      <c r="P317">
        <v>1</v>
      </c>
      <c r="Q317">
        <v>0</v>
      </c>
      <c r="R317" t="s">
        <v>31</v>
      </c>
      <c r="S317" t="s">
        <v>31</v>
      </c>
      <c r="T317" t="s">
        <v>103</v>
      </c>
      <c r="V317" s="1" t="e">
        <v>#N/A</v>
      </c>
      <c r="W317" t="s">
        <v>2381</v>
      </c>
      <c r="X317">
        <v>0</v>
      </c>
      <c r="Y317">
        <v>138</v>
      </c>
      <c r="Z317" t="s">
        <v>40</v>
      </c>
      <c r="AA317" t="str">
        <f t="shared" si="8"/>
        <v>update zamestnanci set nastup='25' where id='862';</v>
      </c>
      <c r="AB317" t="str">
        <f t="shared" si="9"/>
        <v>update dochazka set zastavka = '25' where zamestnanec = '862';</v>
      </c>
    </row>
    <row r="318" spans="1:28" x14ac:dyDescent="0.25">
      <c r="A318" s="2">
        <v>899</v>
      </c>
      <c r="B318" t="s">
        <v>4064</v>
      </c>
      <c r="D318" t="s">
        <v>4065</v>
      </c>
      <c r="E318" t="s">
        <v>1947</v>
      </c>
      <c r="F318" t="s">
        <v>67</v>
      </c>
      <c r="G318" s="1">
        <v>45393</v>
      </c>
      <c r="H318" s="1">
        <v>45393</v>
      </c>
      <c r="I318" s="1">
        <v>45393</v>
      </c>
      <c r="J318" s="2" t="s">
        <v>8299</v>
      </c>
      <c r="K318" t="s">
        <v>4066</v>
      </c>
      <c r="M318" s="16" t="s">
        <v>8300</v>
      </c>
      <c r="N318" s="16" t="str">
        <f>VLOOKUP(M318,Tab_Zast[[Zastávka]:[Sloupec1]],2,0)</f>
        <v>16</v>
      </c>
      <c r="O318" t="s">
        <v>4067</v>
      </c>
      <c r="P318">
        <v>6</v>
      </c>
      <c r="Q318">
        <v>0</v>
      </c>
      <c r="R318" t="s">
        <v>31</v>
      </c>
      <c r="S318" t="s">
        <v>31</v>
      </c>
      <c r="T318" t="s">
        <v>32</v>
      </c>
      <c r="V318" s="1" t="e">
        <v>#N/A</v>
      </c>
      <c r="W318" t="s">
        <v>1216</v>
      </c>
      <c r="X318">
        <v>0</v>
      </c>
      <c r="Y318">
        <v>239</v>
      </c>
      <c r="Z318" t="s">
        <v>54</v>
      </c>
      <c r="AA318" t="str">
        <f t="shared" si="8"/>
        <v>update zamestnanci set nastup='16' where id='899';</v>
      </c>
      <c r="AB318" t="str">
        <f t="shared" si="9"/>
        <v>update dochazka set zastavka = '16' where zamestnanec = '899';</v>
      </c>
    </row>
    <row r="319" spans="1:28" x14ac:dyDescent="0.25">
      <c r="A319" s="2">
        <v>926</v>
      </c>
      <c r="B319" t="s">
        <v>4189</v>
      </c>
      <c r="D319" t="s">
        <v>4190</v>
      </c>
      <c r="E319" t="s">
        <v>2628</v>
      </c>
      <c r="F319" t="s">
        <v>67</v>
      </c>
      <c r="G319" s="1">
        <v>45407</v>
      </c>
      <c r="H319" s="1">
        <v>45408</v>
      </c>
      <c r="I319" s="1">
        <v>73050</v>
      </c>
      <c r="J319" s="2" t="s">
        <v>8299</v>
      </c>
      <c r="K319" t="s">
        <v>4191</v>
      </c>
      <c r="M319" s="16" t="s">
        <v>8300</v>
      </c>
      <c r="N319" s="16" t="str">
        <f>VLOOKUP(M319,Tab_Zast[[Zastávka]:[Sloupec1]],2,0)</f>
        <v>16</v>
      </c>
      <c r="O319" t="s">
        <v>4192</v>
      </c>
      <c r="P319">
        <v>6</v>
      </c>
      <c r="Q319">
        <v>0</v>
      </c>
      <c r="R319" t="s">
        <v>31</v>
      </c>
      <c r="S319" t="s">
        <v>31</v>
      </c>
      <c r="T319" t="s">
        <v>32</v>
      </c>
      <c r="V319" s="1" t="e">
        <v>#N/A</v>
      </c>
      <c r="W319" t="s">
        <v>1216</v>
      </c>
      <c r="X319">
        <v>0</v>
      </c>
      <c r="Y319">
        <v>271</v>
      </c>
      <c r="AA319" t="str">
        <f t="shared" si="8"/>
        <v>update zamestnanci set nastup='16' where id='926';</v>
      </c>
      <c r="AB319" t="str">
        <f t="shared" si="9"/>
        <v>update dochazka set zastavka = '16' where zamestnanec = '926';</v>
      </c>
    </row>
    <row r="320" spans="1:28" x14ac:dyDescent="0.25">
      <c r="A320" s="2">
        <v>927</v>
      </c>
      <c r="B320" t="s">
        <v>4193</v>
      </c>
      <c r="D320" t="s">
        <v>4194</v>
      </c>
      <c r="E320" t="s">
        <v>2807</v>
      </c>
      <c r="F320" t="s">
        <v>67</v>
      </c>
      <c r="G320" s="1">
        <v>45407</v>
      </c>
      <c r="H320" s="1">
        <v>45408</v>
      </c>
      <c r="I320" s="1">
        <v>73050</v>
      </c>
      <c r="J320" s="2" t="s">
        <v>8299</v>
      </c>
      <c r="K320" t="s">
        <v>4195</v>
      </c>
      <c r="M320" s="16" t="s">
        <v>8300</v>
      </c>
      <c r="N320" s="16" t="str">
        <f>VLOOKUP(M320,Tab_Zast[[Zastávka]:[Sloupec1]],2,0)</f>
        <v>16</v>
      </c>
      <c r="O320" t="s">
        <v>4192</v>
      </c>
      <c r="P320">
        <v>6</v>
      </c>
      <c r="Q320">
        <v>0</v>
      </c>
      <c r="R320" t="s">
        <v>31</v>
      </c>
      <c r="S320" t="s">
        <v>31</v>
      </c>
      <c r="T320" t="s">
        <v>32</v>
      </c>
      <c r="V320" s="1" t="e">
        <v>#N/A</v>
      </c>
      <c r="W320" t="s">
        <v>1216</v>
      </c>
      <c r="X320">
        <v>0</v>
      </c>
      <c r="Y320">
        <v>272</v>
      </c>
      <c r="AA320" t="str">
        <f t="shared" si="8"/>
        <v>update zamestnanci set nastup='16' where id='927';</v>
      </c>
      <c r="AB320" t="str">
        <f t="shared" si="9"/>
        <v>update dochazka set zastavka = '16' where zamestnanec = '927';</v>
      </c>
    </row>
    <row r="321" spans="1:28" x14ac:dyDescent="0.25">
      <c r="A321" s="2">
        <v>932</v>
      </c>
      <c r="B321" t="s">
        <v>4207</v>
      </c>
      <c r="D321" t="s">
        <v>4208</v>
      </c>
      <c r="E321" t="s">
        <v>3173</v>
      </c>
      <c r="F321" t="s">
        <v>67</v>
      </c>
      <c r="G321" s="1">
        <v>45411</v>
      </c>
      <c r="H321" s="1">
        <v>45609</v>
      </c>
      <c r="I321" s="1">
        <v>45411</v>
      </c>
      <c r="J321" s="2" t="s">
        <v>8299</v>
      </c>
      <c r="K321" t="s">
        <v>4209</v>
      </c>
      <c r="M321" s="16" t="s">
        <v>8300</v>
      </c>
      <c r="N321" s="16" t="str">
        <f>VLOOKUP(M321,Tab_Zast[[Zastávka]:[Sloupec1]],2,0)</f>
        <v>16</v>
      </c>
      <c r="O321" t="s">
        <v>4210</v>
      </c>
      <c r="P321">
        <v>6</v>
      </c>
      <c r="Q321">
        <v>0</v>
      </c>
      <c r="R321" t="s">
        <v>31</v>
      </c>
      <c r="S321" t="s">
        <v>31</v>
      </c>
      <c r="T321" t="s">
        <v>32</v>
      </c>
      <c r="V321" s="1" t="e">
        <v>#N/A</v>
      </c>
      <c r="W321" t="s">
        <v>1216</v>
      </c>
      <c r="X321">
        <v>0</v>
      </c>
      <c r="Y321">
        <v>295</v>
      </c>
      <c r="AA321" t="str">
        <f t="shared" si="8"/>
        <v>update zamestnanci set nastup='16' where id='932';</v>
      </c>
      <c r="AB321" t="str">
        <f t="shared" si="9"/>
        <v>update dochazka set zastavka = '16' where zamestnanec = '932';</v>
      </c>
    </row>
    <row r="322" spans="1:28" x14ac:dyDescent="0.25">
      <c r="A322" s="2">
        <v>947</v>
      </c>
      <c r="B322" t="s">
        <v>4278</v>
      </c>
      <c r="C322" t="s">
        <v>4279</v>
      </c>
      <c r="D322" t="s">
        <v>4280</v>
      </c>
      <c r="E322" t="s">
        <v>2813</v>
      </c>
      <c r="F322" t="s">
        <v>4281</v>
      </c>
      <c r="G322" s="1">
        <v>45432</v>
      </c>
      <c r="H322" s="1">
        <v>73050</v>
      </c>
      <c r="I322" s="1" t="e">
        <v>#N/A</v>
      </c>
      <c r="J322" s="2" t="s">
        <v>8299</v>
      </c>
      <c r="K322" t="s">
        <v>4282</v>
      </c>
      <c r="M322" s="16" t="s">
        <v>8300</v>
      </c>
      <c r="N322" s="16" t="str">
        <f>VLOOKUP(M322,Tab_Zast[[Zastávka]:[Sloupec1]],2,0)</f>
        <v>16</v>
      </c>
      <c r="O322" t="s">
        <v>4283</v>
      </c>
      <c r="P322">
        <v>6</v>
      </c>
      <c r="Q322">
        <v>0</v>
      </c>
      <c r="R322" t="s">
        <v>129</v>
      </c>
      <c r="S322" t="s">
        <v>31</v>
      </c>
      <c r="T322" t="s">
        <v>32</v>
      </c>
      <c r="V322" s="1" t="e">
        <v>#N/A</v>
      </c>
      <c r="W322" t="s">
        <v>1216</v>
      </c>
      <c r="X322">
        <v>1</v>
      </c>
      <c r="Y322">
        <v>341</v>
      </c>
      <c r="AA322" t="str">
        <f t="shared" si="8"/>
        <v>update zamestnanci set nastup='16' where id='947';</v>
      </c>
      <c r="AB322" t="str">
        <f t="shared" si="9"/>
        <v>update dochazka set zastavka = '16' where zamestnanec = '947';</v>
      </c>
    </row>
    <row r="323" spans="1:28" x14ac:dyDescent="0.25">
      <c r="A323" s="2">
        <v>975</v>
      </c>
      <c r="B323" t="s">
        <v>64</v>
      </c>
      <c r="C323" t="s">
        <v>64</v>
      </c>
      <c r="D323" t="s">
        <v>4410</v>
      </c>
      <c r="E323" t="s">
        <v>2120</v>
      </c>
      <c r="F323" t="s">
        <v>64</v>
      </c>
      <c r="G323" s="1">
        <v>45446</v>
      </c>
      <c r="H323" s="1">
        <v>45446</v>
      </c>
      <c r="I323" s="1">
        <v>45446</v>
      </c>
      <c r="J323" s="2" t="s">
        <v>8321</v>
      </c>
      <c r="K323" t="s">
        <v>4411</v>
      </c>
      <c r="M323" s="16" t="s">
        <v>8322</v>
      </c>
      <c r="N323" s="16" t="str">
        <f>VLOOKUP(M323,Tab_Zast[[Zastávka]:[Sloupec1]],2,0)</f>
        <v>25</v>
      </c>
      <c r="O323" t="s">
        <v>4412</v>
      </c>
      <c r="P323">
        <v>1</v>
      </c>
      <c r="Q323">
        <v>0</v>
      </c>
      <c r="R323" t="s">
        <v>129</v>
      </c>
      <c r="S323" t="s">
        <v>179</v>
      </c>
      <c r="T323" t="s">
        <v>32</v>
      </c>
      <c r="V323" s="1" t="e">
        <v>#N/A</v>
      </c>
      <c r="W323" t="s">
        <v>47</v>
      </c>
      <c r="X323">
        <v>0</v>
      </c>
      <c r="Y323">
        <v>361</v>
      </c>
      <c r="AA323" t="str">
        <f t="shared" si="8"/>
        <v>update zamestnanci set nastup='25' where id='975';</v>
      </c>
      <c r="AB323" t="str">
        <f t="shared" si="9"/>
        <v>update dochazka set zastavka = '25' where zamestnanec = '975';</v>
      </c>
    </row>
    <row r="324" spans="1:28" x14ac:dyDescent="0.25">
      <c r="A324" s="2">
        <v>1001</v>
      </c>
      <c r="B324" t="s">
        <v>4520</v>
      </c>
      <c r="C324" t="s">
        <v>1394</v>
      </c>
      <c r="D324" t="s">
        <v>4521</v>
      </c>
      <c r="E324" t="s">
        <v>4522</v>
      </c>
      <c r="F324" t="s">
        <v>503</v>
      </c>
      <c r="G324" s="1">
        <v>45453</v>
      </c>
      <c r="H324" s="1">
        <v>45495</v>
      </c>
      <c r="I324" s="1">
        <v>73050</v>
      </c>
      <c r="J324" s="2" t="s">
        <v>8321</v>
      </c>
      <c r="K324" t="s">
        <v>4523</v>
      </c>
      <c r="M324" s="16" t="s">
        <v>8322</v>
      </c>
      <c r="N324" s="16" t="str">
        <f>VLOOKUP(M324,Tab_Zast[[Zastávka]:[Sloupec1]],2,0)</f>
        <v>25</v>
      </c>
      <c r="O324" t="s">
        <v>4524</v>
      </c>
      <c r="P324">
        <v>1</v>
      </c>
      <c r="Q324">
        <v>0</v>
      </c>
      <c r="R324" t="s">
        <v>31</v>
      </c>
      <c r="S324" t="s">
        <v>31</v>
      </c>
      <c r="T324" t="s">
        <v>32</v>
      </c>
      <c r="V324" s="1" t="e">
        <v>#N/A</v>
      </c>
      <c r="W324" t="s">
        <v>47</v>
      </c>
      <c r="X324">
        <v>0</v>
      </c>
      <c r="Y324">
        <v>393</v>
      </c>
      <c r="AA324" t="str">
        <f t="shared" ref="AA324:AA387" si="10">IF(J324&lt;&gt;"00","update zamestnanci set nastup='" &amp; J324 &amp; "' where id='" &amp; A324 &amp; "';","")</f>
        <v>update zamestnanci set nastup='25' where id='1001';</v>
      </c>
      <c r="AB324" t="str">
        <f t="shared" ref="AB324:AB387" si="11">IF(J324&lt;&gt;"00","update dochazka set zastavka = '" &amp; J324 &amp; "' where zamestnanec = '" &amp; A324 &amp; "';","")</f>
        <v>update dochazka set zastavka = '25' where zamestnanec = '1001';</v>
      </c>
    </row>
    <row r="325" spans="1:28" x14ac:dyDescent="0.25">
      <c r="A325" s="2">
        <v>1031</v>
      </c>
      <c r="B325" t="s">
        <v>4642</v>
      </c>
      <c r="C325" t="s">
        <v>64</v>
      </c>
      <c r="D325" t="s">
        <v>4643</v>
      </c>
      <c r="E325" t="s">
        <v>4644</v>
      </c>
      <c r="F325" t="s">
        <v>64</v>
      </c>
      <c r="G325" s="1">
        <v>45467</v>
      </c>
      <c r="H325" s="1">
        <v>45467</v>
      </c>
      <c r="I325" s="1">
        <v>45467</v>
      </c>
      <c r="J325" s="2" t="s">
        <v>8321</v>
      </c>
      <c r="K325" t="s">
        <v>4645</v>
      </c>
      <c r="M325" s="16" t="s">
        <v>8322</v>
      </c>
      <c r="N325" s="16" t="str">
        <f>VLOOKUP(M325,Tab_Zast[[Zastávka]:[Sloupec1]],2,0)</f>
        <v>25</v>
      </c>
      <c r="O325" t="s">
        <v>4646</v>
      </c>
      <c r="P325">
        <v>1</v>
      </c>
      <c r="Q325">
        <v>0</v>
      </c>
      <c r="R325" t="s">
        <v>31</v>
      </c>
      <c r="S325" t="s">
        <v>31</v>
      </c>
      <c r="T325" t="s">
        <v>32</v>
      </c>
      <c r="V325" s="1" t="e">
        <v>#N/A</v>
      </c>
      <c r="W325" t="s">
        <v>47</v>
      </c>
      <c r="X325">
        <v>0</v>
      </c>
      <c r="Y325">
        <v>419</v>
      </c>
      <c r="Z325" t="s">
        <v>40</v>
      </c>
      <c r="AA325" t="str">
        <f t="shared" si="10"/>
        <v>update zamestnanci set nastup='25' where id='1031';</v>
      </c>
      <c r="AB325" t="str">
        <f t="shared" si="11"/>
        <v>update dochazka set zastavka = '25' where zamestnanec = '1031';</v>
      </c>
    </row>
    <row r="326" spans="1:28" x14ac:dyDescent="0.25">
      <c r="A326" s="2">
        <v>1130</v>
      </c>
      <c r="B326" t="s">
        <v>5059</v>
      </c>
      <c r="C326" t="s">
        <v>1394</v>
      </c>
      <c r="D326" t="s">
        <v>5060</v>
      </c>
      <c r="E326" t="s">
        <v>563</v>
      </c>
      <c r="F326" t="s">
        <v>5061</v>
      </c>
      <c r="G326" s="1">
        <v>45516</v>
      </c>
      <c r="H326" s="1">
        <v>45297</v>
      </c>
      <c r="I326" s="1">
        <v>73050</v>
      </c>
      <c r="J326" s="2" t="s">
        <v>8299</v>
      </c>
      <c r="K326" t="s">
        <v>5062</v>
      </c>
      <c r="M326" s="16" t="s">
        <v>8300</v>
      </c>
      <c r="N326" s="16" t="str">
        <f>VLOOKUP(M326,Tab_Zast[[Zastávka]:[Sloupec1]],2,0)</f>
        <v>16</v>
      </c>
      <c r="O326" t="s">
        <v>5063</v>
      </c>
      <c r="P326">
        <v>6</v>
      </c>
      <c r="Q326">
        <v>0</v>
      </c>
      <c r="R326" t="s">
        <v>31</v>
      </c>
      <c r="S326" t="s">
        <v>31</v>
      </c>
      <c r="T326" t="s">
        <v>32</v>
      </c>
      <c r="V326" s="1" t="e">
        <v>#N/A</v>
      </c>
      <c r="W326" t="s">
        <v>1216</v>
      </c>
      <c r="X326">
        <v>0</v>
      </c>
      <c r="Y326">
        <v>521</v>
      </c>
      <c r="AA326" t="str">
        <f t="shared" si="10"/>
        <v>update zamestnanci set nastup='16' where id='1130';</v>
      </c>
      <c r="AB326" t="str">
        <f t="shared" si="11"/>
        <v>update dochazka set zastavka = '16' where zamestnanec = '1130';</v>
      </c>
    </row>
    <row r="327" spans="1:28" x14ac:dyDescent="0.25">
      <c r="A327" s="2">
        <v>1176</v>
      </c>
      <c r="B327" t="s">
        <v>5242</v>
      </c>
      <c r="C327" t="s">
        <v>1394</v>
      </c>
      <c r="D327" t="s">
        <v>5243</v>
      </c>
      <c r="E327" t="s">
        <v>1947</v>
      </c>
      <c r="F327" t="s">
        <v>5244</v>
      </c>
      <c r="G327" s="1">
        <v>45530</v>
      </c>
      <c r="H327" s="1">
        <v>45558</v>
      </c>
      <c r="I327" s="1">
        <v>73050</v>
      </c>
      <c r="J327" s="2" t="s">
        <v>8321</v>
      </c>
      <c r="K327" t="s">
        <v>5245</v>
      </c>
      <c r="M327" s="16" t="s">
        <v>8322</v>
      </c>
      <c r="N327" s="16" t="str">
        <f>VLOOKUP(M327,Tab_Zast[[Zastávka]:[Sloupec1]],2,0)</f>
        <v>25</v>
      </c>
      <c r="O327" t="s">
        <v>5246</v>
      </c>
      <c r="P327">
        <v>1</v>
      </c>
      <c r="Q327">
        <v>0</v>
      </c>
      <c r="R327" t="s">
        <v>31</v>
      </c>
      <c r="S327" t="s">
        <v>31</v>
      </c>
      <c r="T327" t="s">
        <v>32</v>
      </c>
      <c r="V327" s="1" t="e">
        <v>#N/A</v>
      </c>
      <c r="W327" t="s">
        <v>47</v>
      </c>
      <c r="X327">
        <v>0</v>
      </c>
      <c r="Y327">
        <v>564</v>
      </c>
      <c r="AA327" t="str">
        <f t="shared" si="10"/>
        <v>update zamestnanci set nastup='25' where id='1176';</v>
      </c>
      <c r="AB327" t="str">
        <f t="shared" si="11"/>
        <v>update dochazka set zastavka = '25' where zamestnanec = '1176';</v>
      </c>
    </row>
    <row r="328" spans="1:28" x14ac:dyDescent="0.25">
      <c r="A328" s="2">
        <v>1177</v>
      </c>
      <c r="B328" t="s">
        <v>5247</v>
      </c>
      <c r="C328" t="s">
        <v>1394</v>
      </c>
      <c r="D328" t="s">
        <v>5248</v>
      </c>
      <c r="E328" t="s">
        <v>643</v>
      </c>
      <c r="F328" t="s">
        <v>67</v>
      </c>
      <c r="G328" s="1">
        <v>45530</v>
      </c>
      <c r="H328" s="1">
        <v>45531</v>
      </c>
      <c r="I328" s="1">
        <v>73050</v>
      </c>
      <c r="J328" s="2" t="s">
        <v>8321</v>
      </c>
      <c r="K328" t="s">
        <v>5249</v>
      </c>
      <c r="M328" s="16" t="s">
        <v>8322</v>
      </c>
      <c r="N328" s="16" t="str">
        <f>VLOOKUP(M328,Tab_Zast[[Zastávka]:[Sloupec1]],2,0)</f>
        <v>25</v>
      </c>
      <c r="O328" t="s">
        <v>5250</v>
      </c>
      <c r="P328">
        <v>1</v>
      </c>
      <c r="Q328">
        <v>0</v>
      </c>
      <c r="R328" t="s">
        <v>31</v>
      </c>
      <c r="S328" t="s">
        <v>31</v>
      </c>
      <c r="T328" t="s">
        <v>32</v>
      </c>
      <c r="V328" s="1" t="e">
        <v>#N/A</v>
      </c>
      <c r="W328" t="s">
        <v>47</v>
      </c>
      <c r="X328">
        <v>0</v>
      </c>
      <c r="Y328">
        <v>565</v>
      </c>
      <c r="AA328" t="str">
        <f t="shared" si="10"/>
        <v>update zamestnanci set nastup='25' where id='1177';</v>
      </c>
      <c r="AB328" t="str">
        <f t="shared" si="11"/>
        <v>update dochazka set zastavka = '25' where zamestnanec = '1177';</v>
      </c>
    </row>
    <row r="329" spans="1:28" x14ac:dyDescent="0.25">
      <c r="A329" s="2">
        <v>1210</v>
      </c>
      <c r="B329" t="s">
        <v>5382</v>
      </c>
      <c r="C329" t="s">
        <v>64</v>
      </c>
      <c r="D329" t="s">
        <v>1056</v>
      </c>
      <c r="E329" t="s">
        <v>701</v>
      </c>
      <c r="F329" t="s">
        <v>5383</v>
      </c>
      <c r="G329" s="1">
        <v>45544</v>
      </c>
      <c r="H329" s="1">
        <v>45559</v>
      </c>
      <c r="I329" s="1">
        <v>73050</v>
      </c>
      <c r="J329" s="2" t="s">
        <v>8321</v>
      </c>
      <c r="K329" t="s">
        <v>4047</v>
      </c>
      <c r="M329" s="16" t="s">
        <v>8322</v>
      </c>
      <c r="N329" s="16" t="str">
        <f>VLOOKUP(M329,Tab_Zast[[Zastávka]:[Sloupec1]],2,0)</f>
        <v>25</v>
      </c>
      <c r="O329" t="s">
        <v>5384</v>
      </c>
      <c r="P329">
        <v>1</v>
      </c>
      <c r="Q329">
        <v>0</v>
      </c>
      <c r="R329" t="s">
        <v>31</v>
      </c>
      <c r="S329" t="s">
        <v>31</v>
      </c>
      <c r="T329" t="s">
        <v>32</v>
      </c>
      <c r="V329" s="1" t="e">
        <v>#N/A</v>
      </c>
      <c r="W329" t="s">
        <v>47</v>
      </c>
      <c r="X329">
        <v>0</v>
      </c>
      <c r="Y329">
        <v>603</v>
      </c>
      <c r="AA329" t="str">
        <f t="shared" si="10"/>
        <v>update zamestnanci set nastup='25' where id='1210';</v>
      </c>
      <c r="AB329" t="str">
        <f t="shared" si="11"/>
        <v>update dochazka set zastavka = '25' where zamestnanec = '1210';</v>
      </c>
    </row>
    <row r="330" spans="1:28" x14ac:dyDescent="0.25">
      <c r="A330" s="2">
        <v>1244</v>
      </c>
      <c r="B330" t="s">
        <v>5511</v>
      </c>
      <c r="C330" t="s">
        <v>64</v>
      </c>
      <c r="D330" t="s">
        <v>5512</v>
      </c>
      <c r="E330" t="s">
        <v>719</v>
      </c>
      <c r="F330" t="s">
        <v>5513</v>
      </c>
      <c r="G330" s="1">
        <v>45554</v>
      </c>
      <c r="H330" s="1">
        <v>45558</v>
      </c>
      <c r="I330" s="1">
        <v>73050</v>
      </c>
      <c r="J330" s="2" t="s">
        <v>8321</v>
      </c>
      <c r="K330" t="s">
        <v>5514</v>
      </c>
      <c r="M330" s="16" t="s">
        <v>8322</v>
      </c>
      <c r="N330" s="16" t="str">
        <f>VLOOKUP(M330,Tab_Zast[[Zastávka]:[Sloupec1]],2,0)</f>
        <v>25</v>
      </c>
      <c r="O330" t="s">
        <v>5515</v>
      </c>
      <c r="P330">
        <v>1</v>
      </c>
      <c r="Q330">
        <v>0</v>
      </c>
      <c r="R330" t="s">
        <v>31</v>
      </c>
      <c r="S330" t="s">
        <v>31</v>
      </c>
      <c r="T330" t="s">
        <v>32</v>
      </c>
      <c r="V330" s="1" t="e">
        <v>#N/A</v>
      </c>
      <c r="W330" t="s">
        <v>47</v>
      </c>
      <c r="X330">
        <v>0</v>
      </c>
      <c r="Y330">
        <v>635</v>
      </c>
      <c r="AA330" t="str">
        <f t="shared" si="10"/>
        <v>update zamestnanci set nastup='25' where id='1244';</v>
      </c>
      <c r="AB330" t="str">
        <f t="shared" si="11"/>
        <v>update dochazka set zastavka = '25' where zamestnanec = '1244';</v>
      </c>
    </row>
    <row r="331" spans="1:28" x14ac:dyDescent="0.25">
      <c r="A331" s="2">
        <v>1249</v>
      </c>
      <c r="B331" t="s">
        <v>5530</v>
      </c>
      <c r="C331" t="s">
        <v>64</v>
      </c>
      <c r="D331" t="s">
        <v>5531</v>
      </c>
      <c r="E331" t="s">
        <v>2813</v>
      </c>
      <c r="F331" t="s">
        <v>64</v>
      </c>
      <c r="G331" s="1">
        <v>45554</v>
      </c>
      <c r="H331" s="1">
        <v>45554</v>
      </c>
      <c r="I331" s="1">
        <v>45554</v>
      </c>
      <c r="J331" s="2" t="s">
        <v>8321</v>
      </c>
      <c r="K331" t="s">
        <v>5532</v>
      </c>
      <c r="M331" s="16" t="s">
        <v>8322</v>
      </c>
      <c r="N331" s="16" t="str">
        <f>VLOOKUP(M331,Tab_Zast[[Zastávka]:[Sloupec1]],2,0)</f>
        <v>25</v>
      </c>
      <c r="O331" t="s">
        <v>5533</v>
      </c>
      <c r="P331">
        <v>1</v>
      </c>
      <c r="Q331">
        <v>0</v>
      </c>
      <c r="R331" t="s">
        <v>31</v>
      </c>
      <c r="S331" t="s">
        <v>31</v>
      </c>
      <c r="T331" t="s">
        <v>32</v>
      </c>
      <c r="V331" s="1" t="e">
        <v>#N/A</v>
      </c>
      <c r="W331" t="s">
        <v>47</v>
      </c>
      <c r="X331">
        <v>0</v>
      </c>
      <c r="Y331">
        <v>640</v>
      </c>
      <c r="AA331" t="str">
        <f t="shared" si="10"/>
        <v>update zamestnanci set nastup='25' where id='1249';</v>
      </c>
      <c r="AB331" t="str">
        <f t="shared" si="11"/>
        <v>update dochazka set zastavka = '25' where zamestnanec = '1249';</v>
      </c>
    </row>
    <row r="332" spans="1:28" x14ac:dyDescent="0.25">
      <c r="A332" s="2">
        <v>1266</v>
      </c>
      <c r="B332" t="s">
        <v>5600</v>
      </c>
      <c r="C332" t="s">
        <v>1394</v>
      </c>
      <c r="D332" t="s">
        <v>5601</v>
      </c>
      <c r="E332" t="s">
        <v>5395</v>
      </c>
      <c r="F332" t="s">
        <v>67</v>
      </c>
      <c r="G332" s="1">
        <v>45561</v>
      </c>
      <c r="H332" s="1">
        <v>45561</v>
      </c>
      <c r="I332" s="1">
        <v>45561</v>
      </c>
      <c r="J332" s="2" t="s">
        <v>8321</v>
      </c>
      <c r="K332" t="s">
        <v>5602</v>
      </c>
      <c r="M332" s="16" t="s">
        <v>8322</v>
      </c>
      <c r="N332" s="16" t="str">
        <f>VLOOKUP(M332,Tab_Zast[[Zastávka]:[Sloupec1]],2,0)</f>
        <v>25</v>
      </c>
      <c r="O332" t="s">
        <v>5603</v>
      </c>
      <c r="P332">
        <v>1</v>
      </c>
      <c r="Q332">
        <v>0</v>
      </c>
      <c r="R332" t="s">
        <v>31</v>
      </c>
      <c r="S332" t="s">
        <v>31</v>
      </c>
      <c r="T332" t="s">
        <v>32</v>
      </c>
      <c r="V332" s="1" t="e">
        <v>#N/A</v>
      </c>
      <c r="W332" t="s">
        <v>47</v>
      </c>
      <c r="X332">
        <v>0</v>
      </c>
      <c r="Y332">
        <v>656</v>
      </c>
      <c r="AA332" t="str">
        <f t="shared" si="10"/>
        <v>update zamestnanci set nastup='25' where id='1266';</v>
      </c>
      <c r="AB332" t="str">
        <f t="shared" si="11"/>
        <v>update dochazka set zastavka = '25' where zamestnanec = '1266';</v>
      </c>
    </row>
    <row r="333" spans="1:28" x14ac:dyDescent="0.25">
      <c r="A333" s="2">
        <v>1334</v>
      </c>
      <c r="B333" t="s">
        <v>5872</v>
      </c>
      <c r="C333" t="s">
        <v>64</v>
      </c>
      <c r="D333" t="s">
        <v>5873</v>
      </c>
      <c r="E333" t="s">
        <v>3717</v>
      </c>
      <c r="F333" t="s">
        <v>1131</v>
      </c>
      <c r="G333" s="1">
        <v>45604</v>
      </c>
      <c r="H333" s="1">
        <v>45608</v>
      </c>
      <c r="I333" s="1">
        <v>73050</v>
      </c>
      <c r="J333" s="2" t="s">
        <v>8299</v>
      </c>
      <c r="K333" t="s">
        <v>5874</v>
      </c>
      <c r="M333" s="16" t="s">
        <v>8300</v>
      </c>
      <c r="N333" s="16" t="str">
        <f>VLOOKUP(M333,Tab_Zast[[Zastávka]:[Sloupec1]],2,0)</f>
        <v>16</v>
      </c>
      <c r="O333" t="s">
        <v>4210</v>
      </c>
      <c r="P333">
        <v>6</v>
      </c>
      <c r="Q333">
        <v>0</v>
      </c>
      <c r="R333" t="s">
        <v>31</v>
      </c>
      <c r="S333" t="s">
        <v>31</v>
      </c>
      <c r="T333" t="s">
        <v>32</v>
      </c>
      <c r="V333" s="1" t="e">
        <v>#N/A</v>
      </c>
      <c r="W333" t="s">
        <v>1022</v>
      </c>
      <c r="X333">
        <v>0</v>
      </c>
      <c r="Y333">
        <v>722</v>
      </c>
      <c r="AA333" t="str">
        <f t="shared" si="10"/>
        <v>update zamestnanci set nastup='16' where id='1334';</v>
      </c>
      <c r="AB333" t="str">
        <f t="shared" si="11"/>
        <v>update dochazka set zastavka = '16' where zamestnanec = '1334';</v>
      </c>
    </row>
    <row r="334" spans="1:28" x14ac:dyDescent="0.25">
      <c r="A334" s="2">
        <v>1337</v>
      </c>
      <c r="B334" t="s">
        <v>5883</v>
      </c>
      <c r="C334" t="s">
        <v>64</v>
      </c>
      <c r="D334" t="s">
        <v>5884</v>
      </c>
      <c r="E334" t="s">
        <v>3122</v>
      </c>
      <c r="F334" t="s">
        <v>4865</v>
      </c>
      <c r="G334" s="1">
        <v>45604</v>
      </c>
      <c r="H334" s="1" t="e">
        <v>#N/A</v>
      </c>
      <c r="I334" s="1" t="e">
        <v>#N/A</v>
      </c>
      <c r="J334" s="2" t="s">
        <v>8299</v>
      </c>
      <c r="K334" t="s">
        <v>5885</v>
      </c>
      <c r="M334" s="16" t="s">
        <v>8300</v>
      </c>
      <c r="N334" s="16" t="str">
        <f>VLOOKUP(M334,Tab_Zast[[Zastávka]:[Sloupec1]],2,0)</f>
        <v>16</v>
      </c>
      <c r="O334" t="s">
        <v>5886</v>
      </c>
      <c r="P334">
        <v>6</v>
      </c>
      <c r="Q334">
        <v>0</v>
      </c>
      <c r="R334" t="s">
        <v>179</v>
      </c>
      <c r="S334" t="s">
        <v>129</v>
      </c>
      <c r="T334" t="s">
        <v>32</v>
      </c>
      <c r="V334" s="1" t="e">
        <v>#N/A</v>
      </c>
      <c r="W334" t="s">
        <v>1022</v>
      </c>
      <c r="X334">
        <v>1</v>
      </c>
      <c r="Y334">
        <v>725</v>
      </c>
      <c r="AA334" t="str">
        <f t="shared" si="10"/>
        <v>update zamestnanci set nastup='16' where id='1337';</v>
      </c>
      <c r="AB334" t="str">
        <f t="shared" si="11"/>
        <v>update dochazka set zastavka = '16' where zamestnanec = '1337';</v>
      </c>
    </row>
    <row r="335" spans="1:28" x14ac:dyDescent="0.25">
      <c r="A335" s="2">
        <v>1360</v>
      </c>
      <c r="B335" t="s">
        <v>5969</v>
      </c>
      <c r="C335" t="s">
        <v>64</v>
      </c>
      <c r="D335" t="s">
        <v>5471</v>
      </c>
      <c r="E335" t="s">
        <v>661</v>
      </c>
      <c r="F335" t="s">
        <v>5813</v>
      </c>
      <c r="G335" s="1">
        <v>45607</v>
      </c>
      <c r="H335" s="1">
        <v>45631</v>
      </c>
      <c r="I335" s="1">
        <v>45631</v>
      </c>
      <c r="J335" s="2" t="s">
        <v>8321</v>
      </c>
      <c r="K335" t="s">
        <v>5970</v>
      </c>
      <c r="M335" s="16" t="s">
        <v>8322</v>
      </c>
      <c r="N335" s="16" t="str">
        <f>VLOOKUP(M335,Tab_Zast[[Zastávka]:[Sloupec1]],2,0)</f>
        <v>25</v>
      </c>
      <c r="O335" t="s">
        <v>5971</v>
      </c>
      <c r="P335">
        <v>1</v>
      </c>
      <c r="Q335">
        <v>0</v>
      </c>
      <c r="R335" t="s">
        <v>31</v>
      </c>
      <c r="S335" t="s">
        <v>31</v>
      </c>
      <c r="T335" t="s">
        <v>32</v>
      </c>
      <c r="V335" s="1" t="e">
        <v>#N/A</v>
      </c>
      <c r="W335" t="s">
        <v>47</v>
      </c>
      <c r="X335">
        <v>0</v>
      </c>
      <c r="Y335">
        <v>750</v>
      </c>
      <c r="AA335" t="str">
        <f t="shared" si="10"/>
        <v>update zamestnanci set nastup='25' where id='1360';</v>
      </c>
      <c r="AB335" t="str">
        <f t="shared" si="11"/>
        <v>update dochazka set zastavka = '25' where zamestnanec = '1360';</v>
      </c>
    </row>
    <row r="336" spans="1:28" x14ac:dyDescent="0.25">
      <c r="A336" s="2">
        <v>1388</v>
      </c>
      <c r="B336" t="s">
        <v>6084</v>
      </c>
      <c r="C336" t="s">
        <v>64</v>
      </c>
      <c r="D336" t="s">
        <v>6085</v>
      </c>
      <c r="E336" t="s">
        <v>3638</v>
      </c>
      <c r="F336" t="s">
        <v>64</v>
      </c>
      <c r="G336" s="1">
        <v>45617</v>
      </c>
      <c r="H336" s="1">
        <v>45631</v>
      </c>
      <c r="I336" s="1">
        <v>45631</v>
      </c>
      <c r="J336" s="2" t="s">
        <v>8321</v>
      </c>
      <c r="K336" t="s">
        <v>6086</v>
      </c>
      <c r="M336" s="16" t="s">
        <v>8322</v>
      </c>
      <c r="N336" s="16" t="str">
        <f>VLOOKUP(M336,Tab_Zast[[Zastávka]:[Sloupec1]],2,0)</f>
        <v>25</v>
      </c>
      <c r="O336" t="s">
        <v>6087</v>
      </c>
      <c r="P336">
        <v>1</v>
      </c>
      <c r="Q336">
        <v>0</v>
      </c>
      <c r="R336" t="s">
        <v>31</v>
      </c>
      <c r="S336" t="s">
        <v>31</v>
      </c>
      <c r="T336" t="s">
        <v>32</v>
      </c>
      <c r="V336" s="1" t="e">
        <v>#N/A</v>
      </c>
      <c r="W336" t="s">
        <v>47</v>
      </c>
      <c r="X336">
        <v>0</v>
      </c>
      <c r="Y336">
        <v>778</v>
      </c>
      <c r="AA336" t="str">
        <f t="shared" si="10"/>
        <v>update zamestnanci set nastup='25' where id='1388';</v>
      </c>
      <c r="AB336" t="str">
        <f t="shared" si="11"/>
        <v>update dochazka set zastavka = '25' where zamestnanec = '1388';</v>
      </c>
    </row>
    <row r="337" spans="1:28" x14ac:dyDescent="0.25">
      <c r="A337" s="2">
        <v>1390</v>
      </c>
      <c r="B337" t="s">
        <v>6092</v>
      </c>
      <c r="C337" t="s">
        <v>64</v>
      </c>
      <c r="D337" t="s">
        <v>6093</v>
      </c>
      <c r="E337" t="s">
        <v>2613</v>
      </c>
      <c r="F337" t="s">
        <v>6094</v>
      </c>
      <c r="G337" s="1">
        <v>45617</v>
      </c>
      <c r="H337" s="1">
        <v>45646</v>
      </c>
      <c r="I337" s="1">
        <v>73050</v>
      </c>
      <c r="J337" s="2" t="s">
        <v>8299</v>
      </c>
      <c r="K337" t="s">
        <v>6095</v>
      </c>
      <c r="M337" s="16" t="s">
        <v>8300</v>
      </c>
      <c r="N337" s="16" t="str">
        <f>VLOOKUP(M337,Tab_Zast[[Zastávka]:[Sloupec1]],2,0)</f>
        <v>16</v>
      </c>
      <c r="O337" t="s">
        <v>6096</v>
      </c>
      <c r="P337">
        <v>6</v>
      </c>
      <c r="Q337">
        <v>0</v>
      </c>
      <c r="R337" t="s">
        <v>31</v>
      </c>
      <c r="S337" t="s">
        <v>31</v>
      </c>
      <c r="T337" t="s">
        <v>32</v>
      </c>
      <c r="V337" s="1" t="e">
        <v>#N/A</v>
      </c>
      <c r="W337" t="s">
        <v>1216</v>
      </c>
      <c r="X337">
        <v>0</v>
      </c>
      <c r="Y337">
        <v>779</v>
      </c>
      <c r="AA337" t="str">
        <f t="shared" si="10"/>
        <v>update zamestnanci set nastup='16' where id='1390';</v>
      </c>
      <c r="AB337" t="str">
        <f t="shared" si="11"/>
        <v>update dochazka set zastavka = '16' where zamestnanec = '1390';</v>
      </c>
    </row>
    <row r="338" spans="1:28" x14ac:dyDescent="0.25">
      <c r="A338" s="2">
        <v>1423</v>
      </c>
      <c r="B338" t="s">
        <v>6221</v>
      </c>
      <c r="C338" t="s">
        <v>64</v>
      </c>
      <c r="D338" t="s">
        <v>4496</v>
      </c>
      <c r="E338" t="s">
        <v>2156</v>
      </c>
      <c r="F338" t="s">
        <v>3766</v>
      </c>
      <c r="G338" s="1">
        <v>45637</v>
      </c>
      <c r="H338" s="1">
        <v>45637</v>
      </c>
      <c r="I338" s="1">
        <v>45637</v>
      </c>
      <c r="J338" s="2" t="s">
        <v>8299</v>
      </c>
      <c r="K338" t="s">
        <v>4498</v>
      </c>
      <c r="M338" s="16" t="s">
        <v>8300</v>
      </c>
      <c r="N338" s="16" t="str">
        <f>VLOOKUP(M338,Tab_Zast[[Zastávka]:[Sloupec1]],2,0)</f>
        <v>16</v>
      </c>
      <c r="O338" t="s">
        <v>4499</v>
      </c>
      <c r="P338">
        <v>6</v>
      </c>
      <c r="Q338">
        <v>0</v>
      </c>
      <c r="R338" t="s">
        <v>31</v>
      </c>
      <c r="S338" t="s">
        <v>31</v>
      </c>
      <c r="T338" t="s">
        <v>32</v>
      </c>
      <c r="V338" s="1" t="e">
        <v>#N/A</v>
      </c>
      <c r="W338" t="s">
        <v>1022</v>
      </c>
      <c r="X338">
        <v>0</v>
      </c>
      <c r="Y338">
        <v>814</v>
      </c>
      <c r="AA338" t="str">
        <f t="shared" si="10"/>
        <v>update zamestnanci set nastup='16' where id='1423';</v>
      </c>
      <c r="AB338" t="str">
        <f t="shared" si="11"/>
        <v>update dochazka set zastavka = '16' where zamestnanec = '1423';</v>
      </c>
    </row>
    <row r="339" spans="1:28" x14ac:dyDescent="0.25">
      <c r="A339" s="2">
        <v>1424</v>
      </c>
      <c r="B339" t="s">
        <v>6222</v>
      </c>
      <c r="C339" t="s">
        <v>64</v>
      </c>
      <c r="D339" t="s">
        <v>4501</v>
      </c>
      <c r="E339" t="s">
        <v>743</v>
      </c>
      <c r="F339" t="s">
        <v>4980</v>
      </c>
      <c r="G339" s="1">
        <v>45637</v>
      </c>
      <c r="H339" s="1">
        <v>45637</v>
      </c>
      <c r="I339" s="1">
        <v>45637</v>
      </c>
      <c r="J339" s="2" t="s">
        <v>8299</v>
      </c>
      <c r="K339" t="s">
        <v>4503</v>
      </c>
      <c r="M339" s="16" t="s">
        <v>8300</v>
      </c>
      <c r="N339" s="16" t="str">
        <f>VLOOKUP(M339,Tab_Zast[[Zastávka]:[Sloupec1]],2,0)</f>
        <v>16</v>
      </c>
      <c r="O339" t="s">
        <v>6223</v>
      </c>
      <c r="P339">
        <v>6</v>
      </c>
      <c r="Q339">
        <v>0</v>
      </c>
      <c r="R339" t="s">
        <v>31</v>
      </c>
      <c r="S339" t="s">
        <v>31</v>
      </c>
      <c r="T339" t="s">
        <v>32</v>
      </c>
      <c r="V339" s="1" t="e">
        <v>#N/A</v>
      </c>
      <c r="W339" t="s">
        <v>1022</v>
      </c>
      <c r="X339">
        <v>0</v>
      </c>
      <c r="Y339">
        <v>815</v>
      </c>
      <c r="AA339" t="str">
        <f t="shared" si="10"/>
        <v>update zamestnanci set nastup='16' where id='1424';</v>
      </c>
      <c r="AB339" t="str">
        <f t="shared" si="11"/>
        <v>update dochazka set zastavka = '16' where zamestnanec = '1424';</v>
      </c>
    </row>
    <row r="340" spans="1:28" x14ac:dyDescent="0.25">
      <c r="A340" s="2">
        <v>1431</v>
      </c>
      <c r="B340" t="s">
        <v>6247</v>
      </c>
      <c r="C340" t="s">
        <v>64</v>
      </c>
      <c r="D340" t="s">
        <v>6248</v>
      </c>
      <c r="E340" t="s">
        <v>2613</v>
      </c>
      <c r="F340" t="s">
        <v>1394</v>
      </c>
      <c r="G340" s="1">
        <v>45663</v>
      </c>
      <c r="H340" s="1">
        <v>45686</v>
      </c>
      <c r="I340" s="1">
        <v>73050</v>
      </c>
      <c r="J340" s="2" t="s">
        <v>8321</v>
      </c>
      <c r="K340" t="s">
        <v>6249</v>
      </c>
      <c r="M340" s="16" t="s">
        <v>8322</v>
      </c>
      <c r="N340" s="16" t="str">
        <f>VLOOKUP(M340,Tab_Zast[[Zastávka]:[Sloupec1]],2,0)</f>
        <v>25</v>
      </c>
      <c r="O340" t="s">
        <v>6250</v>
      </c>
      <c r="P340">
        <v>1</v>
      </c>
      <c r="Q340">
        <v>0</v>
      </c>
      <c r="R340" t="s">
        <v>31</v>
      </c>
      <c r="S340" t="s">
        <v>31</v>
      </c>
      <c r="T340" t="s">
        <v>32</v>
      </c>
      <c r="V340" s="1" t="e">
        <v>#N/A</v>
      </c>
      <c r="W340" t="s">
        <v>47</v>
      </c>
      <c r="X340">
        <v>0</v>
      </c>
      <c r="Y340">
        <v>820</v>
      </c>
      <c r="AA340" t="str">
        <f t="shared" si="10"/>
        <v>update zamestnanci set nastup='25' where id='1431';</v>
      </c>
      <c r="AB340" t="str">
        <f t="shared" si="11"/>
        <v>update dochazka set zastavka = '25' where zamestnanec = '1431';</v>
      </c>
    </row>
    <row r="341" spans="1:28" x14ac:dyDescent="0.25">
      <c r="A341" s="2">
        <v>1433</v>
      </c>
      <c r="B341" t="s">
        <v>6255</v>
      </c>
      <c r="C341" t="s">
        <v>64</v>
      </c>
      <c r="D341" t="s">
        <v>6256</v>
      </c>
      <c r="E341" t="s">
        <v>2903</v>
      </c>
      <c r="F341" t="s">
        <v>5697</v>
      </c>
      <c r="G341" s="1">
        <v>45663</v>
      </c>
      <c r="H341" s="1">
        <v>45674</v>
      </c>
      <c r="I341" s="1">
        <v>73050</v>
      </c>
      <c r="J341" s="2" t="s">
        <v>8321</v>
      </c>
      <c r="K341" t="s">
        <v>6257</v>
      </c>
      <c r="M341" s="16" t="s">
        <v>8322</v>
      </c>
      <c r="N341" s="16" t="str">
        <f>VLOOKUP(M341,Tab_Zast[[Zastávka]:[Sloupec1]],2,0)</f>
        <v>25</v>
      </c>
      <c r="O341" t="s">
        <v>6258</v>
      </c>
      <c r="P341">
        <v>1</v>
      </c>
      <c r="Q341">
        <v>0</v>
      </c>
      <c r="R341" t="s">
        <v>31</v>
      </c>
      <c r="S341" t="s">
        <v>31</v>
      </c>
      <c r="T341" t="s">
        <v>32</v>
      </c>
      <c r="V341" s="1">
        <v>45669</v>
      </c>
      <c r="W341" t="s">
        <v>47</v>
      </c>
      <c r="X341">
        <v>0</v>
      </c>
      <c r="Y341">
        <v>822</v>
      </c>
      <c r="AA341" t="str">
        <f t="shared" si="10"/>
        <v>update zamestnanci set nastup='25' where id='1433';</v>
      </c>
      <c r="AB341" t="str">
        <f t="shared" si="11"/>
        <v>update dochazka set zastavka = '25' where zamestnanec = '1433';</v>
      </c>
    </row>
    <row r="342" spans="1:28" x14ac:dyDescent="0.25">
      <c r="A342" s="2">
        <v>1435</v>
      </c>
      <c r="B342" t="s">
        <v>6263</v>
      </c>
      <c r="C342" t="s">
        <v>64</v>
      </c>
      <c r="D342" t="s">
        <v>6264</v>
      </c>
      <c r="E342" t="s">
        <v>2613</v>
      </c>
      <c r="F342" t="s">
        <v>6265</v>
      </c>
      <c r="G342" s="1">
        <v>45679</v>
      </c>
      <c r="H342" s="1">
        <v>45716</v>
      </c>
      <c r="I342" s="1">
        <v>73050</v>
      </c>
      <c r="J342" s="2" t="s">
        <v>8299</v>
      </c>
      <c r="K342" t="s">
        <v>6266</v>
      </c>
      <c r="M342" s="16" t="s">
        <v>8300</v>
      </c>
      <c r="N342" s="16" t="str">
        <f>VLOOKUP(M342,Tab_Zast[[Zastávka]:[Sloupec1]],2,0)</f>
        <v>16</v>
      </c>
      <c r="O342" t="s">
        <v>6267</v>
      </c>
      <c r="P342">
        <v>6</v>
      </c>
      <c r="Q342">
        <v>0</v>
      </c>
      <c r="R342" t="s">
        <v>31</v>
      </c>
      <c r="S342" t="s">
        <v>31</v>
      </c>
      <c r="T342" t="s">
        <v>32</v>
      </c>
      <c r="V342" s="1" t="e">
        <v>#N/A</v>
      </c>
      <c r="W342" t="s">
        <v>1022</v>
      </c>
      <c r="X342">
        <v>0</v>
      </c>
      <c r="Y342">
        <v>824</v>
      </c>
      <c r="AA342" t="str">
        <f t="shared" si="10"/>
        <v>update zamestnanci set nastup='16' where id='1435';</v>
      </c>
      <c r="AB342" t="str">
        <f t="shared" si="11"/>
        <v>update dochazka set zastavka = '16' where zamestnanec = '1435';</v>
      </c>
    </row>
    <row r="343" spans="1:28" x14ac:dyDescent="0.25">
      <c r="A343" s="2">
        <v>1439</v>
      </c>
      <c r="B343" t="s">
        <v>6281</v>
      </c>
      <c r="C343" t="s">
        <v>64</v>
      </c>
      <c r="D343" t="s">
        <v>1902</v>
      </c>
      <c r="E343" t="s">
        <v>2883</v>
      </c>
      <c r="F343" t="s">
        <v>6282</v>
      </c>
      <c r="G343" s="1">
        <v>45679</v>
      </c>
      <c r="H343" s="1" t="e">
        <v>#N/A</v>
      </c>
      <c r="I343" s="1" t="e">
        <v>#N/A</v>
      </c>
      <c r="J343" s="2" t="s">
        <v>8299</v>
      </c>
      <c r="K343" t="s">
        <v>6283</v>
      </c>
      <c r="M343" s="16" t="s">
        <v>8300</v>
      </c>
      <c r="N343" s="16" t="str">
        <f>VLOOKUP(M343,Tab_Zast[[Zastávka]:[Sloupec1]],2,0)</f>
        <v>16</v>
      </c>
      <c r="O343" t="s">
        <v>6284</v>
      </c>
      <c r="P343">
        <v>6</v>
      </c>
      <c r="Q343">
        <v>0</v>
      </c>
      <c r="R343" t="s">
        <v>129</v>
      </c>
      <c r="S343" t="s">
        <v>130</v>
      </c>
      <c r="T343" t="s">
        <v>32</v>
      </c>
      <c r="V343" s="1" t="e">
        <v>#N/A</v>
      </c>
      <c r="W343" t="s">
        <v>1022</v>
      </c>
      <c r="X343">
        <v>1</v>
      </c>
      <c r="Y343">
        <v>828</v>
      </c>
      <c r="AA343" t="str">
        <f t="shared" si="10"/>
        <v>update zamestnanci set nastup='16' where id='1439';</v>
      </c>
      <c r="AB343" t="str">
        <f t="shared" si="11"/>
        <v>update dochazka set zastavka = '16' where zamestnanec = '1439';</v>
      </c>
    </row>
    <row r="344" spans="1:28" x14ac:dyDescent="0.25">
      <c r="A344" s="2">
        <v>1440</v>
      </c>
      <c r="B344" t="s">
        <v>6285</v>
      </c>
      <c r="C344" t="s">
        <v>64</v>
      </c>
      <c r="D344" t="s">
        <v>982</v>
      </c>
      <c r="E344" t="s">
        <v>4461</v>
      </c>
      <c r="F344" t="s">
        <v>6286</v>
      </c>
      <c r="G344" s="1">
        <v>45679</v>
      </c>
      <c r="H344" s="1">
        <v>45699</v>
      </c>
      <c r="I344" s="1">
        <v>73050</v>
      </c>
      <c r="J344" s="2" t="s">
        <v>8299</v>
      </c>
      <c r="K344" t="s">
        <v>6287</v>
      </c>
      <c r="M344" s="16" t="s">
        <v>8300</v>
      </c>
      <c r="N344" s="16" t="str">
        <f>VLOOKUP(M344,Tab_Zast[[Zastávka]:[Sloupec1]],2,0)</f>
        <v>16</v>
      </c>
      <c r="O344" t="s">
        <v>6246</v>
      </c>
      <c r="P344">
        <v>6</v>
      </c>
      <c r="Q344">
        <v>0</v>
      </c>
      <c r="R344" t="s">
        <v>31</v>
      </c>
      <c r="S344" t="s">
        <v>31</v>
      </c>
      <c r="T344" t="s">
        <v>32</v>
      </c>
      <c r="V344" s="1" t="e">
        <v>#N/A</v>
      </c>
      <c r="W344" t="s">
        <v>1022</v>
      </c>
      <c r="X344">
        <v>0</v>
      </c>
      <c r="Y344">
        <v>829</v>
      </c>
      <c r="AA344" t="str">
        <f t="shared" si="10"/>
        <v>update zamestnanci set nastup='16' where id='1440';</v>
      </c>
      <c r="AB344" t="str">
        <f t="shared" si="11"/>
        <v>update dochazka set zastavka = '16' where zamestnanec = '1440';</v>
      </c>
    </row>
    <row r="345" spans="1:28" x14ac:dyDescent="0.25">
      <c r="A345" s="2">
        <v>1492</v>
      </c>
      <c r="B345" t="s">
        <v>6481</v>
      </c>
      <c r="C345" t="s">
        <v>569</v>
      </c>
      <c r="D345" t="s">
        <v>6482</v>
      </c>
      <c r="E345" t="s">
        <v>761</v>
      </c>
      <c r="F345" t="s">
        <v>569</v>
      </c>
      <c r="G345" s="1">
        <v>45715</v>
      </c>
      <c r="H345" s="1">
        <v>45719</v>
      </c>
      <c r="I345" s="1">
        <v>73050</v>
      </c>
      <c r="J345" s="2" t="s">
        <v>8321</v>
      </c>
      <c r="K345" t="s">
        <v>6483</v>
      </c>
      <c r="M345" s="16" t="s">
        <v>8322</v>
      </c>
      <c r="N345" s="16" t="str">
        <f>VLOOKUP(M345,Tab_Zast[[Zastávka]:[Sloupec1]],2,0)</f>
        <v>25</v>
      </c>
      <c r="O345" t="s">
        <v>6484</v>
      </c>
      <c r="P345">
        <v>1</v>
      </c>
      <c r="Q345">
        <v>0</v>
      </c>
      <c r="R345" t="s">
        <v>31</v>
      </c>
      <c r="S345" t="s">
        <v>31</v>
      </c>
      <c r="T345" t="s">
        <v>32</v>
      </c>
      <c r="V345" s="1" t="e">
        <v>#N/A</v>
      </c>
      <c r="W345" t="s">
        <v>47</v>
      </c>
      <c r="X345">
        <v>0</v>
      </c>
      <c r="Y345">
        <v>884</v>
      </c>
      <c r="AA345" t="str">
        <f t="shared" si="10"/>
        <v>update zamestnanci set nastup='25' where id='1492';</v>
      </c>
      <c r="AB345" t="str">
        <f t="shared" si="11"/>
        <v>update dochazka set zastavka = '25' where zamestnanec = '1492';</v>
      </c>
    </row>
    <row r="346" spans="1:28" x14ac:dyDescent="0.25">
      <c r="A346" s="2">
        <v>1499</v>
      </c>
      <c r="B346" t="s">
        <v>6509</v>
      </c>
      <c r="C346" t="s">
        <v>64</v>
      </c>
      <c r="D346" t="s">
        <v>6510</v>
      </c>
      <c r="E346" t="s">
        <v>568</v>
      </c>
      <c r="F346" t="s">
        <v>64</v>
      </c>
      <c r="G346" s="1">
        <v>45719</v>
      </c>
      <c r="H346" s="1">
        <v>45719</v>
      </c>
      <c r="I346" s="1">
        <v>45719</v>
      </c>
      <c r="J346" s="2" t="s">
        <v>8299</v>
      </c>
      <c r="K346" t="s">
        <v>6511</v>
      </c>
      <c r="M346" s="16" t="s">
        <v>8300</v>
      </c>
      <c r="N346" s="16" t="str">
        <f>VLOOKUP(M346,Tab_Zast[[Zastávka]:[Sloupec1]],2,0)</f>
        <v>16</v>
      </c>
      <c r="O346" t="s">
        <v>6512</v>
      </c>
      <c r="P346">
        <v>6</v>
      </c>
      <c r="Q346">
        <v>0</v>
      </c>
      <c r="R346" t="s">
        <v>31</v>
      </c>
      <c r="S346" t="s">
        <v>31</v>
      </c>
      <c r="T346" t="s">
        <v>32</v>
      </c>
      <c r="V346" s="1" t="e">
        <v>#N/A</v>
      </c>
      <c r="W346" t="s">
        <v>1216</v>
      </c>
      <c r="X346">
        <v>0</v>
      </c>
      <c r="Y346">
        <v>890</v>
      </c>
      <c r="AA346" t="str">
        <f t="shared" si="10"/>
        <v>update zamestnanci set nastup='16' where id='1499';</v>
      </c>
      <c r="AB346" t="str">
        <f t="shared" si="11"/>
        <v>update dochazka set zastavka = '16' where zamestnanec = '1499';</v>
      </c>
    </row>
    <row r="347" spans="1:28" x14ac:dyDescent="0.25">
      <c r="A347" s="2">
        <v>1517</v>
      </c>
      <c r="B347" t="s">
        <v>6572</v>
      </c>
      <c r="C347" t="s">
        <v>357</v>
      </c>
      <c r="D347" t="s">
        <v>6573</v>
      </c>
      <c r="E347" t="s">
        <v>755</v>
      </c>
      <c r="F347" t="s">
        <v>357</v>
      </c>
      <c r="G347" s="1">
        <v>45726</v>
      </c>
      <c r="H347" s="1">
        <v>45740</v>
      </c>
      <c r="I347" s="1">
        <v>73050</v>
      </c>
      <c r="J347" s="2" t="s">
        <v>8321</v>
      </c>
      <c r="K347" t="s">
        <v>6574</v>
      </c>
      <c r="M347" s="16" t="s">
        <v>8322</v>
      </c>
      <c r="N347" s="16" t="str">
        <f>VLOOKUP(M347,Tab_Zast[[Zastávka]:[Sloupec1]],2,0)</f>
        <v>25</v>
      </c>
      <c r="O347" t="s">
        <v>6575</v>
      </c>
      <c r="P347">
        <v>1</v>
      </c>
      <c r="Q347">
        <v>0</v>
      </c>
      <c r="R347" t="s">
        <v>31</v>
      </c>
      <c r="S347" t="s">
        <v>31</v>
      </c>
      <c r="T347" t="s">
        <v>32</v>
      </c>
      <c r="V347" s="1" t="e">
        <v>#N/A</v>
      </c>
      <c r="W347" t="s">
        <v>47</v>
      </c>
      <c r="X347">
        <v>0</v>
      </c>
      <c r="Y347">
        <v>908</v>
      </c>
      <c r="AA347" t="str">
        <f t="shared" si="10"/>
        <v>update zamestnanci set nastup='25' where id='1517';</v>
      </c>
      <c r="AB347" t="str">
        <f t="shared" si="11"/>
        <v>update dochazka set zastavka = '25' where zamestnanec = '1517';</v>
      </c>
    </row>
    <row r="348" spans="1:28" x14ac:dyDescent="0.25">
      <c r="A348" s="2">
        <v>1535</v>
      </c>
      <c r="B348" t="s">
        <v>6639</v>
      </c>
      <c r="C348" t="s">
        <v>569</v>
      </c>
      <c r="D348" t="s">
        <v>539</v>
      </c>
      <c r="E348" t="s">
        <v>6640</v>
      </c>
      <c r="F348" t="s">
        <v>6641</v>
      </c>
      <c r="G348" s="1">
        <v>45740</v>
      </c>
      <c r="H348" s="1">
        <v>45926</v>
      </c>
      <c r="I348" s="1">
        <v>73050</v>
      </c>
      <c r="J348" s="2" t="s">
        <v>8321</v>
      </c>
      <c r="K348" t="s">
        <v>6642</v>
      </c>
      <c r="M348" s="16" t="s">
        <v>8322</v>
      </c>
      <c r="N348" s="16" t="str">
        <f>VLOOKUP(M348,Tab_Zast[[Zastávka]:[Sloupec1]],2,0)</f>
        <v>25</v>
      </c>
      <c r="O348" t="s">
        <v>4038</v>
      </c>
      <c r="P348">
        <v>1</v>
      </c>
      <c r="Q348">
        <v>0</v>
      </c>
      <c r="R348" t="s">
        <v>31</v>
      </c>
      <c r="S348" t="s">
        <v>31</v>
      </c>
      <c r="T348" t="s">
        <v>32</v>
      </c>
      <c r="V348" s="1">
        <v>45923</v>
      </c>
      <c r="W348" t="s">
        <v>47</v>
      </c>
      <c r="X348">
        <v>0</v>
      </c>
      <c r="Y348">
        <v>928</v>
      </c>
      <c r="AA348" t="str">
        <f t="shared" si="10"/>
        <v>update zamestnanci set nastup='25' where id='1535';</v>
      </c>
      <c r="AB348" t="str">
        <f t="shared" si="11"/>
        <v>update dochazka set zastavka = '25' where zamestnanec = '1535';</v>
      </c>
    </row>
    <row r="349" spans="1:28" x14ac:dyDescent="0.25">
      <c r="A349" s="2">
        <v>1555</v>
      </c>
      <c r="B349" t="s">
        <v>6716</v>
      </c>
      <c r="C349" t="s">
        <v>64</v>
      </c>
      <c r="D349" t="s">
        <v>2101</v>
      </c>
      <c r="E349" t="s">
        <v>182</v>
      </c>
      <c r="F349" t="s">
        <v>6717</v>
      </c>
      <c r="G349" s="1">
        <v>45748</v>
      </c>
      <c r="H349" s="1">
        <v>45764</v>
      </c>
      <c r="I349" s="1">
        <v>73050</v>
      </c>
      <c r="J349" s="2" t="s">
        <v>8299</v>
      </c>
      <c r="K349" t="s">
        <v>6718</v>
      </c>
      <c r="M349" s="16" t="s">
        <v>8300</v>
      </c>
      <c r="N349" s="16" t="str">
        <f>VLOOKUP(M349,Tab_Zast[[Zastávka]:[Sloupec1]],2,0)</f>
        <v>16</v>
      </c>
      <c r="O349" t="s">
        <v>6719</v>
      </c>
      <c r="P349">
        <v>6</v>
      </c>
      <c r="Q349">
        <v>0</v>
      </c>
      <c r="R349" t="s">
        <v>31</v>
      </c>
      <c r="S349" t="s">
        <v>31</v>
      </c>
      <c r="T349" t="s">
        <v>32</v>
      </c>
      <c r="V349" s="1">
        <v>45764</v>
      </c>
      <c r="W349" t="s">
        <v>1216</v>
      </c>
      <c r="X349">
        <v>0</v>
      </c>
      <c r="Y349">
        <v>948</v>
      </c>
      <c r="AA349" t="str">
        <f t="shared" si="10"/>
        <v>update zamestnanci set nastup='16' where id='1555';</v>
      </c>
      <c r="AB349" t="str">
        <f t="shared" si="11"/>
        <v>update dochazka set zastavka = '16' where zamestnanec = '1555';</v>
      </c>
    </row>
    <row r="350" spans="1:28" x14ac:dyDescent="0.25">
      <c r="A350" s="2">
        <v>1576</v>
      </c>
      <c r="B350" t="s">
        <v>6788</v>
      </c>
      <c r="C350" t="s">
        <v>569</v>
      </c>
      <c r="D350" t="s">
        <v>6789</v>
      </c>
      <c r="E350" t="s">
        <v>3122</v>
      </c>
      <c r="F350" t="s">
        <v>6790</v>
      </c>
      <c r="G350" s="1">
        <v>45761</v>
      </c>
      <c r="H350" s="1">
        <v>45806</v>
      </c>
      <c r="I350" s="1">
        <v>73050</v>
      </c>
      <c r="J350" s="2" t="s">
        <v>8321</v>
      </c>
      <c r="K350" t="s">
        <v>6791</v>
      </c>
      <c r="M350" s="16" t="s">
        <v>8322</v>
      </c>
      <c r="N350" s="16" t="str">
        <f>VLOOKUP(M350,Tab_Zast[[Zastávka]:[Sloupec1]],2,0)</f>
        <v>25</v>
      </c>
      <c r="O350" t="s">
        <v>6792</v>
      </c>
      <c r="P350">
        <v>1</v>
      </c>
      <c r="Q350">
        <v>0</v>
      </c>
      <c r="R350" t="s">
        <v>31</v>
      </c>
      <c r="S350" t="s">
        <v>31</v>
      </c>
      <c r="T350" t="s">
        <v>32</v>
      </c>
      <c r="V350" s="1">
        <v>45791</v>
      </c>
      <c r="W350" t="s">
        <v>47</v>
      </c>
      <c r="X350">
        <v>0</v>
      </c>
      <c r="Y350">
        <v>969</v>
      </c>
      <c r="AA350" t="str">
        <f t="shared" si="10"/>
        <v>update zamestnanci set nastup='25' where id='1576';</v>
      </c>
      <c r="AB350" t="str">
        <f t="shared" si="11"/>
        <v>update dochazka set zastavka = '25' where zamestnanec = '1576';</v>
      </c>
    </row>
    <row r="351" spans="1:28" x14ac:dyDescent="0.25">
      <c r="A351" s="2">
        <v>1580</v>
      </c>
      <c r="B351" t="s">
        <v>6804</v>
      </c>
      <c r="C351" t="s">
        <v>569</v>
      </c>
      <c r="D351" t="s">
        <v>6805</v>
      </c>
      <c r="E351" t="s">
        <v>719</v>
      </c>
      <c r="F351" t="s">
        <v>357</v>
      </c>
      <c r="G351" s="1">
        <v>45761</v>
      </c>
      <c r="H351" s="1">
        <v>45761</v>
      </c>
      <c r="I351" s="1">
        <v>73050</v>
      </c>
      <c r="J351" s="2" t="s">
        <v>8321</v>
      </c>
      <c r="K351" t="s">
        <v>6806</v>
      </c>
      <c r="M351" s="16" t="s">
        <v>8322</v>
      </c>
      <c r="N351" s="16" t="str">
        <f>VLOOKUP(M351,Tab_Zast[[Zastávka]:[Sloupec1]],2,0)</f>
        <v>25</v>
      </c>
      <c r="O351" t="s">
        <v>6807</v>
      </c>
      <c r="P351">
        <v>1</v>
      </c>
      <c r="Q351">
        <v>0</v>
      </c>
      <c r="R351" t="s">
        <v>31</v>
      </c>
      <c r="S351" t="s">
        <v>31</v>
      </c>
      <c r="T351" t="s">
        <v>32</v>
      </c>
      <c r="V351" s="1" t="e">
        <v>#N/A</v>
      </c>
      <c r="W351" t="s">
        <v>47</v>
      </c>
      <c r="X351">
        <v>0</v>
      </c>
      <c r="Y351">
        <v>980</v>
      </c>
      <c r="AA351" t="str">
        <f t="shared" si="10"/>
        <v>update zamestnanci set nastup='25' where id='1580';</v>
      </c>
      <c r="AB351" t="str">
        <f t="shared" si="11"/>
        <v>update dochazka set zastavka = '25' where zamestnanec = '1580';</v>
      </c>
    </row>
    <row r="352" spans="1:28" x14ac:dyDescent="0.25">
      <c r="A352" s="2">
        <v>1622</v>
      </c>
      <c r="B352" t="s">
        <v>6967</v>
      </c>
      <c r="C352" t="s">
        <v>569</v>
      </c>
      <c r="D352" t="s">
        <v>6968</v>
      </c>
      <c r="E352" t="s">
        <v>770</v>
      </c>
      <c r="F352" t="s">
        <v>569</v>
      </c>
      <c r="G352" s="1">
        <v>45782</v>
      </c>
      <c r="H352" s="1">
        <v>45989</v>
      </c>
      <c r="I352" s="1">
        <v>45989</v>
      </c>
      <c r="J352" s="2" t="s">
        <v>8321</v>
      </c>
      <c r="K352" t="s">
        <v>6969</v>
      </c>
      <c r="M352" s="16" t="s">
        <v>8322</v>
      </c>
      <c r="N352" s="16" t="str">
        <f>VLOOKUP(M352,Tab_Zast[[Zastávka]:[Sloupec1]],2,0)</f>
        <v>25</v>
      </c>
      <c r="O352" t="s">
        <v>6970</v>
      </c>
      <c r="P352">
        <v>1</v>
      </c>
      <c r="Q352">
        <v>0</v>
      </c>
      <c r="R352" t="s">
        <v>31</v>
      </c>
      <c r="S352" t="s">
        <v>31</v>
      </c>
      <c r="T352" t="s">
        <v>32</v>
      </c>
      <c r="V352" s="1" t="e">
        <v>#N/A</v>
      </c>
      <c r="W352" t="s">
        <v>47</v>
      </c>
      <c r="X352">
        <v>0</v>
      </c>
      <c r="Y352">
        <v>1015</v>
      </c>
      <c r="AA352" t="str">
        <f t="shared" si="10"/>
        <v>update zamestnanci set nastup='25' where id='1622';</v>
      </c>
      <c r="AB352" t="str">
        <f t="shared" si="11"/>
        <v>update dochazka set zastavka = '25' where zamestnanec = '1622';</v>
      </c>
    </row>
    <row r="353" spans="1:28" x14ac:dyDescent="0.25">
      <c r="A353" s="2">
        <v>1646</v>
      </c>
      <c r="B353" t="s">
        <v>64</v>
      </c>
      <c r="C353" t="s">
        <v>64</v>
      </c>
      <c r="D353" t="s">
        <v>7042</v>
      </c>
      <c r="E353" t="s">
        <v>5653</v>
      </c>
      <c r="F353" t="s">
        <v>7043</v>
      </c>
      <c r="G353" s="1">
        <v>45789</v>
      </c>
      <c r="H353" s="1">
        <v>45792</v>
      </c>
      <c r="I353" s="1">
        <v>73050</v>
      </c>
      <c r="J353" s="2" t="s">
        <v>8299</v>
      </c>
      <c r="K353" t="s">
        <v>7044</v>
      </c>
      <c r="M353" s="16" t="s">
        <v>8300</v>
      </c>
      <c r="N353" s="16" t="str">
        <f>VLOOKUP(M353,Tab_Zast[[Zastávka]:[Sloupec1]],2,0)</f>
        <v>16</v>
      </c>
      <c r="O353" t="s">
        <v>7045</v>
      </c>
      <c r="P353">
        <v>6</v>
      </c>
      <c r="Q353">
        <v>0</v>
      </c>
      <c r="R353" t="s">
        <v>129</v>
      </c>
      <c r="S353" t="s">
        <v>179</v>
      </c>
      <c r="T353" t="s">
        <v>32</v>
      </c>
      <c r="V353" s="1">
        <v>45793</v>
      </c>
      <c r="W353" t="s">
        <v>3052</v>
      </c>
      <c r="X353">
        <v>0</v>
      </c>
      <c r="Y353">
        <v>1039</v>
      </c>
      <c r="AA353" t="str">
        <f t="shared" si="10"/>
        <v>update zamestnanci set nastup='16' where id='1646';</v>
      </c>
      <c r="AB353" t="str">
        <f t="shared" si="11"/>
        <v>update dochazka set zastavka = '16' where zamestnanec = '1646';</v>
      </c>
    </row>
    <row r="354" spans="1:28" x14ac:dyDescent="0.25">
      <c r="A354" s="2">
        <v>1647</v>
      </c>
      <c r="B354" t="s">
        <v>7046</v>
      </c>
      <c r="C354" t="s">
        <v>64</v>
      </c>
      <c r="D354" t="s">
        <v>2924</v>
      </c>
      <c r="E354" t="s">
        <v>695</v>
      </c>
      <c r="F354" t="s">
        <v>7047</v>
      </c>
      <c r="G354" s="1">
        <v>45790</v>
      </c>
      <c r="H354" s="1">
        <v>45819</v>
      </c>
      <c r="I354" s="1">
        <v>73050</v>
      </c>
      <c r="J354" s="2" t="s">
        <v>8299</v>
      </c>
      <c r="K354" t="s">
        <v>7048</v>
      </c>
      <c r="M354" s="16" t="s">
        <v>8300</v>
      </c>
      <c r="N354" s="16" t="str">
        <f>VLOOKUP(M354,Tab_Zast[[Zastávka]:[Sloupec1]],2,0)</f>
        <v>16</v>
      </c>
      <c r="O354" t="s">
        <v>7049</v>
      </c>
      <c r="P354">
        <v>6</v>
      </c>
      <c r="Q354">
        <v>0</v>
      </c>
      <c r="R354" t="s">
        <v>31</v>
      </c>
      <c r="S354" t="s">
        <v>31</v>
      </c>
      <c r="T354" t="s">
        <v>32</v>
      </c>
      <c r="V354" s="1" t="e">
        <v>#N/A</v>
      </c>
      <c r="W354" t="s">
        <v>1216</v>
      </c>
      <c r="X354">
        <v>0</v>
      </c>
      <c r="Y354">
        <v>1040</v>
      </c>
      <c r="AA354" t="str">
        <f t="shared" si="10"/>
        <v>update zamestnanci set nastup='16' where id='1647';</v>
      </c>
      <c r="AB354" t="str">
        <f t="shared" si="11"/>
        <v>update dochazka set zastavka = '16' where zamestnanec = '1647';</v>
      </c>
    </row>
    <row r="355" spans="1:28" x14ac:dyDescent="0.25">
      <c r="A355" s="2">
        <v>1659</v>
      </c>
      <c r="B355" t="s">
        <v>7087</v>
      </c>
      <c r="C355" t="s">
        <v>357</v>
      </c>
      <c r="D355" t="s">
        <v>3707</v>
      </c>
      <c r="E355" t="s">
        <v>2156</v>
      </c>
      <c r="F355" t="s">
        <v>64</v>
      </c>
      <c r="G355" s="1">
        <v>45803</v>
      </c>
      <c r="H355" s="1">
        <v>45805</v>
      </c>
      <c r="I355" s="1">
        <v>73050</v>
      </c>
      <c r="J355" s="2" t="s">
        <v>8321</v>
      </c>
      <c r="K355" t="s">
        <v>7088</v>
      </c>
      <c r="M355" s="16" t="s">
        <v>8322</v>
      </c>
      <c r="N355" s="16" t="str">
        <f>VLOOKUP(M355,Tab_Zast[[Zastávka]:[Sloupec1]],2,0)</f>
        <v>25</v>
      </c>
      <c r="O355" t="s">
        <v>7089</v>
      </c>
      <c r="P355">
        <v>1</v>
      </c>
      <c r="Q355">
        <v>0</v>
      </c>
      <c r="R355" t="s">
        <v>31</v>
      </c>
      <c r="S355" t="s">
        <v>31</v>
      </c>
      <c r="T355" t="s">
        <v>32</v>
      </c>
      <c r="V355" s="1" t="e">
        <v>#N/A</v>
      </c>
      <c r="W355" t="s">
        <v>47</v>
      </c>
      <c r="X355">
        <v>0</v>
      </c>
      <c r="Y355">
        <v>1052</v>
      </c>
      <c r="AA355" t="str">
        <f t="shared" si="10"/>
        <v>update zamestnanci set nastup='25' where id='1659';</v>
      </c>
      <c r="AB355" t="str">
        <f t="shared" si="11"/>
        <v>update dochazka set zastavka = '25' where zamestnanec = '1659';</v>
      </c>
    </row>
    <row r="356" spans="1:28" x14ac:dyDescent="0.25">
      <c r="A356" s="2">
        <v>1676</v>
      </c>
      <c r="B356" t="s">
        <v>7059</v>
      </c>
      <c r="C356" t="s">
        <v>64</v>
      </c>
      <c r="D356" t="s">
        <v>7143</v>
      </c>
      <c r="E356" t="s">
        <v>2613</v>
      </c>
      <c r="F356" t="s">
        <v>64</v>
      </c>
      <c r="G356" s="1">
        <v>45817</v>
      </c>
      <c r="H356" s="1">
        <v>45825</v>
      </c>
      <c r="I356" s="1">
        <v>73050</v>
      </c>
      <c r="J356" s="2" t="s">
        <v>8299</v>
      </c>
      <c r="K356" t="s">
        <v>7144</v>
      </c>
      <c r="M356" s="16" t="s">
        <v>8300</v>
      </c>
      <c r="N356" s="16" t="str">
        <f>VLOOKUP(M356,Tab_Zast[[Zastávka]:[Sloupec1]],2,0)</f>
        <v>16</v>
      </c>
      <c r="O356" t="s">
        <v>7145</v>
      </c>
      <c r="P356">
        <v>6</v>
      </c>
      <c r="Q356">
        <v>0</v>
      </c>
      <c r="R356" t="s">
        <v>31</v>
      </c>
      <c r="S356" t="s">
        <v>31</v>
      </c>
      <c r="T356" t="s">
        <v>32</v>
      </c>
      <c r="V356" s="1">
        <v>45826</v>
      </c>
      <c r="W356" t="s">
        <v>1216</v>
      </c>
      <c r="X356">
        <v>0</v>
      </c>
      <c r="Y356">
        <v>1066</v>
      </c>
      <c r="AA356" t="str">
        <f t="shared" si="10"/>
        <v>update zamestnanci set nastup='16' where id='1676';</v>
      </c>
      <c r="AB356" t="str">
        <f t="shared" si="11"/>
        <v>update dochazka set zastavka = '16' where zamestnanec = '1676';</v>
      </c>
    </row>
    <row r="357" spans="1:28" x14ac:dyDescent="0.25">
      <c r="A357" s="2">
        <v>1688</v>
      </c>
      <c r="B357" t="s">
        <v>7185</v>
      </c>
      <c r="C357" t="s">
        <v>357</v>
      </c>
      <c r="D357" t="s">
        <v>7186</v>
      </c>
      <c r="E357" t="s">
        <v>574</v>
      </c>
      <c r="F357" t="s">
        <v>357</v>
      </c>
      <c r="G357" s="1">
        <v>45826</v>
      </c>
      <c r="H357" s="1">
        <v>45842</v>
      </c>
      <c r="I357" s="1">
        <v>73050</v>
      </c>
      <c r="J357" s="2" t="s">
        <v>8321</v>
      </c>
      <c r="K357" t="s">
        <v>7187</v>
      </c>
      <c r="M357" s="16" t="s">
        <v>8322</v>
      </c>
      <c r="N357" s="16" t="str">
        <f>VLOOKUP(M357,Tab_Zast[[Zastávka]:[Sloupec1]],2,0)</f>
        <v>25</v>
      </c>
      <c r="O357" t="s">
        <v>7188</v>
      </c>
      <c r="P357">
        <v>1</v>
      </c>
      <c r="Q357">
        <v>0</v>
      </c>
      <c r="R357" t="s">
        <v>31</v>
      </c>
      <c r="S357" t="s">
        <v>31</v>
      </c>
      <c r="T357" t="s">
        <v>32</v>
      </c>
      <c r="V357" s="1" t="e">
        <v>#N/A</v>
      </c>
      <c r="W357" t="s">
        <v>47</v>
      </c>
      <c r="X357">
        <v>0</v>
      </c>
      <c r="Y357">
        <v>1080</v>
      </c>
      <c r="AA357" t="str">
        <f t="shared" si="10"/>
        <v>update zamestnanci set nastup='25' where id='1688';</v>
      </c>
      <c r="AB357" t="str">
        <f t="shared" si="11"/>
        <v>update dochazka set zastavka = '25' where zamestnanec = '1688';</v>
      </c>
    </row>
    <row r="358" spans="1:28" x14ac:dyDescent="0.25">
      <c r="A358" s="2">
        <v>1690</v>
      </c>
      <c r="B358" t="s">
        <v>7192</v>
      </c>
      <c r="C358" t="s">
        <v>569</v>
      </c>
      <c r="D358" t="s">
        <v>6429</v>
      </c>
      <c r="E358" t="s">
        <v>707</v>
      </c>
      <c r="F358" t="s">
        <v>569</v>
      </c>
      <c r="G358" s="1">
        <v>45826</v>
      </c>
      <c r="H358" s="1">
        <v>45826</v>
      </c>
      <c r="I358" s="1">
        <v>45826</v>
      </c>
      <c r="J358" s="2" t="s">
        <v>8321</v>
      </c>
      <c r="K358" t="s">
        <v>6431</v>
      </c>
      <c r="M358" s="16" t="s">
        <v>8322</v>
      </c>
      <c r="N358" s="16" t="str">
        <f>VLOOKUP(M358,Tab_Zast[[Zastávka]:[Sloupec1]],2,0)</f>
        <v>25</v>
      </c>
      <c r="O358" t="s">
        <v>6399</v>
      </c>
      <c r="P358">
        <v>1</v>
      </c>
      <c r="Q358">
        <v>0</v>
      </c>
      <c r="R358" t="s">
        <v>31</v>
      </c>
      <c r="S358" t="s">
        <v>31</v>
      </c>
      <c r="T358" t="s">
        <v>32</v>
      </c>
      <c r="V358" s="1" t="e">
        <v>#N/A</v>
      </c>
      <c r="W358" t="s">
        <v>47</v>
      </c>
      <c r="X358">
        <v>0</v>
      </c>
      <c r="Y358">
        <v>1082</v>
      </c>
      <c r="AA358" t="str">
        <f t="shared" si="10"/>
        <v>update zamestnanci set nastup='25' where id='1690';</v>
      </c>
      <c r="AB358" t="str">
        <f t="shared" si="11"/>
        <v>update dochazka set zastavka = '25' where zamestnanec = '1690';</v>
      </c>
    </row>
    <row r="359" spans="1:28" x14ac:dyDescent="0.25">
      <c r="A359" s="2">
        <v>1691</v>
      </c>
      <c r="B359" t="s">
        <v>7193</v>
      </c>
      <c r="C359" t="s">
        <v>357</v>
      </c>
      <c r="D359" t="s">
        <v>6396</v>
      </c>
      <c r="E359" t="s">
        <v>182</v>
      </c>
      <c r="F359" t="s">
        <v>357</v>
      </c>
      <c r="G359" s="1">
        <v>45826</v>
      </c>
      <c r="H359" s="1">
        <v>45826</v>
      </c>
      <c r="I359" s="1">
        <v>45826</v>
      </c>
      <c r="J359" s="2" t="s">
        <v>8321</v>
      </c>
      <c r="K359" t="s">
        <v>6398</v>
      </c>
      <c r="M359" s="16" t="s">
        <v>8322</v>
      </c>
      <c r="N359" s="16" t="str">
        <f>VLOOKUP(M359,Tab_Zast[[Zastávka]:[Sloupec1]],2,0)</f>
        <v>25</v>
      </c>
      <c r="O359" t="s">
        <v>6399</v>
      </c>
      <c r="P359">
        <v>1</v>
      </c>
      <c r="Q359">
        <v>0</v>
      </c>
      <c r="R359" t="s">
        <v>31</v>
      </c>
      <c r="S359" t="s">
        <v>31</v>
      </c>
      <c r="T359" t="s">
        <v>32</v>
      </c>
      <c r="V359" s="1" t="e">
        <v>#N/A</v>
      </c>
      <c r="W359" t="s">
        <v>47</v>
      </c>
      <c r="X359">
        <v>0</v>
      </c>
      <c r="Y359">
        <v>1083</v>
      </c>
      <c r="AA359" t="str">
        <f t="shared" si="10"/>
        <v>update zamestnanci set nastup='25' where id='1691';</v>
      </c>
      <c r="AB359" t="str">
        <f t="shared" si="11"/>
        <v>update dochazka set zastavka = '25' where zamestnanec = '1691';</v>
      </c>
    </row>
    <row r="360" spans="1:28" x14ac:dyDescent="0.25">
      <c r="A360" s="2">
        <v>1696</v>
      </c>
      <c r="B360" t="s">
        <v>7208</v>
      </c>
      <c r="C360" t="s">
        <v>64</v>
      </c>
      <c r="D360" t="s">
        <v>688</v>
      </c>
      <c r="E360" t="s">
        <v>689</v>
      </c>
      <c r="F360" t="s">
        <v>6674</v>
      </c>
      <c r="G360" s="1">
        <v>45832</v>
      </c>
      <c r="H360" s="1">
        <v>45838</v>
      </c>
      <c r="I360" s="1">
        <v>73050</v>
      </c>
      <c r="J360" s="2" t="s">
        <v>8299</v>
      </c>
      <c r="K360" t="s">
        <v>7209</v>
      </c>
      <c r="M360" s="16" t="s">
        <v>8300</v>
      </c>
      <c r="N360" s="16" t="str">
        <f>VLOOKUP(M360,Tab_Zast[[Zastávka]:[Sloupec1]],2,0)</f>
        <v>16</v>
      </c>
      <c r="O360" t="s">
        <v>7210</v>
      </c>
      <c r="P360">
        <v>6</v>
      </c>
      <c r="Q360">
        <v>0</v>
      </c>
      <c r="R360" t="s">
        <v>31</v>
      </c>
      <c r="S360" t="s">
        <v>31</v>
      </c>
      <c r="T360" t="s">
        <v>32</v>
      </c>
      <c r="V360" s="1">
        <v>45839</v>
      </c>
      <c r="W360" t="s">
        <v>3052</v>
      </c>
      <c r="X360">
        <v>0</v>
      </c>
      <c r="Y360">
        <v>1084</v>
      </c>
      <c r="AA360" t="str">
        <f t="shared" si="10"/>
        <v>update zamestnanci set nastup='16' where id='1696';</v>
      </c>
      <c r="AB360" t="str">
        <f t="shared" si="11"/>
        <v>update dochazka set zastavka = '16' where zamestnanec = '1696';</v>
      </c>
    </row>
    <row r="361" spans="1:28" x14ac:dyDescent="0.25">
      <c r="A361" s="2">
        <v>1719</v>
      </c>
      <c r="B361" t="s">
        <v>7293</v>
      </c>
      <c r="C361" t="s">
        <v>64</v>
      </c>
      <c r="D361" t="s">
        <v>7294</v>
      </c>
      <c r="E361" t="s">
        <v>2966</v>
      </c>
      <c r="F361" t="s">
        <v>7295</v>
      </c>
      <c r="G361" s="1">
        <v>45839</v>
      </c>
      <c r="H361" s="1">
        <v>45989</v>
      </c>
      <c r="I361" s="1" t="e">
        <v>#N/A</v>
      </c>
      <c r="J361" s="2" t="s">
        <v>8299</v>
      </c>
      <c r="K361" t="s">
        <v>7296</v>
      </c>
      <c r="M361" s="16" t="s">
        <v>8300</v>
      </c>
      <c r="N361" s="16" t="str">
        <f>VLOOKUP(M361,Tab_Zast[[Zastávka]:[Sloupec1]],2,0)</f>
        <v>16</v>
      </c>
      <c r="O361" t="s">
        <v>7297</v>
      </c>
      <c r="P361">
        <v>6</v>
      </c>
      <c r="Q361">
        <v>0</v>
      </c>
      <c r="R361" t="s">
        <v>31</v>
      </c>
      <c r="S361" t="s">
        <v>31</v>
      </c>
      <c r="T361" t="s">
        <v>32</v>
      </c>
      <c r="V361" s="1" t="e">
        <v>#N/A</v>
      </c>
      <c r="W361" t="s">
        <v>3052</v>
      </c>
      <c r="X361">
        <v>0</v>
      </c>
      <c r="Y361">
        <v>1112</v>
      </c>
      <c r="AA361" t="str">
        <f t="shared" si="10"/>
        <v>update zamestnanci set nastup='16' where id='1719';</v>
      </c>
      <c r="AB361" t="str">
        <f t="shared" si="11"/>
        <v>update dochazka set zastavka = '16' where zamestnanec = '1719';</v>
      </c>
    </row>
    <row r="362" spans="1:28" x14ac:dyDescent="0.25">
      <c r="A362" s="2">
        <v>1720</v>
      </c>
      <c r="B362" t="s">
        <v>7298</v>
      </c>
      <c r="C362" t="s">
        <v>64</v>
      </c>
      <c r="D362" t="s">
        <v>5317</v>
      </c>
      <c r="E362" t="s">
        <v>755</v>
      </c>
      <c r="F362" t="s">
        <v>357</v>
      </c>
      <c r="G362" s="1">
        <v>45839</v>
      </c>
      <c r="H362" s="1">
        <v>45866</v>
      </c>
      <c r="I362" s="1">
        <v>73050</v>
      </c>
      <c r="J362" s="2" t="s">
        <v>8299</v>
      </c>
      <c r="K362" t="s">
        <v>7299</v>
      </c>
      <c r="M362" s="16" t="s">
        <v>8300</v>
      </c>
      <c r="N362" s="16" t="str">
        <f>VLOOKUP(M362,Tab_Zast[[Zastávka]:[Sloupec1]],2,0)</f>
        <v>16</v>
      </c>
      <c r="O362" t="s">
        <v>7300</v>
      </c>
      <c r="P362">
        <v>6</v>
      </c>
      <c r="Q362">
        <v>0</v>
      </c>
      <c r="R362" t="s">
        <v>31</v>
      </c>
      <c r="S362" t="s">
        <v>31</v>
      </c>
      <c r="T362" t="s">
        <v>32</v>
      </c>
      <c r="V362" s="1" t="e">
        <v>#N/A</v>
      </c>
      <c r="W362" t="s">
        <v>3052</v>
      </c>
      <c r="X362">
        <v>0</v>
      </c>
      <c r="Y362">
        <v>1113</v>
      </c>
      <c r="AA362" t="str">
        <f t="shared" si="10"/>
        <v>update zamestnanci set nastup='16' where id='1720';</v>
      </c>
      <c r="AB362" t="str">
        <f t="shared" si="11"/>
        <v>update dochazka set zastavka = '16' where zamestnanec = '1720';</v>
      </c>
    </row>
    <row r="363" spans="1:28" x14ac:dyDescent="0.25">
      <c r="A363" s="2">
        <v>1739</v>
      </c>
      <c r="B363" t="s">
        <v>7373</v>
      </c>
      <c r="C363" t="s">
        <v>357</v>
      </c>
      <c r="D363" t="s">
        <v>7374</v>
      </c>
      <c r="E363" t="s">
        <v>2883</v>
      </c>
      <c r="F363" t="s">
        <v>7375</v>
      </c>
      <c r="G363" s="1">
        <v>45852</v>
      </c>
      <c r="H363" s="1">
        <v>45874</v>
      </c>
      <c r="I363" s="1">
        <v>73050</v>
      </c>
      <c r="J363" s="2" t="s">
        <v>8299</v>
      </c>
      <c r="K363" t="s">
        <v>7376</v>
      </c>
      <c r="M363" s="16" t="s">
        <v>8300</v>
      </c>
      <c r="N363" s="16" t="str">
        <f>VLOOKUP(M363,Tab_Zast[[Zastávka]:[Sloupec1]],2,0)</f>
        <v>16</v>
      </c>
      <c r="O363" t="s">
        <v>7377</v>
      </c>
      <c r="P363">
        <v>6</v>
      </c>
      <c r="Q363">
        <v>0</v>
      </c>
      <c r="R363" t="s">
        <v>31</v>
      </c>
      <c r="S363" t="s">
        <v>31</v>
      </c>
      <c r="T363" t="s">
        <v>32</v>
      </c>
      <c r="V363" s="1" t="e">
        <v>#N/A</v>
      </c>
      <c r="W363" t="s">
        <v>3052</v>
      </c>
      <c r="X363">
        <v>0</v>
      </c>
      <c r="Y363">
        <v>1125</v>
      </c>
      <c r="AA363" t="str">
        <f t="shared" si="10"/>
        <v>update zamestnanci set nastup='16' where id='1739';</v>
      </c>
      <c r="AB363" t="str">
        <f t="shared" si="11"/>
        <v>update dochazka set zastavka = '16' where zamestnanec = '1739';</v>
      </c>
    </row>
    <row r="364" spans="1:28" x14ac:dyDescent="0.25">
      <c r="A364" s="2">
        <v>1789</v>
      </c>
      <c r="B364" t="s">
        <v>7567</v>
      </c>
      <c r="C364" t="s">
        <v>569</v>
      </c>
      <c r="D364" t="s">
        <v>539</v>
      </c>
      <c r="E364" t="s">
        <v>3638</v>
      </c>
      <c r="F364" t="s">
        <v>7379</v>
      </c>
      <c r="G364" s="1">
        <v>45887</v>
      </c>
      <c r="H364" s="1">
        <v>73050</v>
      </c>
      <c r="I364" s="1" t="e">
        <v>#N/A</v>
      </c>
      <c r="J364" s="2" t="s">
        <v>8321</v>
      </c>
      <c r="K364" t="s">
        <v>7568</v>
      </c>
      <c r="M364" s="16" t="s">
        <v>8322</v>
      </c>
      <c r="N364" s="16" t="str">
        <f>VLOOKUP(M364,Tab_Zast[[Zastávka]:[Sloupec1]],2,0)</f>
        <v>25</v>
      </c>
      <c r="O364" t="s">
        <v>4038</v>
      </c>
      <c r="P364">
        <v>1</v>
      </c>
      <c r="Q364">
        <v>0</v>
      </c>
      <c r="R364" t="s">
        <v>129</v>
      </c>
      <c r="S364" t="s">
        <v>31</v>
      </c>
      <c r="T364" t="s">
        <v>32</v>
      </c>
      <c r="V364" s="1" t="e">
        <v>#N/A</v>
      </c>
      <c r="W364" t="s">
        <v>47</v>
      </c>
      <c r="X364">
        <v>1</v>
      </c>
      <c r="Y364">
        <v>1181</v>
      </c>
      <c r="AA364" t="str">
        <f t="shared" si="10"/>
        <v>update zamestnanci set nastup='25' where id='1789';</v>
      </c>
      <c r="AB364" t="str">
        <f t="shared" si="11"/>
        <v>update dochazka set zastavka = '25' where zamestnanec = '1789';</v>
      </c>
    </row>
    <row r="365" spans="1:28" x14ac:dyDescent="0.25">
      <c r="A365" s="2">
        <v>1818</v>
      </c>
      <c r="B365" t="s">
        <v>7670</v>
      </c>
      <c r="C365" t="s">
        <v>569</v>
      </c>
      <c r="D365" t="s">
        <v>6455</v>
      </c>
      <c r="E365" t="s">
        <v>3717</v>
      </c>
      <c r="F365" t="s">
        <v>7671</v>
      </c>
      <c r="G365" s="1">
        <v>45901</v>
      </c>
      <c r="H365" s="1">
        <v>73050</v>
      </c>
      <c r="I365" s="1" t="e">
        <v>#N/A</v>
      </c>
      <c r="J365" s="2" t="s">
        <v>8299</v>
      </c>
      <c r="K365" t="s">
        <v>7672</v>
      </c>
      <c r="M365" s="16" t="s">
        <v>8300</v>
      </c>
      <c r="N365" s="16" t="str">
        <f>VLOOKUP(M365,Tab_Zast[[Zastávka]:[Sloupec1]],2,0)</f>
        <v>16</v>
      </c>
      <c r="O365" t="s">
        <v>6457</v>
      </c>
      <c r="P365">
        <v>6</v>
      </c>
      <c r="Q365">
        <v>0</v>
      </c>
      <c r="R365" t="s">
        <v>130</v>
      </c>
      <c r="S365" t="s">
        <v>31</v>
      </c>
      <c r="T365" t="s">
        <v>32</v>
      </c>
      <c r="V365" s="1" t="e">
        <v>#N/A</v>
      </c>
      <c r="W365" t="s">
        <v>1216</v>
      </c>
      <c r="X365">
        <v>1</v>
      </c>
      <c r="Y365">
        <v>1212</v>
      </c>
      <c r="AA365" t="str">
        <f t="shared" si="10"/>
        <v>update zamestnanci set nastup='16' where id='1818';</v>
      </c>
      <c r="AB365" t="str">
        <f t="shared" si="11"/>
        <v>update dochazka set zastavka = '16' where zamestnanec = '1818';</v>
      </c>
    </row>
    <row r="366" spans="1:28" x14ac:dyDescent="0.25">
      <c r="A366" s="2">
        <v>1833</v>
      </c>
      <c r="B366" t="s">
        <v>7720</v>
      </c>
      <c r="C366" t="s">
        <v>357</v>
      </c>
      <c r="D366" t="s">
        <v>6264</v>
      </c>
      <c r="E366" t="s">
        <v>2613</v>
      </c>
      <c r="F366" t="s">
        <v>7721</v>
      </c>
      <c r="G366" s="1">
        <v>45908</v>
      </c>
      <c r="H366" s="1">
        <v>45912</v>
      </c>
      <c r="I366" s="1">
        <v>73050</v>
      </c>
      <c r="J366" s="2" t="s">
        <v>8321</v>
      </c>
      <c r="K366" t="s">
        <v>6266</v>
      </c>
      <c r="M366" s="16" t="s">
        <v>8322</v>
      </c>
      <c r="N366" s="16" t="str">
        <f>VLOOKUP(M366,Tab_Zast[[Zastávka]:[Sloupec1]],2,0)</f>
        <v>25</v>
      </c>
      <c r="O366" t="s">
        <v>7722</v>
      </c>
      <c r="P366">
        <v>1</v>
      </c>
      <c r="Q366">
        <v>0</v>
      </c>
      <c r="R366" t="s">
        <v>31</v>
      </c>
      <c r="S366" t="s">
        <v>31</v>
      </c>
      <c r="T366" t="s">
        <v>32</v>
      </c>
      <c r="V366" s="1" t="e">
        <v>#N/A</v>
      </c>
      <c r="W366" t="s">
        <v>5988</v>
      </c>
      <c r="X366">
        <v>0</v>
      </c>
      <c r="Y366">
        <v>1228</v>
      </c>
      <c r="AA366" t="str">
        <f t="shared" si="10"/>
        <v>update zamestnanci set nastup='25' where id='1833';</v>
      </c>
      <c r="AB366" t="str">
        <f t="shared" si="11"/>
        <v>update dochazka set zastavka = '25' where zamestnanec = '1833';</v>
      </c>
    </row>
    <row r="367" spans="1:28" x14ac:dyDescent="0.25">
      <c r="A367" s="2">
        <v>1933</v>
      </c>
      <c r="B367" t="s">
        <v>8138</v>
      </c>
      <c r="C367" t="s">
        <v>357</v>
      </c>
      <c r="D367" t="s">
        <v>8139</v>
      </c>
      <c r="E367" t="s">
        <v>743</v>
      </c>
      <c r="F367" t="s">
        <v>569</v>
      </c>
      <c r="G367" s="1">
        <v>45987</v>
      </c>
      <c r="H367" s="1">
        <v>45987</v>
      </c>
      <c r="I367" s="1">
        <v>45987</v>
      </c>
      <c r="J367" s="2" t="s">
        <v>8299</v>
      </c>
      <c r="K367" t="s">
        <v>8140</v>
      </c>
      <c r="M367" s="16" t="s">
        <v>8300</v>
      </c>
      <c r="N367" s="16" t="str">
        <f>VLOOKUP(M367,Tab_Zast[[Zastávka]:[Sloupec1]],2,0)</f>
        <v>16</v>
      </c>
      <c r="O367" t="s">
        <v>8141</v>
      </c>
      <c r="P367">
        <v>6</v>
      </c>
      <c r="Q367">
        <v>0</v>
      </c>
      <c r="R367" t="s">
        <v>31</v>
      </c>
      <c r="S367" t="s">
        <v>31</v>
      </c>
      <c r="T367" t="s">
        <v>32</v>
      </c>
      <c r="V367" s="1" t="e">
        <v>#N/A</v>
      </c>
      <c r="W367" t="s">
        <v>3052</v>
      </c>
      <c r="X367">
        <v>0</v>
      </c>
      <c r="Y367">
        <v>1341</v>
      </c>
      <c r="AA367" t="str">
        <f t="shared" si="10"/>
        <v>update zamestnanci set nastup='16' where id='1933';</v>
      </c>
      <c r="AB367" t="str">
        <f t="shared" si="11"/>
        <v>update dochazka set zastavka = '16' where zamestnanec = '1933';</v>
      </c>
    </row>
    <row r="368" spans="1:28" x14ac:dyDescent="0.25">
      <c r="A368" s="2">
        <v>1935</v>
      </c>
      <c r="B368" t="s">
        <v>8144</v>
      </c>
      <c r="C368" t="s">
        <v>569</v>
      </c>
      <c r="D368" t="s">
        <v>1994</v>
      </c>
      <c r="E368" t="s">
        <v>2156</v>
      </c>
      <c r="F368" t="s">
        <v>8144</v>
      </c>
      <c r="G368" s="1">
        <v>45988</v>
      </c>
      <c r="H368" s="1" t="e">
        <v>#N/A</v>
      </c>
      <c r="I368" s="1" t="e">
        <v>#N/A</v>
      </c>
      <c r="J368" s="2" t="s">
        <v>8321</v>
      </c>
      <c r="K368" t="s">
        <v>8145</v>
      </c>
      <c r="M368" s="16" t="s">
        <v>8322</v>
      </c>
      <c r="N368" s="16" t="str">
        <f>VLOOKUP(M368,Tab_Zast[[Zastávka]:[Sloupec1]],2,0)</f>
        <v>25</v>
      </c>
      <c r="O368" t="s">
        <v>8146</v>
      </c>
      <c r="P368">
        <v>1</v>
      </c>
      <c r="Q368">
        <v>0</v>
      </c>
      <c r="R368" t="s">
        <v>129</v>
      </c>
      <c r="S368" t="s">
        <v>31</v>
      </c>
      <c r="T368" t="s">
        <v>32</v>
      </c>
      <c r="V368" s="1" t="e">
        <v>#N/A</v>
      </c>
      <c r="W368" t="s">
        <v>5988</v>
      </c>
      <c r="X368">
        <v>1</v>
      </c>
      <c r="Y368">
        <v>1350</v>
      </c>
      <c r="AA368" t="str">
        <f t="shared" si="10"/>
        <v>update zamestnanci set nastup='25' where id='1935';</v>
      </c>
      <c r="AB368" t="str">
        <f t="shared" si="11"/>
        <v>update dochazka set zastavka = '25' where zamestnanec = '1935';</v>
      </c>
    </row>
    <row r="369" spans="1:28" x14ac:dyDescent="0.25">
      <c r="A369" s="2">
        <v>1938</v>
      </c>
      <c r="B369" t="s">
        <v>8154</v>
      </c>
      <c r="C369" t="s">
        <v>357</v>
      </c>
      <c r="D369" t="s">
        <v>8155</v>
      </c>
      <c r="E369" t="s">
        <v>633</v>
      </c>
      <c r="F369" t="s">
        <v>8154</v>
      </c>
      <c r="G369" s="1">
        <v>45988</v>
      </c>
      <c r="H369" s="1" t="e">
        <v>#N/A</v>
      </c>
      <c r="I369" s="1" t="e">
        <v>#N/A</v>
      </c>
      <c r="J369" s="2" t="s">
        <v>8321</v>
      </c>
      <c r="K369" t="s">
        <v>8156</v>
      </c>
      <c r="M369" s="16" t="s">
        <v>8322</v>
      </c>
      <c r="N369" s="16" t="str">
        <f>VLOOKUP(M369,Tab_Zast[[Zastávka]:[Sloupec1]],2,0)</f>
        <v>25</v>
      </c>
      <c r="O369" t="s">
        <v>8157</v>
      </c>
      <c r="P369">
        <v>1</v>
      </c>
      <c r="Q369">
        <v>0</v>
      </c>
      <c r="R369" t="s">
        <v>129</v>
      </c>
      <c r="S369" t="s">
        <v>31</v>
      </c>
      <c r="T369" t="s">
        <v>32</v>
      </c>
      <c r="V369" s="1" t="e">
        <v>#N/A</v>
      </c>
      <c r="W369" t="s">
        <v>5988</v>
      </c>
      <c r="X369">
        <v>1</v>
      </c>
      <c r="Y369">
        <v>1353</v>
      </c>
      <c r="AA369" t="str">
        <f t="shared" si="10"/>
        <v>update zamestnanci set nastup='25' where id='1938';</v>
      </c>
      <c r="AB369" t="str">
        <f t="shared" si="11"/>
        <v>update dochazka set zastavka = '25' where zamestnanec = '1938';</v>
      </c>
    </row>
    <row r="370" spans="1:28" x14ac:dyDescent="0.25">
      <c r="A370" s="2">
        <v>176</v>
      </c>
      <c r="B370" t="s">
        <v>1077</v>
      </c>
      <c r="C370" t="s">
        <v>1078</v>
      </c>
      <c r="D370" t="s">
        <v>1079</v>
      </c>
      <c r="E370" t="s">
        <v>1080</v>
      </c>
      <c r="F370" t="s">
        <v>1081</v>
      </c>
      <c r="G370" s="1">
        <v>44287</v>
      </c>
      <c r="H370" s="1">
        <v>73050</v>
      </c>
      <c r="I370" s="1" t="e">
        <v>#N/A</v>
      </c>
      <c r="J370" s="2" t="s">
        <v>2410</v>
      </c>
      <c r="K370" t="s">
        <v>1082</v>
      </c>
      <c r="M370" s="16" t="s">
        <v>8539</v>
      </c>
      <c r="N370" s="16" t="str">
        <f>VLOOKUP(M370,Tab_Zast[[Zastávka]:[Sloupec1]],2,0)</f>
        <v>104</v>
      </c>
      <c r="O370" t="s">
        <v>1083</v>
      </c>
      <c r="P370">
        <v>6</v>
      </c>
      <c r="Q370">
        <v>0</v>
      </c>
      <c r="R370" t="s">
        <v>179</v>
      </c>
      <c r="S370" t="s">
        <v>179</v>
      </c>
      <c r="T370" t="s">
        <v>32</v>
      </c>
      <c r="V370" s="1" t="e">
        <v>#N/A</v>
      </c>
      <c r="W370" t="s">
        <v>1022</v>
      </c>
      <c r="X370">
        <v>1</v>
      </c>
      <c r="Y370">
        <v>0</v>
      </c>
      <c r="AA370" t="str">
        <f t="shared" si="10"/>
        <v>update zamestnanci set nastup='104' where id='176';</v>
      </c>
      <c r="AB370" t="str">
        <f t="shared" si="11"/>
        <v>update dochazka set zastavka = '104' where zamestnanec = '176';</v>
      </c>
    </row>
    <row r="371" spans="1:28" x14ac:dyDescent="0.25">
      <c r="A371" s="2">
        <v>395</v>
      </c>
      <c r="B371" t="s">
        <v>1284</v>
      </c>
      <c r="C371" t="s">
        <v>1285</v>
      </c>
      <c r="D371" t="s">
        <v>1286</v>
      </c>
      <c r="E371" t="s">
        <v>737</v>
      </c>
      <c r="F371" t="s">
        <v>1287</v>
      </c>
      <c r="G371" s="1">
        <v>44837</v>
      </c>
      <c r="H371" s="1">
        <v>73050</v>
      </c>
      <c r="I371" s="1" t="e">
        <v>#N/A</v>
      </c>
      <c r="J371" s="2" t="s">
        <v>2410</v>
      </c>
      <c r="K371" t="s">
        <v>1288</v>
      </c>
      <c r="M371" s="16" t="s">
        <v>8539</v>
      </c>
      <c r="N371" s="16" t="str">
        <f>VLOOKUP(M371,Tab_Zast[[Zastávka]:[Sloupec1]],2,0)</f>
        <v>104</v>
      </c>
      <c r="O371" t="s">
        <v>1289</v>
      </c>
      <c r="P371">
        <v>6</v>
      </c>
      <c r="Q371">
        <v>0</v>
      </c>
      <c r="R371" t="s">
        <v>130</v>
      </c>
      <c r="S371" t="s">
        <v>31</v>
      </c>
      <c r="T371" t="s">
        <v>32</v>
      </c>
      <c r="V371" s="1" t="e">
        <v>#N/A</v>
      </c>
      <c r="W371" t="s">
        <v>1216</v>
      </c>
      <c r="X371">
        <v>1</v>
      </c>
      <c r="Y371">
        <v>0</v>
      </c>
      <c r="AA371" t="str">
        <f t="shared" si="10"/>
        <v>update zamestnanci set nastup='104' where id='395';</v>
      </c>
      <c r="AB371" t="str">
        <f t="shared" si="11"/>
        <v>update dochazka set zastavka = '104' where zamestnanec = '395';</v>
      </c>
    </row>
    <row r="372" spans="1:28" x14ac:dyDescent="0.25">
      <c r="A372" s="2">
        <v>475</v>
      </c>
      <c r="B372" t="s">
        <v>173</v>
      </c>
      <c r="C372" t="s">
        <v>1786</v>
      </c>
      <c r="D372" t="s">
        <v>1787</v>
      </c>
      <c r="E372" t="s">
        <v>1788</v>
      </c>
      <c r="F372" t="s">
        <v>1789</v>
      </c>
      <c r="G372" s="1">
        <v>44593</v>
      </c>
      <c r="H372" s="1">
        <v>45558</v>
      </c>
      <c r="I372" s="1">
        <v>73050</v>
      </c>
      <c r="J372" s="2" t="s">
        <v>2410</v>
      </c>
      <c r="K372" t="s">
        <v>1790</v>
      </c>
      <c r="M372" s="16" t="s">
        <v>8539</v>
      </c>
      <c r="N372" s="16" t="str">
        <f>VLOOKUP(M372,Tab_Zast[[Zastávka]:[Sloupec1]],2,0)</f>
        <v>104</v>
      </c>
      <c r="O372" t="s">
        <v>1791</v>
      </c>
      <c r="P372">
        <v>6</v>
      </c>
      <c r="Q372">
        <v>0</v>
      </c>
      <c r="R372" t="s">
        <v>31</v>
      </c>
      <c r="S372" t="s">
        <v>31</v>
      </c>
      <c r="T372" t="s">
        <v>32</v>
      </c>
      <c r="V372" s="1" t="e">
        <v>#N/A</v>
      </c>
      <c r="W372" t="s">
        <v>1216</v>
      </c>
      <c r="X372">
        <v>0</v>
      </c>
      <c r="Y372">
        <v>0</v>
      </c>
      <c r="AA372" t="str">
        <f t="shared" si="10"/>
        <v>update zamestnanci set nastup='104' where id='475';</v>
      </c>
      <c r="AB372" t="str">
        <f t="shared" si="11"/>
        <v>update dochazka set zastavka = '104' where zamestnanec = '475';</v>
      </c>
    </row>
    <row r="373" spans="1:28" x14ac:dyDescent="0.25">
      <c r="A373" s="2">
        <v>509</v>
      </c>
      <c r="B373" t="s">
        <v>1999</v>
      </c>
      <c r="D373" t="s">
        <v>2000</v>
      </c>
      <c r="E373" t="s">
        <v>2001</v>
      </c>
      <c r="F373" t="s">
        <v>2002</v>
      </c>
      <c r="G373" s="1">
        <v>45029</v>
      </c>
      <c r="H373" s="1">
        <v>45337</v>
      </c>
      <c r="I373" s="1">
        <v>73050</v>
      </c>
      <c r="J373" s="2" t="s">
        <v>2410</v>
      </c>
      <c r="K373" t="s">
        <v>2003</v>
      </c>
      <c r="M373" s="16" t="s">
        <v>8539</v>
      </c>
      <c r="N373" s="16" t="str">
        <f>VLOOKUP(M373,Tab_Zast[[Zastávka]:[Sloupec1]],2,0)</f>
        <v>104</v>
      </c>
      <c r="O373" t="s">
        <v>2004</v>
      </c>
      <c r="P373">
        <v>6</v>
      </c>
      <c r="Q373">
        <v>0</v>
      </c>
      <c r="R373" t="s">
        <v>31</v>
      </c>
      <c r="S373" t="s">
        <v>31</v>
      </c>
      <c r="T373" t="s">
        <v>32</v>
      </c>
      <c r="V373" s="1" t="e">
        <v>#N/A</v>
      </c>
      <c r="W373" t="s">
        <v>1216</v>
      </c>
      <c r="X373">
        <v>0</v>
      </c>
      <c r="Y373">
        <v>0</v>
      </c>
      <c r="Z373" t="s">
        <v>54</v>
      </c>
      <c r="AA373" t="str">
        <f t="shared" si="10"/>
        <v>update zamestnanci set nastup='104' where id='509';</v>
      </c>
      <c r="AB373" t="str">
        <f t="shared" si="11"/>
        <v>update dochazka set zastavka = '104' where zamestnanec = '509';</v>
      </c>
    </row>
    <row r="374" spans="1:28" x14ac:dyDescent="0.25">
      <c r="A374" s="2">
        <v>544</v>
      </c>
      <c r="B374" t="s">
        <v>2218</v>
      </c>
      <c r="C374" t="s">
        <v>1394</v>
      </c>
      <c r="D374" t="s">
        <v>2219</v>
      </c>
      <c r="E374" t="s">
        <v>2220</v>
      </c>
      <c r="F374" t="s">
        <v>2221</v>
      </c>
      <c r="G374" s="1">
        <v>44641</v>
      </c>
      <c r="H374" s="1">
        <v>45371</v>
      </c>
      <c r="I374" s="1">
        <v>73050</v>
      </c>
      <c r="J374" s="2" t="s">
        <v>2410</v>
      </c>
      <c r="K374" t="s">
        <v>2222</v>
      </c>
      <c r="M374" s="16" t="s">
        <v>8539</v>
      </c>
      <c r="N374" s="16" t="str">
        <f>VLOOKUP(M374,Tab_Zast[[Zastávka]:[Sloupec1]],2,0)</f>
        <v>104</v>
      </c>
      <c r="O374" t="s">
        <v>2223</v>
      </c>
      <c r="P374">
        <v>6</v>
      </c>
      <c r="Q374">
        <v>0</v>
      </c>
      <c r="R374" t="s">
        <v>31</v>
      </c>
      <c r="S374" t="s">
        <v>31</v>
      </c>
      <c r="T374" t="s">
        <v>32</v>
      </c>
      <c r="V374" s="1">
        <v>45742</v>
      </c>
      <c r="W374" t="s">
        <v>1216</v>
      </c>
      <c r="X374">
        <v>0</v>
      </c>
      <c r="Y374">
        <v>0</v>
      </c>
      <c r="Z374" t="s">
        <v>54</v>
      </c>
      <c r="AA374" t="str">
        <f t="shared" si="10"/>
        <v>update zamestnanci set nastup='104' where id='544';</v>
      </c>
      <c r="AB374" t="str">
        <f t="shared" si="11"/>
        <v>update dochazka set zastavka = '104' where zamestnanec = '544';</v>
      </c>
    </row>
    <row r="375" spans="1:28" x14ac:dyDescent="0.25">
      <c r="A375" s="2">
        <v>706</v>
      </c>
      <c r="B375" t="s">
        <v>3130</v>
      </c>
      <c r="D375" t="s">
        <v>3131</v>
      </c>
      <c r="E375" t="s">
        <v>3132</v>
      </c>
      <c r="F375" t="s">
        <v>3133</v>
      </c>
      <c r="G375" s="1">
        <v>45268</v>
      </c>
      <c r="H375" s="1">
        <v>45399</v>
      </c>
      <c r="I375" s="1">
        <v>73050</v>
      </c>
      <c r="J375" s="2" t="s">
        <v>2410</v>
      </c>
      <c r="K375" t="s">
        <v>3134</v>
      </c>
      <c r="M375" s="16" t="s">
        <v>8539</v>
      </c>
      <c r="N375" s="16" t="str">
        <f>VLOOKUP(M375,Tab_Zast[[Zastávka]:[Sloupec1]],2,0)</f>
        <v>104</v>
      </c>
      <c r="O375" t="s">
        <v>3135</v>
      </c>
      <c r="P375">
        <v>6</v>
      </c>
      <c r="Q375">
        <v>0</v>
      </c>
      <c r="R375" t="s">
        <v>31</v>
      </c>
      <c r="S375" t="s">
        <v>31</v>
      </c>
      <c r="T375" t="s">
        <v>32</v>
      </c>
      <c r="V375" s="1" t="e">
        <v>#N/A</v>
      </c>
      <c r="W375" t="s">
        <v>1216</v>
      </c>
      <c r="X375">
        <v>0</v>
      </c>
      <c r="Y375">
        <v>0</v>
      </c>
      <c r="Z375" t="s">
        <v>40</v>
      </c>
      <c r="AA375" t="str">
        <f t="shared" si="10"/>
        <v>update zamestnanci set nastup='104' where id='706';</v>
      </c>
      <c r="AB375" t="str">
        <f t="shared" si="11"/>
        <v>update dochazka set zastavka = '104' where zamestnanec = '706';</v>
      </c>
    </row>
    <row r="376" spans="1:28" x14ac:dyDescent="0.25">
      <c r="A376" s="2">
        <v>721</v>
      </c>
      <c r="B376" t="s">
        <v>3202</v>
      </c>
      <c r="D376" t="s">
        <v>3203</v>
      </c>
      <c r="E376" t="s">
        <v>3204</v>
      </c>
      <c r="F376" t="s">
        <v>3205</v>
      </c>
      <c r="G376" s="1">
        <v>45279</v>
      </c>
      <c r="H376" s="1">
        <v>45400</v>
      </c>
      <c r="I376" s="1">
        <v>73050</v>
      </c>
      <c r="J376" s="2" t="s">
        <v>2410</v>
      </c>
      <c r="K376" t="s">
        <v>3206</v>
      </c>
      <c r="M376" s="16" t="s">
        <v>8539</v>
      </c>
      <c r="N376" s="16" t="str">
        <f>VLOOKUP(M376,Tab_Zast[[Zastávka]:[Sloupec1]],2,0)</f>
        <v>104</v>
      </c>
      <c r="O376" t="s">
        <v>3207</v>
      </c>
      <c r="P376">
        <v>6</v>
      </c>
      <c r="Q376">
        <v>0</v>
      </c>
      <c r="R376" t="s">
        <v>31</v>
      </c>
      <c r="S376" t="s">
        <v>31</v>
      </c>
      <c r="T376" t="s">
        <v>32</v>
      </c>
      <c r="V376" s="1" t="e">
        <v>#N/A</v>
      </c>
      <c r="W376" t="s">
        <v>1216</v>
      </c>
      <c r="X376">
        <v>0</v>
      </c>
      <c r="Y376">
        <v>0</v>
      </c>
      <c r="Z376" t="s">
        <v>40</v>
      </c>
      <c r="AA376" t="str">
        <f t="shared" si="10"/>
        <v>update zamestnanci set nastup='104' where id='721';</v>
      </c>
      <c r="AB376" t="str">
        <f t="shared" si="11"/>
        <v>update dochazka set zastavka = '104' where zamestnanec = '721';</v>
      </c>
    </row>
    <row r="377" spans="1:28" x14ac:dyDescent="0.25">
      <c r="A377" s="2">
        <v>828</v>
      </c>
      <c r="B377" t="s">
        <v>3726</v>
      </c>
      <c r="D377" t="s">
        <v>3727</v>
      </c>
      <c r="E377" t="s">
        <v>3728</v>
      </c>
      <c r="F377" t="s">
        <v>67</v>
      </c>
      <c r="G377" s="1">
        <v>45349</v>
      </c>
      <c r="H377" s="1">
        <v>45349</v>
      </c>
      <c r="I377" s="1">
        <v>45349</v>
      </c>
      <c r="J377" s="2" t="s">
        <v>2410</v>
      </c>
      <c r="K377" t="s">
        <v>3729</v>
      </c>
      <c r="M377" s="16" t="s">
        <v>8539</v>
      </c>
      <c r="N377" s="16" t="str">
        <f>VLOOKUP(M377,Tab_Zast[[Zastávka]:[Sloupec1]],2,0)</f>
        <v>104</v>
      </c>
      <c r="O377" t="s">
        <v>3730</v>
      </c>
      <c r="P377">
        <v>6</v>
      </c>
      <c r="Q377">
        <v>0</v>
      </c>
      <c r="R377" t="s">
        <v>31</v>
      </c>
      <c r="S377" t="s">
        <v>31</v>
      </c>
      <c r="T377" t="s">
        <v>32</v>
      </c>
      <c r="V377" s="1" t="e">
        <v>#N/A</v>
      </c>
      <c r="W377" t="s">
        <v>1216</v>
      </c>
      <c r="X377">
        <v>0</v>
      </c>
      <c r="Y377">
        <v>0</v>
      </c>
      <c r="Z377" t="s">
        <v>54</v>
      </c>
      <c r="AA377" t="str">
        <f t="shared" si="10"/>
        <v>update zamestnanci set nastup='104' where id='828';</v>
      </c>
      <c r="AB377" t="str">
        <f t="shared" si="11"/>
        <v>update dochazka set zastavka = '104' where zamestnanec = '828';</v>
      </c>
    </row>
    <row r="378" spans="1:28" x14ac:dyDescent="0.25">
      <c r="A378" s="2">
        <v>913</v>
      </c>
      <c r="B378" t="s">
        <v>4133</v>
      </c>
      <c r="D378" t="s">
        <v>4134</v>
      </c>
      <c r="E378" t="s">
        <v>2903</v>
      </c>
      <c r="F378" t="s">
        <v>4135</v>
      </c>
      <c r="G378" s="1">
        <v>45398</v>
      </c>
      <c r="H378" s="1">
        <v>45401</v>
      </c>
      <c r="I378" s="1">
        <v>73050</v>
      </c>
      <c r="J378" s="2" t="s">
        <v>2410</v>
      </c>
      <c r="K378" t="s">
        <v>4136</v>
      </c>
      <c r="M378" s="16" t="s">
        <v>8539</v>
      </c>
      <c r="N378" s="16" t="str">
        <f>VLOOKUP(M378,Tab_Zast[[Zastávka]:[Sloupec1]],2,0)</f>
        <v>104</v>
      </c>
      <c r="O378" t="s">
        <v>4137</v>
      </c>
      <c r="P378">
        <v>6</v>
      </c>
      <c r="Q378">
        <v>0</v>
      </c>
      <c r="R378" t="s">
        <v>31</v>
      </c>
      <c r="S378" t="s">
        <v>31</v>
      </c>
      <c r="T378" t="s">
        <v>32</v>
      </c>
      <c r="V378" s="1" t="e">
        <v>#N/A</v>
      </c>
      <c r="W378" t="s">
        <v>1216</v>
      </c>
      <c r="X378">
        <v>0</v>
      </c>
      <c r="Y378">
        <v>270</v>
      </c>
      <c r="AA378" t="str">
        <f t="shared" si="10"/>
        <v>update zamestnanci set nastup='104' where id='913';</v>
      </c>
      <c r="AB378" t="str">
        <f t="shared" si="11"/>
        <v>update dochazka set zastavka = '104' where zamestnanec = '913';</v>
      </c>
    </row>
    <row r="379" spans="1:28" x14ac:dyDescent="0.25">
      <c r="A379" s="2">
        <v>935</v>
      </c>
      <c r="B379" t="s">
        <v>4220</v>
      </c>
      <c r="D379" t="s">
        <v>4221</v>
      </c>
      <c r="E379" t="s">
        <v>3638</v>
      </c>
      <c r="F379" t="s">
        <v>67</v>
      </c>
      <c r="G379" s="1">
        <v>45419</v>
      </c>
      <c r="H379" s="1">
        <v>45419</v>
      </c>
      <c r="I379" s="1">
        <v>45419</v>
      </c>
      <c r="J379" s="2" t="s">
        <v>2410</v>
      </c>
      <c r="K379" t="s">
        <v>4222</v>
      </c>
      <c r="M379" s="16" t="s">
        <v>8539</v>
      </c>
      <c r="N379" s="16" t="str">
        <f>VLOOKUP(M379,Tab_Zast[[Zastávka]:[Sloupec1]],2,0)</f>
        <v>104</v>
      </c>
      <c r="O379" t="s">
        <v>4223</v>
      </c>
      <c r="P379">
        <v>6</v>
      </c>
      <c r="Q379">
        <v>0</v>
      </c>
      <c r="R379" t="s">
        <v>31</v>
      </c>
      <c r="S379" t="s">
        <v>31</v>
      </c>
      <c r="T379" t="s">
        <v>32</v>
      </c>
      <c r="V379" s="1" t="e">
        <v>#N/A</v>
      </c>
      <c r="W379" t="s">
        <v>1216</v>
      </c>
      <c r="X379">
        <v>0</v>
      </c>
      <c r="Y379">
        <v>314</v>
      </c>
      <c r="AA379" t="str">
        <f t="shared" si="10"/>
        <v>update zamestnanci set nastup='104' where id='935';</v>
      </c>
      <c r="AB379" t="str">
        <f t="shared" si="11"/>
        <v>update dochazka set zastavka = '104' where zamestnanec = '935';</v>
      </c>
    </row>
    <row r="380" spans="1:28" x14ac:dyDescent="0.25">
      <c r="A380" s="2">
        <v>936</v>
      </c>
      <c r="B380" t="s">
        <v>4224</v>
      </c>
      <c r="D380" t="s">
        <v>4225</v>
      </c>
      <c r="E380" t="s">
        <v>643</v>
      </c>
      <c r="F380" t="s">
        <v>67</v>
      </c>
      <c r="G380" s="1">
        <v>45419</v>
      </c>
      <c r="H380" s="1">
        <v>45419</v>
      </c>
      <c r="I380" s="1">
        <v>45419</v>
      </c>
      <c r="J380" s="2" t="s">
        <v>2410</v>
      </c>
      <c r="K380" t="s">
        <v>4222</v>
      </c>
      <c r="M380" s="16" t="s">
        <v>8539</v>
      </c>
      <c r="N380" s="16" t="str">
        <f>VLOOKUP(M380,Tab_Zast[[Zastávka]:[Sloupec1]],2,0)</f>
        <v>104</v>
      </c>
      <c r="O380" t="s">
        <v>4226</v>
      </c>
      <c r="P380">
        <v>6</v>
      </c>
      <c r="Q380">
        <v>0</v>
      </c>
      <c r="R380" t="s">
        <v>31</v>
      </c>
      <c r="S380" t="s">
        <v>31</v>
      </c>
      <c r="T380" t="s">
        <v>32</v>
      </c>
      <c r="V380" s="1" t="e">
        <v>#N/A</v>
      </c>
      <c r="W380" t="s">
        <v>1216</v>
      </c>
      <c r="X380">
        <v>0</v>
      </c>
      <c r="Y380">
        <v>315</v>
      </c>
      <c r="AA380" t="str">
        <f t="shared" si="10"/>
        <v>update zamestnanci set nastup='104' where id='936';</v>
      </c>
      <c r="AB380" t="str">
        <f t="shared" si="11"/>
        <v>update dochazka set zastavka = '104' where zamestnanec = '936';</v>
      </c>
    </row>
    <row r="381" spans="1:28" x14ac:dyDescent="0.25">
      <c r="A381" s="2">
        <v>1088</v>
      </c>
      <c r="B381" t="s">
        <v>4890</v>
      </c>
      <c r="C381" t="s">
        <v>4891</v>
      </c>
      <c r="D381" t="s">
        <v>4892</v>
      </c>
      <c r="E381" t="s">
        <v>4893</v>
      </c>
      <c r="F381" t="s">
        <v>4894</v>
      </c>
      <c r="G381" s="1">
        <v>45488</v>
      </c>
      <c r="H381" s="1">
        <v>45504</v>
      </c>
      <c r="I381" s="1">
        <v>73050</v>
      </c>
      <c r="J381" s="2" t="s">
        <v>2410</v>
      </c>
      <c r="K381" t="s">
        <v>4895</v>
      </c>
      <c r="M381" s="16" t="s">
        <v>8539</v>
      </c>
      <c r="N381" s="16" t="str">
        <f>VLOOKUP(M381,Tab_Zast[[Zastávka]:[Sloupec1]],2,0)</f>
        <v>104</v>
      </c>
      <c r="O381" t="s">
        <v>4896</v>
      </c>
      <c r="P381">
        <v>6</v>
      </c>
      <c r="Q381">
        <v>0</v>
      </c>
      <c r="R381" t="s">
        <v>31</v>
      </c>
      <c r="S381" t="s">
        <v>31</v>
      </c>
      <c r="T381" t="s">
        <v>32</v>
      </c>
      <c r="V381" s="1" t="e">
        <v>#N/A</v>
      </c>
      <c r="W381" t="s">
        <v>1216</v>
      </c>
      <c r="X381">
        <v>0</v>
      </c>
      <c r="Y381">
        <v>476</v>
      </c>
      <c r="AA381" t="str">
        <f t="shared" si="10"/>
        <v>update zamestnanci set nastup='104' where id='1088';</v>
      </c>
      <c r="AB381" t="str">
        <f t="shared" si="11"/>
        <v>update dochazka set zastavka = '104' where zamestnanec = '1088';</v>
      </c>
    </row>
    <row r="382" spans="1:28" x14ac:dyDescent="0.25">
      <c r="A382" s="2">
        <v>1299</v>
      </c>
      <c r="B382" t="s">
        <v>5740</v>
      </c>
      <c r="C382" t="s">
        <v>64</v>
      </c>
      <c r="D382" t="s">
        <v>5741</v>
      </c>
      <c r="E382" t="s">
        <v>4899</v>
      </c>
      <c r="F382" t="s">
        <v>5742</v>
      </c>
      <c r="G382" s="1">
        <v>45575</v>
      </c>
      <c r="H382" s="1">
        <v>73050</v>
      </c>
      <c r="I382" s="1" t="e">
        <v>#N/A</v>
      </c>
      <c r="J382" s="2" t="s">
        <v>2410</v>
      </c>
      <c r="K382" t="s">
        <v>5743</v>
      </c>
      <c r="M382" s="16" t="s">
        <v>8539</v>
      </c>
      <c r="N382" s="16" t="str">
        <f>VLOOKUP(M382,Tab_Zast[[Zastávka]:[Sloupec1]],2,0)</f>
        <v>104</v>
      </c>
      <c r="O382" t="s">
        <v>5744</v>
      </c>
      <c r="P382">
        <v>6</v>
      </c>
      <c r="Q382">
        <v>0</v>
      </c>
      <c r="R382" t="s">
        <v>130</v>
      </c>
      <c r="S382" t="s">
        <v>31</v>
      </c>
      <c r="T382" t="s">
        <v>32</v>
      </c>
      <c r="V382" s="1" t="e">
        <v>#N/A</v>
      </c>
      <c r="W382" t="s">
        <v>1216</v>
      </c>
      <c r="X382">
        <v>1</v>
      </c>
      <c r="Y382">
        <v>689</v>
      </c>
      <c r="AA382" t="str">
        <f t="shared" si="10"/>
        <v>update zamestnanci set nastup='104' where id='1299';</v>
      </c>
      <c r="AB382" t="str">
        <f t="shared" si="11"/>
        <v>update dochazka set zastavka = '104' where zamestnanec = '1299';</v>
      </c>
    </row>
    <row r="383" spans="1:28" x14ac:dyDescent="0.25">
      <c r="A383" s="2">
        <v>1312</v>
      </c>
      <c r="B383" t="s">
        <v>5787</v>
      </c>
      <c r="C383" t="s">
        <v>5610</v>
      </c>
      <c r="D383" t="s">
        <v>1279</v>
      </c>
      <c r="E383" t="s">
        <v>5788</v>
      </c>
      <c r="F383" t="s">
        <v>5610</v>
      </c>
      <c r="G383" s="1">
        <v>45580</v>
      </c>
      <c r="H383" s="1">
        <v>45580</v>
      </c>
      <c r="I383" s="1">
        <v>45580</v>
      </c>
      <c r="J383" s="2" t="s">
        <v>2410</v>
      </c>
      <c r="K383" t="s">
        <v>5789</v>
      </c>
      <c r="M383" s="16" t="s">
        <v>8539</v>
      </c>
      <c r="N383" s="16" t="str">
        <f>VLOOKUP(M383,Tab_Zast[[Zastávka]:[Sloupec1]],2,0)</f>
        <v>104</v>
      </c>
      <c r="O383" t="s">
        <v>5790</v>
      </c>
      <c r="P383">
        <v>6</v>
      </c>
      <c r="Q383">
        <v>0</v>
      </c>
      <c r="R383" t="s">
        <v>31</v>
      </c>
      <c r="S383" t="s">
        <v>31</v>
      </c>
      <c r="T383" t="s">
        <v>32</v>
      </c>
      <c r="V383" s="1" t="e">
        <v>#N/A</v>
      </c>
      <c r="W383" t="s">
        <v>1216</v>
      </c>
      <c r="X383">
        <v>0</v>
      </c>
      <c r="Y383">
        <v>704</v>
      </c>
      <c r="AA383" t="str">
        <f t="shared" si="10"/>
        <v>update zamestnanci set nastup='104' where id='1312';</v>
      </c>
      <c r="AB383" t="str">
        <f t="shared" si="11"/>
        <v>update dochazka set zastavka = '104' where zamestnanec = '1312';</v>
      </c>
    </row>
    <row r="384" spans="1:28" x14ac:dyDescent="0.25">
      <c r="A384" s="2">
        <v>1335</v>
      </c>
      <c r="B384" t="s">
        <v>5875</v>
      </c>
      <c r="C384" t="s">
        <v>64</v>
      </c>
      <c r="D384" t="s">
        <v>5876</v>
      </c>
      <c r="E384" t="s">
        <v>2705</v>
      </c>
      <c r="F384" t="s">
        <v>1026</v>
      </c>
      <c r="G384" s="1">
        <v>45604</v>
      </c>
      <c r="H384" s="1">
        <v>45607</v>
      </c>
      <c r="I384" s="1">
        <v>73050</v>
      </c>
      <c r="J384" s="2" t="s">
        <v>2410</v>
      </c>
      <c r="K384" t="s">
        <v>5877</v>
      </c>
      <c r="M384" s="16" t="s">
        <v>8539</v>
      </c>
      <c r="N384" s="16" t="str">
        <f>VLOOKUP(M384,Tab_Zast[[Zastávka]:[Sloupec1]],2,0)</f>
        <v>104</v>
      </c>
      <c r="O384" t="s">
        <v>5878</v>
      </c>
      <c r="P384">
        <v>6</v>
      </c>
      <c r="Q384">
        <v>0</v>
      </c>
      <c r="R384" t="s">
        <v>31</v>
      </c>
      <c r="S384" t="s">
        <v>31</v>
      </c>
      <c r="T384" t="s">
        <v>32</v>
      </c>
      <c r="V384" s="1" t="e">
        <v>#N/A</v>
      </c>
      <c r="W384" t="s">
        <v>1022</v>
      </c>
      <c r="X384">
        <v>0</v>
      </c>
      <c r="Y384">
        <v>723</v>
      </c>
      <c r="AA384" t="str">
        <f t="shared" si="10"/>
        <v>update zamestnanci set nastup='104' where id='1335';</v>
      </c>
      <c r="AB384" t="str">
        <f t="shared" si="11"/>
        <v>update dochazka set zastavka = '104' where zamestnanec = '1335';</v>
      </c>
    </row>
    <row r="385" spans="1:28" x14ac:dyDescent="0.25">
      <c r="A385" s="2">
        <v>1338</v>
      </c>
      <c r="B385" t="s">
        <v>5887</v>
      </c>
      <c r="C385" t="s">
        <v>64</v>
      </c>
      <c r="D385" t="s">
        <v>5888</v>
      </c>
      <c r="E385" t="s">
        <v>1744</v>
      </c>
      <c r="F385" t="s">
        <v>4420</v>
      </c>
      <c r="G385" s="1">
        <v>45604</v>
      </c>
      <c r="H385" s="1">
        <v>45743</v>
      </c>
      <c r="I385" s="1">
        <v>73050</v>
      </c>
      <c r="J385" s="2" t="s">
        <v>2410</v>
      </c>
      <c r="K385" t="s">
        <v>5889</v>
      </c>
      <c r="M385" s="16" t="s">
        <v>8539</v>
      </c>
      <c r="N385" s="16" t="str">
        <f>VLOOKUP(M385,Tab_Zast[[Zastávka]:[Sloupec1]],2,0)</f>
        <v>104</v>
      </c>
      <c r="O385" t="s">
        <v>5890</v>
      </c>
      <c r="P385">
        <v>6</v>
      </c>
      <c r="Q385">
        <v>0</v>
      </c>
      <c r="R385" t="s">
        <v>31</v>
      </c>
      <c r="S385" t="s">
        <v>31</v>
      </c>
      <c r="T385" t="s">
        <v>32</v>
      </c>
      <c r="V385" s="1" t="e">
        <v>#N/A</v>
      </c>
      <c r="W385" t="s">
        <v>1022</v>
      </c>
      <c r="X385">
        <v>0</v>
      </c>
      <c r="Y385">
        <v>726</v>
      </c>
      <c r="AA385" t="str">
        <f t="shared" si="10"/>
        <v>update zamestnanci set nastup='104' where id='1338';</v>
      </c>
      <c r="AB385" t="str">
        <f t="shared" si="11"/>
        <v>update dochazka set zastavka = '104' where zamestnanec = '1338';</v>
      </c>
    </row>
    <row r="386" spans="1:28" x14ac:dyDescent="0.25">
      <c r="A386" s="2">
        <v>1438</v>
      </c>
      <c r="B386" t="s">
        <v>6276</v>
      </c>
      <c r="C386" t="s">
        <v>64</v>
      </c>
      <c r="D386" t="s">
        <v>6277</v>
      </c>
      <c r="E386" t="s">
        <v>2705</v>
      </c>
      <c r="F386" t="s">
        <v>6278</v>
      </c>
      <c r="G386" s="1">
        <v>45679</v>
      </c>
      <c r="H386" s="1">
        <v>45685</v>
      </c>
      <c r="I386" s="1">
        <v>73050</v>
      </c>
      <c r="J386" s="2" t="s">
        <v>2410</v>
      </c>
      <c r="K386" t="s">
        <v>6279</v>
      </c>
      <c r="M386" s="16" t="s">
        <v>8539</v>
      </c>
      <c r="N386" s="16" t="str">
        <f>VLOOKUP(M386,Tab_Zast[[Zastávka]:[Sloupec1]],2,0)</f>
        <v>104</v>
      </c>
      <c r="O386" t="s">
        <v>6280</v>
      </c>
      <c r="P386">
        <v>6</v>
      </c>
      <c r="Q386">
        <v>0</v>
      </c>
      <c r="R386" t="s">
        <v>31</v>
      </c>
      <c r="S386" t="s">
        <v>31</v>
      </c>
      <c r="T386" t="s">
        <v>32</v>
      </c>
      <c r="V386" s="1" t="e">
        <v>#N/A</v>
      </c>
      <c r="W386" t="s">
        <v>1022</v>
      </c>
      <c r="X386">
        <v>0</v>
      </c>
      <c r="Y386">
        <v>827</v>
      </c>
      <c r="AA386" t="str">
        <f t="shared" si="10"/>
        <v>update zamestnanci set nastup='104' where id='1438';</v>
      </c>
      <c r="AB386" t="str">
        <f t="shared" si="11"/>
        <v>update dochazka set zastavka = '104' where zamestnanec = '1438';</v>
      </c>
    </row>
    <row r="387" spans="1:28" x14ac:dyDescent="0.25">
      <c r="A387" s="2">
        <v>1470</v>
      </c>
      <c r="B387" t="s">
        <v>6405</v>
      </c>
      <c r="C387" t="s">
        <v>64</v>
      </c>
      <c r="D387" t="s">
        <v>6406</v>
      </c>
      <c r="E387" t="s">
        <v>3533</v>
      </c>
      <c r="F387" t="s">
        <v>6407</v>
      </c>
      <c r="G387" s="1">
        <v>45700</v>
      </c>
      <c r="H387" s="1">
        <v>45743</v>
      </c>
      <c r="I387" s="1">
        <v>73050</v>
      </c>
      <c r="J387" s="2" t="s">
        <v>2410</v>
      </c>
      <c r="K387" t="s">
        <v>6408</v>
      </c>
      <c r="M387" s="16" t="s">
        <v>8539</v>
      </c>
      <c r="N387" s="16" t="str">
        <f>VLOOKUP(M387,Tab_Zast[[Zastávka]:[Sloupec1]],2,0)</f>
        <v>104</v>
      </c>
      <c r="O387" t="s">
        <v>6409</v>
      </c>
      <c r="P387">
        <v>6</v>
      </c>
      <c r="Q387">
        <v>0</v>
      </c>
      <c r="R387" t="s">
        <v>31</v>
      </c>
      <c r="S387" t="s">
        <v>31</v>
      </c>
      <c r="T387" t="s">
        <v>32</v>
      </c>
      <c r="V387" s="1" t="e">
        <v>#N/A</v>
      </c>
      <c r="W387" t="s">
        <v>1022</v>
      </c>
      <c r="X387">
        <v>0</v>
      </c>
      <c r="Y387">
        <v>861</v>
      </c>
      <c r="AA387" t="str">
        <f t="shared" si="10"/>
        <v>update zamestnanci set nastup='104' where id='1470';</v>
      </c>
      <c r="AB387" t="str">
        <f t="shared" si="11"/>
        <v>update dochazka set zastavka = '104' where zamestnanec = '1470';</v>
      </c>
    </row>
    <row r="388" spans="1:28" x14ac:dyDescent="0.25">
      <c r="A388" s="2">
        <v>1471</v>
      </c>
      <c r="B388" t="s">
        <v>6410</v>
      </c>
      <c r="C388" t="s">
        <v>64</v>
      </c>
      <c r="D388" t="s">
        <v>6411</v>
      </c>
      <c r="E388" t="s">
        <v>593</v>
      </c>
      <c r="F388" t="s">
        <v>6412</v>
      </c>
      <c r="G388" s="1">
        <v>45700</v>
      </c>
      <c r="H388" s="1">
        <v>45700</v>
      </c>
      <c r="I388" s="1">
        <v>45700</v>
      </c>
      <c r="J388" s="2" t="s">
        <v>2410</v>
      </c>
      <c r="K388" t="s">
        <v>6413</v>
      </c>
      <c r="M388" s="16" t="s">
        <v>8539</v>
      </c>
      <c r="N388" s="16" t="str">
        <f>VLOOKUP(M388,Tab_Zast[[Zastávka]:[Sloupec1]],2,0)</f>
        <v>104</v>
      </c>
      <c r="O388" t="s">
        <v>6409</v>
      </c>
      <c r="P388">
        <v>6</v>
      </c>
      <c r="Q388">
        <v>0</v>
      </c>
      <c r="R388" t="s">
        <v>31</v>
      </c>
      <c r="S388" t="s">
        <v>31</v>
      </c>
      <c r="T388" t="s">
        <v>32</v>
      </c>
      <c r="V388" s="1" t="e">
        <v>#N/A</v>
      </c>
      <c r="W388" t="s">
        <v>1022</v>
      </c>
      <c r="X388">
        <v>0</v>
      </c>
      <c r="Y388">
        <v>862</v>
      </c>
      <c r="AA388" t="str">
        <f t="shared" ref="AA388:AA451" si="12">IF(J388&lt;&gt;"00","update zamestnanci set nastup='" &amp; J388 &amp; "' where id='" &amp; A388 &amp; "';","")</f>
        <v>update zamestnanci set nastup='104' where id='1471';</v>
      </c>
      <c r="AB388" t="str">
        <f t="shared" ref="AB388:AB451" si="13">IF(J388&lt;&gt;"00","update dochazka set zastavka = '" &amp; J388 &amp; "' where zamestnanec = '" &amp; A388 &amp; "';","")</f>
        <v>update dochazka set zastavka = '104' where zamestnanec = '1471';</v>
      </c>
    </row>
    <row r="389" spans="1:28" x14ac:dyDescent="0.25">
      <c r="A389" s="2">
        <v>1522</v>
      </c>
      <c r="B389" t="s">
        <v>6589</v>
      </c>
      <c r="C389" t="s">
        <v>64</v>
      </c>
      <c r="D389" t="s">
        <v>6590</v>
      </c>
      <c r="E389" t="s">
        <v>671</v>
      </c>
      <c r="F389" t="s">
        <v>569</v>
      </c>
      <c r="G389" s="1">
        <v>45728</v>
      </c>
      <c r="H389" s="1">
        <v>45931</v>
      </c>
      <c r="I389" s="1">
        <v>73050</v>
      </c>
      <c r="J389" s="2" t="s">
        <v>2410</v>
      </c>
      <c r="K389" t="s">
        <v>6591</v>
      </c>
      <c r="M389" s="16" t="s">
        <v>8539</v>
      </c>
      <c r="N389" s="16" t="str">
        <f>VLOOKUP(M389,Tab_Zast[[Zastávka]:[Sloupec1]],2,0)</f>
        <v>104</v>
      </c>
      <c r="O389" t="s">
        <v>6592</v>
      </c>
      <c r="P389">
        <v>6</v>
      </c>
      <c r="Q389">
        <v>0</v>
      </c>
      <c r="R389" t="s">
        <v>31</v>
      </c>
      <c r="S389" t="s">
        <v>31</v>
      </c>
      <c r="T389" t="s">
        <v>32</v>
      </c>
      <c r="V389" s="1" t="e">
        <v>#N/A</v>
      </c>
      <c r="W389" t="s">
        <v>3052</v>
      </c>
      <c r="X389">
        <v>0</v>
      </c>
      <c r="Y389">
        <v>910</v>
      </c>
      <c r="AA389" t="str">
        <f t="shared" si="12"/>
        <v>update zamestnanci set nastup='104' where id='1522';</v>
      </c>
      <c r="AB389" t="str">
        <f t="shared" si="13"/>
        <v>update dochazka set zastavka = '104' where zamestnanec = '1522';</v>
      </c>
    </row>
    <row r="390" spans="1:28" x14ac:dyDescent="0.25">
      <c r="A390" s="2">
        <v>1543</v>
      </c>
      <c r="B390" t="s">
        <v>6672</v>
      </c>
      <c r="C390" t="s">
        <v>64</v>
      </c>
      <c r="D390" t="s">
        <v>6673</v>
      </c>
      <c r="E390" t="s">
        <v>2391</v>
      </c>
      <c r="F390" t="s">
        <v>6674</v>
      </c>
      <c r="G390" s="1">
        <v>45743</v>
      </c>
      <c r="H390" s="1">
        <v>45806</v>
      </c>
      <c r="I390" s="1">
        <v>73050</v>
      </c>
      <c r="J390" s="2" t="s">
        <v>2410</v>
      </c>
      <c r="K390" t="s">
        <v>6675</v>
      </c>
      <c r="M390" s="16" t="s">
        <v>8539</v>
      </c>
      <c r="N390" s="16" t="str">
        <f>VLOOKUP(M390,Tab_Zast[[Zastávka]:[Sloupec1]],2,0)</f>
        <v>104</v>
      </c>
      <c r="O390" t="s">
        <v>6676</v>
      </c>
      <c r="P390">
        <v>6</v>
      </c>
      <c r="Q390">
        <v>0</v>
      </c>
      <c r="R390" t="s">
        <v>31</v>
      </c>
      <c r="S390" t="s">
        <v>31</v>
      </c>
      <c r="T390" t="s">
        <v>32</v>
      </c>
      <c r="V390" s="1">
        <v>45806</v>
      </c>
      <c r="W390" t="s">
        <v>3052</v>
      </c>
      <c r="X390">
        <v>0</v>
      </c>
      <c r="Y390">
        <v>934</v>
      </c>
      <c r="AA390" t="str">
        <f t="shared" si="12"/>
        <v>update zamestnanci set nastup='104' where id='1543';</v>
      </c>
      <c r="AB390" t="str">
        <f t="shared" si="13"/>
        <v>update dochazka set zastavka = '104' where zamestnanec = '1543';</v>
      </c>
    </row>
    <row r="391" spans="1:28" x14ac:dyDescent="0.25">
      <c r="A391" s="2">
        <v>1544</v>
      </c>
      <c r="B391" t="s">
        <v>6672</v>
      </c>
      <c r="C391" t="s">
        <v>64</v>
      </c>
      <c r="D391" t="s">
        <v>6673</v>
      </c>
      <c r="E391" t="s">
        <v>2391</v>
      </c>
      <c r="F391" t="s">
        <v>64</v>
      </c>
      <c r="G391" s="1">
        <v>45743</v>
      </c>
      <c r="H391" s="1">
        <v>45806</v>
      </c>
      <c r="I391" s="1">
        <v>73050</v>
      </c>
      <c r="J391" s="2" t="s">
        <v>2410</v>
      </c>
      <c r="K391" t="s">
        <v>6675</v>
      </c>
      <c r="M391" s="16" t="s">
        <v>8539</v>
      </c>
      <c r="N391" s="16" t="str">
        <f>VLOOKUP(M391,Tab_Zast[[Zastávka]:[Sloupec1]],2,0)</f>
        <v>104</v>
      </c>
      <c r="O391" t="s">
        <v>6676</v>
      </c>
      <c r="P391">
        <v>6</v>
      </c>
      <c r="Q391">
        <v>0</v>
      </c>
      <c r="R391" t="s">
        <v>129</v>
      </c>
      <c r="S391" t="s">
        <v>31</v>
      </c>
      <c r="T391" t="s">
        <v>32</v>
      </c>
      <c r="V391" s="1" t="e">
        <v>#N/A</v>
      </c>
      <c r="X391">
        <v>0</v>
      </c>
      <c r="Y391">
        <v>934</v>
      </c>
      <c r="AA391" t="str">
        <f t="shared" si="12"/>
        <v>update zamestnanci set nastup='104' where id='1544';</v>
      </c>
      <c r="AB391" t="str">
        <f t="shared" si="13"/>
        <v>update dochazka set zastavka = '104' where zamestnanec = '1544';</v>
      </c>
    </row>
    <row r="392" spans="1:28" x14ac:dyDescent="0.25">
      <c r="A392" s="2">
        <v>1546</v>
      </c>
      <c r="B392" t="s">
        <v>6681</v>
      </c>
      <c r="C392" t="s">
        <v>64</v>
      </c>
      <c r="D392" t="s">
        <v>4630</v>
      </c>
      <c r="E392" t="s">
        <v>1744</v>
      </c>
      <c r="F392" t="s">
        <v>606</v>
      </c>
      <c r="G392" s="1">
        <v>45743</v>
      </c>
      <c r="H392" s="1">
        <v>45764</v>
      </c>
      <c r="I392" s="1">
        <v>73050</v>
      </c>
      <c r="J392" s="2" t="s">
        <v>2410</v>
      </c>
      <c r="K392" t="s">
        <v>4632</v>
      </c>
      <c r="M392" s="16" t="s">
        <v>8539</v>
      </c>
      <c r="N392" s="16" t="str">
        <f>VLOOKUP(M392,Tab_Zast[[Zastávka]:[Sloupec1]],2,0)</f>
        <v>104</v>
      </c>
      <c r="O392" t="s">
        <v>6682</v>
      </c>
      <c r="P392">
        <v>6</v>
      </c>
      <c r="Q392">
        <v>0</v>
      </c>
      <c r="R392" t="s">
        <v>31</v>
      </c>
      <c r="S392" t="s">
        <v>31</v>
      </c>
      <c r="T392" t="s">
        <v>32</v>
      </c>
      <c r="V392" s="1">
        <v>45764</v>
      </c>
      <c r="W392" t="s">
        <v>3052</v>
      </c>
      <c r="X392">
        <v>0</v>
      </c>
      <c r="Y392">
        <v>936</v>
      </c>
      <c r="AA392" t="str">
        <f t="shared" si="12"/>
        <v>update zamestnanci set nastup='104' where id='1546';</v>
      </c>
      <c r="AB392" t="str">
        <f t="shared" si="13"/>
        <v>update dochazka set zastavka = '104' where zamestnanec = '1546';</v>
      </c>
    </row>
    <row r="393" spans="1:28" x14ac:dyDescent="0.25">
      <c r="A393" s="2">
        <v>1589</v>
      </c>
      <c r="B393" t="s">
        <v>6836</v>
      </c>
      <c r="C393" t="s">
        <v>64</v>
      </c>
      <c r="D393" t="s">
        <v>6837</v>
      </c>
      <c r="E393" t="s">
        <v>6838</v>
      </c>
      <c r="F393" t="s">
        <v>6839</v>
      </c>
      <c r="G393" s="1">
        <v>45763</v>
      </c>
      <c r="H393" s="1">
        <v>45824</v>
      </c>
      <c r="I393" s="1">
        <v>73050</v>
      </c>
      <c r="J393" s="2" t="s">
        <v>2410</v>
      </c>
      <c r="K393" t="s">
        <v>6840</v>
      </c>
      <c r="M393" s="16" t="s">
        <v>8539</v>
      </c>
      <c r="N393" s="16" t="str">
        <f>VLOOKUP(M393,Tab_Zast[[Zastávka]:[Sloupec1]],2,0)</f>
        <v>104</v>
      </c>
      <c r="O393" t="s">
        <v>6841</v>
      </c>
      <c r="P393">
        <v>6</v>
      </c>
      <c r="Q393">
        <v>0</v>
      </c>
      <c r="R393" t="s">
        <v>31</v>
      </c>
      <c r="S393" t="s">
        <v>31</v>
      </c>
      <c r="T393" t="s">
        <v>32</v>
      </c>
      <c r="V393" s="1">
        <v>45824</v>
      </c>
      <c r="W393" t="s">
        <v>1216</v>
      </c>
      <c r="X393">
        <v>0</v>
      </c>
      <c r="Y393">
        <v>982</v>
      </c>
      <c r="AA393" t="str">
        <f t="shared" si="12"/>
        <v>update zamestnanci set nastup='104' where id='1589';</v>
      </c>
      <c r="AB393" t="str">
        <f t="shared" si="13"/>
        <v>update dochazka set zastavka = '104' where zamestnanec = '1589';</v>
      </c>
    </row>
    <row r="394" spans="1:28" x14ac:dyDescent="0.25">
      <c r="A394" s="2">
        <v>1600</v>
      </c>
      <c r="B394" t="s">
        <v>6874</v>
      </c>
      <c r="C394" t="s">
        <v>64</v>
      </c>
      <c r="D394" t="s">
        <v>6875</v>
      </c>
      <c r="E394" t="s">
        <v>3152</v>
      </c>
      <c r="F394" t="s">
        <v>6876</v>
      </c>
      <c r="G394" s="1">
        <v>45770</v>
      </c>
      <c r="H394" s="1">
        <v>45770</v>
      </c>
      <c r="I394" s="1">
        <v>45770</v>
      </c>
      <c r="J394" s="2" t="s">
        <v>2410</v>
      </c>
      <c r="K394" t="s">
        <v>6877</v>
      </c>
      <c r="M394" s="16" t="s">
        <v>8539</v>
      </c>
      <c r="N394" s="16" t="str">
        <f>VLOOKUP(M394,Tab_Zast[[Zastávka]:[Sloupec1]],2,0)</f>
        <v>104</v>
      </c>
      <c r="O394" t="s">
        <v>6878</v>
      </c>
      <c r="P394">
        <v>6</v>
      </c>
      <c r="Q394">
        <v>0</v>
      </c>
      <c r="R394" t="s">
        <v>31</v>
      </c>
      <c r="S394" t="s">
        <v>31</v>
      </c>
      <c r="T394" t="s">
        <v>32</v>
      </c>
      <c r="V394" s="1" t="e">
        <v>#N/A</v>
      </c>
      <c r="W394" t="s">
        <v>3052</v>
      </c>
      <c r="X394">
        <v>0</v>
      </c>
      <c r="Y394">
        <v>991</v>
      </c>
      <c r="AA394" t="str">
        <f t="shared" si="12"/>
        <v>update zamestnanci set nastup='104' where id='1600';</v>
      </c>
      <c r="AB394" t="str">
        <f t="shared" si="13"/>
        <v>update dochazka set zastavka = '104' where zamestnanec = '1600';</v>
      </c>
    </row>
    <row r="395" spans="1:28" x14ac:dyDescent="0.25">
      <c r="A395" s="2">
        <v>1638</v>
      </c>
      <c r="B395" t="s">
        <v>64</v>
      </c>
      <c r="C395" t="s">
        <v>64</v>
      </c>
      <c r="D395" t="s">
        <v>7019</v>
      </c>
      <c r="E395" t="s">
        <v>2705</v>
      </c>
      <c r="F395" t="s">
        <v>64</v>
      </c>
      <c r="G395" s="1">
        <v>45789</v>
      </c>
      <c r="H395" s="1">
        <v>45789</v>
      </c>
      <c r="I395" s="1">
        <v>45789</v>
      </c>
      <c r="J395" s="2" t="s">
        <v>2410</v>
      </c>
      <c r="K395" t="s">
        <v>7020</v>
      </c>
      <c r="M395" s="16" t="s">
        <v>8539</v>
      </c>
      <c r="N395" s="16" t="str">
        <f>VLOOKUP(M395,Tab_Zast[[Zastávka]:[Sloupec1]],2,0)</f>
        <v>104</v>
      </c>
      <c r="O395" t="s">
        <v>7021</v>
      </c>
      <c r="P395">
        <v>6</v>
      </c>
      <c r="Q395">
        <v>0</v>
      </c>
      <c r="R395" t="s">
        <v>129</v>
      </c>
      <c r="S395" t="s">
        <v>179</v>
      </c>
      <c r="T395" t="s">
        <v>32</v>
      </c>
      <c r="V395" s="1" t="e">
        <v>#N/A</v>
      </c>
      <c r="X395">
        <v>0</v>
      </c>
      <c r="Y395">
        <v>1035</v>
      </c>
      <c r="AA395" t="str">
        <f t="shared" si="12"/>
        <v>update zamestnanci set nastup='104' where id='1638';</v>
      </c>
      <c r="AB395" t="str">
        <f t="shared" si="13"/>
        <v>update dochazka set zastavka = '104' where zamestnanec = '1638';</v>
      </c>
    </row>
    <row r="396" spans="1:28" x14ac:dyDescent="0.25">
      <c r="A396" s="2">
        <v>1640</v>
      </c>
      <c r="B396" t="s">
        <v>7026</v>
      </c>
      <c r="C396" t="s">
        <v>64</v>
      </c>
      <c r="D396" t="s">
        <v>5833</v>
      </c>
      <c r="E396" t="s">
        <v>2966</v>
      </c>
      <c r="F396" t="s">
        <v>7027</v>
      </c>
      <c r="G396" s="1">
        <v>45789</v>
      </c>
      <c r="H396" s="1">
        <v>45803</v>
      </c>
      <c r="I396" s="1">
        <v>73050</v>
      </c>
      <c r="J396" s="2" t="s">
        <v>2410</v>
      </c>
      <c r="K396" t="s">
        <v>5835</v>
      </c>
      <c r="M396" s="16" t="s">
        <v>8539</v>
      </c>
      <c r="N396" s="16" t="str">
        <f>VLOOKUP(M396,Tab_Zast[[Zastávka]:[Sloupec1]],2,0)</f>
        <v>104</v>
      </c>
      <c r="O396" t="s">
        <v>7028</v>
      </c>
      <c r="P396">
        <v>6</v>
      </c>
      <c r="Q396">
        <v>0</v>
      </c>
      <c r="R396" t="s">
        <v>31</v>
      </c>
      <c r="S396" t="s">
        <v>31</v>
      </c>
      <c r="T396" t="s">
        <v>32</v>
      </c>
      <c r="V396" s="1">
        <v>45803</v>
      </c>
      <c r="W396" t="s">
        <v>3052</v>
      </c>
      <c r="X396">
        <v>0</v>
      </c>
      <c r="Y396">
        <v>1029</v>
      </c>
      <c r="AA396" t="str">
        <f t="shared" si="12"/>
        <v>update zamestnanci set nastup='104' where id='1640';</v>
      </c>
      <c r="AB396" t="str">
        <f t="shared" si="13"/>
        <v>update dochazka set zastavka = '104' where zamestnanec = '1640';</v>
      </c>
    </row>
    <row r="397" spans="1:28" x14ac:dyDescent="0.25">
      <c r="A397" s="2">
        <v>1641</v>
      </c>
      <c r="B397" t="s">
        <v>7029</v>
      </c>
      <c r="C397" t="s">
        <v>64</v>
      </c>
      <c r="D397" t="s">
        <v>7030</v>
      </c>
      <c r="E397" t="s">
        <v>182</v>
      </c>
      <c r="F397" t="s">
        <v>7031</v>
      </c>
      <c r="G397" s="1">
        <v>45789</v>
      </c>
      <c r="H397" s="1">
        <v>45796</v>
      </c>
      <c r="I397" s="1">
        <v>73050</v>
      </c>
      <c r="J397" s="2" t="s">
        <v>2410</v>
      </c>
      <c r="K397" t="s">
        <v>7032</v>
      </c>
      <c r="M397" s="16" t="s">
        <v>8539</v>
      </c>
      <c r="N397" s="16" t="str">
        <f>VLOOKUP(M397,Tab_Zast[[Zastávka]:[Sloupec1]],2,0)</f>
        <v>104</v>
      </c>
      <c r="O397" t="s">
        <v>7033</v>
      </c>
      <c r="P397">
        <v>6</v>
      </c>
      <c r="Q397">
        <v>0</v>
      </c>
      <c r="R397" t="s">
        <v>31</v>
      </c>
      <c r="S397" t="s">
        <v>31</v>
      </c>
      <c r="T397" t="s">
        <v>32</v>
      </c>
      <c r="V397" s="1">
        <v>45796</v>
      </c>
      <c r="W397" t="s">
        <v>3052</v>
      </c>
      <c r="X397">
        <v>0</v>
      </c>
      <c r="Y397">
        <v>1030</v>
      </c>
      <c r="AA397" t="str">
        <f t="shared" si="12"/>
        <v>update zamestnanci set nastup='104' where id='1641';</v>
      </c>
      <c r="AB397" t="str">
        <f t="shared" si="13"/>
        <v>update dochazka set zastavka = '104' where zamestnanec = '1641';</v>
      </c>
    </row>
    <row r="398" spans="1:28" x14ac:dyDescent="0.25">
      <c r="A398" s="2">
        <v>1642</v>
      </c>
      <c r="B398" t="s">
        <v>64</v>
      </c>
      <c r="C398" t="s">
        <v>64</v>
      </c>
      <c r="D398" t="s">
        <v>7034</v>
      </c>
      <c r="E398" t="s">
        <v>770</v>
      </c>
      <c r="F398" t="s">
        <v>7035</v>
      </c>
      <c r="G398" s="1">
        <v>45789</v>
      </c>
      <c r="H398" s="1">
        <v>45792</v>
      </c>
      <c r="I398" s="1">
        <v>73050</v>
      </c>
      <c r="J398" s="2" t="s">
        <v>2410</v>
      </c>
      <c r="K398" t="s">
        <v>7036</v>
      </c>
      <c r="M398" s="16" t="s">
        <v>8539</v>
      </c>
      <c r="N398" s="16" t="str">
        <f>VLOOKUP(M398,Tab_Zast[[Zastávka]:[Sloupec1]],2,0)</f>
        <v>104</v>
      </c>
      <c r="O398" t="s">
        <v>7037</v>
      </c>
      <c r="P398">
        <v>6</v>
      </c>
      <c r="Q398">
        <v>0</v>
      </c>
      <c r="R398" t="s">
        <v>129</v>
      </c>
      <c r="S398" t="s">
        <v>179</v>
      </c>
      <c r="T398" t="s">
        <v>32</v>
      </c>
      <c r="V398" s="1">
        <v>45792</v>
      </c>
      <c r="W398" t="s">
        <v>3052</v>
      </c>
      <c r="X398">
        <v>0</v>
      </c>
      <c r="Y398">
        <v>1034</v>
      </c>
      <c r="AA398" t="str">
        <f t="shared" si="12"/>
        <v>update zamestnanci set nastup='104' where id='1642';</v>
      </c>
      <c r="AB398" t="str">
        <f t="shared" si="13"/>
        <v>update dochazka set zastavka = '104' where zamestnanec = '1642';</v>
      </c>
    </row>
    <row r="399" spans="1:28" x14ac:dyDescent="0.25">
      <c r="A399" s="2">
        <v>1643</v>
      </c>
      <c r="B399" t="s">
        <v>64</v>
      </c>
      <c r="C399" t="s">
        <v>64</v>
      </c>
      <c r="D399" t="s">
        <v>5930</v>
      </c>
      <c r="E399" t="s">
        <v>2883</v>
      </c>
      <c r="F399" t="s">
        <v>7038</v>
      </c>
      <c r="G399" s="1">
        <v>45789</v>
      </c>
      <c r="H399" s="1">
        <v>45805</v>
      </c>
      <c r="I399" s="1">
        <v>73050</v>
      </c>
      <c r="J399" s="2" t="s">
        <v>2410</v>
      </c>
      <c r="K399" t="s">
        <v>5932</v>
      </c>
      <c r="M399" s="16" t="s">
        <v>8539</v>
      </c>
      <c r="N399" s="16" t="str">
        <f>VLOOKUP(M399,Tab_Zast[[Zastávka]:[Sloupec1]],2,0)</f>
        <v>104</v>
      </c>
      <c r="O399" t="s">
        <v>5933</v>
      </c>
      <c r="P399">
        <v>6</v>
      </c>
      <c r="Q399">
        <v>0</v>
      </c>
      <c r="R399" t="s">
        <v>129</v>
      </c>
      <c r="S399" t="s">
        <v>179</v>
      </c>
      <c r="T399" t="s">
        <v>32</v>
      </c>
      <c r="V399" s="1">
        <v>45805</v>
      </c>
      <c r="W399" t="s">
        <v>3052</v>
      </c>
      <c r="X399">
        <v>0</v>
      </c>
      <c r="Y399">
        <v>1036</v>
      </c>
      <c r="AA399" t="str">
        <f t="shared" si="12"/>
        <v>update zamestnanci set nastup='104' where id='1643';</v>
      </c>
      <c r="AB399" t="str">
        <f t="shared" si="13"/>
        <v>update dochazka set zastavka = '104' where zamestnanec = '1643';</v>
      </c>
    </row>
    <row r="400" spans="1:28" x14ac:dyDescent="0.25">
      <c r="A400" s="2">
        <v>1650</v>
      </c>
      <c r="B400" t="s">
        <v>7059</v>
      </c>
      <c r="C400" t="s">
        <v>64</v>
      </c>
      <c r="D400" t="s">
        <v>7060</v>
      </c>
      <c r="E400" t="s">
        <v>3179</v>
      </c>
      <c r="F400" t="s">
        <v>64</v>
      </c>
      <c r="G400" s="1">
        <v>45792</v>
      </c>
      <c r="H400" s="1">
        <v>45792</v>
      </c>
      <c r="I400" s="1">
        <v>45792</v>
      </c>
      <c r="J400" s="2" t="s">
        <v>2410</v>
      </c>
      <c r="K400" t="s">
        <v>7061</v>
      </c>
      <c r="M400" s="16" t="s">
        <v>8539</v>
      </c>
      <c r="N400" s="16" t="str">
        <f>VLOOKUP(M400,Tab_Zast[[Zastávka]:[Sloupec1]],2,0)</f>
        <v>104</v>
      </c>
      <c r="O400" t="s">
        <v>7062</v>
      </c>
      <c r="P400">
        <v>6</v>
      </c>
      <c r="Q400">
        <v>0</v>
      </c>
      <c r="R400" t="s">
        <v>130</v>
      </c>
      <c r="S400" t="s">
        <v>31</v>
      </c>
      <c r="T400" t="s">
        <v>32</v>
      </c>
      <c r="V400" s="1">
        <v>45792</v>
      </c>
      <c r="W400" t="s">
        <v>1216</v>
      </c>
      <c r="X400">
        <v>0</v>
      </c>
      <c r="Y400">
        <v>1043</v>
      </c>
      <c r="AA400" t="str">
        <f t="shared" si="12"/>
        <v>update zamestnanci set nastup='104' where id='1650';</v>
      </c>
      <c r="AB400" t="str">
        <f t="shared" si="13"/>
        <v>update dochazka set zastavka = '104' where zamestnanec = '1650';</v>
      </c>
    </row>
    <row r="401" spans="1:28" x14ac:dyDescent="0.25">
      <c r="A401" s="2">
        <v>1654</v>
      </c>
      <c r="B401" t="s">
        <v>7069</v>
      </c>
      <c r="C401" t="s">
        <v>64</v>
      </c>
      <c r="D401" t="s">
        <v>7070</v>
      </c>
      <c r="E401" t="s">
        <v>7071</v>
      </c>
      <c r="F401" t="s">
        <v>7072</v>
      </c>
      <c r="G401" s="1">
        <v>45796</v>
      </c>
      <c r="H401" s="1">
        <v>45835</v>
      </c>
      <c r="I401" s="1">
        <v>73050</v>
      </c>
      <c r="J401" s="2" t="s">
        <v>2410</v>
      </c>
      <c r="K401" t="s">
        <v>7073</v>
      </c>
      <c r="M401" s="16" t="s">
        <v>8539</v>
      </c>
      <c r="N401" s="16" t="str">
        <f>VLOOKUP(M401,Tab_Zast[[Zastávka]:[Sloupec1]],2,0)</f>
        <v>104</v>
      </c>
      <c r="O401" t="s">
        <v>7074</v>
      </c>
      <c r="P401">
        <v>6</v>
      </c>
      <c r="Q401">
        <v>0</v>
      </c>
      <c r="R401" t="s">
        <v>31</v>
      </c>
      <c r="S401" t="s">
        <v>31</v>
      </c>
      <c r="T401" t="s">
        <v>32</v>
      </c>
      <c r="V401" s="1">
        <v>45835</v>
      </c>
      <c r="W401" t="s">
        <v>1216</v>
      </c>
      <c r="X401">
        <v>0</v>
      </c>
      <c r="Y401">
        <v>1047</v>
      </c>
      <c r="AA401" t="str">
        <f t="shared" si="12"/>
        <v>update zamestnanci set nastup='104' where id='1654';</v>
      </c>
      <c r="AB401" t="str">
        <f t="shared" si="13"/>
        <v>update dochazka set zastavka = '104' where zamestnanec = '1654';</v>
      </c>
    </row>
    <row r="402" spans="1:28" x14ac:dyDescent="0.25">
      <c r="A402" s="2">
        <v>1712</v>
      </c>
      <c r="B402" t="s">
        <v>7261</v>
      </c>
      <c r="C402" t="s">
        <v>64</v>
      </c>
      <c r="D402" t="s">
        <v>2020</v>
      </c>
      <c r="E402" t="s">
        <v>3048</v>
      </c>
      <c r="F402" t="s">
        <v>7262</v>
      </c>
      <c r="G402" s="1">
        <v>45839</v>
      </c>
      <c r="H402" s="1">
        <v>45839</v>
      </c>
      <c r="I402" s="1">
        <v>45839</v>
      </c>
      <c r="J402" s="2" t="s">
        <v>2410</v>
      </c>
      <c r="K402" t="s">
        <v>7263</v>
      </c>
      <c r="M402" s="16" t="s">
        <v>8539</v>
      </c>
      <c r="N402" s="16" t="str">
        <f>VLOOKUP(M402,Tab_Zast[[Zastávka]:[Sloupec1]],2,0)</f>
        <v>104</v>
      </c>
      <c r="O402" t="s">
        <v>7264</v>
      </c>
      <c r="P402">
        <v>6</v>
      </c>
      <c r="Q402">
        <v>0</v>
      </c>
      <c r="R402" t="s">
        <v>31</v>
      </c>
      <c r="S402" t="s">
        <v>31</v>
      </c>
      <c r="T402" t="s">
        <v>32</v>
      </c>
      <c r="V402" s="1" t="e">
        <v>#N/A</v>
      </c>
      <c r="W402" t="s">
        <v>3052</v>
      </c>
      <c r="X402">
        <v>0</v>
      </c>
      <c r="Y402">
        <v>1105</v>
      </c>
      <c r="AA402" t="str">
        <f t="shared" si="12"/>
        <v>update zamestnanci set nastup='104' where id='1712';</v>
      </c>
      <c r="AB402" t="str">
        <f t="shared" si="13"/>
        <v>update dochazka set zastavka = '104' where zamestnanec = '1712';</v>
      </c>
    </row>
    <row r="403" spans="1:28" x14ac:dyDescent="0.25">
      <c r="A403" s="2">
        <v>1743</v>
      </c>
      <c r="B403" t="s">
        <v>7390</v>
      </c>
      <c r="C403" t="s">
        <v>569</v>
      </c>
      <c r="D403" t="s">
        <v>7391</v>
      </c>
      <c r="E403" t="s">
        <v>2641</v>
      </c>
      <c r="F403" t="s">
        <v>7392</v>
      </c>
      <c r="G403" s="1">
        <v>45852</v>
      </c>
      <c r="H403" s="1">
        <v>45940</v>
      </c>
      <c r="I403" s="1">
        <v>73050</v>
      </c>
      <c r="J403" s="2" t="s">
        <v>2410</v>
      </c>
      <c r="K403" t="s">
        <v>7393</v>
      </c>
      <c r="M403" s="16" t="s">
        <v>8539</v>
      </c>
      <c r="N403" s="16" t="str">
        <f>VLOOKUP(M403,Tab_Zast[[Zastávka]:[Sloupec1]],2,0)</f>
        <v>104</v>
      </c>
      <c r="O403" t="s">
        <v>7394</v>
      </c>
      <c r="P403">
        <v>6</v>
      </c>
      <c r="Q403">
        <v>0</v>
      </c>
      <c r="R403" t="s">
        <v>31</v>
      </c>
      <c r="S403" t="s">
        <v>31</v>
      </c>
      <c r="T403" t="s">
        <v>32</v>
      </c>
      <c r="V403" s="1" t="e">
        <v>#N/A</v>
      </c>
      <c r="W403" t="s">
        <v>3052</v>
      </c>
      <c r="X403">
        <v>0</v>
      </c>
      <c r="Y403">
        <v>1129</v>
      </c>
      <c r="AA403" t="str">
        <f t="shared" si="12"/>
        <v>update zamestnanci set nastup='104' where id='1743';</v>
      </c>
      <c r="AB403" t="str">
        <f t="shared" si="13"/>
        <v>update dochazka set zastavka = '104' where zamestnanec = '1743';</v>
      </c>
    </row>
    <row r="404" spans="1:28" x14ac:dyDescent="0.25">
      <c r="A404" s="2">
        <v>1778</v>
      </c>
      <c r="B404" t="s">
        <v>7529</v>
      </c>
      <c r="C404" t="s">
        <v>569</v>
      </c>
      <c r="D404" t="s">
        <v>7530</v>
      </c>
      <c r="E404" t="s">
        <v>1509</v>
      </c>
      <c r="F404" t="s">
        <v>7531</v>
      </c>
      <c r="G404" s="1">
        <v>45876</v>
      </c>
      <c r="H404" s="1">
        <v>45926</v>
      </c>
      <c r="I404" s="1">
        <v>73050</v>
      </c>
      <c r="J404" s="2" t="s">
        <v>2410</v>
      </c>
      <c r="K404" t="s">
        <v>7532</v>
      </c>
      <c r="M404" s="16" t="s">
        <v>8539</v>
      </c>
      <c r="N404" s="16" t="str">
        <f>VLOOKUP(M404,Tab_Zast[[Zastávka]:[Sloupec1]],2,0)</f>
        <v>104</v>
      </c>
      <c r="O404" t="s">
        <v>7533</v>
      </c>
      <c r="P404">
        <v>6</v>
      </c>
      <c r="Q404">
        <v>0</v>
      </c>
      <c r="R404" t="s">
        <v>31</v>
      </c>
      <c r="S404" t="s">
        <v>31</v>
      </c>
      <c r="T404" t="s">
        <v>32</v>
      </c>
      <c r="V404" s="1" t="e">
        <v>#N/A</v>
      </c>
      <c r="W404" t="s">
        <v>3052</v>
      </c>
      <c r="X404">
        <v>0</v>
      </c>
      <c r="Y404">
        <v>1173</v>
      </c>
      <c r="AA404" t="str">
        <f t="shared" si="12"/>
        <v>update zamestnanci set nastup='104' where id='1778';</v>
      </c>
      <c r="AB404" t="str">
        <f t="shared" si="13"/>
        <v>update dochazka set zastavka = '104' where zamestnanec = '1778';</v>
      </c>
    </row>
    <row r="405" spans="1:28" x14ac:dyDescent="0.25">
      <c r="A405" s="2">
        <v>1798</v>
      </c>
      <c r="B405" t="s">
        <v>7601</v>
      </c>
      <c r="C405" t="s">
        <v>569</v>
      </c>
      <c r="D405" t="s">
        <v>7602</v>
      </c>
      <c r="E405" t="s">
        <v>182</v>
      </c>
      <c r="F405" t="s">
        <v>569</v>
      </c>
      <c r="G405" s="1">
        <v>45889</v>
      </c>
      <c r="H405" s="1">
        <v>45889</v>
      </c>
      <c r="I405" s="1">
        <v>73050</v>
      </c>
      <c r="J405" s="2" t="s">
        <v>2410</v>
      </c>
      <c r="K405" t="s">
        <v>7603</v>
      </c>
      <c r="M405" s="16" t="s">
        <v>8539</v>
      </c>
      <c r="N405" s="16" t="str">
        <f>VLOOKUP(M405,Tab_Zast[[Zastávka]:[Sloupec1]],2,0)</f>
        <v>104</v>
      </c>
      <c r="O405" t="s">
        <v>7604</v>
      </c>
      <c r="P405">
        <v>6</v>
      </c>
      <c r="Q405">
        <v>0</v>
      </c>
      <c r="R405" t="s">
        <v>31</v>
      </c>
      <c r="S405" t="s">
        <v>31</v>
      </c>
      <c r="T405" t="s">
        <v>32</v>
      </c>
      <c r="V405" s="1" t="e">
        <v>#N/A</v>
      </c>
      <c r="W405" t="s">
        <v>3052</v>
      </c>
      <c r="X405">
        <v>0</v>
      </c>
      <c r="Y405">
        <v>1192</v>
      </c>
      <c r="AA405" t="str">
        <f t="shared" si="12"/>
        <v>update zamestnanci set nastup='104' where id='1798';</v>
      </c>
      <c r="AB405" t="str">
        <f t="shared" si="13"/>
        <v>update dochazka set zastavka = '104' where zamestnanec = '1798';</v>
      </c>
    </row>
    <row r="406" spans="1:28" x14ac:dyDescent="0.25">
      <c r="A406" s="2">
        <v>37</v>
      </c>
      <c r="B406" t="s">
        <v>261</v>
      </c>
      <c r="D406" t="s">
        <v>262</v>
      </c>
      <c r="E406" t="s">
        <v>263</v>
      </c>
      <c r="F406" t="s">
        <v>264</v>
      </c>
      <c r="G406" s="1">
        <v>45208</v>
      </c>
      <c r="H406" s="1">
        <v>45307</v>
      </c>
      <c r="I406" s="1">
        <v>73050</v>
      </c>
      <c r="J406" s="2" t="s">
        <v>8299</v>
      </c>
      <c r="K406" t="s">
        <v>265</v>
      </c>
      <c r="M406" s="16" t="s">
        <v>8300</v>
      </c>
      <c r="N406" s="16" t="str">
        <f>VLOOKUP(M406,Tab_Zast[[Zastávka]:[Sloupec1]],2,0)</f>
        <v>16</v>
      </c>
      <c r="O406" t="s">
        <v>266</v>
      </c>
      <c r="P406">
        <v>1</v>
      </c>
      <c r="Q406">
        <v>0</v>
      </c>
      <c r="R406" t="s">
        <v>31</v>
      </c>
      <c r="S406" t="s">
        <v>31</v>
      </c>
      <c r="T406" t="s">
        <v>32</v>
      </c>
      <c r="V406" s="1" t="e">
        <v>#N/A</v>
      </c>
      <c r="W406" t="s">
        <v>47</v>
      </c>
      <c r="X406">
        <v>0</v>
      </c>
      <c r="Y406">
        <v>0</v>
      </c>
      <c r="AA406" t="str">
        <f t="shared" si="12"/>
        <v>update zamestnanci set nastup='16' where id='37';</v>
      </c>
      <c r="AB406" t="str">
        <f t="shared" si="13"/>
        <v>update dochazka set zastavka = '16' where zamestnanec = '37';</v>
      </c>
    </row>
    <row r="407" spans="1:28" x14ac:dyDescent="0.25">
      <c r="A407" s="2">
        <v>44</v>
      </c>
      <c r="B407" t="s">
        <v>300</v>
      </c>
      <c r="D407" t="s">
        <v>301</v>
      </c>
      <c r="E407" t="s">
        <v>302</v>
      </c>
      <c r="F407" t="s">
        <v>303</v>
      </c>
      <c r="G407" s="1">
        <v>44795</v>
      </c>
      <c r="H407" s="1">
        <v>45224</v>
      </c>
      <c r="I407" s="1">
        <v>73050</v>
      </c>
      <c r="J407" s="2" t="s">
        <v>8299</v>
      </c>
      <c r="K407" t="s">
        <v>304</v>
      </c>
      <c r="M407" s="16" t="s">
        <v>8300</v>
      </c>
      <c r="N407" s="16" t="str">
        <f>VLOOKUP(M407,Tab_Zast[[Zastávka]:[Sloupec1]],2,0)</f>
        <v>16</v>
      </c>
      <c r="O407" t="s">
        <v>305</v>
      </c>
      <c r="P407">
        <v>1</v>
      </c>
      <c r="Q407">
        <v>0</v>
      </c>
      <c r="R407" t="s">
        <v>31</v>
      </c>
      <c r="S407" t="s">
        <v>31</v>
      </c>
      <c r="T407" t="s">
        <v>32</v>
      </c>
      <c r="V407" s="1" t="e">
        <v>#N/A</v>
      </c>
      <c r="W407" t="s">
        <v>47</v>
      </c>
      <c r="X407">
        <v>0</v>
      </c>
      <c r="Y407">
        <v>0</v>
      </c>
      <c r="Z407" t="s">
        <v>54</v>
      </c>
      <c r="AA407" t="str">
        <f t="shared" si="12"/>
        <v>update zamestnanci set nastup='16' where id='44';</v>
      </c>
      <c r="AB407" t="str">
        <f t="shared" si="13"/>
        <v>update dochazka set zastavka = '16' where zamestnanec = '44';</v>
      </c>
    </row>
    <row r="408" spans="1:28" x14ac:dyDescent="0.25">
      <c r="A408" s="2">
        <v>111</v>
      </c>
      <c r="B408" t="s">
        <v>687</v>
      </c>
      <c r="C408" t="s">
        <v>687</v>
      </c>
      <c r="D408" t="s">
        <v>688</v>
      </c>
      <c r="E408" t="s">
        <v>689</v>
      </c>
      <c r="F408" t="s">
        <v>690</v>
      </c>
      <c r="G408" s="1">
        <v>44942</v>
      </c>
      <c r="H408" s="1">
        <v>45663</v>
      </c>
      <c r="I408" s="1">
        <v>45771</v>
      </c>
      <c r="J408" s="2" t="s">
        <v>8299</v>
      </c>
      <c r="K408" t="s">
        <v>691</v>
      </c>
      <c r="M408" s="16" t="s">
        <v>8300</v>
      </c>
      <c r="N408" s="16" t="str">
        <f>VLOOKUP(M408,Tab_Zast[[Zastávka]:[Sloupec1]],2,0)</f>
        <v>16</v>
      </c>
      <c r="O408" t="s">
        <v>692</v>
      </c>
      <c r="P408">
        <v>1</v>
      </c>
      <c r="Q408">
        <v>0</v>
      </c>
      <c r="R408" t="s">
        <v>31</v>
      </c>
      <c r="S408" t="s">
        <v>31</v>
      </c>
      <c r="T408" t="s">
        <v>32</v>
      </c>
      <c r="V408" s="1" t="e">
        <v>#N/A</v>
      </c>
      <c r="W408" t="s">
        <v>47</v>
      </c>
      <c r="X408">
        <v>0</v>
      </c>
      <c r="Y408">
        <v>0</v>
      </c>
      <c r="Z408" t="s">
        <v>54</v>
      </c>
      <c r="AA408" t="str">
        <f t="shared" si="12"/>
        <v>update zamestnanci set nastup='16' where id='111';</v>
      </c>
      <c r="AB408" t="str">
        <f t="shared" si="13"/>
        <v>update dochazka set zastavka = '16' where zamestnanec = '111';</v>
      </c>
    </row>
    <row r="409" spans="1:28" x14ac:dyDescent="0.25">
      <c r="A409" s="2">
        <v>170</v>
      </c>
      <c r="B409" t="s">
        <v>1043</v>
      </c>
      <c r="C409" t="s">
        <v>1044</v>
      </c>
      <c r="D409" t="s">
        <v>307</v>
      </c>
      <c r="E409" t="s">
        <v>1045</v>
      </c>
      <c r="F409" t="s">
        <v>1046</v>
      </c>
      <c r="G409" s="1">
        <v>44477</v>
      </c>
      <c r="H409" s="1">
        <v>73050</v>
      </c>
      <c r="I409" s="1" t="e">
        <v>#N/A</v>
      </c>
      <c r="J409" s="2" t="s">
        <v>8426</v>
      </c>
      <c r="K409" t="s">
        <v>1047</v>
      </c>
      <c r="M409" s="16" t="s">
        <v>8427</v>
      </c>
      <c r="N409" s="16" t="str">
        <f>VLOOKUP(M409,Tab_Zast[[Zastávka]:[Sloupec1]],2,0)</f>
        <v>67</v>
      </c>
      <c r="O409" t="s">
        <v>1048</v>
      </c>
      <c r="P409">
        <v>6</v>
      </c>
      <c r="Q409">
        <v>0</v>
      </c>
      <c r="R409" t="s">
        <v>129</v>
      </c>
      <c r="S409" t="s">
        <v>129</v>
      </c>
      <c r="T409" t="s">
        <v>32</v>
      </c>
      <c r="V409" s="1" t="e">
        <v>#N/A</v>
      </c>
      <c r="W409" t="s">
        <v>1022</v>
      </c>
      <c r="X409">
        <v>1</v>
      </c>
      <c r="Y409">
        <v>0</v>
      </c>
      <c r="AA409" t="str">
        <f t="shared" si="12"/>
        <v>update zamestnanci set nastup='67' where id='170';</v>
      </c>
      <c r="AB409" t="str">
        <f t="shared" si="13"/>
        <v>update dochazka set zastavka = '67' where zamestnanec = '170';</v>
      </c>
    </row>
    <row r="410" spans="1:28" x14ac:dyDescent="0.25">
      <c r="A410" s="2">
        <v>180</v>
      </c>
      <c r="B410" t="s">
        <v>1102</v>
      </c>
      <c r="C410" t="s">
        <v>1103</v>
      </c>
      <c r="D410" t="s">
        <v>1104</v>
      </c>
      <c r="E410" t="s">
        <v>1105</v>
      </c>
      <c r="F410" t="s">
        <v>1106</v>
      </c>
      <c r="G410" s="1">
        <v>44643</v>
      </c>
      <c r="H410" s="1" t="e">
        <v>#N/A</v>
      </c>
      <c r="I410" s="1" t="e">
        <v>#N/A</v>
      </c>
      <c r="J410" s="2" t="s">
        <v>8426</v>
      </c>
      <c r="K410" t="s">
        <v>1107</v>
      </c>
      <c r="M410" s="16" t="s">
        <v>8427</v>
      </c>
      <c r="N410" s="16" t="str">
        <f>VLOOKUP(M410,Tab_Zast[[Zastávka]:[Sloupec1]],2,0)</f>
        <v>67</v>
      </c>
      <c r="O410" t="s">
        <v>1108</v>
      </c>
      <c r="P410">
        <v>6</v>
      </c>
      <c r="Q410">
        <v>0</v>
      </c>
      <c r="R410" t="s">
        <v>129</v>
      </c>
      <c r="S410" t="s">
        <v>130</v>
      </c>
      <c r="T410" t="s">
        <v>32</v>
      </c>
      <c r="V410" s="1" t="e">
        <v>#N/A</v>
      </c>
      <c r="W410" t="s">
        <v>1022</v>
      </c>
      <c r="X410">
        <v>1</v>
      </c>
      <c r="Y410">
        <v>0</v>
      </c>
      <c r="AA410" t="str">
        <f t="shared" si="12"/>
        <v>update zamestnanci set nastup='67' where id='180';</v>
      </c>
      <c r="AB410" t="str">
        <f t="shared" si="13"/>
        <v>update dochazka set zastavka = '67' where zamestnanec = '180';</v>
      </c>
    </row>
    <row r="411" spans="1:28" x14ac:dyDescent="0.25">
      <c r="A411" s="2">
        <v>184</v>
      </c>
      <c r="B411" t="s">
        <v>1128</v>
      </c>
      <c r="D411" t="s">
        <v>1129</v>
      </c>
      <c r="E411" t="s">
        <v>1130</v>
      </c>
      <c r="F411" t="s">
        <v>1131</v>
      </c>
      <c r="G411" s="1">
        <v>45203</v>
      </c>
      <c r="H411" s="1">
        <v>45303</v>
      </c>
      <c r="I411" s="1">
        <v>73050</v>
      </c>
      <c r="J411" s="2" t="s">
        <v>8426</v>
      </c>
      <c r="K411" t="s">
        <v>1132</v>
      </c>
      <c r="M411" s="16" t="s">
        <v>8427</v>
      </c>
      <c r="N411" s="16" t="str">
        <f>VLOOKUP(M411,Tab_Zast[[Zastávka]:[Sloupec1]],2,0)</f>
        <v>67</v>
      </c>
      <c r="O411" t="s">
        <v>1133</v>
      </c>
      <c r="P411">
        <v>6</v>
      </c>
      <c r="Q411">
        <v>0</v>
      </c>
      <c r="R411" t="s">
        <v>31</v>
      </c>
      <c r="S411" t="s">
        <v>31</v>
      </c>
      <c r="T411" t="s">
        <v>32</v>
      </c>
      <c r="V411" s="1" t="e">
        <v>#N/A</v>
      </c>
      <c r="W411" t="s">
        <v>1022</v>
      </c>
      <c r="X411">
        <v>0</v>
      </c>
      <c r="Y411">
        <v>0</v>
      </c>
      <c r="Z411" t="s">
        <v>54</v>
      </c>
      <c r="AA411" t="str">
        <f t="shared" si="12"/>
        <v>update zamestnanci set nastup='67' where id='184';</v>
      </c>
      <c r="AB411" t="str">
        <f t="shared" si="13"/>
        <v>update dochazka set zastavka = '67' where zamestnanec = '184';</v>
      </c>
    </row>
    <row r="412" spans="1:28" x14ac:dyDescent="0.25">
      <c r="A412" s="2">
        <v>412</v>
      </c>
      <c r="B412" t="s">
        <v>1387</v>
      </c>
      <c r="D412" t="s">
        <v>1388</v>
      </c>
      <c r="E412" t="s">
        <v>1389</v>
      </c>
      <c r="F412" t="s">
        <v>1390</v>
      </c>
      <c r="G412" s="1">
        <v>45168</v>
      </c>
      <c r="H412" s="1">
        <v>45322</v>
      </c>
      <c r="I412" s="1">
        <v>73050</v>
      </c>
      <c r="J412" s="2" t="s">
        <v>8426</v>
      </c>
      <c r="K412" t="s">
        <v>1391</v>
      </c>
      <c r="M412" s="16" t="s">
        <v>8427</v>
      </c>
      <c r="N412" s="16" t="str">
        <f>VLOOKUP(M412,Tab_Zast[[Zastávka]:[Sloupec1]],2,0)</f>
        <v>67</v>
      </c>
      <c r="O412" t="s">
        <v>1392</v>
      </c>
      <c r="P412">
        <v>6</v>
      </c>
      <c r="Q412">
        <v>0</v>
      </c>
      <c r="R412" t="s">
        <v>31</v>
      </c>
      <c r="S412" t="s">
        <v>31</v>
      </c>
      <c r="T412" t="s">
        <v>32</v>
      </c>
      <c r="V412" s="1" t="e">
        <v>#N/A</v>
      </c>
      <c r="W412" t="s">
        <v>1216</v>
      </c>
      <c r="X412">
        <v>0</v>
      </c>
      <c r="Y412">
        <v>0</v>
      </c>
      <c r="Z412" t="s">
        <v>54</v>
      </c>
      <c r="AA412" t="str">
        <f t="shared" si="12"/>
        <v>update zamestnanci set nastup='67' where id='412';</v>
      </c>
      <c r="AB412" t="str">
        <f t="shared" si="13"/>
        <v>update dochazka set zastavka = '67' where zamestnanec = '412';</v>
      </c>
    </row>
    <row r="413" spans="1:28" x14ac:dyDescent="0.25">
      <c r="A413" s="2">
        <v>423</v>
      </c>
      <c r="B413" t="s">
        <v>1455</v>
      </c>
      <c r="D413" t="s">
        <v>1456</v>
      </c>
      <c r="E413" t="s">
        <v>1457</v>
      </c>
      <c r="F413" t="s">
        <v>1458</v>
      </c>
      <c r="G413" s="1">
        <v>45154</v>
      </c>
      <c r="H413" s="1">
        <v>45394</v>
      </c>
      <c r="I413" s="1">
        <v>73050</v>
      </c>
      <c r="J413" s="2" t="s">
        <v>8426</v>
      </c>
      <c r="K413" t="s">
        <v>1459</v>
      </c>
      <c r="M413" s="16" t="s">
        <v>8427</v>
      </c>
      <c r="N413" s="16" t="str">
        <f>VLOOKUP(M413,Tab_Zast[[Zastávka]:[Sloupec1]],2,0)</f>
        <v>67</v>
      </c>
      <c r="O413" t="s">
        <v>1460</v>
      </c>
      <c r="P413">
        <v>6</v>
      </c>
      <c r="Q413">
        <v>0</v>
      </c>
      <c r="R413" t="s">
        <v>31</v>
      </c>
      <c r="S413" t="s">
        <v>31</v>
      </c>
      <c r="T413" t="s">
        <v>32</v>
      </c>
      <c r="V413" s="1" t="e">
        <v>#N/A</v>
      </c>
      <c r="W413" t="s">
        <v>1216</v>
      </c>
      <c r="X413">
        <v>0</v>
      </c>
      <c r="Y413">
        <v>0</v>
      </c>
      <c r="Z413" t="s">
        <v>40</v>
      </c>
      <c r="AA413" t="str">
        <f t="shared" si="12"/>
        <v>update zamestnanci set nastup='67' where id='423';</v>
      </c>
      <c r="AB413" t="str">
        <f t="shared" si="13"/>
        <v>update dochazka set zastavka = '67' where zamestnanec = '423';</v>
      </c>
    </row>
    <row r="414" spans="1:28" x14ac:dyDescent="0.25">
      <c r="A414" s="2">
        <v>424</v>
      </c>
      <c r="B414" t="s">
        <v>1461</v>
      </c>
      <c r="D414" t="s">
        <v>1456</v>
      </c>
      <c r="E414" t="s">
        <v>1462</v>
      </c>
      <c r="F414" t="s">
        <v>1463</v>
      </c>
      <c r="G414" s="1">
        <v>45075</v>
      </c>
      <c r="H414" s="1">
        <v>45440</v>
      </c>
      <c r="I414" s="1">
        <v>73050</v>
      </c>
      <c r="J414" s="2" t="s">
        <v>8426</v>
      </c>
      <c r="K414" t="s">
        <v>1464</v>
      </c>
      <c r="M414" s="16" t="s">
        <v>8427</v>
      </c>
      <c r="N414" s="16" t="str">
        <f>VLOOKUP(M414,Tab_Zast[[Zastávka]:[Sloupec1]],2,0)</f>
        <v>67</v>
      </c>
      <c r="O414" t="s">
        <v>1460</v>
      </c>
      <c r="P414">
        <v>6</v>
      </c>
      <c r="Q414">
        <v>0</v>
      </c>
      <c r="R414" t="s">
        <v>31</v>
      </c>
      <c r="S414" t="s">
        <v>31</v>
      </c>
      <c r="T414" t="s">
        <v>32</v>
      </c>
      <c r="V414" s="1" t="e">
        <v>#N/A</v>
      </c>
      <c r="W414" t="s">
        <v>1216</v>
      </c>
      <c r="X414">
        <v>0</v>
      </c>
      <c r="Y414">
        <v>0</v>
      </c>
      <c r="Z414" t="s">
        <v>40</v>
      </c>
      <c r="AA414" t="str">
        <f t="shared" si="12"/>
        <v>update zamestnanci set nastup='67' where id='424';</v>
      </c>
      <c r="AB414" t="str">
        <f t="shared" si="13"/>
        <v>update dochazka set zastavka = '67' where zamestnanec = '424';</v>
      </c>
    </row>
    <row r="415" spans="1:28" x14ac:dyDescent="0.25">
      <c r="A415" s="2">
        <v>444</v>
      </c>
      <c r="B415" t="s">
        <v>1588</v>
      </c>
      <c r="C415" t="s">
        <v>1589</v>
      </c>
      <c r="D415" t="s">
        <v>1590</v>
      </c>
      <c r="E415" t="s">
        <v>426</v>
      </c>
      <c r="F415" t="s">
        <v>569</v>
      </c>
      <c r="G415" s="1">
        <v>45182</v>
      </c>
      <c r="H415" s="1">
        <v>45911</v>
      </c>
      <c r="I415" s="1">
        <v>73050</v>
      </c>
      <c r="J415" s="2" t="s">
        <v>8321</v>
      </c>
      <c r="K415" t="s">
        <v>1591</v>
      </c>
      <c r="M415" s="16" t="s">
        <v>8322</v>
      </c>
      <c r="N415" s="16" t="str">
        <f>VLOOKUP(M415,Tab_Zast[[Zastávka]:[Sloupec1]],2,0)</f>
        <v>25</v>
      </c>
      <c r="O415" t="s">
        <v>1592</v>
      </c>
      <c r="P415">
        <v>6</v>
      </c>
      <c r="Q415">
        <v>0</v>
      </c>
      <c r="R415" t="s">
        <v>31</v>
      </c>
      <c r="S415" t="s">
        <v>31</v>
      </c>
      <c r="T415" t="s">
        <v>32</v>
      </c>
      <c r="V415" s="1" t="e">
        <v>#N/A</v>
      </c>
      <c r="W415" t="s">
        <v>1216</v>
      </c>
      <c r="X415">
        <v>0</v>
      </c>
      <c r="Y415">
        <v>0</v>
      </c>
      <c r="AA415" t="str">
        <f t="shared" si="12"/>
        <v>update zamestnanci set nastup='25' where id='444';</v>
      </c>
      <c r="AB415" t="str">
        <f t="shared" si="13"/>
        <v>update dochazka set zastavka = '25' where zamestnanec = '444';</v>
      </c>
    </row>
    <row r="416" spans="1:28" x14ac:dyDescent="0.25">
      <c r="A416" s="2">
        <v>473</v>
      </c>
      <c r="B416" t="s">
        <v>1773</v>
      </c>
      <c r="D416" t="s">
        <v>1774</v>
      </c>
      <c r="E416" t="s">
        <v>1775</v>
      </c>
      <c r="F416" t="s">
        <v>1776</v>
      </c>
      <c r="G416" s="1">
        <v>45201</v>
      </c>
      <c r="H416" s="1">
        <v>45309</v>
      </c>
      <c r="I416" s="1">
        <v>73050</v>
      </c>
      <c r="J416" s="2" t="s">
        <v>8426</v>
      </c>
      <c r="K416" t="s">
        <v>1777</v>
      </c>
      <c r="M416" s="16" t="s">
        <v>8427</v>
      </c>
      <c r="N416" s="16" t="str">
        <f>VLOOKUP(M416,Tab_Zast[[Zastávka]:[Sloupec1]],2,0)</f>
        <v>67</v>
      </c>
      <c r="O416" t="s">
        <v>1778</v>
      </c>
      <c r="P416">
        <v>6</v>
      </c>
      <c r="Q416">
        <v>0</v>
      </c>
      <c r="R416" t="s">
        <v>31</v>
      </c>
      <c r="S416" t="s">
        <v>31</v>
      </c>
      <c r="T416" t="s">
        <v>32</v>
      </c>
      <c r="V416" s="1" t="e">
        <v>#N/A</v>
      </c>
      <c r="W416" t="s">
        <v>1216</v>
      </c>
      <c r="X416">
        <v>0</v>
      </c>
      <c r="Y416">
        <v>0</v>
      </c>
      <c r="Z416" t="s">
        <v>54</v>
      </c>
      <c r="AA416" t="str">
        <f t="shared" si="12"/>
        <v>update zamestnanci set nastup='67' where id='473';</v>
      </c>
      <c r="AB416" t="str">
        <f t="shared" si="13"/>
        <v>update dochazka set zastavka = '67' where zamestnanec = '473';</v>
      </c>
    </row>
    <row r="417" spans="1:28" x14ac:dyDescent="0.25">
      <c r="A417" s="2">
        <v>479</v>
      </c>
      <c r="B417" t="s">
        <v>1810</v>
      </c>
      <c r="D417" t="s">
        <v>1811</v>
      </c>
      <c r="E417" t="s">
        <v>1812</v>
      </c>
      <c r="F417" t="s">
        <v>1813</v>
      </c>
      <c r="G417" s="1">
        <v>45161</v>
      </c>
      <c r="H417" s="1">
        <v>45344</v>
      </c>
      <c r="I417" s="1">
        <v>73050</v>
      </c>
      <c r="J417" s="2" t="s">
        <v>8426</v>
      </c>
      <c r="K417" t="s">
        <v>1814</v>
      </c>
      <c r="M417" s="16" t="s">
        <v>8427</v>
      </c>
      <c r="N417" s="16" t="str">
        <f>VLOOKUP(M417,Tab_Zast[[Zastávka]:[Sloupec1]],2,0)</f>
        <v>67</v>
      </c>
      <c r="O417" t="s">
        <v>1815</v>
      </c>
      <c r="P417">
        <v>6</v>
      </c>
      <c r="Q417">
        <v>0</v>
      </c>
      <c r="R417" t="s">
        <v>31</v>
      </c>
      <c r="S417" t="s">
        <v>31</v>
      </c>
      <c r="T417" t="s">
        <v>32</v>
      </c>
      <c r="V417" s="1" t="e">
        <v>#N/A</v>
      </c>
      <c r="W417" t="s">
        <v>1216</v>
      </c>
      <c r="X417">
        <v>0</v>
      </c>
      <c r="Y417">
        <v>0</v>
      </c>
      <c r="Z417" t="s">
        <v>54</v>
      </c>
      <c r="AA417" t="str">
        <f t="shared" si="12"/>
        <v>update zamestnanci set nastup='67' where id='479';</v>
      </c>
      <c r="AB417" t="str">
        <f t="shared" si="13"/>
        <v>update dochazka set zastavka = '67' where zamestnanec = '479';</v>
      </c>
    </row>
    <row r="418" spans="1:28" x14ac:dyDescent="0.25">
      <c r="A418" s="2">
        <v>486</v>
      </c>
      <c r="B418" t="s">
        <v>1857</v>
      </c>
      <c r="C418" t="s">
        <v>1394</v>
      </c>
      <c r="D418" t="s">
        <v>1858</v>
      </c>
      <c r="E418" t="s">
        <v>737</v>
      </c>
      <c r="F418" t="s">
        <v>1859</v>
      </c>
      <c r="G418" s="1">
        <v>45145</v>
      </c>
      <c r="H418" s="1">
        <v>73050</v>
      </c>
      <c r="I418" s="1" t="e">
        <v>#N/A</v>
      </c>
      <c r="J418" s="2" t="s">
        <v>8321</v>
      </c>
      <c r="K418" t="s">
        <v>1860</v>
      </c>
      <c r="M418" s="16" t="s">
        <v>8322</v>
      </c>
      <c r="N418" s="16" t="str">
        <f>VLOOKUP(M418,Tab_Zast[[Zastávka]:[Sloupec1]],2,0)</f>
        <v>25</v>
      </c>
      <c r="O418" t="s">
        <v>167</v>
      </c>
      <c r="P418">
        <v>6</v>
      </c>
      <c r="Q418">
        <v>0</v>
      </c>
      <c r="R418" t="s">
        <v>130</v>
      </c>
      <c r="S418" t="s">
        <v>31</v>
      </c>
      <c r="T418" t="s">
        <v>32</v>
      </c>
      <c r="V418" s="1" t="e">
        <v>#N/A</v>
      </c>
      <c r="W418" t="s">
        <v>1216</v>
      </c>
      <c r="X418">
        <v>1</v>
      </c>
      <c r="Y418">
        <v>0</v>
      </c>
      <c r="Z418" t="s">
        <v>54</v>
      </c>
      <c r="AA418" t="str">
        <f t="shared" si="12"/>
        <v>update zamestnanci set nastup='25' where id='486';</v>
      </c>
      <c r="AB418" t="str">
        <f t="shared" si="13"/>
        <v>update dochazka set zastavka = '25' where zamestnanec = '486';</v>
      </c>
    </row>
    <row r="419" spans="1:28" x14ac:dyDescent="0.25">
      <c r="A419" s="2">
        <v>487</v>
      </c>
      <c r="B419" t="s">
        <v>1861</v>
      </c>
      <c r="C419" t="s">
        <v>1862</v>
      </c>
      <c r="D419" t="s">
        <v>1863</v>
      </c>
      <c r="E419" t="s">
        <v>1864</v>
      </c>
      <c r="F419" t="s">
        <v>1865</v>
      </c>
      <c r="G419" s="1">
        <v>44593</v>
      </c>
      <c r="H419" s="1">
        <v>73050</v>
      </c>
      <c r="I419" s="1" t="e">
        <v>#N/A</v>
      </c>
      <c r="J419" s="2" t="s">
        <v>8321</v>
      </c>
      <c r="K419" t="s">
        <v>1866</v>
      </c>
      <c r="M419" s="16" t="s">
        <v>8322</v>
      </c>
      <c r="N419" s="16" t="str">
        <f>VLOOKUP(M419,Tab_Zast[[Zastávka]:[Sloupec1]],2,0)</f>
        <v>25</v>
      </c>
      <c r="O419" t="s">
        <v>1867</v>
      </c>
      <c r="P419">
        <v>6</v>
      </c>
      <c r="Q419">
        <v>0</v>
      </c>
      <c r="R419" t="s">
        <v>130</v>
      </c>
      <c r="S419" t="s">
        <v>31</v>
      </c>
      <c r="T419" t="s">
        <v>32</v>
      </c>
      <c r="V419" s="1" t="e">
        <v>#N/A</v>
      </c>
      <c r="W419" t="s">
        <v>1216</v>
      </c>
      <c r="X419">
        <v>1</v>
      </c>
      <c r="Y419">
        <v>0</v>
      </c>
      <c r="AA419" t="str">
        <f t="shared" si="12"/>
        <v>update zamestnanci set nastup='25' where id='487';</v>
      </c>
      <c r="AB419" t="str">
        <f t="shared" si="13"/>
        <v>update dochazka set zastavka = '25' where zamestnanec = '487';</v>
      </c>
    </row>
    <row r="420" spans="1:28" x14ac:dyDescent="0.25">
      <c r="A420" s="2">
        <v>501</v>
      </c>
      <c r="B420" t="s">
        <v>1951</v>
      </c>
      <c r="C420" t="s">
        <v>1952</v>
      </c>
      <c r="D420" t="s">
        <v>1149</v>
      </c>
      <c r="E420" t="s">
        <v>86</v>
      </c>
      <c r="F420" t="s">
        <v>1953</v>
      </c>
      <c r="G420" s="1">
        <v>44593</v>
      </c>
      <c r="H420" s="1">
        <v>45807</v>
      </c>
      <c r="I420" s="1">
        <v>73050</v>
      </c>
      <c r="J420" s="2" t="s">
        <v>8321</v>
      </c>
      <c r="K420" t="s">
        <v>1954</v>
      </c>
      <c r="M420" s="16" t="s">
        <v>8322</v>
      </c>
      <c r="N420" s="16" t="str">
        <f>VLOOKUP(M420,Tab_Zast[[Zastávka]:[Sloupec1]],2,0)</f>
        <v>25</v>
      </c>
      <c r="O420" t="s">
        <v>1955</v>
      </c>
      <c r="P420">
        <v>6</v>
      </c>
      <c r="Q420">
        <v>0</v>
      </c>
      <c r="R420" t="s">
        <v>31</v>
      </c>
      <c r="S420" t="s">
        <v>31</v>
      </c>
      <c r="T420" t="s">
        <v>32</v>
      </c>
      <c r="V420" s="1" t="e">
        <v>#N/A</v>
      </c>
      <c r="W420" t="s">
        <v>1216</v>
      </c>
      <c r="X420">
        <v>0</v>
      </c>
      <c r="Y420">
        <v>0</v>
      </c>
      <c r="AA420" t="str">
        <f t="shared" si="12"/>
        <v>update zamestnanci set nastup='25' where id='501';</v>
      </c>
      <c r="AB420" t="str">
        <f t="shared" si="13"/>
        <v>update dochazka set zastavka = '25' where zamestnanec = '501';</v>
      </c>
    </row>
    <row r="421" spans="1:28" x14ac:dyDescent="0.25">
      <c r="A421" s="2">
        <v>503</v>
      </c>
      <c r="B421" t="s">
        <v>1960</v>
      </c>
      <c r="D421" t="s">
        <v>1961</v>
      </c>
      <c r="E421" t="s">
        <v>1962</v>
      </c>
      <c r="F421" t="s">
        <v>1963</v>
      </c>
      <c r="G421" s="1">
        <v>45159</v>
      </c>
      <c r="H421" s="1">
        <v>45348</v>
      </c>
      <c r="I421" s="1">
        <v>73050</v>
      </c>
      <c r="J421" s="2" t="s">
        <v>8426</v>
      </c>
      <c r="K421" t="s">
        <v>1964</v>
      </c>
      <c r="M421" s="16" t="s">
        <v>8427</v>
      </c>
      <c r="N421" s="16" t="str">
        <f>VLOOKUP(M421,Tab_Zast[[Zastávka]:[Sloupec1]],2,0)</f>
        <v>67</v>
      </c>
      <c r="O421" t="s">
        <v>1965</v>
      </c>
      <c r="P421">
        <v>6</v>
      </c>
      <c r="Q421">
        <v>0</v>
      </c>
      <c r="R421" t="s">
        <v>31</v>
      </c>
      <c r="S421" t="s">
        <v>31</v>
      </c>
      <c r="T421" t="s">
        <v>32</v>
      </c>
      <c r="V421" s="1" t="e">
        <v>#N/A</v>
      </c>
      <c r="W421" t="s">
        <v>1216</v>
      </c>
      <c r="X421">
        <v>0</v>
      </c>
      <c r="Y421">
        <v>0</v>
      </c>
      <c r="Z421" t="s">
        <v>54</v>
      </c>
      <c r="AA421" t="str">
        <f t="shared" si="12"/>
        <v>update zamestnanci set nastup='67' where id='503';</v>
      </c>
      <c r="AB421" t="str">
        <f t="shared" si="13"/>
        <v>update dochazka set zastavka = '67' where zamestnanec = '503';</v>
      </c>
    </row>
    <row r="422" spans="1:28" x14ac:dyDescent="0.25">
      <c r="A422" s="2">
        <v>516</v>
      </c>
      <c r="B422" t="s">
        <v>2043</v>
      </c>
      <c r="C422" t="s">
        <v>2044</v>
      </c>
      <c r="D422" t="s">
        <v>2045</v>
      </c>
      <c r="E422" t="s">
        <v>795</v>
      </c>
      <c r="F422" t="s">
        <v>2046</v>
      </c>
      <c r="G422" s="1">
        <v>44973</v>
      </c>
      <c r="H422" s="1">
        <v>45490</v>
      </c>
      <c r="I422" s="1">
        <v>73050</v>
      </c>
      <c r="J422" s="2" t="s">
        <v>8321</v>
      </c>
      <c r="K422" t="s">
        <v>2047</v>
      </c>
      <c r="M422" s="16" t="s">
        <v>8322</v>
      </c>
      <c r="N422" s="16" t="str">
        <f>VLOOKUP(M422,Tab_Zast[[Zastávka]:[Sloupec1]],2,0)</f>
        <v>25</v>
      </c>
      <c r="O422" t="s">
        <v>2048</v>
      </c>
      <c r="P422">
        <v>6</v>
      </c>
      <c r="Q422">
        <v>0</v>
      </c>
      <c r="R422" t="s">
        <v>31</v>
      </c>
      <c r="S422" t="s">
        <v>31</v>
      </c>
      <c r="T422" t="s">
        <v>32</v>
      </c>
      <c r="V422" s="1">
        <v>45485</v>
      </c>
      <c r="W422" t="s">
        <v>1216</v>
      </c>
      <c r="X422">
        <v>0</v>
      </c>
      <c r="Y422">
        <v>0</v>
      </c>
      <c r="AA422" t="str">
        <f t="shared" si="12"/>
        <v>update zamestnanci set nastup='25' where id='516';</v>
      </c>
      <c r="AB422" t="str">
        <f t="shared" si="13"/>
        <v>update dochazka set zastavka = '25' where zamestnanec = '516';</v>
      </c>
    </row>
    <row r="423" spans="1:28" x14ac:dyDescent="0.25">
      <c r="A423" s="2">
        <v>541</v>
      </c>
      <c r="B423" t="s">
        <v>2199</v>
      </c>
      <c r="D423" t="s">
        <v>2200</v>
      </c>
      <c r="E423" t="s">
        <v>2201</v>
      </c>
      <c r="F423" t="s">
        <v>2202</v>
      </c>
      <c r="G423" s="1">
        <v>45048</v>
      </c>
      <c r="H423" s="1">
        <v>45303</v>
      </c>
      <c r="I423" s="1">
        <v>73050</v>
      </c>
      <c r="J423" s="2" t="s">
        <v>8321</v>
      </c>
      <c r="K423" t="s">
        <v>2203</v>
      </c>
      <c r="M423" s="16" t="s">
        <v>8322</v>
      </c>
      <c r="N423" s="16" t="str">
        <f>VLOOKUP(M423,Tab_Zast[[Zastávka]:[Sloupec1]],2,0)</f>
        <v>25</v>
      </c>
      <c r="O423" t="s">
        <v>2204</v>
      </c>
      <c r="P423">
        <v>6</v>
      </c>
      <c r="Q423">
        <v>0</v>
      </c>
      <c r="R423" t="s">
        <v>31</v>
      </c>
      <c r="S423" t="s">
        <v>31</v>
      </c>
      <c r="T423" t="s">
        <v>32</v>
      </c>
      <c r="V423" s="1" t="e">
        <v>#N/A</v>
      </c>
      <c r="W423" t="s">
        <v>1216</v>
      </c>
      <c r="X423">
        <v>0</v>
      </c>
      <c r="Y423">
        <v>0</v>
      </c>
      <c r="Z423" t="s">
        <v>54</v>
      </c>
      <c r="AA423" t="str">
        <f t="shared" si="12"/>
        <v>update zamestnanci set nastup='25' where id='541';</v>
      </c>
      <c r="AB423" t="str">
        <f t="shared" si="13"/>
        <v>update dochazka set zastavka = '25' where zamestnanec = '541';</v>
      </c>
    </row>
    <row r="424" spans="1:28" x14ac:dyDescent="0.25">
      <c r="A424" s="2">
        <v>615</v>
      </c>
      <c r="B424" t="s">
        <v>2645</v>
      </c>
      <c r="D424" t="s">
        <v>237</v>
      </c>
      <c r="E424" t="s">
        <v>2646</v>
      </c>
      <c r="F424" t="s">
        <v>2647</v>
      </c>
      <c r="G424" s="1">
        <v>45089</v>
      </c>
      <c r="H424" s="1">
        <v>45244</v>
      </c>
      <c r="I424" s="1" t="e">
        <v>#N/A</v>
      </c>
      <c r="J424" s="2" t="s">
        <v>8299</v>
      </c>
      <c r="K424" t="s">
        <v>2648</v>
      </c>
      <c r="M424" s="16" t="s">
        <v>8300</v>
      </c>
      <c r="N424" s="16" t="str">
        <f>VLOOKUP(M424,Tab_Zast[[Zastávka]:[Sloupec1]],2,0)</f>
        <v>16</v>
      </c>
      <c r="O424" t="s">
        <v>2649</v>
      </c>
      <c r="P424">
        <v>1</v>
      </c>
      <c r="Q424">
        <v>0</v>
      </c>
      <c r="R424" t="s">
        <v>31</v>
      </c>
      <c r="S424" t="s">
        <v>31</v>
      </c>
      <c r="T424" t="s">
        <v>32</v>
      </c>
      <c r="V424" s="1" t="e">
        <v>#N/A</v>
      </c>
      <c r="W424" t="s">
        <v>47</v>
      </c>
      <c r="X424">
        <v>0</v>
      </c>
      <c r="Y424">
        <v>0</v>
      </c>
      <c r="Z424" t="s">
        <v>40</v>
      </c>
      <c r="AA424" t="str">
        <f t="shared" si="12"/>
        <v>update zamestnanci set nastup='16' where id='615';</v>
      </c>
      <c r="AB424" t="str">
        <f t="shared" si="13"/>
        <v>update dochazka set zastavka = '16' where zamestnanec = '615';</v>
      </c>
    </row>
    <row r="425" spans="1:28" x14ac:dyDescent="0.25">
      <c r="A425" s="2">
        <v>627</v>
      </c>
      <c r="B425" t="s">
        <v>2709</v>
      </c>
      <c r="D425" t="s">
        <v>2710</v>
      </c>
      <c r="E425" t="s">
        <v>2711</v>
      </c>
      <c r="F425" t="s">
        <v>2712</v>
      </c>
      <c r="G425" s="1">
        <v>45208</v>
      </c>
      <c r="H425" s="1">
        <v>45229</v>
      </c>
      <c r="I425" s="1" t="e">
        <v>#N/A</v>
      </c>
      <c r="J425" s="2" t="s">
        <v>8299</v>
      </c>
      <c r="K425" t="s">
        <v>2713</v>
      </c>
      <c r="M425" s="16" t="s">
        <v>8300</v>
      </c>
      <c r="N425" s="16" t="str">
        <f>VLOOKUP(M425,Tab_Zast[[Zastávka]:[Sloupec1]],2,0)</f>
        <v>16</v>
      </c>
      <c r="O425" t="s">
        <v>2714</v>
      </c>
      <c r="P425">
        <v>1</v>
      </c>
      <c r="Q425">
        <v>0</v>
      </c>
      <c r="R425" t="s">
        <v>31</v>
      </c>
      <c r="S425" t="s">
        <v>31</v>
      </c>
      <c r="T425" t="s">
        <v>32</v>
      </c>
      <c r="V425" s="1" t="e">
        <v>#N/A</v>
      </c>
      <c r="W425" t="s">
        <v>47</v>
      </c>
      <c r="X425">
        <v>0</v>
      </c>
      <c r="Y425">
        <v>0</v>
      </c>
      <c r="Z425" t="s">
        <v>54</v>
      </c>
      <c r="AA425" t="str">
        <f t="shared" si="12"/>
        <v>update zamestnanci set nastup='16' where id='627';</v>
      </c>
      <c r="AB425" t="str">
        <f t="shared" si="13"/>
        <v>update dochazka set zastavka = '16' where zamestnanec = '627';</v>
      </c>
    </row>
    <row r="426" spans="1:28" x14ac:dyDescent="0.25">
      <c r="A426" s="2">
        <v>667</v>
      </c>
      <c r="B426" t="s">
        <v>2912</v>
      </c>
      <c r="D426" t="s">
        <v>1839</v>
      </c>
      <c r="E426" t="s">
        <v>2913</v>
      </c>
      <c r="F426" t="s">
        <v>2914</v>
      </c>
      <c r="G426" s="1">
        <v>45229</v>
      </c>
      <c r="H426" s="1">
        <v>45331</v>
      </c>
      <c r="I426" s="1">
        <v>73050</v>
      </c>
      <c r="J426" s="2" t="s">
        <v>8299</v>
      </c>
      <c r="K426" t="s">
        <v>2915</v>
      </c>
      <c r="M426" s="16" t="s">
        <v>8300</v>
      </c>
      <c r="N426" s="16" t="str">
        <f>VLOOKUP(M426,Tab_Zast[[Zastávka]:[Sloupec1]],2,0)</f>
        <v>16</v>
      </c>
      <c r="O426" t="s">
        <v>2916</v>
      </c>
      <c r="P426">
        <v>1</v>
      </c>
      <c r="Q426">
        <v>0</v>
      </c>
      <c r="R426" t="s">
        <v>31</v>
      </c>
      <c r="S426" t="s">
        <v>31</v>
      </c>
      <c r="T426" t="s">
        <v>32</v>
      </c>
      <c r="V426" s="1" t="e">
        <v>#N/A</v>
      </c>
      <c r="W426" t="s">
        <v>47</v>
      </c>
      <c r="X426">
        <v>0</v>
      </c>
      <c r="Y426">
        <v>0</v>
      </c>
      <c r="AA426" t="str">
        <f t="shared" si="12"/>
        <v>update zamestnanci set nastup='16' where id='667';</v>
      </c>
      <c r="AB426" t="str">
        <f t="shared" si="13"/>
        <v>update dochazka set zastavka = '16' where zamestnanec = '667';</v>
      </c>
    </row>
    <row r="427" spans="1:28" x14ac:dyDescent="0.25">
      <c r="A427" s="2">
        <v>670</v>
      </c>
      <c r="B427" t="s">
        <v>2929</v>
      </c>
      <c r="D427" t="s">
        <v>2130</v>
      </c>
      <c r="E427" t="s">
        <v>2930</v>
      </c>
      <c r="F427" t="s">
        <v>2797</v>
      </c>
      <c r="G427" s="1">
        <v>45229</v>
      </c>
      <c r="H427" s="1">
        <v>45320</v>
      </c>
      <c r="I427" s="1">
        <v>73050</v>
      </c>
      <c r="J427" s="2" t="s">
        <v>8299</v>
      </c>
      <c r="K427" t="s">
        <v>2931</v>
      </c>
      <c r="M427" s="16" t="s">
        <v>8300</v>
      </c>
      <c r="N427" s="16" t="str">
        <f>VLOOKUP(M427,Tab_Zast[[Zastávka]:[Sloupec1]],2,0)</f>
        <v>16</v>
      </c>
      <c r="O427" t="s">
        <v>2932</v>
      </c>
      <c r="P427">
        <v>1</v>
      </c>
      <c r="Q427">
        <v>0</v>
      </c>
      <c r="R427" t="s">
        <v>31</v>
      </c>
      <c r="S427" t="s">
        <v>31</v>
      </c>
      <c r="T427" t="s">
        <v>32</v>
      </c>
      <c r="V427" s="1" t="e">
        <v>#N/A</v>
      </c>
      <c r="W427" t="s">
        <v>47</v>
      </c>
      <c r="X427">
        <v>0</v>
      </c>
      <c r="Y427">
        <v>0</v>
      </c>
      <c r="AA427" t="str">
        <f t="shared" si="12"/>
        <v>update zamestnanci set nastup='16' where id='670';</v>
      </c>
      <c r="AB427" t="str">
        <f t="shared" si="13"/>
        <v>update dochazka set zastavka = '16' where zamestnanec = '670';</v>
      </c>
    </row>
    <row r="428" spans="1:28" x14ac:dyDescent="0.25">
      <c r="A428" s="2">
        <v>682</v>
      </c>
      <c r="B428" t="s">
        <v>2994</v>
      </c>
      <c r="D428" t="s">
        <v>2995</v>
      </c>
      <c r="E428" t="s">
        <v>2613</v>
      </c>
      <c r="F428" t="s">
        <v>2996</v>
      </c>
      <c r="G428" s="1">
        <v>45238</v>
      </c>
      <c r="H428" s="1">
        <v>45338</v>
      </c>
      <c r="I428" s="1">
        <v>73050</v>
      </c>
      <c r="J428" s="2" t="s">
        <v>8426</v>
      </c>
      <c r="K428" t="s">
        <v>2997</v>
      </c>
      <c r="M428" s="16" t="s">
        <v>8427</v>
      </c>
      <c r="N428" s="16" t="str">
        <f>VLOOKUP(M428,Tab_Zast[[Zastávka]:[Sloupec1]],2,0)</f>
        <v>67</v>
      </c>
      <c r="O428" t="s">
        <v>2998</v>
      </c>
      <c r="P428">
        <v>6</v>
      </c>
      <c r="Q428">
        <v>0</v>
      </c>
      <c r="R428" t="s">
        <v>31</v>
      </c>
      <c r="S428" t="s">
        <v>31</v>
      </c>
      <c r="T428" t="s">
        <v>32</v>
      </c>
      <c r="V428" s="1" t="e">
        <v>#N/A</v>
      </c>
      <c r="W428" t="s">
        <v>1216</v>
      </c>
      <c r="X428">
        <v>0</v>
      </c>
      <c r="Y428">
        <v>0</v>
      </c>
      <c r="Z428" t="s">
        <v>54</v>
      </c>
      <c r="AA428" t="str">
        <f t="shared" si="12"/>
        <v>update zamestnanci set nastup='67' where id='682';</v>
      </c>
      <c r="AB428" t="str">
        <f t="shared" si="13"/>
        <v>update dochazka set zastavka = '67' where zamestnanec = '682';</v>
      </c>
    </row>
    <row r="429" spans="1:28" x14ac:dyDescent="0.25">
      <c r="A429" s="2">
        <v>695</v>
      </c>
      <c r="B429" t="s">
        <v>3068</v>
      </c>
      <c r="D429" t="s">
        <v>3069</v>
      </c>
      <c r="E429" t="s">
        <v>3070</v>
      </c>
      <c r="F429" t="s">
        <v>3071</v>
      </c>
      <c r="G429" s="1">
        <v>45245</v>
      </c>
      <c r="H429" s="1">
        <v>45322</v>
      </c>
      <c r="I429" s="1">
        <v>73050</v>
      </c>
      <c r="J429" s="2" t="s">
        <v>8426</v>
      </c>
      <c r="K429" t="s">
        <v>3072</v>
      </c>
      <c r="M429" s="16" t="s">
        <v>8427</v>
      </c>
      <c r="N429" s="16" t="str">
        <f>VLOOKUP(M429,Tab_Zast[[Zastávka]:[Sloupec1]],2,0)</f>
        <v>67</v>
      </c>
      <c r="O429" t="s">
        <v>3073</v>
      </c>
      <c r="P429">
        <v>6</v>
      </c>
      <c r="Q429">
        <v>0</v>
      </c>
      <c r="R429" t="s">
        <v>31</v>
      </c>
      <c r="S429" t="s">
        <v>31</v>
      </c>
      <c r="T429" t="s">
        <v>32</v>
      </c>
      <c r="V429" s="1" t="e">
        <v>#N/A</v>
      </c>
      <c r="W429" t="s">
        <v>3052</v>
      </c>
      <c r="X429">
        <v>0</v>
      </c>
      <c r="Y429">
        <v>0</v>
      </c>
      <c r="Z429" t="s">
        <v>54</v>
      </c>
      <c r="AA429" t="str">
        <f t="shared" si="12"/>
        <v>update zamestnanci set nastup='67' where id='695';</v>
      </c>
      <c r="AB429" t="str">
        <f t="shared" si="13"/>
        <v>update dochazka set zastavka = '67' where zamestnanec = '695';</v>
      </c>
    </row>
    <row r="430" spans="1:28" x14ac:dyDescent="0.25">
      <c r="A430" s="2">
        <v>705</v>
      </c>
      <c r="B430" t="s">
        <v>3125</v>
      </c>
      <c r="D430" t="s">
        <v>49</v>
      </c>
      <c r="E430" t="s">
        <v>3126</v>
      </c>
      <c r="F430" t="s">
        <v>3127</v>
      </c>
      <c r="G430" s="1">
        <v>45265</v>
      </c>
      <c r="H430" s="1">
        <v>45365</v>
      </c>
      <c r="I430" s="1">
        <v>73050</v>
      </c>
      <c r="J430" s="2" t="s">
        <v>8321</v>
      </c>
      <c r="K430" t="s">
        <v>3128</v>
      </c>
      <c r="M430" s="16" t="s">
        <v>8322</v>
      </c>
      <c r="N430" s="16" t="str">
        <f>VLOOKUP(M430,Tab_Zast[[Zastávka]:[Sloupec1]],2,0)</f>
        <v>25</v>
      </c>
      <c r="O430" t="s">
        <v>3129</v>
      </c>
      <c r="P430">
        <v>6</v>
      </c>
      <c r="Q430">
        <v>0</v>
      </c>
      <c r="R430" t="s">
        <v>31</v>
      </c>
      <c r="S430" t="s">
        <v>31</v>
      </c>
      <c r="T430" t="s">
        <v>32</v>
      </c>
      <c r="V430" s="1" t="e">
        <v>#N/A</v>
      </c>
      <c r="W430" t="s">
        <v>1216</v>
      </c>
      <c r="X430">
        <v>0</v>
      </c>
      <c r="Y430">
        <v>0</v>
      </c>
      <c r="Z430" t="s">
        <v>54</v>
      </c>
      <c r="AA430" t="str">
        <f t="shared" si="12"/>
        <v>update zamestnanci set nastup='25' where id='705';</v>
      </c>
      <c r="AB430" t="str">
        <f t="shared" si="13"/>
        <v>update dochazka set zastavka = '25' where zamestnanec = '705';</v>
      </c>
    </row>
    <row r="431" spans="1:28" x14ac:dyDescent="0.25">
      <c r="A431" s="2">
        <v>708</v>
      </c>
      <c r="B431" t="s">
        <v>3141</v>
      </c>
      <c r="D431" t="s">
        <v>3142</v>
      </c>
      <c r="E431" t="s">
        <v>3126</v>
      </c>
      <c r="F431" t="s">
        <v>3143</v>
      </c>
      <c r="G431" s="1">
        <v>45272</v>
      </c>
      <c r="H431" s="1">
        <v>45322</v>
      </c>
      <c r="I431" s="1">
        <v>73050</v>
      </c>
      <c r="J431" s="2" t="s">
        <v>8426</v>
      </c>
      <c r="K431" t="s">
        <v>3144</v>
      </c>
      <c r="M431" s="16" t="s">
        <v>8427</v>
      </c>
      <c r="N431" s="16" t="str">
        <f>VLOOKUP(M431,Tab_Zast[[Zastávka]:[Sloupec1]],2,0)</f>
        <v>67</v>
      </c>
      <c r="O431" t="s">
        <v>3145</v>
      </c>
      <c r="P431">
        <v>6</v>
      </c>
      <c r="Q431">
        <v>0</v>
      </c>
      <c r="R431" t="s">
        <v>31</v>
      </c>
      <c r="S431" t="s">
        <v>31</v>
      </c>
      <c r="T431" t="s">
        <v>32</v>
      </c>
      <c r="V431" s="1" t="e">
        <v>#N/A</v>
      </c>
      <c r="W431" t="s">
        <v>1216</v>
      </c>
      <c r="X431">
        <v>0</v>
      </c>
      <c r="Y431">
        <v>0</v>
      </c>
      <c r="Z431" t="s">
        <v>54</v>
      </c>
      <c r="AA431" t="str">
        <f t="shared" si="12"/>
        <v>update zamestnanci set nastup='67' where id='708';</v>
      </c>
      <c r="AB431" t="str">
        <f t="shared" si="13"/>
        <v>update dochazka set zastavka = '67' where zamestnanec = '708';</v>
      </c>
    </row>
    <row r="432" spans="1:28" x14ac:dyDescent="0.25">
      <c r="A432" s="2">
        <v>713</v>
      </c>
      <c r="B432" t="s">
        <v>3162</v>
      </c>
      <c r="D432" t="s">
        <v>3163</v>
      </c>
      <c r="E432" t="s">
        <v>3164</v>
      </c>
      <c r="F432" t="s">
        <v>67</v>
      </c>
      <c r="G432" s="1">
        <v>45274</v>
      </c>
      <c r="H432" s="1">
        <v>45274</v>
      </c>
      <c r="I432" s="1">
        <v>45274</v>
      </c>
      <c r="J432" s="2" t="s">
        <v>8321</v>
      </c>
      <c r="K432" t="s">
        <v>3165</v>
      </c>
      <c r="M432" s="16" t="s">
        <v>8322</v>
      </c>
      <c r="N432" s="16" t="str">
        <f>VLOOKUP(M432,Tab_Zast[[Zastávka]:[Sloupec1]],2,0)</f>
        <v>25</v>
      </c>
      <c r="O432" t="s">
        <v>3166</v>
      </c>
      <c r="P432">
        <v>6</v>
      </c>
      <c r="Q432">
        <v>0</v>
      </c>
      <c r="R432" t="s">
        <v>31</v>
      </c>
      <c r="S432" t="s">
        <v>31</v>
      </c>
      <c r="T432" t="s">
        <v>32</v>
      </c>
      <c r="V432" s="1" t="e">
        <v>#N/A</v>
      </c>
      <c r="W432" t="s">
        <v>1216</v>
      </c>
      <c r="X432">
        <v>0</v>
      </c>
      <c r="Y432">
        <v>0</v>
      </c>
      <c r="Z432" t="s">
        <v>54</v>
      </c>
      <c r="AA432" t="str">
        <f t="shared" si="12"/>
        <v>update zamestnanci set nastup='25' where id='713';</v>
      </c>
      <c r="AB432" t="str">
        <f t="shared" si="13"/>
        <v>update dochazka set zastavka = '25' where zamestnanec = '713';</v>
      </c>
    </row>
    <row r="433" spans="1:28" x14ac:dyDescent="0.25">
      <c r="A433" s="2">
        <v>730</v>
      </c>
      <c r="B433" t="s">
        <v>3242</v>
      </c>
      <c r="D433" t="s">
        <v>3243</v>
      </c>
      <c r="E433" t="s">
        <v>3244</v>
      </c>
      <c r="F433" t="s">
        <v>3245</v>
      </c>
      <c r="G433" s="1">
        <v>45294</v>
      </c>
      <c r="H433" s="1">
        <v>45401</v>
      </c>
      <c r="I433" s="1">
        <v>73050</v>
      </c>
      <c r="J433" s="2" t="s">
        <v>8321</v>
      </c>
      <c r="K433" t="s">
        <v>3246</v>
      </c>
      <c r="M433" s="16" t="s">
        <v>8322</v>
      </c>
      <c r="N433" s="16" t="str">
        <f>VLOOKUP(M433,Tab_Zast[[Zastávka]:[Sloupec1]],2,0)</f>
        <v>25</v>
      </c>
      <c r="O433" t="s">
        <v>3247</v>
      </c>
      <c r="P433">
        <v>6</v>
      </c>
      <c r="Q433">
        <v>0</v>
      </c>
      <c r="R433" t="s">
        <v>31</v>
      </c>
      <c r="S433" t="s">
        <v>31</v>
      </c>
      <c r="T433" t="s">
        <v>32</v>
      </c>
      <c r="V433" s="1" t="e">
        <v>#N/A</v>
      </c>
      <c r="W433" t="s">
        <v>1216</v>
      </c>
      <c r="X433">
        <v>0</v>
      </c>
      <c r="Y433">
        <v>0</v>
      </c>
      <c r="Z433" t="s">
        <v>54</v>
      </c>
      <c r="AA433" t="str">
        <f t="shared" si="12"/>
        <v>update zamestnanci set nastup='25' where id='730';</v>
      </c>
      <c r="AB433" t="str">
        <f t="shared" si="13"/>
        <v>update dochazka set zastavka = '25' where zamestnanec = '730';</v>
      </c>
    </row>
    <row r="434" spans="1:28" x14ac:dyDescent="0.25">
      <c r="A434" s="2">
        <v>761</v>
      </c>
      <c r="B434" t="s">
        <v>3393</v>
      </c>
      <c r="D434" t="s">
        <v>3394</v>
      </c>
      <c r="E434" t="s">
        <v>3198</v>
      </c>
      <c r="F434" t="s">
        <v>3395</v>
      </c>
      <c r="G434" s="1">
        <v>45315</v>
      </c>
      <c r="H434" s="1">
        <v>45399</v>
      </c>
      <c r="I434" s="1">
        <v>73050</v>
      </c>
      <c r="J434" s="2" t="s">
        <v>8426</v>
      </c>
      <c r="K434" t="s">
        <v>3396</v>
      </c>
      <c r="M434" s="16" t="s">
        <v>8427</v>
      </c>
      <c r="N434" s="16" t="str">
        <f>VLOOKUP(M434,Tab_Zast[[Zastávka]:[Sloupec1]],2,0)</f>
        <v>67</v>
      </c>
      <c r="O434" t="s">
        <v>3397</v>
      </c>
      <c r="P434">
        <v>6</v>
      </c>
      <c r="Q434">
        <v>0</v>
      </c>
      <c r="R434" t="s">
        <v>31</v>
      </c>
      <c r="S434" t="s">
        <v>31</v>
      </c>
      <c r="T434" t="s">
        <v>32</v>
      </c>
      <c r="V434" s="1" t="e">
        <v>#N/A</v>
      </c>
      <c r="W434" t="s">
        <v>1216</v>
      </c>
      <c r="X434">
        <v>0</v>
      </c>
      <c r="Y434">
        <v>0</v>
      </c>
      <c r="Z434" t="s">
        <v>54</v>
      </c>
      <c r="AA434" t="str">
        <f t="shared" si="12"/>
        <v>update zamestnanci set nastup='67' where id='761';</v>
      </c>
      <c r="AB434" t="str">
        <f t="shared" si="13"/>
        <v>update dochazka set zastavka = '67' where zamestnanec = '761';</v>
      </c>
    </row>
    <row r="435" spans="1:28" x14ac:dyDescent="0.25">
      <c r="A435" s="2">
        <v>766</v>
      </c>
      <c r="B435" t="s">
        <v>3416</v>
      </c>
      <c r="D435" t="s">
        <v>3417</v>
      </c>
      <c r="E435" t="s">
        <v>643</v>
      </c>
      <c r="F435" t="s">
        <v>3418</v>
      </c>
      <c r="G435" s="1">
        <v>45321</v>
      </c>
      <c r="H435" s="1">
        <v>45345</v>
      </c>
      <c r="I435" s="1">
        <v>73050</v>
      </c>
      <c r="J435" s="2" t="s">
        <v>8321</v>
      </c>
      <c r="K435" t="s">
        <v>3419</v>
      </c>
      <c r="M435" s="16" t="s">
        <v>8322</v>
      </c>
      <c r="N435" s="16" t="str">
        <f>VLOOKUP(M435,Tab_Zast[[Zastávka]:[Sloupec1]],2,0)</f>
        <v>25</v>
      </c>
      <c r="O435" t="s">
        <v>3420</v>
      </c>
      <c r="P435">
        <v>6</v>
      </c>
      <c r="Q435">
        <v>0</v>
      </c>
      <c r="R435" t="s">
        <v>31</v>
      </c>
      <c r="S435" t="s">
        <v>31</v>
      </c>
      <c r="T435" t="s">
        <v>32</v>
      </c>
      <c r="V435" s="1" t="e">
        <v>#N/A</v>
      </c>
      <c r="W435" t="s">
        <v>1216</v>
      </c>
      <c r="X435">
        <v>0</v>
      </c>
      <c r="Y435">
        <v>0</v>
      </c>
      <c r="Z435" t="s">
        <v>54</v>
      </c>
      <c r="AA435" t="str">
        <f t="shared" si="12"/>
        <v>update zamestnanci set nastup='25' where id='766';</v>
      </c>
      <c r="AB435" t="str">
        <f t="shared" si="13"/>
        <v>update dochazka set zastavka = '25' where zamestnanec = '766';</v>
      </c>
    </row>
    <row r="436" spans="1:28" x14ac:dyDescent="0.25">
      <c r="A436" s="2">
        <v>769</v>
      </c>
      <c r="B436" t="s">
        <v>3431</v>
      </c>
      <c r="D436" t="s">
        <v>49</v>
      </c>
      <c r="E436" t="s">
        <v>3432</v>
      </c>
      <c r="F436" t="s">
        <v>3433</v>
      </c>
      <c r="G436" s="1">
        <v>45323</v>
      </c>
      <c r="H436" s="1">
        <v>45331</v>
      </c>
      <c r="I436" s="1">
        <v>73050</v>
      </c>
      <c r="J436" s="2" t="s">
        <v>8321</v>
      </c>
      <c r="K436" t="s">
        <v>3434</v>
      </c>
      <c r="M436" s="16" t="s">
        <v>8322</v>
      </c>
      <c r="N436" s="16" t="str">
        <f>VLOOKUP(M436,Tab_Zast[[Zastávka]:[Sloupec1]],2,0)</f>
        <v>25</v>
      </c>
      <c r="O436" t="s">
        <v>3435</v>
      </c>
      <c r="P436">
        <v>6</v>
      </c>
      <c r="Q436">
        <v>0</v>
      </c>
      <c r="R436" t="s">
        <v>31</v>
      </c>
      <c r="S436" t="s">
        <v>31</v>
      </c>
      <c r="T436" t="s">
        <v>32</v>
      </c>
      <c r="V436" s="1" t="e">
        <v>#N/A</v>
      </c>
      <c r="W436" t="s">
        <v>1216</v>
      </c>
      <c r="X436">
        <v>0</v>
      </c>
      <c r="Y436">
        <v>0</v>
      </c>
      <c r="Z436" t="s">
        <v>54</v>
      </c>
      <c r="AA436" t="str">
        <f t="shared" si="12"/>
        <v>update zamestnanci set nastup='25' where id='769';</v>
      </c>
      <c r="AB436" t="str">
        <f t="shared" si="13"/>
        <v>update dochazka set zastavka = '25' where zamestnanec = '769';</v>
      </c>
    </row>
    <row r="437" spans="1:28" x14ac:dyDescent="0.25">
      <c r="A437" s="2">
        <v>771</v>
      </c>
      <c r="B437" t="s">
        <v>3441</v>
      </c>
      <c r="D437" t="s">
        <v>3442</v>
      </c>
      <c r="E437" t="s">
        <v>677</v>
      </c>
      <c r="F437" t="s">
        <v>67</v>
      </c>
      <c r="G437" s="1">
        <v>45323</v>
      </c>
      <c r="H437" s="1">
        <v>45328</v>
      </c>
      <c r="I437" s="1">
        <v>73050</v>
      </c>
      <c r="J437" s="2" t="s">
        <v>8426</v>
      </c>
      <c r="K437" t="s">
        <v>3443</v>
      </c>
      <c r="M437" s="16" t="s">
        <v>8427</v>
      </c>
      <c r="N437" s="16" t="str">
        <f>VLOOKUP(M437,Tab_Zast[[Zastávka]:[Sloupec1]],2,0)</f>
        <v>67</v>
      </c>
      <c r="O437" t="s">
        <v>3444</v>
      </c>
      <c r="P437">
        <v>6</v>
      </c>
      <c r="Q437">
        <v>0</v>
      </c>
      <c r="R437" t="s">
        <v>31</v>
      </c>
      <c r="S437" t="s">
        <v>31</v>
      </c>
      <c r="T437" t="s">
        <v>32</v>
      </c>
      <c r="V437" s="1" t="e">
        <v>#N/A</v>
      </c>
      <c r="W437" t="s">
        <v>1216</v>
      </c>
      <c r="X437">
        <v>0</v>
      </c>
      <c r="Y437">
        <v>0</v>
      </c>
      <c r="Z437" t="s">
        <v>54</v>
      </c>
      <c r="AA437" t="str">
        <f t="shared" si="12"/>
        <v>update zamestnanci set nastup='67' where id='771';</v>
      </c>
      <c r="AB437" t="str">
        <f t="shared" si="13"/>
        <v>update dochazka set zastavka = '67' where zamestnanec = '771';</v>
      </c>
    </row>
    <row r="438" spans="1:28" x14ac:dyDescent="0.25">
      <c r="A438" s="2">
        <v>803</v>
      </c>
      <c r="B438" t="s">
        <v>3603</v>
      </c>
      <c r="D438" t="s">
        <v>3604</v>
      </c>
      <c r="E438" t="s">
        <v>3605</v>
      </c>
      <c r="F438" t="s">
        <v>3606</v>
      </c>
      <c r="G438" s="1">
        <v>45341</v>
      </c>
      <c r="H438" s="1">
        <v>45408</v>
      </c>
      <c r="I438" s="1">
        <v>73050</v>
      </c>
      <c r="J438" s="2" t="s">
        <v>8426</v>
      </c>
      <c r="K438" t="s">
        <v>3607</v>
      </c>
      <c r="M438" s="16" t="s">
        <v>8427</v>
      </c>
      <c r="N438" s="16" t="str">
        <f>VLOOKUP(M438,Tab_Zast[[Zastávka]:[Sloupec1]],2,0)</f>
        <v>67</v>
      </c>
      <c r="O438" t="s">
        <v>3608</v>
      </c>
      <c r="P438">
        <v>6</v>
      </c>
      <c r="Q438">
        <v>0</v>
      </c>
      <c r="R438" t="s">
        <v>31</v>
      </c>
      <c r="S438" t="s">
        <v>31</v>
      </c>
      <c r="T438" t="s">
        <v>32</v>
      </c>
      <c r="V438" s="1" t="e">
        <v>#N/A</v>
      </c>
      <c r="W438" t="s">
        <v>1216</v>
      </c>
      <c r="X438">
        <v>0</v>
      </c>
      <c r="Y438">
        <v>0</v>
      </c>
      <c r="Z438" t="s">
        <v>54</v>
      </c>
      <c r="AA438" t="str">
        <f t="shared" si="12"/>
        <v>update zamestnanci set nastup='67' where id='803';</v>
      </c>
      <c r="AB438" t="str">
        <f t="shared" si="13"/>
        <v>update dochazka set zastavka = '67' where zamestnanec = '803';</v>
      </c>
    </row>
    <row r="439" spans="1:28" x14ac:dyDescent="0.25">
      <c r="A439" s="2">
        <v>806</v>
      </c>
      <c r="B439" t="s">
        <v>3618</v>
      </c>
      <c r="D439" t="s">
        <v>3619</v>
      </c>
      <c r="E439" t="s">
        <v>3384</v>
      </c>
      <c r="F439" t="s">
        <v>3620</v>
      </c>
      <c r="G439" s="1">
        <v>45342</v>
      </c>
      <c r="H439" s="1">
        <v>45412</v>
      </c>
      <c r="I439" s="1">
        <v>73050</v>
      </c>
      <c r="J439" s="2" t="s">
        <v>8426</v>
      </c>
      <c r="K439" t="s">
        <v>3621</v>
      </c>
      <c r="M439" s="16" t="s">
        <v>8427</v>
      </c>
      <c r="N439" s="16" t="str">
        <f>VLOOKUP(M439,Tab_Zast[[Zastávka]:[Sloupec1]],2,0)</f>
        <v>67</v>
      </c>
      <c r="O439" t="s">
        <v>3622</v>
      </c>
      <c r="P439">
        <v>6</v>
      </c>
      <c r="Q439">
        <v>0</v>
      </c>
      <c r="R439" t="s">
        <v>31</v>
      </c>
      <c r="S439" t="s">
        <v>31</v>
      </c>
      <c r="T439" t="s">
        <v>32</v>
      </c>
      <c r="V439" s="1" t="e">
        <v>#N/A</v>
      </c>
      <c r="W439" t="s">
        <v>1216</v>
      </c>
      <c r="X439">
        <v>0</v>
      </c>
      <c r="Y439">
        <v>0</v>
      </c>
      <c r="AA439" t="str">
        <f t="shared" si="12"/>
        <v>update zamestnanci set nastup='67' where id='806';</v>
      </c>
      <c r="AB439" t="str">
        <f t="shared" si="13"/>
        <v>update dochazka set zastavka = '67' where zamestnanec = '806';</v>
      </c>
    </row>
    <row r="440" spans="1:28" x14ac:dyDescent="0.25">
      <c r="A440" s="2">
        <v>822</v>
      </c>
      <c r="B440" t="s">
        <v>3695</v>
      </c>
      <c r="D440" t="s">
        <v>3696</v>
      </c>
      <c r="E440" t="s">
        <v>3697</v>
      </c>
      <c r="F440" t="s">
        <v>3698</v>
      </c>
      <c r="G440" s="1">
        <v>45348</v>
      </c>
      <c r="H440" s="1">
        <v>45365</v>
      </c>
      <c r="I440" s="1">
        <v>73050</v>
      </c>
      <c r="J440" s="2" t="s">
        <v>8321</v>
      </c>
      <c r="K440" t="s">
        <v>3699</v>
      </c>
      <c r="M440" s="16" t="s">
        <v>8322</v>
      </c>
      <c r="N440" s="16" t="str">
        <f>VLOOKUP(M440,Tab_Zast[[Zastávka]:[Sloupec1]],2,0)</f>
        <v>25</v>
      </c>
      <c r="O440" t="s">
        <v>3700</v>
      </c>
      <c r="P440">
        <v>6</v>
      </c>
      <c r="Q440">
        <v>0</v>
      </c>
      <c r="R440" t="s">
        <v>31</v>
      </c>
      <c r="S440" t="s">
        <v>31</v>
      </c>
      <c r="T440" t="s">
        <v>32</v>
      </c>
      <c r="V440" s="1" t="e">
        <v>#N/A</v>
      </c>
      <c r="W440" t="s">
        <v>1216</v>
      </c>
      <c r="X440">
        <v>0</v>
      </c>
      <c r="Y440">
        <v>0</v>
      </c>
      <c r="Z440" t="s">
        <v>54</v>
      </c>
      <c r="AA440" t="str">
        <f t="shared" si="12"/>
        <v>update zamestnanci set nastup='25' where id='822';</v>
      </c>
      <c r="AB440" t="str">
        <f t="shared" si="13"/>
        <v>update dochazka set zastavka = '25' where zamestnanec = '822';</v>
      </c>
    </row>
    <row r="441" spans="1:28" x14ac:dyDescent="0.25">
      <c r="A441" s="2">
        <v>825</v>
      </c>
      <c r="B441" t="s">
        <v>3711</v>
      </c>
      <c r="D441" t="s">
        <v>3712</v>
      </c>
      <c r="E441" t="s">
        <v>770</v>
      </c>
      <c r="F441" t="s">
        <v>3579</v>
      </c>
      <c r="G441" s="1">
        <v>45348</v>
      </c>
      <c r="H441" s="1">
        <v>45350</v>
      </c>
      <c r="I441" s="1">
        <v>45351</v>
      </c>
      <c r="J441" s="2" t="s">
        <v>8321</v>
      </c>
      <c r="K441" t="s">
        <v>3713</v>
      </c>
      <c r="M441" s="16" t="s">
        <v>8322</v>
      </c>
      <c r="N441" s="16" t="str">
        <f>VLOOKUP(M441,Tab_Zast[[Zastávka]:[Sloupec1]],2,0)</f>
        <v>25</v>
      </c>
      <c r="O441" t="s">
        <v>3714</v>
      </c>
      <c r="P441">
        <v>6</v>
      </c>
      <c r="Q441">
        <v>0</v>
      </c>
      <c r="R441" t="s">
        <v>31</v>
      </c>
      <c r="S441" t="s">
        <v>31</v>
      </c>
      <c r="T441" t="s">
        <v>32</v>
      </c>
      <c r="V441" s="1" t="e">
        <v>#N/A</v>
      </c>
      <c r="W441" t="s">
        <v>1216</v>
      </c>
      <c r="X441">
        <v>0</v>
      </c>
      <c r="Y441">
        <v>0</v>
      </c>
      <c r="Z441" t="s">
        <v>54</v>
      </c>
      <c r="AA441" t="str">
        <f t="shared" si="12"/>
        <v>update zamestnanci set nastup='25' where id='825';</v>
      </c>
      <c r="AB441" t="str">
        <f t="shared" si="13"/>
        <v>update dochazka set zastavka = '25' where zamestnanec = '825';</v>
      </c>
    </row>
    <row r="442" spans="1:28" x14ac:dyDescent="0.25">
      <c r="A442" s="2">
        <v>845</v>
      </c>
      <c r="B442" t="s">
        <v>3824</v>
      </c>
      <c r="C442" t="s">
        <v>3825</v>
      </c>
      <c r="D442" t="s">
        <v>3826</v>
      </c>
      <c r="E442" t="s">
        <v>731</v>
      </c>
      <c r="F442" t="s">
        <v>3827</v>
      </c>
      <c r="G442" s="1">
        <v>45357</v>
      </c>
      <c r="H442" s="1">
        <v>45464</v>
      </c>
      <c r="I442" s="1">
        <v>73050</v>
      </c>
      <c r="J442" s="2" t="s">
        <v>8299</v>
      </c>
      <c r="K442" t="s">
        <v>3828</v>
      </c>
      <c r="M442" s="16" t="s">
        <v>8300</v>
      </c>
      <c r="N442" s="16" t="str">
        <f>VLOOKUP(M442,Tab_Zast[[Zastávka]:[Sloupec1]],2,0)</f>
        <v>16</v>
      </c>
      <c r="O442" t="s">
        <v>3829</v>
      </c>
      <c r="P442">
        <v>1</v>
      </c>
      <c r="Q442">
        <v>0</v>
      </c>
      <c r="R442" t="s">
        <v>31</v>
      </c>
      <c r="S442" t="s">
        <v>31</v>
      </c>
      <c r="T442" t="s">
        <v>32</v>
      </c>
      <c r="V442" s="1" t="e">
        <v>#N/A</v>
      </c>
      <c r="W442" t="s">
        <v>33</v>
      </c>
      <c r="X442">
        <v>0</v>
      </c>
      <c r="Y442">
        <v>0</v>
      </c>
      <c r="AA442" t="str">
        <f t="shared" si="12"/>
        <v>update zamestnanci set nastup='16' where id='845';</v>
      </c>
      <c r="AB442" t="str">
        <f t="shared" si="13"/>
        <v>update dochazka set zastavka = '16' where zamestnanec = '845';</v>
      </c>
    </row>
    <row r="443" spans="1:28" x14ac:dyDescent="0.25">
      <c r="A443" s="2">
        <v>873</v>
      </c>
      <c r="B443" t="s">
        <v>3941</v>
      </c>
      <c r="D443" t="s">
        <v>3942</v>
      </c>
      <c r="E443" t="s">
        <v>683</v>
      </c>
      <c r="F443" t="s">
        <v>3943</v>
      </c>
      <c r="G443" s="1">
        <v>45377</v>
      </c>
      <c r="H443" s="1">
        <v>45393</v>
      </c>
      <c r="I443" s="1">
        <v>73050</v>
      </c>
      <c r="J443" s="2" t="s">
        <v>8321</v>
      </c>
      <c r="K443" t="s">
        <v>3944</v>
      </c>
      <c r="M443" s="16" t="s">
        <v>8322</v>
      </c>
      <c r="N443" s="16" t="str">
        <f>VLOOKUP(M443,Tab_Zast[[Zastávka]:[Sloupec1]],2,0)</f>
        <v>25</v>
      </c>
      <c r="O443" t="s">
        <v>3945</v>
      </c>
      <c r="P443">
        <v>6</v>
      </c>
      <c r="Q443">
        <v>0</v>
      </c>
      <c r="R443" t="s">
        <v>31</v>
      </c>
      <c r="S443" t="s">
        <v>31</v>
      </c>
      <c r="T443" t="s">
        <v>32</v>
      </c>
      <c r="V443" s="1" t="e">
        <v>#N/A</v>
      </c>
      <c r="W443" t="s">
        <v>1216</v>
      </c>
      <c r="X443">
        <v>0</v>
      </c>
      <c r="Y443">
        <v>220</v>
      </c>
      <c r="Z443" t="s">
        <v>54</v>
      </c>
      <c r="AA443" t="str">
        <f t="shared" si="12"/>
        <v>update zamestnanci set nastup='25' where id='873';</v>
      </c>
      <c r="AB443" t="str">
        <f t="shared" si="13"/>
        <v>update dochazka set zastavka = '25' where zamestnanec = '873';</v>
      </c>
    </row>
    <row r="444" spans="1:28" x14ac:dyDescent="0.25">
      <c r="A444" s="2">
        <v>874</v>
      </c>
      <c r="B444" t="s">
        <v>3946</v>
      </c>
      <c r="D444" t="s">
        <v>3947</v>
      </c>
      <c r="E444" t="s">
        <v>3566</v>
      </c>
      <c r="F444" t="s">
        <v>3476</v>
      </c>
      <c r="G444" s="1">
        <v>45377</v>
      </c>
      <c r="H444" s="1">
        <v>45393</v>
      </c>
      <c r="I444" s="1">
        <v>73050</v>
      </c>
      <c r="J444" s="2" t="s">
        <v>8321</v>
      </c>
      <c r="K444" t="s">
        <v>3948</v>
      </c>
      <c r="M444" s="16" t="s">
        <v>8322</v>
      </c>
      <c r="N444" s="16" t="str">
        <f>VLOOKUP(M444,Tab_Zast[[Zastávka]:[Sloupec1]],2,0)</f>
        <v>25</v>
      </c>
      <c r="O444" t="s">
        <v>3949</v>
      </c>
      <c r="P444">
        <v>6</v>
      </c>
      <c r="Q444">
        <v>0</v>
      </c>
      <c r="R444" t="s">
        <v>31</v>
      </c>
      <c r="S444" t="s">
        <v>31</v>
      </c>
      <c r="T444" t="s">
        <v>32</v>
      </c>
      <c r="V444" s="1" t="e">
        <v>#N/A</v>
      </c>
      <c r="W444" t="s">
        <v>1216</v>
      </c>
      <c r="X444">
        <v>0</v>
      </c>
      <c r="Y444">
        <v>221</v>
      </c>
      <c r="Z444" t="s">
        <v>40</v>
      </c>
      <c r="AA444" t="str">
        <f t="shared" si="12"/>
        <v>update zamestnanci set nastup='25' where id='874';</v>
      </c>
      <c r="AB444" t="str">
        <f t="shared" si="13"/>
        <v>update dochazka set zastavka = '25' where zamestnanec = '874';</v>
      </c>
    </row>
    <row r="445" spans="1:28" x14ac:dyDescent="0.25">
      <c r="A445" s="2">
        <v>931</v>
      </c>
      <c r="B445" t="s">
        <v>4204</v>
      </c>
      <c r="C445" t="s">
        <v>4205</v>
      </c>
      <c r="D445" t="s">
        <v>1056</v>
      </c>
      <c r="E445" t="s">
        <v>701</v>
      </c>
      <c r="F445" t="s">
        <v>4206</v>
      </c>
      <c r="G445" s="1">
        <v>45411</v>
      </c>
      <c r="H445" s="1">
        <v>45534</v>
      </c>
      <c r="I445" s="1">
        <v>73050</v>
      </c>
      <c r="J445" s="2" t="s">
        <v>8321</v>
      </c>
      <c r="K445" t="s">
        <v>4047</v>
      </c>
      <c r="M445" s="16" t="s">
        <v>8322</v>
      </c>
      <c r="N445" s="16" t="str">
        <f>VLOOKUP(M445,Tab_Zast[[Zastávka]:[Sloupec1]],2,0)</f>
        <v>25</v>
      </c>
      <c r="O445" t="s">
        <v>4048</v>
      </c>
      <c r="P445">
        <v>6</v>
      </c>
      <c r="Q445">
        <v>0</v>
      </c>
      <c r="R445" t="s">
        <v>31</v>
      </c>
      <c r="S445" t="s">
        <v>31</v>
      </c>
      <c r="T445" t="s">
        <v>32</v>
      </c>
      <c r="V445" s="1" t="e">
        <v>#N/A</v>
      </c>
      <c r="W445" t="s">
        <v>1216</v>
      </c>
      <c r="X445">
        <v>0</v>
      </c>
      <c r="Y445">
        <v>301</v>
      </c>
      <c r="AA445" t="str">
        <f t="shared" si="12"/>
        <v>update zamestnanci set nastup='25' where id='931';</v>
      </c>
      <c r="AB445" t="str">
        <f t="shared" si="13"/>
        <v>update dochazka set zastavka = '25' where zamestnanec = '931';</v>
      </c>
    </row>
    <row r="446" spans="1:28" x14ac:dyDescent="0.25">
      <c r="A446" s="2">
        <v>943</v>
      </c>
      <c r="B446" t="s">
        <v>4256</v>
      </c>
      <c r="C446" t="s">
        <v>4257</v>
      </c>
      <c r="D446" t="s">
        <v>4258</v>
      </c>
      <c r="E446" t="s">
        <v>2966</v>
      </c>
      <c r="F446" t="s">
        <v>4259</v>
      </c>
      <c r="G446" s="1">
        <v>45426</v>
      </c>
      <c r="H446" s="1">
        <v>45471</v>
      </c>
      <c r="I446" s="1">
        <v>73050</v>
      </c>
      <c r="J446" s="2" t="s">
        <v>8299</v>
      </c>
      <c r="K446" t="s">
        <v>4260</v>
      </c>
      <c r="M446" s="16" t="s">
        <v>8300</v>
      </c>
      <c r="N446" s="16" t="str">
        <f>VLOOKUP(M446,Tab_Zast[[Zastávka]:[Sloupec1]],2,0)</f>
        <v>16</v>
      </c>
      <c r="O446" t="s">
        <v>4261</v>
      </c>
      <c r="P446">
        <v>1</v>
      </c>
      <c r="Q446">
        <v>0</v>
      </c>
      <c r="R446" t="s">
        <v>31</v>
      </c>
      <c r="S446" t="s">
        <v>31</v>
      </c>
      <c r="T446" t="s">
        <v>32</v>
      </c>
      <c r="V446" s="1" t="e">
        <v>#N/A</v>
      </c>
      <c r="W446" t="s">
        <v>2381</v>
      </c>
      <c r="X446">
        <v>0</v>
      </c>
      <c r="Y446">
        <v>281</v>
      </c>
      <c r="AA446" t="str">
        <f t="shared" si="12"/>
        <v>update zamestnanci set nastup='16' where id='943';</v>
      </c>
      <c r="AB446" t="str">
        <f t="shared" si="13"/>
        <v>update dochazka set zastavka = '16' where zamestnanec = '943';</v>
      </c>
    </row>
    <row r="447" spans="1:28" x14ac:dyDescent="0.25">
      <c r="A447" s="2">
        <v>960</v>
      </c>
      <c r="B447" t="s">
        <v>4343</v>
      </c>
      <c r="C447" t="s">
        <v>4344</v>
      </c>
      <c r="D447" t="s">
        <v>4345</v>
      </c>
      <c r="E447" t="s">
        <v>3533</v>
      </c>
      <c r="F447" t="s">
        <v>167</v>
      </c>
      <c r="G447" s="1">
        <v>45441</v>
      </c>
      <c r="H447" s="1">
        <v>45442</v>
      </c>
      <c r="I447" s="1">
        <v>73050</v>
      </c>
      <c r="J447" s="2" t="s">
        <v>8321</v>
      </c>
      <c r="K447" t="s">
        <v>4346</v>
      </c>
      <c r="M447" s="16" t="s">
        <v>8322</v>
      </c>
      <c r="N447" s="16" t="str">
        <f>VLOOKUP(M447,Tab_Zast[[Zastávka]:[Sloupec1]],2,0)</f>
        <v>25</v>
      </c>
      <c r="O447" t="s">
        <v>4347</v>
      </c>
      <c r="P447">
        <v>6</v>
      </c>
      <c r="Q447">
        <v>0</v>
      </c>
      <c r="R447" t="s">
        <v>31</v>
      </c>
      <c r="S447" t="s">
        <v>31</v>
      </c>
      <c r="T447" t="s">
        <v>32</v>
      </c>
      <c r="V447" s="1" t="e">
        <v>#N/A</v>
      </c>
      <c r="W447" t="s">
        <v>1216</v>
      </c>
      <c r="X447">
        <v>0</v>
      </c>
      <c r="Y447">
        <v>329</v>
      </c>
      <c r="AA447" t="str">
        <f t="shared" si="12"/>
        <v>update zamestnanci set nastup='25' where id='960';</v>
      </c>
      <c r="AB447" t="str">
        <f t="shared" si="13"/>
        <v>update dochazka set zastavka = '25' where zamestnanec = '960';</v>
      </c>
    </row>
    <row r="448" spans="1:28" x14ac:dyDescent="0.25">
      <c r="A448" s="2">
        <v>1059</v>
      </c>
      <c r="B448" t="s">
        <v>4769</v>
      </c>
      <c r="C448" t="s">
        <v>4770</v>
      </c>
      <c r="D448" t="s">
        <v>4771</v>
      </c>
      <c r="E448" t="s">
        <v>4772</v>
      </c>
      <c r="F448" t="s">
        <v>4773</v>
      </c>
      <c r="G448" s="1">
        <v>45477</v>
      </c>
      <c r="H448" s="1">
        <v>45544</v>
      </c>
      <c r="I448" s="1">
        <v>73050</v>
      </c>
      <c r="J448" s="2" t="s">
        <v>8426</v>
      </c>
      <c r="K448" t="s">
        <v>4774</v>
      </c>
      <c r="M448" s="16" t="s">
        <v>8427</v>
      </c>
      <c r="N448" s="16" t="str">
        <f>VLOOKUP(M448,Tab_Zast[[Zastávka]:[Sloupec1]],2,0)</f>
        <v>67</v>
      </c>
      <c r="O448" t="s">
        <v>4775</v>
      </c>
      <c r="P448">
        <v>6</v>
      </c>
      <c r="Q448">
        <v>0</v>
      </c>
      <c r="R448" t="s">
        <v>31</v>
      </c>
      <c r="S448" t="s">
        <v>31</v>
      </c>
      <c r="T448" t="s">
        <v>32</v>
      </c>
      <c r="V448" s="1" t="e">
        <v>#N/A</v>
      </c>
      <c r="W448" t="s">
        <v>1216</v>
      </c>
      <c r="X448">
        <v>0</v>
      </c>
      <c r="Y448">
        <v>446</v>
      </c>
      <c r="AA448" t="str">
        <f t="shared" si="12"/>
        <v>update zamestnanci set nastup='67' where id='1059';</v>
      </c>
      <c r="AB448" t="str">
        <f t="shared" si="13"/>
        <v>update dochazka set zastavka = '67' where zamestnanec = '1059';</v>
      </c>
    </row>
    <row r="449" spans="1:28" x14ac:dyDescent="0.25">
      <c r="A449" s="2">
        <v>1060</v>
      </c>
      <c r="B449" t="s">
        <v>4776</v>
      </c>
      <c r="C449" t="s">
        <v>64</v>
      </c>
      <c r="D449" t="s">
        <v>4777</v>
      </c>
      <c r="E449" t="s">
        <v>3048</v>
      </c>
      <c r="F449" t="s">
        <v>558</v>
      </c>
      <c r="G449" s="1">
        <v>45481</v>
      </c>
      <c r="H449" s="1">
        <v>45554</v>
      </c>
      <c r="I449" s="1">
        <v>73050</v>
      </c>
      <c r="J449" s="2" t="s">
        <v>8299</v>
      </c>
      <c r="K449" t="s">
        <v>4778</v>
      </c>
      <c r="M449" s="16" t="s">
        <v>8300</v>
      </c>
      <c r="N449" s="16" t="str">
        <f>VLOOKUP(M449,Tab_Zast[[Zastávka]:[Sloupec1]],2,0)</f>
        <v>16</v>
      </c>
      <c r="O449" t="s">
        <v>4779</v>
      </c>
      <c r="P449">
        <v>1</v>
      </c>
      <c r="Q449">
        <v>0</v>
      </c>
      <c r="R449" t="s">
        <v>31</v>
      </c>
      <c r="S449" t="s">
        <v>31</v>
      </c>
      <c r="T449" t="s">
        <v>32</v>
      </c>
      <c r="V449" s="1">
        <v>45554</v>
      </c>
      <c r="W449" t="s">
        <v>47</v>
      </c>
      <c r="X449">
        <v>0</v>
      </c>
      <c r="Y449">
        <v>451</v>
      </c>
      <c r="AA449" t="str">
        <f t="shared" si="12"/>
        <v>update zamestnanci set nastup='16' where id='1060';</v>
      </c>
      <c r="AB449" t="str">
        <f t="shared" si="13"/>
        <v>update dochazka set zastavka = '16' where zamestnanec = '1060';</v>
      </c>
    </row>
    <row r="450" spans="1:28" x14ac:dyDescent="0.25">
      <c r="A450" s="2">
        <v>1063</v>
      </c>
      <c r="B450" t="s">
        <v>4789</v>
      </c>
      <c r="C450" t="s">
        <v>64</v>
      </c>
      <c r="D450" t="s">
        <v>544</v>
      </c>
      <c r="E450" t="s">
        <v>2451</v>
      </c>
      <c r="F450" t="s">
        <v>64</v>
      </c>
      <c r="G450" s="1">
        <v>45481</v>
      </c>
      <c r="H450" s="1">
        <v>45481</v>
      </c>
      <c r="I450" s="1">
        <v>45481</v>
      </c>
      <c r="J450" s="2" t="s">
        <v>8299</v>
      </c>
      <c r="K450" t="s">
        <v>4790</v>
      </c>
      <c r="M450" s="16" t="s">
        <v>8300</v>
      </c>
      <c r="N450" s="16" t="str">
        <f>VLOOKUP(M450,Tab_Zast[[Zastávka]:[Sloupec1]],2,0)</f>
        <v>16</v>
      </c>
      <c r="O450" t="s">
        <v>4791</v>
      </c>
      <c r="P450">
        <v>1</v>
      </c>
      <c r="Q450">
        <v>0</v>
      </c>
      <c r="R450" t="s">
        <v>31</v>
      </c>
      <c r="S450" t="s">
        <v>31</v>
      </c>
      <c r="T450" t="s">
        <v>32</v>
      </c>
      <c r="V450" s="1" t="e">
        <v>#N/A</v>
      </c>
      <c r="W450" t="s">
        <v>47</v>
      </c>
      <c r="X450">
        <v>0</v>
      </c>
      <c r="Y450">
        <v>447</v>
      </c>
      <c r="AA450" t="str">
        <f t="shared" si="12"/>
        <v>update zamestnanci set nastup='16' where id='1063';</v>
      </c>
      <c r="AB450" t="str">
        <f t="shared" si="13"/>
        <v>update dochazka set zastavka = '16' where zamestnanec = '1063';</v>
      </c>
    </row>
    <row r="451" spans="1:28" x14ac:dyDescent="0.25">
      <c r="A451" s="2">
        <v>1085</v>
      </c>
      <c r="B451" t="s">
        <v>4879</v>
      </c>
      <c r="C451" t="s">
        <v>1394</v>
      </c>
      <c r="D451" t="s">
        <v>4827</v>
      </c>
      <c r="E451" t="s">
        <v>1947</v>
      </c>
      <c r="F451" t="s">
        <v>67</v>
      </c>
      <c r="G451" s="1">
        <v>45488</v>
      </c>
      <c r="H451" s="1">
        <v>45488</v>
      </c>
      <c r="I451" s="1">
        <v>45488</v>
      </c>
      <c r="J451" s="2" t="s">
        <v>8321</v>
      </c>
      <c r="K451" t="s">
        <v>4828</v>
      </c>
      <c r="M451" s="16" t="s">
        <v>8322</v>
      </c>
      <c r="N451" s="16" t="str">
        <f>VLOOKUP(M451,Tab_Zast[[Zastávka]:[Sloupec1]],2,0)</f>
        <v>25</v>
      </c>
      <c r="O451" t="s">
        <v>4829</v>
      </c>
      <c r="P451">
        <v>6</v>
      </c>
      <c r="Q451">
        <v>0</v>
      </c>
      <c r="R451" t="s">
        <v>31</v>
      </c>
      <c r="S451" t="s">
        <v>31</v>
      </c>
      <c r="T451" t="s">
        <v>32</v>
      </c>
      <c r="V451" s="1" t="e">
        <v>#N/A</v>
      </c>
      <c r="W451" t="s">
        <v>1022</v>
      </c>
      <c r="X451">
        <v>0</v>
      </c>
      <c r="Y451">
        <v>473</v>
      </c>
      <c r="AA451" t="str">
        <f t="shared" si="12"/>
        <v>update zamestnanci set nastup='25' where id='1085';</v>
      </c>
      <c r="AB451" t="str">
        <f t="shared" si="13"/>
        <v>update dochazka set zastavka = '25' where zamestnanec = '1085';</v>
      </c>
    </row>
    <row r="452" spans="1:28" x14ac:dyDescent="0.25">
      <c r="A452" s="2">
        <v>1211</v>
      </c>
      <c r="B452" t="s">
        <v>5385</v>
      </c>
      <c r="C452" t="s">
        <v>64</v>
      </c>
      <c r="D452" t="s">
        <v>5386</v>
      </c>
      <c r="E452" t="s">
        <v>2120</v>
      </c>
      <c r="F452" t="s">
        <v>5387</v>
      </c>
      <c r="G452" s="1">
        <v>45604</v>
      </c>
      <c r="H452" s="1">
        <v>45684</v>
      </c>
      <c r="I452" s="1">
        <v>73050</v>
      </c>
      <c r="J452" s="2" t="s">
        <v>8321</v>
      </c>
      <c r="K452" t="s">
        <v>5388</v>
      </c>
      <c r="M452" s="16" t="s">
        <v>8322</v>
      </c>
      <c r="N452" s="16" t="str">
        <f>VLOOKUP(M452,Tab_Zast[[Zastávka]:[Sloupec1]],2,0)</f>
        <v>25</v>
      </c>
      <c r="O452" t="s">
        <v>5389</v>
      </c>
      <c r="P452">
        <v>6</v>
      </c>
      <c r="Q452">
        <v>0</v>
      </c>
      <c r="R452" t="s">
        <v>31</v>
      </c>
      <c r="S452" t="s">
        <v>31</v>
      </c>
      <c r="T452" t="s">
        <v>32</v>
      </c>
      <c r="V452" s="1" t="e">
        <v>#N/A</v>
      </c>
      <c r="W452" t="s">
        <v>1216</v>
      </c>
      <c r="X452">
        <v>0</v>
      </c>
      <c r="Y452">
        <v>604</v>
      </c>
      <c r="AA452" t="str">
        <f t="shared" ref="AA452:AA515" si="14">IF(J452&lt;&gt;"00","update zamestnanci set nastup='" &amp; J452 &amp; "' where id='" &amp; A452 &amp; "';","")</f>
        <v>update zamestnanci set nastup='25' where id='1211';</v>
      </c>
      <c r="AB452" t="str">
        <f t="shared" ref="AB452:AB515" si="15">IF(J452&lt;&gt;"00","update dochazka set zastavka = '" &amp; J452 &amp; "' where zamestnanec = '" &amp; A452 &amp; "';","")</f>
        <v>update dochazka set zastavka = '25' where zamestnanec = '1211';</v>
      </c>
    </row>
    <row r="453" spans="1:28" x14ac:dyDescent="0.25">
      <c r="A453" s="2">
        <v>1212</v>
      </c>
      <c r="B453" t="s">
        <v>5390</v>
      </c>
      <c r="C453" t="s">
        <v>64</v>
      </c>
      <c r="D453" t="s">
        <v>5243</v>
      </c>
      <c r="E453" t="s">
        <v>2883</v>
      </c>
      <c r="F453" t="s">
        <v>5391</v>
      </c>
      <c r="G453" s="1">
        <v>45616</v>
      </c>
      <c r="H453" s="1">
        <v>45616</v>
      </c>
      <c r="I453" s="1">
        <v>45616</v>
      </c>
      <c r="J453" s="2" t="s">
        <v>8321</v>
      </c>
      <c r="K453" t="s">
        <v>5392</v>
      </c>
      <c r="M453" s="16" t="s">
        <v>8322</v>
      </c>
      <c r="N453" s="16" t="str">
        <f>VLOOKUP(M453,Tab_Zast[[Zastávka]:[Sloupec1]],2,0)</f>
        <v>25</v>
      </c>
      <c r="O453" t="s">
        <v>5389</v>
      </c>
      <c r="P453">
        <v>6</v>
      </c>
      <c r="Q453">
        <v>0</v>
      </c>
      <c r="R453" t="s">
        <v>31</v>
      </c>
      <c r="S453" t="s">
        <v>31</v>
      </c>
      <c r="T453" t="s">
        <v>32</v>
      </c>
      <c r="V453" s="1" t="e">
        <v>#N/A</v>
      </c>
      <c r="W453" t="s">
        <v>1216</v>
      </c>
      <c r="X453">
        <v>0</v>
      </c>
      <c r="Y453">
        <v>605</v>
      </c>
      <c r="AA453" t="str">
        <f t="shared" si="14"/>
        <v>update zamestnanci set nastup='25' where id='1212';</v>
      </c>
      <c r="AB453" t="str">
        <f t="shared" si="15"/>
        <v>update dochazka set zastavka = '25' where zamestnanec = '1212';</v>
      </c>
    </row>
    <row r="454" spans="1:28" x14ac:dyDescent="0.25">
      <c r="A454" s="2">
        <v>1213</v>
      </c>
      <c r="B454" t="s">
        <v>5393</v>
      </c>
      <c r="C454" t="s">
        <v>151</v>
      </c>
      <c r="D454" t="s">
        <v>5394</v>
      </c>
      <c r="E454" t="s">
        <v>5395</v>
      </c>
      <c r="F454" t="s">
        <v>67</v>
      </c>
      <c r="G454" s="1">
        <v>45544</v>
      </c>
      <c r="H454" s="1">
        <v>45544</v>
      </c>
      <c r="I454" s="1">
        <v>73050</v>
      </c>
      <c r="J454" s="2" t="s">
        <v>8299</v>
      </c>
      <c r="K454" t="s">
        <v>5396</v>
      </c>
      <c r="M454" s="16" t="s">
        <v>8300</v>
      </c>
      <c r="N454" s="16" t="str">
        <f>VLOOKUP(M454,Tab_Zast[[Zastávka]:[Sloupec1]],2,0)</f>
        <v>16</v>
      </c>
      <c r="O454" t="s">
        <v>5397</v>
      </c>
      <c r="P454">
        <v>1</v>
      </c>
      <c r="Q454">
        <v>0</v>
      </c>
      <c r="R454" t="s">
        <v>31</v>
      </c>
      <c r="S454" t="s">
        <v>31</v>
      </c>
      <c r="T454" t="s">
        <v>32</v>
      </c>
      <c r="V454" s="1" t="e">
        <v>#N/A</v>
      </c>
      <c r="W454" t="s">
        <v>47</v>
      </c>
      <c r="X454">
        <v>0</v>
      </c>
      <c r="Y454">
        <v>606</v>
      </c>
      <c r="AA454" t="str">
        <f t="shared" si="14"/>
        <v>update zamestnanci set nastup='16' where id='1213';</v>
      </c>
      <c r="AB454" t="str">
        <f t="shared" si="15"/>
        <v>update dochazka set zastavka = '16' where zamestnanec = '1213';</v>
      </c>
    </row>
    <row r="455" spans="1:28" x14ac:dyDescent="0.25">
      <c r="A455" s="2">
        <v>1237</v>
      </c>
      <c r="B455" t="s">
        <v>5484</v>
      </c>
      <c r="C455" t="s">
        <v>64</v>
      </c>
      <c r="D455" t="s">
        <v>5485</v>
      </c>
      <c r="E455" t="s">
        <v>5486</v>
      </c>
      <c r="F455" t="s">
        <v>67</v>
      </c>
      <c r="G455" s="1">
        <v>45551</v>
      </c>
      <c r="H455" s="1">
        <v>45551</v>
      </c>
      <c r="I455" s="1">
        <v>45551</v>
      </c>
      <c r="J455" s="2" t="s">
        <v>8299</v>
      </c>
      <c r="K455" t="s">
        <v>5487</v>
      </c>
      <c r="M455" s="16" t="s">
        <v>8300</v>
      </c>
      <c r="N455" s="16" t="str">
        <f>VLOOKUP(M455,Tab_Zast[[Zastávka]:[Sloupec1]],2,0)</f>
        <v>16</v>
      </c>
      <c r="O455" t="s">
        <v>4067</v>
      </c>
      <c r="P455">
        <v>1</v>
      </c>
      <c r="Q455">
        <v>0</v>
      </c>
      <c r="R455" t="s">
        <v>31</v>
      </c>
      <c r="S455" t="s">
        <v>31</v>
      </c>
      <c r="T455" t="s">
        <v>32</v>
      </c>
      <c r="V455" s="1" t="e">
        <v>#N/A</v>
      </c>
      <c r="W455" t="s">
        <v>47</v>
      </c>
      <c r="X455">
        <v>0</v>
      </c>
      <c r="Y455">
        <v>628</v>
      </c>
      <c r="AA455" t="str">
        <f t="shared" si="14"/>
        <v>update zamestnanci set nastup='16' where id='1237';</v>
      </c>
      <c r="AB455" t="str">
        <f t="shared" si="15"/>
        <v>update dochazka set zastavka = '16' where zamestnanec = '1237';</v>
      </c>
    </row>
    <row r="456" spans="1:28" x14ac:dyDescent="0.25">
      <c r="A456" s="2">
        <v>1238</v>
      </c>
      <c r="B456" t="s">
        <v>5488</v>
      </c>
      <c r="C456" t="s">
        <v>64</v>
      </c>
      <c r="D456" t="s">
        <v>5485</v>
      </c>
      <c r="E456" t="s">
        <v>574</v>
      </c>
      <c r="F456" t="s">
        <v>67</v>
      </c>
      <c r="G456" s="1">
        <v>45551</v>
      </c>
      <c r="H456" s="1">
        <v>45551</v>
      </c>
      <c r="I456" s="1">
        <v>45551</v>
      </c>
      <c r="J456" s="2" t="s">
        <v>8299</v>
      </c>
      <c r="K456" t="s">
        <v>5489</v>
      </c>
      <c r="M456" s="16" t="s">
        <v>8300</v>
      </c>
      <c r="N456" s="16" t="str">
        <f>VLOOKUP(M456,Tab_Zast[[Zastávka]:[Sloupec1]],2,0)</f>
        <v>16</v>
      </c>
      <c r="O456" t="s">
        <v>4067</v>
      </c>
      <c r="P456">
        <v>1</v>
      </c>
      <c r="Q456">
        <v>0</v>
      </c>
      <c r="R456" t="s">
        <v>31</v>
      </c>
      <c r="S456" t="s">
        <v>31</v>
      </c>
      <c r="T456" t="s">
        <v>32</v>
      </c>
      <c r="V456" s="1" t="e">
        <v>#N/A</v>
      </c>
      <c r="W456" t="s">
        <v>47</v>
      </c>
      <c r="X456">
        <v>0</v>
      </c>
      <c r="Y456">
        <v>629</v>
      </c>
      <c r="AA456" t="str">
        <f t="shared" si="14"/>
        <v>update zamestnanci set nastup='16' where id='1238';</v>
      </c>
      <c r="AB456" t="str">
        <f t="shared" si="15"/>
        <v>update dochazka set zastavka = '16' where zamestnanec = '1238';</v>
      </c>
    </row>
    <row r="457" spans="1:28" x14ac:dyDescent="0.25">
      <c r="A457" s="2">
        <v>1256</v>
      </c>
      <c r="B457" t="s">
        <v>5559</v>
      </c>
      <c r="C457" t="s">
        <v>64</v>
      </c>
      <c r="D457" t="s">
        <v>5560</v>
      </c>
      <c r="E457" t="s">
        <v>1509</v>
      </c>
      <c r="F457" t="s">
        <v>5561</v>
      </c>
      <c r="G457" s="1">
        <v>45558</v>
      </c>
      <c r="H457" s="1">
        <v>45559</v>
      </c>
      <c r="I457" s="1">
        <v>73050</v>
      </c>
      <c r="J457" s="2" t="s">
        <v>8299</v>
      </c>
      <c r="K457" t="s">
        <v>5562</v>
      </c>
      <c r="M457" s="16" t="s">
        <v>8300</v>
      </c>
      <c r="N457" s="16" t="str">
        <f>VLOOKUP(M457,Tab_Zast[[Zastávka]:[Sloupec1]],2,0)</f>
        <v>16</v>
      </c>
      <c r="O457" t="s">
        <v>5563</v>
      </c>
      <c r="P457">
        <v>1</v>
      </c>
      <c r="Q457">
        <v>0</v>
      </c>
      <c r="R457" t="s">
        <v>31</v>
      </c>
      <c r="S457" t="s">
        <v>31</v>
      </c>
      <c r="T457" t="s">
        <v>32</v>
      </c>
      <c r="V457" s="1" t="e">
        <v>#N/A</v>
      </c>
      <c r="W457" t="s">
        <v>47</v>
      </c>
      <c r="X457">
        <v>0</v>
      </c>
      <c r="Y457">
        <v>646</v>
      </c>
      <c r="AA457" t="str">
        <f t="shared" si="14"/>
        <v>update zamestnanci set nastup='16' where id='1256';</v>
      </c>
      <c r="AB457" t="str">
        <f t="shared" si="15"/>
        <v>update dochazka set zastavka = '16' where zamestnanec = '1256';</v>
      </c>
    </row>
    <row r="458" spans="1:28" x14ac:dyDescent="0.25">
      <c r="A458" s="2">
        <v>1381</v>
      </c>
      <c r="B458" t="s">
        <v>6053</v>
      </c>
      <c r="C458" t="s">
        <v>64</v>
      </c>
      <c r="D458" t="s">
        <v>6054</v>
      </c>
      <c r="E458" t="s">
        <v>3132</v>
      </c>
      <c r="F458" t="s">
        <v>6055</v>
      </c>
      <c r="G458" s="1">
        <v>45614</v>
      </c>
      <c r="H458" s="1">
        <v>45674</v>
      </c>
      <c r="I458" s="1">
        <v>73050</v>
      </c>
      <c r="J458" s="2" t="s">
        <v>8299</v>
      </c>
      <c r="K458" t="s">
        <v>6056</v>
      </c>
      <c r="M458" s="16" t="s">
        <v>8300</v>
      </c>
      <c r="N458" s="16" t="str">
        <f>VLOOKUP(M458,Tab_Zast[[Zastávka]:[Sloupec1]],2,0)</f>
        <v>16</v>
      </c>
      <c r="O458" t="s">
        <v>6057</v>
      </c>
      <c r="P458">
        <v>1</v>
      </c>
      <c r="Q458">
        <v>0</v>
      </c>
      <c r="R458" t="s">
        <v>31</v>
      </c>
      <c r="S458" t="s">
        <v>31</v>
      </c>
      <c r="T458" t="s">
        <v>32</v>
      </c>
      <c r="V458" s="1">
        <v>45669</v>
      </c>
      <c r="W458" t="s">
        <v>47</v>
      </c>
      <c r="X458">
        <v>0</v>
      </c>
      <c r="Y458">
        <v>770</v>
      </c>
      <c r="AA458" t="str">
        <f t="shared" si="14"/>
        <v>update zamestnanci set nastup='16' where id='1381';</v>
      </c>
      <c r="AB458" t="str">
        <f t="shared" si="15"/>
        <v>update dochazka set zastavka = '16' where zamestnanec = '1381';</v>
      </c>
    </row>
    <row r="459" spans="1:28" x14ac:dyDescent="0.25">
      <c r="A459" s="2">
        <v>1396</v>
      </c>
      <c r="B459" t="s">
        <v>6116</v>
      </c>
      <c r="C459" t="s">
        <v>64</v>
      </c>
      <c r="D459" t="s">
        <v>6117</v>
      </c>
      <c r="E459" t="s">
        <v>3384</v>
      </c>
      <c r="F459" t="s">
        <v>64</v>
      </c>
      <c r="G459" s="1">
        <v>45621</v>
      </c>
      <c r="H459" s="1">
        <v>45674</v>
      </c>
      <c r="I459" s="1">
        <v>73050</v>
      </c>
      <c r="J459" s="2" t="s">
        <v>8299</v>
      </c>
      <c r="K459" t="s">
        <v>6118</v>
      </c>
      <c r="M459" s="16" t="s">
        <v>8300</v>
      </c>
      <c r="N459" s="16" t="str">
        <f>VLOOKUP(M459,Tab_Zast[[Zastávka]:[Sloupec1]],2,0)</f>
        <v>16</v>
      </c>
      <c r="O459" t="s">
        <v>6119</v>
      </c>
      <c r="P459">
        <v>1</v>
      </c>
      <c r="Q459">
        <v>0</v>
      </c>
      <c r="R459" t="s">
        <v>31</v>
      </c>
      <c r="S459" t="s">
        <v>31</v>
      </c>
      <c r="T459" t="s">
        <v>32</v>
      </c>
      <c r="V459" s="1" t="e">
        <v>#N/A</v>
      </c>
      <c r="W459" t="s">
        <v>47</v>
      </c>
      <c r="X459">
        <v>0</v>
      </c>
      <c r="Y459">
        <v>785</v>
      </c>
      <c r="AA459" t="str">
        <f t="shared" si="14"/>
        <v>update zamestnanci set nastup='16' where id='1396';</v>
      </c>
      <c r="AB459" t="str">
        <f t="shared" si="15"/>
        <v>update dochazka set zastavka = '16' where zamestnanec = '1396';</v>
      </c>
    </row>
    <row r="460" spans="1:28" x14ac:dyDescent="0.25">
      <c r="A460" s="2">
        <v>1400</v>
      </c>
      <c r="B460" t="s">
        <v>6128</v>
      </c>
      <c r="C460" t="s">
        <v>64</v>
      </c>
      <c r="D460" t="s">
        <v>4777</v>
      </c>
      <c r="E460" t="s">
        <v>3048</v>
      </c>
      <c r="F460" t="s">
        <v>64</v>
      </c>
      <c r="G460" s="1">
        <v>45623</v>
      </c>
      <c r="H460" s="1">
        <v>45623</v>
      </c>
      <c r="I460" s="1">
        <v>45623</v>
      </c>
      <c r="J460" s="2" t="s">
        <v>8299</v>
      </c>
      <c r="K460" t="s">
        <v>6129</v>
      </c>
      <c r="M460" s="16" t="s">
        <v>8300</v>
      </c>
      <c r="N460" s="16" t="str">
        <f>VLOOKUP(M460,Tab_Zast[[Zastávka]:[Sloupec1]],2,0)</f>
        <v>16</v>
      </c>
      <c r="O460" t="s">
        <v>6130</v>
      </c>
      <c r="P460">
        <v>1</v>
      </c>
      <c r="Q460">
        <v>0</v>
      </c>
      <c r="R460" t="s">
        <v>31</v>
      </c>
      <c r="S460" t="s">
        <v>31</v>
      </c>
      <c r="T460" t="s">
        <v>32</v>
      </c>
      <c r="V460" s="1" t="e">
        <v>#N/A</v>
      </c>
      <c r="W460" t="s">
        <v>47</v>
      </c>
      <c r="X460">
        <v>0</v>
      </c>
      <c r="Y460">
        <v>789</v>
      </c>
      <c r="AA460" t="str">
        <f t="shared" si="14"/>
        <v>update zamestnanci set nastup='16' where id='1400';</v>
      </c>
      <c r="AB460" t="str">
        <f t="shared" si="15"/>
        <v>update dochazka set zastavka = '16' where zamestnanec = '1400';</v>
      </c>
    </row>
    <row r="461" spans="1:28" x14ac:dyDescent="0.25">
      <c r="A461" s="2">
        <v>1404</v>
      </c>
      <c r="B461" t="s">
        <v>6141</v>
      </c>
      <c r="C461" t="s">
        <v>64</v>
      </c>
      <c r="D461" t="s">
        <v>6142</v>
      </c>
      <c r="E461" t="s">
        <v>3223</v>
      </c>
      <c r="F461" t="s">
        <v>64</v>
      </c>
      <c r="G461" s="1">
        <v>45623</v>
      </c>
      <c r="H461" s="1">
        <v>45623</v>
      </c>
      <c r="I461" s="1">
        <v>45623</v>
      </c>
      <c r="J461" s="2" t="s">
        <v>8299</v>
      </c>
      <c r="K461" t="s">
        <v>6143</v>
      </c>
      <c r="M461" s="16" t="s">
        <v>8300</v>
      </c>
      <c r="N461" s="16" t="str">
        <f>VLOOKUP(M461,Tab_Zast[[Zastávka]:[Sloupec1]],2,0)</f>
        <v>16</v>
      </c>
      <c r="O461" t="s">
        <v>6144</v>
      </c>
      <c r="P461">
        <v>1</v>
      </c>
      <c r="Q461">
        <v>0</v>
      </c>
      <c r="R461" t="s">
        <v>31</v>
      </c>
      <c r="S461" t="s">
        <v>31</v>
      </c>
      <c r="T461" t="s">
        <v>32</v>
      </c>
      <c r="V461" s="1" t="e">
        <v>#N/A</v>
      </c>
      <c r="W461" t="s">
        <v>47</v>
      </c>
      <c r="X461">
        <v>0</v>
      </c>
      <c r="Y461">
        <v>793</v>
      </c>
      <c r="AA461" t="str">
        <f t="shared" si="14"/>
        <v>update zamestnanci set nastup='16' where id='1404';</v>
      </c>
      <c r="AB461" t="str">
        <f t="shared" si="15"/>
        <v>update dochazka set zastavka = '16' where zamestnanec = '1404';</v>
      </c>
    </row>
    <row r="462" spans="1:28" x14ac:dyDescent="0.25">
      <c r="A462" s="2">
        <v>1410</v>
      </c>
      <c r="B462" t="s">
        <v>6164</v>
      </c>
      <c r="C462" t="s">
        <v>64</v>
      </c>
      <c r="D462" t="s">
        <v>6165</v>
      </c>
      <c r="E462" t="s">
        <v>3717</v>
      </c>
      <c r="F462" t="s">
        <v>6166</v>
      </c>
      <c r="G462" s="1">
        <v>45628</v>
      </c>
      <c r="H462" s="1">
        <v>45678</v>
      </c>
      <c r="I462" s="1">
        <v>73050</v>
      </c>
      <c r="J462" s="2" t="s">
        <v>8299</v>
      </c>
      <c r="K462" t="s">
        <v>6167</v>
      </c>
      <c r="M462" s="16" t="s">
        <v>8300</v>
      </c>
      <c r="N462" s="16" t="str">
        <f>VLOOKUP(M462,Tab_Zast[[Zastávka]:[Sloupec1]],2,0)</f>
        <v>16</v>
      </c>
      <c r="O462" t="s">
        <v>6168</v>
      </c>
      <c r="P462">
        <v>1</v>
      </c>
      <c r="Q462">
        <v>0</v>
      </c>
      <c r="R462" t="s">
        <v>31</v>
      </c>
      <c r="S462" t="s">
        <v>31</v>
      </c>
      <c r="T462" t="s">
        <v>32</v>
      </c>
      <c r="V462" s="1" t="e">
        <v>#N/A</v>
      </c>
      <c r="W462" t="s">
        <v>47</v>
      </c>
      <c r="X462">
        <v>0</v>
      </c>
      <c r="Y462">
        <v>799</v>
      </c>
      <c r="AA462" t="str">
        <f t="shared" si="14"/>
        <v>update zamestnanci set nastup='16' where id='1410';</v>
      </c>
      <c r="AB462" t="str">
        <f t="shared" si="15"/>
        <v>update dochazka set zastavka = '16' where zamestnanec = '1410';</v>
      </c>
    </row>
    <row r="463" spans="1:28" x14ac:dyDescent="0.25">
      <c r="A463" s="2">
        <v>1412</v>
      </c>
      <c r="B463" t="s">
        <v>6174</v>
      </c>
      <c r="C463" t="s">
        <v>64</v>
      </c>
      <c r="D463" t="s">
        <v>6175</v>
      </c>
      <c r="E463" t="s">
        <v>6176</v>
      </c>
      <c r="F463" t="s">
        <v>64</v>
      </c>
      <c r="G463" s="1">
        <v>45628</v>
      </c>
      <c r="H463" s="1">
        <v>45754</v>
      </c>
      <c r="I463" s="1">
        <v>73050</v>
      </c>
      <c r="J463" s="2" t="s">
        <v>8299</v>
      </c>
      <c r="K463" t="s">
        <v>6177</v>
      </c>
      <c r="M463" s="16" t="s">
        <v>8300</v>
      </c>
      <c r="N463" s="16" t="str">
        <f>VLOOKUP(M463,Tab_Zast[[Zastávka]:[Sloupec1]],2,0)</f>
        <v>16</v>
      </c>
      <c r="O463" t="s">
        <v>6178</v>
      </c>
      <c r="P463">
        <v>1</v>
      </c>
      <c r="Q463">
        <v>0</v>
      </c>
      <c r="R463" t="s">
        <v>31</v>
      </c>
      <c r="S463" t="s">
        <v>31</v>
      </c>
      <c r="T463" t="s">
        <v>32</v>
      </c>
      <c r="V463" s="1">
        <v>45678</v>
      </c>
      <c r="W463" t="s">
        <v>47</v>
      </c>
      <c r="X463">
        <v>0</v>
      </c>
      <c r="Y463">
        <v>801</v>
      </c>
      <c r="AA463" t="str">
        <f t="shared" si="14"/>
        <v>update zamestnanci set nastup='16' where id='1412';</v>
      </c>
      <c r="AB463" t="str">
        <f t="shared" si="15"/>
        <v>update dochazka set zastavka = '16' where zamestnanec = '1412';</v>
      </c>
    </row>
    <row r="464" spans="1:28" x14ac:dyDescent="0.25">
      <c r="A464" s="2">
        <v>1415</v>
      </c>
      <c r="B464" t="s">
        <v>6188</v>
      </c>
      <c r="C464" t="s">
        <v>64</v>
      </c>
      <c r="D464" t="s">
        <v>6117</v>
      </c>
      <c r="E464" t="s">
        <v>3384</v>
      </c>
      <c r="F464" t="s">
        <v>6189</v>
      </c>
      <c r="G464" s="1">
        <v>45628</v>
      </c>
      <c r="H464" s="1">
        <v>45674</v>
      </c>
      <c r="I464" s="1">
        <v>73050</v>
      </c>
      <c r="J464" s="2" t="s">
        <v>8299</v>
      </c>
      <c r="K464" t="s">
        <v>6118</v>
      </c>
      <c r="M464" s="16" t="s">
        <v>8300</v>
      </c>
      <c r="N464" s="16" t="str">
        <f>VLOOKUP(M464,Tab_Zast[[Zastávka]:[Sloupec1]],2,0)</f>
        <v>16</v>
      </c>
      <c r="O464" t="s">
        <v>6119</v>
      </c>
      <c r="P464">
        <v>1</v>
      </c>
      <c r="Q464">
        <v>0</v>
      </c>
      <c r="R464" t="s">
        <v>31</v>
      </c>
      <c r="S464" t="s">
        <v>31</v>
      </c>
      <c r="T464" t="s">
        <v>32</v>
      </c>
      <c r="V464" s="1">
        <v>45673</v>
      </c>
      <c r="W464" t="s">
        <v>47</v>
      </c>
      <c r="X464">
        <v>0</v>
      </c>
      <c r="Y464">
        <v>804</v>
      </c>
      <c r="AA464" t="str">
        <f t="shared" si="14"/>
        <v>update zamestnanci set nastup='16' where id='1415';</v>
      </c>
      <c r="AB464" t="str">
        <f t="shared" si="15"/>
        <v>update dochazka set zastavka = '16' where zamestnanec = '1415';</v>
      </c>
    </row>
    <row r="465" spans="1:28" x14ac:dyDescent="0.25">
      <c r="A465" s="2">
        <v>1420</v>
      </c>
      <c r="B465" t="s">
        <v>6209</v>
      </c>
      <c r="C465" t="s">
        <v>64</v>
      </c>
      <c r="D465" t="s">
        <v>6210</v>
      </c>
      <c r="E465" t="s">
        <v>2391</v>
      </c>
      <c r="F465" t="s">
        <v>67</v>
      </c>
      <c r="G465" s="1">
        <v>45637</v>
      </c>
      <c r="H465" s="1">
        <v>45637</v>
      </c>
      <c r="I465" s="1">
        <v>45637</v>
      </c>
      <c r="J465" s="2" t="s">
        <v>8321</v>
      </c>
      <c r="K465" t="s">
        <v>6211</v>
      </c>
      <c r="M465" s="16" t="s">
        <v>8322</v>
      </c>
      <c r="N465" s="16" t="str">
        <f>VLOOKUP(M465,Tab_Zast[[Zastávka]:[Sloupec1]],2,0)</f>
        <v>25</v>
      </c>
      <c r="O465" t="s">
        <v>6212</v>
      </c>
      <c r="P465">
        <v>6</v>
      </c>
      <c r="Q465">
        <v>0</v>
      </c>
      <c r="R465" t="s">
        <v>31</v>
      </c>
      <c r="S465" t="s">
        <v>31</v>
      </c>
      <c r="T465" t="s">
        <v>32</v>
      </c>
      <c r="V465" s="1" t="e">
        <v>#N/A</v>
      </c>
      <c r="W465" t="s">
        <v>1216</v>
      </c>
      <c r="X465">
        <v>0</v>
      </c>
      <c r="Y465">
        <v>817</v>
      </c>
      <c r="AA465" t="str">
        <f t="shared" si="14"/>
        <v>update zamestnanci set nastup='25' where id='1420';</v>
      </c>
      <c r="AB465" t="str">
        <f t="shared" si="15"/>
        <v>update dochazka set zastavka = '25' where zamestnanec = '1420';</v>
      </c>
    </row>
    <row r="466" spans="1:28" x14ac:dyDescent="0.25">
      <c r="A466" s="2">
        <v>1429</v>
      </c>
      <c r="B466" t="s">
        <v>6240</v>
      </c>
      <c r="C466" t="s">
        <v>64</v>
      </c>
      <c r="D466" t="s">
        <v>5317</v>
      </c>
      <c r="E466" t="s">
        <v>6241</v>
      </c>
      <c r="F466" t="s">
        <v>1969</v>
      </c>
      <c r="G466" s="1">
        <v>45637</v>
      </c>
      <c r="H466" s="1">
        <v>45700</v>
      </c>
      <c r="I466" s="1">
        <v>73050</v>
      </c>
      <c r="J466" s="2" t="s">
        <v>8426</v>
      </c>
      <c r="K466" t="s">
        <v>6242</v>
      </c>
      <c r="M466" s="16" t="s">
        <v>8427</v>
      </c>
      <c r="N466" s="16" t="str">
        <f>VLOOKUP(M466,Tab_Zast[[Zastávka]:[Sloupec1]],2,0)</f>
        <v>67</v>
      </c>
      <c r="O466" t="s">
        <v>6243</v>
      </c>
      <c r="P466">
        <v>6</v>
      </c>
      <c r="Q466">
        <v>0</v>
      </c>
      <c r="R466" t="s">
        <v>31</v>
      </c>
      <c r="S466" t="s">
        <v>31</v>
      </c>
      <c r="T466" t="s">
        <v>32</v>
      </c>
      <c r="V466" s="1">
        <v>45699</v>
      </c>
      <c r="W466" t="s">
        <v>1216</v>
      </c>
      <c r="X466">
        <v>0</v>
      </c>
      <c r="Y466">
        <v>818</v>
      </c>
      <c r="AA466" t="str">
        <f t="shared" si="14"/>
        <v>update zamestnanci set nastup='67' where id='1429';</v>
      </c>
      <c r="AB466" t="str">
        <f t="shared" si="15"/>
        <v>update dochazka set zastavka = '67' where zamestnanec = '1429';</v>
      </c>
    </row>
    <row r="467" spans="1:28" x14ac:dyDescent="0.25">
      <c r="A467" s="2">
        <v>1430</v>
      </c>
      <c r="B467" t="s">
        <v>6244</v>
      </c>
      <c r="C467" t="s">
        <v>64</v>
      </c>
      <c r="D467" t="s">
        <v>1839</v>
      </c>
      <c r="E467" t="s">
        <v>2641</v>
      </c>
      <c r="F467" t="s">
        <v>5179</v>
      </c>
      <c r="G467" s="1">
        <v>45663</v>
      </c>
      <c r="H467" s="1">
        <v>45674</v>
      </c>
      <c r="I467" s="1">
        <v>73050</v>
      </c>
      <c r="J467" s="2" t="s">
        <v>8299</v>
      </c>
      <c r="K467" t="s">
        <v>6245</v>
      </c>
      <c r="M467" s="16" t="s">
        <v>8300</v>
      </c>
      <c r="N467" s="16" t="str">
        <f>VLOOKUP(M467,Tab_Zast[[Zastávka]:[Sloupec1]],2,0)</f>
        <v>16</v>
      </c>
      <c r="O467" t="s">
        <v>6246</v>
      </c>
      <c r="P467">
        <v>1</v>
      </c>
      <c r="Q467">
        <v>0</v>
      </c>
      <c r="R467" t="s">
        <v>31</v>
      </c>
      <c r="S467" t="s">
        <v>31</v>
      </c>
      <c r="T467" t="s">
        <v>32</v>
      </c>
      <c r="V467" s="1">
        <v>45669</v>
      </c>
      <c r="W467" t="s">
        <v>47</v>
      </c>
      <c r="X467">
        <v>0</v>
      </c>
      <c r="Y467">
        <v>819</v>
      </c>
      <c r="AA467" t="str">
        <f t="shared" si="14"/>
        <v>update zamestnanci set nastup='16' where id='1430';</v>
      </c>
      <c r="AB467" t="str">
        <f t="shared" si="15"/>
        <v>update dochazka set zastavka = '16' where zamestnanec = '1430';</v>
      </c>
    </row>
    <row r="468" spans="1:28" x14ac:dyDescent="0.25">
      <c r="A468" s="2">
        <v>1432</v>
      </c>
      <c r="B468" t="s">
        <v>6251</v>
      </c>
      <c r="C468" t="s">
        <v>64</v>
      </c>
      <c r="D468" t="s">
        <v>6252</v>
      </c>
      <c r="E468" t="s">
        <v>3734</v>
      </c>
      <c r="F468" t="s">
        <v>5992</v>
      </c>
      <c r="G468" s="1">
        <v>45663</v>
      </c>
      <c r="H468" s="1">
        <v>45674</v>
      </c>
      <c r="I468" s="1">
        <v>73050</v>
      </c>
      <c r="J468" s="2" t="s">
        <v>8299</v>
      </c>
      <c r="K468" t="s">
        <v>6253</v>
      </c>
      <c r="M468" s="16" t="s">
        <v>8300</v>
      </c>
      <c r="N468" s="16" t="str">
        <f>VLOOKUP(M468,Tab_Zast[[Zastávka]:[Sloupec1]],2,0)</f>
        <v>16</v>
      </c>
      <c r="O468" t="s">
        <v>6254</v>
      </c>
      <c r="P468">
        <v>1</v>
      </c>
      <c r="Q468">
        <v>0</v>
      </c>
      <c r="R468" t="s">
        <v>31</v>
      </c>
      <c r="S468" t="s">
        <v>31</v>
      </c>
      <c r="T468" t="s">
        <v>32</v>
      </c>
      <c r="V468" s="1">
        <v>45669</v>
      </c>
      <c r="W468" t="s">
        <v>47</v>
      </c>
      <c r="X468">
        <v>0</v>
      </c>
      <c r="Y468">
        <v>821</v>
      </c>
      <c r="AA468" t="str">
        <f t="shared" si="14"/>
        <v>update zamestnanci set nastup='16' where id='1432';</v>
      </c>
      <c r="AB468" t="str">
        <f t="shared" si="15"/>
        <v>update dochazka set zastavka = '16' where zamestnanec = '1432';</v>
      </c>
    </row>
    <row r="469" spans="1:28" x14ac:dyDescent="0.25">
      <c r="A469" s="2">
        <v>1451</v>
      </c>
      <c r="B469" t="s">
        <v>6326</v>
      </c>
      <c r="C469" t="s">
        <v>64</v>
      </c>
      <c r="D469" t="s">
        <v>2327</v>
      </c>
      <c r="E469" t="s">
        <v>755</v>
      </c>
      <c r="F469" t="s">
        <v>784</v>
      </c>
      <c r="G469" s="1">
        <v>45679</v>
      </c>
      <c r="H469" s="1">
        <v>45943</v>
      </c>
      <c r="I469" s="1">
        <v>73050</v>
      </c>
      <c r="J469" s="2" t="s">
        <v>8321</v>
      </c>
      <c r="K469" t="s">
        <v>6327</v>
      </c>
      <c r="M469" s="16" t="s">
        <v>8322</v>
      </c>
      <c r="N469" s="16" t="str">
        <f>VLOOKUP(M469,Tab_Zast[[Zastávka]:[Sloupec1]],2,0)</f>
        <v>25</v>
      </c>
      <c r="O469" t="s">
        <v>6328</v>
      </c>
      <c r="P469">
        <v>6</v>
      </c>
      <c r="Q469">
        <v>0</v>
      </c>
      <c r="R469" t="s">
        <v>31</v>
      </c>
      <c r="S469" t="s">
        <v>31</v>
      </c>
      <c r="T469" t="s">
        <v>32</v>
      </c>
      <c r="V469" s="1" t="e">
        <v>#N/A</v>
      </c>
      <c r="W469" t="s">
        <v>1022</v>
      </c>
      <c r="X469">
        <v>0</v>
      </c>
      <c r="Y469">
        <v>840</v>
      </c>
      <c r="AA469" t="str">
        <f t="shared" si="14"/>
        <v>update zamestnanci set nastup='25' where id='1451';</v>
      </c>
      <c r="AB469" t="str">
        <f t="shared" si="15"/>
        <v>update dochazka set zastavka = '25' where zamestnanec = '1451';</v>
      </c>
    </row>
    <row r="470" spans="1:28" x14ac:dyDescent="0.25">
      <c r="A470" s="2">
        <v>1468</v>
      </c>
      <c r="B470" t="s">
        <v>6395</v>
      </c>
      <c r="C470" t="s">
        <v>64</v>
      </c>
      <c r="D470" t="s">
        <v>6396</v>
      </c>
      <c r="E470" t="s">
        <v>182</v>
      </c>
      <c r="F470" t="s">
        <v>6397</v>
      </c>
      <c r="G470" s="1">
        <v>45699</v>
      </c>
      <c r="H470" s="1">
        <v>45796</v>
      </c>
      <c r="I470" s="1">
        <v>73050</v>
      </c>
      <c r="J470" s="2" t="s">
        <v>8321</v>
      </c>
      <c r="K470" t="s">
        <v>6398</v>
      </c>
      <c r="M470" s="16" t="s">
        <v>8322</v>
      </c>
      <c r="N470" s="16" t="str">
        <f>VLOOKUP(M470,Tab_Zast[[Zastávka]:[Sloupec1]],2,0)</f>
        <v>25</v>
      </c>
      <c r="O470" t="s">
        <v>6399</v>
      </c>
      <c r="P470">
        <v>6</v>
      </c>
      <c r="Q470">
        <v>0</v>
      </c>
      <c r="R470" t="s">
        <v>31</v>
      </c>
      <c r="S470" t="s">
        <v>31</v>
      </c>
      <c r="T470" t="s">
        <v>32</v>
      </c>
      <c r="V470" s="1">
        <v>45790</v>
      </c>
      <c r="W470" t="s">
        <v>1216</v>
      </c>
      <c r="X470">
        <v>0</v>
      </c>
      <c r="Y470">
        <v>859</v>
      </c>
      <c r="AA470" t="str">
        <f t="shared" si="14"/>
        <v>update zamestnanci set nastup='25' where id='1468';</v>
      </c>
      <c r="AB470" t="str">
        <f t="shared" si="15"/>
        <v>update dochazka set zastavka = '25' where zamestnanec = '1468';</v>
      </c>
    </row>
    <row r="471" spans="1:28" x14ac:dyDescent="0.25">
      <c r="A471" s="2">
        <v>1472</v>
      </c>
      <c r="B471" t="s">
        <v>6414</v>
      </c>
      <c r="C471" t="s">
        <v>64</v>
      </c>
      <c r="D471" t="s">
        <v>5386</v>
      </c>
      <c r="E471" t="s">
        <v>2120</v>
      </c>
      <c r="F471" t="s">
        <v>6415</v>
      </c>
      <c r="G471" s="1">
        <v>45700</v>
      </c>
      <c r="H471" s="1">
        <v>45926</v>
      </c>
      <c r="I471" s="1">
        <v>73050</v>
      </c>
      <c r="J471" s="2" t="s">
        <v>8321</v>
      </c>
      <c r="K471" t="s">
        <v>5388</v>
      </c>
      <c r="M471" s="16" t="s">
        <v>8322</v>
      </c>
      <c r="N471" s="16" t="str">
        <f>VLOOKUP(M471,Tab_Zast[[Zastávka]:[Sloupec1]],2,0)</f>
        <v>25</v>
      </c>
      <c r="O471" t="s">
        <v>5389</v>
      </c>
      <c r="P471">
        <v>6</v>
      </c>
      <c r="Q471">
        <v>0</v>
      </c>
      <c r="R471" t="s">
        <v>31</v>
      </c>
      <c r="S471" t="s">
        <v>31</v>
      </c>
      <c r="T471" t="s">
        <v>32</v>
      </c>
      <c r="V471" s="1">
        <v>45925</v>
      </c>
      <c r="W471" t="s">
        <v>1022</v>
      </c>
      <c r="X471">
        <v>0</v>
      </c>
      <c r="Y471">
        <v>863</v>
      </c>
      <c r="AA471" t="str">
        <f t="shared" si="14"/>
        <v>update zamestnanci set nastup='25' where id='1472';</v>
      </c>
      <c r="AB471" t="str">
        <f t="shared" si="15"/>
        <v>update dochazka set zastavka = '25' where zamestnanec = '1472';</v>
      </c>
    </row>
    <row r="472" spans="1:28" x14ac:dyDescent="0.25">
      <c r="A472" s="2">
        <v>1473</v>
      </c>
      <c r="B472" t="s">
        <v>6416</v>
      </c>
      <c r="C472" t="s">
        <v>64</v>
      </c>
      <c r="D472" t="s">
        <v>4596</v>
      </c>
      <c r="E472" t="s">
        <v>707</v>
      </c>
      <c r="F472" t="s">
        <v>6417</v>
      </c>
      <c r="G472" s="1">
        <v>45700</v>
      </c>
      <c r="H472" s="1">
        <v>73050</v>
      </c>
      <c r="I472" s="1" t="e">
        <v>#N/A</v>
      </c>
      <c r="J472" s="2" t="s">
        <v>8426</v>
      </c>
      <c r="K472" t="s">
        <v>4597</v>
      </c>
      <c r="M472" s="16" t="s">
        <v>8427</v>
      </c>
      <c r="N472" s="16" t="str">
        <f>VLOOKUP(M472,Tab_Zast[[Zastávka]:[Sloupec1]],2,0)</f>
        <v>67</v>
      </c>
      <c r="O472" t="s">
        <v>4598</v>
      </c>
      <c r="P472">
        <v>6</v>
      </c>
      <c r="Q472">
        <v>0</v>
      </c>
      <c r="R472" t="s">
        <v>129</v>
      </c>
      <c r="S472" t="s">
        <v>179</v>
      </c>
      <c r="T472" t="s">
        <v>32</v>
      </c>
      <c r="V472" s="1" t="e">
        <v>#N/A</v>
      </c>
      <c r="W472" t="s">
        <v>1022</v>
      </c>
      <c r="X472">
        <v>1</v>
      </c>
      <c r="Y472">
        <v>864</v>
      </c>
      <c r="AA472" t="str">
        <f t="shared" si="14"/>
        <v>update zamestnanci set nastup='67' where id='1473';</v>
      </c>
      <c r="AB472" t="str">
        <f t="shared" si="15"/>
        <v>update dochazka set zastavka = '67' where zamestnanec = '1473';</v>
      </c>
    </row>
    <row r="473" spans="1:28" x14ac:dyDescent="0.25">
      <c r="A473" s="2">
        <v>1474</v>
      </c>
      <c r="B473" t="s">
        <v>6418</v>
      </c>
      <c r="C473" t="s">
        <v>64</v>
      </c>
      <c r="D473" t="s">
        <v>6419</v>
      </c>
      <c r="E473" t="s">
        <v>182</v>
      </c>
      <c r="F473" t="s">
        <v>6420</v>
      </c>
      <c r="G473" s="1">
        <v>45700</v>
      </c>
      <c r="H473" s="1">
        <v>45762</v>
      </c>
      <c r="I473" s="1">
        <v>73050</v>
      </c>
      <c r="J473" s="2" t="s">
        <v>8426</v>
      </c>
      <c r="K473" t="s">
        <v>6421</v>
      </c>
      <c r="M473" s="16" t="s">
        <v>8427</v>
      </c>
      <c r="N473" s="16" t="str">
        <f>VLOOKUP(M473,Tab_Zast[[Zastávka]:[Sloupec1]],2,0)</f>
        <v>67</v>
      </c>
      <c r="O473" t="s">
        <v>6422</v>
      </c>
      <c r="P473">
        <v>6</v>
      </c>
      <c r="Q473">
        <v>0</v>
      </c>
      <c r="R473" t="s">
        <v>31</v>
      </c>
      <c r="S473" t="s">
        <v>31</v>
      </c>
      <c r="T473" t="s">
        <v>32</v>
      </c>
      <c r="V473" s="1" t="e">
        <v>#N/A</v>
      </c>
      <c r="W473" t="s">
        <v>1022</v>
      </c>
      <c r="X473">
        <v>0</v>
      </c>
      <c r="Y473">
        <v>865</v>
      </c>
      <c r="AA473" t="str">
        <f t="shared" si="14"/>
        <v>update zamestnanci set nastup='67' where id='1474';</v>
      </c>
      <c r="AB473" t="str">
        <f t="shared" si="15"/>
        <v>update dochazka set zastavka = '67' where zamestnanec = '1474';</v>
      </c>
    </row>
    <row r="474" spans="1:28" x14ac:dyDescent="0.25">
      <c r="A474" s="2">
        <v>1475</v>
      </c>
      <c r="B474" t="s">
        <v>6423</v>
      </c>
      <c r="C474" t="s">
        <v>64</v>
      </c>
      <c r="D474" t="s">
        <v>1199</v>
      </c>
      <c r="E474" t="s">
        <v>755</v>
      </c>
      <c r="F474" t="s">
        <v>6424</v>
      </c>
      <c r="G474" s="1">
        <v>45700</v>
      </c>
      <c r="H474" s="1">
        <v>45764</v>
      </c>
      <c r="I474" s="1">
        <v>73050</v>
      </c>
      <c r="J474" s="2" t="s">
        <v>8426</v>
      </c>
      <c r="K474" t="s">
        <v>6425</v>
      </c>
      <c r="M474" s="16" t="s">
        <v>8427</v>
      </c>
      <c r="N474" s="16" t="str">
        <f>VLOOKUP(M474,Tab_Zast[[Zastávka]:[Sloupec1]],2,0)</f>
        <v>67</v>
      </c>
      <c r="O474" t="s">
        <v>6422</v>
      </c>
      <c r="P474">
        <v>6</v>
      </c>
      <c r="Q474">
        <v>0</v>
      </c>
      <c r="R474" t="s">
        <v>31</v>
      </c>
      <c r="S474" t="s">
        <v>31</v>
      </c>
      <c r="T474" t="s">
        <v>32</v>
      </c>
      <c r="V474" s="1">
        <v>45763</v>
      </c>
      <c r="W474" t="s">
        <v>1022</v>
      </c>
      <c r="X474">
        <v>0</v>
      </c>
      <c r="Y474">
        <v>866</v>
      </c>
      <c r="AA474" t="str">
        <f t="shared" si="14"/>
        <v>update zamestnanci set nastup='67' where id='1475';</v>
      </c>
      <c r="AB474" t="str">
        <f t="shared" si="15"/>
        <v>update dochazka set zastavka = '67' where zamestnanec = '1475';</v>
      </c>
    </row>
    <row r="475" spans="1:28" x14ac:dyDescent="0.25">
      <c r="A475" s="2">
        <v>1477</v>
      </c>
      <c r="B475" t="s">
        <v>6428</v>
      </c>
      <c r="C475" t="s">
        <v>64</v>
      </c>
      <c r="D475" t="s">
        <v>6429</v>
      </c>
      <c r="E475" t="s">
        <v>707</v>
      </c>
      <c r="F475" t="s">
        <v>6430</v>
      </c>
      <c r="G475" s="1">
        <v>45701</v>
      </c>
      <c r="H475" s="1">
        <v>45796</v>
      </c>
      <c r="I475" s="1">
        <v>73050</v>
      </c>
      <c r="J475" s="2" t="s">
        <v>8321</v>
      </c>
      <c r="K475" t="s">
        <v>6431</v>
      </c>
      <c r="M475" s="16" t="s">
        <v>8322</v>
      </c>
      <c r="N475" s="16" t="str">
        <f>VLOOKUP(M475,Tab_Zast[[Zastávka]:[Sloupec1]],2,0)</f>
        <v>25</v>
      </c>
      <c r="O475" t="s">
        <v>6399</v>
      </c>
      <c r="P475">
        <v>6</v>
      </c>
      <c r="Q475">
        <v>0</v>
      </c>
      <c r="R475" t="s">
        <v>31</v>
      </c>
      <c r="S475" t="s">
        <v>31</v>
      </c>
      <c r="T475" t="s">
        <v>32</v>
      </c>
      <c r="V475" s="1">
        <v>45789</v>
      </c>
      <c r="W475" t="s">
        <v>1216</v>
      </c>
      <c r="X475">
        <v>0</v>
      </c>
      <c r="Y475">
        <v>868</v>
      </c>
      <c r="AA475" t="str">
        <f t="shared" si="14"/>
        <v>update zamestnanci set nastup='25' where id='1477';</v>
      </c>
      <c r="AB475" t="str">
        <f t="shared" si="15"/>
        <v>update dochazka set zastavka = '25' where zamestnanec = '1477';</v>
      </c>
    </row>
    <row r="476" spans="1:28" x14ac:dyDescent="0.25">
      <c r="A476" s="2">
        <v>1523</v>
      </c>
      <c r="B476" t="s">
        <v>6593</v>
      </c>
      <c r="C476" t="s">
        <v>64</v>
      </c>
      <c r="D476" t="s">
        <v>6594</v>
      </c>
      <c r="E476" t="s">
        <v>6595</v>
      </c>
      <c r="F476" t="s">
        <v>6427</v>
      </c>
      <c r="G476" s="1">
        <v>45728</v>
      </c>
      <c r="H476" s="1">
        <v>45728</v>
      </c>
      <c r="I476" s="1">
        <v>73050</v>
      </c>
      <c r="J476" s="2" t="s">
        <v>8426</v>
      </c>
      <c r="K476" t="s">
        <v>6596</v>
      </c>
      <c r="M476" s="16" t="s">
        <v>8427</v>
      </c>
      <c r="N476" s="16" t="str">
        <f>VLOOKUP(M476,Tab_Zast[[Zastávka]:[Sloupec1]],2,0)</f>
        <v>67</v>
      </c>
      <c r="O476" t="s">
        <v>6597</v>
      </c>
      <c r="P476">
        <v>6</v>
      </c>
      <c r="Q476">
        <v>0</v>
      </c>
      <c r="R476" t="s">
        <v>31</v>
      </c>
      <c r="S476" t="s">
        <v>31</v>
      </c>
      <c r="T476" t="s">
        <v>32</v>
      </c>
      <c r="V476" s="1" t="e">
        <v>#N/A</v>
      </c>
      <c r="W476" t="s">
        <v>3052</v>
      </c>
      <c r="X476">
        <v>0</v>
      </c>
      <c r="Y476">
        <v>909</v>
      </c>
      <c r="AA476" t="str">
        <f t="shared" si="14"/>
        <v>update zamestnanci set nastup='67' where id='1523';</v>
      </c>
      <c r="AB476" t="str">
        <f t="shared" si="15"/>
        <v>update dochazka set zastavka = '67' where zamestnanec = '1523';</v>
      </c>
    </row>
    <row r="477" spans="1:28" x14ac:dyDescent="0.25">
      <c r="A477" s="2">
        <v>1550</v>
      </c>
      <c r="B477" t="s">
        <v>6696</v>
      </c>
      <c r="C477" t="s">
        <v>357</v>
      </c>
      <c r="D477" t="s">
        <v>3920</v>
      </c>
      <c r="E477" t="s">
        <v>4016</v>
      </c>
      <c r="F477" t="s">
        <v>357</v>
      </c>
      <c r="G477" s="1">
        <v>45743</v>
      </c>
      <c r="H477" s="1">
        <v>45743</v>
      </c>
      <c r="I477" s="1">
        <v>73050</v>
      </c>
      <c r="J477" s="2" t="s">
        <v>8299</v>
      </c>
      <c r="K477" t="s">
        <v>6697</v>
      </c>
      <c r="M477" s="16" t="s">
        <v>8300</v>
      </c>
      <c r="N477" s="16" t="str">
        <f>VLOOKUP(M477,Tab_Zast[[Zastávka]:[Sloupec1]],2,0)</f>
        <v>16</v>
      </c>
      <c r="O477" t="s">
        <v>6698</v>
      </c>
      <c r="P477">
        <v>1</v>
      </c>
      <c r="Q477">
        <v>0</v>
      </c>
      <c r="R477" t="s">
        <v>31</v>
      </c>
      <c r="S477" t="s">
        <v>31</v>
      </c>
      <c r="T477" t="s">
        <v>32</v>
      </c>
      <c r="V477" s="1" t="e">
        <v>#N/A</v>
      </c>
      <c r="W477" t="s">
        <v>47</v>
      </c>
      <c r="X477">
        <v>0</v>
      </c>
      <c r="Y477">
        <v>937</v>
      </c>
      <c r="AA477" t="str">
        <f t="shared" si="14"/>
        <v>update zamestnanci set nastup='16' where id='1550';</v>
      </c>
      <c r="AB477" t="str">
        <f t="shared" si="15"/>
        <v>update dochazka set zastavka = '16' where zamestnanec = '1550';</v>
      </c>
    </row>
    <row r="478" spans="1:28" x14ac:dyDescent="0.25">
      <c r="A478" s="2">
        <v>1561</v>
      </c>
      <c r="B478" t="s">
        <v>6736</v>
      </c>
      <c r="C478" t="s">
        <v>357</v>
      </c>
      <c r="D478" t="s">
        <v>6737</v>
      </c>
      <c r="E478" t="s">
        <v>1402</v>
      </c>
      <c r="F478" t="s">
        <v>569</v>
      </c>
      <c r="G478" s="1">
        <v>45750</v>
      </c>
      <c r="H478" s="1">
        <v>45901</v>
      </c>
      <c r="I478" s="1">
        <v>73050</v>
      </c>
      <c r="J478" s="2" t="s">
        <v>8299</v>
      </c>
      <c r="K478" t="s">
        <v>6738</v>
      </c>
      <c r="M478" s="16" t="s">
        <v>8300</v>
      </c>
      <c r="N478" s="16" t="str">
        <f>VLOOKUP(M478,Tab_Zast[[Zastávka]:[Sloupec1]],2,0)</f>
        <v>16</v>
      </c>
      <c r="O478" t="s">
        <v>6739</v>
      </c>
      <c r="P478">
        <v>1</v>
      </c>
      <c r="Q478">
        <v>0</v>
      </c>
      <c r="R478" t="s">
        <v>31</v>
      </c>
      <c r="S478" t="s">
        <v>31</v>
      </c>
      <c r="T478" t="s">
        <v>32</v>
      </c>
      <c r="V478" s="1" t="e">
        <v>#N/A</v>
      </c>
      <c r="W478" t="s">
        <v>47</v>
      </c>
      <c r="X478">
        <v>0</v>
      </c>
      <c r="Y478">
        <v>954</v>
      </c>
      <c r="AA478" t="str">
        <f t="shared" si="14"/>
        <v>update zamestnanci set nastup='16' where id='1561';</v>
      </c>
      <c r="AB478" t="str">
        <f t="shared" si="15"/>
        <v>update dochazka set zastavka = '16' where zamestnanec = '1561';</v>
      </c>
    </row>
    <row r="479" spans="1:28" x14ac:dyDescent="0.25">
      <c r="A479" s="2">
        <v>1621</v>
      </c>
      <c r="B479" t="s">
        <v>6964</v>
      </c>
      <c r="C479" t="s">
        <v>569</v>
      </c>
      <c r="D479" t="s">
        <v>1888</v>
      </c>
      <c r="E479" t="s">
        <v>3481</v>
      </c>
      <c r="F479" t="s">
        <v>569</v>
      </c>
      <c r="G479" s="1">
        <v>45782</v>
      </c>
      <c r="H479" s="1">
        <v>45782</v>
      </c>
      <c r="I479" s="1">
        <v>45782</v>
      </c>
      <c r="J479" s="2" t="s">
        <v>8299</v>
      </c>
      <c r="K479" t="s">
        <v>6965</v>
      </c>
      <c r="M479" s="16" t="s">
        <v>8300</v>
      </c>
      <c r="N479" s="16" t="str">
        <f>VLOOKUP(M479,Tab_Zast[[Zastávka]:[Sloupec1]],2,0)</f>
        <v>16</v>
      </c>
      <c r="O479" t="s">
        <v>6966</v>
      </c>
      <c r="P479">
        <v>1</v>
      </c>
      <c r="Q479">
        <v>0</v>
      </c>
      <c r="R479" t="s">
        <v>31</v>
      </c>
      <c r="S479" t="s">
        <v>31</v>
      </c>
      <c r="T479" t="s">
        <v>32</v>
      </c>
      <c r="V479" s="1" t="e">
        <v>#N/A</v>
      </c>
      <c r="W479" t="s">
        <v>47</v>
      </c>
      <c r="X479">
        <v>0</v>
      </c>
      <c r="Y479">
        <v>1014</v>
      </c>
      <c r="AA479" t="str">
        <f t="shared" si="14"/>
        <v>update zamestnanci set nastup='16' where id='1621';</v>
      </c>
      <c r="AB479" t="str">
        <f t="shared" si="15"/>
        <v>update dochazka set zastavka = '16' where zamestnanec = '1621';</v>
      </c>
    </row>
    <row r="480" spans="1:28" x14ac:dyDescent="0.25">
      <c r="A480" s="2">
        <v>1648</v>
      </c>
      <c r="B480" t="s">
        <v>7050</v>
      </c>
      <c r="C480" t="s">
        <v>64</v>
      </c>
      <c r="D480" t="s">
        <v>7051</v>
      </c>
      <c r="E480" t="s">
        <v>4146</v>
      </c>
      <c r="F480" t="s">
        <v>7052</v>
      </c>
      <c r="G480" s="1">
        <v>45790</v>
      </c>
      <c r="H480" s="1">
        <v>45807</v>
      </c>
      <c r="I480" s="1">
        <v>73050</v>
      </c>
      <c r="J480" s="2" t="s">
        <v>8321</v>
      </c>
      <c r="K480" t="s">
        <v>7053</v>
      </c>
      <c r="M480" s="16" t="s">
        <v>8322</v>
      </c>
      <c r="N480" s="16" t="str">
        <f>VLOOKUP(M480,Tab_Zast[[Zastávka]:[Sloupec1]],2,0)</f>
        <v>25</v>
      </c>
      <c r="O480" t="s">
        <v>7054</v>
      </c>
      <c r="P480">
        <v>6</v>
      </c>
      <c r="Q480">
        <v>0</v>
      </c>
      <c r="R480" t="s">
        <v>31</v>
      </c>
      <c r="S480" t="s">
        <v>31</v>
      </c>
      <c r="T480" t="s">
        <v>32</v>
      </c>
      <c r="V480" s="1">
        <v>45810</v>
      </c>
      <c r="W480" t="s">
        <v>1216</v>
      </c>
      <c r="X480">
        <v>0</v>
      </c>
      <c r="Y480">
        <v>1041</v>
      </c>
      <c r="AA480" t="str">
        <f t="shared" si="14"/>
        <v>update zamestnanci set nastup='25' where id='1648';</v>
      </c>
      <c r="AB480" t="str">
        <f t="shared" si="15"/>
        <v>update dochazka set zastavka = '25' where zamestnanec = '1648';</v>
      </c>
    </row>
    <row r="481" spans="1:28" x14ac:dyDescent="0.25">
      <c r="A481" s="2">
        <v>1687</v>
      </c>
      <c r="B481" t="s">
        <v>7181</v>
      </c>
      <c r="C481" t="s">
        <v>357</v>
      </c>
      <c r="D481" t="s">
        <v>7182</v>
      </c>
      <c r="E481" t="s">
        <v>3273</v>
      </c>
      <c r="F481" t="s">
        <v>569</v>
      </c>
      <c r="G481" s="1">
        <v>45826</v>
      </c>
      <c r="H481" s="1">
        <v>45833</v>
      </c>
      <c r="I481" s="1">
        <v>73050</v>
      </c>
      <c r="J481" s="2" t="s">
        <v>8299</v>
      </c>
      <c r="K481" t="s">
        <v>7183</v>
      </c>
      <c r="M481" s="16" t="s">
        <v>8300</v>
      </c>
      <c r="N481" s="16" t="str">
        <f>VLOOKUP(M481,Tab_Zast[[Zastávka]:[Sloupec1]],2,0)</f>
        <v>16</v>
      </c>
      <c r="O481" t="s">
        <v>7184</v>
      </c>
      <c r="P481">
        <v>1</v>
      </c>
      <c r="Q481">
        <v>0</v>
      </c>
      <c r="R481" t="s">
        <v>31</v>
      </c>
      <c r="S481" t="s">
        <v>31</v>
      </c>
      <c r="T481" t="s">
        <v>32</v>
      </c>
      <c r="V481" s="1" t="e">
        <v>#N/A</v>
      </c>
      <c r="W481" t="s">
        <v>47</v>
      </c>
      <c r="X481">
        <v>0</v>
      </c>
      <c r="Y481">
        <v>1079</v>
      </c>
      <c r="AA481" t="str">
        <f t="shared" si="14"/>
        <v>update zamestnanci set nastup='16' where id='1687';</v>
      </c>
      <c r="AB481" t="str">
        <f t="shared" si="15"/>
        <v>update dochazka set zastavka = '16' where zamestnanec = '1687';</v>
      </c>
    </row>
    <row r="482" spans="1:28" x14ac:dyDescent="0.25">
      <c r="A482" s="2">
        <v>1694</v>
      </c>
      <c r="B482" t="s">
        <v>7202</v>
      </c>
      <c r="C482" t="s">
        <v>569</v>
      </c>
      <c r="D482" t="s">
        <v>7203</v>
      </c>
      <c r="E482" t="s">
        <v>661</v>
      </c>
      <c r="F482" t="s">
        <v>569</v>
      </c>
      <c r="G482" s="1">
        <v>45831</v>
      </c>
      <c r="H482" s="1">
        <v>45831</v>
      </c>
      <c r="I482" s="1">
        <v>73050</v>
      </c>
      <c r="J482" s="2" t="s">
        <v>8299</v>
      </c>
      <c r="K482" t="s">
        <v>7204</v>
      </c>
      <c r="M482" s="16" t="s">
        <v>8300</v>
      </c>
      <c r="N482" s="16" t="str">
        <f>VLOOKUP(M482,Tab_Zast[[Zastávka]:[Sloupec1]],2,0)</f>
        <v>16</v>
      </c>
      <c r="O482" t="s">
        <v>7205</v>
      </c>
      <c r="P482">
        <v>1</v>
      </c>
      <c r="Q482">
        <v>0</v>
      </c>
      <c r="R482" t="s">
        <v>31</v>
      </c>
      <c r="S482" t="s">
        <v>31</v>
      </c>
      <c r="T482" t="s">
        <v>32</v>
      </c>
      <c r="V482" s="1" t="e">
        <v>#N/A</v>
      </c>
      <c r="W482" t="s">
        <v>5988</v>
      </c>
      <c r="X482">
        <v>0</v>
      </c>
      <c r="Y482">
        <v>1091</v>
      </c>
      <c r="AA482" t="str">
        <f t="shared" si="14"/>
        <v>update zamestnanci set nastup='16' where id='1694';</v>
      </c>
      <c r="AB482" t="str">
        <f t="shared" si="15"/>
        <v>update dochazka set zastavka = '16' where zamestnanec = '1694';</v>
      </c>
    </row>
    <row r="483" spans="1:28" x14ac:dyDescent="0.25">
      <c r="A483" s="2">
        <v>1711</v>
      </c>
      <c r="B483" t="s">
        <v>7257</v>
      </c>
      <c r="C483" t="s">
        <v>64</v>
      </c>
      <c r="D483" t="s">
        <v>1750</v>
      </c>
      <c r="E483" t="s">
        <v>7258</v>
      </c>
      <c r="F483" t="s">
        <v>357</v>
      </c>
      <c r="G483" s="1">
        <v>45839</v>
      </c>
      <c r="H483" s="1">
        <v>45846</v>
      </c>
      <c r="I483" s="1">
        <v>73050</v>
      </c>
      <c r="J483" s="2" t="s">
        <v>8321</v>
      </c>
      <c r="K483" t="s">
        <v>7259</v>
      </c>
      <c r="M483" s="16" t="s">
        <v>8322</v>
      </c>
      <c r="N483" s="16" t="str">
        <f>VLOOKUP(M483,Tab_Zast[[Zastávka]:[Sloupec1]],2,0)</f>
        <v>25</v>
      </c>
      <c r="O483" t="s">
        <v>7260</v>
      </c>
      <c r="P483">
        <v>6</v>
      </c>
      <c r="Q483">
        <v>0</v>
      </c>
      <c r="R483" t="s">
        <v>31</v>
      </c>
      <c r="S483" t="s">
        <v>31</v>
      </c>
      <c r="T483" t="s">
        <v>32</v>
      </c>
      <c r="V483" s="1" t="e">
        <v>#N/A</v>
      </c>
      <c r="W483" t="s">
        <v>3052</v>
      </c>
      <c r="X483">
        <v>0</v>
      </c>
      <c r="Y483">
        <v>1104</v>
      </c>
      <c r="AA483" t="str">
        <f t="shared" si="14"/>
        <v>update zamestnanci set nastup='25' where id='1711';</v>
      </c>
      <c r="AB483" t="str">
        <f t="shared" si="15"/>
        <v>update dochazka set zastavka = '25' where zamestnanec = '1711';</v>
      </c>
    </row>
    <row r="484" spans="1:28" x14ac:dyDescent="0.25">
      <c r="A484" s="2">
        <v>1715</v>
      </c>
      <c r="B484" t="s">
        <v>7273</v>
      </c>
      <c r="C484" t="s">
        <v>64</v>
      </c>
      <c r="D484" t="s">
        <v>7274</v>
      </c>
      <c r="E484" t="s">
        <v>3055</v>
      </c>
      <c r="F484" t="s">
        <v>7275</v>
      </c>
      <c r="G484" s="1">
        <v>45839</v>
      </c>
      <c r="H484" s="1">
        <v>73050</v>
      </c>
      <c r="I484" s="1" t="e">
        <v>#N/A</v>
      </c>
      <c r="J484" s="2" t="s">
        <v>8321</v>
      </c>
      <c r="K484" t="s">
        <v>7276</v>
      </c>
      <c r="M484" s="16" t="s">
        <v>8322</v>
      </c>
      <c r="N484" s="16" t="str">
        <f>VLOOKUP(M484,Tab_Zast[[Zastávka]:[Sloupec1]],2,0)</f>
        <v>25</v>
      </c>
      <c r="O484" t="s">
        <v>7277</v>
      </c>
      <c r="P484">
        <v>6</v>
      </c>
      <c r="Q484">
        <v>0</v>
      </c>
      <c r="R484" t="s">
        <v>129</v>
      </c>
      <c r="S484" t="s">
        <v>129</v>
      </c>
      <c r="T484" t="s">
        <v>32</v>
      </c>
      <c r="V484" s="1" t="e">
        <v>#N/A</v>
      </c>
      <c r="W484" t="s">
        <v>3052</v>
      </c>
      <c r="X484">
        <v>1</v>
      </c>
      <c r="Y484">
        <v>1108</v>
      </c>
      <c r="AA484" t="str">
        <f t="shared" si="14"/>
        <v>update zamestnanci set nastup='25' where id='1715';</v>
      </c>
      <c r="AB484" t="str">
        <f t="shared" si="15"/>
        <v>update dochazka set zastavka = '25' where zamestnanec = '1715';</v>
      </c>
    </row>
    <row r="485" spans="1:28" x14ac:dyDescent="0.25">
      <c r="A485" s="2">
        <v>1721</v>
      </c>
      <c r="B485" t="s">
        <v>7301</v>
      </c>
      <c r="C485" t="s">
        <v>64</v>
      </c>
      <c r="D485" t="s">
        <v>7302</v>
      </c>
      <c r="E485" t="s">
        <v>3373</v>
      </c>
      <c r="F485" t="s">
        <v>7303</v>
      </c>
      <c r="G485" s="1">
        <v>45839</v>
      </c>
      <c r="H485" s="1" t="e">
        <v>#N/A</v>
      </c>
      <c r="I485" s="1" t="e">
        <v>#N/A</v>
      </c>
      <c r="J485" s="2" t="s">
        <v>8426</v>
      </c>
      <c r="K485" t="s">
        <v>7304</v>
      </c>
      <c r="M485" s="16" t="s">
        <v>8427</v>
      </c>
      <c r="N485" s="16" t="str">
        <f>VLOOKUP(M485,Tab_Zast[[Zastávka]:[Sloupec1]],2,0)</f>
        <v>67</v>
      </c>
      <c r="O485" t="s">
        <v>7305</v>
      </c>
      <c r="P485">
        <v>6</v>
      </c>
      <c r="Q485">
        <v>0</v>
      </c>
      <c r="R485" t="s">
        <v>179</v>
      </c>
      <c r="S485" t="s">
        <v>129</v>
      </c>
      <c r="T485" t="s">
        <v>32</v>
      </c>
      <c r="V485" s="1" t="e">
        <v>#N/A</v>
      </c>
      <c r="W485" t="s">
        <v>3052</v>
      </c>
      <c r="X485">
        <v>1</v>
      </c>
      <c r="Y485">
        <v>1117</v>
      </c>
      <c r="AA485" t="str">
        <f t="shared" si="14"/>
        <v>update zamestnanci set nastup='67' where id='1721';</v>
      </c>
      <c r="AB485" t="str">
        <f t="shared" si="15"/>
        <v>update dochazka set zastavka = '67' where zamestnanec = '1721';</v>
      </c>
    </row>
    <row r="486" spans="1:28" x14ac:dyDescent="0.25">
      <c r="A486" s="2">
        <v>1735</v>
      </c>
      <c r="B486" t="s">
        <v>7357</v>
      </c>
      <c r="C486" t="s">
        <v>569</v>
      </c>
      <c r="D486" t="s">
        <v>3937</v>
      </c>
      <c r="E486" t="s">
        <v>4253</v>
      </c>
      <c r="F486" t="s">
        <v>357</v>
      </c>
      <c r="G486" s="1">
        <v>45852</v>
      </c>
      <c r="H486" s="1">
        <v>45886</v>
      </c>
      <c r="I486" s="1">
        <v>73050</v>
      </c>
      <c r="J486" s="2" t="s">
        <v>8426</v>
      </c>
      <c r="K486" t="s">
        <v>7358</v>
      </c>
      <c r="M486" s="16" t="s">
        <v>8427</v>
      </c>
      <c r="N486" s="16" t="str">
        <f>VLOOKUP(M486,Tab_Zast[[Zastávka]:[Sloupec1]],2,0)</f>
        <v>67</v>
      </c>
      <c r="O486" t="s">
        <v>7359</v>
      </c>
      <c r="P486">
        <v>6</v>
      </c>
      <c r="Q486">
        <v>0</v>
      </c>
      <c r="R486" t="s">
        <v>31</v>
      </c>
      <c r="S486" t="s">
        <v>31</v>
      </c>
      <c r="T486" t="s">
        <v>32</v>
      </c>
      <c r="V486" s="1" t="e">
        <v>#N/A</v>
      </c>
      <c r="W486" t="s">
        <v>3052</v>
      </c>
      <c r="X486">
        <v>0</v>
      </c>
      <c r="Y486">
        <v>1135</v>
      </c>
      <c r="AA486" t="str">
        <f t="shared" si="14"/>
        <v>update zamestnanci set nastup='67' where id='1735';</v>
      </c>
      <c r="AB486" t="str">
        <f t="shared" si="15"/>
        <v>update dochazka set zastavka = '67' where zamestnanec = '1735';</v>
      </c>
    </row>
    <row r="487" spans="1:28" x14ac:dyDescent="0.25">
      <c r="A487" s="2">
        <v>1795</v>
      </c>
      <c r="B487" t="s">
        <v>7588</v>
      </c>
      <c r="C487" t="s">
        <v>569</v>
      </c>
      <c r="D487" t="s">
        <v>7589</v>
      </c>
      <c r="E487" t="s">
        <v>770</v>
      </c>
      <c r="F487" t="s">
        <v>7590</v>
      </c>
      <c r="G487" s="1">
        <v>45889</v>
      </c>
      <c r="H487" s="1">
        <v>73050</v>
      </c>
      <c r="I487" s="1" t="e">
        <v>#N/A</v>
      </c>
      <c r="J487" s="2" t="s">
        <v>8426</v>
      </c>
      <c r="K487" t="s">
        <v>7591</v>
      </c>
      <c r="M487" s="16" t="s">
        <v>8427</v>
      </c>
      <c r="N487" s="16" t="str">
        <f>VLOOKUP(M487,Tab_Zast[[Zastávka]:[Sloupec1]],2,0)</f>
        <v>67</v>
      </c>
      <c r="O487" t="s">
        <v>7592</v>
      </c>
      <c r="P487">
        <v>6</v>
      </c>
      <c r="Q487">
        <v>0</v>
      </c>
      <c r="R487" t="s">
        <v>129</v>
      </c>
      <c r="S487" t="s">
        <v>129</v>
      </c>
      <c r="T487" t="s">
        <v>32</v>
      </c>
      <c r="V487" s="1" t="e">
        <v>#N/A</v>
      </c>
      <c r="W487" t="s">
        <v>3052</v>
      </c>
      <c r="X487">
        <v>1</v>
      </c>
      <c r="Y487">
        <v>1188</v>
      </c>
      <c r="AA487" t="str">
        <f t="shared" si="14"/>
        <v>update zamestnanci set nastup='67' where id='1795';</v>
      </c>
      <c r="AB487" t="str">
        <f t="shared" si="15"/>
        <v>update dochazka set zastavka = '67' where zamestnanec = '1795';</v>
      </c>
    </row>
    <row r="488" spans="1:28" x14ac:dyDescent="0.25">
      <c r="A488" s="2">
        <v>1797</v>
      </c>
      <c r="B488" t="s">
        <v>7598</v>
      </c>
      <c r="C488" t="s">
        <v>569</v>
      </c>
      <c r="D488" t="s">
        <v>2765</v>
      </c>
      <c r="E488" t="s">
        <v>2766</v>
      </c>
      <c r="F488" t="s">
        <v>569</v>
      </c>
      <c r="G488" s="1">
        <v>45889</v>
      </c>
      <c r="H488" s="1">
        <v>45919</v>
      </c>
      <c r="I488" s="1">
        <v>73050</v>
      </c>
      <c r="J488" s="2" t="s">
        <v>8426</v>
      </c>
      <c r="K488" t="s">
        <v>7599</v>
      </c>
      <c r="M488" s="16" t="s">
        <v>8427</v>
      </c>
      <c r="N488" s="16" t="str">
        <f>VLOOKUP(M488,Tab_Zast[[Zastávka]:[Sloupec1]],2,0)</f>
        <v>67</v>
      </c>
      <c r="O488" t="s">
        <v>7600</v>
      </c>
      <c r="P488">
        <v>6</v>
      </c>
      <c r="Q488">
        <v>0</v>
      </c>
      <c r="R488" t="s">
        <v>31</v>
      </c>
      <c r="S488" t="s">
        <v>31</v>
      </c>
      <c r="T488" t="s">
        <v>32</v>
      </c>
      <c r="V488" s="1" t="e">
        <v>#N/A</v>
      </c>
      <c r="W488" t="s">
        <v>3052</v>
      </c>
      <c r="X488">
        <v>0</v>
      </c>
      <c r="Y488">
        <v>1191</v>
      </c>
      <c r="AA488" t="str">
        <f t="shared" si="14"/>
        <v>update zamestnanci set nastup='67' where id='1797';</v>
      </c>
      <c r="AB488" t="str">
        <f t="shared" si="15"/>
        <v>update dochazka set zastavka = '67' where zamestnanec = '1797';</v>
      </c>
    </row>
    <row r="489" spans="1:28" x14ac:dyDescent="0.25">
      <c r="A489" s="2">
        <v>1810</v>
      </c>
      <c r="B489" t="s">
        <v>7641</v>
      </c>
      <c r="C489" t="s">
        <v>357</v>
      </c>
      <c r="D489" t="s">
        <v>7642</v>
      </c>
      <c r="E489" t="s">
        <v>2940</v>
      </c>
      <c r="F489" t="s">
        <v>569</v>
      </c>
      <c r="G489" s="1">
        <v>45897</v>
      </c>
      <c r="H489" s="1">
        <v>45903</v>
      </c>
      <c r="I489" s="1">
        <v>73050</v>
      </c>
      <c r="J489" s="2" t="s">
        <v>8321</v>
      </c>
      <c r="K489" t="s">
        <v>7643</v>
      </c>
      <c r="M489" s="16" t="s">
        <v>8322</v>
      </c>
      <c r="N489" s="16" t="str">
        <f>VLOOKUP(M489,Tab_Zast[[Zastávka]:[Sloupec1]],2,0)</f>
        <v>25</v>
      </c>
      <c r="O489" t="s">
        <v>7644</v>
      </c>
      <c r="P489">
        <v>6</v>
      </c>
      <c r="Q489">
        <v>0</v>
      </c>
      <c r="R489" t="s">
        <v>31</v>
      </c>
      <c r="S489" t="s">
        <v>31</v>
      </c>
      <c r="T489" t="s">
        <v>32</v>
      </c>
      <c r="V489" s="1" t="e">
        <v>#N/A</v>
      </c>
      <c r="W489" t="s">
        <v>3052</v>
      </c>
      <c r="X489">
        <v>0</v>
      </c>
      <c r="Y489">
        <v>1204</v>
      </c>
      <c r="AA489" t="str">
        <f t="shared" si="14"/>
        <v>update zamestnanci set nastup='25' where id='1810';</v>
      </c>
      <c r="AB489" t="str">
        <f t="shared" si="15"/>
        <v>update dochazka set zastavka = '25' where zamestnanec = '1810';</v>
      </c>
    </row>
    <row r="490" spans="1:28" x14ac:dyDescent="0.25">
      <c r="A490" s="2">
        <v>1811</v>
      </c>
      <c r="B490" t="s">
        <v>7645</v>
      </c>
      <c r="C490" t="s">
        <v>357</v>
      </c>
      <c r="D490" t="s">
        <v>7646</v>
      </c>
      <c r="E490" t="s">
        <v>719</v>
      </c>
      <c r="F490" t="s">
        <v>1394</v>
      </c>
      <c r="G490" s="1">
        <v>45897</v>
      </c>
      <c r="H490" s="1">
        <v>45903</v>
      </c>
      <c r="I490" s="1">
        <v>73050</v>
      </c>
      <c r="J490" s="2" t="s">
        <v>8321</v>
      </c>
      <c r="K490" t="s">
        <v>7647</v>
      </c>
      <c r="M490" s="16" t="s">
        <v>8322</v>
      </c>
      <c r="N490" s="16" t="str">
        <f>VLOOKUP(M490,Tab_Zast[[Zastávka]:[Sloupec1]],2,0)</f>
        <v>25</v>
      </c>
      <c r="O490" t="s">
        <v>7648</v>
      </c>
      <c r="P490">
        <v>6</v>
      </c>
      <c r="Q490">
        <v>0</v>
      </c>
      <c r="R490" t="s">
        <v>31</v>
      </c>
      <c r="S490" t="s">
        <v>31</v>
      </c>
      <c r="T490" t="s">
        <v>32</v>
      </c>
      <c r="V490" s="1" t="e">
        <v>#N/A</v>
      </c>
      <c r="W490" t="s">
        <v>3052</v>
      </c>
      <c r="X490">
        <v>0</v>
      </c>
      <c r="Y490">
        <v>1206</v>
      </c>
      <c r="AA490" t="str">
        <f t="shared" si="14"/>
        <v>update zamestnanci set nastup='25' where id='1811';</v>
      </c>
      <c r="AB490" t="str">
        <f t="shared" si="15"/>
        <v>update dochazka set zastavka = '25' where zamestnanec = '1811';</v>
      </c>
    </row>
    <row r="491" spans="1:28" x14ac:dyDescent="0.25">
      <c r="A491" s="2">
        <v>1826</v>
      </c>
      <c r="B491" t="s">
        <v>7698</v>
      </c>
      <c r="C491" t="s">
        <v>357</v>
      </c>
      <c r="D491" t="s">
        <v>4596</v>
      </c>
      <c r="E491" t="s">
        <v>3638</v>
      </c>
      <c r="F491" t="s">
        <v>7699</v>
      </c>
      <c r="G491" s="1">
        <v>45904</v>
      </c>
      <c r="H491" s="1">
        <v>73050</v>
      </c>
      <c r="I491" s="1" t="e">
        <v>#N/A</v>
      </c>
      <c r="J491" s="2" t="s">
        <v>8426</v>
      </c>
      <c r="K491" t="s">
        <v>7700</v>
      </c>
      <c r="M491" s="16" t="s">
        <v>8427</v>
      </c>
      <c r="N491" s="16" t="str">
        <f>VLOOKUP(M491,Tab_Zast[[Zastávka]:[Sloupec1]],2,0)</f>
        <v>67</v>
      </c>
      <c r="O491" t="s">
        <v>4598</v>
      </c>
      <c r="P491">
        <v>6</v>
      </c>
      <c r="Q491">
        <v>0</v>
      </c>
      <c r="R491" t="s">
        <v>129</v>
      </c>
      <c r="S491" t="s">
        <v>179</v>
      </c>
      <c r="T491" t="s">
        <v>32</v>
      </c>
      <c r="V491" s="1" t="e">
        <v>#N/A</v>
      </c>
      <c r="W491" t="s">
        <v>3052</v>
      </c>
      <c r="X491">
        <v>1</v>
      </c>
      <c r="Y491">
        <v>1221</v>
      </c>
      <c r="AA491" t="str">
        <f t="shared" si="14"/>
        <v>update zamestnanci set nastup='67' where id='1826';</v>
      </c>
      <c r="AB491" t="str">
        <f t="shared" si="15"/>
        <v>update dochazka set zastavka = '67' where zamestnanec = '1826';</v>
      </c>
    </row>
    <row r="492" spans="1:28" x14ac:dyDescent="0.25">
      <c r="A492" s="2">
        <v>1839</v>
      </c>
      <c r="B492" t="s">
        <v>7741</v>
      </c>
      <c r="C492" t="s">
        <v>357</v>
      </c>
      <c r="D492" t="s">
        <v>7742</v>
      </c>
      <c r="E492" t="s">
        <v>3373</v>
      </c>
      <c r="F492" t="s">
        <v>7743</v>
      </c>
      <c r="G492" s="1">
        <v>45911</v>
      </c>
      <c r="H492" s="1" t="e">
        <v>#N/A</v>
      </c>
      <c r="I492" s="1" t="e">
        <v>#N/A</v>
      </c>
      <c r="J492" s="2" t="s">
        <v>8426</v>
      </c>
      <c r="K492" t="s">
        <v>7744</v>
      </c>
      <c r="M492" s="16" t="s">
        <v>8427</v>
      </c>
      <c r="N492" s="16" t="str">
        <f>VLOOKUP(M492,Tab_Zast[[Zastávka]:[Sloupec1]],2,0)</f>
        <v>67</v>
      </c>
      <c r="O492" t="s">
        <v>7745</v>
      </c>
      <c r="P492">
        <v>6</v>
      </c>
      <c r="Q492">
        <v>0</v>
      </c>
      <c r="R492" t="s">
        <v>179</v>
      </c>
      <c r="S492" t="s">
        <v>129</v>
      </c>
      <c r="T492" t="s">
        <v>32</v>
      </c>
      <c r="V492" s="1" t="e">
        <v>#N/A</v>
      </c>
      <c r="W492" t="s">
        <v>3052</v>
      </c>
      <c r="X492">
        <v>1</v>
      </c>
      <c r="Y492">
        <v>1235</v>
      </c>
      <c r="AA492" t="str">
        <f t="shared" si="14"/>
        <v>update zamestnanci set nastup='67' where id='1839';</v>
      </c>
      <c r="AB492" t="str">
        <f t="shared" si="15"/>
        <v>update dochazka set zastavka = '67' where zamestnanec = '1839';</v>
      </c>
    </row>
    <row r="493" spans="1:28" x14ac:dyDescent="0.25">
      <c r="A493" s="2">
        <v>1868</v>
      </c>
      <c r="B493" t="s">
        <v>7865</v>
      </c>
      <c r="C493" t="s">
        <v>569</v>
      </c>
      <c r="D493" t="s">
        <v>7866</v>
      </c>
      <c r="E493" t="s">
        <v>643</v>
      </c>
      <c r="F493" t="s">
        <v>7494</v>
      </c>
      <c r="G493" s="1">
        <v>45936</v>
      </c>
      <c r="H493" s="1">
        <v>73050</v>
      </c>
      <c r="I493" s="1" t="e">
        <v>#N/A</v>
      </c>
      <c r="J493" s="2" t="s">
        <v>8426</v>
      </c>
      <c r="K493" t="s">
        <v>7867</v>
      </c>
      <c r="M493" s="16" t="s">
        <v>8427</v>
      </c>
      <c r="N493" s="16" t="str">
        <f>VLOOKUP(M493,Tab_Zast[[Zastávka]:[Sloupec1]],2,0)</f>
        <v>67</v>
      </c>
      <c r="O493" t="s">
        <v>7804</v>
      </c>
      <c r="P493">
        <v>6</v>
      </c>
      <c r="Q493">
        <v>0</v>
      </c>
      <c r="R493" t="s">
        <v>130</v>
      </c>
      <c r="S493" t="s">
        <v>31</v>
      </c>
      <c r="T493" t="s">
        <v>32</v>
      </c>
      <c r="V493" s="1" t="e">
        <v>#N/A</v>
      </c>
      <c r="W493" t="s">
        <v>1216</v>
      </c>
      <c r="X493">
        <v>1</v>
      </c>
      <c r="Y493">
        <v>1265</v>
      </c>
      <c r="AA493" t="str">
        <f t="shared" si="14"/>
        <v>update zamestnanci set nastup='67' where id='1868';</v>
      </c>
      <c r="AB493" t="str">
        <f t="shared" si="15"/>
        <v>update dochazka set zastavka = '67' where zamestnanec = '1868';</v>
      </c>
    </row>
    <row r="494" spans="1:28" x14ac:dyDescent="0.25">
      <c r="A494" s="2">
        <v>1872</v>
      </c>
      <c r="B494" t="s">
        <v>7881</v>
      </c>
      <c r="C494" t="s">
        <v>569</v>
      </c>
      <c r="D494" t="s">
        <v>7882</v>
      </c>
      <c r="E494" t="s">
        <v>755</v>
      </c>
      <c r="F494" t="s">
        <v>7489</v>
      </c>
      <c r="G494" s="1">
        <v>45936</v>
      </c>
      <c r="H494" s="1">
        <v>45952</v>
      </c>
      <c r="I494" s="1">
        <v>73050</v>
      </c>
      <c r="J494" s="2" t="s">
        <v>8426</v>
      </c>
      <c r="K494" t="s">
        <v>7883</v>
      </c>
      <c r="M494" s="16" t="s">
        <v>8427</v>
      </c>
      <c r="N494" s="16" t="str">
        <f>VLOOKUP(M494,Tab_Zast[[Zastávka]:[Sloupec1]],2,0)</f>
        <v>67</v>
      </c>
      <c r="O494" t="s">
        <v>7884</v>
      </c>
      <c r="P494">
        <v>6</v>
      </c>
      <c r="Q494">
        <v>0</v>
      </c>
      <c r="R494" t="s">
        <v>31</v>
      </c>
      <c r="S494" t="s">
        <v>31</v>
      </c>
      <c r="T494" t="s">
        <v>32</v>
      </c>
      <c r="V494" s="1" t="e">
        <v>#N/A</v>
      </c>
      <c r="W494" t="s">
        <v>1216</v>
      </c>
      <c r="X494">
        <v>0</v>
      </c>
      <c r="Y494">
        <v>1268</v>
      </c>
      <c r="AA494" t="str">
        <f t="shared" si="14"/>
        <v>update zamestnanci set nastup='67' where id='1872';</v>
      </c>
      <c r="AB494" t="str">
        <f t="shared" si="15"/>
        <v>update dochazka set zastavka = '67' where zamestnanec = '1872';</v>
      </c>
    </row>
    <row r="495" spans="1:28" x14ac:dyDescent="0.25">
      <c r="A495" s="2">
        <v>1940</v>
      </c>
      <c r="B495" t="s">
        <v>8160</v>
      </c>
      <c r="C495" t="s">
        <v>357</v>
      </c>
      <c r="D495" t="s">
        <v>8161</v>
      </c>
      <c r="E495" t="s">
        <v>683</v>
      </c>
      <c r="F495" t="s">
        <v>8160</v>
      </c>
      <c r="G495" s="1">
        <v>45988</v>
      </c>
      <c r="H495" s="1" t="e">
        <v>#N/A</v>
      </c>
      <c r="I495" s="1" t="e">
        <v>#N/A</v>
      </c>
      <c r="J495" s="2" t="s">
        <v>8299</v>
      </c>
      <c r="K495" t="s">
        <v>8162</v>
      </c>
      <c r="M495" s="16" t="s">
        <v>8300</v>
      </c>
      <c r="N495" s="16" t="str">
        <f>VLOOKUP(M495,Tab_Zast[[Zastávka]:[Sloupec1]],2,0)</f>
        <v>16</v>
      </c>
      <c r="O495" t="s">
        <v>8163</v>
      </c>
      <c r="P495">
        <v>1</v>
      </c>
      <c r="Q495">
        <v>0</v>
      </c>
      <c r="R495" t="s">
        <v>129</v>
      </c>
      <c r="S495" t="s">
        <v>31</v>
      </c>
      <c r="T495" t="s">
        <v>32</v>
      </c>
      <c r="V495" s="1" t="e">
        <v>#N/A</v>
      </c>
      <c r="W495" t="s">
        <v>5988</v>
      </c>
      <c r="X495">
        <v>1</v>
      </c>
      <c r="Y495">
        <v>1355</v>
      </c>
      <c r="AA495" t="str">
        <f t="shared" si="14"/>
        <v>update zamestnanci set nastup='16' where id='1940';</v>
      </c>
      <c r="AB495" t="str">
        <f t="shared" si="15"/>
        <v>update dochazka set zastavka = '16' where zamestnanec = '1940';</v>
      </c>
    </row>
    <row r="496" spans="1:28" x14ac:dyDescent="0.25">
      <c r="A496" s="2">
        <v>390</v>
      </c>
      <c r="B496" t="s">
        <v>1254</v>
      </c>
      <c r="D496" t="s">
        <v>1255</v>
      </c>
      <c r="E496" t="s">
        <v>1080</v>
      </c>
      <c r="F496" t="s">
        <v>1256</v>
      </c>
      <c r="G496" s="1">
        <v>45194</v>
      </c>
      <c r="H496" s="1">
        <v>45366</v>
      </c>
      <c r="I496" s="1">
        <v>73050</v>
      </c>
      <c r="J496" s="2" t="s">
        <v>8531</v>
      </c>
      <c r="K496" t="s">
        <v>1257</v>
      </c>
      <c r="M496" s="16" t="s">
        <v>8532</v>
      </c>
      <c r="N496" s="16" t="str">
        <f>VLOOKUP(M496,Tab_Zast[[Zastávka]:[Sloupec1]],2,0)</f>
        <v>101</v>
      </c>
      <c r="O496" t="s">
        <v>1258</v>
      </c>
      <c r="P496">
        <v>6</v>
      </c>
      <c r="Q496">
        <v>0</v>
      </c>
      <c r="R496" t="s">
        <v>31</v>
      </c>
      <c r="S496" t="s">
        <v>31</v>
      </c>
      <c r="T496" t="s">
        <v>32</v>
      </c>
      <c r="V496" s="1" t="e">
        <v>#N/A</v>
      </c>
      <c r="W496" t="s">
        <v>1216</v>
      </c>
      <c r="X496">
        <v>0</v>
      </c>
      <c r="Y496">
        <v>0</v>
      </c>
      <c r="Z496" t="s">
        <v>54</v>
      </c>
      <c r="AA496" t="str">
        <f t="shared" si="14"/>
        <v>update zamestnanci set nastup='101' where id='390';</v>
      </c>
      <c r="AB496" t="str">
        <f t="shared" si="15"/>
        <v>update dochazka set zastavka = '101' where zamestnanec = '390';</v>
      </c>
    </row>
    <row r="497" spans="1:28" x14ac:dyDescent="0.25">
      <c r="A497" s="2">
        <v>451</v>
      </c>
      <c r="B497" t="s">
        <v>1631</v>
      </c>
      <c r="C497" t="s">
        <v>1632</v>
      </c>
      <c r="D497" t="s">
        <v>1633</v>
      </c>
      <c r="E497" t="s">
        <v>1634</v>
      </c>
      <c r="F497" t="s">
        <v>1635</v>
      </c>
      <c r="G497" s="1">
        <v>44781</v>
      </c>
      <c r="H497" s="1">
        <v>73050</v>
      </c>
      <c r="I497" s="1" t="e">
        <v>#N/A</v>
      </c>
      <c r="J497" s="2" t="s">
        <v>8531</v>
      </c>
      <c r="K497" t="s">
        <v>1636</v>
      </c>
      <c r="M497" s="16" t="s">
        <v>8532</v>
      </c>
      <c r="N497" s="16" t="str">
        <f>VLOOKUP(M497,Tab_Zast[[Zastávka]:[Sloupec1]],2,0)</f>
        <v>101</v>
      </c>
      <c r="O497" t="s">
        <v>1637</v>
      </c>
      <c r="P497">
        <v>6</v>
      </c>
      <c r="Q497">
        <v>0</v>
      </c>
      <c r="R497" t="s">
        <v>179</v>
      </c>
      <c r="S497" t="s">
        <v>31</v>
      </c>
      <c r="T497" t="s">
        <v>32</v>
      </c>
      <c r="V497" s="1" t="e">
        <v>#N/A</v>
      </c>
      <c r="W497" t="s">
        <v>1216</v>
      </c>
      <c r="X497">
        <v>1</v>
      </c>
      <c r="Y497">
        <v>0</v>
      </c>
      <c r="AA497" t="str">
        <f t="shared" si="14"/>
        <v>update zamestnanci set nastup='101' where id='451';</v>
      </c>
      <c r="AB497" t="str">
        <f t="shared" si="15"/>
        <v>update dochazka set zastavka = '101' where zamestnanec = '451';</v>
      </c>
    </row>
    <row r="498" spans="1:28" x14ac:dyDescent="0.25">
      <c r="A498" s="2">
        <v>453</v>
      </c>
      <c r="B498" t="s">
        <v>1644</v>
      </c>
      <c r="C498" t="s">
        <v>1645</v>
      </c>
      <c r="D498" t="s">
        <v>1646</v>
      </c>
      <c r="E498" t="s">
        <v>1647</v>
      </c>
      <c r="F498" t="s">
        <v>1648</v>
      </c>
      <c r="G498" s="1">
        <v>44846</v>
      </c>
      <c r="H498" s="1">
        <v>45525</v>
      </c>
      <c r="I498" s="1">
        <v>73050</v>
      </c>
      <c r="J498" s="2" t="s">
        <v>8531</v>
      </c>
      <c r="K498" t="s">
        <v>1649</v>
      </c>
      <c r="M498" s="16" t="s">
        <v>8532</v>
      </c>
      <c r="N498" s="16" t="str">
        <f>VLOOKUP(M498,Tab_Zast[[Zastávka]:[Sloupec1]],2,0)</f>
        <v>101</v>
      </c>
      <c r="O498" t="s">
        <v>1650</v>
      </c>
      <c r="P498">
        <v>6</v>
      </c>
      <c r="Q498">
        <v>0</v>
      </c>
      <c r="R498" t="s">
        <v>31</v>
      </c>
      <c r="S498" t="s">
        <v>31</v>
      </c>
      <c r="T498" t="s">
        <v>32</v>
      </c>
      <c r="V498" s="1">
        <v>45450</v>
      </c>
      <c r="W498" t="s">
        <v>1216</v>
      </c>
      <c r="X498">
        <v>0</v>
      </c>
      <c r="Y498">
        <v>0</v>
      </c>
      <c r="AA498" t="str">
        <f t="shared" si="14"/>
        <v>update zamestnanci set nastup='101' where id='453';</v>
      </c>
      <c r="AB498" t="str">
        <f t="shared" si="15"/>
        <v>update dochazka set zastavka = '101' where zamestnanec = '453';</v>
      </c>
    </row>
    <row r="499" spans="1:28" x14ac:dyDescent="0.25">
      <c r="A499" s="2">
        <v>457</v>
      </c>
      <c r="B499" t="s">
        <v>1671</v>
      </c>
      <c r="D499" t="s">
        <v>1672</v>
      </c>
      <c r="E499" t="s">
        <v>1673</v>
      </c>
      <c r="F499" t="s">
        <v>1674</v>
      </c>
      <c r="G499" s="1">
        <v>45173</v>
      </c>
      <c r="H499" s="1">
        <v>45379</v>
      </c>
      <c r="I499" s="1">
        <v>73050</v>
      </c>
      <c r="J499" s="2" t="s">
        <v>8531</v>
      </c>
      <c r="K499" t="s">
        <v>1675</v>
      </c>
      <c r="M499" s="16" t="s">
        <v>8532</v>
      </c>
      <c r="N499" s="16" t="str">
        <f>VLOOKUP(M499,Tab_Zast[[Zastávka]:[Sloupec1]],2,0)</f>
        <v>101</v>
      </c>
      <c r="O499" t="s">
        <v>1676</v>
      </c>
      <c r="P499">
        <v>6</v>
      </c>
      <c r="Q499">
        <v>0</v>
      </c>
      <c r="R499" t="s">
        <v>31</v>
      </c>
      <c r="S499" t="s">
        <v>31</v>
      </c>
      <c r="T499" t="s">
        <v>32</v>
      </c>
      <c r="V499" s="1" t="e">
        <v>#N/A</v>
      </c>
      <c r="W499" t="s">
        <v>1216</v>
      </c>
      <c r="X499">
        <v>0</v>
      </c>
      <c r="Y499">
        <v>0</v>
      </c>
      <c r="Z499" t="s">
        <v>54</v>
      </c>
      <c r="AA499" t="str">
        <f t="shared" si="14"/>
        <v>update zamestnanci set nastup='101' where id='457';</v>
      </c>
      <c r="AB499" t="str">
        <f t="shared" si="15"/>
        <v>update dochazka set zastavka = '101' where zamestnanec = '457';</v>
      </c>
    </row>
    <row r="500" spans="1:28" x14ac:dyDescent="0.25">
      <c r="A500" s="2">
        <v>458</v>
      </c>
      <c r="B500" t="s">
        <v>1677</v>
      </c>
      <c r="C500" t="s">
        <v>1678</v>
      </c>
      <c r="D500" t="s">
        <v>1679</v>
      </c>
      <c r="E500" t="s">
        <v>1680</v>
      </c>
      <c r="F500" t="s">
        <v>1681</v>
      </c>
      <c r="G500" s="1">
        <v>44886</v>
      </c>
      <c r="H500" s="1">
        <v>45443</v>
      </c>
      <c r="I500" s="1">
        <v>73050</v>
      </c>
      <c r="J500" s="2" t="s">
        <v>8531</v>
      </c>
      <c r="K500" t="s">
        <v>1682</v>
      </c>
      <c r="M500" s="16" t="s">
        <v>8532</v>
      </c>
      <c r="N500" s="16" t="str">
        <f>VLOOKUP(M500,Tab_Zast[[Zastávka]:[Sloupec1]],2,0)</f>
        <v>101</v>
      </c>
      <c r="O500" t="s">
        <v>1683</v>
      </c>
      <c r="P500">
        <v>6</v>
      </c>
      <c r="Q500">
        <v>0</v>
      </c>
      <c r="R500" t="s">
        <v>31</v>
      </c>
      <c r="S500" t="s">
        <v>31</v>
      </c>
      <c r="T500" t="s">
        <v>32</v>
      </c>
      <c r="V500" s="1">
        <v>45429</v>
      </c>
      <c r="W500" t="s">
        <v>1216</v>
      </c>
      <c r="X500">
        <v>0</v>
      </c>
      <c r="Y500">
        <v>0</v>
      </c>
      <c r="AA500" t="str">
        <f t="shared" si="14"/>
        <v>update zamestnanci set nastup='101' where id='458';</v>
      </c>
      <c r="AB500" t="str">
        <f t="shared" si="15"/>
        <v>update dochazka set zastavka = '101' where zamestnanec = '458';</v>
      </c>
    </row>
    <row r="501" spans="1:28" x14ac:dyDescent="0.25">
      <c r="A501" s="2">
        <v>470</v>
      </c>
      <c r="B501" t="s">
        <v>1754</v>
      </c>
      <c r="D501" t="s">
        <v>1755</v>
      </c>
      <c r="E501" t="s">
        <v>1756</v>
      </c>
      <c r="F501" t="s">
        <v>1757</v>
      </c>
      <c r="G501" s="1">
        <v>45169</v>
      </c>
      <c r="H501" s="1">
        <v>45341</v>
      </c>
      <c r="I501" s="1">
        <v>73050</v>
      </c>
      <c r="J501" s="2" t="s">
        <v>8531</v>
      </c>
      <c r="K501" t="s">
        <v>1758</v>
      </c>
      <c r="M501" s="16" t="s">
        <v>8532</v>
      </c>
      <c r="N501" s="16" t="str">
        <f>VLOOKUP(M501,Tab_Zast[[Zastávka]:[Sloupec1]],2,0)</f>
        <v>101</v>
      </c>
      <c r="O501" t="s">
        <v>1759</v>
      </c>
      <c r="P501">
        <v>6</v>
      </c>
      <c r="Q501">
        <v>0</v>
      </c>
      <c r="R501" t="s">
        <v>31</v>
      </c>
      <c r="S501" t="s">
        <v>31</v>
      </c>
      <c r="T501" t="s">
        <v>32</v>
      </c>
      <c r="V501" s="1" t="e">
        <v>#N/A</v>
      </c>
      <c r="W501" t="s">
        <v>1216</v>
      </c>
      <c r="X501">
        <v>0</v>
      </c>
      <c r="Y501">
        <v>0</v>
      </c>
      <c r="Z501" t="s">
        <v>54</v>
      </c>
      <c r="AA501" t="str">
        <f t="shared" si="14"/>
        <v>update zamestnanci set nastup='101' where id='470';</v>
      </c>
      <c r="AB501" t="str">
        <f t="shared" si="15"/>
        <v>update dochazka set zastavka = '101' where zamestnanec = '470';</v>
      </c>
    </row>
    <row r="502" spans="1:28" x14ac:dyDescent="0.25">
      <c r="A502" s="2">
        <v>505</v>
      </c>
      <c r="B502" t="s">
        <v>1972</v>
      </c>
      <c r="C502" t="s">
        <v>1973</v>
      </c>
      <c r="D502" t="s">
        <v>1974</v>
      </c>
      <c r="E502" t="s">
        <v>1975</v>
      </c>
      <c r="F502" t="s">
        <v>1976</v>
      </c>
      <c r="G502" s="1">
        <v>45007</v>
      </c>
      <c r="H502" s="1">
        <v>45523</v>
      </c>
      <c r="I502" s="1">
        <v>73050</v>
      </c>
      <c r="J502" s="2" t="s">
        <v>8531</v>
      </c>
      <c r="K502" t="s">
        <v>1977</v>
      </c>
      <c r="M502" s="16" t="s">
        <v>8532</v>
      </c>
      <c r="N502" s="16" t="str">
        <f>VLOOKUP(M502,Tab_Zast[[Zastávka]:[Sloupec1]],2,0)</f>
        <v>101</v>
      </c>
      <c r="O502" t="s">
        <v>1978</v>
      </c>
      <c r="P502">
        <v>6</v>
      </c>
      <c r="Q502">
        <v>0</v>
      </c>
      <c r="R502" t="s">
        <v>31</v>
      </c>
      <c r="S502" t="s">
        <v>31</v>
      </c>
      <c r="T502" t="s">
        <v>32</v>
      </c>
      <c r="V502" s="1" t="e">
        <v>#N/A</v>
      </c>
      <c r="W502" t="s">
        <v>1216</v>
      </c>
      <c r="X502">
        <v>0</v>
      </c>
      <c r="Y502">
        <v>0</v>
      </c>
      <c r="AA502" t="str">
        <f t="shared" si="14"/>
        <v>update zamestnanci set nastup='101' where id='505';</v>
      </c>
      <c r="AB502" t="str">
        <f t="shared" si="15"/>
        <v>update dochazka set zastavka = '101' where zamestnanec = '505';</v>
      </c>
    </row>
    <row r="503" spans="1:28" x14ac:dyDescent="0.25">
      <c r="A503" s="2">
        <v>556</v>
      </c>
      <c r="B503" t="s">
        <v>2296</v>
      </c>
      <c r="D503" t="s">
        <v>2297</v>
      </c>
      <c r="E503" t="s">
        <v>2298</v>
      </c>
      <c r="F503" t="s">
        <v>2299</v>
      </c>
      <c r="G503" s="1">
        <v>44935</v>
      </c>
      <c r="H503" s="1">
        <v>45348</v>
      </c>
      <c r="I503" s="1">
        <v>73050</v>
      </c>
      <c r="J503" s="2" t="s">
        <v>8531</v>
      </c>
      <c r="K503" t="s">
        <v>2300</v>
      </c>
      <c r="M503" s="16" t="s">
        <v>8532</v>
      </c>
      <c r="N503" s="16" t="str">
        <f>VLOOKUP(M503,Tab_Zast[[Zastávka]:[Sloupec1]],2,0)</f>
        <v>101</v>
      </c>
      <c r="O503" t="s">
        <v>2301</v>
      </c>
      <c r="P503">
        <v>6</v>
      </c>
      <c r="Q503">
        <v>0</v>
      </c>
      <c r="R503" t="s">
        <v>31</v>
      </c>
      <c r="S503" t="s">
        <v>31</v>
      </c>
      <c r="T503" t="s">
        <v>32</v>
      </c>
      <c r="V503" s="1" t="e">
        <v>#N/A</v>
      </c>
      <c r="W503" t="s">
        <v>1216</v>
      </c>
      <c r="X503">
        <v>0</v>
      </c>
      <c r="Y503">
        <v>0</v>
      </c>
      <c r="Z503" t="s">
        <v>54</v>
      </c>
      <c r="AA503" t="str">
        <f t="shared" si="14"/>
        <v>update zamestnanci set nastup='101' where id='556';</v>
      </c>
      <c r="AB503" t="str">
        <f t="shared" si="15"/>
        <v>update dochazka set zastavka = '101' where zamestnanec = '556';</v>
      </c>
    </row>
    <row r="504" spans="1:28" x14ac:dyDescent="0.25">
      <c r="A504" s="2">
        <v>561</v>
      </c>
      <c r="B504" t="s">
        <v>2326</v>
      </c>
      <c r="D504" t="s">
        <v>2327</v>
      </c>
      <c r="E504" t="s">
        <v>2328</v>
      </c>
      <c r="F504" t="s">
        <v>2329</v>
      </c>
      <c r="G504" s="1">
        <v>45187</v>
      </c>
      <c r="H504" s="1">
        <v>45306</v>
      </c>
      <c r="I504" s="1">
        <v>45307</v>
      </c>
      <c r="J504" s="2" t="s">
        <v>8531</v>
      </c>
      <c r="K504" t="s">
        <v>2330</v>
      </c>
      <c r="M504" s="16" t="s">
        <v>8532</v>
      </c>
      <c r="N504" s="16" t="str">
        <f>VLOOKUP(M504,Tab_Zast[[Zastávka]:[Sloupec1]],2,0)</f>
        <v>101</v>
      </c>
      <c r="O504" t="s">
        <v>2331</v>
      </c>
      <c r="P504">
        <v>6</v>
      </c>
      <c r="Q504">
        <v>0</v>
      </c>
      <c r="R504" t="s">
        <v>31</v>
      </c>
      <c r="S504" t="s">
        <v>31</v>
      </c>
      <c r="T504" t="s">
        <v>32</v>
      </c>
      <c r="V504" s="1" t="e">
        <v>#N/A</v>
      </c>
      <c r="W504" t="s">
        <v>1216</v>
      </c>
      <c r="X504">
        <v>0</v>
      </c>
      <c r="Y504">
        <v>0</v>
      </c>
      <c r="Z504" t="s">
        <v>54</v>
      </c>
      <c r="AA504" t="str">
        <f t="shared" si="14"/>
        <v>update zamestnanci set nastup='101' where id='561';</v>
      </c>
      <c r="AB504" t="str">
        <f t="shared" si="15"/>
        <v>update dochazka set zastavka = '101' where zamestnanec = '561';</v>
      </c>
    </row>
    <row r="505" spans="1:28" x14ac:dyDescent="0.25">
      <c r="A505" s="2">
        <v>661</v>
      </c>
      <c r="B505" t="s">
        <v>2881</v>
      </c>
      <c r="D505" t="s">
        <v>2882</v>
      </c>
      <c r="E505" t="s">
        <v>2883</v>
      </c>
      <c r="F505" t="s">
        <v>2884</v>
      </c>
      <c r="G505" s="1">
        <v>45229</v>
      </c>
      <c r="H505" s="1">
        <v>45322</v>
      </c>
      <c r="I505" s="1">
        <v>73050</v>
      </c>
      <c r="J505" s="2" t="s">
        <v>8531</v>
      </c>
      <c r="K505" t="s">
        <v>2885</v>
      </c>
      <c r="M505" s="16" t="s">
        <v>8532</v>
      </c>
      <c r="N505" s="16" t="str">
        <f>VLOOKUP(M505,Tab_Zast[[Zastávka]:[Sloupec1]],2,0)</f>
        <v>101</v>
      </c>
      <c r="O505" t="s">
        <v>2886</v>
      </c>
      <c r="P505">
        <v>6</v>
      </c>
      <c r="Q505">
        <v>0</v>
      </c>
      <c r="R505" t="s">
        <v>31</v>
      </c>
      <c r="S505" t="s">
        <v>31</v>
      </c>
      <c r="T505" t="s">
        <v>32</v>
      </c>
      <c r="V505" s="1" t="e">
        <v>#N/A</v>
      </c>
      <c r="W505" t="s">
        <v>1216</v>
      </c>
      <c r="X505">
        <v>0</v>
      </c>
      <c r="Y505">
        <v>0</v>
      </c>
      <c r="Z505" t="s">
        <v>54</v>
      </c>
      <c r="AA505" t="str">
        <f t="shared" si="14"/>
        <v>update zamestnanci set nastup='101' where id='661';</v>
      </c>
      <c r="AB505" t="str">
        <f t="shared" si="15"/>
        <v>update dochazka set zastavka = '101' where zamestnanec = '661';</v>
      </c>
    </row>
    <row r="506" spans="1:28" x14ac:dyDescent="0.25">
      <c r="A506" s="2">
        <v>693</v>
      </c>
      <c r="B506" t="s">
        <v>3059</v>
      </c>
      <c r="D506" t="s">
        <v>1710</v>
      </c>
      <c r="E506" t="s">
        <v>1402</v>
      </c>
      <c r="F506" t="s">
        <v>3060</v>
      </c>
      <c r="G506" s="1">
        <v>45245</v>
      </c>
      <c r="H506" s="1">
        <v>45349</v>
      </c>
      <c r="I506" s="1">
        <v>73050</v>
      </c>
      <c r="J506" s="2" t="s">
        <v>8531</v>
      </c>
      <c r="K506" t="s">
        <v>3061</v>
      </c>
      <c r="M506" s="16" t="s">
        <v>8532</v>
      </c>
      <c r="N506" s="16" t="str">
        <f>VLOOKUP(M506,Tab_Zast[[Zastávka]:[Sloupec1]],2,0)</f>
        <v>101</v>
      </c>
      <c r="O506" t="s">
        <v>3062</v>
      </c>
      <c r="P506">
        <v>6</v>
      </c>
      <c r="Q506">
        <v>0</v>
      </c>
      <c r="R506" t="s">
        <v>31</v>
      </c>
      <c r="S506" t="s">
        <v>31</v>
      </c>
      <c r="T506" t="s">
        <v>32</v>
      </c>
      <c r="V506" s="1" t="e">
        <v>#N/A</v>
      </c>
      <c r="W506" t="s">
        <v>3052</v>
      </c>
      <c r="X506">
        <v>0</v>
      </c>
      <c r="Y506">
        <v>0</v>
      </c>
      <c r="Z506" t="s">
        <v>54</v>
      </c>
      <c r="AA506" t="str">
        <f t="shared" si="14"/>
        <v>update zamestnanci set nastup='101' where id='693';</v>
      </c>
      <c r="AB506" t="str">
        <f t="shared" si="15"/>
        <v>update dochazka set zastavka = '101' where zamestnanec = '693';</v>
      </c>
    </row>
    <row r="507" spans="1:28" x14ac:dyDescent="0.25">
      <c r="A507" s="2">
        <v>760</v>
      </c>
      <c r="B507" t="s">
        <v>3388</v>
      </c>
      <c r="D507" t="s">
        <v>3389</v>
      </c>
      <c r="E507" t="s">
        <v>2131</v>
      </c>
      <c r="F507" t="s">
        <v>3390</v>
      </c>
      <c r="G507" s="1">
        <v>45315</v>
      </c>
      <c r="H507" s="1">
        <v>45390</v>
      </c>
      <c r="I507" s="1">
        <v>73050</v>
      </c>
      <c r="J507" s="2" t="s">
        <v>8531</v>
      </c>
      <c r="K507" t="s">
        <v>3391</v>
      </c>
      <c r="M507" s="16" t="s">
        <v>8532</v>
      </c>
      <c r="N507" s="16" t="str">
        <f>VLOOKUP(M507,Tab_Zast[[Zastávka]:[Sloupec1]],2,0)</f>
        <v>101</v>
      </c>
      <c r="O507" t="s">
        <v>3392</v>
      </c>
      <c r="P507">
        <v>6</v>
      </c>
      <c r="Q507">
        <v>0</v>
      </c>
      <c r="R507" t="s">
        <v>31</v>
      </c>
      <c r="S507" t="s">
        <v>31</v>
      </c>
      <c r="T507" t="s">
        <v>32</v>
      </c>
      <c r="V507" s="1" t="e">
        <v>#N/A</v>
      </c>
      <c r="W507" t="s">
        <v>1216</v>
      </c>
      <c r="X507">
        <v>0</v>
      </c>
      <c r="Y507">
        <v>0</v>
      </c>
      <c r="Z507" t="s">
        <v>54</v>
      </c>
      <c r="AA507" t="str">
        <f t="shared" si="14"/>
        <v>update zamestnanci set nastup='101' where id='760';</v>
      </c>
      <c r="AB507" t="str">
        <f t="shared" si="15"/>
        <v>update dochazka set zastavka = '101' where zamestnanec = '760';</v>
      </c>
    </row>
    <row r="508" spans="1:28" x14ac:dyDescent="0.25">
      <c r="A508" s="2">
        <v>796</v>
      </c>
      <c r="B508" t="s">
        <v>3570</v>
      </c>
      <c r="D508" t="s">
        <v>3571</v>
      </c>
      <c r="E508" t="s">
        <v>1402</v>
      </c>
      <c r="F508" t="s">
        <v>3572</v>
      </c>
      <c r="G508" s="1">
        <v>45336</v>
      </c>
      <c r="H508" s="1">
        <v>45349</v>
      </c>
      <c r="I508" s="1">
        <v>73050</v>
      </c>
      <c r="J508" s="2" t="s">
        <v>8531</v>
      </c>
      <c r="K508" t="s">
        <v>3573</v>
      </c>
      <c r="M508" s="16" t="s">
        <v>8532</v>
      </c>
      <c r="N508" s="16" t="str">
        <f>VLOOKUP(M508,Tab_Zast[[Zastávka]:[Sloupec1]],2,0)</f>
        <v>101</v>
      </c>
      <c r="O508" t="s">
        <v>3574</v>
      </c>
      <c r="P508">
        <v>6</v>
      </c>
      <c r="Q508">
        <v>0</v>
      </c>
      <c r="R508" t="s">
        <v>31</v>
      </c>
      <c r="S508" t="s">
        <v>31</v>
      </c>
      <c r="T508" t="s">
        <v>32</v>
      </c>
      <c r="V508" s="1" t="e">
        <v>#N/A</v>
      </c>
      <c r="W508" t="s">
        <v>1216</v>
      </c>
      <c r="X508">
        <v>0</v>
      </c>
      <c r="Y508">
        <v>0</v>
      </c>
      <c r="Z508" t="s">
        <v>54</v>
      </c>
      <c r="AA508" t="str">
        <f t="shared" si="14"/>
        <v>update zamestnanci set nastup='101' where id='796';</v>
      </c>
      <c r="AB508" t="str">
        <f t="shared" si="15"/>
        <v>update dochazka set zastavka = '101' where zamestnanec = '796';</v>
      </c>
    </row>
    <row r="509" spans="1:28" x14ac:dyDescent="0.25">
      <c r="A509" s="2">
        <v>797</v>
      </c>
      <c r="B509" t="s">
        <v>3575</v>
      </c>
      <c r="D509" t="s">
        <v>3571</v>
      </c>
      <c r="E509" t="s">
        <v>80</v>
      </c>
      <c r="F509" t="s">
        <v>3576</v>
      </c>
      <c r="G509" s="1">
        <v>45336</v>
      </c>
      <c r="H509" s="1">
        <v>45400</v>
      </c>
      <c r="I509" s="1">
        <v>73050</v>
      </c>
      <c r="J509" s="2" t="s">
        <v>8531</v>
      </c>
      <c r="K509" t="s">
        <v>3573</v>
      </c>
      <c r="M509" s="16" t="s">
        <v>8532</v>
      </c>
      <c r="N509" s="16" t="str">
        <f>VLOOKUP(M509,Tab_Zast[[Zastávka]:[Sloupec1]],2,0)</f>
        <v>101</v>
      </c>
      <c r="O509" t="s">
        <v>3574</v>
      </c>
      <c r="P509">
        <v>6</v>
      </c>
      <c r="Q509">
        <v>0</v>
      </c>
      <c r="R509" t="s">
        <v>31</v>
      </c>
      <c r="S509" t="s">
        <v>31</v>
      </c>
      <c r="T509" t="s">
        <v>32</v>
      </c>
      <c r="V509" s="1" t="e">
        <v>#N/A</v>
      </c>
      <c r="W509" t="s">
        <v>1216</v>
      </c>
      <c r="X509">
        <v>0</v>
      </c>
      <c r="Y509">
        <v>0</v>
      </c>
      <c r="Z509" t="s">
        <v>54</v>
      </c>
      <c r="AA509" t="str">
        <f t="shared" si="14"/>
        <v>update zamestnanci set nastup='101' where id='797';</v>
      </c>
      <c r="AB509" t="str">
        <f t="shared" si="15"/>
        <v>update dochazka set zastavka = '101' where zamestnanec = '797';</v>
      </c>
    </row>
    <row r="510" spans="1:28" x14ac:dyDescent="0.25">
      <c r="A510" s="2">
        <v>1336</v>
      </c>
      <c r="B510" t="s">
        <v>5879</v>
      </c>
      <c r="C510" t="s">
        <v>64</v>
      </c>
      <c r="D510" t="s">
        <v>5880</v>
      </c>
      <c r="E510" t="s">
        <v>2607</v>
      </c>
      <c r="F510" t="s">
        <v>3060</v>
      </c>
      <c r="G510" s="1">
        <v>45604</v>
      </c>
      <c r="H510" s="1">
        <v>45604</v>
      </c>
      <c r="I510" s="1">
        <v>45604</v>
      </c>
      <c r="J510" s="2" t="s">
        <v>8531</v>
      </c>
      <c r="K510" t="s">
        <v>5881</v>
      </c>
      <c r="M510" s="16" t="s">
        <v>8532</v>
      </c>
      <c r="N510" s="16" t="str">
        <f>VLOOKUP(M510,Tab_Zast[[Zastávka]:[Sloupec1]],2,0)</f>
        <v>101</v>
      </c>
      <c r="O510" t="s">
        <v>5882</v>
      </c>
      <c r="P510">
        <v>6</v>
      </c>
      <c r="Q510">
        <v>0</v>
      </c>
      <c r="R510" t="s">
        <v>31</v>
      </c>
      <c r="S510" t="s">
        <v>31</v>
      </c>
      <c r="T510" t="s">
        <v>32</v>
      </c>
      <c r="V510" s="1" t="e">
        <v>#N/A</v>
      </c>
      <c r="W510" t="s">
        <v>1022</v>
      </c>
      <c r="X510">
        <v>0</v>
      </c>
      <c r="Y510">
        <v>724</v>
      </c>
      <c r="AA510" t="str">
        <f t="shared" si="14"/>
        <v>update zamestnanci set nastup='101' where id='1336';</v>
      </c>
      <c r="AB510" t="str">
        <f t="shared" si="15"/>
        <v>update dochazka set zastavka = '101' where zamestnanec = '1336';</v>
      </c>
    </row>
    <row r="511" spans="1:28" x14ac:dyDescent="0.25">
      <c r="A511" s="2">
        <v>1377</v>
      </c>
      <c r="B511" t="s">
        <v>6035</v>
      </c>
      <c r="C511" t="s">
        <v>5610</v>
      </c>
      <c r="D511" t="s">
        <v>6036</v>
      </c>
      <c r="E511" t="s">
        <v>4016</v>
      </c>
      <c r="F511" t="s">
        <v>5610</v>
      </c>
      <c r="G511" s="1">
        <v>45610</v>
      </c>
      <c r="H511" s="1">
        <v>45610</v>
      </c>
      <c r="I511" s="1">
        <v>45610</v>
      </c>
      <c r="J511" s="2" t="s">
        <v>8531</v>
      </c>
      <c r="K511" t="s">
        <v>6037</v>
      </c>
      <c r="M511" s="16" t="s">
        <v>8532</v>
      </c>
      <c r="N511" s="16" t="str">
        <f>VLOOKUP(M511,Tab_Zast[[Zastávka]:[Sloupec1]],2,0)</f>
        <v>101</v>
      </c>
      <c r="O511" t="s">
        <v>6038</v>
      </c>
      <c r="P511">
        <v>6</v>
      </c>
      <c r="Q511">
        <v>0</v>
      </c>
      <c r="R511" t="s">
        <v>31</v>
      </c>
      <c r="S511" t="s">
        <v>31</v>
      </c>
      <c r="T511" t="s">
        <v>32</v>
      </c>
      <c r="V511" s="1" t="e">
        <v>#N/A</v>
      </c>
      <c r="W511" t="s">
        <v>1216</v>
      </c>
      <c r="X511">
        <v>0</v>
      </c>
      <c r="Y511">
        <v>768</v>
      </c>
      <c r="AA511" t="str">
        <f t="shared" si="14"/>
        <v>update zamestnanci set nastup='101' where id='1377';</v>
      </c>
      <c r="AB511" t="str">
        <f t="shared" si="15"/>
        <v>update dochazka set zastavka = '101' where zamestnanec = '1377';</v>
      </c>
    </row>
    <row r="512" spans="1:28" x14ac:dyDescent="0.25">
      <c r="A512" s="2">
        <v>1409</v>
      </c>
      <c r="B512" t="s">
        <v>6159</v>
      </c>
      <c r="C512" t="s">
        <v>64</v>
      </c>
      <c r="D512" t="s">
        <v>6160</v>
      </c>
      <c r="E512" t="s">
        <v>725</v>
      </c>
      <c r="F512" t="s">
        <v>6161</v>
      </c>
      <c r="G512" s="1">
        <v>45624</v>
      </c>
      <c r="H512" s="1">
        <v>45706</v>
      </c>
      <c r="I512" s="1">
        <v>73050</v>
      </c>
      <c r="J512" s="2" t="s">
        <v>8531</v>
      </c>
      <c r="K512" t="s">
        <v>6162</v>
      </c>
      <c r="M512" s="16" t="s">
        <v>8532</v>
      </c>
      <c r="N512" s="16" t="str">
        <f>VLOOKUP(M512,Tab_Zast[[Zastávka]:[Sloupec1]],2,0)</f>
        <v>101</v>
      </c>
      <c r="O512" t="s">
        <v>6163</v>
      </c>
      <c r="P512">
        <v>6</v>
      </c>
      <c r="Q512">
        <v>0</v>
      </c>
      <c r="R512" t="s">
        <v>31</v>
      </c>
      <c r="S512" t="s">
        <v>31</v>
      </c>
      <c r="T512" t="s">
        <v>32</v>
      </c>
      <c r="V512" s="1" t="e">
        <v>#N/A</v>
      </c>
      <c r="W512" t="s">
        <v>1216</v>
      </c>
      <c r="X512">
        <v>0</v>
      </c>
      <c r="Y512">
        <v>798</v>
      </c>
      <c r="AA512" t="str">
        <f t="shared" si="14"/>
        <v>update zamestnanci set nastup='101' where id='1409';</v>
      </c>
      <c r="AB512" t="str">
        <f t="shared" si="15"/>
        <v>update dochazka set zastavka = '101' where zamestnanec = '1409';</v>
      </c>
    </row>
    <row r="513" spans="1:28" x14ac:dyDescent="0.25">
      <c r="A513" s="2">
        <v>1418</v>
      </c>
      <c r="B513" t="s">
        <v>6200</v>
      </c>
      <c r="C513" t="s">
        <v>64</v>
      </c>
      <c r="D513" t="s">
        <v>6201</v>
      </c>
      <c r="E513" t="s">
        <v>743</v>
      </c>
      <c r="F513" t="s">
        <v>67</v>
      </c>
      <c r="G513" s="1">
        <v>45632</v>
      </c>
      <c r="H513" s="1">
        <v>45632</v>
      </c>
      <c r="I513" s="1">
        <v>45632</v>
      </c>
      <c r="J513" s="2" t="s">
        <v>8531</v>
      </c>
      <c r="K513" t="s">
        <v>6202</v>
      </c>
      <c r="M513" s="16" t="s">
        <v>8532</v>
      </c>
      <c r="N513" s="16" t="str">
        <f>VLOOKUP(M513,Tab_Zast[[Zastávka]:[Sloupec1]],2,0)</f>
        <v>101</v>
      </c>
      <c r="O513" t="s">
        <v>6203</v>
      </c>
      <c r="P513">
        <v>6</v>
      </c>
      <c r="Q513">
        <v>0</v>
      </c>
      <c r="R513" t="s">
        <v>31</v>
      </c>
      <c r="S513" t="s">
        <v>31</v>
      </c>
      <c r="T513" t="s">
        <v>32</v>
      </c>
      <c r="V513" s="1" t="e">
        <v>#N/A</v>
      </c>
      <c r="W513" t="s">
        <v>1216</v>
      </c>
      <c r="X513">
        <v>0</v>
      </c>
      <c r="Y513">
        <v>811</v>
      </c>
      <c r="AA513" t="str">
        <f t="shared" si="14"/>
        <v>update zamestnanci set nastup='101' where id='1418';</v>
      </c>
      <c r="AB513" t="str">
        <f t="shared" si="15"/>
        <v>update dochazka set zastavka = '101' where zamestnanec = '1418';</v>
      </c>
    </row>
    <row r="514" spans="1:28" x14ac:dyDescent="0.25">
      <c r="A514" s="2">
        <v>1461</v>
      </c>
      <c r="B514" t="s">
        <v>6366</v>
      </c>
      <c r="C514" t="s">
        <v>64</v>
      </c>
      <c r="D514" t="s">
        <v>5070</v>
      </c>
      <c r="E514" t="s">
        <v>2705</v>
      </c>
      <c r="F514" t="s">
        <v>6367</v>
      </c>
      <c r="G514" s="1">
        <v>45694</v>
      </c>
      <c r="H514" s="1">
        <v>45715</v>
      </c>
      <c r="I514" s="1">
        <v>73050</v>
      </c>
      <c r="J514" s="2" t="s">
        <v>8531</v>
      </c>
      <c r="K514" t="s">
        <v>6368</v>
      </c>
      <c r="M514" s="16" t="s">
        <v>8532</v>
      </c>
      <c r="N514" s="16" t="str">
        <f>VLOOKUP(M514,Tab_Zast[[Zastávka]:[Sloupec1]],2,0)</f>
        <v>101</v>
      </c>
      <c r="O514" t="s">
        <v>6369</v>
      </c>
      <c r="P514">
        <v>6</v>
      </c>
      <c r="Q514">
        <v>0</v>
      </c>
      <c r="R514" t="s">
        <v>31</v>
      </c>
      <c r="S514" t="s">
        <v>31</v>
      </c>
      <c r="T514" t="s">
        <v>32</v>
      </c>
      <c r="V514" s="1" t="e">
        <v>#N/A</v>
      </c>
      <c r="W514" t="s">
        <v>1216</v>
      </c>
      <c r="X514">
        <v>0</v>
      </c>
      <c r="Y514">
        <v>851</v>
      </c>
      <c r="AA514" t="str">
        <f t="shared" si="14"/>
        <v>update zamestnanci set nastup='101' where id='1461';</v>
      </c>
      <c r="AB514" t="str">
        <f t="shared" si="15"/>
        <v>update dochazka set zastavka = '101' where zamestnanec = '1461';</v>
      </c>
    </row>
    <row r="515" spans="1:28" x14ac:dyDescent="0.25">
      <c r="A515" s="2">
        <v>1518</v>
      </c>
      <c r="B515" t="s">
        <v>6576</v>
      </c>
      <c r="C515" t="s">
        <v>64</v>
      </c>
      <c r="D515" t="s">
        <v>6577</v>
      </c>
      <c r="E515" t="s">
        <v>3921</v>
      </c>
      <c r="F515" t="s">
        <v>64</v>
      </c>
      <c r="G515" s="1">
        <v>45728</v>
      </c>
      <c r="H515" s="1">
        <v>45728</v>
      </c>
      <c r="I515" s="1">
        <v>73050</v>
      </c>
      <c r="J515" s="2" t="s">
        <v>8531</v>
      </c>
      <c r="K515" t="s">
        <v>5086</v>
      </c>
      <c r="M515" s="16" t="s">
        <v>8532</v>
      </c>
      <c r="N515" s="16" t="str">
        <f>VLOOKUP(M515,Tab_Zast[[Zastávka]:[Sloupec1]],2,0)</f>
        <v>101</v>
      </c>
      <c r="O515" t="s">
        <v>6578</v>
      </c>
      <c r="P515">
        <v>6</v>
      </c>
      <c r="Q515">
        <v>0</v>
      </c>
      <c r="R515" t="s">
        <v>31</v>
      </c>
      <c r="S515" t="s">
        <v>31</v>
      </c>
      <c r="T515" t="s">
        <v>32</v>
      </c>
      <c r="V515" s="1" t="e">
        <v>#N/A</v>
      </c>
      <c r="W515" t="s">
        <v>1216</v>
      </c>
      <c r="X515">
        <v>0</v>
      </c>
      <c r="Y515">
        <v>912</v>
      </c>
      <c r="AA515" t="str">
        <f t="shared" si="14"/>
        <v>update zamestnanci set nastup='101' where id='1518';</v>
      </c>
      <c r="AB515" t="str">
        <f t="shared" si="15"/>
        <v>update dochazka set zastavka = '101' where zamestnanec = '1518';</v>
      </c>
    </row>
    <row r="516" spans="1:28" x14ac:dyDescent="0.25">
      <c r="A516" s="2">
        <v>1615</v>
      </c>
      <c r="B516" t="s">
        <v>6936</v>
      </c>
      <c r="C516" t="s">
        <v>64</v>
      </c>
      <c r="D516" t="s">
        <v>6937</v>
      </c>
      <c r="E516" t="s">
        <v>568</v>
      </c>
      <c r="F516" t="s">
        <v>6938</v>
      </c>
      <c r="G516" s="1">
        <v>45779</v>
      </c>
      <c r="H516" s="1">
        <v>45813</v>
      </c>
      <c r="I516" s="1">
        <v>73050</v>
      </c>
      <c r="J516" s="2" t="s">
        <v>8531</v>
      </c>
      <c r="K516" t="s">
        <v>6939</v>
      </c>
      <c r="M516" s="16" t="s">
        <v>8532</v>
      </c>
      <c r="N516" s="16" t="str">
        <f>VLOOKUP(M516,Tab_Zast[[Zastávka]:[Sloupec1]],2,0)</f>
        <v>101</v>
      </c>
      <c r="O516" t="s">
        <v>6940</v>
      </c>
      <c r="P516">
        <v>6</v>
      </c>
      <c r="Q516">
        <v>0</v>
      </c>
      <c r="R516" t="s">
        <v>31</v>
      </c>
      <c r="S516" t="s">
        <v>31</v>
      </c>
      <c r="T516" t="s">
        <v>32</v>
      </c>
      <c r="V516" s="1">
        <v>45814</v>
      </c>
      <c r="W516" t="s">
        <v>1216</v>
      </c>
      <c r="X516">
        <v>0</v>
      </c>
      <c r="Y516">
        <v>1007</v>
      </c>
      <c r="AA516" t="str">
        <f t="shared" ref="AA516:AA579" si="16">IF(J516&lt;&gt;"00","update zamestnanci set nastup='" &amp; J516 &amp; "' where id='" &amp; A516 &amp; "';","")</f>
        <v>update zamestnanci set nastup='101' where id='1615';</v>
      </c>
      <c r="AB516" t="str">
        <f t="shared" ref="AB516:AB579" si="17">IF(J516&lt;&gt;"00","update dochazka set zastavka = '" &amp; J516 &amp; "' where zamestnanec = '" &amp; A516 &amp; "';","")</f>
        <v>update dochazka set zastavka = '101' where zamestnanec = '1615';</v>
      </c>
    </row>
    <row r="517" spans="1:28" x14ac:dyDescent="0.25">
      <c r="A517" s="2">
        <v>1616</v>
      </c>
      <c r="B517" t="s">
        <v>6941</v>
      </c>
      <c r="C517" t="s">
        <v>64</v>
      </c>
      <c r="D517" t="s">
        <v>6942</v>
      </c>
      <c r="E517" t="s">
        <v>3539</v>
      </c>
      <c r="F517" t="s">
        <v>6943</v>
      </c>
      <c r="G517" s="1">
        <v>45779</v>
      </c>
      <c r="H517" s="1">
        <v>45813</v>
      </c>
      <c r="I517" s="1">
        <v>73050</v>
      </c>
      <c r="J517" s="2" t="s">
        <v>8531</v>
      </c>
      <c r="K517" t="s">
        <v>6944</v>
      </c>
      <c r="M517" s="16" t="s">
        <v>8532</v>
      </c>
      <c r="N517" s="16" t="str">
        <f>VLOOKUP(M517,Tab_Zast[[Zastávka]:[Sloupec1]],2,0)</f>
        <v>101</v>
      </c>
      <c r="O517" t="s">
        <v>6945</v>
      </c>
      <c r="P517">
        <v>6</v>
      </c>
      <c r="Q517">
        <v>0</v>
      </c>
      <c r="R517" t="s">
        <v>31</v>
      </c>
      <c r="S517" t="s">
        <v>31</v>
      </c>
      <c r="T517" t="s">
        <v>32</v>
      </c>
      <c r="V517" s="1">
        <v>45814</v>
      </c>
      <c r="W517" t="s">
        <v>1216</v>
      </c>
      <c r="X517">
        <v>0</v>
      </c>
      <c r="Y517">
        <v>1008</v>
      </c>
      <c r="AA517" t="str">
        <f t="shared" si="16"/>
        <v>update zamestnanci set nastup='101' where id='1616';</v>
      </c>
      <c r="AB517" t="str">
        <f t="shared" si="17"/>
        <v>update dochazka set zastavka = '101' where zamestnanec = '1616';</v>
      </c>
    </row>
    <row r="518" spans="1:28" x14ac:dyDescent="0.25">
      <c r="A518" s="2">
        <v>1617</v>
      </c>
      <c r="B518" t="s">
        <v>6946</v>
      </c>
      <c r="C518" t="s">
        <v>64</v>
      </c>
      <c r="D518" t="s">
        <v>6947</v>
      </c>
      <c r="E518" t="s">
        <v>6948</v>
      </c>
      <c r="F518" t="s">
        <v>6949</v>
      </c>
      <c r="G518" s="1">
        <v>45779</v>
      </c>
      <c r="H518" s="1">
        <v>45834</v>
      </c>
      <c r="I518" s="1">
        <v>73050</v>
      </c>
      <c r="J518" s="2" t="s">
        <v>8531</v>
      </c>
      <c r="K518" t="s">
        <v>6950</v>
      </c>
      <c r="M518" s="16" t="s">
        <v>8532</v>
      </c>
      <c r="N518" s="16" t="str">
        <f>VLOOKUP(M518,Tab_Zast[[Zastávka]:[Sloupec1]],2,0)</f>
        <v>101</v>
      </c>
      <c r="O518" t="s">
        <v>6951</v>
      </c>
      <c r="P518">
        <v>6</v>
      </c>
      <c r="Q518">
        <v>0</v>
      </c>
      <c r="R518" t="s">
        <v>31</v>
      </c>
      <c r="S518" t="s">
        <v>31</v>
      </c>
      <c r="T518" t="s">
        <v>32</v>
      </c>
      <c r="V518" s="1">
        <v>45834</v>
      </c>
      <c r="W518" t="s">
        <v>1216</v>
      </c>
      <c r="X518">
        <v>0</v>
      </c>
      <c r="Y518">
        <v>1009</v>
      </c>
      <c r="AA518" t="str">
        <f t="shared" si="16"/>
        <v>update zamestnanci set nastup='101' where id='1617';</v>
      </c>
      <c r="AB518" t="str">
        <f t="shared" si="17"/>
        <v>update dochazka set zastavka = '101' where zamestnanec = '1617';</v>
      </c>
    </row>
    <row r="519" spans="1:28" x14ac:dyDescent="0.25">
      <c r="A519" s="2">
        <v>1678</v>
      </c>
      <c r="B519" t="s">
        <v>7150</v>
      </c>
      <c r="C519" t="s">
        <v>64</v>
      </c>
      <c r="D519" t="s">
        <v>7151</v>
      </c>
      <c r="E519" t="s">
        <v>3432</v>
      </c>
      <c r="F519" t="s">
        <v>64</v>
      </c>
      <c r="G519" s="1">
        <v>45821</v>
      </c>
      <c r="H519" s="1">
        <v>45821</v>
      </c>
      <c r="I519" s="1">
        <v>45821</v>
      </c>
      <c r="J519" s="2" t="s">
        <v>8531</v>
      </c>
      <c r="K519" t="s">
        <v>7152</v>
      </c>
      <c r="M519" s="16" t="s">
        <v>8532</v>
      </c>
      <c r="N519" s="16" t="str">
        <f>VLOOKUP(M519,Tab_Zast[[Zastávka]:[Sloupec1]],2,0)</f>
        <v>101</v>
      </c>
      <c r="O519" t="s">
        <v>7153</v>
      </c>
      <c r="P519">
        <v>6</v>
      </c>
      <c r="Q519">
        <v>0</v>
      </c>
      <c r="R519" t="s">
        <v>31</v>
      </c>
      <c r="S519" t="s">
        <v>31</v>
      </c>
      <c r="T519" t="s">
        <v>32</v>
      </c>
      <c r="V519" s="1">
        <v>45821</v>
      </c>
      <c r="W519" t="s">
        <v>1216</v>
      </c>
      <c r="X519">
        <v>0</v>
      </c>
      <c r="Y519">
        <v>1070</v>
      </c>
      <c r="AA519" t="str">
        <f t="shared" si="16"/>
        <v>update zamestnanci set nastup='101' where id='1678';</v>
      </c>
      <c r="AB519" t="str">
        <f t="shared" si="17"/>
        <v>update dochazka set zastavka = '101' where zamestnanec = '1678';</v>
      </c>
    </row>
    <row r="520" spans="1:28" x14ac:dyDescent="0.25">
      <c r="A520" s="2">
        <v>1738</v>
      </c>
      <c r="B520" t="s">
        <v>7369</v>
      </c>
      <c r="C520" t="s">
        <v>357</v>
      </c>
      <c r="D520" t="s">
        <v>7370</v>
      </c>
      <c r="E520" t="s">
        <v>593</v>
      </c>
      <c r="F520" t="s">
        <v>569</v>
      </c>
      <c r="G520" s="1">
        <v>45852</v>
      </c>
      <c r="H520" s="1">
        <v>45931</v>
      </c>
      <c r="I520" s="1">
        <v>73050</v>
      </c>
      <c r="J520" s="2" t="s">
        <v>8531</v>
      </c>
      <c r="K520" t="s">
        <v>7371</v>
      </c>
      <c r="M520" s="16" t="s">
        <v>8532</v>
      </c>
      <c r="N520" s="16" t="str">
        <f>VLOOKUP(M520,Tab_Zast[[Zastávka]:[Sloupec1]],2,0)</f>
        <v>101</v>
      </c>
      <c r="O520" t="s">
        <v>7372</v>
      </c>
      <c r="P520">
        <v>6</v>
      </c>
      <c r="Q520">
        <v>0</v>
      </c>
      <c r="R520" t="s">
        <v>31</v>
      </c>
      <c r="S520" t="s">
        <v>31</v>
      </c>
      <c r="T520" t="s">
        <v>32</v>
      </c>
      <c r="V520" s="1" t="e">
        <v>#N/A</v>
      </c>
      <c r="W520" t="s">
        <v>3052</v>
      </c>
      <c r="X520">
        <v>0</v>
      </c>
      <c r="Y520">
        <v>1124</v>
      </c>
      <c r="AA520" t="str">
        <f t="shared" si="16"/>
        <v>update zamestnanci set nastup='101' where id='1738';</v>
      </c>
      <c r="AB520" t="str">
        <f t="shared" si="17"/>
        <v>update dochazka set zastavka = '101' where zamestnanec = '1738';</v>
      </c>
    </row>
    <row r="521" spans="1:28" x14ac:dyDescent="0.25">
      <c r="A521" s="2">
        <v>1740</v>
      </c>
      <c r="B521" t="s">
        <v>7378</v>
      </c>
      <c r="C521" t="s">
        <v>569</v>
      </c>
      <c r="D521" t="s">
        <v>7370</v>
      </c>
      <c r="E521" t="s">
        <v>755</v>
      </c>
      <c r="F521" t="s">
        <v>7379</v>
      </c>
      <c r="G521" s="1">
        <v>45852</v>
      </c>
      <c r="H521" s="1">
        <v>45853</v>
      </c>
      <c r="I521" s="1">
        <v>73050</v>
      </c>
      <c r="J521" s="2" t="s">
        <v>8531</v>
      </c>
      <c r="K521" t="s">
        <v>7380</v>
      </c>
      <c r="M521" s="16" t="s">
        <v>8532</v>
      </c>
      <c r="N521" s="16" t="str">
        <f>VLOOKUP(M521,Tab_Zast[[Zastávka]:[Sloupec1]],2,0)</f>
        <v>101</v>
      </c>
      <c r="O521" t="s">
        <v>7372</v>
      </c>
      <c r="P521">
        <v>6</v>
      </c>
      <c r="Q521">
        <v>0</v>
      </c>
      <c r="R521" t="s">
        <v>31</v>
      </c>
      <c r="S521" t="s">
        <v>31</v>
      </c>
      <c r="T521" t="s">
        <v>32</v>
      </c>
      <c r="V521" s="1" t="e">
        <v>#N/A</v>
      </c>
      <c r="W521" t="s">
        <v>3052</v>
      </c>
      <c r="X521">
        <v>0</v>
      </c>
      <c r="Y521">
        <v>1126</v>
      </c>
      <c r="AA521" t="str">
        <f t="shared" si="16"/>
        <v>update zamestnanci set nastup='101' where id='1740';</v>
      </c>
      <c r="AB521" t="str">
        <f t="shared" si="17"/>
        <v>update dochazka set zastavka = '101' where zamestnanec = '1740';</v>
      </c>
    </row>
    <row r="522" spans="1:28" x14ac:dyDescent="0.25">
      <c r="A522" s="2">
        <v>1804</v>
      </c>
      <c r="B522" t="s">
        <v>7618</v>
      </c>
      <c r="C522" t="s">
        <v>569</v>
      </c>
      <c r="D522" t="s">
        <v>7619</v>
      </c>
      <c r="E522" t="s">
        <v>2607</v>
      </c>
      <c r="F522" t="s">
        <v>569</v>
      </c>
      <c r="G522" s="1">
        <v>45896</v>
      </c>
      <c r="H522" s="1">
        <v>45944</v>
      </c>
      <c r="I522" s="1">
        <v>45896</v>
      </c>
      <c r="J522" s="2" t="s">
        <v>8531</v>
      </c>
      <c r="K522" t="s">
        <v>7620</v>
      </c>
      <c r="M522" s="16" t="s">
        <v>8532</v>
      </c>
      <c r="N522" s="16" t="str">
        <f>VLOOKUP(M522,Tab_Zast[[Zastávka]:[Sloupec1]],2,0)</f>
        <v>101</v>
      </c>
      <c r="O522" t="s">
        <v>7621</v>
      </c>
      <c r="P522">
        <v>6</v>
      </c>
      <c r="Q522">
        <v>0</v>
      </c>
      <c r="R522" t="s">
        <v>31</v>
      </c>
      <c r="S522" t="s">
        <v>31</v>
      </c>
      <c r="T522" t="s">
        <v>32</v>
      </c>
      <c r="V522" s="1" t="e">
        <v>#N/A</v>
      </c>
      <c r="W522" t="s">
        <v>1216</v>
      </c>
      <c r="X522">
        <v>0</v>
      </c>
      <c r="Y522">
        <v>1198</v>
      </c>
      <c r="AA522" t="str">
        <f t="shared" si="16"/>
        <v>update zamestnanci set nastup='101' where id='1804';</v>
      </c>
      <c r="AB522" t="str">
        <f t="shared" si="17"/>
        <v>update dochazka set zastavka = '101' where zamestnanec = '1804';</v>
      </c>
    </row>
    <row r="523" spans="1:28" x14ac:dyDescent="0.25">
      <c r="A523" s="2">
        <v>1825</v>
      </c>
      <c r="B523" t="s">
        <v>7694</v>
      </c>
      <c r="C523" t="s">
        <v>357</v>
      </c>
      <c r="D523" t="s">
        <v>7690</v>
      </c>
      <c r="E523" t="s">
        <v>574</v>
      </c>
      <c r="F523" t="s">
        <v>7695</v>
      </c>
      <c r="G523" s="1">
        <v>45904</v>
      </c>
      <c r="H523" s="1">
        <v>45929</v>
      </c>
      <c r="I523" s="1">
        <v>73050</v>
      </c>
      <c r="J523" s="2" t="s">
        <v>8531</v>
      </c>
      <c r="K523" t="s">
        <v>7696</v>
      </c>
      <c r="M523" s="16" t="s">
        <v>8532</v>
      </c>
      <c r="N523" s="16" t="str">
        <f>VLOOKUP(M523,Tab_Zast[[Zastávka]:[Sloupec1]],2,0)</f>
        <v>101</v>
      </c>
      <c r="O523" t="s">
        <v>7697</v>
      </c>
      <c r="P523">
        <v>6</v>
      </c>
      <c r="Q523">
        <v>0</v>
      </c>
      <c r="R523" t="s">
        <v>31</v>
      </c>
      <c r="S523" t="s">
        <v>31</v>
      </c>
      <c r="T523" t="s">
        <v>32</v>
      </c>
      <c r="V523" s="1" t="e">
        <v>#N/A</v>
      </c>
      <c r="W523" t="s">
        <v>3052</v>
      </c>
      <c r="X523">
        <v>0</v>
      </c>
      <c r="Y523">
        <v>1220</v>
      </c>
      <c r="AA523" t="str">
        <f t="shared" si="16"/>
        <v>update zamestnanci set nastup='101' where id='1825';</v>
      </c>
      <c r="AB523" t="str">
        <f t="shared" si="17"/>
        <v>update dochazka set zastavka = '101' where zamestnanec = '1825';</v>
      </c>
    </row>
    <row r="524" spans="1:28" x14ac:dyDescent="0.25">
      <c r="A524" s="2">
        <v>1956</v>
      </c>
      <c r="B524" t="s">
        <v>8220</v>
      </c>
      <c r="C524" t="s">
        <v>357</v>
      </c>
      <c r="D524" t="s">
        <v>8221</v>
      </c>
      <c r="E524" t="s">
        <v>3132</v>
      </c>
      <c r="F524" t="s">
        <v>8220</v>
      </c>
      <c r="G524" s="1">
        <v>46001</v>
      </c>
      <c r="H524" s="1">
        <v>46001</v>
      </c>
      <c r="I524" s="1">
        <v>46001</v>
      </c>
      <c r="J524" s="2" t="s">
        <v>8531</v>
      </c>
      <c r="K524" t="s">
        <v>8222</v>
      </c>
      <c r="M524" s="16" t="s">
        <v>8532</v>
      </c>
      <c r="N524" s="16" t="str">
        <f>VLOOKUP(M524,Tab_Zast[[Zastávka]:[Sloupec1]],2,0)</f>
        <v>101</v>
      </c>
      <c r="O524" t="s">
        <v>8223</v>
      </c>
      <c r="P524">
        <v>6</v>
      </c>
      <c r="Q524">
        <v>0</v>
      </c>
      <c r="R524" t="s">
        <v>31</v>
      </c>
      <c r="S524" t="s">
        <v>31</v>
      </c>
      <c r="T524" t="s">
        <v>32</v>
      </c>
      <c r="V524" s="1" t="e">
        <v>#N/A</v>
      </c>
      <c r="W524" t="s">
        <v>1216</v>
      </c>
      <c r="X524">
        <v>0</v>
      </c>
      <c r="Y524">
        <v>1380</v>
      </c>
      <c r="AA524" t="str">
        <f t="shared" si="16"/>
        <v>update zamestnanci set nastup='101' where id='1956';</v>
      </c>
      <c r="AB524" t="str">
        <f t="shared" si="17"/>
        <v>update dochazka set zastavka = '101' where zamestnanec = '1956';</v>
      </c>
    </row>
    <row r="525" spans="1:28" x14ac:dyDescent="0.25">
      <c r="A525" s="2">
        <v>783</v>
      </c>
      <c r="B525" t="s">
        <v>3503</v>
      </c>
      <c r="D525" t="s">
        <v>3504</v>
      </c>
      <c r="E525" t="s">
        <v>2705</v>
      </c>
      <c r="F525" t="s">
        <v>67</v>
      </c>
      <c r="G525" s="1">
        <v>45334</v>
      </c>
      <c r="H525" s="1">
        <v>45334</v>
      </c>
      <c r="I525" s="1">
        <v>45334</v>
      </c>
      <c r="J525" s="2" t="s">
        <v>8258</v>
      </c>
      <c r="K525" t="s">
        <v>3505</v>
      </c>
      <c r="M525" s="16" t="s">
        <v>8259</v>
      </c>
      <c r="N525" s="16" t="str">
        <f>VLOOKUP(M525,Tab_Zast[[Zastávka]:[Sloupec1]],2,0)</f>
        <v>03</v>
      </c>
      <c r="O525" t="s">
        <v>3506</v>
      </c>
      <c r="P525">
        <v>6</v>
      </c>
      <c r="Q525">
        <v>0</v>
      </c>
      <c r="R525" t="s">
        <v>31</v>
      </c>
      <c r="S525" t="s">
        <v>31</v>
      </c>
      <c r="T525" t="s">
        <v>32</v>
      </c>
      <c r="V525" s="1" t="e">
        <v>#N/A</v>
      </c>
      <c r="W525" t="s">
        <v>1216</v>
      </c>
      <c r="X525">
        <v>0</v>
      </c>
      <c r="Y525">
        <v>0</v>
      </c>
      <c r="Z525" t="s">
        <v>54</v>
      </c>
      <c r="AA525" t="str">
        <f t="shared" si="16"/>
        <v>update zamestnanci set nastup='03' where id='783';</v>
      </c>
      <c r="AB525" t="str">
        <f t="shared" si="17"/>
        <v>update dochazka set zastavka = '03' where zamestnanec = '783';</v>
      </c>
    </row>
    <row r="526" spans="1:28" x14ac:dyDescent="0.25">
      <c r="A526" s="2">
        <v>804</v>
      </c>
      <c r="B526" t="s">
        <v>3609</v>
      </c>
      <c r="D526" t="s">
        <v>3610</v>
      </c>
      <c r="E526" t="s">
        <v>3533</v>
      </c>
      <c r="F526" t="s">
        <v>67</v>
      </c>
      <c r="G526" s="1">
        <v>45341</v>
      </c>
      <c r="H526" s="1">
        <v>45341</v>
      </c>
      <c r="I526" s="1">
        <v>45341</v>
      </c>
      <c r="J526" s="2" t="s">
        <v>8258</v>
      </c>
      <c r="K526" t="s">
        <v>3611</v>
      </c>
      <c r="M526" s="16" t="s">
        <v>8259</v>
      </c>
      <c r="N526" s="16" t="str">
        <f>VLOOKUP(M526,Tab_Zast[[Zastávka]:[Sloupec1]],2,0)</f>
        <v>03</v>
      </c>
      <c r="O526" t="s">
        <v>3612</v>
      </c>
      <c r="P526">
        <v>6</v>
      </c>
      <c r="Q526">
        <v>0</v>
      </c>
      <c r="R526" t="s">
        <v>31</v>
      </c>
      <c r="S526" t="s">
        <v>31</v>
      </c>
      <c r="T526" t="s">
        <v>32</v>
      </c>
      <c r="V526" s="1" t="e">
        <v>#N/A</v>
      </c>
      <c r="W526" t="s">
        <v>1216</v>
      </c>
      <c r="X526">
        <v>0</v>
      </c>
      <c r="Y526">
        <v>0</v>
      </c>
      <c r="Z526" t="s">
        <v>54</v>
      </c>
      <c r="AA526" t="str">
        <f t="shared" si="16"/>
        <v>update zamestnanci set nastup='03' where id='804';</v>
      </c>
      <c r="AB526" t="str">
        <f t="shared" si="17"/>
        <v>update dochazka set zastavka = '03' where zamestnanec = '804';</v>
      </c>
    </row>
    <row r="527" spans="1:28" x14ac:dyDescent="0.25">
      <c r="A527" s="2">
        <v>807</v>
      </c>
      <c r="B527" t="s">
        <v>3623</v>
      </c>
      <c r="D527" t="s">
        <v>3624</v>
      </c>
      <c r="E527" t="s">
        <v>2391</v>
      </c>
      <c r="F527" t="s">
        <v>3625</v>
      </c>
      <c r="G527" s="1">
        <v>45342</v>
      </c>
      <c r="H527" s="1">
        <v>45366</v>
      </c>
      <c r="I527" s="1">
        <v>73050</v>
      </c>
      <c r="J527" s="2" t="s">
        <v>8258</v>
      </c>
      <c r="K527" t="s">
        <v>3626</v>
      </c>
      <c r="M527" s="16" t="s">
        <v>8259</v>
      </c>
      <c r="N527" s="16" t="str">
        <f>VLOOKUP(M527,Tab_Zast[[Zastávka]:[Sloupec1]],2,0)</f>
        <v>03</v>
      </c>
      <c r="O527" t="s">
        <v>3627</v>
      </c>
      <c r="P527">
        <v>6</v>
      </c>
      <c r="Q527">
        <v>0</v>
      </c>
      <c r="R527" t="s">
        <v>31</v>
      </c>
      <c r="S527" t="s">
        <v>31</v>
      </c>
      <c r="T527" t="s">
        <v>32</v>
      </c>
      <c r="V527" s="1" t="e">
        <v>#N/A</v>
      </c>
      <c r="W527" t="s">
        <v>1216</v>
      </c>
      <c r="X527">
        <v>0</v>
      </c>
      <c r="Y527">
        <v>0</v>
      </c>
      <c r="Z527" t="s">
        <v>54</v>
      </c>
      <c r="AA527" t="str">
        <f t="shared" si="16"/>
        <v>update zamestnanci set nastup='03' where id='807';</v>
      </c>
      <c r="AB527" t="str">
        <f t="shared" si="17"/>
        <v>update dochazka set zastavka = '03' where zamestnanec = '807';</v>
      </c>
    </row>
    <row r="528" spans="1:28" x14ac:dyDescent="0.25">
      <c r="A528" s="2">
        <v>812</v>
      </c>
      <c r="B528" t="s">
        <v>3646</v>
      </c>
      <c r="D528" t="s">
        <v>3647</v>
      </c>
      <c r="E528" t="s">
        <v>3152</v>
      </c>
      <c r="F528" t="s">
        <v>3648</v>
      </c>
      <c r="G528" s="1">
        <v>45343</v>
      </c>
      <c r="H528" s="1">
        <v>45344</v>
      </c>
      <c r="I528" s="1">
        <v>73050</v>
      </c>
      <c r="J528" s="2" t="s">
        <v>8258</v>
      </c>
      <c r="K528" t="s">
        <v>3649</v>
      </c>
      <c r="M528" s="16" t="s">
        <v>8259</v>
      </c>
      <c r="N528" s="16" t="str">
        <f>VLOOKUP(M528,Tab_Zast[[Zastávka]:[Sloupec1]],2,0)</f>
        <v>03</v>
      </c>
      <c r="O528" t="s">
        <v>3650</v>
      </c>
      <c r="P528">
        <v>6</v>
      </c>
      <c r="Q528">
        <v>0</v>
      </c>
      <c r="R528" t="s">
        <v>31</v>
      </c>
      <c r="S528" t="s">
        <v>31</v>
      </c>
      <c r="T528" t="s">
        <v>32</v>
      </c>
      <c r="V528" s="1" t="e">
        <v>#N/A</v>
      </c>
      <c r="W528" t="s">
        <v>1216</v>
      </c>
      <c r="X528">
        <v>0</v>
      </c>
      <c r="Y528">
        <v>0</v>
      </c>
      <c r="Z528" t="s">
        <v>54</v>
      </c>
      <c r="AA528" t="str">
        <f t="shared" si="16"/>
        <v>update zamestnanci set nastup='03' where id='812';</v>
      </c>
      <c r="AB528" t="str">
        <f t="shared" si="17"/>
        <v>update dochazka set zastavka = '03' where zamestnanec = '812';</v>
      </c>
    </row>
    <row r="529" spans="1:28" x14ac:dyDescent="0.25">
      <c r="A529" s="2">
        <v>833</v>
      </c>
      <c r="B529" t="s">
        <v>3753</v>
      </c>
      <c r="D529" t="s">
        <v>3754</v>
      </c>
      <c r="E529" t="s">
        <v>2120</v>
      </c>
      <c r="F529" t="s">
        <v>67</v>
      </c>
      <c r="G529" s="1">
        <v>45355</v>
      </c>
      <c r="H529" s="1">
        <v>45355</v>
      </c>
      <c r="I529" s="1">
        <v>73050</v>
      </c>
      <c r="J529" s="2" t="s">
        <v>8258</v>
      </c>
      <c r="K529" t="s">
        <v>3755</v>
      </c>
      <c r="M529" s="16" t="s">
        <v>8259</v>
      </c>
      <c r="N529" s="16" t="str">
        <f>VLOOKUP(M529,Tab_Zast[[Zastávka]:[Sloupec1]],2,0)</f>
        <v>03</v>
      </c>
      <c r="O529" t="s">
        <v>2873</v>
      </c>
      <c r="P529">
        <v>6</v>
      </c>
      <c r="Q529">
        <v>0</v>
      </c>
      <c r="R529" t="s">
        <v>31</v>
      </c>
      <c r="S529" t="s">
        <v>31</v>
      </c>
      <c r="T529" t="s">
        <v>32</v>
      </c>
      <c r="V529" s="1" t="e">
        <v>#N/A</v>
      </c>
      <c r="W529" t="s">
        <v>1216</v>
      </c>
      <c r="X529">
        <v>0</v>
      </c>
      <c r="Y529">
        <v>0</v>
      </c>
      <c r="Z529" t="s">
        <v>54</v>
      </c>
      <c r="AA529" t="str">
        <f t="shared" si="16"/>
        <v>update zamestnanci set nastup='03' where id='833';</v>
      </c>
      <c r="AB529" t="str">
        <f t="shared" si="17"/>
        <v>update dochazka set zastavka = '03' where zamestnanec = '833';</v>
      </c>
    </row>
    <row r="530" spans="1:28" x14ac:dyDescent="0.25">
      <c r="A530" s="2">
        <v>866</v>
      </c>
      <c r="B530" t="s">
        <v>3906</v>
      </c>
      <c r="D530" t="s">
        <v>3907</v>
      </c>
      <c r="E530" t="s">
        <v>3048</v>
      </c>
      <c r="F530" t="s">
        <v>3274</v>
      </c>
      <c r="G530" s="1">
        <v>45376</v>
      </c>
      <c r="H530" s="1">
        <v>45404</v>
      </c>
      <c r="I530" s="1">
        <v>73050</v>
      </c>
      <c r="J530" s="2" t="s">
        <v>8258</v>
      </c>
      <c r="K530" t="s">
        <v>3908</v>
      </c>
      <c r="M530" s="16" t="s">
        <v>8259</v>
      </c>
      <c r="N530" s="16" t="str">
        <f>VLOOKUP(M530,Tab_Zast[[Zastávka]:[Sloupec1]],2,0)</f>
        <v>03</v>
      </c>
      <c r="O530" t="s">
        <v>3909</v>
      </c>
      <c r="P530">
        <v>6</v>
      </c>
      <c r="Q530">
        <v>0</v>
      </c>
      <c r="R530" t="s">
        <v>31</v>
      </c>
      <c r="S530" t="s">
        <v>31</v>
      </c>
      <c r="T530" t="s">
        <v>32</v>
      </c>
      <c r="V530" s="1" t="e">
        <v>#N/A</v>
      </c>
      <c r="W530" t="s">
        <v>1216</v>
      </c>
      <c r="X530">
        <v>0</v>
      </c>
      <c r="Y530">
        <v>203</v>
      </c>
      <c r="Z530" t="s">
        <v>54</v>
      </c>
      <c r="AA530" t="str">
        <f t="shared" si="16"/>
        <v>update zamestnanci set nastup='03' where id='866';</v>
      </c>
      <c r="AB530" t="str">
        <f t="shared" si="17"/>
        <v>update dochazka set zastavka = '03' where zamestnanec = '866';</v>
      </c>
    </row>
    <row r="531" spans="1:28" x14ac:dyDescent="0.25">
      <c r="A531" s="2">
        <v>878</v>
      </c>
      <c r="B531" t="s">
        <v>3966</v>
      </c>
      <c r="D531" t="s">
        <v>3967</v>
      </c>
      <c r="E531" t="s">
        <v>86</v>
      </c>
      <c r="F531" t="s">
        <v>67</v>
      </c>
      <c r="G531" s="1">
        <v>45385</v>
      </c>
      <c r="H531" s="1">
        <v>45386</v>
      </c>
      <c r="I531" s="1">
        <v>45385</v>
      </c>
      <c r="J531" s="2" t="s">
        <v>8258</v>
      </c>
      <c r="K531" t="s">
        <v>3968</v>
      </c>
      <c r="M531" s="16" t="s">
        <v>8259</v>
      </c>
      <c r="N531" s="16" t="str">
        <f>VLOOKUP(M531,Tab_Zast[[Zastávka]:[Sloupec1]],2,0)</f>
        <v>03</v>
      </c>
      <c r="O531" t="s">
        <v>3969</v>
      </c>
      <c r="P531">
        <v>6</v>
      </c>
      <c r="Q531">
        <v>0</v>
      </c>
      <c r="R531" t="s">
        <v>31</v>
      </c>
      <c r="S531" t="s">
        <v>31</v>
      </c>
      <c r="T531" t="s">
        <v>32</v>
      </c>
      <c r="V531" s="1" t="e">
        <v>#N/A</v>
      </c>
      <c r="W531" t="s">
        <v>1216</v>
      </c>
      <c r="X531">
        <v>0</v>
      </c>
      <c r="Y531">
        <v>232</v>
      </c>
      <c r="Z531" t="s">
        <v>54</v>
      </c>
      <c r="AA531" t="str">
        <f t="shared" si="16"/>
        <v>update zamestnanci set nastup='03' where id='878';</v>
      </c>
      <c r="AB531" t="str">
        <f t="shared" si="17"/>
        <v>update dochazka set zastavka = '03' where zamestnanec = '878';</v>
      </c>
    </row>
    <row r="532" spans="1:28" x14ac:dyDescent="0.25">
      <c r="A532" s="2">
        <v>897</v>
      </c>
      <c r="B532" t="s">
        <v>4055</v>
      </c>
      <c r="D532" t="s">
        <v>4056</v>
      </c>
      <c r="E532" t="s">
        <v>701</v>
      </c>
      <c r="F532" t="s">
        <v>67</v>
      </c>
      <c r="G532" s="1">
        <v>45392</v>
      </c>
      <c r="H532" s="1">
        <v>45392</v>
      </c>
      <c r="I532" s="1">
        <v>45392</v>
      </c>
      <c r="J532" s="2" t="s">
        <v>8258</v>
      </c>
      <c r="K532" t="s">
        <v>4057</v>
      </c>
      <c r="M532" s="16" t="s">
        <v>8259</v>
      </c>
      <c r="N532" s="16" t="str">
        <f>VLOOKUP(M532,Tab_Zast[[Zastávka]:[Sloupec1]],2,0)</f>
        <v>03</v>
      </c>
      <c r="O532" t="s">
        <v>4058</v>
      </c>
      <c r="P532">
        <v>6</v>
      </c>
      <c r="Q532">
        <v>0</v>
      </c>
      <c r="R532" t="s">
        <v>31</v>
      </c>
      <c r="S532" t="s">
        <v>31</v>
      </c>
      <c r="T532" t="s">
        <v>32</v>
      </c>
      <c r="V532" s="1" t="e">
        <v>#N/A</v>
      </c>
      <c r="W532" t="s">
        <v>1216</v>
      </c>
      <c r="X532">
        <v>0</v>
      </c>
      <c r="Y532">
        <v>253</v>
      </c>
      <c r="Z532" t="s">
        <v>54</v>
      </c>
      <c r="AA532" t="str">
        <f t="shared" si="16"/>
        <v>update zamestnanci set nastup='03' where id='897';</v>
      </c>
      <c r="AB532" t="str">
        <f t="shared" si="17"/>
        <v>update dochazka set zastavka = '03' where zamestnanec = '897';</v>
      </c>
    </row>
    <row r="533" spans="1:28" x14ac:dyDescent="0.25">
      <c r="A533" s="2">
        <v>923</v>
      </c>
      <c r="B533" t="s">
        <v>4179</v>
      </c>
      <c r="D533" t="s">
        <v>4180</v>
      </c>
      <c r="E533" t="s">
        <v>4181</v>
      </c>
      <c r="F533" t="s">
        <v>67</v>
      </c>
      <c r="G533" s="1">
        <v>45406</v>
      </c>
      <c r="H533" s="1">
        <v>45406</v>
      </c>
      <c r="I533" s="1">
        <v>73050</v>
      </c>
      <c r="J533" s="2" t="s">
        <v>8258</v>
      </c>
      <c r="K533" t="s">
        <v>4182</v>
      </c>
      <c r="M533" s="16" t="s">
        <v>8259</v>
      </c>
      <c r="N533" s="16" t="str">
        <f>VLOOKUP(M533,Tab_Zast[[Zastávka]:[Sloupec1]],2,0)</f>
        <v>03</v>
      </c>
      <c r="O533" t="s">
        <v>4183</v>
      </c>
      <c r="P533">
        <v>6</v>
      </c>
      <c r="Q533">
        <v>0</v>
      </c>
      <c r="R533" t="s">
        <v>31</v>
      </c>
      <c r="S533" t="s">
        <v>31</v>
      </c>
      <c r="T533" t="s">
        <v>32</v>
      </c>
      <c r="V533" s="1" t="e">
        <v>#N/A</v>
      </c>
      <c r="W533" t="s">
        <v>1216</v>
      </c>
      <c r="X533">
        <v>0</v>
      </c>
      <c r="Y533">
        <v>292</v>
      </c>
      <c r="AA533" t="str">
        <f t="shared" si="16"/>
        <v>update zamestnanci set nastup='03' where id='923';</v>
      </c>
      <c r="AB533" t="str">
        <f t="shared" si="17"/>
        <v>update dochazka set zastavka = '03' where zamestnanec = '923';</v>
      </c>
    </row>
    <row r="534" spans="1:28" x14ac:dyDescent="0.25">
      <c r="A534" s="2">
        <v>949</v>
      </c>
      <c r="B534" t="s">
        <v>4287</v>
      </c>
      <c r="C534" t="s">
        <v>4288</v>
      </c>
      <c r="D534" t="s">
        <v>4289</v>
      </c>
      <c r="E534" t="s">
        <v>1947</v>
      </c>
      <c r="F534" t="s">
        <v>4290</v>
      </c>
      <c r="G534" s="1">
        <v>45436</v>
      </c>
      <c r="H534" s="1">
        <v>45443</v>
      </c>
      <c r="I534" s="1">
        <v>73050</v>
      </c>
      <c r="J534" s="2" t="s">
        <v>8258</v>
      </c>
      <c r="K534" t="s">
        <v>4291</v>
      </c>
      <c r="M534" s="16" t="s">
        <v>8259</v>
      </c>
      <c r="N534" s="16" t="str">
        <f>VLOOKUP(M534,Tab_Zast[[Zastávka]:[Sloupec1]],2,0)</f>
        <v>03</v>
      </c>
      <c r="O534" t="s">
        <v>4292</v>
      </c>
      <c r="P534">
        <v>6</v>
      </c>
      <c r="Q534">
        <v>0</v>
      </c>
      <c r="R534" t="s">
        <v>31</v>
      </c>
      <c r="S534" t="s">
        <v>31</v>
      </c>
      <c r="T534" t="s">
        <v>32</v>
      </c>
      <c r="V534" s="1" t="e">
        <v>#N/A</v>
      </c>
      <c r="W534" t="s">
        <v>1216</v>
      </c>
      <c r="X534">
        <v>0</v>
      </c>
      <c r="Y534">
        <v>336</v>
      </c>
      <c r="AA534" t="str">
        <f t="shared" si="16"/>
        <v>update zamestnanci set nastup='03' where id='949';</v>
      </c>
      <c r="AB534" t="str">
        <f t="shared" si="17"/>
        <v>update dochazka set zastavka = '03' where zamestnanec = '949';</v>
      </c>
    </row>
    <row r="535" spans="1:28" x14ac:dyDescent="0.25">
      <c r="A535" s="2">
        <v>976</v>
      </c>
      <c r="B535" t="s">
        <v>1394</v>
      </c>
      <c r="C535" t="s">
        <v>4413</v>
      </c>
      <c r="D535" t="s">
        <v>3907</v>
      </c>
      <c r="E535" t="s">
        <v>725</v>
      </c>
      <c r="F535" t="s">
        <v>4414</v>
      </c>
      <c r="G535" s="1">
        <v>45446</v>
      </c>
      <c r="H535" s="1">
        <v>45455</v>
      </c>
      <c r="I535" s="1">
        <v>73050</v>
      </c>
      <c r="J535" s="2" t="s">
        <v>8258</v>
      </c>
      <c r="K535" t="s">
        <v>4415</v>
      </c>
      <c r="M535" s="16" t="s">
        <v>8259</v>
      </c>
      <c r="N535" s="16" t="str">
        <f>VLOOKUP(M535,Tab_Zast[[Zastávka]:[Sloupec1]],2,0)</f>
        <v>03</v>
      </c>
      <c r="O535" t="s">
        <v>4416</v>
      </c>
      <c r="P535">
        <v>6</v>
      </c>
      <c r="Q535">
        <v>0</v>
      </c>
      <c r="R535" t="s">
        <v>130</v>
      </c>
      <c r="S535" t="s">
        <v>31</v>
      </c>
      <c r="T535" t="s">
        <v>32</v>
      </c>
      <c r="V535" s="1" t="e">
        <v>#N/A</v>
      </c>
      <c r="W535" t="s">
        <v>1216</v>
      </c>
      <c r="X535">
        <v>0</v>
      </c>
      <c r="Y535">
        <v>348</v>
      </c>
      <c r="AA535" t="str">
        <f t="shared" si="16"/>
        <v>update zamestnanci set nastup='03' where id='976';</v>
      </c>
      <c r="AB535" t="str">
        <f t="shared" si="17"/>
        <v>update dochazka set zastavka = '03' where zamestnanec = '976';</v>
      </c>
    </row>
    <row r="536" spans="1:28" x14ac:dyDescent="0.25">
      <c r="A536" s="2">
        <v>1045</v>
      </c>
      <c r="B536" t="s">
        <v>4703</v>
      </c>
      <c r="C536" t="s">
        <v>64</v>
      </c>
      <c r="D536" t="s">
        <v>4704</v>
      </c>
      <c r="E536" t="s">
        <v>3204</v>
      </c>
      <c r="F536" t="s">
        <v>4705</v>
      </c>
      <c r="G536" s="1">
        <v>45572</v>
      </c>
      <c r="H536" s="1">
        <v>45576</v>
      </c>
      <c r="I536" s="1">
        <v>73050</v>
      </c>
      <c r="J536" s="2" t="s">
        <v>8258</v>
      </c>
      <c r="K536" t="s">
        <v>4706</v>
      </c>
      <c r="M536" s="16" t="s">
        <v>8259</v>
      </c>
      <c r="N536" s="16" t="str">
        <f>VLOOKUP(M536,Tab_Zast[[Zastávka]:[Sloupec1]],2,0)</f>
        <v>03</v>
      </c>
      <c r="O536" t="s">
        <v>4707</v>
      </c>
      <c r="P536">
        <v>6</v>
      </c>
      <c r="Q536">
        <v>0</v>
      </c>
      <c r="R536" t="s">
        <v>31</v>
      </c>
      <c r="S536" t="s">
        <v>31</v>
      </c>
      <c r="T536" t="s">
        <v>32</v>
      </c>
      <c r="V536" s="1" t="e">
        <v>#N/A</v>
      </c>
      <c r="W536" t="s">
        <v>1216</v>
      </c>
      <c r="X536">
        <v>0</v>
      </c>
      <c r="Y536">
        <v>433</v>
      </c>
      <c r="AA536" t="str">
        <f t="shared" si="16"/>
        <v>update zamestnanci set nastup='03' where id='1045';</v>
      </c>
      <c r="AB536" t="str">
        <f t="shared" si="17"/>
        <v>update dochazka set zastavka = '03' where zamestnanec = '1045';</v>
      </c>
    </row>
    <row r="537" spans="1:28" x14ac:dyDescent="0.25">
      <c r="A537" s="2">
        <v>1055</v>
      </c>
      <c r="B537" t="s">
        <v>4745</v>
      </c>
      <c r="C537" t="s">
        <v>4746</v>
      </c>
      <c r="D537" t="s">
        <v>4747</v>
      </c>
      <c r="E537" t="s">
        <v>923</v>
      </c>
      <c r="F537" t="s">
        <v>4748</v>
      </c>
      <c r="G537" s="1">
        <v>45477</v>
      </c>
      <c r="H537" s="1">
        <v>45485</v>
      </c>
      <c r="I537" s="1">
        <v>73050</v>
      </c>
      <c r="J537" s="2" t="s">
        <v>8258</v>
      </c>
      <c r="K537" t="s">
        <v>4749</v>
      </c>
      <c r="M537" s="16" t="s">
        <v>8259</v>
      </c>
      <c r="N537" s="16" t="str">
        <f>VLOOKUP(M537,Tab_Zast[[Zastávka]:[Sloupec1]],2,0)</f>
        <v>03</v>
      </c>
      <c r="O537" t="s">
        <v>4750</v>
      </c>
      <c r="P537">
        <v>6</v>
      </c>
      <c r="Q537">
        <v>0</v>
      </c>
      <c r="R537" t="s">
        <v>31</v>
      </c>
      <c r="S537" t="s">
        <v>31</v>
      </c>
      <c r="T537" t="s">
        <v>32</v>
      </c>
      <c r="V537" s="1" t="e">
        <v>#N/A</v>
      </c>
      <c r="W537" t="s">
        <v>1216</v>
      </c>
      <c r="X537">
        <v>0</v>
      </c>
      <c r="Y537">
        <v>439</v>
      </c>
      <c r="AA537" t="str">
        <f t="shared" si="16"/>
        <v>update zamestnanci set nastup='03' where id='1055';</v>
      </c>
      <c r="AB537" t="str">
        <f t="shared" si="17"/>
        <v>update dochazka set zastavka = '03' where zamestnanec = '1055';</v>
      </c>
    </row>
    <row r="538" spans="1:28" x14ac:dyDescent="0.25">
      <c r="A538" s="2">
        <v>1056</v>
      </c>
      <c r="B538" t="s">
        <v>4751</v>
      </c>
      <c r="C538" t="s">
        <v>4752</v>
      </c>
      <c r="D538" t="s">
        <v>4753</v>
      </c>
      <c r="E538" t="s">
        <v>677</v>
      </c>
      <c r="F538" t="s">
        <v>4754</v>
      </c>
      <c r="G538" s="1">
        <v>45477</v>
      </c>
      <c r="H538" s="1">
        <v>45477</v>
      </c>
      <c r="I538" s="1">
        <v>45481</v>
      </c>
      <c r="J538" s="2" t="s">
        <v>8258</v>
      </c>
      <c r="K538" t="s">
        <v>4755</v>
      </c>
      <c r="M538" s="16" t="s">
        <v>8259</v>
      </c>
      <c r="N538" s="16" t="str">
        <f>VLOOKUP(M538,Tab_Zast[[Zastávka]:[Sloupec1]],2,0)</f>
        <v>03</v>
      </c>
      <c r="O538" t="s">
        <v>4756</v>
      </c>
      <c r="P538">
        <v>6</v>
      </c>
      <c r="Q538">
        <v>0</v>
      </c>
      <c r="R538" t="s">
        <v>31</v>
      </c>
      <c r="S538" t="s">
        <v>31</v>
      </c>
      <c r="T538" t="s">
        <v>32</v>
      </c>
      <c r="V538" s="1" t="e">
        <v>#N/A</v>
      </c>
      <c r="W538" t="s">
        <v>1216</v>
      </c>
      <c r="X538">
        <v>0</v>
      </c>
      <c r="Y538">
        <v>440</v>
      </c>
      <c r="AA538" t="str">
        <f t="shared" si="16"/>
        <v>update zamestnanci set nastup='03' where id='1056';</v>
      </c>
      <c r="AB538" t="str">
        <f t="shared" si="17"/>
        <v>update dochazka set zastavka = '03' where zamestnanec = '1056';</v>
      </c>
    </row>
    <row r="539" spans="1:28" x14ac:dyDescent="0.25">
      <c r="A539" s="2">
        <v>1077</v>
      </c>
      <c r="B539" t="s">
        <v>4846</v>
      </c>
      <c r="C539" t="s">
        <v>1394</v>
      </c>
      <c r="D539" t="s">
        <v>4847</v>
      </c>
      <c r="E539" t="s">
        <v>617</v>
      </c>
      <c r="F539" t="s">
        <v>4848</v>
      </c>
      <c r="G539" s="1">
        <v>45482</v>
      </c>
      <c r="H539" s="1">
        <v>45492</v>
      </c>
      <c r="I539" s="1">
        <v>73050</v>
      </c>
      <c r="J539" s="2" t="s">
        <v>8258</v>
      </c>
      <c r="K539" t="s">
        <v>4849</v>
      </c>
      <c r="M539" s="16" t="s">
        <v>8259</v>
      </c>
      <c r="N539" s="16" t="str">
        <f>VLOOKUP(M539,Tab_Zast[[Zastávka]:[Sloupec1]],2,0)</f>
        <v>03</v>
      </c>
      <c r="O539" t="s">
        <v>4850</v>
      </c>
      <c r="P539">
        <v>6</v>
      </c>
      <c r="Q539">
        <v>0</v>
      </c>
      <c r="R539" t="s">
        <v>31</v>
      </c>
      <c r="S539" t="s">
        <v>31</v>
      </c>
      <c r="T539" t="s">
        <v>32</v>
      </c>
      <c r="V539" s="1" t="e">
        <v>#N/A</v>
      </c>
      <c r="W539" t="s">
        <v>1216</v>
      </c>
      <c r="X539">
        <v>0</v>
      </c>
      <c r="Y539">
        <v>464</v>
      </c>
      <c r="AA539" t="str">
        <f t="shared" si="16"/>
        <v>update zamestnanci set nastup='03' where id='1077';</v>
      </c>
      <c r="AB539" t="str">
        <f t="shared" si="17"/>
        <v>update dochazka set zastavka = '03' where zamestnanec = '1077';</v>
      </c>
    </row>
    <row r="540" spans="1:28" x14ac:dyDescent="0.25">
      <c r="A540" s="2">
        <v>1079</v>
      </c>
      <c r="B540" t="s">
        <v>4853</v>
      </c>
      <c r="C540" t="s">
        <v>1394</v>
      </c>
      <c r="D540" t="s">
        <v>4854</v>
      </c>
      <c r="E540" t="s">
        <v>2613</v>
      </c>
      <c r="F540" t="s">
        <v>67</v>
      </c>
      <c r="G540" s="1">
        <v>45482</v>
      </c>
      <c r="H540" s="1">
        <v>45482</v>
      </c>
      <c r="I540" s="1">
        <v>45482</v>
      </c>
      <c r="J540" s="2" t="s">
        <v>8258</v>
      </c>
      <c r="K540" t="s">
        <v>4855</v>
      </c>
      <c r="M540" s="16" t="s">
        <v>8259</v>
      </c>
      <c r="N540" s="16" t="str">
        <f>VLOOKUP(M540,Tab_Zast[[Zastávka]:[Sloupec1]],2,0)</f>
        <v>03</v>
      </c>
      <c r="O540" t="s">
        <v>4856</v>
      </c>
      <c r="P540">
        <v>6</v>
      </c>
      <c r="Q540">
        <v>0</v>
      </c>
      <c r="R540" t="s">
        <v>31</v>
      </c>
      <c r="S540" t="s">
        <v>31</v>
      </c>
      <c r="T540" t="s">
        <v>32</v>
      </c>
      <c r="V540" s="1" t="e">
        <v>#N/A</v>
      </c>
      <c r="W540" t="s">
        <v>1216</v>
      </c>
      <c r="X540">
        <v>0</v>
      </c>
      <c r="Y540">
        <v>466</v>
      </c>
      <c r="AA540" t="str">
        <f t="shared" si="16"/>
        <v>update zamestnanci set nastup='03' where id='1079';</v>
      </c>
      <c r="AB540" t="str">
        <f t="shared" si="17"/>
        <v>update dochazka set zastavka = '03' where zamestnanec = '1079';</v>
      </c>
    </row>
    <row r="541" spans="1:28" x14ac:dyDescent="0.25">
      <c r="A541" s="2">
        <v>1080</v>
      </c>
      <c r="B541" t="s">
        <v>4857</v>
      </c>
      <c r="C541" t="s">
        <v>1394</v>
      </c>
      <c r="D541" t="s">
        <v>4858</v>
      </c>
      <c r="E541" t="s">
        <v>617</v>
      </c>
      <c r="F541" t="s">
        <v>67</v>
      </c>
      <c r="G541" s="1">
        <v>45485</v>
      </c>
      <c r="H541" s="1">
        <v>45485</v>
      </c>
      <c r="I541" s="1">
        <v>73050</v>
      </c>
      <c r="J541" s="2" t="s">
        <v>8258</v>
      </c>
      <c r="K541" t="s">
        <v>4859</v>
      </c>
      <c r="M541" s="16" t="s">
        <v>8259</v>
      </c>
      <c r="N541" s="16" t="str">
        <f>VLOOKUP(M541,Tab_Zast[[Zastávka]:[Sloupec1]],2,0)</f>
        <v>03</v>
      </c>
      <c r="O541" t="s">
        <v>4860</v>
      </c>
      <c r="P541">
        <v>6</v>
      </c>
      <c r="Q541">
        <v>0</v>
      </c>
      <c r="R541" t="s">
        <v>31</v>
      </c>
      <c r="S541" t="s">
        <v>31</v>
      </c>
      <c r="T541" t="s">
        <v>32</v>
      </c>
      <c r="V541" s="1" t="e">
        <v>#N/A</v>
      </c>
      <c r="W541" t="s">
        <v>1216</v>
      </c>
      <c r="X541">
        <v>0</v>
      </c>
      <c r="Y541">
        <v>468</v>
      </c>
      <c r="AA541" t="str">
        <f t="shared" si="16"/>
        <v>update zamestnanci set nastup='03' where id='1080';</v>
      </c>
      <c r="AB541" t="str">
        <f t="shared" si="17"/>
        <v>update dochazka set zastavka = '03' where zamestnanec = '1080';</v>
      </c>
    </row>
    <row r="542" spans="1:28" x14ac:dyDescent="0.25">
      <c r="A542" s="2">
        <v>1081</v>
      </c>
      <c r="B542" t="s">
        <v>4861</v>
      </c>
      <c r="C542" t="s">
        <v>1394</v>
      </c>
      <c r="D542" t="s">
        <v>2233</v>
      </c>
      <c r="E542" t="s">
        <v>2285</v>
      </c>
      <c r="F542" t="s">
        <v>67</v>
      </c>
      <c r="G542" s="1">
        <v>45485</v>
      </c>
      <c r="H542" s="1">
        <v>45485</v>
      </c>
      <c r="I542" s="1">
        <v>73050</v>
      </c>
      <c r="J542" s="2" t="s">
        <v>8258</v>
      </c>
      <c r="K542" t="s">
        <v>4862</v>
      </c>
      <c r="M542" s="16" t="s">
        <v>8259</v>
      </c>
      <c r="N542" s="16" t="str">
        <f>VLOOKUP(M542,Tab_Zast[[Zastávka]:[Sloupec1]],2,0)</f>
        <v>03</v>
      </c>
      <c r="O542" t="s">
        <v>4860</v>
      </c>
      <c r="P542">
        <v>6</v>
      </c>
      <c r="Q542">
        <v>0</v>
      </c>
      <c r="R542" t="s">
        <v>31</v>
      </c>
      <c r="S542" t="s">
        <v>31</v>
      </c>
      <c r="T542" t="s">
        <v>32</v>
      </c>
      <c r="V542" s="1" t="e">
        <v>#N/A</v>
      </c>
      <c r="W542" t="s">
        <v>1216</v>
      </c>
      <c r="X542">
        <v>0</v>
      </c>
      <c r="Y542">
        <v>469</v>
      </c>
      <c r="AA542" t="str">
        <f t="shared" si="16"/>
        <v>update zamestnanci set nastup='03' where id='1081';</v>
      </c>
      <c r="AB542" t="str">
        <f t="shared" si="17"/>
        <v>update dochazka set zastavka = '03' where zamestnanec = '1081';</v>
      </c>
    </row>
    <row r="543" spans="1:28" x14ac:dyDescent="0.25">
      <c r="A543" s="2">
        <v>1127</v>
      </c>
      <c r="B543" t="s">
        <v>5044</v>
      </c>
      <c r="C543" t="s">
        <v>1394</v>
      </c>
      <c r="D543" t="s">
        <v>4921</v>
      </c>
      <c r="E543" t="s">
        <v>2391</v>
      </c>
      <c r="F543" t="s">
        <v>5045</v>
      </c>
      <c r="G543" s="1">
        <v>45516</v>
      </c>
      <c r="H543" s="1">
        <v>45531</v>
      </c>
      <c r="I543" s="1">
        <v>73050</v>
      </c>
      <c r="J543" s="2" t="s">
        <v>8258</v>
      </c>
      <c r="K543" t="s">
        <v>5046</v>
      </c>
      <c r="M543" s="16" t="s">
        <v>8259</v>
      </c>
      <c r="N543" s="16" t="str">
        <f>VLOOKUP(M543,Tab_Zast[[Zastávka]:[Sloupec1]],2,0)</f>
        <v>03</v>
      </c>
      <c r="O543" t="s">
        <v>5047</v>
      </c>
      <c r="P543">
        <v>6</v>
      </c>
      <c r="Q543">
        <v>0</v>
      </c>
      <c r="R543" t="s">
        <v>31</v>
      </c>
      <c r="S543" t="s">
        <v>31</v>
      </c>
      <c r="T543" t="s">
        <v>32</v>
      </c>
      <c r="V543" s="1" t="e">
        <v>#N/A</v>
      </c>
      <c r="W543" t="s">
        <v>1216</v>
      </c>
      <c r="X543">
        <v>0</v>
      </c>
      <c r="Y543">
        <v>516</v>
      </c>
      <c r="AA543" t="str">
        <f t="shared" si="16"/>
        <v>update zamestnanci set nastup='03' where id='1127';</v>
      </c>
      <c r="AB543" t="str">
        <f t="shared" si="17"/>
        <v>update dochazka set zastavka = '03' where zamestnanec = '1127';</v>
      </c>
    </row>
    <row r="544" spans="1:28" x14ac:dyDescent="0.25">
      <c r="A544" s="2">
        <v>1128</v>
      </c>
      <c r="B544" t="s">
        <v>5048</v>
      </c>
      <c r="C544" t="s">
        <v>1394</v>
      </c>
      <c r="D544" t="s">
        <v>2194</v>
      </c>
      <c r="E544" t="s">
        <v>5049</v>
      </c>
      <c r="F544" t="s">
        <v>5050</v>
      </c>
      <c r="G544" s="1">
        <v>45516</v>
      </c>
      <c r="H544" s="1">
        <v>45535</v>
      </c>
      <c r="I544" s="1">
        <v>73050</v>
      </c>
      <c r="J544" s="2" t="s">
        <v>8258</v>
      </c>
      <c r="K544" t="s">
        <v>5051</v>
      </c>
      <c r="M544" s="16" t="s">
        <v>8259</v>
      </c>
      <c r="N544" s="16" t="str">
        <f>VLOOKUP(M544,Tab_Zast[[Zastávka]:[Sloupec1]],2,0)</f>
        <v>03</v>
      </c>
      <c r="O544" t="s">
        <v>5052</v>
      </c>
      <c r="P544">
        <v>6</v>
      </c>
      <c r="Q544">
        <v>0</v>
      </c>
      <c r="R544" t="s">
        <v>31</v>
      </c>
      <c r="S544" t="s">
        <v>31</v>
      </c>
      <c r="T544" t="s">
        <v>32</v>
      </c>
      <c r="V544" s="1">
        <v>45524</v>
      </c>
      <c r="W544" t="s">
        <v>1216</v>
      </c>
      <c r="X544">
        <v>0</v>
      </c>
      <c r="Y544">
        <v>517</v>
      </c>
      <c r="AA544" t="str">
        <f t="shared" si="16"/>
        <v>update zamestnanci set nastup='03' where id='1128';</v>
      </c>
      <c r="AB544" t="str">
        <f t="shared" si="17"/>
        <v>update dochazka set zastavka = '03' where zamestnanec = '1128';</v>
      </c>
    </row>
    <row r="545" spans="1:28" x14ac:dyDescent="0.25">
      <c r="A545" s="2">
        <v>1524</v>
      </c>
      <c r="B545" t="s">
        <v>6598</v>
      </c>
      <c r="C545" t="s">
        <v>64</v>
      </c>
      <c r="D545" t="s">
        <v>5670</v>
      </c>
      <c r="E545" t="s">
        <v>2973</v>
      </c>
      <c r="F545" t="s">
        <v>569</v>
      </c>
      <c r="G545" s="1">
        <v>45728</v>
      </c>
      <c r="H545" s="1">
        <v>45845</v>
      </c>
      <c r="I545" s="1">
        <v>73050</v>
      </c>
      <c r="J545" s="2" t="s">
        <v>8258</v>
      </c>
      <c r="K545" t="s">
        <v>5667</v>
      </c>
      <c r="M545" s="16" t="s">
        <v>8259</v>
      </c>
      <c r="N545" s="16" t="str">
        <f>VLOOKUP(M545,Tab_Zast[[Zastávka]:[Sloupec1]],2,0)</f>
        <v>03</v>
      </c>
      <c r="O545" t="s">
        <v>5672</v>
      </c>
      <c r="P545">
        <v>6</v>
      </c>
      <c r="Q545">
        <v>0</v>
      </c>
      <c r="R545" t="s">
        <v>31</v>
      </c>
      <c r="S545" t="s">
        <v>31</v>
      </c>
      <c r="T545" t="s">
        <v>32</v>
      </c>
      <c r="V545" s="1" t="e">
        <v>#N/A</v>
      </c>
      <c r="W545" t="s">
        <v>3052</v>
      </c>
      <c r="X545">
        <v>0</v>
      </c>
      <c r="Y545">
        <v>915</v>
      </c>
      <c r="AA545" t="str">
        <f t="shared" si="16"/>
        <v>update zamestnanci set nastup='03' where id='1524';</v>
      </c>
      <c r="AB545" t="str">
        <f t="shared" si="17"/>
        <v>update dochazka set zastavka = '03' where zamestnanec = '1524';</v>
      </c>
    </row>
    <row r="546" spans="1:28" x14ac:dyDescent="0.25">
      <c r="A546" s="2">
        <v>1595</v>
      </c>
      <c r="B546" t="s">
        <v>6856</v>
      </c>
      <c r="C546" t="s">
        <v>64</v>
      </c>
      <c r="D546" t="s">
        <v>6857</v>
      </c>
      <c r="E546" t="s">
        <v>1947</v>
      </c>
      <c r="F546" t="s">
        <v>64</v>
      </c>
      <c r="G546" s="1">
        <v>45769</v>
      </c>
      <c r="H546" s="1">
        <v>45769</v>
      </c>
      <c r="I546" s="1">
        <v>45769</v>
      </c>
      <c r="J546" s="2" t="s">
        <v>8258</v>
      </c>
      <c r="K546" t="s">
        <v>6858</v>
      </c>
      <c r="M546" s="16" t="s">
        <v>8259</v>
      </c>
      <c r="N546" s="16" t="str">
        <f>VLOOKUP(M546,Tab_Zast[[Zastávka]:[Sloupec1]],2,0)</f>
        <v>03</v>
      </c>
      <c r="O546" t="s">
        <v>6859</v>
      </c>
      <c r="P546">
        <v>6</v>
      </c>
      <c r="Q546">
        <v>0</v>
      </c>
      <c r="R546" t="s">
        <v>31</v>
      </c>
      <c r="S546" t="s">
        <v>31</v>
      </c>
      <c r="T546" t="s">
        <v>32</v>
      </c>
      <c r="V546" s="1" t="e">
        <v>#N/A</v>
      </c>
      <c r="X546">
        <v>0</v>
      </c>
      <c r="Y546">
        <v>990</v>
      </c>
      <c r="AA546" t="str">
        <f t="shared" si="16"/>
        <v>update zamestnanci set nastup='03' where id='1595';</v>
      </c>
      <c r="AB546" t="str">
        <f t="shared" si="17"/>
        <v>update dochazka set zastavka = '03' where zamestnanec = '1595';</v>
      </c>
    </row>
    <row r="547" spans="1:28" x14ac:dyDescent="0.25">
      <c r="A547" s="2">
        <v>1665</v>
      </c>
      <c r="B547" t="s">
        <v>7111</v>
      </c>
      <c r="C547" t="s">
        <v>64</v>
      </c>
      <c r="D547" t="s">
        <v>2765</v>
      </c>
      <c r="E547" t="s">
        <v>2641</v>
      </c>
      <c r="F547" t="s">
        <v>64</v>
      </c>
      <c r="G547" s="1">
        <v>45807</v>
      </c>
      <c r="H547" s="1">
        <v>45832</v>
      </c>
      <c r="I547" s="1">
        <v>45807</v>
      </c>
      <c r="J547" s="2" t="s">
        <v>8258</v>
      </c>
      <c r="K547" t="s">
        <v>7112</v>
      </c>
      <c r="M547" s="16" t="s">
        <v>8259</v>
      </c>
      <c r="N547" s="16" t="str">
        <f>VLOOKUP(M547,Tab_Zast[[Zastávka]:[Sloupec1]],2,0)</f>
        <v>03</v>
      </c>
      <c r="O547" t="s">
        <v>7113</v>
      </c>
      <c r="P547">
        <v>6</v>
      </c>
      <c r="Q547">
        <v>0</v>
      </c>
      <c r="R547" t="s">
        <v>130</v>
      </c>
      <c r="S547" t="s">
        <v>31</v>
      </c>
      <c r="T547" t="s">
        <v>32</v>
      </c>
      <c r="V547" s="1" t="e">
        <v>#N/A</v>
      </c>
      <c r="X547">
        <v>0</v>
      </c>
      <c r="Y547">
        <v>1058</v>
      </c>
      <c r="AA547" t="str">
        <f t="shared" si="16"/>
        <v>update zamestnanci set nastup='03' where id='1665';</v>
      </c>
      <c r="AB547" t="str">
        <f t="shared" si="17"/>
        <v>update dochazka set zastavka = '03' where zamestnanec = '1665';</v>
      </c>
    </row>
    <row r="548" spans="1:28" x14ac:dyDescent="0.25">
      <c r="A548" s="2">
        <v>1672</v>
      </c>
      <c r="B548" t="s">
        <v>7133</v>
      </c>
      <c r="C548" t="s">
        <v>64</v>
      </c>
      <c r="D548" t="s">
        <v>2657</v>
      </c>
      <c r="E548" t="s">
        <v>3204</v>
      </c>
      <c r="F548" t="s">
        <v>7134</v>
      </c>
      <c r="G548" s="1">
        <v>45814</v>
      </c>
      <c r="H548" s="1">
        <v>45826</v>
      </c>
      <c r="I548" s="1">
        <v>73050</v>
      </c>
      <c r="J548" s="2" t="s">
        <v>8258</v>
      </c>
      <c r="K548" t="s">
        <v>6624</v>
      </c>
      <c r="M548" s="16" t="s">
        <v>8259</v>
      </c>
      <c r="N548" s="16" t="str">
        <f>VLOOKUP(M548,Tab_Zast[[Zastávka]:[Sloupec1]],2,0)</f>
        <v>03</v>
      </c>
      <c r="O548" t="s">
        <v>6625</v>
      </c>
      <c r="P548">
        <v>6</v>
      </c>
      <c r="Q548">
        <v>0</v>
      </c>
      <c r="R548" t="s">
        <v>31</v>
      </c>
      <c r="S548" t="s">
        <v>31</v>
      </c>
      <c r="T548" t="s">
        <v>32</v>
      </c>
      <c r="V548" s="1">
        <v>45826</v>
      </c>
      <c r="W548" t="s">
        <v>1216</v>
      </c>
      <c r="X548">
        <v>0</v>
      </c>
      <c r="Y548">
        <v>1064</v>
      </c>
      <c r="AA548" t="str">
        <f t="shared" si="16"/>
        <v>update zamestnanci set nastup='03' where id='1672';</v>
      </c>
      <c r="AB548" t="str">
        <f t="shared" si="17"/>
        <v>update dochazka set zastavka = '03' where zamestnanec = '1672';</v>
      </c>
    </row>
    <row r="549" spans="1:28" x14ac:dyDescent="0.25">
      <c r="A549" s="2">
        <v>1673</v>
      </c>
      <c r="B549" t="s">
        <v>7135</v>
      </c>
      <c r="C549" t="s">
        <v>64</v>
      </c>
      <c r="D549" t="s">
        <v>7136</v>
      </c>
      <c r="E549" t="s">
        <v>1007</v>
      </c>
      <c r="F549" t="s">
        <v>5366</v>
      </c>
      <c r="G549" s="1">
        <v>45814</v>
      </c>
      <c r="H549" s="1">
        <v>45826</v>
      </c>
      <c r="I549" s="1">
        <v>73050</v>
      </c>
      <c r="J549" s="2" t="s">
        <v>8258</v>
      </c>
      <c r="K549" t="s">
        <v>7137</v>
      </c>
      <c r="M549" s="16" t="s">
        <v>8259</v>
      </c>
      <c r="N549" s="16" t="str">
        <f>VLOOKUP(M549,Tab_Zast[[Zastávka]:[Sloupec1]],2,0)</f>
        <v>03</v>
      </c>
      <c r="O549" t="s">
        <v>6625</v>
      </c>
      <c r="P549">
        <v>6</v>
      </c>
      <c r="Q549">
        <v>0</v>
      </c>
      <c r="R549" t="s">
        <v>31</v>
      </c>
      <c r="S549" t="s">
        <v>31</v>
      </c>
      <c r="T549" t="s">
        <v>32</v>
      </c>
      <c r="V549" s="1">
        <v>45826</v>
      </c>
      <c r="W549" t="s">
        <v>1216</v>
      </c>
      <c r="X549">
        <v>0</v>
      </c>
      <c r="Y549">
        <v>1065</v>
      </c>
      <c r="AA549" t="str">
        <f t="shared" si="16"/>
        <v>update zamestnanci set nastup='03' where id='1673';</v>
      </c>
      <c r="AB549" t="str">
        <f t="shared" si="17"/>
        <v>update dochazka set zastavka = '03' where zamestnanec = '1673';</v>
      </c>
    </row>
    <row r="550" spans="1:28" x14ac:dyDescent="0.25">
      <c r="A550" s="2">
        <v>1701</v>
      </c>
      <c r="B550" t="s">
        <v>7222</v>
      </c>
      <c r="C550" t="s">
        <v>64</v>
      </c>
      <c r="D550" t="s">
        <v>1852</v>
      </c>
      <c r="E550" t="s">
        <v>2628</v>
      </c>
      <c r="F550" t="s">
        <v>3787</v>
      </c>
      <c r="G550" s="1">
        <v>45832</v>
      </c>
      <c r="H550" s="1">
        <v>45351</v>
      </c>
      <c r="I550" s="1">
        <v>45832</v>
      </c>
      <c r="J550" s="2" t="s">
        <v>8258</v>
      </c>
      <c r="K550" t="s">
        <v>7223</v>
      </c>
      <c r="M550" s="16" t="s">
        <v>8259</v>
      </c>
      <c r="N550" s="16" t="str">
        <f>VLOOKUP(M550,Tab_Zast[[Zastávka]:[Sloupec1]],2,0)</f>
        <v>03</v>
      </c>
      <c r="O550" t="s">
        <v>7224</v>
      </c>
      <c r="P550">
        <v>6</v>
      </c>
      <c r="Q550">
        <v>0</v>
      </c>
      <c r="R550" t="s">
        <v>31</v>
      </c>
      <c r="S550" t="s">
        <v>31</v>
      </c>
      <c r="T550" t="s">
        <v>32</v>
      </c>
      <c r="V550" s="1" t="e">
        <v>#N/A</v>
      </c>
      <c r="W550" t="s">
        <v>3052</v>
      </c>
      <c r="X550">
        <v>0</v>
      </c>
      <c r="Y550">
        <v>1089</v>
      </c>
      <c r="AA550" t="str">
        <f t="shared" si="16"/>
        <v>update zamestnanci set nastup='03' where id='1701';</v>
      </c>
      <c r="AB550" t="str">
        <f t="shared" si="17"/>
        <v>update dochazka set zastavka = '03' where zamestnanec = '1701';</v>
      </c>
    </row>
    <row r="551" spans="1:28" x14ac:dyDescent="0.25">
      <c r="A551" s="2">
        <v>1714</v>
      </c>
      <c r="B551" t="s">
        <v>7270</v>
      </c>
      <c r="C551" t="s">
        <v>64</v>
      </c>
      <c r="D551" t="s">
        <v>4592</v>
      </c>
      <c r="E551" t="s">
        <v>4593</v>
      </c>
      <c r="F551" t="s">
        <v>7271</v>
      </c>
      <c r="G551" s="1">
        <v>45839</v>
      </c>
      <c r="H551" s="1">
        <v>45839</v>
      </c>
      <c r="I551" s="1">
        <v>45839</v>
      </c>
      <c r="J551" s="2" t="s">
        <v>8258</v>
      </c>
      <c r="K551" t="s">
        <v>7272</v>
      </c>
      <c r="M551" s="16" t="s">
        <v>8259</v>
      </c>
      <c r="N551" s="16" t="str">
        <f>VLOOKUP(M551,Tab_Zast[[Zastávka]:[Sloupec1]],2,0)</f>
        <v>03</v>
      </c>
      <c r="O551" t="s">
        <v>4058</v>
      </c>
      <c r="P551">
        <v>6</v>
      </c>
      <c r="Q551">
        <v>0</v>
      </c>
      <c r="R551" t="s">
        <v>31</v>
      </c>
      <c r="S551" t="s">
        <v>31</v>
      </c>
      <c r="T551" t="s">
        <v>32</v>
      </c>
      <c r="V551" s="1" t="e">
        <v>#N/A</v>
      </c>
      <c r="W551" t="s">
        <v>3052</v>
      </c>
      <c r="X551">
        <v>0</v>
      </c>
      <c r="Y551">
        <v>1107</v>
      </c>
      <c r="AA551" t="str">
        <f t="shared" si="16"/>
        <v>update zamestnanci set nastup='03' where id='1714';</v>
      </c>
      <c r="AB551" t="str">
        <f t="shared" si="17"/>
        <v>update dochazka set zastavka = '03' where zamestnanec = '1714';</v>
      </c>
    </row>
    <row r="552" spans="1:28" x14ac:dyDescent="0.25">
      <c r="A552" s="2">
        <v>1873</v>
      </c>
      <c r="B552" t="s">
        <v>7885</v>
      </c>
      <c r="C552" t="s">
        <v>569</v>
      </c>
      <c r="D552" t="s">
        <v>7886</v>
      </c>
      <c r="E552" t="s">
        <v>7887</v>
      </c>
      <c r="F552" t="s">
        <v>1394</v>
      </c>
      <c r="G552" s="1">
        <v>45936</v>
      </c>
      <c r="H552" s="1">
        <v>45939</v>
      </c>
      <c r="I552" s="1">
        <v>73050</v>
      </c>
      <c r="J552" s="2" t="s">
        <v>8258</v>
      </c>
      <c r="K552" t="s">
        <v>7888</v>
      </c>
      <c r="M552" s="16" t="s">
        <v>8259</v>
      </c>
      <c r="N552" s="16" t="str">
        <f>VLOOKUP(M552,Tab_Zast[[Zastávka]:[Sloupec1]],2,0)</f>
        <v>03</v>
      </c>
      <c r="O552" t="s">
        <v>7889</v>
      </c>
      <c r="P552">
        <v>6</v>
      </c>
      <c r="Q552">
        <v>0</v>
      </c>
      <c r="R552" t="s">
        <v>31</v>
      </c>
      <c r="S552" t="s">
        <v>31</v>
      </c>
      <c r="T552" t="s">
        <v>32</v>
      </c>
      <c r="V552" s="1" t="e">
        <v>#N/A</v>
      </c>
      <c r="W552" t="s">
        <v>1216</v>
      </c>
      <c r="X552">
        <v>0</v>
      </c>
      <c r="Y552">
        <v>1269</v>
      </c>
      <c r="AA552" t="str">
        <f t="shared" si="16"/>
        <v>update zamestnanci set nastup='03' where id='1873';</v>
      </c>
      <c r="AB552" t="str">
        <f t="shared" si="17"/>
        <v>update dochazka set zastavka = '03' where zamestnanec = '1873';</v>
      </c>
    </row>
    <row r="553" spans="1:28" x14ac:dyDescent="0.25">
      <c r="A553" s="2">
        <v>174</v>
      </c>
      <c r="B553" t="s">
        <v>1066</v>
      </c>
      <c r="D553" t="s">
        <v>1067</v>
      </c>
      <c r="E553" t="s">
        <v>263</v>
      </c>
      <c r="F553" t="s">
        <v>1068</v>
      </c>
      <c r="G553" s="1">
        <v>45154</v>
      </c>
      <c r="H553" s="1">
        <v>45341</v>
      </c>
      <c r="I553" s="1">
        <v>73050</v>
      </c>
      <c r="J553" s="2" t="s">
        <v>8484</v>
      </c>
      <c r="K553" t="s">
        <v>1069</v>
      </c>
      <c r="M553" s="16" t="s">
        <v>8485</v>
      </c>
      <c r="N553" s="16" t="str">
        <f>VLOOKUP(M553,Tab_Zast[[Zastávka]:[Sloupec1]],2,0)</f>
        <v>83</v>
      </c>
      <c r="O553" t="s">
        <v>1070</v>
      </c>
      <c r="P553">
        <v>6</v>
      </c>
      <c r="Q553">
        <v>0</v>
      </c>
      <c r="R553" t="s">
        <v>31</v>
      </c>
      <c r="S553" t="s">
        <v>31</v>
      </c>
      <c r="T553" t="s">
        <v>32</v>
      </c>
      <c r="V553" s="1" t="e">
        <v>#N/A</v>
      </c>
      <c r="W553" t="s">
        <v>1022</v>
      </c>
      <c r="X553">
        <v>0</v>
      </c>
      <c r="Y553">
        <v>0</v>
      </c>
      <c r="Z553" t="s">
        <v>54</v>
      </c>
      <c r="AA553" t="str">
        <f t="shared" si="16"/>
        <v>update zamestnanci set nastup='83' where id='174';</v>
      </c>
      <c r="AB553" t="str">
        <f t="shared" si="17"/>
        <v>update dochazka set zastavka = '83' where zamestnanec = '174';</v>
      </c>
    </row>
    <row r="554" spans="1:28" x14ac:dyDescent="0.25">
      <c r="A554" s="2">
        <v>409</v>
      </c>
      <c r="B554" t="s">
        <v>1370</v>
      </c>
      <c r="D554" t="s">
        <v>1371</v>
      </c>
      <c r="E554" t="s">
        <v>1372</v>
      </c>
      <c r="F554" t="s">
        <v>1373</v>
      </c>
      <c r="G554" s="1">
        <v>45028</v>
      </c>
      <c r="H554" s="1">
        <v>45322</v>
      </c>
      <c r="I554" s="1">
        <v>73050</v>
      </c>
      <c r="J554" s="2" t="s">
        <v>8484</v>
      </c>
      <c r="K554" t="s">
        <v>1374</v>
      </c>
      <c r="M554" s="16" t="s">
        <v>8485</v>
      </c>
      <c r="N554" s="16" t="str">
        <f>VLOOKUP(M554,Tab_Zast[[Zastávka]:[Sloupec1]],2,0)</f>
        <v>83</v>
      </c>
      <c r="O554" t="s">
        <v>1375</v>
      </c>
      <c r="P554">
        <v>6</v>
      </c>
      <c r="Q554">
        <v>0</v>
      </c>
      <c r="R554" t="s">
        <v>31</v>
      </c>
      <c r="S554" t="s">
        <v>31</v>
      </c>
      <c r="T554" t="s">
        <v>32</v>
      </c>
      <c r="V554" s="1" t="e">
        <v>#N/A</v>
      </c>
      <c r="W554" t="s">
        <v>1216</v>
      </c>
      <c r="X554">
        <v>0</v>
      </c>
      <c r="Y554">
        <v>0</v>
      </c>
      <c r="Z554" t="s">
        <v>54</v>
      </c>
      <c r="AA554" t="str">
        <f t="shared" si="16"/>
        <v>update zamestnanci set nastup='83' where id='409';</v>
      </c>
      <c r="AB554" t="str">
        <f t="shared" si="17"/>
        <v>update dochazka set zastavka = '83' where zamestnanec = '409';</v>
      </c>
    </row>
    <row r="555" spans="1:28" x14ac:dyDescent="0.25">
      <c r="A555" s="2">
        <v>421</v>
      </c>
      <c r="B555" t="s">
        <v>1441</v>
      </c>
      <c r="C555" t="s">
        <v>1442</v>
      </c>
      <c r="D555" t="s">
        <v>1443</v>
      </c>
      <c r="E555" t="s">
        <v>1444</v>
      </c>
      <c r="F555" t="s">
        <v>1445</v>
      </c>
      <c r="G555" s="1">
        <v>44781</v>
      </c>
      <c r="H555" s="1">
        <v>45485</v>
      </c>
      <c r="I555" s="1">
        <v>73050</v>
      </c>
      <c r="J555" s="2" t="s">
        <v>8484</v>
      </c>
      <c r="K555" t="s">
        <v>1446</v>
      </c>
      <c r="M555" s="16" t="s">
        <v>8485</v>
      </c>
      <c r="N555" s="16" t="str">
        <f>VLOOKUP(M555,Tab_Zast[[Zastávka]:[Sloupec1]],2,0)</f>
        <v>83</v>
      </c>
      <c r="O555" t="s">
        <v>1447</v>
      </c>
      <c r="P555">
        <v>6</v>
      </c>
      <c r="Q555">
        <v>0</v>
      </c>
      <c r="R555" t="s">
        <v>31</v>
      </c>
      <c r="S555" t="s">
        <v>31</v>
      </c>
      <c r="T555" t="s">
        <v>32</v>
      </c>
      <c r="V555" s="1">
        <v>45450</v>
      </c>
      <c r="W555" t="s">
        <v>1216</v>
      </c>
      <c r="X555">
        <v>0</v>
      </c>
      <c r="Y555">
        <v>0</v>
      </c>
      <c r="AA555" t="str">
        <f t="shared" si="16"/>
        <v>update zamestnanci set nastup='83' where id='421';</v>
      </c>
      <c r="AB555" t="str">
        <f t="shared" si="17"/>
        <v>update dochazka set zastavka = '83' where zamestnanec = '421';</v>
      </c>
    </row>
    <row r="556" spans="1:28" x14ac:dyDescent="0.25">
      <c r="A556" s="2">
        <v>428</v>
      </c>
      <c r="B556" t="s">
        <v>1486</v>
      </c>
      <c r="C556" t="s">
        <v>1487</v>
      </c>
      <c r="D556" t="s">
        <v>1488</v>
      </c>
      <c r="E556" t="s">
        <v>1489</v>
      </c>
      <c r="F556" t="s">
        <v>1490</v>
      </c>
      <c r="G556" s="1">
        <v>44839</v>
      </c>
      <c r="H556" s="1">
        <v>45512</v>
      </c>
      <c r="I556" s="1">
        <v>73050</v>
      </c>
      <c r="J556" s="2" t="s">
        <v>8484</v>
      </c>
      <c r="K556" t="s">
        <v>1491</v>
      </c>
      <c r="M556" s="16" t="s">
        <v>8485</v>
      </c>
      <c r="N556" s="16" t="str">
        <f>VLOOKUP(M556,Tab_Zast[[Zastávka]:[Sloupec1]],2,0)</f>
        <v>83</v>
      </c>
      <c r="O556" t="s">
        <v>1492</v>
      </c>
      <c r="P556">
        <v>6</v>
      </c>
      <c r="Q556">
        <v>0</v>
      </c>
      <c r="R556" t="s">
        <v>31</v>
      </c>
      <c r="S556" t="s">
        <v>31</v>
      </c>
      <c r="T556" t="s">
        <v>32</v>
      </c>
      <c r="V556" s="1">
        <v>45504</v>
      </c>
      <c r="W556" t="s">
        <v>1216</v>
      </c>
      <c r="X556">
        <v>0</v>
      </c>
      <c r="Y556">
        <v>0</v>
      </c>
      <c r="AA556" t="str">
        <f t="shared" si="16"/>
        <v>update zamestnanci set nastup='83' where id='428';</v>
      </c>
      <c r="AB556" t="str">
        <f t="shared" si="17"/>
        <v>update dochazka set zastavka = '83' where zamestnanec = '428';</v>
      </c>
    </row>
    <row r="557" spans="1:28" x14ac:dyDescent="0.25">
      <c r="A557" s="2">
        <v>432</v>
      </c>
      <c r="B557" t="s">
        <v>1513</v>
      </c>
      <c r="C557" t="s">
        <v>1514</v>
      </c>
      <c r="D557" t="s">
        <v>1515</v>
      </c>
      <c r="E557" t="s">
        <v>1516</v>
      </c>
      <c r="F557" t="s">
        <v>1517</v>
      </c>
      <c r="G557" s="1">
        <v>44593</v>
      </c>
      <c r="H557" s="1">
        <v>73050</v>
      </c>
      <c r="I557" s="1" t="e">
        <v>#N/A</v>
      </c>
      <c r="J557" s="2" t="s">
        <v>8484</v>
      </c>
      <c r="K557" t="s">
        <v>1518</v>
      </c>
      <c r="M557" s="16" t="s">
        <v>8485</v>
      </c>
      <c r="N557" s="16" t="str">
        <f>VLOOKUP(M557,Tab_Zast[[Zastávka]:[Sloupec1]],2,0)</f>
        <v>83</v>
      </c>
      <c r="O557" t="s">
        <v>1519</v>
      </c>
      <c r="P557">
        <v>6</v>
      </c>
      <c r="Q557">
        <v>0</v>
      </c>
      <c r="R557" t="s">
        <v>179</v>
      </c>
      <c r="S557" t="s">
        <v>31</v>
      </c>
      <c r="T557" t="s">
        <v>32</v>
      </c>
      <c r="V557" s="1" t="e">
        <v>#N/A</v>
      </c>
      <c r="W557" t="s">
        <v>1216</v>
      </c>
      <c r="X557">
        <v>1</v>
      </c>
      <c r="Y557">
        <v>0</v>
      </c>
      <c r="AA557" t="str">
        <f t="shared" si="16"/>
        <v>update zamestnanci set nastup='83' where id='432';</v>
      </c>
      <c r="AB557" t="str">
        <f t="shared" si="17"/>
        <v>update dochazka set zastavka = '83' where zamestnanec = '432';</v>
      </c>
    </row>
    <row r="558" spans="1:28" x14ac:dyDescent="0.25">
      <c r="A558" s="2">
        <v>433</v>
      </c>
      <c r="B558" t="s">
        <v>1520</v>
      </c>
      <c r="C558" t="s">
        <v>1521</v>
      </c>
      <c r="D558" t="s">
        <v>1522</v>
      </c>
      <c r="E558" t="s">
        <v>1523</v>
      </c>
      <c r="F558" t="s">
        <v>1524</v>
      </c>
      <c r="G558" s="1">
        <v>45075</v>
      </c>
      <c r="H558" s="1">
        <v>45449</v>
      </c>
      <c r="I558" s="1">
        <v>73050</v>
      </c>
      <c r="J558" s="2" t="s">
        <v>8484</v>
      </c>
      <c r="K558" t="s">
        <v>1525</v>
      </c>
      <c r="M558" s="16" t="s">
        <v>8485</v>
      </c>
      <c r="N558" s="16" t="str">
        <f>VLOOKUP(M558,Tab_Zast[[Zastávka]:[Sloupec1]],2,0)</f>
        <v>83</v>
      </c>
      <c r="O558" t="s">
        <v>1526</v>
      </c>
      <c r="P558">
        <v>6</v>
      </c>
      <c r="Q558">
        <v>0</v>
      </c>
      <c r="R558" t="s">
        <v>31</v>
      </c>
      <c r="S558" t="s">
        <v>31</v>
      </c>
      <c r="T558" t="s">
        <v>32</v>
      </c>
      <c r="V558" s="1" t="e">
        <v>#N/A</v>
      </c>
      <c r="W558" t="s">
        <v>1216</v>
      </c>
      <c r="X558">
        <v>0</v>
      </c>
      <c r="Y558">
        <v>0</v>
      </c>
      <c r="AA558" t="str">
        <f t="shared" si="16"/>
        <v>update zamestnanci set nastup='83' where id='433';</v>
      </c>
      <c r="AB558" t="str">
        <f t="shared" si="17"/>
        <v>update dochazka set zastavka = '83' where zamestnanec = '433';</v>
      </c>
    </row>
    <row r="559" spans="1:28" x14ac:dyDescent="0.25">
      <c r="A559" s="2">
        <v>439</v>
      </c>
      <c r="B559" t="s">
        <v>1558</v>
      </c>
      <c r="D559" t="s">
        <v>1559</v>
      </c>
      <c r="E559" t="s">
        <v>1560</v>
      </c>
      <c r="F559" t="s">
        <v>1561</v>
      </c>
      <c r="G559" s="1">
        <v>44984</v>
      </c>
      <c r="H559" s="1">
        <v>45291</v>
      </c>
      <c r="I559" s="1" t="e">
        <v>#N/A</v>
      </c>
      <c r="J559" s="2" t="s">
        <v>8484</v>
      </c>
      <c r="K559" t="s">
        <v>1562</v>
      </c>
      <c r="M559" s="16" t="s">
        <v>8485</v>
      </c>
      <c r="N559" s="16" t="str">
        <f>VLOOKUP(M559,Tab_Zast[[Zastávka]:[Sloupec1]],2,0)</f>
        <v>83</v>
      </c>
      <c r="O559" t="s">
        <v>1563</v>
      </c>
      <c r="P559">
        <v>6</v>
      </c>
      <c r="Q559">
        <v>0</v>
      </c>
      <c r="R559" t="s">
        <v>31</v>
      </c>
      <c r="S559" t="s">
        <v>31</v>
      </c>
      <c r="T559" t="s">
        <v>32</v>
      </c>
      <c r="V559" s="1" t="e">
        <v>#N/A</v>
      </c>
      <c r="W559" t="s">
        <v>1216</v>
      </c>
      <c r="X559">
        <v>0</v>
      </c>
      <c r="Y559">
        <v>0</v>
      </c>
      <c r="Z559" t="s">
        <v>54</v>
      </c>
      <c r="AA559" t="str">
        <f t="shared" si="16"/>
        <v>update zamestnanci set nastup='83' where id='439';</v>
      </c>
      <c r="AB559" t="str">
        <f t="shared" si="17"/>
        <v>update dochazka set zastavka = '83' where zamestnanec = '439';</v>
      </c>
    </row>
    <row r="560" spans="1:28" x14ac:dyDescent="0.25">
      <c r="A560" s="2">
        <v>483</v>
      </c>
      <c r="B560" t="s">
        <v>1837</v>
      </c>
      <c r="C560" t="s">
        <v>1838</v>
      </c>
      <c r="D560" t="s">
        <v>1839</v>
      </c>
      <c r="E560" t="s">
        <v>1840</v>
      </c>
      <c r="F560" t="s">
        <v>1841</v>
      </c>
      <c r="G560" s="1">
        <v>44593</v>
      </c>
      <c r="H560" s="1">
        <v>45726</v>
      </c>
      <c r="I560" s="1">
        <v>73050</v>
      </c>
      <c r="J560" s="2" t="s">
        <v>8484</v>
      </c>
      <c r="K560" t="s">
        <v>1842</v>
      </c>
      <c r="M560" s="16" t="s">
        <v>8485</v>
      </c>
      <c r="N560" s="16" t="str">
        <f>VLOOKUP(M560,Tab_Zast[[Zastávka]:[Sloupec1]],2,0)</f>
        <v>83</v>
      </c>
      <c r="O560" t="s">
        <v>1843</v>
      </c>
      <c r="P560">
        <v>6</v>
      </c>
      <c r="Q560">
        <v>0</v>
      </c>
      <c r="R560" t="s">
        <v>31</v>
      </c>
      <c r="S560" t="s">
        <v>31</v>
      </c>
      <c r="T560" t="s">
        <v>32</v>
      </c>
      <c r="V560" s="1">
        <v>45726</v>
      </c>
      <c r="W560" t="s">
        <v>1216</v>
      </c>
      <c r="X560">
        <v>0</v>
      </c>
      <c r="Y560">
        <v>0</v>
      </c>
      <c r="AA560" t="str">
        <f t="shared" si="16"/>
        <v>update zamestnanci set nastup='83' where id='483';</v>
      </c>
      <c r="AB560" t="str">
        <f t="shared" si="17"/>
        <v>update dochazka set zastavka = '83' where zamestnanec = '483';</v>
      </c>
    </row>
    <row r="561" spans="1:28" x14ac:dyDescent="0.25">
      <c r="A561" s="2">
        <v>506</v>
      </c>
      <c r="B561" t="s">
        <v>1979</v>
      </c>
      <c r="C561" t="s">
        <v>1980</v>
      </c>
      <c r="D561" t="s">
        <v>1981</v>
      </c>
      <c r="E561" t="s">
        <v>1982</v>
      </c>
      <c r="F561" t="s">
        <v>1983</v>
      </c>
      <c r="G561" s="1">
        <v>44593</v>
      </c>
      <c r="H561" s="1">
        <v>73050</v>
      </c>
      <c r="I561" s="1" t="e">
        <v>#N/A</v>
      </c>
      <c r="J561" s="2" t="s">
        <v>8484</v>
      </c>
      <c r="K561" t="s">
        <v>1984</v>
      </c>
      <c r="M561" s="16" t="s">
        <v>8485</v>
      </c>
      <c r="N561" s="16" t="str">
        <f>VLOOKUP(M561,Tab_Zast[[Zastávka]:[Sloupec1]],2,0)</f>
        <v>83</v>
      </c>
      <c r="O561" t="s">
        <v>1985</v>
      </c>
      <c r="P561">
        <v>6</v>
      </c>
      <c r="Q561">
        <v>0</v>
      </c>
      <c r="R561" t="s">
        <v>31</v>
      </c>
      <c r="S561" t="s">
        <v>31</v>
      </c>
      <c r="T561" t="s">
        <v>32</v>
      </c>
      <c r="U561" t="s">
        <v>254</v>
      </c>
      <c r="V561" s="1">
        <v>45912</v>
      </c>
      <c r="W561" t="s">
        <v>1216</v>
      </c>
      <c r="X561">
        <v>1</v>
      </c>
      <c r="Y561">
        <v>0</v>
      </c>
      <c r="AA561" t="str">
        <f t="shared" si="16"/>
        <v>update zamestnanci set nastup='83' where id='506';</v>
      </c>
      <c r="AB561" t="str">
        <f t="shared" si="17"/>
        <v>update dochazka set zastavka = '83' where zamestnanec = '506';</v>
      </c>
    </row>
    <row r="562" spans="1:28" x14ac:dyDescent="0.25">
      <c r="A562" s="2">
        <v>526</v>
      </c>
      <c r="B562" t="s">
        <v>2106</v>
      </c>
      <c r="C562" t="s">
        <v>2107</v>
      </c>
      <c r="D562" t="s">
        <v>2108</v>
      </c>
      <c r="E562" t="s">
        <v>2109</v>
      </c>
      <c r="F562" t="s">
        <v>2110</v>
      </c>
      <c r="G562" s="1">
        <v>44593</v>
      </c>
      <c r="H562" s="1">
        <v>73050</v>
      </c>
      <c r="I562" s="1" t="e">
        <v>#N/A</v>
      </c>
      <c r="J562" s="2" t="s">
        <v>8484</v>
      </c>
      <c r="K562" t="s">
        <v>2111</v>
      </c>
      <c r="M562" s="16" t="s">
        <v>8485</v>
      </c>
      <c r="N562" s="16" t="str">
        <f>VLOOKUP(M562,Tab_Zast[[Zastávka]:[Sloupec1]],2,0)</f>
        <v>83</v>
      </c>
      <c r="O562" t="s">
        <v>2112</v>
      </c>
      <c r="P562">
        <v>6</v>
      </c>
      <c r="Q562">
        <v>0</v>
      </c>
      <c r="R562" t="s">
        <v>129</v>
      </c>
      <c r="S562" t="s">
        <v>31</v>
      </c>
      <c r="T562" t="s">
        <v>32</v>
      </c>
      <c r="V562" s="1" t="e">
        <v>#N/A</v>
      </c>
      <c r="W562" t="s">
        <v>1216</v>
      </c>
      <c r="X562">
        <v>1</v>
      </c>
      <c r="Y562">
        <v>0</v>
      </c>
      <c r="AA562" t="str">
        <f t="shared" si="16"/>
        <v>update zamestnanci set nastup='83' where id='526';</v>
      </c>
      <c r="AB562" t="str">
        <f t="shared" si="17"/>
        <v>update dochazka set zastavka = '83' where zamestnanec = '526';</v>
      </c>
    </row>
    <row r="563" spans="1:28" x14ac:dyDescent="0.25">
      <c r="A563" s="2">
        <v>551</v>
      </c>
      <c r="B563" t="s">
        <v>2264</v>
      </c>
      <c r="C563" t="s">
        <v>2265</v>
      </c>
      <c r="D563" t="s">
        <v>2266</v>
      </c>
      <c r="E563" t="s">
        <v>2267</v>
      </c>
      <c r="F563" t="s">
        <v>2268</v>
      </c>
      <c r="G563" s="1">
        <v>44781</v>
      </c>
      <c r="H563" s="1">
        <v>73050</v>
      </c>
      <c r="I563" s="1" t="e">
        <v>#N/A</v>
      </c>
      <c r="J563" s="2" t="s">
        <v>8484</v>
      </c>
      <c r="K563" t="s">
        <v>2269</v>
      </c>
      <c r="M563" s="16" t="s">
        <v>8485</v>
      </c>
      <c r="N563" s="16" t="str">
        <f>VLOOKUP(M563,Tab_Zast[[Zastávka]:[Sloupec1]],2,0)</f>
        <v>83</v>
      </c>
      <c r="O563" t="s">
        <v>2270</v>
      </c>
      <c r="P563">
        <v>6</v>
      </c>
      <c r="Q563">
        <v>0</v>
      </c>
      <c r="R563" t="s">
        <v>130</v>
      </c>
      <c r="S563" t="s">
        <v>31</v>
      </c>
      <c r="T563" t="s">
        <v>32</v>
      </c>
      <c r="V563" s="1" t="e">
        <v>#N/A</v>
      </c>
      <c r="W563" t="s">
        <v>1216</v>
      </c>
      <c r="X563">
        <v>1</v>
      </c>
      <c r="Y563">
        <v>0</v>
      </c>
      <c r="AA563" t="str">
        <f t="shared" si="16"/>
        <v>update zamestnanci set nastup='83' where id='551';</v>
      </c>
      <c r="AB563" t="str">
        <f t="shared" si="17"/>
        <v>update dochazka set zastavka = '83' where zamestnanec = '551';</v>
      </c>
    </row>
    <row r="564" spans="1:28" x14ac:dyDescent="0.25">
      <c r="A564" s="2">
        <v>711</v>
      </c>
      <c r="B564" t="s">
        <v>3155</v>
      </c>
      <c r="D564" t="s">
        <v>2828</v>
      </c>
      <c r="E564" t="s">
        <v>1402</v>
      </c>
      <c r="F564" t="s">
        <v>3156</v>
      </c>
      <c r="G564" s="1">
        <v>45273</v>
      </c>
      <c r="H564" s="1">
        <v>45342</v>
      </c>
      <c r="I564" s="1">
        <v>73050</v>
      </c>
      <c r="J564" s="2" t="s">
        <v>8484</v>
      </c>
      <c r="K564" t="s">
        <v>3157</v>
      </c>
      <c r="M564" s="16" t="s">
        <v>8485</v>
      </c>
      <c r="N564" s="16" t="str">
        <f>VLOOKUP(M564,Tab_Zast[[Zastávka]:[Sloupec1]],2,0)</f>
        <v>83</v>
      </c>
      <c r="O564" t="s">
        <v>3158</v>
      </c>
      <c r="P564">
        <v>6</v>
      </c>
      <c r="Q564">
        <v>0</v>
      </c>
      <c r="R564" t="s">
        <v>31</v>
      </c>
      <c r="S564" t="s">
        <v>31</v>
      </c>
      <c r="T564" t="s">
        <v>32</v>
      </c>
      <c r="V564" s="1" t="e">
        <v>#N/A</v>
      </c>
      <c r="W564" t="s">
        <v>1216</v>
      </c>
      <c r="X564">
        <v>0</v>
      </c>
      <c r="Y564">
        <v>0</v>
      </c>
      <c r="Z564" t="s">
        <v>54</v>
      </c>
      <c r="AA564" t="str">
        <f t="shared" si="16"/>
        <v>update zamestnanci set nastup='83' where id='711';</v>
      </c>
      <c r="AB564" t="str">
        <f t="shared" si="17"/>
        <v>update dochazka set zastavka = '83' where zamestnanec = '711';</v>
      </c>
    </row>
    <row r="565" spans="1:28" x14ac:dyDescent="0.25">
      <c r="A565" s="2">
        <v>781</v>
      </c>
      <c r="B565" t="s">
        <v>3494</v>
      </c>
      <c r="D565" t="s">
        <v>3495</v>
      </c>
      <c r="E565" t="s">
        <v>574</v>
      </c>
      <c r="F565" t="s">
        <v>3496</v>
      </c>
      <c r="G565" s="1">
        <v>45334</v>
      </c>
      <c r="H565" s="1">
        <v>45341</v>
      </c>
      <c r="I565" s="1">
        <v>73050</v>
      </c>
      <c r="J565" s="2" t="s">
        <v>8484</v>
      </c>
      <c r="K565" t="s">
        <v>3497</v>
      </c>
      <c r="M565" s="16" t="s">
        <v>8485</v>
      </c>
      <c r="N565" s="16" t="str">
        <f>VLOOKUP(M565,Tab_Zast[[Zastávka]:[Sloupec1]],2,0)</f>
        <v>83</v>
      </c>
      <c r="O565" t="s">
        <v>3498</v>
      </c>
      <c r="P565">
        <v>6</v>
      </c>
      <c r="Q565">
        <v>0</v>
      </c>
      <c r="R565" t="s">
        <v>31</v>
      </c>
      <c r="S565" t="s">
        <v>31</v>
      </c>
      <c r="T565" t="s">
        <v>32</v>
      </c>
      <c r="V565" s="1" t="e">
        <v>#N/A</v>
      </c>
      <c r="W565" t="s">
        <v>1216</v>
      </c>
      <c r="X565">
        <v>0</v>
      </c>
      <c r="Y565">
        <v>0</v>
      </c>
      <c r="Z565" t="s">
        <v>54</v>
      </c>
      <c r="AA565" t="str">
        <f t="shared" si="16"/>
        <v>update zamestnanci set nastup='83' where id='781';</v>
      </c>
      <c r="AB565" t="str">
        <f t="shared" si="17"/>
        <v>update dochazka set zastavka = '83' where zamestnanec = '781';</v>
      </c>
    </row>
    <row r="566" spans="1:28" x14ac:dyDescent="0.25">
      <c r="A566" s="2">
        <v>782</v>
      </c>
      <c r="B566" t="s">
        <v>3499</v>
      </c>
      <c r="D566" t="s">
        <v>3495</v>
      </c>
      <c r="E566" t="s">
        <v>701</v>
      </c>
      <c r="F566" t="s">
        <v>3500</v>
      </c>
      <c r="G566" s="1">
        <v>45334</v>
      </c>
      <c r="H566" s="1">
        <v>45698</v>
      </c>
      <c r="I566" s="1">
        <v>73050</v>
      </c>
      <c r="J566" s="2" t="s">
        <v>8484</v>
      </c>
      <c r="K566" t="s">
        <v>3501</v>
      </c>
      <c r="M566" s="16" t="s">
        <v>8485</v>
      </c>
      <c r="N566" s="16" t="str">
        <f>VLOOKUP(M566,Tab_Zast[[Zastávka]:[Sloupec1]],2,0)</f>
        <v>83</v>
      </c>
      <c r="O566" t="s">
        <v>3502</v>
      </c>
      <c r="P566">
        <v>6</v>
      </c>
      <c r="Q566">
        <v>0</v>
      </c>
      <c r="R566" t="s">
        <v>31</v>
      </c>
      <c r="S566" t="s">
        <v>31</v>
      </c>
      <c r="T566" t="s">
        <v>32</v>
      </c>
      <c r="V566" s="1" t="e">
        <v>#N/A</v>
      </c>
      <c r="W566" t="s">
        <v>1216</v>
      </c>
      <c r="X566">
        <v>0</v>
      </c>
      <c r="Y566">
        <v>0</v>
      </c>
      <c r="Z566" t="s">
        <v>54</v>
      </c>
      <c r="AA566" t="str">
        <f t="shared" si="16"/>
        <v>update zamestnanci set nastup='83' where id='782';</v>
      </c>
      <c r="AB566" t="str">
        <f t="shared" si="17"/>
        <v>update dochazka set zastavka = '83' where zamestnanec = '782';</v>
      </c>
    </row>
    <row r="567" spans="1:28" x14ac:dyDescent="0.25">
      <c r="A567" s="2">
        <v>900</v>
      </c>
      <c r="B567" t="s">
        <v>4068</v>
      </c>
      <c r="D567" t="s">
        <v>4069</v>
      </c>
      <c r="E567" t="s">
        <v>725</v>
      </c>
      <c r="F567" t="s">
        <v>67</v>
      </c>
      <c r="G567" s="1">
        <v>45393</v>
      </c>
      <c r="H567" s="1">
        <v>45394</v>
      </c>
      <c r="I567" s="1">
        <v>73050</v>
      </c>
      <c r="J567" s="2" t="s">
        <v>8484</v>
      </c>
      <c r="K567" t="s">
        <v>4070</v>
      </c>
      <c r="M567" s="16" t="s">
        <v>8485</v>
      </c>
      <c r="N567" s="16" t="str">
        <f>VLOOKUP(M567,Tab_Zast[[Zastávka]:[Sloupec1]],2,0)</f>
        <v>83</v>
      </c>
      <c r="O567" t="s">
        <v>4071</v>
      </c>
      <c r="P567">
        <v>6</v>
      </c>
      <c r="Q567">
        <v>0</v>
      </c>
      <c r="R567" t="s">
        <v>31</v>
      </c>
      <c r="S567" t="s">
        <v>31</v>
      </c>
      <c r="T567" t="s">
        <v>32</v>
      </c>
      <c r="V567" s="1" t="e">
        <v>#N/A</v>
      </c>
      <c r="W567" t="s">
        <v>1216</v>
      </c>
      <c r="X567">
        <v>0</v>
      </c>
      <c r="Y567">
        <v>247</v>
      </c>
      <c r="Z567" t="s">
        <v>54</v>
      </c>
      <c r="AA567" t="str">
        <f t="shared" si="16"/>
        <v>update zamestnanci set nastup='83' where id='900';</v>
      </c>
      <c r="AB567" t="str">
        <f t="shared" si="17"/>
        <v>update dochazka set zastavka = '83' where zamestnanec = '900';</v>
      </c>
    </row>
    <row r="568" spans="1:28" x14ac:dyDescent="0.25">
      <c r="A568" s="2">
        <v>958</v>
      </c>
      <c r="B568" t="s">
        <v>4333</v>
      </c>
      <c r="C568" t="s">
        <v>4334</v>
      </c>
      <c r="D568" t="s">
        <v>4335</v>
      </c>
      <c r="E568" t="s">
        <v>201</v>
      </c>
      <c r="F568" t="s">
        <v>4336</v>
      </c>
      <c r="G568" s="1">
        <v>45439</v>
      </c>
      <c r="H568" s="1">
        <v>45574</v>
      </c>
      <c r="I568" s="1">
        <v>73050</v>
      </c>
      <c r="J568" s="2" t="s">
        <v>8484</v>
      </c>
      <c r="K568" t="s">
        <v>4337</v>
      </c>
      <c r="M568" s="16" t="s">
        <v>8485</v>
      </c>
      <c r="N568" s="16" t="str">
        <f>VLOOKUP(M568,Tab_Zast[[Zastávka]:[Sloupec1]],2,0)</f>
        <v>83</v>
      </c>
      <c r="O568" t="s">
        <v>4338</v>
      </c>
      <c r="P568">
        <v>6</v>
      </c>
      <c r="Q568">
        <v>0</v>
      </c>
      <c r="R568" t="s">
        <v>31</v>
      </c>
      <c r="S568" t="s">
        <v>31</v>
      </c>
      <c r="T568" t="s">
        <v>32</v>
      </c>
      <c r="V568" s="1" t="e">
        <v>#N/A</v>
      </c>
      <c r="W568" t="s">
        <v>1216</v>
      </c>
      <c r="X568">
        <v>0</v>
      </c>
      <c r="Y568">
        <v>331</v>
      </c>
      <c r="AA568" t="str">
        <f t="shared" si="16"/>
        <v>update zamestnanci set nastup='83' where id='958';</v>
      </c>
      <c r="AB568" t="str">
        <f t="shared" si="17"/>
        <v>update dochazka set zastavka = '83' where zamestnanec = '958';</v>
      </c>
    </row>
    <row r="569" spans="1:28" x14ac:dyDescent="0.25">
      <c r="A569" s="2">
        <v>1206</v>
      </c>
      <c r="B569" t="s">
        <v>5363</v>
      </c>
      <c r="C569" t="s">
        <v>1394</v>
      </c>
      <c r="D569" t="s">
        <v>5364</v>
      </c>
      <c r="E569" t="s">
        <v>5365</v>
      </c>
      <c r="F569" t="s">
        <v>5366</v>
      </c>
      <c r="G569" s="1">
        <v>45540</v>
      </c>
      <c r="H569" s="1">
        <v>45558</v>
      </c>
      <c r="I569" s="1">
        <v>73050</v>
      </c>
      <c r="J569" s="2" t="s">
        <v>8484</v>
      </c>
      <c r="K569" t="s">
        <v>5367</v>
      </c>
      <c r="M569" s="16" t="s">
        <v>8485</v>
      </c>
      <c r="N569" s="16" t="str">
        <f>VLOOKUP(M569,Tab_Zast[[Zastávka]:[Sloupec1]],2,0)</f>
        <v>83</v>
      </c>
      <c r="O569" t="s">
        <v>5368</v>
      </c>
      <c r="P569">
        <v>6</v>
      </c>
      <c r="Q569">
        <v>0</v>
      </c>
      <c r="R569" t="s">
        <v>31</v>
      </c>
      <c r="S569" t="s">
        <v>31</v>
      </c>
      <c r="T569" t="s">
        <v>32</v>
      </c>
      <c r="V569" s="1" t="e">
        <v>#N/A</v>
      </c>
      <c r="W569" t="s">
        <v>1216</v>
      </c>
      <c r="X569">
        <v>0</v>
      </c>
      <c r="Y569">
        <v>596</v>
      </c>
      <c r="AA569" t="str">
        <f t="shared" si="16"/>
        <v>update zamestnanci set nastup='83' where id='1206';</v>
      </c>
      <c r="AB569" t="str">
        <f t="shared" si="17"/>
        <v>update dochazka set zastavka = '83' where zamestnanec = '1206';</v>
      </c>
    </row>
    <row r="570" spans="1:28" x14ac:dyDescent="0.25">
      <c r="A570" s="2">
        <v>1644</v>
      </c>
      <c r="B570" t="s">
        <v>64</v>
      </c>
      <c r="C570" t="s">
        <v>64</v>
      </c>
      <c r="D570" t="s">
        <v>6050</v>
      </c>
      <c r="E570" t="s">
        <v>1402</v>
      </c>
      <c r="F570" t="s">
        <v>7039</v>
      </c>
      <c r="G570" s="1">
        <v>45789</v>
      </c>
      <c r="H570" s="1">
        <v>45800</v>
      </c>
      <c r="I570" s="1">
        <v>73050</v>
      </c>
      <c r="J570" s="2" t="s">
        <v>8484</v>
      </c>
      <c r="K570" t="s">
        <v>7040</v>
      </c>
      <c r="M570" s="16" t="s">
        <v>8485</v>
      </c>
      <c r="N570" s="16" t="str">
        <f>VLOOKUP(M570,Tab_Zast[[Zastávka]:[Sloupec1]],2,0)</f>
        <v>83</v>
      </c>
      <c r="O570" t="s">
        <v>6052</v>
      </c>
      <c r="P570">
        <v>6</v>
      </c>
      <c r="Q570">
        <v>0</v>
      </c>
      <c r="R570" t="s">
        <v>129</v>
      </c>
      <c r="S570" t="s">
        <v>179</v>
      </c>
      <c r="T570" t="s">
        <v>32</v>
      </c>
      <c r="V570" s="1">
        <v>45803</v>
      </c>
      <c r="W570" t="s">
        <v>3052</v>
      </c>
      <c r="X570">
        <v>0</v>
      </c>
      <c r="Y570">
        <v>1037</v>
      </c>
      <c r="AA570" t="str">
        <f t="shared" si="16"/>
        <v>update zamestnanci set nastup='83' where id='1644';</v>
      </c>
      <c r="AB570" t="str">
        <f t="shared" si="17"/>
        <v>update dochazka set zastavka = '83' where zamestnanec = '1644';</v>
      </c>
    </row>
    <row r="571" spans="1:28" x14ac:dyDescent="0.25">
      <c r="A571" s="2">
        <v>1697</v>
      </c>
      <c r="B571" t="s">
        <v>7211</v>
      </c>
      <c r="C571" t="s">
        <v>64</v>
      </c>
      <c r="D571" t="s">
        <v>5479</v>
      </c>
      <c r="E571" t="s">
        <v>593</v>
      </c>
      <c r="F571" t="s">
        <v>7039</v>
      </c>
      <c r="G571" s="1">
        <v>45832</v>
      </c>
      <c r="H571" s="1">
        <v>45558</v>
      </c>
      <c r="I571" s="1">
        <v>45832</v>
      </c>
      <c r="J571" s="2" t="s">
        <v>8484</v>
      </c>
      <c r="K571" t="s">
        <v>5481</v>
      </c>
      <c r="M571" s="16" t="s">
        <v>8485</v>
      </c>
      <c r="N571" s="16" t="str">
        <f>VLOOKUP(M571,Tab_Zast[[Zastávka]:[Sloupec1]],2,0)</f>
        <v>83</v>
      </c>
      <c r="O571" t="s">
        <v>7212</v>
      </c>
      <c r="P571">
        <v>6</v>
      </c>
      <c r="Q571">
        <v>0</v>
      </c>
      <c r="R571" t="s">
        <v>31</v>
      </c>
      <c r="S571" t="s">
        <v>31</v>
      </c>
      <c r="T571" t="s">
        <v>32</v>
      </c>
      <c r="V571" s="1">
        <v>45832</v>
      </c>
      <c r="W571" t="s">
        <v>3052</v>
      </c>
      <c r="X571">
        <v>0</v>
      </c>
      <c r="Y571">
        <v>1093</v>
      </c>
      <c r="AA571" t="str">
        <f t="shared" si="16"/>
        <v>update zamestnanci set nastup='83' where id='1697';</v>
      </c>
      <c r="AB571" t="str">
        <f t="shared" si="17"/>
        <v>update dochazka set zastavka = '83' where zamestnanec = '1697';</v>
      </c>
    </row>
    <row r="572" spans="1:28" x14ac:dyDescent="0.25">
      <c r="A572" s="2">
        <v>1834</v>
      </c>
      <c r="B572" t="s">
        <v>7723</v>
      </c>
      <c r="C572" t="s">
        <v>357</v>
      </c>
      <c r="D572" t="s">
        <v>7724</v>
      </c>
      <c r="E572" t="s">
        <v>725</v>
      </c>
      <c r="F572" t="s">
        <v>7725</v>
      </c>
      <c r="G572" s="1">
        <v>45911</v>
      </c>
      <c r="H572" s="1">
        <v>45922</v>
      </c>
      <c r="I572" s="1">
        <v>73050</v>
      </c>
      <c r="J572" s="2" t="s">
        <v>8484</v>
      </c>
      <c r="K572" t="s">
        <v>7726</v>
      </c>
      <c r="M572" s="16" t="s">
        <v>8485</v>
      </c>
      <c r="N572" s="16" t="str">
        <f>VLOOKUP(M572,Tab_Zast[[Zastávka]:[Sloupec1]],2,0)</f>
        <v>83</v>
      </c>
      <c r="O572" t="s">
        <v>7727</v>
      </c>
      <c r="P572">
        <v>6</v>
      </c>
      <c r="Q572">
        <v>0</v>
      </c>
      <c r="R572" t="s">
        <v>31</v>
      </c>
      <c r="S572" t="s">
        <v>31</v>
      </c>
      <c r="T572" t="s">
        <v>32</v>
      </c>
      <c r="V572" s="1" t="e">
        <v>#N/A</v>
      </c>
      <c r="W572" t="s">
        <v>3052</v>
      </c>
      <c r="X572">
        <v>0</v>
      </c>
      <c r="Y572">
        <v>1230</v>
      </c>
      <c r="AA572" t="str">
        <f t="shared" si="16"/>
        <v>update zamestnanci set nastup='83' where id='1834';</v>
      </c>
      <c r="AB572" t="str">
        <f t="shared" si="17"/>
        <v>update dochazka set zastavka = '83' where zamestnanec = '1834';</v>
      </c>
    </row>
    <row r="573" spans="1:28" x14ac:dyDescent="0.25">
      <c r="A573" s="2">
        <v>1835</v>
      </c>
      <c r="B573" t="s">
        <v>7728</v>
      </c>
      <c r="C573" t="s">
        <v>357</v>
      </c>
      <c r="D573" t="s">
        <v>5714</v>
      </c>
      <c r="E573" t="s">
        <v>5715</v>
      </c>
      <c r="F573" t="s">
        <v>7729</v>
      </c>
      <c r="G573" s="1">
        <v>45911</v>
      </c>
      <c r="H573" s="1">
        <v>73050</v>
      </c>
      <c r="I573" s="1" t="e">
        <v>#N/A</v>
      </c>
      <c r="J573" s="2" t="s">
        <v>8484</v>
      </c>
      <c r="K573" t="s">
        <v>5716</v>
      </c>
      <c r="M573" s="16" t="s">
        <v>8485</v>
      </c>
      <c r="N573" s="16" t="str">
        <f>VLOOKUP(M573,Tab_Zast[[Zastávka]:[Sloupec1]],2,0)</f>
        <v>83</v>
      </c>
      <c r="O573" t="s">
        <v>5717</v>
      </c>
      <c r="P573">
        <v>6</v>
      </c>
      <c r="Q573">
        <v>0</v>
      </c>
      <c r="R573" t="s">
        <v>129</v>
      </c>
      <c r="S573" t="s">
        <v>31</v>
      </c>
      <c r="T573" t="s">
        <v>32</v>
      </c>
      <c r="V573" s="1" t="e">
        <v>#N/A</v>
      </c>
      <c r="W573" t="s">
        <v>1216</v>
      </c>
      <c r="X573">
        <v>1</v>
      </c>
      <c r="Y573">
        <v>1231</v>
      </c>
      <c r="AA573" t="str">
        <f t="shared" si="16"/>
        <v>update zamestnanci set nastup='83' where id='1835';</v>
      </c>
      <c r="AB573" t="str">
        <f t="shared" si="17"/>
        <v>update dochazka set zastavka = '83' where zamestnanec = '1835';</v>
      </c>
    </row>
    <row r="574" spans="1:28" x14ac:dyDescent="0.25">
      <c r="A574" s="2">
        <v>1836</v>
      </c>
      <c r="B574" t="s">
        <v>7730</v>
      </c>
      <c r="C574" t="s">
        <v>357</v>
      </c>
      <c r="D574" t="s">
        <v>2475</v>
      </c>
      <c r="E574" t="s">
        <v>7731</v>
      </c>
      <c r="F574" t="s">
        <v>569</v>
      </c>
      <c r="G574" s="1">
        <v>45911</v>
      </c>
      <c r="H574" s="1">
        <v>45939</v>
      </c>
      <c r="I574" s="1">
        <v>73050</v>
      </c>
      <c r="J574" s="2" t="s">
        <v>8484</v>
      </c>
      <c r="K574" t="s">
        <v>7732</v>
      </c>
      <c r="M574" s="16" t="s">
        <v>8485</v>
      </c>
      <c r="N574" s="16" t="str">
        <f>VLOOKUP(M574,Tab_Zast[[Zastávka]:[Sloupec1]],2,0)</f>
        <v>83</v>
      </c>
      <c r="O574" t="s">
        <v>7733</v>
      </c>
      <c r="P574">
        <v>6</v>
      </c>
      <c r="Q574">
        <v>0</v>
      </c>
      <c r="R574" t="s">
        <v>31</v>
      </c>
      <c r="S574" t="s">
        <v>31</v>
      </c>
      <c r="T574" t="s">
        <v>32</v>
      </c>
      <c r="V574" s="1" t="e">
        <v>#N/A</v>
      </c>
      <c r="W574" t="s">
        <v>3052</v>
      </c>
      <c r="X574">
        <v>0</v>
      </c>
      <c r="Y574">
        <v>1232</v>
      </c>
      <c r="AA574" t="str">
        <f t="shared" si="16"/>
        <v>update zamestnanci set nastup='83' where id='1836';</v>
      </c>
      <c r="AB574" t="str">
        <f t="shared" si="17"/>
        <v>update dochazka set zastavka = '83' where zamestnanec = '1836';</v>
      </c>
    </row>
    <row r="575" spans="1:28" x14ac:dyDescent="0.25">
      <c r="A575" s="2">
        <v>1837</v>
      </c>
      <c r="B575" t="s">
        <v>7734</v>
      </c>
      <c r="C575" t="s">
        <v>357</v>
      </c>
      <c r="D575" t="s">
        <v>7735</v>
      </c>
      <c r="E575" t="s">
        <v>2641</v>
      </c>
      <c r="F575" t="s">
        <v>569</v>
      </c>
      <c r="G575" s="1">
        <v>45911</v>
      </c>
      <c r="H575" s="1">
        <v>45923</v>
      </c>
      <c r="I575" s="1">
        <v>73050</v>
      </c>
      <c r="J575" s="2" t="s">
        <v>8484</v>
      </c>
      <c r="K575" t="s">
        <v>7736</v>
      </c>
      <c r="M575" s="16" t="s">
        <v>8485</v>
      </c>
      <c r="N575" s="16" t="str">
        <f>VLOOKUP(M575,Tab_Zast[[Zastávka]:[Sloupec1]],2,0)</f>
        <v>83</v>
      </c>
      <c r="O575" t="s">
        <v>7737</v>
      </c>
      <c r="P575">
        <v>6</v>
      </c>
      <c r="Q575">
        <v>0</v>
      </c>
      <c r="R575" t="s">
        <v>31</v>
      </c>
      <c r="S575" t="s">
        <v>31</v>
      </c>
      <c r="T575" t="s">
        <v>32</v>
      </c>
      <c r="V575" s="1" t="e">
        <v>#N/A</v>
      </c>
      <c r="W575" t="s">
        <v>3052</v>
      </c>
      <c r="X575">
        <v>0</v>
      </c>
      <c r="Y575">
        <v>1233</v>
      </c>
      <c r="AA575" t="str">
        <f t="shared" si="16"/>
        <v>update zamestnanci set nastup='83' where id='1837';</v>
      </c>
      <c r="AB575" t="str">
        <f t="shared" si="17"/>
        <v>update dochazka set zastavka = '83' where zamestnanec = '1837';</v>
      </c>
    </row>
    <row r="576" spans="1:28" x14ac:dyDescent="0.25">
      <c r="A576" s="2">
        <v>1891</v>
      </c>
      <c r="B576" t="s">
        <v>7953</v>
      </c>
      <c r="C576" t="s">
        <v>569</v>
      </c>
      <c r="D576" t="s">
        <v>5714</v>
      </c>
      <c r="E576" t="s">
        <v>5715</v>
      </c>
      <c r="F576" t="s">
        <v>569</v>
      </c>
      <c r="G576" s="1">
        <v>45944</v>
      </c>
      <c r="H576" s="1">
        <v>45944</v>
      </c>
      <c r="I576" s="1" t="e">
        <v>#N/A</v>
      </c>
      <c r="J576" s="2" t="s">
        <v>8484</v>
      </c>
      <c r="K576" t="s">
        <v>5716</v>
      </c>
      <c r="M576" s="16" t="s">
        <v>8485</v>
      </c>
      <c r="N576" s="16" t="str">
        <f>VLOOKUP(M576,Tab_Zast[[Zastávka]:[Sloupec1]],2,0)</f>
        <v>83</v>
      </c>
      <c r="O576" t="s">
        <v>5717</v>
      </c>
      <c r="P576">
        <v>6</v>
      </c>
      <c r="Q576">
        <v>0</v>
      </c>
      <c r="R576" t="s">
        <v>31</v>
      </c>
      <c r="S576" t="s">
        <v>31</v>
      </c>
      <c r="T576" t="s">
        <v>32</v>
      </c>
      <c r="V576" s="1" t="e">
        <v>#N/A</v>
      </c>
      <c r="X576">
        <v>0</v>
      </c>
      <c r="Y576">
        <v>1277</v>
      </c>
      <c r="AA576" t="str">
        <f t="shared" si="16"/>
        <v>update zamestnanci set nastup='83' where id='1891';</v>
      </c>
      <c r="AB576" t="str">
        <f t="shared" si="17"/>
        <v>update dochazka set zastavka = '83' where zamestnanec = '1891';</v>
      </c>
    </row>
    <row r="577" spans="1:28" x14ac:dyDescent="0.25">
      <c r="A577" s="2">
        <v>571</v>
      </c>
      <c r="B577" t="s">
        <v>2388</v>
      </c>
      <c r="C577" t="s">
        <v>2389</v>
      </c>
      <c r="D577" t="s">
        <v>2390</v>
      </c>
      <c r="E577" t="s">
        <v>2391</v>
      </c>
      <c r="F577" t="s">
        <v>2392</v>
      </c>
      <c r="G577" s="1">
        <v>45117</v>
      </c>
      <c r="H577" s="1" t="e">
        <v>#N/A</v>
      </c>
      <c r="I577" s="1" t="e">
        <v>#N/A</v>
      </c>
      <c r="J577" s="2" t="s">
        <v>8531</v>
      </c>
      <c r="K577" t="s">
        <v>2393</v>
      </c>
      <c r="M577" s="16" t="s">
        <v>8532</v>
      </c>
      <c r="N577" s="16" t="str">
        <f>VLOOKUP(M577,Tab_Zast[[Zastávka]:[Sloupec1]],2,0)</f>
        <v>101</v>
      </c>
      <c r="O577" t="s">
        <v>2394</v>
      </c>
      <c r="P577">
        <v>1</v>
      </c>
      <c r="Q577">
        <v>0</v>
      </c>
      <c r="R577" t="s">
        <v>179</v>
      </c>
      <c r="S577" t="s">
        <v>31</v>
      </c>
      <c r="T577" t="s">
        <v>32</v>
      </c>
      <c r="V577" s="1" t="e">
        <v>#N/A</v>
      </c>
      <c r="W577" t="s">
        <v>2381</v>
      </c>
      <c r="X577">
        <v>1</v>
      </c>
      <c r="Y577">
        <v>0</v>
      </c>
      <c r="AA577" t="str">
        <f t="shared" si="16"/>
        <v>update zamestnanci set nastup='101' where id='571';</v>
      </c>
      <c r="AB577" t="str">
        <f t="shared" si="17"/>
        <v>update dochazka set zastavka = '101' where zamestnanec = '571';</v>
      </c>
    </row>
    <row r="578" spans="1:28" x14ac:dyDescent="0.25">
      <c r="A578" s="2">
        <v>663</v>
      </c>
      <c r="B578" t="s">
        <v>2892</v>
      </c>
      <c r="D578" t="s">
        <v>2464</v>
      </c>
      <c r="E578" t="s">
        <v>2465</v>
      </c>
      <c r="F578" t="s">
        <v>2893</v>
      </c>
      <c r="G578" s="1">
        <v>45229</v>
      </c>
      <c r="H578" s="1">
        <v>45315</v>
      </c>
      <c r="I578" s="1">
        <v>73050</v>
      </c>
      <c r="J578" s="2" t="s">
        <v>8531</v>
      </c>
      <c r="K578" t="s">
        <v>2467</v>
      </c>
      <c r="M578" s="16" t="s">
        <v>8532</v>
      </c>
      <c r="N578" s="16" t="str">
        <f>VLOOKUP(M578,Tab_Zast[[Zastávka]:[Sloupec1]],2,0)</f>
        <v>101</v>
      </c>
      <c r="O578" t="s">
        <v>2894</v>
      </c>
      <c r="P578">
        <v>1</v>
      </c>
      <c r="Q578">
        <v>0</v>
      </c>
      <c r="R578" t="s">
        <v>31</v>
      </c>
      <c r="S578" t="s">
        <v>31</v>
      </c>
      <c r="T578" t="s">
        <v>32</v>
      </c>
      <c r="V578" s="1" t="e">
        <v>#N/A</v>
      </c>
      <c r="W578" t="s">
        <v>47</v>
      </c>
      <c r="X578">
        <v>0</v>
      </c>
      <c r="Y578">
        <v>0</v>
      </c>
      <c r="Z578" t="s">
        <v>40</v>
      </c>
      <c r="AA578" t="str">
        <f t="shared" si="16"/>
        <v>update zamestnanci set nastup='101' where id='663';</v>
      </c>
      <c r="AB578" t="str">
        <f t="shared" si="17"/>
        <v>update dochazka set zastavka = '101' where zamestnanec = '663';</v>
      </c>
    </row>
    <row r="579" spans="1:28" x14ac:dyDescent="0.25">
      <c r="A579" s="2">
        <v>674</v>
      </c>
      <c r="B579" t="s">
        <v>2949</v>
      </c>
      <c r="D579" t="s">
        <v>2950</v>
      </c>
      <c r="E579" t="s">
        <v>866</v>
      </c>
      <c r="F579" t="s">
        <v>67</v>
      </c>
      <c r="G579" s="1">
        <v>45315</v>
      </c>
      <c r="H579" s="1">
        <v>45345</v>
      </c>
      <c r="I579" s="1">
        <v>73050</v>
      </c>
      <c r="J579" s="2" t="s">
        <v>8531</v>
      </c>
      <c r="K579" t="s">
        <v>2951</v>
      </c>
      <c r="M579" s="16" t="s">
        <v>8532</v>
      </c>
      <c r="N579" s="16" t="str">
        <f>VLOOKUP(M579,Tab_Zast[[Zastávka]:[Sloupec1]],2,0)</f>
        <v>101</v>
      </c>
      <c r="O579" t="s">
        <v>2952</v>
      </c>
      <c r="P579">
        <v>1</v>
      </c>
      <c r="Q579">
        <v>0</v>
      </c>
      <c r="R579" t="s">
        <v>31</v>
      </c>
      <c r="S579" t="s">
        <v>31</v>
      </c>
      <c r="T579" t="s">
        <v>32</v>
      </c>
      <c r="V579" s="1" t="e">
        <v>#N/A</v>
      </c>
      <c r="W579" t="s">
        <v>2381</v>
      </c>
      <c r="X579">
        <v>0</v>
      </c>
      <c r="Y579">
        <v>0</v>
      </c>
      <c r="AA579" t="str">
        <f t="shared" si="16"/>
        <v>update zamestnanci set nastup='101' where id='674';</v>
      </c>
      <c r="AB579" t="str">
        <f t="shared" si="17"/>
        <v>update dochazka set zastavka = '101' where zamestnanec = '674';</v>
      </c>
    </row>
    <row r="580" spans="1:28" x14ac:dyDescent="0.25">
      <c r="A580" s="2">
        <v>930</v>
      </c>
      <c r="B580" t="s">
        <v>4201</v>
      </c>
      <c r="D580" t="s">
        <v>3521</v>
      </c>
      <c r="E580" t="s">
        <v>3522</v>
      </c>
      <c r="F580" t="s">
        <v>67</v>
      </c>
      <c r="G580" s="1">
        <v>45411</v>
      </c>
      <c r="H580" s="1">
        <v>45405</v>
      </c>
      <c r="I580" s="1">
        <v>45411</v>
      </c>
      <c r="J580" s="2" t="s">
        <v>8531</v>
      </c>
      <c r="K580" t="s">
        <v>4202</v>
      </c>
      <c r="M580" s="16" t="s">
        <v>8532</v>
      </c>
      <c r="N580" s="16" t="str">
        <f>VLOOKUP(M580,Tab_Zast[[Zastávka]:[Sloupec1]],2,0)</f>
        <v>101</v>
      </c>
      <c r="O580" t="s">
        <v>4203</v>
      </c>
      <c r="P580">
        <v>6</v>
      </c>
      <c r="Q580">
        <v>0</v>
      </c>
      <c r="R580" t="s">
        <v>31</v>
      </c>
      <c r="S580" t="s">
        <v>31</v>
      </c>
      <c r="T580" t="s">
        <v>32</v>
      </c>
      <c r="V580" s="1" t="e">
        <v>#N/A</v>
      </c>
      <c r="W580" t="s">
        <v>1216</v>
      </c>
      <c r="X580">
        <v>0</v>
      </c>
      <c r="Y580">
        <v>300</v>
      </c>
      <c r="AA580" t="str">
        <f t="shared" ref="AA580:AA643" si="18">IF(J580&lt;&gt;"00","update zamestnanci set nastup='" &amp; J580 &amp; "' where id='" &amp; A580 &amp; "';","")</f>
        <v>update zamestnanci set nastup='101' where id='930';</v>
      </c>
      <c r="AB580" t="str">
        <f t="shared" ref="AB580:AB643" si="19">IF(J580&lt;&gt;"00","update dochazka set zastavka = '" &amp; J580 &amp; "' where zamestnanec = '" &amp; A580 &amp; "';","")</f>
        <v>update dochazka set zastavka = '101' where zamestnanec = '930';</v>
      </c>
    </row>
    <row r="581" spans="1:28" x14ac:dyDescent="0.25">
      <c r="A581" s="2">
        <v>990</v>
      </c>
      <c r="B581" t="s">
        <v>64</v>
      </c>
      <c r="C581" t="s">
        <v>64</v>
      </c>
      <c r="D581" t="s">
        <v>4478</v>
      </c>
      <c r="E581" t="s">
        <v>737</v>
      </c>
      <c r="F581" t="s">
        <v>4479</v>
      </c>
      <c r="G581" s="1">
        <v>45453</v>
      </c>
      <c r="H581" s="1">
        <v>45453</v>
      </c>
      <c r="I581" s="1">
        <v>73050</v>
      </c>
      <c r="J581" s="2" t="s">
        <v>8531</v>
      </c>
      <c r="K581" t="s">
        <v>4480</v>
      </c>
      <c r="M581" s="16" t="s">
        <v>8532</v>
      </c>
      <c r="N581" s="16" t="str">
        <f>VLOOKUP(M581,Tab_Zast[[Zastávka]:[Sloupec1]],2,0)</f>
        <v>101</v>
      </c>
      <c r="O581" t="s">
        <v>4481</v>
      </c>
      <c r="P581">
        <v>1</v>
      </c>
      <c r="Q581">
        <v>0</v>
      </c>
      <c r="R581" t="s">
        <v>129</v>
      </c>
      <c r="S581" t="s">
        <v>179</v>
      </c>
      <c r="T581" t="s">
        <v>32</v>
      </c>
      <c r="V581" s="1" t="e">
        <v>#N/A</v>
      </c>
      <c r="W581" t="s">
        <v>47</v>
      </c>
      <c r="X581">
        <v>0</v>
      </c>
      <c r="Y581">
        <v>390</v>
      </c>
      <c r="Z581" t="s">
        <v>40</v>
      </c>
      <c r="AA581" t="str">
        <f t="shared" si="18"/>
        <v>update zamestnanci set nastup='101' where id='990';</v>
      </c>
      <c r="AB581" t="str">
        <f t="shared" si="19"/>
        <v>update dochazka set zastavka = '101' where zamestnanec = '990';</v>
      </c>
    </row>
    <row r="582" spans="1:28" x14ac:dyDescent="0.25">
      <c r="A582" s="2">
        <v>1141</v>
      </c>
      <c r="B582" t="s">
        <v>5106</v>
      </c>
      <c r="C582" t="s">
        <v>151</v>
      </c>
      <c r="D582" t="s">
        <v>5107</v>
      </c>
      <c r="E582" t="s">
        <v>661</v>
      </c>
      <c r="F582" t="s">
        <v>67</v>
      </c>
      <c r="G582" s="1">
        <v>45516</v>
      </c>
      <c r="H582" s="1">
        <v>45516</v>
      </c>
      <c r="I582" s="1">
        <v>45516</v>
      </c>
      <c r="J582" s="2" t="s">
        <v>8531</v>
      </c>
      <c r="K582" t="s">
        <v>5108</v>
      </c>
      <c r="M582" s="16" t="s">
        <v>8532</v>
      </c>
      <c r="N582" s="16" t="str">
        <f>VLOOKUP(M582,Tab_Zast[[Zastávka]:[Sloupec1]],2,0)</f>
        <v>101</v>
      </c>
      <c r="O582" t="s">
        <v>5109</v>
      </c>
      <c r="P582">
        <v>1</v>
      </c>
      <c r="Q582">
        <v>0</v>
      </c>
      <c r="R582" t="s">
        <v>31</v>
      </c>
      <c r="S582" t="s">
        <v>31</v>
      </c>
      <c r="T582" t="s">
        <v>32</v>
      </c>
      <c r="V582" s="1" t="e">
        <v>#N/A</v>
      </c>
      <c r="W582" t="s">
        <v>47</v>
      </c>
      <c r="X582">
        <v>0</v>
      </c>
      <c r="Y582">
        <v>530</v>
      </c>
      <c r="AA582" t="str">
        <f t="shared" si="18"/>
        <v>update zamestnanci set nastup='101' where id='1141';</v>
      </c>
      <c r="AB582" t="str">
        <f t="shared" si="19"/>
        <v>update dochazka set zastavka = '101' where zamestnanec = '1141';</v>
      </c>
    </row>
    <row r="583" spans="1:28" x14ac:dyDescent="0.25">
      <c r="A583" s="2">
        <v>1142</v>
      </c>
      <c r="B583" t="s">
        <v>5110</v>
      </c>
      <c r="C583" t="s">
        <v>151</v>
      </c>
      <c r="D583" t="s">
        <v>5111</v>
      </c>
      <c r="E583" t="s">
        <v>2883</v>
      </c>
      <c r="F583" t="s">
        <v>67</v>
      </c>
      <c r="G583" s="1">
        <v>45516</v>
      </c>
      <c r="H583" s="1">
        <v>45516</v>
      </c>
      <c r="I583" s="1">
        <v>45516</v>
      </c>
      <c r="J583" s="2" t="s">
        <v>8531</v>
      </c>
      <c r="K583" t="s">
        <v>5108</v>
      </c>
      <c r="M583" s="16" t="s">
        <v>8532</v>
      </c>
      <c r="N583" s="16" t="str">
        <f>VLOOKUP(M583,Tab_Zast[[Zastávka]:[Sloupec1]],2,0)</f>
        <v>101</v>
      </c>
      <c r="O583" t="s">
        <v>5109</v>
      </c>
      <c r="P583">
        <v>1</v>
      </c>
      <c r="Q583">
        <v>0</v>
      </c>
      <c r="R583" t="s">
        <v>31</v>
      </c>
      <c r="S583" t="s">
        <v>31</v>
      </c>
      <c r="T583" t="s">
        <v>32</v>
      </c>
      <c r="V583" s="1" t="e">
        <v>#N/A</v>
      </c>
      <c r="W583" t="s">
        <v>47</v>
      </c>
      <c r="X583">
        <v>0</v>
      </c>
      <c r="Y583">
        <v>531</v>
      </c>
      <c r="AA583" t="str">
        <f t="shared" si="18"/>
        <v>update zamestnanci set nastup='101' where id='1142';</v>
      </c>
      <c r="AB583" t="str">
        <f t="shared" si="19"/>
        <v>update dochazka set zastavka = '101' where zamestnanec = '1142';</v>
      </c>
    </row>
    <row r="584" spans="1:28" x14ac:dyDescent="0.25">
      <c r="A584" s="2">
        <v>1202</v>
      </c>
      <c r="B584" t="s">
        <v>5347</v>
      </c>
      <c r="C584" t="s">
        <v>151</v>
      </c>
      <c r="D584" t="s">
        <v>5348</v>
      </c>
      <c r="E584" t="s">
        <v>2391</v>
      </c>
      <c r="F584" t="s">
        <v>5349</v>
      </c>
      <c r="G584" s="1">
        <v>45538</v>
      </c>
      <c r="H584" s="1">
        <v>45540</v>
      </c>
      <c r="I584" s="1">
        <v>73050</v>
      </c>
      <c r="J584" s="2" t="s">
        <v>8531</v>
      </c>
      <c r="K584" t="s">
        <v>5350</v>
      </c>
      <c r="M584" s="16" t="s">
        <v>8532</v>
      </c>
      <c r="N584" s="16" t="str">
        <f>VLOOKUP(M584,Tab_Zast[[Zastávka]:[Sloupec1]],2,0)</f>
        <v>101</v>
      </c>
      <c r="O584" t="s">
        <v>5351</v>
      </c>
      <c r="P584">
        <v>1</v>
      </c>
      <c r="Q584">
        <v>0</v>
      </c>
      <c r="R584" t="s">
        <v>31</v>
      </c>
      <c r="S584" t="s">
        <v>31</v>
      </c>
      <c r="T584" t="s">
        <v>32</v>
      </c>
      <c r="V584" s="1" t="e">
        <v>#N/A</v>
      </c>
      <c r="W584" t="s">
        <v>47</v>
      </c>
      <c r="X584">
        <v>0</v>
      </c>
      <c r="Y584">
        <v>592</v>
      </c>
      <c r="AA584" t="str">
        <f t="shared" si="18"/>
        <v>update zamestnanci set nastup='101' where id='1202';</v>
      </c>
      <c r="AB584" t="str">
        <f t="shared" si="19"/>
        <v>update dochazka set zastavka = '101' where zamestnanec = '1202';</v>
      </c>
    </row>
    <row r="585" spans="1:28" x14ac:dyDescent="0.25">
      <c r="A585" s="2">
        <v>1208</v>
      </c>
      <c r="B585" t="s">
        <v>5373</v>
      </c>
      <c r="C585" t="s">
        <v>64</v>
      </c>
      <c r="D585" t="s">
        <v>5374</v>
      </c>
      <c r="E585" t="s">
        <v>2613</v>
      </c>
      <c r="F585" t="s">
        <v>5375</v>
      </c>
      <c r="G585" s="1">
        <v>45544</v>
      </c>
      <c r="H585" s="1">
        <v>45595</v>
      </c>
      <c r="I585" s="1">
        <v>45595</v>
      </c>
      <c r="J585" s="2" t="s">
        <v>8531</v>
      </c>
      <c r="K585" t="s">
        <v>5376</v>
      </c>
      <c r="M585" s="16" t="s">
        <v>8532</v>
      </c>
      <c r="N585" s="16" t="str">
        <f>VLOOKUP(M585,Tab_Zast[[Zastávka]:[Sloupec1]],2,0)</f>
        <v>101</v>
      </c>
      <c r="O585" t="s">
        <v>5377</v>
      </c>
      <c r="P585">
        <v>1</v>
      </c>
      <c r="Q585">
        <v>0</v>
      </c>
      <c r="R585" t="s">
        <v>31</v>
      </c>
      <c r="S585" t="s">
        <v>31</v>
      </c>
      <c r="T585" t="s">
        <v>32</v>
      </c>
      <c r="V585" s="1" t="e">
        <v>#N/A</v>
      </c>
      <c r="W585" t="s">
        <v>47</v>
      </c>
      <c r="X585">
        <v>0</v>
      </c>
      <c r="Y585">
        <v>601</v>
      </c>
      <c r="AA585" t="str">
        <f t="shared" si="18"/>
        <v>update zamestnanci set nastup='101' where id='1208';</v>
      </c>
      <c r="AB585" t="str">
        <f t="shared" si="19"/>
        <v>update dochazka set zastavka = '101' where zamestnanec = '1208';</v>
      </c>
    </row>
    <row r="586" spans="1:28" x14ac:dyDescent="0.25">
      <c r="A586" s="2">
        <v>1234</v>
      </c>
      <c r="B586" t="s">
        <v>5474</v>
      </c>
      <c r="C586" t="s">
        <v>64</v>
      </c>
      <c r="D586" t="s">
        <v>5475</v>
      </c>
      <c r="E586" t="s">
        <v>3204</v>
      </c>
      <c r="F586" t="s">
        <v>5391</v>
      </c>
      <c r="G586" s="1">
        <v>45551</v>
      </c>
      <c r="H586" s="1">
        <v>45573</v>
      </c>
      <c r="I586" s="1">
        <v>73050</v>
      </c>
      <c r="J586" s="2" t="s">
        <v>8531</v>
      </c>
      <c r="K586" t="s">
        <v>5476</v>
      </c>
      <c r="M586" s="16" t="s">
        <v>8532</v>
      </c>
      <c r="N586" s="16" t="str">
        <f>VLOOKUP(M586,Tab_Zast[[Zastávka]:[Sloupec1]],2,0)</f>
        <v>101</v>
      </c>
      <c r="O586" t="s">
        <v>5477</v>
      </c>
      <c r="P586">
        <v>1</v>
      </c>
      <c r="Q586">
        <v>0</v>
      </c>
      <c r="R586" t="s">
        <v>31</v>
      </c>
      <c r="S586" t="s">
        <v>31</v>
      </c>
      <c r="T586" t="s">
        <v>32</v>
      </c>
      <c r="V586" s="1" t="e">
        <v>#N/A</v>
      </c>
      <c r="W586" t="s">
        <v>47</v>
      </c>
      <c r="X586">
        <v>0</v>
      </c>
      <c r="Y586">
        <v>625</v>
      </c>
      <c r="AA586" t="str">
        <f t="shared" si="18"/>
        <v>update zamestnanci set nastup='101' where id='1234';</v>
      </c>
      <c r="AB586" t="str">
        <f t="shared" si="19"/>
        <v>update dochazka set zastavka = '101' where zamestnanec = '1234';</v>
      </c>
    </row>
    <row r="587" spans="1:28" x14ac:dyDescent="0.25">
      <c r="A587" s="2">
        <v>1251</v>
      </c>
      <c r="B587" t="s">
        <v>5539</v>
      </c>
      <c r="C587" t="s">
        <v>64</v>
      </c>
      <c r="D587" t="s">
        <v>5540</v>
      </c>
      <c r="E587" t="s">
        <v>3138</v>
      </c>
      <c r="F587" t="s">
        <v>5541</v>
      </c>
      <c r="G587" s="1">
        <v>45554</v>
      </c>
      <c r="H587" s="1">
        <v>45559</v>
      </c>
      <c r="I587" s="1">
        <v>73050</v>
      </c>
      <c r="J587" s="2" t="s">
        <v>8531</v>
      </c>
      <c r="K587" t="s">
        <v>5433</v>
      </c>
      <c r="M587" s="16" t="s">
        <v>8532</v>
      </c>
      <c r="N587" s="16" t="str">
        <f>VLOOKUP(M587,Tab_Zast[[Zastávka]:[Sloupec1]],2,0)</f>
        <v>101</v>
      </c>
      <c r="O587" t="s">
        <v>5524</v>
      </c>
      <c r="P587">
        <v>1</v>
      </c>
      <c r="Q587">
        <v>0</v>
      </c>
      <c r="R587" t="s">
        <v>31</v>
      </c>
      <c r="S587" t="s">
        <v>31</v>
      </c>
      <c r="T587" t="s">
        <v>32</v>
      </c>
      <c r="V587" s="1" t="e">
        <v>#N/A</v>
      </c>
      <c r="W587" t="s">
        <v>47</v>
      </c>
      <c r="X587">
        <v>0</v>
      </c>
      <c r="Y587">
        <v>642</v>
      </c>
      <c r="AA587" t="str">
        <f t="shared" si="18"/>
        <v>update zamestnanci set nastup='101' where id='1251';</v>
      </c>
      <c r="AB587" t="str">
        <f t="shared" si="19"/>
        <v>update dochazka set zastavka = '101' where zamestnanec = '1251';</v>
      </c>
    </row>
    <row r="588" spans="1:28" x14ac:dyDescent="0.25">
      <c r="A588" s="2">
        <v>1322</v>
      </c>
      <c r="B588" t="s">
        <v>5827</v>
      </c>
      <c r="C588" t="s">
        <v>5610</v>
      </c>
      <c r="D588" t="s">
        <v>5828</v>
      </c>
      <c r="E588" t="s">
        <v>1947</v>
      </c>
      <c r="F588" t="s">
        <v>5829</v>
      </c>
      <c r="G588" s="1">
        <v>45586</v>
      </c>
      <c r="H588" s="1">
        <v>45600</v>
      </c>
      <c r="I588" s="1">
        <v>45600</v>
      </c>
      <c r="J588" s="2" t="s">
        <v>8531</v>
      </c>
      <c r="K588" t="s">
        <v>5830</v>
      </c>
      <c r="M588" s="16" t="s">
        <v>8532</v>
      </c>
      <c r="N588" s="16" t="str">
        <f>VLOOKUP(M588,Tab_Zast[[Zastávka]:[Sloupec1]],2,0)</f>
        <v>101</v>
      </c>
      <c r="O588" t="s">
        <v>5831</v>
      </c>
      <c r="P588">
        <v>1</v>
      </c>
      <c r="Q588">
        <v>0</v>
      </c>
      <c r="R588" t="s">
        <v>31</v>
      </c>
      <c r="S588" t="s">
        <v>31</v>
      </c>
      <c r="T588" t="s">
        <v>32</v>
      </c>
      <c r="V588" s="1">
        <v>45595</v>
      </c>
      <c r="W588" t="s">
        <v>47</v>
      </c>
      <c r="X588">
        <v>0</v>
      </c>
      <c r="Y588">
        <v>711</v>
      </c>
      <c r="AA588" t="str">
        <f t="shared" si="18"/>
        <v>update zamestnanci set nastup='101' where id='1322';</v>
      </c>
      <c r="AB588" t="str">
        <f t="shared" si="19"/>
        <v>update dochazka set zastavka = '101' where zamestnanec = '1322';</v>
      </c>
    </row>
    <row r="589" spans="1:28" x14ac:dyDescent="0.25">
      <c r="A589" s="2">
        <v>1339</v>
      </c>
      <c r="B589" t="s">
        <v>5891</v>
      </c>
      <c r="C589" t="s">
        <v>64</v>
      </c>
      <c r="D589" t="s">
        <v>5892</v>
      </c>
      <c r="E589" t="s">
        <v>1007</v>
      </c>
      <c r="F589" t="s">
        <v>5893</v>
      </c>
      <c r="G589" s="1">
        <v>45600</v>
      </c>
      <c r="H589" s="1">
        <v>45638</v>
      </c>
      <c r="I589" s="1">
        <v>45638</v>
      </c>
      <c r="J589" s="2" t="s">
        <v>8531</v>
      </c>
      <c r="K589" t="s">
        <v>5894</v>
      </c>
      <c r="M589" s="16" t="s">
        <v>8532</v>
      </c>
      <c r="N589" s="16" t="str">
        <f>VLOOKUP(M589,Tab_Zast[[Zastávka]:[Sloupec1]],2,0)</f>
        <v>101</v>
      </c>
      <c r="O589" t="s">
        <v>5895</v>
      </c>
      <c r="P589">
        <v>1</v>
      </c>
      <c r="Q589">
        <v>0</v>
      </c>
      <c r="R589" t="s">
        <v>31</v>
      </c>
      <c r="S589" t="s">
        <v>31</v>
      </c>
      <c r="T589" t="s">
        <v>32</v>
      </c>
      <c r="V589" s="1" t="e">
        <v>#N/A</v>
      </c>
      <c r="W589" t="s">
        <v>47</v>
      </c>
      <c r="X589">
        <v>0</v>
      </c>
      <c r="Y589">
        <v>727</v>
      </c>
      <c r="AA589" t="str">
        <f t="shared" si="18"/>
        <v>update zamestnanci set nastup='101' where id='1339';</v>
      </c>
      <c r="AB589" t="str">
        <f t="shared" si="19"/>
        <v>update dochazka set zastavka = '101' where zamestnanec = '1339';</v>
      </c>
    </row>
    <row r="590" spans="1:28" x14ac:dyDescent="0.25">
      <c r="A590" s="2">
        <v>1403</v>
      </c>
      <c r="B590" t="s">
        <v>6137</v>
      </c>
      <c r="C590" t="s">
        <v>64</v>
      </c>
      <c r="D590" t="s">
        <v>6138</v>
      </c>
      <c r="E590" t="s">
        <v>182</v>
      </c>
      <c r="F590" t="s">
        <v>64</v>
      </c>
      <c r="G590" s="1">
        <v>45621</v>
      </c>
      <c r="H590" s="1">
        <v>45742</v>
      </c>
      <c r="I590" s="1">
        <v>73050</v>
      </c>
      <c r="J590" s="2" t="s">
        <v>8531</v>
      </c>
      <c r="K590" t="s">
        <v>6139</v>
      </c>
      <c r="M590" s="16" t="s">
        <v>8532</v>
      </c>
      <c r="N590" s="16" t="str">
        <f>VLOOKUP(M590,Tab_Zast[[Zastávka]:[Sloupec1]],2,0)</f>
        <v>101</v>
      </c>
      <c r="O590" t="s">
        <v>6140</v>
      </c>
      <c r="P590">
        <v>1</v>
      </c>
      <c r="Q590">
        <v>0</v>
      </c>
      <c r="R590" t="s">
        <v>31</v>
      </c>
      <c r="S590" t="s">
        <v>31</v>
      </c>
      <c r="T590" t="s">
        <v>32</v>
      </c>
      <c r="V590" s="1" t="e">
        <v>#N/A</v>
      </c>
      <c r="W590" t="s">
        <v>47</v>
      </c>
      <c r="X590">
        <v>0</v>
      </c>
      <c r="Y590">
        <v>792</v>
      </c>
      <c r="AA590" t="str">
        <f t="shared" si="18"/>
        <v>update zamestnanci set nastup='101' where id='1403';</v>
      </c>
      <c r="AB590" t="str">
        <f t="shared" si="19"/>
        <v>update dochazka set zastavka = '101' where zamestnanec = '1403';</v>
      </c>
    </row>
    <row r="591" spans="1:28" x14ac:dyDescent="0.25">
      <c r="A591" s="2">
        <v>1534</v>
      </c>
      <c r="B591" t="s">
        <v>6635</v>
      </c>
      <c r="C591" t="s">
        <v>569</v>
      </c>
      <c r="D591" t="s">
        <v>6636</v>
      </c>
      <c r="E591" t="s">
        <v>2536</v>
      </c>
      <c r="F591" t="s">
        <v>569</v>
      </c>
      <c r="G591" s="1">
        <v>45740</v>
      </c>
      <c r="H591" s="1">
        <v>45775</v>
      </c>
      <c r="I591" s="1">
        <v>73050</v>
      </c>
      <c r="J591" s="2" t="s">
        <v>8531</v>
      </c>
      <c r="K591" t="s">
        <v>6637</v>
      </c>
      <c r="M591" s="16" t="s">
        <v>8532</v>
      </c>
      <c r="N591" s="16" t="str">
        <f>VLOOKUP(M591,Tab_Zast[[Zastávka]:[Sloupec1]],2,0)</f>
        <v>101</v>
      </c>
      <c r="O591" t="s">
        <v>6638</v>
      </c>
      <c r="P591">
        <v>1</v>
      </c>
      <c r="Q591">
        <v>0</v>
      </c>
      <c r="R591" t="s">
        <v>31</v>
      </c>
      <c r="S591" t="s">
        <v>31</v>
      </c>
      <c r="T591" t="s">
        <v>32</v>
      </c>
      <c r="V591" s="1" t="e">
        <v>#N/A</v>
      </c>
      <c r="W591" t="s">
        <v>2381</v>
      </c>
      <c r="X591">
        <v>0</v>
      </c>
      <c r="Y591">
        <v>927</v>
      </c>
      <c r="AA591" t="str">
        <f t="shared" si="18"/>
        <v>update zamestnanci set nastup='101' where id='1534';</v>
      </c>
      <c r="AB591" t="str">
        <f t="shared" si="19"/>
        <v>update dochazka set zastavka = '101' where zamestnanec = '1534';</v>
      </c>
    </row>
    <row r="592" spans="1:28" x14ac:dyDescent="0.25">
      <c r="A592" s="2">
        <v>1562</v>
      </c>
      <c r="B592" t="s">
        <v>6740</v>
      </c>
      <c r="C592" t="s">
        <v>357</v>
      </c>
      <c r="D592" t="s">
        <v>6741</v>
      </c>
      <c r="E592" t="s">
        <v>6742</v>
      </c>
      <c r="F592" t="s">
        <v>6743</v>
      </c>
      <c r="G592" s="1">
        <v>45754</v>
      </c>
      <c r="H592" s="1">
        <v>45783</v>
      </c>
      <c r="I592" s="1">
        <v>73050</v>
      </c>
      <c r="J592" s="2" t="s">
        <v>8531</v>
      </c>
      <c r="K592" t="s">
        <v>6744</v>
      </c>
      <c r="M592" s="16" t="s">
        <v>8532</v>
      </c>
      <c r="N592" s="16" t="str">
        <f>VLOOKUP(M592,Tab_Zast[[Zastávka]:[Sloupec1]],2,0)</f>
        <v>101</v>
      </c>
      <c r="O592" t="s">
        <v>6745</v>
      </c>
      <c r="P592">
        <v>1</v>
      </c>
      <c r="Q592">
        <v>0</v>
      </c>
      <c r="R592" t="s">
        <v>31</v>
      </c>
      <c r="S592" t="s">
        <v>31</v>
      </c>
      <c r="T592" t="s">
        <v>32</v>
      </c>
      <c r="V592" s="1" t="e">
        <v>#N/A</v>
      </c>
      <c r="W592" t="s">
        <v>47</v>
      </c>
      <c r="X592">
        <v>0</v>
      </c>
      <c r="Y592">
        <v>958</v>
      </c>
      <c r="AA592" t="str">
        <f t="shared" si="18"/>
        <v>update zamestnanci set nastup='101' where id='1562';</v>
      </c>
      <c r="AB592" t="str">
        <f t="shared" si="19"/>
        <v>update dochazka set zastavka = '101' where zamestnanec = '1562';</v>
      </c>
    </row>
    <row r="593" spans="1:28" x14ac:dyDescent="0.25">
      <c r="A593" s="2">
        <v>1708</v>
      </c>
      <c r="B593" t="s">
        <v>7243</v>
      </c>
      <c r="C593" t="s">
        <v>569</v>
      </c>
      <c r="D593" t="s">
        <v>7244</v>
      </c>
      <c r="E593" t="s">
        <v>701</v>
      </c>
      <c r="F593" t="s">
        <v>7245</v>
      </c>
      <c r="G593" s="1">
        <v>45838</v>
      </c>
      <c r="H593" s="1">
        <v>45838</v>
      </c>
      <c r="I593" s="1">
        <v>45838</v>
      </c>
      <c r="J593" s="2" t="s">
        <v>8531</v>
      </c>
      <c r="K593" t="s">
        <v>7246</v>
      </c>
      <c r="M593" s="16" t="s">
        <v>8532</v>
      </c>
      <c r="N593" s="16" t="str">
        <f>VLOOKUP(M593,Tab_Zast[[Zastávka]:[Sloupec1]],2,0)</f>
        <v>101</v>
      </c>
      <c r="O593" t="s">
        <v>7247</v>
      </c>
      <c r="P593">
        <v>1</v>
      </c>
      <c r="Q593">
        <v>0</v>
      </c>
      <c r="R593" t="s">
        <v>31</v>
      </c>
      <c r="S593" t="s">
        <v>31</v>
      </c>
      <c r="T593" t="s">
        <v>32</v>
      </c>
      <c r="V593" s="1" t="e">
        <v>#N/A</v>
      </c>
      <c r="W593" t="s">
        <v>2381</v>
      </c>
      <c r="X593">
        <v>0</v>
      </c>
      <c r="Y593">
        <v>1102</v>
      </c>
      <c r="AA593" t="str">
        <f t="shared" si="18"/>
        <v>update zamestnanci set nastup='101' where id='1708';</v>
      </c>
      <c r="AB593" t="str">
        <f t="shared" si="19"/>
        <v>update dochazka set zastavka = '101' where zamestnanec = '1708';</v>
      </c>
    </row>
    <row r="594" spans="1:28" x14ac:dyDescent="0.25">
      <c r="A594" s="2">
        <v>1855</v>
      </c>
      <c r="B594" t="s">
        <v>7758</v>
      </c>
      <c r="C594" t="s">
        <v>357</v>
      </c>
      <c r="D594" t="s">
        <v>2600</v>
      </c>
      <c r="E594" t="s">
        <v>1947</v>
      </c>
      <c r="F594" t="s">
        <v>569</v>
      </c>
      <c r="G594" s="1">
        <v>45922</v>
      </c>
      <c r="H594" s="1">
        <v>45922</v>
      </c>
      <c r="I594" s="1">
        <v>73050</v>
      </c>
      <c r="J594" s="2" t="s">
        <v>8531</v>
      </c>
      <c r="K594" t="s">
        <v>7811</v>
      </c>
      <c r="M594" s="16" t="s">
        <v>8532</v>
      </c>
      <c r="N594" s="16" t="str">
        <f>VLOOKUP(M594,Tab_Zast[[Zastávka]:[Sloupec1]],2,0)</f>
        <v>101</v>
      </c>
      <c r="O594" t="s">
        <v>7812</v>
      </c>
      <c r="P594">
        <v>1</v>
      </c>
      <c r="Q594">
        <v>0</v>
      </c>
      <c r="R594" t="s">
        <v>31</v>
      </c>
      <c r="S594" t="s">
        <v>31</v>
      </c>
      <c r="T594" t="s">
        <v>32</v>
      </c>
      <c r="V594" s="1" t="e">
        <v>#N/A</v>
      </c>
      <c r="W594" t="s">
        <v>47</v>
      </c>
      <c r="X594">
        <v>0</v>
      </c>
      <c r="Y594">
        <v>1251</v>
      </c>
      <c r="AA594" t="str">
        <f t="shared" si="18"/>
        <v>update zamestnanci set nastup='101' where id='1855';</v>
      </c>
      <c r="AB594" t="str">
        <f t="shared" si="19"/>
        <v>update dochazka set zastavka = '101' where zamestnanec = '1855';</v>
      </c>
    </row>
    <row r="595" spans="1:28" x14ac:dyDescent="0.25">
      <c r="A595" s="2">
        <v>1913</v>
      </c>
      <c r="B595" t="s">
        <v>8003</v>
      </c>
      <c r="C595" t="s">
        <v>569</v>
      </c>
      <c r="D595" t="s">
        <v>8054</v>
      </c>
      <c r="E595" t="s">
        <v>8055</v>
      </c>
      <c r="F595" t="s">
        <v>8003</v>
      </c>
      <c r="G595" s="1">
        <v>45979</v>
      </c>
      <c r="H595" s="1" t="e">
        <v>#N/A</v>
      </c>
      <c r="I595" s="1" t="e">
        <v>#N/A</v>
      </c>
      <c r="J595" s="2" t="s">
        <v>8531</v>
      </c>
      <c r="K595" t="s">
        <v>8056</v>
      </c>
      <c r="M595" s="16" t="s">
        <v>8532</v>
      </c>
      <c r="N595" s="16" t="str">
        <f>VLOOKUP(M595,Tab_Zast[[Zastávka]:[Sloupec1]],2,0)</f>
        <v>101</v>
      </c>
      <c r="O595" t="s">
        <v>8057</v>
      </c>
      <c r="P595">
        <v>1</v>
      </c>
      <c r="Q595">
        <v>0</v>
      </c>
      <c r="R595" t="s">
        <v>130</v>
      </c>
      <c r="S595" t="s">
        <v>31</v>
      </c>
      <c r="T595" t="s">
        <v>32</v>
      </c>
      <c r="V595" s="1" t="e">
        <v>#N/A</v>
      </c>
      <c r="W595" t="s">
        <v>47</v>
      </c>
      <c r="X595">
        <v>1</v>
      </c>
      <c r="Y595">
        <v>1323</v>
      </c>
      <c r="AA595" t="str">
        <f t="shared" si="18"/>
        <v>update zamestnanci set nastup='101' where id='1913';</v>
      </c>
      <c r="AB595" t="str">
        <f t="shared" si="19"/>
        <v>update dochazka set zastavka = '101' where zamestnanec = '1913';</v>
      </c>
    </row>
    <row r="596" spans="1:28" x14ac:dyDescent="0.25">
      <c r="A596" s="2">
        <v>1924</v>
      </c>
      <c r="B596" t="s">
        <v>8103</v>
      </c>
      <c r="C596" t="s">
        <v>569</v>
      </c>
      <c r="D596" t="s">
        <v>8104</v>
      </c>
      <c r="E596" t="s">
        <v>8105</v>
      </c>
      <c r="F596" t="s">
        <v>8103</v>
      </c>
      <c r="G596" s="1">
        <v>45985</v>
      </c>
      <c r="H596" s="1" t="e">
        <v>#N/A</v>
      </c>
      <c r="I596" s="1" t="e">
        <v>#N/A</v>
      </c>
      <c r="J596" s="2" t="s">
        <v>8531</v>
      </c>
      <c r="K596" t="s">
        <v>8106</v>
      </c>
      <c r="M596" s="16" t="s">
        <v>8532</v>
      </c>
      <c r="N596" s="16" t="str">
        <f>VLOOKUP(M596,Tab_Zast[[Zastávka]:[Sloupec1]],2,0)</f>
        <v>101</v>
      </c>
      <c r="O596" t="s">
        <v>8107</v>
      </c>
      <c r="P596">
        <v>1</v>
      </c>
      <c r="Q596">
        <v>0</v>
      </c>
      <c r="R596" t="s">
        <v>129</v>
      </c>
      <c r="S596" t="s">
        <v>31</v>
      </c>
      <c r="T596" t="s">
        <v>32</v>
      </c>
      <c r="V596" s="1" t="e">
        <v>#N/A</v>
      </c>
      <c r="W596" t="s">
        <v>47</v>
      </c>
      <c r="X596">
        <v>1</v>
      </c>
      <c r="Y596">
        <v>1334</v>
      </c>
      <c r="AA596" t="str">
        <f t="shared" si="18"/>
        <v>update zamestnanci set nastup='101' where id='1924';</v>
      </c>
      <c r="AB596" t="str">
        <f t="shared" si="19"/>
        <v>update dochazka set zastavka = '101' where zamestnanec = '1924';</v>
      </c>
    </row>
    <row r="597" spans="1:28" x14ac:dyDescent="0.25">
      <c r="A597" s="2">
        <v>1953</v>
      </c>
      <c r="B597" t="s">
        <v>8208</v>
      </c>
      <c r="C597" t="s">
        <v>357</v>
      </c>
      <c r="D597" t="s">
        <v>8209</v>
      </c>
      <c r="E597" t="s">
        <v>8210</v>
      </c>
      <c r="F597" t="s">
        <v>8208</v>
      </c>
      <c r="G597" s="1">
        <v>45999</v>
      </c>
      <c r="H597" s="1" t="e">
        <v>#N/A</v>
      </c>
      <c r="I597" s="1" t="e">
        <v>#N/A</v>
      </c>
      <c r="J597" s="2" t="s">
        <v>8531</v>
      </c>
      <c r="K597" t="s">
        <v>8211</v>
      </c>
      <c r="M597" s="16" t="s">
        <v>8532</v>
      </c>
      <c r="N597" s="16" t="str">
        <f>VLOOKUP(M597,Tab_Zast[[Zastávka]:[Sloupec1]],2,0)</f>
        <v>101</v>
      </c>
      <c r="O597" t="s">
        <v>8212</v>
      </c>
      <c r="P597">
        <v>1</v>
      </c>
      <c r="Q597">
        <v>0</v>
      </c>
      <c r="R597" t="s">
        <v>129</v>
      </c>
      <c r="S597" t="s">
        <v>31</v>
      </c>
      <c r="T597" t="s">
        <v>32</v>
      </c>
      <c r="V597" s="1" t="e">
        <v>#N/A</v>
      </c>
      <c r="W597" t="s">
        <v>47</v>
      </c>
      <c r="X597">
        <v>1</v>
      </c>
      <c r="Y597">
        <v>1371</v>
      </c>
      <c r="AA597" t="str">
        <f t="shared" si="18"/>
        <v>update zamestnanci set nastup='101' where id='1953';</v>
      </c>
      <c r="AB597" t="str">
        <f t="shared" si="19"/>
        <v>update dochazka set zastavka = '101' where zamestnanec = '1953';</v>
      </c>
    </row>
    <row r="598" spans="1:28" x14ac:dyDescent="0.25">
      <c r="A598" s="2">
        <v>1959</v>
      </c>
      <c r="B598" t="s">
        <v>64</v>
      </c>
      <c r="C598" t="s">
        <v>64</v>
      </c>
      <c r="D598" t="s">
        <v>7452</v>
      </c>
      <c r="E598" t="s">
        <v>8233</v>
      </c>
      <c r="F598" t="s">
        <v>1394</v>
      </c>
      <c r="G598" s="1">
        <v>46002</v>
      </c>
      <c r="H598" s="1" t="e">
        <v>#N/A</v>
      </c>
      <c r="I598" s="1" t="e">
        <v>#N/A</v>
      </c>
      <c r="J598" s="2" t="s">
        <v>8531</v>
      </c>
      <c r="K598" t="s">
        <v>8234</v>
      </c>
      <c r="M598" s="16" t="s">
        <v>8532</v>
      </c>
      <c r="N598" s="16" t="str">
        <f>VLOOKUP(M598,Tab_Zast[[Zastávka]:[Sloupec1]],2,0)</f>
        <v>101</v>
      </c>
      <c r="O598" t="s">
        <v>8235</v>
      </c>
      <c r="P598">
        <v>1</v>
      </c>
      <c r="Q598">
        <v>0</v>
      </c>
      <c r="R598" t="s">
        <v>129</v>
      </c>
      <c r="S598" t="s">
        <v>31</v>
      </c>
      <c r="T598" t="s">
        <v>32</v>
      </c>
      <c r="V598" s="1" t="e">
        <v>#N/A</v>
      </c>
      <c r="W598" t="s">
        <v>5988</v>
      </c>
      <c r="X598">
        <v>1</v>
      </c>
      <c r="Y598">
        <v>1381</v>
      </c>
      <c r="AA598" t="str">
        <f t="shared" si="18"/>
        <v>update zamestnanci set nastup='101' where id='1959';</v>
      </c>
      <c r="AB598" t="str">
        <f t="shared" si="19"/>
        <v>update dochazka set zastavka = '101' where zamestnanec = '1959';</v>
      </c>
    </row>
    <row r="599" spans="1:28" x14ac:dyDescent="0.25">
      <c r="A599" s="2">
        <v>1960</v>
      </c>
      <c r="B599" t="s">
        <v>8236</v>
      </c>
      <c r="C599" t="s">
        <v>357</v>
      </c>
      <c r="D599" t="s">
        <v>8237</v>
      </c>
      <c r="E599" t="s">
        <v>8238</v>
      </c>
      <c r="F599" t="s">
        <v>8236</v>
      </c>
      <c r="G599" s="1">
        <v>46002</v>
      </c>
      <c r="H599" s="1">
        <v>46002</v>
      </c>
      <c r="I599" s="1">
        <v>46002</v>
      </c>
      <c r="J599" s="2" t="s">
        <v>8531</v>
      </c>
      <c r="K599" t="s">
        <v>8239</v>
      </c>
      <c r="M599" s="16" t="s">
        <v>8532</v>
      </c>
      <c r="N599" s="16" t="str">
        <f>VLOOKUP(M599,Tab_Zast[[Zastávka]:[Sloupec1]],2,0)</f>
        <v>101</v>
      </c>
      <c r="O599" t="s">
        <v>8240</v>
      </c>
      <c r="P599">
        <v>1</v>
      </c>
      <c r="Q599">
        <v>0</v>
      </c>
      <c r="R599" t="s">
        <v>31</v>
      </c>
      <c r="S599" t="s">
        <v>31</v>
      </c>
      <c r="T599" t="s">
        <v>32</v>
      </c>
      <c r="V599" s="1" t="e">
        <v>#N/A</v>
      </c>
      <c r="W599" t="s">
        <v>5988</v>
      </c>
      <c r="X599">
        <v>0</v>
      </c>
      <c r="Y599">
        <v>1382</v>
      </c>
      <c r="AA599" t="str">
        <f t="shared" si="18"/>
        <v>update zamestnanci set nastup='101' where id='1960';</v>
      </c>
      <c r="AB599" t="str">
        <f t="shared" si="19"/>
        <v>update dochazka set zastavka = '101' where zamestnanec = '1960';</v>
      </c>
    </row>
    <row r="600" spans="1:28" x14ac:dyDescent="0.25">
      <c r="A600" s="2">
        <v>181</v>
      </c>
      <c r="B600" t="s">
        <v>1109</v>
      </c>
      <c r="C600" t="s">
        <v>1110</v>
      </c>
      <c r="D600" t="s">
        <v>1111</v>
      </c>
      <c r="E600" t="s">
        <v>1112</v>
      </c>
      <c r="F600" t="s">
        <v>1113</v>
      </c>
      <c r="G600" s="1">
        <v>44706</v>
      </c>
      <c r="H600" s="1">
        <v>73050</v>
      </c>
      <c r="I600" s="1" t="e">
        <v>#N/A</v>
      </c>
      <c r="J600" s="2" t="s">
        <v>8464</v>
      </c>
      <c r="K600" t="s">
        <v>1114</v>
      </c>
      <c r="M600" s="16" t="s">
        <v>8465</v>
      </c>
      <c r="N600" s="16" t="str">
        <f>VLOOKUP(M600,Tab_Zast[[Zastávka]:[Sloupec1]],2,0)</f>
        <v>64</v>
      </c>
      <c r="O600" t="s">
        <v>1115</v>
      </c>
      <c r="P600">
        <v>6</v>
      </c>
      <c r="Q600">
        <v>0</v>
      </c>
      <c r="R600" t="s">
        <v>179</v>
      </c>
      <c r="S600" t="s">
        <v>179</v>
      </c>
      <c r="T600" t="s">
        <v>32</v>
      </c>
      <c r="V600" s="1" t="e">
        <v>#N/A</v>
      </c>
      <c r="W600" t="s">
        <v>1022</v>
      </c>
      <c r="X600">
        <v>1</v>
      </c>
      <c r="Y600">
        <v>0</v>
      </c>
      <c r="AA600" t="str">
        <f t="shared" si="18"/>
        <v>update zamestnanci set nastup='64' where id='181';</v>
      </c>
      <c r="AB600" t="str">
        <f t="shared" si="19"/>
        <v>update dochazka set zastavka = '64' where zamestnanec = '181';</v>
      </c>
    </row>
    <row r="601" spans="1:28" x14ac:dyDescent="0.25">
      <c r="A601" s="2">
        <v>417</v>
      </c>
      <c r="B601" t="s">
        <v>1418</v>
      </c>
      <c r="D601" t="s">
        <v>1419</v>
      </c>
      <c r="E601" t="s">
        <v>1420</v>
      </c>
      <c r="F601" t="s">
        <v>1421</v>
      </c>
      <c r="G601" s="1">
        <v>44593</v>
      </c>
      <c r="H601" s="1">
        <v>45322</v>
      </c>
      <c r="I601" s="1">
        <v>73050</v>
      </c>
      <c r="J601" s="2" t="s">
        <v>8464</v>
      </c>
      <c r="K601" t="s">
        <v>1422</v>
      </c>
      <c r="M601" s="16" t="s">
        <v>8465</v>
      </c>
      <c r="N601" s="16" t="str">
        <f>VLOOKUP(M601,Tab_Zast[[Zastávka]:[Sloupec1]],2,0)</f>
        <v>64</v>
      </c>
      <c r="O601" t="s">
        <v>1423</v>
      </c>
      <c r="P601">
        <v>6</v>
      </c>
      <c r="Q601">
        <v>0</v>
      </c>
      <c r="R601" t="s">
        <v>31</v>
      </c>
      <c r="S601" t="s">
        <v>31</v>
      </c>
      <c r="T601" t="s">
        <v>32</v>
      </c>
      <c r="V601" s="1" t="e">
        <v>#N/A</v>
      </c>
      <c r="W601" t="s">
        <v>1216</v>
      </c>
      <c r="X601">
        <v>0</v>
      </c>
      <c r="Y601">
        <v>0</v>
      </c>
      <c r="Z601" t="s">
        <v>54</v>
      </c>
      <c r="AA601" t="str">
        <f t="shared" si="18"/>
        <v>update zamestnanci set nastup='64' where id='417';</v>
      </c>
      <c r="AB601" t="str">
        <f t="shared" si="19"/>
        <v>update dochazka set zastavka = '64' where zamestnanec = '417';</v>
      </c>
    </row>
    <row r="602" spans="1:28" x14ac:dyDescent="0.25">
      <c r="A602" s="2">
        <v>455</v>
      </c>
      <c r="B602" t="s">
        <v>1658</v>
      </c>
      <c r="D602" t="s">
        <v>1659</v>
      </c>
      <c r="E602" t="s">
        <v>1660</v>
      </c>
      <c r="F602" t="s">
        <v>1661</v>
      </c>
      <c r="G602" s="1">
        <v>45159</v>
      </c>
      <c r="H602" s="1">
        <v>45261</v>
      </c>
      <c r="I602" s="1" t="e">
        <v>#N/A</v>
      </c>
      <c r="J602" s="2" t="s">
        <v>8464</v>
      </c>
      <c r="K602" t="s">
        <v>1662</v>
      </c>
      <c r="M602" s="16" t="s">
        <v>8465</v>
      </c>
      <c r="N602" s="16" t="str">
        <f>VLOOKUP(M602,Tab_Zast[[Zastávka]:[Sloupec1]],2,0)</f>
        <v>64</v>
      </c>
      <c r="O602" t="s">
        <v>1663</v>
      </c>
      <c r="P602">
        <v>6</v>
      </c>
      <c r="Q602">
        <v>0</v>
      </c>
      <c r="R602" t="s">
        <v>31</v>
      </c>
      <c r="S602" t="s">
        <v>31</v>
      </c>
      <c r="T602" t="s">
        <v>32</v>
      </c>
      <c r="V602" s="1" t="e">
        <v>#N/A</v>
      </c>
      <c r="W602" t="s">
        <v>1216</v>
      </c>
      <c r="X602">
        <v>0</v>
      </c>
      <c r="Y602">
        <v>0</v>
      </c>
      <c r="Z602" t="s">
        <v>54</v>
      </c>
      <c r="AA602" t="str">
        <f t="shared" si="18"/>
        <v>update zamestnanci set nastup='64' where id='455';</v>
      </c>
      <c r="AB602" t="str">
        <f t="shared" si="19"/>
        <v>update dochazka set zastavka = '64' where zamestnanec = '455';</v>
      </c>
    </row>
    <row r="603" spans="1:28" x14ac:dyDescent="0.25">
      <c r="A603" s="2">
        <v>460</v>
      </c>
      <c r="B603" t="s">
        <v>1690</v>
      </c>
      <c r="D603" t="s">
        <v>1691</v>
      </c>
      <c r="E603" t="s">
        <v>1692</v>
      </c>
      <c r="F603" t="s">
        <v>1693</v>
      </c>
      <c r="G603" s="1">
        <v>44600</v>
      </c>
      <c r="H603" s="1">
        <v>45363</v>
      </c>
      <c r="I603" s="1">
        <v>73050</v>
      </c>
      <c r="J603" s="2" t="s">
        <v>8464</v>
      </c>
      <c r="K603" t="s">
        <v>1694</v>
      </c>
      <c r="M603" s="16" t="s">
        <v>8465</v>
      </c>
      <c r="N603" s="16" t="str">
        <f>VLOOKUP(M603,Tab_Zast[[Zastávka]:[Sloupec1]],2,0)</f>
        <v>64</v>
      </c>
      <c r="O603" t="s">
        <v>1695</v>
      </c>
      <c r="P603">
        <v>6</v>
      </c>
      <c r="Q603">
        <v>0</v>
      </c>
      <c r="R603" t="s">
        <v>31</v>
      </c>
      <c r="S603" t="s">
        <v>31</v>
      </c>
      <c r="T603" t="s">
        <v>32</v>
      </c>
      <c r="V603" s="1">
        <v>45359</v>
      </c>
      <c r="W603" t="s">
        <v>1216</v>
      </c>
      <c r="X603">
        <v>0</v>
      </c>
      <c r="Y603">
        <v>0</v>
      </c>
      <c r="Z603" t="s">
        <v>54</v>
      </c>
      <c r="AA603" t="str">
        <f t="shared" si="18"/>
        <v>update zamestnanci set nastup='64' where id='460';</v>
      </c>
      <c r="AB603" t="str">
        <f t="shared" si="19"/>
        <v>update dochazka set zastavka = '64' where zamestnanec = '460';</v>
      </c>
    </row>
    <row r="604" spans="1:28" x14ac:dyDescent="0.25">
      <c r="A604" s="2">
        <v>696</v>
      </c>
      <c r="B604" t="s">
        <v>3074</v>
      </c>
      <c r="D604" t="s">
        <v>3075</v>
      </c>
      <c r="E604" t="s">
        <v>3076</v>
      </c>
      <c r="F604" t="s">
        <v>3077</v>
      </c>
      <c r="G604" s="1">
        <v>45250</v>
      </c>
      <c r="H604" s="1">
        <v>45303</v>
      </c>
      <c r="I604" s="1">
        <v>73050</v>
      </c>
      <c r="J604" s="2" t="s">
        <v>8464</v>
      </c>
      <c r="K604" t="s">
        <v>3078</v>
      </c>
      <c r="M604" s="16" t="s">
        <v>8465</v>
      </c>
      <c r="N604" s="16" t="str">
        <f>VLOOKUP(M604,Tab_Zast[[Zastávka]:[Sloupec1]],2,0)</f>
        <v>64</v>
      </c>
      <c r="O604" t="s">
        <v>3079</v>
      </c>
      <c r="P604">
        <v>6</v>
      </c>
      <c r="Q604">
        <v>0</v>
      </c>
      <c r="R604" t="s">
        <v>31</v>
      </c>
      <c r="S604" t="s">
        <v>31</v>
      </c>
      <c r="T604" t="s">
        <v>32</v>
      </c>
      <c r="V604" s="1" t="e">
        <v>#N/A</v>
      </c>
      <c r="W604" t="s">
        <v>1216</v>
      </c>
      <c r="X604">
        <v>0</v>
      </c>
      <c r="Y604">
        <v>0</v>
      </c>
      <c r="Z604" t="s">
        <v>54</v>
      </c>
      <c r="AA604" t="str">
        <f t="shared" si="18"/>
        <v>update zamestnanci set nastup='64' where id='696';</v>
      </c>
      <c r="AB604" t="str">
        <f t="shared" si="19"/>
        <v>update dochazka set zastavka = '64' where zamestnanec = '696';</v>
      </c>
    </row>
    <row r="605" spans="1:28" x14ac:dyDescent="0.25">
      <c r="A605" s="2">
        <v>727</v>
      </c>
      <c r="B605" t="s">
        <v>3227</v>
      </c>
      <c r="D605" t="s">
        <v>3228</v>
      </c>
      <c r="E605" t="s">
        <v>2451</v>
      </c>
      <c r="F605" t="s">
        <v>67</v>
      </c>
      <c r="G605" s="1">
        <v>45293</v>
      </c>
      <c r="H605" s="1">
        <v>45293</v>
      </c>
      <c r="I605" s="1">
        <v>45293</v>
      </c>
      <c r="J605" s="2" t="s">
        <v>8464</v>
      </c>
      <c r="K605" t="s">
        <v>3229</v>
      </c>
      <c r="M605" s="16" t="s">
        <v>8465</v>
      </c>
      <c r="N605" s="16" t="str">
        <f>VLOOKUP(M605,Tab_Zast[[Zastávka]:[Sloupec1]],2,0)</f>
        <v>64</v>
      </c>
      <c r="O605" t="s">
        <v>3230</v>
      </c>
      <c r="P605">
        <v>6</v>
      </c>
      <c r="Q605">
        <v>0</v>
      </c>
      <c r="R605" t="s">
        <v>31</v>
      </c>
      <c r="S605" t="s">
        <v>31</v>
      </c>
      <c r="T605" t="s">
        <v>32</v>
      </c>
      <c r="V605" s="1" t="e">
        <v>#N/A</v>
      </c>
      <c r="W605" t="s">
        <v>1216</v>
      </c>
      <c r="X605">
        <v>0</v>
      </c>
      <c r="Y605">
        <v>0</v>
      </c>
      <c r="Z605" t="s">
        <v>54</v>
      </c>
      <c r="AA605" t="str">
        <f t="shared" si="18"/>
        <v>update zamestnanci set nastup='64' where id='727';</v>
      </c>
      <c r="AB605" t="str">
        <f t="shared" si="19"/>
        <v>update dochazka set zastavka = '64' where zamestnanec = '727';</v>
      </c>
    </row>
    <row r="606" spans="1:28" x14ac:dyDescent="0.25">
      <c r="A606" s="2">
        <v>883</v>
      </c>
      <c r="B606" t="s">
        <v>3986</v>
      </c>
      <c r="D606" t="s">
        <v>3987</v>
      </c>
      <c r="E606" t="s">
        <v>3566</v>
      </c>
      <c r="F606" t="s">
        <v>3169</v>
      </c>
      <c r="G606" s="1">
        <v>45386</v>
      </c>
      <c r="H606" s="1">
        <v>45429</v>
      </c>
      <c r="I606" s="1">
        <v>73050</v>
      </c>
      <c r="J606" s="2" t="s">
        <v>8464</v>
      </c>
      <c r="K606" t="s">
        <v>3988</v>
      </c>
      <c r="M606" s="16" t="s">
        <v>8465</v>
      </c>
      <c r="N606" s="16" t="str">
        <f>VLOOKUP(M606,Tab_Zast[[Zastávka]:[Sloupec1]],2,0)</f>
        <v>64</v>
      </c>
      <c r="O606" t="s">
        <v>3989</v>
      </c>
      <c r="P606">
        <v>6</v>
      </c>
      <c r="Q606">
        <v>0</v>
      </c>
      <c r="R606" t="s">
        <v>31</v>
      </c>
      <c r="S606" t="s">
        <v>31</v>
      </c>
      <c r="T606" t="s">
        <v>32</v>
      </c>
      <c r="V606" s="1" t="e">
        <v>#N/A</v>
      </c>
      <c r="W606" t="s">
        <v>1216</v>
      </c>
      <c r="X606">
        <v>0</v>
      </c>
      <c r="Y606">
        <v>240</v>
      </c>
      <c r="AA606" t="str">
        <f t="shared" si="18"/>
        <v>update zamestnanci set nastup='64' where id='883';</v>
      </c>
      <c r="AB606" t="str">
        <f t="shared" si="19"/>
        <v>update dochazka set zastavka = '64' where zamestnanec = '883';</v>
      </c>
    </row>
    <row r="607" spans="1:28" x14ac:dyDescent="0.25">
      <c r="A607" s="2">
        <v>928</v>
      </c>
      <c r="B607" t="s">
        <v>4196</v>
      </c>
      <c r="D607" t="s">
        <v>1192</v>
      </c>
      <c r="E607" t="s">
        <v>743</v>
      </c>
      <c r="F607" t="s">
        <v>4197</v>
      </c>
      <c r="G607" s="1">
        <v>45411</v>
      </c>
      <c r="H607" s="1">
        <v>45418</v>
      </c>
      <c r="I607" s="1">
        <v>73050</v>
      </c>
      <c r="J607" s="2" t="s">
        <v>8464</v>
      </c>
      <c r="K607" t="s">
        <v>3880</v>
      </c>
      <c r="M607" s="16" t="s">
        <v>8465</v>
      </c>
      <c r="N607" s="16" t="str">
        <f>VLOOKUP(M607,Tab_Zast[[Zastávka]:[Sloupec1]],2,0)</f>
        <v>64</v>
      </c>
      <c r="O607" t="s">
        <v>3881</v>
      </c>
      <c r="P607">
        <v>6</v>
      </c>
      <c r="Q607">
        <v>0</v>
      </c>
      <c r="R607" t="s">
        <v>31</v>
      </c>
      <c r="S607" t="s">
        <v>31</v>
      </c>
      <c r="T607" t="s">
        <v>32</v>
      </c>
      <c r="V607" s="1" t="e">
        <v>#N/A</v>
      </c>
      <c r="W607" t="s">
        <v>1216</v>
      </c>
      <c r="X607">
        <v>0</v>
      </c>
      <c r="Y607">
        <v>298</v>
      </c>
      <c r="AA607" t="str">
        <f t="shared" si="18"/>
        <v>update zamestnanci set nastup='64' where id='928';</v>
      </c>
      <c r="AB607" t="str">
        <f t="shared" si="19"/>
        <v>update dochazka set zastavka = '64' where zamestnanec = '928';</v>
      </c>
    </row>
    <row r="608" spans="1:28" x14ac:dyDescent="0.25">
      <c r="A608" s="2">
        <v>1006</v>
      </c>
      <c r="B608" t="s">
        <v>1394</v>
      </c>
      <c r="C608" t="s">
        <v>1394</v>
      </c>
      <c r="D608" t="s">
        <v>4536</v>
      </c>
      <c r="E608" t="s">
        <v>737</v>
      </c>
      <c r="F608" t="s">
        <v>67</v>
      </c>
      <c r="G608" s="1">
        <v>45455</v>
      </c>
      <c r="H608" s="1">
        <v>45455</v>
      </c>
      <c r="I608" s="1">
        <v>45455</v>
      </c>
      <c r="J608" s="2" t="s">
        <v>8464</v>
      </c>
      <c r="K608" t="s">
        <v>4537</v>
      </c>
      <c r="M608" s="16" t="s">
        <v>8465</v>
      </c>
      <c r="N608" s="16" t="str">
        <f>VLOOKUP(M608,Tab_Zast[[Zastávka]:[Sloupec1]],2,0)</f>
        <v>64</v>
      </c>
      <c r="O608" t="s">
        <v>4538</v>
      </c>
      <c r="P608">
        <v>6</v>
      </c>
      <c r="Q608">
        <v>0</v>
      </c>
      <c r="R608" t="s">
        <v>130</v>
      </c>
      <c r="S608" t="s">
        <v>31</v>
      </c>
      <c r="T608" t="s">
        <v>32</v>
      </c>
      <c r="V608" s="1" t="e">
        <v>#N/A</v>
      </c>
      <c r="W608" t="s">
        <v>1216</v>
      </c>
      <c r="X608">
        <v>0</v>
      </c>
      <c r="Y608">
        <v>398</v>
      </c>
      <c r="AA608" t="str">
        <f t="shared" si="18"/>
        <v>update zamestnanci set nastup='64' where id='1006';</v>
      </c>
      <c r="AB608" t="str">
        <f t="shared" si="19"/>
        <v>update dochazka set zastavka = '64' where zamestnanec = '1006';</v>
      </c>
    </row>
    <row r="609" spans="1:28" x14ac:dyDescent="0.25">
      <c r="A609" s="2">
        <v>1058</v>
      </c>
      <c r="B609" t="s">
        <v>4763</v>
      </c>
      <c r="C609" t="s">
        <v>4764</v>
      </c>
      <c r="D609" t="s">
        <v>4765</v>
      </c>
      <c r="E609" t="s">
        <v>3373</v>
      </c>
      <c r="F609" t="s">
        <v>4766</v>
      </c>
      <c r="G609" s="1">
        <v>45477</v>
      </c>
      <c r="H609" s="1">
        <v>45548</v>
      </c>
      <c r="I609" s="1">
        <v>73050</v>
      </c>
      <c r="J609" s="2" t="s">
        <v>8464</v>
      </c>
      <c r="K609" t="s">
        <v>4767</v>
      </c>
      <c r="M609" s="16" t="s">
        <v>8465</v>
      </c>
      <c r="N609" s="16" t="str">
        <f>VLOOKUP(M609,Tab_Zast[[Zastávka]:[Sloupec1]],2,0)</f>
        <v>64</v>
      </c>
      <c r="O609" t="s">
        <v>4768</v>
      </c>
      <c r="P609">
        <v>6</v>
      </c>
      <c r="Q609">
        <v>0</v>
      </c>
      <c r="R609" t="s">
        <v>31</v>
      </c>
      <c r="S609" t="s">
        <v>31</v>
      </c>
      <c r="T609" t="s">
        <v>32</v>
      </c>
      <c r="V609" s="1" t="e">
        <v>#N/A</v>
      </c>
      <c r="W609" t="s">
        <v>1216</v>
      </c>
      <c r="X609">
        <v>0</v>
      </c>
      <c r="Y609">
        <v>445</v>
      </c>
      <c r="AA609" t="str">
        <f t="shared" si="18"/>
        <v>update zamestnanci set nastup='64' where id='1058';</v>
      </c>
      <c r="AB609" t="str">
        <f t="shared" si="19"/>
        <v>update dochazka set zastavka = '64' where zamestnanec = '1058';</v>
      </c>
    </row>
    <row r="610" spans="1:28" x14ac:dyDescent="0.25">
      <c r="A610" s="2">
        <v>1131</v>
      </c>
      <c r="B610" t="s">
        <v>5064</v>
      </c>
      <c r="C610" t="s">
        <v>1394</v>
      </c>
      <c r="D610" t="s">
        <v>5065</v>
      </c>
      <c r="E610" t="s">
        <v>770</v>
      </c>
      <c r="F610" t="s">
        <v>5066</v>
      </c>
      <c r="G610" s="1">
        <v>45516</v>
      </c>
      <c r="H610" s="1">
        <v>45558</v>
      </c>
      <c r="I610" s="1">
        <v>73050</v>
      </c>
      <c r="J610" s="2" t="s">
        <v>8464</v>
      </c>
      <c r="K610" t="s">
        <v>5067</v>
      </c>
      <c r="M610" s="16" t="s">
        <v>8465</v>
      </c>
      <c r="N610" s="16" t="str">
        <f>VLOOKUP(M610,Tab_Zast[[Zastávka]:[Sloupec1]],2,0)</f>
        <v>64</v>
      </c>
      <c r="O610" t="s">
        <v>5068</v>
      </c>
      <c r="P610">
        <v>6</v>
      </c>
      <c r="Q610">
        <v>0</v>
      </c>
      <c r="R610" t="s">
        <v>31</v>
      </c>
      <c r="S610" t="s">
        <v>31</v>
      </c>
      <c r="T610" t="s">
        <v>32</v>
      </c>
      <c r="V610" s="1" t="e">
        <v>#N/A</v>
      </c>
      <c r="W610" t="s">
        <v>1216</v>
      </c>
      <c r="X610">
        <v>0</v>
      </c>
      <c r="Y610">
        <v>524</v>
      </c>
      <c r="AA610" t="str">
        <f t="shared" si="18"/>
        <v>update zamestnanci set nastup='64' where id='1131';</v>
      </c>
      <c r="AB610" t="str">
        <f t="shared" si="19"/>
        <v>update dochazka set zastavka = '64' where zamestnanec = '1131';</v>
      </c>
    </row>
    <row r="611" spans="1:28" x14ac:dyDescent="0.25">
      <c r="A611" s="2">
        <v>1289</v>
      </c>
      <c r="B611" t="s">
        <v>5695</v>
      </c>
      <c r="C611" t="s">
        <v>64</v>
      </c>
      <c r="D611" t="s">
        <v>5696</v>
      </c>
      <c r="E611" t="s">
        <v>2607</v>
      </c>
      <c r="F611" t="s">
        <v>5697</v>
      </c>
      <c r="G611" s="1">
        <v>45572</v>
      </c>
      <c r="H611" s="1">
        <v>45608</v>
      </c>
      <c r="I611" s="1">
        <v>45608</v>
      </c>
      <c r="J611" s="2" t="s">
        <v>357</v>
      </c>
      <c r="K611" t="s">
        <v>5698</v>
      </c>
      <c r="M611" s="16" t="s">
        <v>8551</v>
      </c>
      <c r="N611" s="16" t="str">
        <f>VLOOKUP(M611,Tab_Zast[[Zastávka]:[Sloupec1]],2,0)</f>
        <v>00</v>
      </c>
      <c r="O611" t="s">
        <v>5699</v>
      </c>
      <c r="P611">
        <v>1</v>
      </c>
      <c r="Q611">
        <v>0</v>
      </c>
      <c r="R611" t="s">
        <v>31</v>
      </c>
      <c r="S611" t="s">
        <v>31</v>
      </c>
      <c r="T611" t="s">
        <v>32</v>
      </c>
      <c r="V611" s="1" t="e">
        <v>#N/A</v>
      </c>
      <c r="W611" t="s">
        <v>47</v>
      </c>
      <c r="X611">
        <v>0</v>
      </c>
      <c r="Y611">
        <v>677</v>
      </c>
      <c r="AA611" t="str">
        <f t="shared" si="18"/>
        <v/>
      </c>
      <c r="AB611" t="str">
        <f t="shared" si="19"/>
        <v/>
      </c>
    </row>
    <row r="612" spans="1:28" x14ac:dyDescent="0.25">
      <c r="A612" s="2">
        <v>1291</v>
      </c>
      <c r="B612" t="s">
        <v>5703</v>
      </c>
      <c r="C612" t="s">
        <v>64</v>
      </c>
      <c r="D612" t="s">
        <v>5704</v>
      </c>
      <c r="E612" t="s">
        <v>707</v>
      </c>
      <c r="F612" t="s">
        <v>5705</v>
      </c>
      <c r="G612" s="1">
        <v>45572</v>
      </c>
      <c r="H612" s="1">
        <v>45581</v>
      </c>
      <c r="I612" s="1">
        <v>73050</v>
      </c>
      <c r="J612" s="2" t="s">
        <v>357</v>
      </c>
      <c r="K612" t="s">
        <v>5706</v>
      </c>
      <c r="M612" s="16" t="s">
        <v>8551</v>
      </c>
      <c r="N612" s="16" t="str">
        <f>VLOOKUP(M612,Tab_Zast[[Zastávka]:[Sloupec1]],2,0)</f>
        <v>00</v>
      </c>
      <c r="O612" t="s">
        <v>5707</v>
      </c>
      <c r="P612">
        <v>1</v>
      </c>
      <c r="Q612">
        <v>0</v>
      </c>
      <c r="R612" t="s">
        <v>31</v>
      </c>
      <c r="S612" t="s">
        <v>31</v>
      </c>
      <c r="T612" t="s">
        <v>32</v>
      </c>
      <c r="V612" s="1" t="e">
        <v>#N/A</v>
      </c>
      <c r="W612" t="s">
        <v>47</v>
      </c>
      <c r="X612">
        <v>0</v>
      </c>
      <c r="Y612">
        <v>679</v>
      </c>
      <c r="AA612" t="str">
        <f t="shared" si="18"/>
        <v/>
      </c>
      <c r="AB612" t="str">
        <f t="shared" si="19"/>
        <v/>
      </c>
    </row>
    <row r="613" spans="1:28" x14ac:dyDescent="0.25">
      <c r="A613" s="2">
        <v>1305</v>
      </c>
      <c r="B613" t="s">
        <v>5760</v>
      </c>
      <c r="C613" t="s">
        <v>5610</v>
      </c>
      <c r="D613" t="s">
        <v>5761</v>
      </c>
      <c r="E613" t="s">
        <v>5762</v>
      </c>
      <c r="F613" t="s">
        <v>5610</v>
      </c>
      <c r="G613" s="1">
        <v>45579</v>
      </c>
      <c r="H613" s="1">
        <v>45579</v>
      </c>
      <c r="I613" s="1">
        <v>45579</v>
      </c>
      <c r="J613" s="2" t="s">
        <v>357</v>
      </c>
      <c r="K613" t="s">
        <v>5763</v>
      </c>
      <c r="M613" s="16" t="s">
        <v>8551</v>
      </c>
      <c r="N613" s="16" t="str">
        <f>VLOOKUP(M613,Tab_Zast[[Zastávka]:[Sloupec1]],2,0)</f>
        <v>00</v>
      </c>
      <c r="O613" t="s">
        <v>5764</v>
      </c>
      <c r="P613">
        <v>1</v>
      </c>
      <c r="Q613">
        <v>0</v>
      </c>
      <c r="R613" t="s">
        <v>31</v>
      </c>
      <c r="S613" t="s">
        <v>31</v>
      </c>
      <c r="T613" t="s">
        <v>32</v>
      </c>
      <c r="V613" s="1" t="e">
        <v>#N/A</v>
      </c>
      <c r="W613" t="s">
        <v>47</v>
      </c>
      <c r="X613">
        <v>0</v>
      </c>
      <c r="Y613">
        <v>697</v>
      </c>
      <c r="AA613" t="str">
        <f t="shared" si="18"/>
        <v/>
      </c>
      <c r="AB613" t="str">
        <f t="shared" si="19"/>
        <v/>
      </c>
    </row>
    <row r="614" spans="1:28" x14ac:dyDescent="0.25">
      <c r="A614" s="2">
        <v>1306</v>
      </c>
      <c r="B614" t="s">
        <v>5765</v>
      </c>
      <c r="C614" t="s">
        <v>64</v>
      </c>
      <c r="D614" t="s">
        <v>4435</v>
      </c>
      <c r="E614" t="s">
        <v>761</v>
      </c>
      <c r="F614" t="s">
        <v>5766</v>
      </c>
      <c r="G614" s="1">
        <v>45579</v>
      </c>
      <c r="H614" s="1">
        <v>45582</v>
      </c>
      <c r="I614" s="1">
        <v>73050</v>
      </c>
      <c r="J614" s="2" t="s">
        <v>357</v>
      </c>
      <c r="K614" t="s">
        <v>5767</v>
      </c>
      <c r="M614" s="16" t="s">
        <v>8551</v>
      </c>
      <c r="N614" s="16" t="str">
        <f>VLOOKUP(M614,Tab_Zast[[Zastávka]:[Sloupec1]],2,0)</f>
        <v>00</v>
      </c>
      <c r="O614" t="s">
        <v>5768</v>
      </c>
      <c r="P614">
        <v>1</v>
      </c>
      <c r="Q614">
        <v>0</v>
      </c>
      <c r="R614" t="s">
        <v>31</v>
      </c>
      <c r="S614" t="s">
        <v>31</v>
      </c>
      <c r="T614" t="s">
        <v>32</v>
      </c>
      <c r="V614" s="1" t="e">
        <v>#N/A</v>
      </c>
      <c r="W614" t="s">
        <v>47</v>
      </c>
      <c r="X614">
        <v>0</v>
      </c>
      <c r="Y614">
        <v>691</v>
      </c>
      <c r="AA614" t="str">
        <f t="shared" si="18"/>
        <v/>
      </c>
      <c r="AB614" t="str">
        <f t="shared" si="19"/>
        <v/>
      </c>
    </row>
    <row r="615" spans="1:28" x14ac:dyDescent="0.25">
      <c r="A615" s="2">
        <v>1310</v>
      </c>
      <c r="B615" t="s">
        <v>5781</v>
      </c>
      <c r="C615" t="s">
        <v>64</v>
      </c>
      <c r="D615" t="s">
        <v>5770</v>
      </c>
      <c r="E615" t="s">
        <v>2705</v>
      </c>
      <c r="F615" t="s">
        <v>5782</v>
      </c>
      <c r="G615" s="1">
        <v>45579</v>
      </c>
      <c r="H615" s="1">
        <v>45589</v>
      </c>
      <c r="I615" s="1">
        <v>45589</v>
      </c>
      <c r="J615" s="2" t="s">
        <v>357</v>
      </c>
      <c r="K615" t="s">
        <v>5771</v>
      </c>
      <c r="M615" s="16" t="s">
        <v>8551</v>
      </c>
      <c r="N615" s="16" t="str">
        <f>VLOOKUP(M615,Tab_Zast[[Zastávka]:[Sloupec1]],2,0)</f>
        <v>00</v>
      </c>
      <c r="O615" t="s">
        <v>5768</v>
      </c>
      <c r="P615">
        <v>1</v>
      </c>
      <c r="Q615">
        <v>0</v>
      </c>
      <c r="R615" t="s">
        <v>31</v>
      </c>
      <c r="S615" t="s">
        <v>31</v>
      </c>
      <c r="T615" t="s">
        <v>32</v>
      </c>
      <c r="V615" s="1" t="e">
        <v>#N/A</v>
      </c>
      <c r="W615" t="s">
        <v>47</v>
      </c>
      <c r="X615">
        <v>0</v>
      </c>
      <c r="Y615">
        <v>695</v>
      </c>
      <c r="AA615" t="str">
        <f t="shared" si="18"/>
        <v/>
      </c>
      <c r="AB615" t="str">
        <f t="shared" si="19"/>
        <v/>
      </c>
    </row>
    <row r="616" spans="1:28" x14ac:dyDescent="0.25">
      <c r="A616" s="2">
        <v>1326</v>
      </c>
      <c r="B616" t="s">
        <v>5845</v>
      </c>
      <c r="C616" t="s">
        <v>64</v>
      </c>
      <c r="D616" t="s">
        <v>5846</v>
      </c>
      <c r="E616" t="s">
        <v>3223</v>
      </c>
      <c r="F616" t="s">
        <v>5847</v>
      </c>
      <c r="G616" s="1">
        <v>45586</v>
      </c>
      <c r="H616" s="1">
        <v>45602</v>
      </c>
      <c r="I616" s="1">
        <v>45602</v>
      </c>
      <c r="J616" s="2" t="s">
        <v>357</v>
      </c>
      <c r="K616" t="s">
        <v>5848</v>
      </c>
      <c r="M616" s="16" t="s">
        <v>8551</v>
      </c>
      <c r="N616" s="16" t="str">
        <f>VLOOKUP(M616,Tab_Zast[[Zastávka]:[Sloupec1]],2,0)</f>
        <v>00</v>
      </c>
      <c r="O616" t="s">
        <v>5849</v>
      </c>
      <c r="P616">
        <v>1</v>
      </c>
      <c r="Q616">
        <v>0</v>
      </c>
      <c r="R616" t="s">
        <v>31</v>
      </c>
      <c r="S616" t="s">
        <v>31</v>
      </c>
      <c r="T616" t="s">
        <v>32</v>
      </c>
      <c r="V616" s="1" t="e">
        <v>#N/A</v>
      </c>
      <c r="W616" t="s">
        <v>47</v>
      </c>
      <c r="X616">
        <v>0</v>
      </c>
      <c r="Y616">
        <v>713</v>
      </c>
      <c r="AA616" t="str">
        <f t="shared" si="18"/>
        <v/>
      </c>
      <c r="AB616" t="str">
        <f t="shared" si="19"/>
        <v/>
      </c>
    </row>
    <row r="617" spans="1:28" x14ac:dyDescent="0.25">
      <c r="A617" s="2">
        <v>1327</v>
      </c>
      <c r="B617" t="s">
        <v>5850</v>
      </c>
      <c r="C617" t="s">
        <v>64</v>
      </c>
      <c r="D617" t="s">
        <v>5851</v>
      </c>
      <c r="E617" t="s">
        <v>3697</v>
      </c>
      <c r="F617" t="s">
        <v>357</v>
      </c>
      <c r="G617" s="1">
        <v>45586</v>
      </c>
      <c r="H617" s="1">
        <v>45776</v>
      </c>
      <c r="I617" s="1">
        <v>45744</v>
      </c>
      <c r="J617" s="2" t="s">
        <v>357</v>
      </c>
      <c r="K617" t="s">
        <v>5852</v>
      </c>
      <c r="M617" s="16" t="s">
        <v>8551</v>
      </c>
      <c r="N617" s="16" t="str">
        <f>VLOOKUP(M617,Tab_Zast[[Zastávka]:[Sloupec1]],2,0)</f>
        <v>00</v>
      </c>
      <c r="O617" t="s">
        <v>5853</v>
      </c>
      <c r="P617">
        <v>1</v>
      </c>
      <c r="Q617">
        <v>0</v>
      </c>
      <c r="R617" t="s">
        <v>31</v>
      </c>
      <c r="S617" t="s">
        <v>31</v>
      </c>
      <c r="T617" t="s">
        <v>32</v>
      </c>
      <c r="V617" s="1" t="e">
        <v>#N/A</v>
      </c>
      <c r="W617" t="s">
        <v>47</v>
      </c>
      <c r="X617">
        <v>0</v>
      </c>
      <c r="Y617">
        <v>714</v>
      </c>
      <c r="AA617" t="str">
        <f t="shared" si="18"/>
        <v/>
      </c>
      <c r="AB617" t="str">
        <f t="shared" si="19"/>
        <v/>
      </c>
    </row>
    <row r="618" spans="1:28" x14ac:dyDescent="0.25">
      <c r="A618" s="2">
        <v>1328</v>
      </c>
      <c r="B618" t="s">
        <v>5854</v>
      </c>
      <c r="C618" t="s">
        <v>64</v>
      </c>
      <c r="D618" t="s">
        <v>5855</v>
      </c>
      <c r="E618" t="s">
        <v>4374</v>
      </c>
      <c r="F618" t="s">
        <v>357</v>
      </c>
      <c r="G618" s="1">
        <v>45586</v>
      </c>
      <c r="H618" s="1">
        <v>45744</v>
      </c>
      <c r="I618" s="1">
        <v>73050</v>
      </c>
      <c r="J618" s="2" t="s">
        <v>357</v>
      </c>
      <c r="K618" t="s">
        <v>5852</v>
      </c>
      <c r="M618" s="16" t="s">
        <v>8551</v>
      </c>
      <c r="N618" s="16" t="str">
        <f>VLOOKUP(M618,Tab_Zast[[Zastávka]:[Sloupec1]],2,0)</f>
        <v>00</v>
      </c>
      <c r="O618" t="s">
        <v>5853</v>
      </c>
      <c r="P618">
        <v>1</v>
      </c>
      <c r="Q618">
        <v>0</v>
      </c>
      <c r="R618" t="s">
        <v>31</v>
      </c>
      <c r="S618" t="s">
        <v>31</v>
      </c>
      <c r="T618" t="s">
        <v>32</v>
      </c>
      <c r="V618" s="1" t="e">
        <v>#N/A</v>
      </c>
      <c r="W618" t="s">
        <v>47</v>
      </c>
      <c r="X618">
        <v>0</v>
      </c>
      <c r="Y618">
        <v>715</v>
      </c>
      <c r="AA618" t="str">
        <f t="shared" si="18"/>
        <v/>
      </c>
      <c r="AB618" t="str">
        <f t="shared" si="19"/>
        <v/>
      </c>
    </row>
    <row r="619" spans="1:28" x14ac:dyDescent="0.25">
      <c r="A619" s="2">
        <v>1330</v>
      </c>
      <c r="B619" t="s">
        <v>5857</v>
      </c>
      <c r="C619" t="s">
        <v>64</v>
      </c>
      <c r="D619" t="s">
        <v>5858</v>
      </c>
      <c r="E619" t="s">
        <v>5859</v>
      </c>
      <c r="F619" t="s">
        <v>64</v>
      </c>
      <c r="G619" s="1">
        <v>45586</v>
      </c>
      <c r="H619" s="1">
        <v>45586</v>
      </c>
      <c r="I619" s="1">
        <v>45586</v>
      </c>
      <c r="J619" s="2" t="s">
        <v>357</v>
      </c>
      <c r="K619" t="s">
        <v>5860</v>
      </c>
      <c r="M619" s="16" t="s">
        <v>8551</v>
      </c>
      <c r="N619" s="16" t="str">
        <f>VLOOKUP(M619,Tab_Zast[[Zastávka]:[Sloupec1]],2,0)</f>
        <v>00</v>
      </c>
      <c r="O619" t="s">
        <v>5861</v>
      </c>
      <c r="P619">
        <v>1</v>
      </c>
      <c r="Q619">
        <v>0</v>
      </c>
      <c r="R619" t="s">
        <v>31</v>
      </c>
      <c r="S619" t="s">
        <v>31</v>
      </c>
      <c r="T619" t="s">
        <v>32</v>
      </c>
      <c r="V619" s="1" t="e">
        <v>#N/A</v>
      </c>
      <c r="W619" t="s">
        <v>47</v>
      </c>
      <c r="X619">
        <v>0</v>
      </c>
      <c r="Y619">
        <v>717</v>
      </c>
      <c r="AA619" t="str">
        <f t="shared" si="18"/>
        <v/>
      </c>
      <c r="AB619" t="str">
        <f t="shared" si="19"/>
        <v/>
      </c>
    </row>
    <row r="620" spans="1:28" x14ac:dyDescent="0.25">
      <c r="A620" s="2">
        <v>1332</v>
      </c>
      <c r="B620" t="s">
        <v>5865</v>
      </c>
      <c r="C620" t="s">
        <v>64</v>
      </c>
      <c r="D620" t="s">
        <v>5866</v>
      </c>
      <c r="E620" t="s">
        <v>761</v>
      </c>
      <c r="F620" t="s">
        <v>64</v>
      </c>
      <c r="G620" s="1">
        <v>45586</v>
      </c>
      <c r="H620" s="1">
        <v>45586</v>
      </c>
      <c r="I620" s="1">
        <v>45586</v>
      </c>
      <c r="J620" s="2" t="s">
        <v>357</v>
      </c>
      <c r="K620" t="s">
        <v>5867</v>
      </c>
      <c r="M620" s="16" t="s">
        <v>8551</v>
      </c>
      <c r="N620" s="16" t="str">
        <f>VLOOKUP(M620,Tab_Zast[[Zastávka]:[Sloupec1]],2,0)</f>
        <v>00</v>
      </c>
      <c r="O620" t="s">
        <v>5868</v>
      </c>
      <c r="P620">
        <v>1</v>
      </c>
      <c r="Q620">
        <v>0</v>
      </c>
      <c r="R620" t="s">
        <v>31</v>
      </c>
      <c r="S620" t="s">
        <v>31</v>
      </c>
      <c r="T620" t="s">
        <v>32</v>
      </c>
      <c r="V620" s="1" t="e">
        <v>#N/A</v>
      </c>
      <c r="W620" t="s">
        <v>47</v>
      </c>
      <c r="X620">
        <v>0</v>
      </c>
      <c r="Y620">
        <v>719</v>
      </c>
      <c r="AA620" t="str">
        <f t="shared" si="18"/>
        <v/>
      </c>
      <c r="AB620" t="str">
        <f t="shared" si="19"/>
        <v/>
      </c>
    </row>
    <row r="621" spans="1:28" x14ac:dyDescent="0.25">
      <c r="A621" s="2">
        <v>1333</v>
      </c>
      <c r="B621" t="s">
        <v>5869</v>
      </c>
      <c r="C621" t="s">
        <v>64</v>
      </c>
      <c r="D621" t="s">
        <v>1774</v>
      </c>
      <c r="E621" t="s">
        <v>2903</v>
      </c>
      <c r="F621" t="s">
        <v>2778</v>
      </c>
      <c r="G621" s="1">
        <v>45600</v>
      </c>
      <c r="H621" s="1">
        <v>45602</v>
      </c>
      <c r="I621" s="1">
        <v>45602</v>
      </c>
      <c r="J621" s="2" t="s">
        <v>357</v>
      </c>
      <c r="K621" t="s">
        <v>5870</v>
      </c>
      <c r="M621" s="16" t="s">
        <v>8551</v>
      </c>
      <c r="N621" s="16" t="str">
        <f>VLOOKUP(M621,Tab_Zast[[Zastávka]:[Sloupec1]],2,0)</f>
        <v>00</v>
      </c>
      <c r="O621" t="s">
        <v>5871</v>
      </c>
      <c r="P621">
        <v>1</v>
      </c>
      <c r="Q621">
        <v>0</v>
      </c>
      <c r="R621" t="s">
        <v>31</v>
      </c>
      <c r="S621" t="s">
        <v>31</v>
      </c>
      <c r="T621" t="s">
        <v>32</v>
      </c>
      <c r="V621" s="1" t="e">
        <v>#N/A</v>
      </c>
      <c r="W621" t="s">
        <v>47</v>
      </c>
      <c r="X621">
        <v>0</v>
      </c>
      <c r="Y621">
        <v>728</v>
      </c>
      <c r="AA621" t="str">
        <f t="shared" si="18"/>
        <v/>
      </c>
      <c r="AB621" t="str">
        <f t="shared" si="19"/>
        <v/>
      </c>
    </row>
    <row r="622" spans="1:28" x14ac:dyDescent="0.25">
      <c r="A622" s="2">
        <v>1340</v>
      </c>
      <c r="B622" t="s">
        <v>5896</v>
      </c>
      <c r="C622" t="s">
        <v>64</v>
      </c>
      <c r="D622" t="s">
        <v>5897</v>
      </c>
      <c r="E622" t="s">
        <v>689</v>
      </c>
      <c r="F622" t="s">
        <v>5898</v>
      </c>
      <c r="G622" s="1">
        <v>45600</v>
      </c>
      <c r="H622" s="1">
        <v>45602</v>
      </c>
      <c r="I622" s="1">
        <v>45602</v>
      </c>
      <c r="J622" s="2" t="s">
        <v>357</v>
      </c>
      <c r="K622" t="s">
        <v>5899</v>
      </c>
      <c r="M622" s="16" t="s">
        <v>8551</v>
      </c>
      <c r="N622" s="16" t="str">
        <f>VLOOKUP(M622,Tab_Zast[[Zastávka]:[Sloupec1]],2,0)</f>
        <v>00</v>
      </c>
      <c r="O622" t="s">
        <v>5900</v>
      </c>
      <c r="P622">
        <v>1</v>
      </c>
      <c r="Q622">
        <v>0</v>
      </c>
      <c r="R622" t="s">
        <v>31</v>
      </c>
      <c r="S622" t="s">
        <v>31</v>
      </c>
      <c r="T622" t="s">
        <v>32</v>
      </c>
      <c r="V622" s="1" t="e">
        <v>#N/A</v>
      </c>
      <c r="W622" t="s">
        <v>47</v>
      </c>
      <c r="X622">
        <v>0</v>
      </c>
      <c r="Y622">
        <v>729</v>
      </c>
      <c r="AA622" t="str">
        <f t="shared" si="18"/>
        <v/>
      </c>
      <c r="AB622" t="str">
        <f t="shared" si="19"/>
        <v/>
      </c>
    </row>
    <row r="623" spans="1:28" x14ac:dyDescent="0.25">
      <c r="A623" s="2">
        <v>1341</v>
      </c>
      <c r="B623" t="s">
        <v>5901</v>
      </c>
      <c r="C623" t="s">
        <v>64</v>
      </c>
      <c r="D623" t="s">
        <v>5866</v>
      </c>
      <c r="E623" t="s">
        <v>761</v>
      </c>
      <c r="F623" t="s">
        <v>64</v>
      </c>
      <c r="G623" s="1">
        <v>45600</v>
      </c>
      <c r="H623" s="1">
        <v>45600</v>
      </c>
      <c r="I623" s="1">
        <v>45600</v>
      </c>
      <c r="J623" s="2" t="s">
        <v>357</v>
      </c>
      <c r="K623" t="s">
        <v>5867</v>
      </c>
      <c r="M623" s="16" t="s">
        <v>8551</v>
      </c>
      <c r="N623" s="16" t="str">
        <f>VLOOKUP(M623,Tab_Zast[[Zastávka]:[Sloupec1]],2,0)</f>
        <v>00</v>
      </c>
      <c r="O623" t="s">
        <v>5868</v>
      </c>
      <c r="P623">
        <v>1</v>
      </c>
      <c r="Q623">
        <v>0</v>
      </c>
      <c r="R623" t="s">
        <v>31</v>
      </c>
      <c r="S623" t="s">
        <v>31</v>
      </c>
      <c r="T623" t="s">
        <v>32</v>
      </c>
      <c r="V623" s="1" t="e">
        <v>#N/A</v>
      </c>
      <c r="W623" t="s">
        <v>47</v>
      </c>
      <c r="X623">
        <v>0</v>
      </c>
      <c r="Y623">
        <v>730</v>
      </c>
      <c r="AA623" t="str">
        <f t="shared" si="18"/>
        <v/>
      </c>
      <c r="AB623" t="str">
        <f t="shared" si="19"/>
        <v/>
      </c>
    </row>
    <row r="624" spans="1:28" x14ac:dyDescent="0.25">
      <c r="A624" s="2">
        <v>1343</v>
      </c>
      <c r="B624" t="s">
        <v>5906</v>
      </c>
      <c r="C624" t="s">
        <v>64</v>
      </c>
      <c r="D624" t="s">
        <v>5028</v>
      </c>
      <c r="E624" t="s">
        <v>4016</v>
      </c>
      <c r="F624" t="s">
        <v>64</v>
      </c>
      <c r="G624" s="1">
        <v>45600</v>
      </c>
      <c r="H624" s="1">
        <v>45600</v>
      </c>
      <c r="I624" s="1">
        <v>45600</v>
      </c>
      <c r="J624" s="2" t="s">
        <v>357</v>
      </c>
      <c r="K624" t="s">
        <v>5899</v>
      </c>
      <c r="M624" s="16" t="s">
        <v>8551</v>
      </c>
      <c r="N624" s="16" t="str">
        <f>VLOOKUP(M624,Tab_Zast[[Zastávka]:[Sloupec1]],2,0)</f>
        <v>00</v>
      </c>
      <c r="O624" t="s">
        <v>5907</v>
      </c>
      <c r="P624">
        <v>1</v>
      </c>
      <c r="Q624">
        <v>0</v>
      </c>
      <c r="R624" t="s">
        <v>31</v>
      </c>
      <c r="S624" t="s">
        <v>31</v>
      </c>
      <c r="T624" t="s">
        <v>32</v>
      </c>
      <c r="V624" s="1" t="e">
        <v>#N/A</v>
      </c>
      <c r="W624" t="s">
        <v>47</v>
      </c>
      <c r="X624">
        <v>0</v>
      </c>
      <c r="Y624">
        <v>732</v>
      </c>
      <c r="AA624" t="str">
        <f t="shared" si="18"/>
        <v/>
      </c>
      <c r="AB624" t="str">
        <f t="shared" si="19"/>
        <v/>
      </c>
    </row>
    <row r="625" spans="1:28" x14ac:dyDescent="0.25">
      <c r="A625" s="2">
        <v>1344</v>
      </c>
      <c r="B625" t="s">
        <v>5908</v>
      </c>
      <c r="C625" t="s">
        <v>64</v>
      </c>
      <c r="D625" t="s">
        <v>5909</v>
      </c>
      <c r="E625" t="s">
        <v>1402</v>
      </c>
      <c r="F625" t="s">
        <v>64</v>
      </c>
      <c r="G625" s="1">
        <v>45600</v>
      </c>
      <c r="H625" s="1">
        <v>45727</v>
      </c>
      <c r="I625" s="1">
        <v>73050</v>
      </c>
      <c r="J625" s="2" t="s">
        <v>357</v>
      </c>
      <c r="K625" t="s">
        <v>5910</v>
      </c>
      <c r="M625" s="16" t="s">
        <v>8551</v>
      </c>
      <c r="N625" s="16" t="str">
        <f>VLOOKUP(M625,Tab_Zast[[Zastávka]:[Sloupec1]],2,0)</f>
        <v>00</v>
      </c>
      <c r="O625" t="s">
        <v>5911</v>
      </c>
      <c r="P625">
        <v>1</v>
      </c>
      <c r="Q625">
        <v>0</v>
      </c>
      <c r="R625" t="s">
        <v>31</v>
      </c>
      <c r="S625" t="s">
        <v>31</v>
      </c>
      <c r="T625" t="s">
        <v>32</v>
      </c>
      <c r="V625" s="1" t="e">
        <v>#N/A</v>
      </c>
      <c r="W625" t="s">
        <v>47</v>
      </c>
      <c r="X625">
        <v>0</v>
      </c>
      <c r="Y625">
        <v>733</v>
      </c>
      <c r="AA625" t="str">
        <f t="shared" si="18"/>
        <v/>
      </c>
      <c r="AB625" t="str">
        <f t="shared" si="19"/>
        <v/>
      </c>
    </row>
    <row r="626" spans="1:28" x14ac:dyDescent="0.25">
      <c r="A626" s="2">
        <v>1345</v>
      </c>
      <c r="B626" t="s">
        <v>5912</v>
      </c>
      <c r="C626" t="s">
        <v>64</v>
      </c>
      <c r="D626" t="s">
        <v>5913</v>
      </c>
      <c r="E626" t="s">
        <v>2096</v>
      </c>
      <c r="F626" t="s">
        <v>5610</v>
      </c>
      <c r="G626" s="1">
        <v>45600</v>
      </c>
      <c r="H626" s="1">
        <v>45600</v>
      </c>
      <c r="I626" s="1">
        <v>45600</v>
      </c>
      <c r="J626" s="2" t="s">
        <v>357</v>
      </c>
      <c r="K626" t="s">
        <v>5914</v>
      </c>
      <c r="M626" s="16" t="s">
        <v>8551</v>
      </c>
      <c r="N626" s="16" t="str">
        <f>VLOOKUP(M626,Tab_Zast[[Zastávka]:[Sloupec1]],2,0)</f>
        <v>00</v>
      </c>
      <c r="O626" t="s">
        <v>5915</v>
      </c>
      <c r="P626">
        <v>1</v>
      </c>
      <c r="Q626">
        <v>0</v>
      </c>
      <c r="R626" t="s">
        <v>31</v>
      </c>
      <c r="S626" t="s">
        <v>31</v>
      </c>
      <c r="T626" t="s">
        <v>32</v>
      </c>
      <c r="V626" s="1" t="e">
        <v>#N/A</v>
      </c>
      <c r="W626" t="s">
        <v>47</v>
      </c>
      <c r="X626">
        <v>0</v>
      </c>
      <c r="Y626">
        <v>734</v>
      </c>
      <c r="AA626" t="str">
        <f t="shared" si="18"/>
        <v/>
      </c>
      <c r="AB626" t="str">
        <f t="shared" si="19"/>
        <v/>
      </c>
    </row>
    <row r="627" spans="1:28" x14ac:dyDescent="0.25">
      <c r="A627" s="2">
        <v>1346</v>
      </c>
      <c r="B627" t="s">
        <v>5916</v>
      </c>
      <c r="C627" t="s">
        <v>64</v>
      </c>
      <c r="D627" t="s">
        <v>5917</v>
      </c>
      <c r="E627" t="s">
        <v>695</v>
      </c>
      <c r="F627" t="s">
        <v>5918</v>
      </c>
      <c r="G627" s="1">
        <v>45600</v>
      </c>
      <c r="H627" s="1">
        <v>45602</v>
      </c>
      <c r="I627" s="1">
        <v>45602</v>
      </c>
      <c r="J627" s="2" t="s">
        <v>357</v>
      </c>
      <c r="K627" t="s">
        <v>5919</v>
      </c>
      <c r="M627" s="16" t="s">
        <v>8551</v>
      </c>
      <c r="N627" s="16" t="str">
        <f>VLOOKUP(M627,Tab_Zast[[Zastávka]:[Sloupec1]],2,0)</f>
        <v>00</v>
      </c>
      <c r="O627" t="s">
        <v>5920</v>
      </c>
      <c r="P627">
        <v>1</v>
      </c>
      <c r="Q627">
        <v>0</v>
      </c>
      <c r="R627" t="s">
        <v>31</v>
      </c>
      <c r="S627" t="s">
        <v>31</v>
      </c>
      <c r="T627" t="s">
        <v>32</v>
      </c>
      <c r="V627" s="1" t="e">
        <v>#N/A</v>
      </c>
      <c r="W627" t="s">
        <v>47</v>
      </c>
      <c r="X627">
        <v>0</v>
      </c>
      <c r="Y627">
        <v>735</v>
      </c>
      <c r="AA627" t="str">
        <f t="shared" si="18"/>
        <v/>
      </c>
      <c r="AB627" t="str">
        <f t="shared" si="19"/>
        <v/>
      </c>
    </row>
    <row r="628" spans="1:28" x14ac:dyDescent="0.25">
      <c r="A628" s="2">
        <v>1347</v>
      </c>
      <c r="B628" t="s">
        <v>5921</v>
      </c>
      <c r="C628" t="s">
        <v>64</v>
      </c>
      <c r="D628" t="s">
        <v>5922</v>
      </c>
      <c r="E628" t="s">
        <v>2705</v>
      </c>
      <c r="F628" t="s">
        <v>5923</v>
      </c>
      <c r="G628" s="1">
        <v>45600</v>
      </c>
      <c r="H628" s="1">
        <v>45602</v>
      </c>
      <c r="I628" s="1">
        <v>45602</v>
      </c>
      <c r="J628" s="2" t="s">
        <v>357</v>
      </c>
      <c r="K628" t="s">
        <v>5924</v>
      </c>
      <c r="M628" s="16" t="s">
        <v>8551</v>
      </c>
      <c r="N628" s="16" t="str">
        <f>VLOOKUP(M628,Tab_Zast[[Zastávka]:[Sloupec1]],2,0)</f>
        <v>00</v>
      </c>
      <c r="O628" t="s">
        <v>5925</v>
      </c>
      <c r="P628">
        <v>1</v>
      </c>
      <c r="Q628">
        <v>0</v>
      </c>
      <c r="R628" t="s">
        <v>31</v>
      </c>
      <c r="S628" t="s">
        <v>31</v>
      </c>
      <c r="T628" t="s">
        <v>32</v>
      </c>
      <c r="V628" s="1" t="e">
        <v>#N/A</v>
      </c>
      <c r="W628" t="s">
        <v>47</v>
      </c>
      <c r="X628">
        <v>0</v>
      </c>
      <c r="Y628">
        <v>737</v>
      </c>
      <c r="AA628" t="str">
        <f t="shared" si="18"/>
        <v/>
      </c>
      <c r="AB628" t="str">
        <f t="shared" si="19"/>
        <v/>
      </c>
    </row>
    <row r="629" spans="1:28" x14ac:dyDescent="0.25">
      <c r="A629" s="2">
        <v>1355</v>
      </c>
      <c r="B629" t="s">
        <v>5952</v>
      </c>
      <c r="C629" t="s">
        <v>64</v>
      </c>
      <c r="D629" t="s">
        <v>5953</v>
      </c>
      <c r="E629" t="s">
        <v>574</v>
      </c>
      <c r="F629" t="s">
        <v>5829</v>
      </c>
      <c r="G629" s="1">
        <v>45607</v>
      </c>
      <c r="H629" s="1">
        <v>45629</v>
      </c>
      <c r="I629" s="1">
        <v>73050</v>
      </c>
      <c r="J629" s="2" t="s">
        <v>357</v>
      </c>
      <c r="K629" t="s">
        <v>5954</v>
      </c>
      <c r="M629" s="16" t="s">
        <v>8551</v>
      </c>
      <c r="N629" s="16" t="str">
        <f>VLOOKUP(M629,Tab_Zast[[Zastávka]:[Sloupec1]],2,0)</f>
        <v>00</v>
      </c>
      <c r="O629" t="s">
        <v>5955</v>
      </c>
      <c r="P629">
        <v>1</v>
      </c>
      <c r="Q629">
        <v>0</v>
      </c>
      <c r="R629" t="s">
        <v>31</v>
      </c>
      <c r="S629" t="s">
        <v>31</v>
      </c>
      <c r="T629" t="s">
        <v>32</v>
      </c>
      <c r="V629" s="1" t="e">
        <v>#N/A</v>
      </c>
      <c r="W629" t="s">
        <v>47</v>
      </c>
      <c r="X629">
        <v>0</v>
      </c>
      <c r="Y629">
        <v>745</v>
      </c>
      <c r="AA629" t="str">
        <f t="shared" si="18"/>
        <v/>
      </c>
      <c r="AB629" t="str">
        <f t="shared" si="19"/>
        <v/>
      </c>
    </row>
    <row r="630" spans="1:28" x14ac:dyDescent="0.25">
      <c r="A630" s="2">
        <v>1359</v>
      </c>
      <c r="B630" t="s">
        <v>5964</v>
      </c>
      <c r="C630" t="s">
        <v>64</v>
      </c>
      <c r="D630" t="s">
        <v>5965</v>
      </c>
      <c r="E630" t="s">
        <v>5966</v>
      </c>
      <c r="F630" t="s">
        <v>2778</v>
      </c>
      <c r="G630" s="1">
        <v>45607</v>
      </c>
      <c r="H630" s="1">
        <v>45681</v>
      </c>
      <c r="I630" s="1">
        <v>73050</v>
      </c>
      <c r="J630" s="2" t="s">
        <v>357</v>
      </c>
      <c r="K630" t="s">
        <v>5967</v>
      </c>
      <c r="M630" s="16" t="s">
        <v>8551</v>
      </c>
      <c r="N630" s="16" t="str">
        <f>VLOOKUP(M630,Tab_Zast[[Zastávka]:[Sloupec1]],2,0)</f>
        <v>00</v>
      </c>
      <c r="O630" t="s">
        <v>5968</v>
      </c>
      <c r="P630">
        <v>1</v>
      </c>
      <c r="Q630">
        <v>0</v>
      </c>
      <c r="R630" t="s">
        <v>31</v>
      </c>
      <c r="S630" t="s">
        <v>31</v>
      </c>
      <c r="T630" t="s">
        <v>32</v>
      </c>
      <c r="V630" s="1" t="e">
        <v>#N/A</v>
      </c>
      <c r="W630" t="s">
        <v>47</v>
      </c>
      <c r="X630">
        <v>0</v>
      </c>
      <c r="Y630">
        <v>749</v>
      </c>
      <c r="AA630" t="str">
        <f t="shared" si="18"/>
        <v/>
      </c>
      <c r="AB630" t="str">
        <f t="shared" si="19"/>
        <v/>
      </c>
    </row>
    <row r="631" spans="1:28" x14ac:dyDescent="0.25">
      <c r="A631" s="2">
        <v>1363</v>
      </c>
      <c r="B631" t="s">
        <v>5982</v>
      </c>
      <c r="C631" t="s">
        <v>64</v>
      </c>
      <c r="D631" t="s">
        <v>1072</v>
      </c>
      <c r="E631" t="s">
        <v>5983</v>
      </c>
      <c r="F631" t="s">
        <v>64</v>
      </c>
      <c r="G631" s="1">
        <v>45607</v>
      </c>
      <c r="H631" s="1">
        <v>45607</v>
      </c>
      <c r="I631" s="1">
        <v>45607</v>
      </c>
      <c r="J631" s="2" t="s">
        <v>357</v>
      </c>
      <c r="K631" t="s">
        <v>5984</v>
      </c>
      <c r="M631" s="16" t="s">
        <v>8551</v>
      </c>
      <c r="N631" s="16" t="str">
        <f>VLOOKUP(M631,Tab_Zast[[Zastávka]:[Sloupec1]],2,0)</f>
        <v>00</v>
      </c>
      <c r="O631" t="s">
        <v>5985</v>
      </c>
      <c r="P631">
        <v>1</v>
      </c>
      <c r="Q631">
        <v>0</v>
      </c>
      <c r="R631" t="s">
        <v>31</v>
      </c>
      <c r="S631" t="s">
        <v>31</v>
      </c>
      <c r="T631" t="s">
        <v>32</v>
      </c>
      <c r="V631" s="1" t="e">
        <v>#N/A</v>
      </c>
      <c r="W631" t="s">
        <v>47</v>
      </c>
      <c r="X631">
        <v>0</v>
      </c>
      <c r="Y631">
        <v>754</v>
      </c>
      <c r="AA631" t="str">
        <f t="shared" si="18"/>
        <v/>
      </c>
      <c r="AB631" t="str">
        <f t="shared" si="19"/>
        <v/>
      </c>
    </row>
    <row r="632" spans="1:28" x14ac:dyDescent="0.25">
      <c r="A632" s="2">
        <v>1370</v>
      </c>
      <c r="B632" t="s">
        <v>6005</v>
      </c>
      <c r="C632" t="s">
        <v>64</v>
      </c>
      <c r="D632" t="s">
        <v>6006</v>
      </c>
      <c r="E632" t="s">
        <v>6007</v>
      </c>
      <c r="F632" t="s">
        <v>5782</v>
      </c>
      <c r="G632" s="1">
        <v>45610</v>
      </c>
      <c r="H632" s="1">
        <v>45623</v>
      </c>
      <c r="I632" s="1">
        <v>45623</v>
      </c>
      <c r="J632" s="2" t="s">
        <v>357</v>
      </c>
      <c r="K632" t="s">
        <v>6008</v>
      </c>
      <c r="M632" s="16" t="s">
        <v>8551</v>
      </c>
      <c r="N632" s="16" t="str">
        <f>VLOOKUP(M632,Tab_Zast[[Zastávka]:[Sloupec1]],2,0)</f>
        <v>00</v>
      </c>
      <c r="O632" t="s">
        <v>6009</v>
      </c>
      <c r="P632">
        <v>1</v>
      </c>
      <c r="Q632">
        <v>0</v>
      </c>
      <c r="R632" t="s">
        <v>31</v>
      </c>
      <c r="S632" t="s">
        <v>31</v>
      </c>
      <c r="T632" t="s">
        <v>32</v>
      </c>
      <c r="V632" s="1" t="e">
        <v>#N/A</v>
      </c>
      <c r="W632" t="s">
        <v>47</v>
      </c>
      <c r="X632">
        <v>0</v>
      </c>
      <c r="Y632">
        <v>761</v>
      </c>
      <c r="AA632" t="str">
        <f t="shared" si="18"/>
        <v/>
      </c>
      <c r="AB632" t="str">
        <f t="shared" si="19"/>
        <v/>
      </c>
    </row>
    <row r="633" spans="1:28" x14ac:dyDescent="0.25">
      <c r="A633" s="2">
        <v>1601</v>
      </c>
      <c r="B633" t="s">
        <v>6879</v>
      </c>
      <c r="C633" t="s">
        <v>64</v>
      </c>
      <c r="D633" t="s">
        <v>6880</v>
      </c>
      <c r="E633" t="s">
        <v>2903</v>
      </c>
      <c r="F633" t="s">
        <v>6881</v>
      </c>
      <c r="G633" s="1">
        <v>45770</v>
      </c>
      <c r="H633" s="1">
        <v>73050</v>
      </c>
      <c r="I633" s="1" t="e">
        <v>#N/A</v>
      </c>
      <c r="J633" s="2" t="s">
        <v>8464</v>
      </c>
      <c r="K633" t="s">
        <v>6882</v>
      </c>
      <c r="M633" s="16" t="s">
        <v>8465</v>
      </c>
      <c r="N633" s="16" t="str">
        <f>VLOOKUP(M633,Tab_Zast[[Zastávka]:[Sloupec1]],2,0)</f>
        <v>64</v>
      </c>
      <c r="O633" t="s">
        <v>6883</v>
      </c>
      <c r="P633">
        <v>6</v>
      </c>
      <c r="Q633">
        <v>0</v>
      </c>
      <c r="R633" t="s">
        <v>179</v>
      </c>
      <c r="S633" t="s">
        <v>31</v>
      </c>
      <c r="T633" t="s">
        <v>32</v>
      </c>
      <c r="V633" s="1" t="e">
        <v>#N/A</v>
      </c>
      <c r="W633" t="s">
        <v>1216</v>
      </c>
      <c r="X633">
        <v>1</v>
      </c>
      <c r="Y633">
        <v>994</v>
      </c>
      <c r="AA633" t="str">
        <f t="shared" si="18"/>
        <v>update zamestnanci set nastup='64' where id='1601';</v>
      </c>
      <c r="AB633" t="str">
        <f t="shared" si="19"/>
        <v>update dochazka set zastavka = '64' where zamestnanec = '1601';</v>
      </c>
    </row>
    <row r="634" spans="1:28" x14ac:dyDescent="0.25">
      <c r="A634" s="2">
        <v>1606</v>
      </c>
      <c r="B634" t="s">
        <v>6902</v>
      </c>
      <c r="C634" t="s">
        <v>64</v>
      </c>
      <c r="D634" t="s">
        <v>6903</v>
      </c>
      <c r="E634" t="s">
        <v>737</v>
      </c>
      <c r="F634" t="s">
        <v>64</v>
      </c>
      <c r="G634" s="1">
        <v>45771</v>
      </c>
      <c r="H634" s="1">
        <v>45786</v>
      </c>
      <c r="I634" s="1">
        <v>73050</v>
      </c>
      <c r="J634" s="2" t="s">
        <v>8464</v>
      </c>
      <c r="K634" t="s">
        <v>6904</v>
      </c>
      <c r="M634" s="16" t="s">
        <v>8465</v>
      </c>
      <c r="N634" s="16" t="str">
        <f>VLOOKUP(M634,Tab_Zast[[Zastávka]:[Sloupec1]],2,0)</f>
        <v>64</v>
      </c>
      <c r="O634" t="s">
        <v>6905</v>
      </c>
      <c r="P634">
        <v>6</v>
      </c>
      <c r="Q634">
        <v>0</v>
      </c>
      <c r="R634" t="s">
        <v>31</v>
      </c>
      <c r="S634" t="s">
        <v>31</v>
      </c>
      <c r="T634" t="s">
        <v>32</v>
      </c>
      <c r="V634" s="1">
        <v>45782</v>
      </c>
      <c r="W634" t="s">
        <v>1216</v>
      </c>
      <c r="X634">
        <v>0</v>
      </c>
      <c r="Y634">
        <v>1000</v>
      </c>
      <c r="AA634" t="str">
        <f t="shared" si="18"/>
        <v>update zamestnanci set nastup='64' where id='1606';</v>
      </c>
      <c r="AB634" t="str">
        <f t="shared" si="19"/>
        <v>update dochazka set zastavka = '64' where zamestnanec = '1606';</v>
      </c>
    </row>
    <row r="635" spans="1:28" x14ac:dyDescent="0.25">
      <c r="A635" s="2">
        <v>1625</v>
      </c>
      <c r="B635" t="s">
        <v>6980</v>
      </c>
      <c r="C635" t="s">
        <v>64</v>
      </c>
      <c r="D635" t="s">
        <v>2136</v>
      </c>
      <c r="E635" t="s">
        <v>4248</v>
      </c>
      <c r="F635" t="s">
        <v>569</v>
      </c>
      <c r="G635" s="1">
        <v>45783</v>
      </c>
      <c r="H635" s="1">
        <v>45938</v>
      </c>
      <c r="I635" s="1">
        <v>73050</v>
      </c>
      <c r="J635" s="2" t="s">
        <v>8464</v>
      </c>
      <c r="K635" t="s">
        <v>6981</v>
      </c>
      <c r="M635" s="16" t="s">
        <v>8465</v>
      </c>
      <c r="N635" s="16" t="str">
        <f>VLOOKUP(M635,Tab_Zast[[Zastávka]:[Sloupec1]],2,0)</f>
        <v>64</v>
      </c>
      <c r="O635" t="s">
        <v>6982</v>
      </c>
      <c r="P635">
        <v>6</v>
      </c>
      <c r="Q635">
        <v>0</v>
      </c>
      <c r="R635" t="s">
        <v>31</v>
      </c>
      <c r="S635" t="s">
        <v>31</v>
      </c>
      <c r="T635" t="s">
        <v>32</v>
      </c>
      <c r="V635" s="1" t="e">
        <v>#N/A</v>
      </c>
      <c r="W635" t="s">
        <v>1216</v>
      </c>
      <c r="X635">
        <v>0</v>
      </c>
      <c r="Y635">
        <v>1018</v>
      </c>
      <c r="AA635" t="str">
        <f t="shared" si="18"/>
        <v>update zamestnanci set nastup='64' where id='1625';</v>
      </c>
      <c r="AB635" t="str">
        <f t="shared" si="19"/>
        <v>update dochazka set zastavka = '64' where zamestnanec = '1625';</v>
      </c>
    </row>
    <row r="636" spans="1:28" x14ac:dyDescent="0.25">
      <c r="A636" s="2">
        <v>1733</v>
      </c>
      <c r="B636" t="s">
        <v>7349</v>
      </c>
      <c r="C636" t="s">
        <v>569</v>
      </c>
      <c r="D636" t="s">
        <v>7350</v>
      </c>
      <c r="E636" t="s">
        <v>719</v>
      </c>
      <c r="F636" t="s">
        <v>569</v>
      </c>
      <c r="G636" s="1">
        <v>45852</v>
      </c>
      <c r="H636" s="1">
        <v>45882</v>
      </c>
      <c r="I636" s="1">
        <v>73050</v>
      </c>
      <c r="J636" s="2" t="s">
        <v>8464</v>
      </c>
      <c r="K636" t="s">
        <v>7351</v>
      </c>
      <c r="M636" s="16" t="s">
        <v>8465</v>
      </c>
      <c r="N636" s="16" t="str">
        <f>VLOOKUP(M636,Tab_Zast[[Zastávka]:[Sloupec1]],2,0)</f>
        <v>64</v>
      </c>
      <c r="O636" t="s">
        <v>7352</v>
      </c>
      <c r="P636">
        <v>6</v>
      </c>
      <c r="Q636">
        <v>0</v>
      </c>
      <c r="R636" t="s">
        <v>31</v>
      </c>
      <c r="S636" t="s">
        <v>31</v>
      </c>
      <c r="T636" t="s">
        <v>32</v>
      </c>
      <c r="V636" s="1">
        <v>45874</v>
      </c>
      <c r="W636" t="s">
        <v>3052</v>
      </c>
      <c r="X636">
        <v>0</v>
      </c>
      <c r="Y636">
        <v>1133</v>
      </c>
      <c r="AA636" t="str">
        <f t="shared" si="18"/>
        <v>update zamestnanci set nastup='64' where id='1733';</v>
      </c>
      <c r="AB636" t="str">
        <f t="shared" si="19"/>
        <v>update dochazka set zastavka = '64' where zamestnanec = '1733';</v>
      </c>
    </row>
    <row r="637" spans="1:28" x14ac:dyDescent="0.25">
      <c r="A637" s="2">
        <v>1734</v>
      </c>
      <c r="B637" t="s">
        <v>7353</v>
      </c>
      <c r="C637" t="s">
        <v>569</v>
      </c>
      <c r="D637" t="s">
        <v>7354</v>
      </c>
      <c r="E637" t="s">
        <v>3638</v>
      </c>
      <c r="F637" t="s">
        <v>569</v>
      </c>
      <c r="G637" s="1">
        <v>45852</v>
      </c>
      <c r="H637" s="1">
        <v>45882</v>
      </c>
      <c r="I637" s="1">
        <v>73050</v>
      </c>
      <c r="J637" s="2" t="s">
        <v>8464</v>
      </c>
      <c r="K637" t="s">
        <v>7355</v>
      </c>
      <c r="M637" s="16" t="s">
        <v>8465</v>
      </c>
      <c r="N637" s="16" t="str">
        <f>VLOOKUP(M637,Tab_Zast[[Zastávka]:[Sloupec1]],2,0)</f>
        <v>64</v>
      </c>
      <c r="O637" t="s">
        <v>7356</v>
      </c>
      <c r="P637">
        <v>6</v>
      </c>
      <c r="Q637">
        <v>0</v>
      </c>
      <c r="R637" t="s">
        <v>31</v>
      </c>
      <c r="S637" t="s">
        <v>31</v>
      </c>
      <c r="T637" t="s">
        <v>32</v>
      </c>
      <c r="V637" s="1">
        <v>45874</v>
      </c>
      <c r="W637" t="s">
        <v>3052</v>
      </c>
      <c r="X637">
        <v>0</v>
      </c>
      <c r="Y637">
        <v>1134</v>
      </c>
      <c r="AA637" t="str">
        <f t="shared" si="18"/>
        <v>update zamestnanci set nastup='64' where id='1734';</v>
      </c>
      <c r="AB637" t="str">
        <f t="shared" si="19"/>
        <v>update dochazka set zastavka = '64' where zamestnanec = '1734';</v>
      </c>
    </row>
    <row r="638" spans="1:28" x14ac:dyDescent="0.25">
      <c r="A638" s="2">
        <v>1736</v>
      </c>
      <c r="B638" t="s">
        <v>7360</v>
      </c>
      <c r="C638" t="s">
        <v>569</v>
      </c>
      <c r="D638" t="s">
        <v>7361</v>
      </c>
      <c r="E638" t="s">
        <v>563</v>
      </c>
      <c r="F638" t="s">
        <v>7362</v>
      </c>
      <c r="G638" s="1">
        <v>45852</v>
      </c>
      <c r="H638" s="1">
        <v>45926</v>
      </c>
      <c r="I638" s="1">
        <v>73050</v>
      </c>
      <c r="J638" s="2" t="s">
        <v>8464</v>
      </c>
      <c r="K638" t="s">
        <v>7363</v>
      </c>
      <c r="M638" s="16" t="s">
        <v>8465</v>
      </c>
      <c r="N638" s="16" t="str">
        <f>VLOOKUP(M638,Tab_Zast[[Zastávka]:[Sloupec1]],2,0)</f>
        <v>64</v>
      </c>
      <c r="O638" t="s">
        <v>7364</v>
      </c>
      <c r="P638">
        <v>6</v>
      </c>
      <c r="Q638">
        <v>0</v>
      </c>
      <c r="R638" t="s">
        <v>31</v>
      </c>
      <c r="S638" t="s">
        <v>31</v>
      </c>
      <c r="T638" t="s">
        <v>32</v>
      </c>
      <c r="V638" s="1" t="e">
        <v>#N/A</v>
      </c>
      <c r="W638" t="s">
        <v>3052</v>
      </c>
      <c r="X638">
        <v>0</v>
      </c>
      <c r="Y638">
        <v>1137</v>
      </c>
      <c r="AA638" t="str">
        <f t="shared" si="18"/>
        <v>update zamestnanci set nastup='64' where id='1736';</v>
      </c>
      <c r="AB638" t="str">
        <f t="shared" si="19"/>
        <v>update dochazka set zastavka = '64' where zamestnanec = '1736';</v>
      </c>
    </row>
    <row r="639" spans="1:28" x14ac:dyDescent="0.25">
      <c r="A639" s="2">
        <v>1770</v>
      </c>
      <c r="B639" t="s">
        <v>7500</v>
      </c>
      <c r="C639" t="s">
        <v>569</v>
      </c>
      <c r="D639" t="s">
        <v>3819</v>
      </c>
      <c r="E639" t="s">
        <v>1509</v>
      </c>
      <c r="F639" t="s">
        <v>7501</v>
      </c>
      <c r="G639" s="1">
        <v>45873</v>
      </c>
      <c r="H639" s="1">
        <v>45873</v>
      </c>
      <c r="I639" s="1">
        <v>73050</v>
      </c>
      <c r="J639" s="2" t="s">
        <v>8464</v>
      </c>
      <c r="K639" t="s">
        <v>7502</v>
      </c>
      <c r="M639" s="16" t="s">
        <v>8465</v>
      </c>
      <c r="N639" s="16" t="str">
        <f>VLOOKUP(M639,Tab_Zast[[Zastávka]:[Sloupec1]],2,0)</f>
        <v>64</v>
      </c>
      <c r="O639" t="s">
        <v>7503</v>
      </c>
      <c r="P639">
        <v>6</v>
      </c>
      <c r="Q639">
        <v>0</v>
      </c>
      <c r="R639" t="s">
        <v>31</v>
      </c>
      <c r="S639" t="s">
        <v>31</v>
      </c>
      <c r="T639" t="s">
        <v>32</v>
      </c>
      <c r="V639" s="1" t="e">
        <v>#N/A</v>
      </c>
      <c r="W639" t="s">
        <v>1216</v>
      </c>
      <c r="X639">
        <v>0</v>
      </c>
      <c r="Y639">
        <v>1163</v>
      </c>
      <c r="AA639" t="str">
        <f t="shared" si="18"/>
        <v>update zamestnanci set nastup='64' where id='1770';</v>
      </c>
      <c r="AB639" t="str">
        <f t="shared" si="19"/>
        <v>update dochazka set zastavka = '64' where zamestnanec = '1770';</v>
      </c>
    </row>
    <row r="640" spans="1:28" x14ac:dyDescent="0.25">
      <c r="A640" s="2">
        <v>1812</v>
      </c>
      <c r="B640" t="s">
        <v>7649</v>
      </c>
      <c r="C640" t="s">
        <v>357</v>
      </c>
      <c r="D640" t="s">
        <v>2765</v>
      </c>
      <c r="E640" t="s">
        <v>80</v>
      </c>
      <c r="F640" t="s">
        <v>7650</v>
      </c>
      <c r="G640" s="1">
        <v>45897</v>
      </c>
      <c r="H640" s="1">
        <v>45912</v>
      </c>
      <c r="I640" s="1">
        <v>73050</v>
      </c>
      <c r="J640" s="2" t="s">
        <v>8464</v>
      </c>
      <c r="K640" t="s">
        <v>7651</v>
      </c>
      <c r="M640" s="16" t="s">
        <v>8465</v>
      </c>
      <c r="N640" s="16" t="str">
        <f>VLOOKUP(M640,Tab_Zast[[Zastávka]:[Sloupec1]],2,0)</f>
        <v>64</v>
      </c>
      <c r="O640" t="s">
        <v>7652</v>
      </c>
      <c r="P640">
        <v>6</v>
      </c>
      <c r="Q640">
        <v>0</v>
      </c>
      <c r="R640" t="s">
        <v>31</v>
      </c>
      <c r="S640" t="s">
        <v>31</v>
      </c>
      <c r="T640" t="s">
        <v>32</v>
      </c>
      <c r="V640" s="1" t="e">
        <v>#N/A</v>
      </c>
      <c r="W640" t="s">
        <v>3052</v>
      </c>
      <c r="X640">
        <v>0</v>
      </c>
      <c r="Y640">
        <v>1207</v>
      </c>
      <c r="AA640" t="str">
        <f t="shared" si="18"/>
        <v>update zamestnanci set nastup='64' where id='1812';</v>
      </c>
      <c r="AB640" t="str">
        <f t="shared" si="19"/>
        <v>update dochazka set zastavka = '64' where zamestnanec = '1812';</v>
      </c>
    </row>
    <row r="641" spans="1:28" x14ac:dyDescent="0.25">
      <c r="A641" s="2">
        <v>1817</v>
      </c>
      <c r="B641" t="s">
        <v>7667</v>
      </c>
      <c r="C641" t="s">
        <v>569</v>
      </c>
      <c r="D641" t="s">
        <v>7244</v>
      </c>
      <c r="E641" t="s">
        <v>3533</v>
      </c>
      <c r="F641" t="s">
        <v>569</v>
      </c>
      <c r="G641" s="1">
        <v>45901</v>
      </c>
      <c r="H641" s="1">
        <v>45901</v>
      </c>
      <c r="I641" s="1">
        <v>45901</v>
      </c>
      <c r="J641" s="2" t="s">
        <v>8464</v>
      </c>
      <c r="K641" t="s">
        <v>7668</v>
      </c>
      <c r="M641" s="16" t="s">
        <v>8465</v>
      </c>
      <c r="N641" s="16" t="str">
        <f>VLOOKUP(M641,Tab_Zast[[Zastávka]:[Sloupec1]],2,0)</f>
        <v>64</v>
      </c>
      <c r="O641" t="s">
        <v>7669</v>
      </c>
      <c r="P641">
        <v>6</v>
      </c>
      <c r="Q641">
        <v>0</v>
      </c>
      <c r="R641" t="s">
        <v>31</v>
      </c>
      <c r="S641" t="s">
        <v>31</v>
      </c>
      <c r="T641" t="s">
        <v>32</v>
      </c>
      <c r="V641" s="1" t="e">
        <v>#N/A</v>
      </c>
      <c r="W641" t="s">
        <v>1216</v>
      </c>
      <c r="X641">
        <v>0</v>
      </c>
      <c r="Y641">
        <v>1208</v>
      </c>
      <c r="AA641" t="str">
        <f t="shared" si="18"/>
        <v>update zamestnanci set nastup='64' where id='1817';</v>
      </c>
      <c r="AB641" t="str">
        <f t="shared" si="19"/>
        <v>update dochazka set zastavka = '64' where zamestnanec = '1817';</v>
      </c>
    </row>
    <row r="642" spans="1:28" x14ac:dyDescent="0.25">
      <c r="A642" s="2">
        <v>1822</v>
      </c>
      <c r="B642" t="s">
        <v>7681</v>
      </c>
      <c r="C642" t="s">
        <v>357</v>
      </c>
      <c r="D642" t="s">
        <v>7682</v>
      </c>
      <c r="E642" t="s">
        <v>1744</v>
      </c>
      <c r="F642" t="s">
        <v>1394</v>
      </c>
      <c r="G642" s="1">
        <v>45904</v>
      </c>
      <c r="H642" s="1">
        <v>45960</v>
      </c>
      <c r="I642" s="1" t="e">
        <v>#N/A</v>
      </c>
      <c r="J642" s="2" t="s">
        <v>8464</v>
      </c>
      <c r="K642" t="s">
        <v>7683</v>
      </c>
      <c r="M642" s="16" t="s">
        <v>8465</v>
      </c>
      <c r="N642" s="16" t="str">
        <f>VLOOKUP(M642,Tab_Zast[[Zastávka]:[Sloupec1]],2,0)</f>
        <v>64</v>
      </c>
      <c r="O642" t="s">
        <v>7684</v>
      </c>
      <c r="P642">
        <v>6</v>
      </c>
      <c r="Q642">
        <v>0</v>
      </c>
      <c r="R642" t="s">
        <v>31</v>
      </c>
      <c r="S642" t="s">
        <v>31</v>
      </c>
      <c r="T642" t="s">
        <v>32</v>
      </c>
      <c r="V642" s="1" t="e">
        <v>#N/A</v>
      </c>
      <c r="W642" t="s">
        <v>3052</v>
      </c>
      <c r="X642">
        <v>0</v>
      </c>
      <c r="Y642">
        <v>1217</v>
      </c>
      <c r="AA642" t="str">
        <f t="shared" si="18"/>
        <v>update zamestnanci set nastup='64' where id='1822';</v>
      </c>
      <c r="AB642" t="str">
        <f t="shared" si="19"/>
        <v>update dochazka set zastavka = '64' where zamestnanec = '1822';</v>
      </c>
    </row>
    <row r="643" spans="1:28" x14ac:dyDescent="0.25">
      <c r="A643" s="2">
        <v>1932</v>
      </c>
      <c r="B643" t="s">
        <v>8135</v>
      </c>
      <c r="C643" t="s">
        <v>357</v>
      </c>
      <c r="D643" t="s">
        <v>2619</v>
      </c>
      <c r="E643" t="s">
        <v>1402</v>
      </c>
      <c r="F643" t="s">
        <v>8135</v>
      </c>
      <c r="G643" s="1">
        <v>45987</v>
      </c>
      <c r="H643" s="1" t="e">
        <v>#N/A</v>
      </c>
      <c r="I643" s="1" t="e">
        <v>#N/A</v>
      </c>
      <c r="J643" s="2" t="s">
        <v>8464</v>
      </c>
      <c r="K643" t="s">
        <v>8136</v>
      </c>
      <c r="M643" s="16" t="s">
        <v>8465</v>
      </c>
      <c r="N643" s="16" t="str">
        <f>VLOOKUP(M643,Tab_Zast[[Zastávka]:[Sloupec1]],2,0)</f>
        <v>64</v>
      </c>
      <c r="O643" t="s">
        <v>8137</v>
      </c>
      <c r="P643">
        <v>6</v>
      </c>
      <c r="Q643">
        <v>0</v>
      </c>
      <c r="R643" t="s">
        <v>179</v>
      </c>
      <c r="S643" t="s">
        <v>129</v>
      </c>
      <c r="T643" t="s">
        <v>32</v>
      </c>
      <c r="V643" s="1" t="e">
        <v>#N/A</v>
      </c>
      <c r="W643" t="s">
        <v>3052</v>
      </c>
      <c r="X643">
        <v>1</v>
      </c>
      <c r="Y643">
        <v>1340</v>
      </c>
      <c r="AA643" t="str">
        <f t="shared" si="18"/>
        <v>update zamestnanci set nastup='64' where id='1932';</v>
      </c>
      <c r="AB643" t="str">
        <f t="shared" si="19"/>
        <v>update dochazka set zastavka = '64' where zamestnanec = '1932';</v>
      </c>
    </row>
    <row r="644" spans="1:28" x14ac:dyDescent="0.25">
      <c r="A644" s="2">
        <v>188</v>
      </c>
      <c r="B644" t="s">
        <v>1154</v>
      </c>
      <c r="D644" t="s">
        <v>1155</v>
      </c>
      <c r="E644" t="s">
        <v>1156</v>
      </c>
      <c r="F644" t="s">
        <v>1157</v>
      </c>
      <c r="G644" s="1">
        <v>45190</v>
      </c>
      <c r="H644" s="1">
        <v>45260</v>
      </c>
      <c r="I644" s="1">
        <v>73050</v>
      </c>
      <c r="J644" s="2" t="s">
        <v>555</v>
      </c>
      <c r="K644" t="s">
        <v>1158</v>
      </c>
      <c r="M644" s="16" t="s">
        <v>8420</v>
      </c>
      <c r="N644" s="16" t="str">
        <f>VLOOKUP(M644,Tab_Zast[[Zastávka]:[Sloupec1]],2,0)</f>
        <v>62</v>
      </c>
      <c r="O644" t="s">
        <v>1159</v>
      </c>
      <c r="P644">
        <v>6</v>
      </c>
      <c r="Q644">
        <v>0</v>
      </c>
      <c r="R644" t="s">
        <v>31</v>
      </c>
      <c r="S644" t="s">
        <v>31</v>
      </c>
      <c r="T644" t="s">
        <v>32</v>
      </c>
      <c r="V644" s="1" t="e">
        <v>#N/A</v>
      </c>
      <c r="W644" t="s">
        <v>1022</v>
      </c>
      <c r="X644">
        <v>0</v>
      </c>
      <c r="Y644">
        <v>0</v>
      </c>
      <c r="Z644" t="s">
        <v>54</v>
      </c>
      <c r="AA644" t="str">
        <f t="shared" ref="AA644:AA707" si="20">IF(J644&lt;&gt;"00","update zamestnanci set nastup='" &amp; J644 &amp; "' where id='" &amp; A644 &amp; "';","")</f>
        <v>update zamestnanci set nastup='62' where id='188';</v>
      </c>
      <c r="AB644" t="str">
        <f t="shared" ref="AB644:AB707" si="21">IF(J644&lt;&gt;"00","update dochazka set zastavka = '" &amp; J644 &amp; "' where zamestnanec = '" &amp; A644 &amp; "';","")</f>
        <v>update dochazka set zastavka = '62' where zamestnanec = '188';</v>
      </c>
    </row>
    <row r="645" spans="1:28" x14ac:dyDescent="0.25">
      <c r="A645" s="2">
        <v>420</v>
      </c>
      <c r="B645" t="s">
        <v>1434</v>
      </c>
      <c r="C645" t="s">
        <v>1435</v>
      </c>
      <c r="D645" t="s">
        <v>1436</v>
      </c>
      <c r="E645" t="s">
        <v>1437</v>
      </c>
      <c r="F645" t="s">
        <v>1438</v>
      </c>
      <c r="G645" s="1">
        <v>44972</v>
      </c>
      <c r="H645" s="1">
        <v>45437</v>
      </c>
      <c r="I645" s="1">
        <v>73050</v>
      </c>
      <c r="J645" s="2" t="s">
        <v>555</v>
      </c>
      <c r="K645" t="s">
        <v>1439</v>
      </c>
      <c r="M645" s="16" t="s">
        <v>8420</v>
      </c>
      <c r="N645" s="16" t="str">
        <f>VLOOKUP(M645,Tab_Zast[[Zastávka]:[Sloupec1]],2,0)</f>
        <v>62</v>
      </c>
      <c r="O645" t="s">
        <v>1440</v>
      </c>
      <c r="P645">
        <v>6</v>
      </c>
      <c r="Q645">
        <v>0</v>
      </c>
      <c r="R645" t="s">
        <v>31</v>
      </c>
      <c r="S645" t="s">
        <v>31</v>
      </c>
      <c r="T645" t="s">
        <v>32</v>
      </c>
      <c r="V645" s="1">
        <v>45389</v>
      </c>
      <c r="W645" t="s">
        <v>1216</v>
      </c>
      <c r="X645">
        <v>0</v>
      </c>
      <c r="Y645">
        <v>0</v>
      </c>
      <c r="AA645" t="str">
        <f t="shared" si="20"/>
        <v>update zamestnanci set nastup='62' where id='420';</v>
      </c>
      <c r="AB645" t="str">
        <f t="shared" si="21"/>
        <v>update dochazka set zastavka = '62' where zamestnanec = '420';</v>
      </c>
    </row>
    <row r="646" spans="1:28" x14ac:dyDescent="0.25">
      <c r="A646" s="2">
        <v>539</v>
      </c>
      <c r="B646" t="s">
        <v>2185</v>
      </c>
      <c r="C646" t="s">
        <v>2186</v>
      </c>
      <c r="D646" t="s">
        <v>2187</v>
      </c>
      <c r="E646" t="s">
        <v>2188</v>
      </c>
      <c r="F646" t="s">
        <v>2189</v>
      </c>
      <c r="G646" s="1">
        <v>45033</v>
      </c>
      <c r="H646" s="1">
        <v>73050</v>
      </c>
      <c r="I646" s="1" t="e">
        <v>#N/A</v>
      </c>
      <c r="J646" s="2" t="s">
        <v>555</v>
      </c>
      <c r="K646" t="s">
        <v>2190</v>
      </c>
      <c r="M646" s="16" t="s">
        <v>8420</v>
      </c>
      <c r="N646" s="16" t="str">
        <f>VLOOKUP(M646,Tab_Zast[[Zastávka]:[Sloupec1]],2,0)</f>
        <v>62</v>
      </c>
      <c r="O646" t="s">
        <v>2191</v>
      </c>
      <c r="P646">
        <v>6</v>
      </c>
      <c r="Q646">
        <v>0</v>
      </c>
      <c r="R646" t="s">
        <v>179</v>
      </c>
      <c r="S646" t="s">
        <v>31</v>
      </c>
      <c r="T646" t="s">
        <v>32</v>
      </c>
      <c r="V646" s="1" t="e">
        <v>#N/A</v>
      </c>
      <c r="W646" t="s">
        <v>1216</v>
      </c>
      <c r="X646">
        <v>1</v>
      </c>
      <c r="Y646">
        <v>0</v>
      </c>
      <c r="AA646" t="str">
        <f t="shared" si="20"/>
        <v>update zamestnanci set nastup='62' where id='539';</v>
      </c>
      <c r="AB646" t="str">
        <f t="shared" si="21"/>
        <v>update dochazka set zastavka = '62' where zamestnanec = '539';</v>
      </c>
    </row>
    <row r="647" spans="1:28" x14ac:dyDescent="0.25">
      <c r="A647" s="2">
        <v>710</v>
      </c>
      <c r="B647" t="s">
        <v>3151</v>
      </c>
      <c r="D647" t="s">
        <v>934</v>
      </c>
      <c r="E647" t="s">
        <v>3152</v>
      </c>
      <c r="F647" t="s">
        <v>3153</v>
      </c>
      <c r="G647" s="1">
        <v>45273</v>
      </c>
      <c r="H647" s="1">
        <v>45334</v>
      </c>
      <c r="I647" s="1">
        <v>73050</v>
      </c>
      <c r="J647" s="2" t="s">
        <v>555</v>
      </c>
      <c r="K647" t="s">
        <v>2561</v>
      </c>
      <c r="M647" s="16" t="s">
        <v>8420</v>
      </c>
      <c r="N647" s="16" t="str">
        <f>VLOOKUP(M647,Tab_Zast[[Zastávka]:[Sloupec1]],2,0)</f>
        <v>62</v>
      </c>
      <c r="O647" t="s">
        <v>3154</v>
      </c>
      <c r="P647">
        <v>6</v>
      </c>
      <c r="Q647">
        <v>0</v>
      </c>
      <c r="R647" t="s">
        <v>31</v>
      </c>
      <c r="S647" t="s">
        <v>31</v>
      </c>
      <c r="T647" t="s">
        <v>32</v>
      </c>
      <c r="V647" s="1" t="e">
        <v>#N/A</v>
      </c>
      <c r="W647" t="s">
        <v>1216</v>
      </c>
      <c r="X647">
        <v>0</v>
      </c>
      <c r="Y647">
        <v>0</v>
      </c>
      <c r="Z647" t="s">
        <v>54</v>
      </c>
      <c r="AA647" t="str">
        <f t="shared" si="20"/>
        <v>update zamestnanci set nastup='62' where id='710';</v>
      </c>
      <c r="AB647" t="str">
        <f t="shared" si="21"/>
        <v>update dochazka set zastavka = '62' where zamestnanec = '710';</v>
      </c>
    </row>
    <row r="648" spans="1:28" x14ac:dyDescent="0.25">
      <c r="A648" s="2">
        <v>834</v>
      </c>
      <c r="B648" t="s">
        <v>3756</v>
      </c>
      <c r="D648" t="s">
        <v>3757</v>
      </c>
      <c r="E648" t="s">
        <v>3758</v>
      </c>
      <c r="F648" t="s">
        <v>3759</v>
      </c>
      <c r="G648" s="1">
        <v>45355</v>
      </c>
      <c r="H648" s="1">
        <v>45362</v>
      </c>
      <c r="I648" s="1">
        <v>73050</v>
      </c>
      <c r="J648" s="2" t="s">
        <v>555</v>
      </c>
      <c r="K648" t="s">
        <v>3760</v>
      </c>
      <c r="M648" s="16" t="s">
        <v>8420</v>
      </c>
      <c r="N648" s="16" t="str">
        <f>VLOOKUP(M648,Tab_Zast[[Zastávka]:[Sloupec1]],2,0)</f>
        <v>62</v>
      </c>
      <c r="O648" t="s">
        <v>3761</v>
      </c>
      <c r="P648">
        <v>6</v>
      </c>
      <c r="Q648">
        <v>0</v>
      </c>
      <c r="R648" t="s">
        <v>31</v>
      </c>
      <c r="S648" t="s">
        <v>31</v>
      </c>
      <c r="T648" t="s">
        <v>32</v>
      </c>
      <c r="V648" s="1" t="e">
        <v>#N/A</v>
      </c>
      <c r="W648" t="s">
        <v>1216</v>
      </c>
      <c r="X648">
        <v>0</v>
      </c>
      <c r="Y648">
        <v>0</v>
      </c>
      <c r="Z648" t="s">
        <v>54</v>
      </c>
      <c r="AA648" t="str">
        <f t="shared" si="20"/>
        <v>update zamestnanci set nastup='62' where id='834';</v>
      </c>
      <c r="AB648" t="str">
        <f t="shared" si="21"/>
        <v>update dochazka set zastavka = '62' where zamestnanec = '834';</v>
      </c>
    </row>
    <row r="649" spans="1:28" x14ac:dyDescent="0.25">
      <c r="A649" s="2">
        <v>901</v>
      </c>
      <c r="B649" t="s">
        <v>4072</v>
      </c>
      <c r="C649" t="s">
        <v>4073</v>
      </c>
      <c r="D649" t="s">
        <v>4074</v>
      </c>
      <c r="E649" t="s">
        <v>923</v>
      </c>
      <c r="F649" t="s">
        <v>4075</v>
      </c>
      <c r="G649" s="1">
        <v>45393</v>
      </c>
      <c r="H649" s="1">
        <v>45454</v>
      </c>
      <c r="I649" s="1">
        <v>73050</v>
      </c>
      <c r="J649" s="2" t="s">
        <v>555</v>
      </c>
      <c r="K649" t="s">
        <v>4076</v>
      </c>
      <c r="M649" s="16" t="s">
        <v>8420</v>
      </c>
      <c r="N649" s="16" t="str">
        <f>VLOOKUP(M649,Tab_Zast[[Zastávka]:[Sloupec1]],2,0)</f>
        <v>62</v>
      </c>
      <c r="O649" t="s">
        <v>4077</v>
      </c>
      <c r="P649">
        <v>6</v>
      </c>
      <c r="Q649">
        <v>0</v>
      </c>
      <c r="R649" t="s">
        <v>31</v>
      </c>
      <c r="S649" t="s">
        <v>31</v>
      </c>
      <c r="T649" t="s">
        <v>32</v>
      </c>
      <c r="V649" s="1">
        <v>45436</v>
      </c>
      <c r="W649" t="s">
        <v>1216</v>
      </c>
      <c r="X649">
        <v>0</v>
      </c>
      <c r="Y649">
        <v>255</v>
      </c>
      <c r="AA649" t="str">
        <f t="shared" si="20"/>
        <v>update zamestnanci set nastup='62' where id='901';</v>
      </c>
      <c r="AB649" t="str">
        <f t="shared" si="21"/>
        <v>update dochazka set zastavka = '62' where zamestnanec = '901';</v>
      </c>
    </row>
    <row r="650" spans="1:28" x14ac:dyDescent="0.25">
      <c r="A650" s="2">
        <v>914</v>
      </c>
      <c r="B650" t="s">
        <v>4138</v>
      </c>
      <c r="C650" t="s">
        <v>4139</v>
      </c>
      <c r="D650" t="s">
        <v>4140</v>
      </c>
      <c r="E650" t="s">
        <v>800</v>
      </c>
      <c r="F650" t="s">
        <v>4141</v>
      </c>
      <c r="G650" s="1">
        <v>45398</v>
      </c>
      <c r="H650" s="1">
        <v>45562</v>
      </c>
      <c r="I650" s="1">
        <v>73050</v>
      </c>
      <c r="J650" s="2" t="s">
        <v>555</v>
      </c>
      <c r="K650" t="s">
        <v>4142</v>
      </c>
      <c r="M650" s="16" t="s">
        <v>8420</v>
      </c>
      <c r="N650" s="16" t="str">
        <f>VLOOKUP(M650,Tab_Zast[[Zastávka]:[Sloupec1]],2,0)</f>
        <v>62</v>
      </c>
      <c r="O650" t="s">
        <v>4077</v>
      </c>
      <c r="P650">
        <v>6</v>
      </c>
      <c r="Q650">
        <v>0</v>
      </c>
      <c r="R650" t="s">
        <v>31</v>
      </c>
      <c r="S650" t="s">
        <v>31</v>
      </c>
      <c r="T650" t="s">
        <v>32</v>
      </c>
      <c r="V650" s="1" t="e">
        <v>#N/A</v>
      </c>
      <c r="W650" t="s">
        <v>1216</v>
      </c>
      <c r="X650">
        <v>0</v>
      </c>
      <c r="Y650">
        <v>274</v>
      </c>
      <c r="AA650" t="str">
        <f t="shared" si="20"/>
        <v>update zamestnanci set nastup='62' where id='914';</v>
      </c>
      <c r="AB650" t="str">
        <f t="shared" si="21"/>
        <v>update dochazka set zastavka = '62' where zamestnanec = '914';</v>
      </c>
    </row>
    <row r="651" spans="1:28" x14ac:dyDescent="0.25">
      <c r="A651" s="2">
        <v>970</v>
      </c>
      <c r="B651" t="s">
        <v>4391</v>
      </c>
      <c r="C651" t="s">
        <v>4392</v>
      </c>
      <c r="D651" t="s">
        <v>4393</v>
      </c>
      <c r="E651" t="s">
        <v>1634</v>
      </c>
      <c r="F651" t="s">
        <v>4394</v>
      </c>
      <c r="G651" s="1">
        <v>45446</v>
      </c>
      <c r="H651" s="1">
        <v>45614</v>
      </c>
      <c r="I651" s="1">
        <v>73050</v>
      </c>
      <c r="J651" s="2" t="s">
        <v>555</v>
      </c>
      <c r="K651" t="s">
        <v>4395</v>
      </c>
      <c r="M651" s="16" t="s">
        <v>8420</v>
      </c>
      <c r="N651" s="16" t="str">
        <f>VLOOKUP(M651,Tab_Zast[[Zastávka]:[Sloupec1]],2,0)</f>
        <v>62</v>
      </c>
      <c r="O651" t="s">
        <v>4396</v>
      </c>
      <c r="P651">
        <v>6</v>
      </c>
      <c r="Q651">
        <v>0</v>
      </c>
      <c r="R651" t="s">
        <v>31</v>
      </c>
      <c r="S651" t="s">
        <v>31</v>
      </c>
      <c r="T651" t="s">
        <v>32</v>
      </c>
      <c r="V651" s="1" t="e">
        <v>#N/A</v>
      </c>
      <c r="W651" t="s">
        <v>1216</v>
      </c>
      <c r="X651">
        <v>0</v>
      </c>
      <c r="Y651">
        <v>362</v>
      </c>
      <c r="AA651" t="str">
        <f t="shared" si="20"/>
        <v>update zamestnanci set nastup='62' where id='970';</v>
      </c>
      <c r="AB651" t="str">
        <f t="shared" si="21"/>
        <v>update dochazka set zastavka = '62' where zamestnanec = '970';</v>
      </c>
    </row>
    <row r="652" spans="1:28" x14ac:dyDescent="0.25">
      <c r="A652" s="2">
        <v>1005</v>
      </c>
      <c r="B652" t="s">
        <v>4530</v>
      </c>
      <c r="C652" t="s">
        <v>4531</v>
      </c>
      <c r="D652" t="s">
        <v>4532</v>
      </c>
      <c r="E652" t="s">
        <v>3204</v>
      </c>
      <c r="F652" t="s">
        <v>4533</v>
      </c>
      <c r="G652" s="1">
        <v>45455</v>
      </c>
      <c r="H652" s="1">
        <v>45477</v>
      </c>
      <c r="I652" s="1">
        <v>73050</v>
      </c>
      <c r="J652" s="2" t="s">
        <v>555</v>
      </c>
      <c r="K652" t="s">
        <v>4534</v>
      </c>
      <c r="M652" s="16" t="s">
        <v>8420</v>
      </c>
      <c r="N652" s="16" t="str">
        <f>VLOOKUP(M652,Tab_Zast[[Zastávka]:[Sloupec1]],2,0)</f>
        <v>62</v>
      </c>
      <c r="O652" t="s">
        <v>4535</v>
      </c>
      <c r="P652">
        <v>6</v>
      </c>
      <c r="Q652">
        <v>0</v>
      </c>
      <c r="R652" t="s">
        <v>31</v>
      </c>
      <c r="S652" t="s">
        <v>31</v>
      </c>
      <c r="T652" t="s">
        <v>32</v>
      </c>
      <c r="V652" s="1" t="e">
        <v>#N/A</v>
      </c>
      <c r="W652" t="s">
        <v>1216</v>
      </c>
      <c r="X652">
        <v>0</v>
      </c>
      <c r="Y652">
        <v>397</v>
      </c>
      <c r="AA652" t="str">
        <f t="shared" si="20"/>
        <v>update zamestnanci set nastup='62' where id='1005';</v>
      </c>
      <c r="AB652" t="str">
        <f t="shared" si="21"/>
        <v>update dochazka set zastavka = '62' where zamestnanec = '1005';</v>
      </c>
    </row>
    <row r="653" spans="1:28" x14ac:dyDescent="0.25">
      <c r="A653" s="2">
        <v>1007</v>
      </c>
      <c r="B653" t="s">
        <v>4539</v>
      </c>
      <c r="C653" t="s">
        <v>1394</v>
      </c>
      <c r="D653" t="s">
        <v>544</v>
      </c>
      <c r="E653" t="s">
        <v>574</v>
      </c>
      <c r="F653" t="s">
        <v>4540</v>
      </c>
      <c r="G653" s="1">
        <v>45455</v>
      </c>
      <c r="H653" s="1">
        <v>45581</v>
      </c>
      <c r="I653" s="1">
        <v>73050</v>
      </c>
      <c r="J653" s="2" t="s">
        <v>555</v>
      </c>
      <c r="K653" t="s">
        <v>4541</v>
      </c>
      <c r="M653" s="16" t="s">
        <v>8420</v>
      </c>
      <c r="N653" s="16" t="str">
        <f>VLOOKUP(M653,Tab_Zast[[Zastávka]:[Sloupec1]],2,0)</f>
        <v>62</v>
      </c>
      <c r="O653" t="s">
        <v>4535</v>
      </c>
      <c r="P653">
        <v>6</v>
      </c>
      <c r="Q653">
        <v>0</v>
      </c>
      <c r="R653" t="s">
        <v>31</v>
      </c>
      <c r="S653" t="s">
        <v>31</v>
      </c>
      <c r="T653" t="s">
        <v>32</v>
      </c>
      <c r="V653" s="1" t="e">
        <v>#N/A</v>
      </c>
      <c r="W653" t="s">
        <v>1216</v>
      </c>
      <c r="X653">
        <v>0</v>
      </c>
      <c r="Y653">
        <v>399</v>
      </c>
      <c r="AA653" t="str">
        <f t="shared" si="20"/>
        <v>update zamestnanci set nastup='62' where id='1007';</v>
      </c>
      <c r="AB653" t="str">
        <f t="shared" si="21"/>
        <v>update dochazka set zastavka = '62' where zamestnanec = '1007';</v>
      </c>
    </row>
    <row r="654" spans="1:28" x14ac:dyDescent="0.25">
      <c r="A654" s="2">
        <v>1041</v>
      </c>
      <c r="B654" t="s">
        <v>4687</v>
      </c>
      <c r="C654" t="s">
        <v>1394</v>
      </c>
      <c r="D654" t="s">
        <v>4688</v>
      </c>
      <c r="E654" t="s">
        <v>201</v>
      </c>
      <c r="F654" t="s">
        <v>67</v>
      </c>
      <c r="G654" s="1">
        <v>45468</v>
      </c>
      <c r="H654" s="1">
        <v>45468</v>
      </c>
      <c r="I654" s="1">
        <v>45468</v>
      </c>
      <c r="J654" s="2" t="s">
        <v>555</v>
      </c>
      <c r="K654" t="s">
        <v>4689</v>
      </c>
      <c r="M654" s="16" t="s">
        <v>8420</v>
      </c>
      <c r="N654" s="16" t="str">
        <f>VLOOKUP(M654,Tab_Zast[[Zastávka]:[Sloupec1]],2,0)</f>
        <v>62</v>
      </c>
      <c r="O654" t="s">
        <v>4690</v>
      </c>
      <c r="P654">
        <v>6</v>
      </c>
      <c r="Q654">
        <v>0</v>
      </c>
      <c r="R654" t="s">
        <v>31</v>
      </c>
      <c r="S654" t="s">
        <v>31</v>
      </c>
      <c r="T654" t="s">
        <v>32</v>
      </c>
      <c r="V654" s="1" t="e">
        <v>#N/A</v>
      </c>
      <c r="W654" t="s">
        <v>1216</v>
      </c>
      <c r="X654">
        <v>0</v>
      </c>
      <c r="Y654">
        <v>429</v>
      </c>
      <c r="AA654" t="str">
        <f t="shared" si="20"/>
        <v>update zamestnanci set nastup='62' where id='1041';</v>
      </c>
      <c r="AB654" t="str">
        <f t="shared" si="21"/>
        <v>update dochazka set zastavka = '62' where zamestnanec = '1041';</v>
      </c>
    </row>
    <row r="655" spans="1:28" x14ac:dyDescent="0.25">
      <c r="A655" s="2">
        <v>1086</v>
      </c>
      <c r="B655" t="s">
        <v>4880</v>
      </c>
      <c r="C655" t="s">
        <v>4881</v>
      </c>
      <c r="D655" t="s">
        <v>4882</v>
      </c>
      <c r="E655" t="s">
        <v>2391</v>
      </c>
      <c r="F655" t="s">
        <v>4883</v>
      </c>
      <c r="G655" s="1">
        <v>45488</v>
      </c>
      <c r="H655" s="1">
        <v>45495</v>
      </c>
      <c r="I655" s="1">
        <v>73050</v>
      </c>
      <c r="J655" s="2" t="s">
        <v>555</v>
      </c>
      <c r="K655" t="s">
        <v>4884</v>
      </c>
      <c r="M655" s="16" t="s">
        <v>8420</v>
      </c>
      <c r="N655" s="16" t="str">
        <f>VLOOKUP(M655,Tab_Zast[[Zastávka]:[Sloupec1]],2,0)</f>
        <v>62</v>
      </c>
      <c r="O655" t="s">
        <v>4885</v>
      </c>
      <c r="P655">
        <v>6</v>
      </c>
      <c r="Q655">
        <v>0</v>
      </c>
      <c r="R655" t="s">
        <v>31</v>
      </c>
      <c r="S655" t="s">
        <v>31</v>
      </c>
      <c r="T655" t="s">
        <v>32</v>
      </c>
      <c r="V655" s="1" t="e">
        <v>#N/A</v>
      </c>
      <c r="W655" t="s">
        <v>1216</v>
      </c>
      <c r="X655">
        <v>0</v>
      </c>
      <c r="Y655">
        <v>474</v>
      </c>
      <c r="AA655" t="str">
        <f t="shared" si="20"/>
        <v>update zamestnanci set nastup='62' where id='1086';</v>
      </c>
      <c r="AB655" t="str">
        <f t="shared" si="21"/>
        <v>update dochazka set zastavka = '62' where zamestnanec = '1086';</v>
      </c>
    </row>
    <row r="656" spans="1:28" x14ac:dyDescent="0.25">
      <c r="A656" s="2">
        <v>1087</v>
      </c>
      <c r="B656" t="s">
        <v>4886</v>
      </c>
      <c r="C656" t="s">
        <v>1394</v>
      </c>
      <c r="D656" t="s">
        <v>4887</v>
      </c>
      <c r="E656" t="s">
        <v>2120</v>
      </c>
      <c r="F656" t="s">
        <v>67</v>
      </c>
      <c r="G656" s="1">
        <v>45488</v>
      </c>
      <c r="H656" s="1">
        <v>45489</v>
      </c>
      <c r="I656" s="1">
        <v>73050</v>
      </c>
      <c r="J656" s="2" t="s">
        <v>555</v>
      </c>
      <c r="K656" t="s">
        <v>4888</v>
      </c>
      <c r="M656" s="16" t="s">
        <v>8420</v>
      </c>
      <c r="N656" s="16" t="str">
        <f>VLOOKUP(M656,Tab_Zast[[Zastávka]:[Sloupec1]],2,0)</f>
        <v>62</v>
      </c>
      <c r="O656" t="s">
        <v>4889</v>
      </c>
      <c r="P656">
        <v>6</v>
      </c>
      <c r="Q656">
        <v>0</v>
      </c>
      <c r="R656" t="s">
        <v>31</v>
      </c>
      <c r="S656" t="s">
        <v>31</v>
      </c>
      <c r="T656" t="s">
        <v>32</v>
      </c>
      <c r="V656" s="1" t="e">
        <v>#N/A</v>
      </c>
      <c r="W656" t="s">
        <v>1216</v>
      </c>
      <c r="X656">
        <v>0</v>
      </c>
      <c r="Y656">
        <v>475</v>
      </c>
      <c r="AA656" t="str">
        <f t="shared" si="20"/>
        <v>update zamestnanci set nastup='62' where id='1087';</v>
      </c>
      <c r="AB656" t="str">
        <f t="shared" si="21"/>
        <v>update dochazka set zastavka = '62' where zamestnanec = '1087';</v>
      </c>
    </row>
    <row r="657" spans="1:28" x14ac:dyDescent="0.25">
      <c r="A657" s="2">
        <v>1223</v>
      </c>
      <c r="B657" t="s">
        <v>5435</v>
      </c>
      <c r="C657" t="s">
        <v>1394</v>
      </c>
      <c r="D657" t="s">
        <v>5436</v>
      </c>
      <c r="E657" t="s">
        <v>2813</v>
      </c>
      <c r="F657" t="s">
        <v>5437</v>
      </c>
      <c r="G657" s="1">
        <v>45547</v>
      </c>
      <c r="H657" s="1">
        <v>45796</v>
      </c>
      <c r="I657" s="1">
        <v>73050</v>
      </c>
      <c r="J657" s="2" t="s">
        <v>555</v>
      </c>
      <c r="K657" t="s">
        <v>5438</v>
      </c>
      <c r="M657" s="16" t="s">
        <v>8420</v>
      </c>
      <c r="N657" s="16" t="str">
        <f>VLOOKUP(M657,Tab_Zast[[Zastávka]:[Sloupec1]],2,0)</f>
        <v>62</v>
      </c>
      <c r="O657" t="s">
        <v>5439</v>
      </c>
      <c r="P657">
        <v>6</v>
      </c>
      <c r="Q657">
        <v>0</v>
      </c>
      <c r="R657" t="s">
        <v>31</v>
      </c>
      <c r="S657" t="s">
        <v>31</v>
      </c>
      <c r="T657" t="s">
        <v>32</v>
      </c>
      <c r="V657" s="1">
        <v>45793</v>
      </c>
      <c r="W657" t="s">
        <v>1216</v>
      </c>
      <c r="X657">
        <v>0</v>
      </c>
      <c r="Y657">
        <v>615</v>
      </c>
      <c r="AA657" t="str">
        <f t="shared" si="20"/>
        <v>update zamestnanci set nastup='62' where id='1223';</v>
      </c>
      <c r="AB657" t="str">
        <f t="shared" si="21"/>
        <v>update dochazka set zastavka = '62' where zamestnanec = '1223';</v>
      </c>
    </row>
    <row r="658" spans="1:28" x14ac:dyDescent="0.25">
      <c r="A658" s="2">
        <v>1416</v>
      </c>
      <c r="B658" t="s">
        <v>6190</v>
      </c>
      <c r="C658" t="s">
        <v>64</v>
      </c>
      <c r="D658" t="s">
        <v>6191</v>
      </c>
      <c r="E658" t="s">
        <v>2120</v>
      </c>
      <c r="F658" t="s">
        <v>6192</v>
      </c>
      <c r="G658" s="1">
        <v>45630</v>
      </c>
      <c r="H658" s="1">
        <v>45716</v>
      </c>
      <c r="I658" s="1">
        <v>73050</v>
      </c>
      <c r="J658" s="2" t="s">
        <v>555</v>
      </c>
      <c r="K658" t="s">
        <v>6193</v>
      </c>
      <c r="M658" s="16" t="s">
        <v>8420</v>
      </c>
      <c r="N658" s="16" t="str">
        <f>VLOOKUP(M658,Tab_Zast[[Zastávka]:[Sloupec1]],2,0)</f>
        <v>62</v>
      </c>
      <c r="O658" t="s">
        <v>6194</v>
      </c>
      <c r="P658">
        <v>6</v>
      </c>
      <c r="Q658">
        <v>0</v>
      </c>
      <c r="R658" t="s">
        <v>31</v>
      </c>
      <c r="S658" t="s">
        <v>31</v>
      </c>
      <c r="T658" t="s">
        <v>32</v>
      </c>
      <c r="V658" s="1" t="e">
        <v>#N/A</v>
      </c>
      <c r="W658" t="s">
        <v>1216</v>
      </c>
      <c r="X658">
        <v>0</v>
      </c>
      <c r="Y658">
        <v>805</v>
      </c>
      <c r="AA658" t="str">
        <f t="shared" si="20"/>
        <v>update zamestnanci set nastup='62' where id='1416';</v>
      </c>
      <c r="AB658" t="str">
        <f t="shared" si="21"/>
        <v>update dochazka set zastavka = '62' where zamestnanec = '1416';</v>
      </c>
    </row>
    <row r="659" spans="1:28" x14ac:dyDescent="0.25">
      <c r="A659" s="2">
        <v>1441</v>
      </c>
      <c r="B659" t="s">
        <v>6288</v>
      </c>
      <c r="C659" t="s">
        <v>64</v>
      </c>
      <c r="D659" t="s">
        <v>6289</v>
      </c>
      <c r="E659" t="s">
        <v>3070</v>
      </c>
      <c r="F659" t="s">
        <v>3594</v>
      </c>
      <c r="G659" s="1">
        <v>45679</v>
      </c>
      <c r="H659" s="1">
        <v>45679</v>
      </c>
      <c r="I659" s="1">
        <v>45679</v>
      </c>
      <c r="J659" s="2" t="s">
        <v>555</v>
      </c>
      <c r="K659" t="s">
        <v>6290</v>
      </c>
      <c r="M659" s="16" t="s">
        <v>8420</v>
      </c>
      <c r="N659" s="16" t="str">
        <f>VLOOKUP(M659,Tab_Zast[[Zastávka]:[Sloupec1]],2,0)</f>
        <v>62</v>
      </c>
      <c r="O659" t="s">
        <v>6291</v>
      </c>
      <c r="P659">
        <v>6</v>
      </c>
      <c r="Q659">
        <v>0</v>
      </c>
      <c r="R659" t="s">
        <v>31</v>
      </c>
      <c r="S659" t="s">
        <v>31</v>
      </c>
      <c r="T659" t="s">
        <v>32</v>
      </c>
      <c r="V659" s="1" t="e">
        <v>#N/A</v>
      </c>
      <c r="W659" t="s">
        <v>1022</v>
      </c>
      <c r="X659">
        <v>0</v>
      </c>
      <c r="Y659">
        <v>830</v>
      </c>
      <c r="AA659" t="str">
        <f t="shared" si="20"/>
        <v>update zamestnanci set nastup='62' where id='1441';</v>
      </c>
      <c r="AB659" t="str">
        <f t="shared" si="21"/>
        <v>update dochazka set zastavka = '62' where zamestnanec = '1441';</v>
      </c>
    </row>
    <row r="660" spans="1:28" x14ac:dyDescent="0.25">
      <c r="A660" s="2">
        <v>1520</v>
      </c>
      <c r="B660" t="s">
        <v>6580</v>
      </c>
      <c r="C660" t="s">
        <v>64</v>
      </c>
      <c r="D660" t="s">
        <v>6581</v>
      </c>
      <c r="E660" t="s">
        <v>574</v>
      </c>
      <c r="F660" t="s">
        <v>183</v>
      </c>
      <c r="G660" s="1">
        <v>45728</v>
      </c>
      <c r="H660" s="1">
        <v>45744</v>
      </c>
      <c r="I660" s="1">
        <v>73050</v>
      </c>
      <c r="J660" s="2" t="s">
        <v>555</v>
      </c>
      <c r="K660" t="s">
        <v>6582</v>
      </c>
      <c r="M660" s="16" t="s">
        <v>8420</v>
      </c>
      <c r="N660" s="16" t="str">
        <f>VLOOKUP(M660,Tab_Zast[[Zastávka]:[Sloupec1]],2,0)</f>
        <v>62</v>
      </c>
      <c r="O660" t="s">
        <v>6583</v>
      </c>
      <c r="P660">
        <v>6</v>
      </c>
      <c r="Q660">
        <v>0</v>
      </c>
      <c r="R660" t="s">
        <v>31</v>
      </c>
      <c r="S660" t="s">
        <v>31</v>
      </c>
      <c r="T660" t="s">
        <v>32</v>
      </c>
      <c r="V660" s="1">
        <v>45735</v>
      </c>
      <c r="W660" t="s">
        <v>1022</v>
      </c>
      <c r="X660">
        <v>0</v>
      </c>
      <c r="Y660">
        <v>913</v>
      </c>
      <c r="AA660" t="str">
        <f t="shared" si="20"/>
        <v>update zamestnanci set nastup='62' where id='1520';</v>
      </c>
      <c r="AB660" t="str">
        <f t="shared" si="21"/>
        <v>update dochazka set zastavka = '62' where zamestnanec = '1520';</v>
      </c>
    </row>
    <row r="661" spans="1:28" x14ac:dyDescent="0.25">
      <c r="A661" s="2">
        <v>1530</v>
      </c>
      <c r="B661" t="s">
        <v>6619</v>
      </c>
      <c r="C661" t="s">
        <v>64</v>
      </c>
      <c r="D661" t="s">
        <v>6620</v>
      </c>
      <c r="E661" t="s">
        <v>1750</v>
      </c>
      <c r="F661" t="s">
        <v>64</v>
      </c>
      <c r="G661" s="1">
        <v>45733</v>
      </c>
      <c r="H661" s="1">
        <v>45733</v>
      </c>
      <c r="I661" s="1">
        <v>45733</v>
      </c>
      <c r="J661" s="2" t="s">
        <v>555</v>
      </c>
      <c r="K661" t="s">
        <v>6621</v>
      </c>
      <c r="M661" s="16" t="s">
        <v>8420</v>
      </c>
      <c r="N661" s="16" t="str">
        <f>VLOOKUP(M661,Tab_Zast[[Zastávka]:[Sloupec1]],2,0)</f>
        <v>62</v>
      </c>
      <c r="O661" t="s">
        <v>6622</v>
      </c>
      <c r="P661">
        <v>6</v>
      </c>
      <c r="Q661">
        <v>0</v>
      </c>
      <c r="R661" t="s">
        <v>31</v>
      </c>
      <c r="S661" t="s">
        <v>31</v>
      </c>
      <c r="T661" t="s">
        <v>32</v>
      </c>
      <c r="V661" s="1" t="e">
        <v>#N/A</v>
      </c>
      <c r="W661" t="s">
        <v>1216</v>
      </c>
      <c r="X661">
        <v>0</v>
      </c>
      <c r="Y661">
        <v>921</v>
      </c>
      <c r="AA661" t="str">
        <f t="shared" si="20"/>
        <v>update zamestnanci set nastup='62' where id='1530';</v>
      </c>
      <c r="AB661" t="str">
        <f t="shared" si="21"/>
        <v>update dochazka set zastavka = '62' where zamestnanec = '1530';</v>
      </c>
    </row>
    <row r="662" spans="1:28" x14ac:dyDescent="0.25">
      <c r="A662" s="2">
        <v>1584</v>
      </c>
      <c r="B662" t="s">
        <v>6817</v>
      </c>
      <c r="C662" t="s">
        <v>357</v>
      </c>
      <c r="D662" t="s">
        <v>6818</v>
      </c>
      <c r="E662" t="s">
        <v>2883</v>
      </c>
      <c r="F662" t="s">
        <v>569</v>
      </c>
      <c r="G662" s="1">
        <v>45761</v>
      </c>
      <c r="H662" s="1">
        <v>45373</v>
      </c>
      <c r="I662" s="1">
        <v>73050</v>
      </c>
      <c r="J662" s="2" t="s">
        <v>555</v>
      </c>
      <c r="K662" t="s">
        <v>6819</v>
      </c>
      <c r="M662" s="16" t="s">
        <v>8420</v>
      </c>
      <c r="N662" s="16" t="str">
        <f>VLOOKUP(M662,Tab_Zast[[Zastávka]:[Sloupec1]],2,0)</f>
        <v>62</v>
      </c>
      <c r="O662" t="s">
        <v>6820</v>
      </c>
      <c r="P662">
        <v>8</v>
      </c>
      <c r="Q662">
        <v>0</v>
      </c>
      <c r="R662" t="s">
        <v>31</v>
      </c>
      <c r="S662" t="s">
        <v>31</v>
      </c>
      <c r="T662" t="s">
        <v>32</v>
      </c>
      <c r="V662" s="1" t="e">
        <v>#N/A</v>
      </c>
      <c r="W662" t="s">
        <v>493</v>
      </c>
      <c r="X662">
        <v>0</v>
      </c>
      <c r="Y662">
        <v>976</v>
      </c>
      <c r="AA662" t="str">
        <f t="shared" si="20"/>
        <v>update zamestnanci set nastup='62' where id='1584';</v>
      </c>
      <c r="AB662" t="str">
        <f t="shared" si="21"/>
        <v>update dochazka set zastavka = '62' where zamestnanec = '1584';</v>
      </c>
    </row>
    <row r="663" spans="1:28" x14ac:dyDescent="0.25">
      <c r="A663" s="2">
        <v>1737</v>
      </c>
      <c r="B663" t="s">
        <v>7365</v>
      </c>
      <c r="C663" t="s">
        <v>569</v>
      </c>
      <c r="D663" t="s">
        <v>736</v>
      </c>
      <c r="E663" t="s">
        <v>3657</v>
      </c>
      <c r="F663" t="s">
        <v>7366</v>
      </c>
      <c r="G663" s="1">
        <v>45852</v>
      </c>
      <c r="H663" s="1">
        <v>45926</v>
      </c>
      <c r="I663" s="1">
        <v>73050</v>
      </c>
      <c r="J663" s="2" t="s">
        <v>555</v>
      </c>
      <c r="K663" t="s">
        <v>7367</v>
      </c>
      <c r="M663" s="16" t="s">
        <v>8420</v>
      </c>
      <c r="N663" s="16" t="str">
        <f>VLOOKUP(M663,Tab_Zast[[Zastávka]:[Sloupec1]],2,0)</f>
        <v>62</v>
      </c>
      <c r="O663" t="s">
        <v>7368</v>
      </c>
      <c r="P663">
        <v>6</v>
      </c>
      <c r="Q663">
        <v>0</v>
      </c>
      <c r="R663" t="s">
        <v>31</v>
      </c>
      <c r="S663" t="s">
        <v>31</v>
      </c>
      <c r="T663" t="s">
        <v>32</v>
      </c>
      <c r="V663" s="1" t="e">
        <v>#N/A</v>
      </c>
      <c r="W663" t="s">
        <v>3052</v>
      </c>
      <c r="X663">
        <v>0</v>
      </c>
      <c r="Y663">
        <v>1123</v>
      </c>
      <c r="AA663" t="str">
        <f t="shared" si="20"/>
        <v>update zamestnanci set nastup='62' where id='1737';</v>
      </c>
      <c r="AB663" t="str">
        <f t="shared" si="21"/>
        <v>update dochazka set zastavka = '62' where zamestnanec = '1737';</v>
      </c>
    </row>
    <row r="664" spans="1:28" x14ac:dyDescent="0.25">
      <c r="A664" s="2">
        <v>1952</v>
      </c>
      <c r="B664" t="s">
        <v>8203</v>
      </c>
      <c r="C664" t="s">
        <v>357</v>
      </c>
      <c r="D664" t="s">
        <v>8204</v>
      </c>
      <c r="E664" t="s">
        <v>8205</v>
      </c>
      <c r="F664" t="s">
        <v>8203</v>
      </c>
      <c r="G664" s="1">
        <v>46000</v>
      </c>
      <c r="H664" s="1" t="e">
        <v>#N/A</v>
      </c>
      <c r="I664" s="1" t="e">
        <v>#N/A</v>
      </c>
      <c r="J664" s="2" t="s">
        <v>555</v>
      </c>
      <c r="K664" t="s">
        <v>8206</v>
      </c>
      <c r="M664" s="16" t="s">
        <v>8420</v>
      </c>
      <c r="N664" s="16" t="str">
        <f>VLOOKUP(M664,Tab_Zast[[Zastávka]:[Sloupec1]],2,0)</f>
        <v>62</v>
      </c>
      <c r="O664" t="s">
        <v>8207</v>
      </c>
      <c r="P664">
        <v>6</v>
      </c>
      <c r="Q664">
        <v>0</v>
      </c>
      <c r="R664" t="s">
        <v>130</v>
      </c>
      <c r="S664" t="s">
        <v>31</v>
      </c>
      <c r="T664" t="s">
        <v>32</v>
      </c>
      <c r="V664" s="1" t="e">
        <v>#N/A</v>
      </c>
      <c r="W664" t="s">
        <v>1216</v>
      </c>
      <c r="X664">
        <v>1</v>
      </c>
      <c r="Y664">
        <v>1370</v>
      </c>
      <c r="AA664" t="str">
        <f t="shared" si="20"/>
        <v>update zamestnanci set nastup='62' where id='1952';</v>
      </c>
      <c r="AB664" t="str">
        <f t="shared" si="21"/>
        <v>update dochazka set zastavka = '62' where zamestnanec = '1952';</v>
      </c>
    </row>
    <row r="665" spans="1:28" x14ac:dyDescent="0.25">
      <c r="A665" s="2">
        <v>402</v>
      </c>
      <c r="B665" t="s">
        <v>1326</v>
      </c>
      <c r="C665" t="s">
        <v>1327</v>
      </c>
      <c r="D665" t="s">
        <v>1328</v>
      </c>
      <c r="E665" t="s">
        <v>1329</v>
      </c>
      <c r="F665" t="s">
        <v>1330</v>
      </c>
      <c r="G665" s="1">
        <v>44593</v>
      </c>
      <c r="H665" s="1" t="e">
        <v>#N/A</v>
      </c>
      <c r="I665" s="1" t="e">
        <v>#N/A</v>
      </c>
      <c r="J665" s="2" t="s">
        <v>759</v>
      </c>
      <c r="K665" t="s">
        <v>1331</v>
      </c>
      <c r="M665" s="16" t="s">
        <v>8515</v>
      </c>
      <c r="N665" s="16" t="str">
        <f>VLOOKUP(M665,Tab_Zast[[Zastávka]:[Sloupec1]],2,0)</f>
        <v>95</v>
      </c>
      <c r="O665" t="s">
        <v>1332</v>
      </c>
      <c r="P665">
        <v>6</v>
      </c>
      <c r="Q665">
        <v>0</v>
      </c>
      <c r="R665" t="s">
        <v>129</v>
      </c>
      <c r="S665" t="s">
        <v>31</v>
      </c>
      <c r="T665" t="s">
        <v>32</v>
      </c>
      <c r="V665" s="1" t="e">
        <v>#N/A</v>
      </c>
      <c r="W665" t="s">
        <v>1216</v>
      </c>
      <c r="X665">
        <v>1</v>
      </c>
      <c r="Y665">
        <v>0</v>
      </c>
      <c r="AA665" t="str">
        <f t="shared" si="20"/>
        <v>update zamestnanci set nastup='95' where id='402';</v>
      </c>
      <c r="AB665" t="str">
        <f t="shared" si="21"/>
        <v>update dochazka set zastavka = '95' where zamestnanec = '402';</v>
      </c>
    </row>
    <row r="666" spans="1:28" x14ac:dyDescent="0.25">
      <c r="A666" s="2">
        <v>718</v>
      </c>
      <c r="B666" t="s">
        <v>3183</v>
      </c>
      <c r="C666" t="s">
        <v>3184</v>
      </c>
      <c r="D666" t="s">
        <v>3185</v>
      </c>
      <c r="E666" t="s">
        <v>923</v>
      </c>
      <c r="F666" t="s">
        <v>3186</v>
      </c>
      <c r="G666" s="1">
        <v>45280</v>
      </c>
      <c r="H666" s="1">
        <v>45447</v>
      </c>
      <c r="I666" s="1">
        <v>73050</v>
      </c>
      <c r="J666" s="2" t="s">
        <v>759</v>
      </c>
      <c r="K666" t="s">
        <v>3187</v>
      </c>
      <c r="M666" s="16" t="s">
        <v>8515</v>
      </c>
      <c r="N666" s="16" t="str">
        <f>VLOOKUP(M666,Tab_Zast[[Zastávka]:[Sloupec1]],2,0)</f>
        <v>95</v>
      </c>
      <c r="O666" t="s">
        <v>3188</v>
      </c>
      <c r="P666">
        <v>6</v>
      </c>
      <c r="Q666">
        <v>0</v>
      </c>
      <c r="R666" t="s">
        <v>31</v>
      </c>
      <c r="S666" t="s">
        <v>31</v>
      </c>
      <c r="T666" t="s">
        <v>32</v>
      </c>
      <c r="V666" s="1" t="e">
        <v>#N/A</v>
      </c>
      <c r="W666" t="s">
        <v>1216</v>
      </c>
      <c r="X666">
        <v>0</v>
      </c>
      <c r="Y666">
        <v>0</v>
      </c>
      <c r="AA666" t="str">
        <f t="shared" si="20"/>
        <v>update zamestnanci set nastup='95' where id='718';</v>
      </c>
      <c r="AB666" t="str">
        <f t="shared" si="21"/>
        <v>update dochazka set zastavka = '95' where zamestnanec = '718';</v>
      </c>
    </row>
    <row r="667" spans="1:28" x14ac:dyDescent="0.25">
      <c r="A667" s="2">
        <v>731</v>
      </c>
      <c r="B667" t="s">
        <v>3248</v>
      </c>
      <c r="D667" t="s">
        <v>1267</v>
      </c>
      <c r="E667" t="s">
        <v>2451</v>
      </c>
      <c r="F667" t="s">
        <v>3249</v>
      </c>
      <c r="G667" s="1">
        <v>45294</v>
      </c>
      <c r="H667" s="1">
        <v>45303</v>
      </c>
      <c r="I667" s="1">
        <v>73050</v>
      </c>
      <c r="J667" s="2" t="s">
        <v>759</v>
      </c>
      <c r="K667" t="s">
        <v>3250</v>
      </c>
      <c r="M667" s="16" t="s">
        <v>8515</v>
      </c>
      <c r="N667" s="16" t="str">
        <f>VLOOKUP(M667,Tab_Zast[[Zastávka]:[Sloupec1]],2,0)</f>
        <v>95</v>
      </c>
      <c r="O667" t="s">
        <v>3247</v>
      </c>
      <c r="P667">
        <v>6</v>
      </c>
      <c r="Q667">
        <v>0</v>
      </c>
      <c r="R667" t="s">
        <v>31</v>
      </c>
      <c r="S667" t="s">
        <v>31</v>
      </c>
      <c r="T667" t="s">
        <v>32</v>
      </c>
      <c r="V667" s="1" t="e">
        <v>#N/A</v>
      </c>
      <c r="W667" t="s">
        <v>1216</v>
      </c>
      <c r="X667">
        <v>0</v>
      </c>
      <c r="Y667">
        <v>0</v>
      </c>
      <c r="Z667" t="s">
        <v>54</v>
      </c>
      <c r="AA667" t="str">
        <f t="shared" si="20"/>
        <v>update zamestnanci set nastup='95' where id='731';</v>
      </c>
      <c r="AB667" t="str">
        <f t="shared" si="21"/>
        <v>update dochazka set zastavka = '95' where zamestnanec = '731';</v>
      </c>
    </row>
    <row r="668" spans="1:28" x14ac:dyDescent="0.25">
      <c r="A668" s="2">
        <v>732</v>
      </c>
      <c r="B668" t="s">
        <v>3251</v>
      </c>
      <c r="D668" t="s">
        <v>3252</v>
      </c>
      <c r="E668" t="s">
        <v>2705</v>
      </c>
      <c r="F668" t="s">
        <v>3169</v>
      </c>
      <c r="G668" s="1">
        <v>45295</v>
      </c>
      <c r="H668" s="1">
        <v>45341</v>
      </c>
      <c r="I668" s="1">
        <v>73050</v>
      </c>
      <c r="J668" s="2" t="s">
        <v>759</v>
      </c>
      <c r="K668" t="s">
        <v>3253</v>
      </c>
      <c r="M668" s="16" t="s">
        <v>8515</v>
      </c>
      <c r="N668" s="16" t="str">
        <f>VLOOKUP(M668,Tab_Zast[[Zastávka]:[Sloupec1]],2,0)</f>
        <v>95</v>
      </c>
      <c r="O668" t="s">
        <v>3254</v>
      </c>
      <c r="P668">
        <v>6</v>
      </c>
      <c r="Q668">
        <v>0</v>
      </c>
      <c r="R668" t="s">
        <v>31</v>
      </c>
      <c r="S668" t="s">
        <v>31</v>
      </c>
      <c r="T668" t="s">
        <v>32</v>
      </c>
      <c r="V668" s="1" t="e">
        <v>#N/A</v>
      </c>
      <c r="W668" t="s">
        <v>1216</v>
      </c>
      <c r="X668">
        <v>0</v>
      </c>
      <c r="Y668">
        <v>0</v>
      </c>
      <c r="Z668" t="s">
        <v>54</v>
      </c>
      <c r="AA668" t="str">
        <f t="shared" si="20"/>
        <v>update zamestnanci set nastup='95' where id='732';</v>
      </c>
      <c r="AB668" t="str">
        <f t="shared" si="21"/>
        <v>update dochazka set zastavka = '95' where zamestnanec = '732';</v>
      </c>
    </row>
    <row r="669" spans="1:28" x14ac:dyDescent="0.25">
      <c r="A669" s="2">
        <v>733</v>
      </c>
      <c r="B669" t="s">
        <v>3255</v>
      </c>
      <c r="D669" t="s">
        <v>3256</v>
      </c>
      <c r="E669" t="s">
        <v>719</v>
      </c>
      <c r="F669" t="s">
        <v>2065</v>
      </c>
      <c r="G669" s="1">
        <v>45295</v>
      </c>
      <c r="H669" s="1">
        <v>45322</v>
      </c>
      <c r="I669" s="1">
        <v>73050</v>
      </c>
      <c r="J669" s="2" t="s">
        <v>759</v>
      </c>
      <c r="K669" t="s">
        <v>3257</v>
      </c>
      <c r="M669" s="16" t="s">
        <v>8515</v>
      </c>
      <c r="N669" s="16" t="str">
        <f>VLOOKUP(M669,Tab_Zast[[Zastávka]:[Sloupec1]],2,0)</f>
        <v>95</v>
      </c>
      <c r="O669" t="s">
        <v>3254</v>
      </c>
      <c r="P669">
        <v>6</v>
      </c>
      <c r="Q669">
        <v>0</v>
      </c>
      <c r="R669" t="s">
        <v>31</v>
      </c>
      <c r="S669" t="s">
        <v>31</v>
      </c>
      <c r="T669" t="s">
        <v>32</v>
      </c>
      <c r="V669" s="1" t="e">
        <v>#N/A</v>
      </c>
      <c r="W669" t="s">
        <v>1216</v>
      </c>
      <c r="X669">
        <v>0</v>
      </c>
      <c r="Y669">
        <v>0</v>
      </c>
      <c r="Z669" t="s">
        <v>54</v>
      </c>
      <c r="AA669" t="str">
        <f t="shared" si="20"/>
        <v>update zamestnanci set nastup='95' where id='733';</v>
      </c>
      <c r="AB669" t="str">
        <f t="shared" si="21"/>
        <v>update dochazka set zastavka = '95' where zamestnanec = '733';</v>
      </c>
    </row>
    <row r="670" spans="1:28" x14ac:dyDescent="0.25">
      <c r="A670" s="2">
        <v>770</v>
      </c>
      <c r="B670" t="s">
        <v>3436</v>
      </c>
      <c r="D670" t="s">
        <v>3437</v>
      </c>
      <c r="E670" t="s">
        <v>3132</v>
      </c>
      <c r="F670" t="s">
        <v>3438</v>
      </c>
      <c r="G670" s="1">
        <v>45323</v>
      </c>
      <c r="H670" s="1">
        <v>45331</v>
      </c>
      <c r="I670" s="1">
        <v>73050</v>
      </c>
      <c r="J670" s="2" t="s">
        <v>759</v>
      </c>
      <c r="K670" t="s">
        <v>3439</v>
      </c>
      <c r="M670" s="16" t="s">
        <v>8515</v>
      </c>
      <c r="N670" s="16" t="str">
        <f>VLOOKUP(M670,Tab_Zast[[Zastávka]:[Sloupec1]],2,0)</f>
        <v>95</v>
      </c>
      <c r="O670" t="s">
        <v>3440</v>
      </c>
      <c r="P670">
        <v>6</v>
      </c>
      <c r="Q670">
        <v>0</v>
      </c>
      <c r="R670" t="s">
        <v>31</v>
      </c>
      <c r="S670" t="s">
        <v>31</v>
      </c>
      <c r="T670" t="s">
        <v>32</v>
      </c>
      <c r="V670" s="1" t="e">
        <v>#N/A</v>
      </c>
      <c r="W670" t="s">
        <v>1216</v>
      </c>
      <c r="X670">
        <v>0</v>
      </c>
      <c r="Y670">
        <v>0</v>
      </c>
      <c r="Z670" t="s">
        <v>54</v>
      </c>
      <c r="AA670" t="str">
        <f t="shared" si="20"/>
        <v>update zamestnanci set nastup='95' where id='770';</v>
      </c>
      <c r="AB670" t="str">
        <f t="shared" si="21"/>
        <v>update dochazka set zastavka = '95' where zamestnanec = '770';</v>
      </c>
    </row>
    <row r="671" spans="1:28" x14ac:dyDescent="0.25">
      <c r="A671" s="2">
        <v>902</v>
      </c>
      <c r="B671" t="s">
        <v>4078</v>
      </c>
      <c r="D671" t="s">
        <v>4079</v>
      </c>
      <c r="E671" t="s">
        <v>770</v>
      </c>
      <c r="F671" t="s">
        <v>67</v>
      </c>
      <c r="G671" s="1">
        <v>45393</v>
      </c>
      <c r="H671" s="1">
        <v>45393</v>
      </c>
      <c r="I671" s="1">
        <v>45393</v>
      </c>
      <c r="J671" s="2" t="s">
        <v>759</v>
      </c>
      <c r="K671" t="s">
        <v>4080</v>
      </c>
      <c r="M671" s="16" t="s">
        <v>8515</v>
      </c>
      <c r="N671" s="16" t="str">
        <f>VLOOKUP(M671,Tab_Zast[[Zastávka]:[Sloupec1]],2,0)</f>
        <v>95</v>
      </c>
      <c r="O671" t="s">
        <v>4081</v>
      </c>
      <c r="P671">
        <v>6</v>
      </c>
      <c r="Q671">
        <v>0</v>
      </c>
      <c r="R671" t="s">
        <v>31</v>
      </c>
      <c r="S671" t="s">
        <v>31</v>
      </c>
      <c r="T671" t="s">
        <v>32</v>
      </c>
      <c r="V671" s="1" t="e">
        <v>#N/A</v>
      </c>
      <c r="W671" t="s">
        <v>1216</v>
      </c>
      <c r="X671">
        <v>0</v>
      </c>
      <c r="Y671">
        <v>258</v>
      </c>
      <c r="Z671" t="s">
        <v>54</v>
      </c>
      <c r="AA671" t="str">
        <f t="shared" si="20"/>
        <v>update zamestnanci set nastup='95' where id='902';</v>
      </c>
      <c r="AB671" t="str">
        <f t="shared" si="21"/>
        <v>update dochazka set zastavka = '95' where zamestnanec = '902';</v>
      </c>
    </row>
    <row r="672" spans="1:28" x14ac:dyDescent="0.25">
      <c r="A672" s="2">
        <v>924</v>
      </c>
      <c r="B672" t="s">
        <v>3393</v>
      </c>
      <c r="D672" t="s">
        <v>3394</v>
      </c>
      <c r="E672" t="s">
        <v>3198</v>
      </c>
      <c r="F672" t="s">
        <v>67</v>
      </c>
      <c r="G672" s="1">
        <v>45315</v>
      </c>
      <c r="H672" s="1">
        <v>45408</v>
      </c>
      <c r="I672" s="1">
        <v>73050</v>
      </c>
      <c r="J672" s="2" t="s">
        <v>759</v>
      </c>
      <c r="K672" t="s">
        <v>3396</v>
      </c>
      <c r="M672" s="16" t="s">
        <v>8515</v>
      </c>
      <c r="N672" s="16" t="str">
        <f>VLOOKUP(M672,Tab_Zast[[Zastávka]:[Sloupec1]],2,0)</f>
        <v>95</v>
      </c>
      <c r="O672" t="s">
        <v>3397</v>
      </c>
      <c r="P672">
        <v>6</v>
      </c>
      <c r="Q672">
        <v>0</v>
      </c>
      <c r="R672" t="s">
        <v>31</v>
      </c>
      <c r="S672" t="s">
        <v>31</v>
      </c>
      <c r="T672" t="s">
        <v>32</v>
      </c>
      <c r="V672" s="1" t="e">
        <v>#N/A</v>
      </c>
      <c r="W672" t="s">
        <v>1216</v>
      </c>
      <c r="X672">
        <v>0</v>
      </c>
      <c r="Y672">
        <v>293</v>
      </c>
      <c r="AA672" t="str">
        <f t="shared" si="20"/>
        <v>update zamestnanci set nastup='95' where id='924';</v>
      </c>
      <c r="AB672" t="str">
        <f t="shared" si="21"/>
        <v>update dochazka set zastavka = '95' where zamestnanec = '924';</v>
      </c>
    </row>
    <row r="673" spans="1:28" x14ac:dyDescent="0.25">
      <c r="A673" s="2">
        <v>948</v>
      </c>
      <c r="B673" t="s">
        <v>4284</v>
      </c>
      <c r="D673" t="s">
        <v>2668</v>
      </c>
      <c r="E673" t="s">
        <v>3384</v>
      </c>
      <c r="F673" t="s">
        <v>67</v>
      </c>
      <c r="G673" s="1">
        <v>45432</v>
      </c>
      <c r="H673" s="1">
        <v>45432</v>
      </c>
      <c r="I673" s="1">
        <v>45432</v>
      </c>
      <c r="J673" s="2" t="s">
        <v>759</v>
      </c>
      <c r="K673" t="s">
        <v>4285</v>
      </c>
      <c r="M673" s="16" t="s">
        <v>8515</v>
      </c>
      <c r="N673" s="16" t="str">
        <f>VLOOKUP(M673,Tab_Zast[[Zastávka]:[Sloupec1]],2,0)</f>
        <v>95</v>
      </c>
      <c r="O673" t="s">
        <v>4286</v>
      </c>
      <c r="P673">
        <v>6</v>
      </c>
      <c r="Q673">
        <v>0</v>
      </c>
      <c r="R673" t="s">
        <v>31</v>
      </c>
      <c r="S673" t="s">
        <v>31</v>
      </c>
      <c r="T673" t="s">
        <v>32</v>
      </c>
      <c r="V673" s="1" t="e">
        <v>#N/A</v>
      </c>
      <c r="W673" t="s">
        <v>1216</v>
      </c>
      <c r="X673">
        <v>0</v>
      </c>
      <c r="Y673">
        <v>343</v>
      </c>
      <c r="AA673" t="str">
        <f t="shared" si="20"/>
        <v>update zamestnanci set nastup='95' where id='948';</v>
      </c>
      <c r="AB673" t="str">
        <f t="shared" si="21"/>
        <v>update dochazka set zastavka = '95' where zamestnanec = '948';</v>
      </c>
    </row>
    <row r="674" spans="1:28" x14ac:dyDescent="0.25">
      <c r="A674" s="2">
        <v>957</v>
      </c>
      <c r="B674" t="s">
        <v>4327</v>
      </c>
      <c r="C674" t="s">
        <v>4328</v>
      </c>
      <c r="D674" t="s">
        <v>4329</v>
      </c>
      <c r="E674" t="s">
        <v>3717</v>
      </c>
      <c r="F674" t="s">
        <v>4330</v>
      </c>
      <c r="G674" s="1">
        <v>45439</v>
      </c>
      <c r="H674" s="1">
        <v>45492</v>
      </c>
      <c r="I674" s="1">
        <v>73050</v>
      </c>
      <c r="J674" s="2" t="s">
        <v>759</v>
      </c>
      <c r="K674" t="s">
        <v>4331</v>
      </c>
      <c r="M674" s="16" t="s">
        <v>8515</v>
      </c>
      <c r="N674" s="16" t="str">
        <f>VLOOKUP(M674,Tab_Zast[[Zastávka]:[Sloupec1]],2,0)</f>
        <v>95</v>
      </c>
      <c r="O674" t="s">
        <v>4332</v>
      </c>
      <c r="P674">
        <v>6</v>
      </c>
      <c r="Q674">
        <v>0</v>
      </c>
      <c r="R674" t="s">
        <v>31</v>
      </c>
      <c r="S674" t="s">
        <v>31</v>
      </c>
      <c r="T674" t="s">
        <v>32</v>
      </c>
      <c r="V674" s="1" t="e">
        <v>#N/A</v>
      </c>
      <c r="W674" t="s">
        <v>1216</v>
      </c>
      <c r="X674">
        <v>0</v>
      </c>
      <c r="Y674">
        <v>338</v>
      </c>
      <c r="AA674" t="str">
        <f t="shared" si="20"/>
        <v>update zamestnanci set nastup='95' where id='957';</v>
      </c>
      <c r="AB674" t="str">
        <f t="shared" si="21"/>
        <v>update dochazka set zastavka = '95' where zamestnanec = '957';</v>
      </c>
    </row>
    <row r="675" spans="1:28" x14ac:dyDescent="0.25">
      <c r="A675" s="2">
        <v>1052</v>
      </c>
      <c r="B675" t="s">
        <v>4732</v>
      </c>
      <c r="C675" t="s">
        <v>2320</v>
      </c>
      <c r="D675" t="s">
        <v>4733</v>
      </c>
      <c r="E675" t="s">
        <v>1509</v>
      </c>
      <c r="F675" t="s">
        <v>4734</v>
      </c>
      <c r="G675" s="1">
        <v>45476</v>
      </c>
      <c r="H675" s="1">
        <v>45527</v>
      </c>
      <c r="I675" s="1">
        <v>73050</v>
      </c>
      <c r="J675" s="2" t="s">
        <v>759</v>
      </c>
      <c r="K675" t="s">
        <v>4735</v>
      </c>
      <c r="M675" s="16" t="s">
        <v>8515</v>
      </c>
      <c r="N675" s="16" t="str">
        <f>VLOOKUP(M675,Tab_Zast[[Zastávka]:[Sloupec1]],2,0)</f>
        <v>95</v>
      </c>
      <c r="O675" t="s">
        <v>4736</v>
      </c>
      <c r="P675">
        <v>6</v>
      </c>
      <c r="Q675">
        <v>0</v>
      </c>
      <c r="R675" t="s">
        <v>31</v>
      </c>
      <c r="S675" t="s">
        <v>31</v>
      </c>
      <c r="T675" t="s">
        <v>32</v>
      </c>
      <c r="V675" s="1" t="e">
        <v>#N/A</v>
      </c>
      <c r="W675" t="s">
        <v>1216</v>
      </c>
      <c r="X675">
        <v>0</v>
      </c>
      <c r="Y675">
        <v>442</v>
      </c>
      <c r="AA675" t="str">
        <f t="shared" si="20"/>
        <v>update zamestnanci set nastup='95' where id='1052';</v>
      </c>
      <c r="AB675" t="str">
        <f t="shared" si="21"/>
        <v>update dochazka set zastavka = '95' where zamestnanec = '1052';</v>
      </c>
    </row>
    <row r="676" spans="1:28" x14ac:dyDescent="0.25">
      <c r="A676" s="2">
        <v>1053</v>
      </c>
      <c r="B676" t="s">
        <v>4737</v>
      </c>
      <c r="C676" t="s">
        <v>4738</v>
      </c>
      <c r="D676" t="s">
        <v>4733</v>
      </c>
      <c r="E676" t="s">
        <v>133</v>
      </c>
      <c r="F676" t="s">
        <v>4739</v>
      </c>
      <c r="G676" s="1">
        <v>45476</v>
      </c>
      <c r="H676" s="1" t="e">
        <v>#N/A</v>
      </c>
      <c r="I676" s="1" t="e">
        <v>#N/A</v>
      </c>
      <c r="J676" s="2" t="s">
        <v>759</v>
      </c>
      <c r="K676" t="s">
        <v>4740</v>
      </c>
      <c r="M676" s="16" t="s">
        <v>8515</v>
      </c>
      <c r="N676" s="16" t="str">
        <f>VLOOKUP(M676,Tab_Zast[[Zastávka]:[Sloupec1]],2,0)</f>
        <v>95</v>
      </c>
      <c r="O676" t="s">
        <v>4736</v>
      </c>
      <c r="P676">
        <v>6</v>
      </c>
      <c r="Q676">
        <v>0</v>
      </c>
      <c r="R676" t="s">
        <v>130</v>
      </c>
      <c r="S676" t="s">
        <v>31</v>
      </c>
      <c r="T676" t="s">
        <v>32</v>
      </c>
      <c r="V676" s="1" t="e">
        <v>#N/A</v>
      </c>
      <c r="W676" t="s">
        <v>1216</v>
      </c>
      <c r="X676">
        <v>1</v>
      </c>
      <c r="Y676">
        <v>443</v>
      </c>
      <c r="AA676" t="str">
        <f t="shared" si="20"/>
        <v>update zamestnanci set nastup='95' where id='1053';</v>
      </c>
      <c r="AB676" t="str">
        <f t="shared" si="21"/>
        <v>update dochazka set zastavka = '95' where zamestnanec = '1053';</v>
      </c>
    </row>
    <row r="677" spans="1:28" x14ac:dyDescent="0.25">
      <c r="A677" s="2">
        <v>1145</v>
      </c>
      <c r="B677" t="s">
        <v>5120</v>
      </c>
      <c r="C677" t="s">
        <v>1394</v>
      </c>
      <c r="D677" t="s">
        <v>5121</v>
      </c>
      <c r="E677" t="s">
        <v>701</v>
      </c>
      <c r="F677" t="s">
        <v>67</v>
      </c>
      <c r="G677" s="1">
        <v>45516</v>
      </c>
      <c r="H677" s="1">
        <v>45524</v>
      </c>
      <c r="I677" s="1">
        <v>73050</v>
      </c>
      <c r="J677" s="2" t="s">
        <v>759</v>
      </c>
      <c r="K677" t="s">
        <v>5122</v>
      </c>
      <c r="M677" s="16" t="s">
        <v>8515</v>
      </c>
      <c r="N677" s="16" t="str">
        <f>VLOOKUP(M677,Tab_Zast[[Zastávka]:[Sloupec1]],2,0)</f>
        <v>95</v>
      </c>
      <c r="O677" t="s">
        <v>5123</v>
      </c>
      <c r="P677">
        <v>6</v>
      </c>
      <c r="Q677">
        <v>0</v>
      </c>
      <c r="R677" t="s">
        <v>31</v>
      </c>
      <c r="S677" t="s">
        <v>31</v>
      </c>
      <c r="T677" t="s">
        <v>32</v>
      </c>
      <c r="V677" s="1" t="e">
        <v>#N/A</v>
      </c>
      <c r="W677" t="s">
        <v>1216</v>
      </c>
      <c r="X677">
        <v>0</v>
      </c>
      <c r="Y677">
        <v>534</v>
      </c>
      <c r="AA677" t="str">
        <f t="shared" si="20"/>
        <v>update zamestnanci set nastup='95' where id='1145';</v>
      </c>
      <c r="AB677" t="str">
        <f t="shared" si="21"/>
        <v>update dochazka set zastavka = '95' where zamestnanec = '1145';</v>
      </c>
    </row>
    <row r="678" spans="1:28" x14ac:dyDescent="0.25">
      <c r="A678" s="2">
        <v>1447</v>
      </c>
      <c r="B678" t="s">
        <v>6311</v>
      </c>
      <c r="C678" t="s">
        <v>64</v>
      </c>
      <c r="D678" t="s">
        <v>6312</v>
      </c>
      <c r="E678" t="s">
        <v>1402</v>
      </c>
      <c r="F678" t="s">
        <v>1131</v>
      </c>
      <c r="G678" s="1">
        <v>45679</v>
      </c>
      <c r="H678" s="1">
        <v>45747</v>
      </c>
      <c r="I678" s="1">
        <v>73050</v>
      </c>
      <c r="J678" s="2" t="s">
        <v>759</v>
      </c>
      <c r="K678" t="s">
        <v>6313</v>
      </c>
      <c r="M678" s="16" t="s">
        <v>8515</v>
      </c>
      <c r="N678" s="16" t="str">
        <f>VLOOKUP(M678,Tab_Zast[[Zastávka]:[Sloupec1]],2,0)</f>
        <v>95</v>
      </c>
      <c r="O678" t="s">
        <v>6314</v>
      </c>
      <c r="P678">
        <v>6</v>
      </c>
      <c r="Q678">
        <v>0</v>
      </c>
      <c r="R678" t="s">
        <v>31</v>
      </c>
      <c r="S678" t="s">
        <v>31</v>
      </c>
      <c r="T678" t="s">
        <v>32</v>
      </c>
      <c r="V678" s="1" t="e">
        <v>#N/A</v>
      </c>
      <c r="W678" t="s">
        <v>1022</v>
      </c>
      <c r="X678">
        <v>0</v>
      </c>
      <c r="Y678">
        <v>836</v>
      </c>
      <c r="AA678" t="str">
        <f t="shared" si="20"/>
        <v>update zamestnanci set nastup='95' where id='1447';</v>
      </c>
      <c r="AB678" t="str">
        <f t="shared" si="21"/>
        <v>update dochazka set zastavka = '95' where zamestnanec = '1447';</v>
      </c>
    </row>
    <row r="679" spans="1:28" x14ac:dyDescent="0.25">
      <c r="A679" s="2">
        <v>1467</v>
      </c>
      <c r="B679" t="s">
        <v>6390</v>
      </c>
      <c r="C679" t="s">
        <v>64</v>
      </c>
      <c r="D679" t="s">
        <v>6391</v>
      </c>
      <c r="E679" t="s">
        <v>4016</v>
      </c>
      <c r="F679" t="s">
        <v>6392</v>
      </c>
      <c r="G679" s="1">
        <v>45699</v>
      </c>
      <c r="H679" s="1">
        <v>73050</v>
      </c>
      <c r="I679" s="1" t="e">
        <v>#N/A</v>
      </c>
      <c r="J679" s="2" t="s">
        <v>759</v>
      </c>
      <c r="K679" t="s">
        <v>6393</v>
      </c>
      <c r="M679" s="16" t="s">
        <v>8515</v>
      </c>
      <c r="N679" s="16" t="str">
        <f>VLOOKUP(M679,Tab_Zast[[Zastávka]:[Sloupec1]],2,0)</f>
        <v>95</v>
      </c>
      <c r="O679" t="s">
        <v>6394</v>
      </c>
      <c r="P679">
        <v>6</v>
      </c>
      <c r="Q679">
        <v>0</v>
      </c>
      <c r="R679" t="s">
        <v>129</v>
      </c>
      <c r="S679" t="s">
        <v>31</v>
      </c>
      <c r="T679" t="s">
        <v>32</v>
      </c>
      <c r="V679" s="1" t="e">
        <v>#N/A</v>
      </c>
      <c r="W679" t="s">
        <v>1216</v>
      </c>
      <c r="X679">
        <v>1</v>
      </c>
      <c r="Y679">
        <v>857</v>
      </c>
      <c r="AA679" t="str">
        <f t="shared" si="20"/>
        <v>update zamestnanci set nastup='95' where id='1467';</v>
      </c>
      <c r="AB679" t="str">
        <f t="shared" si="21"/>
        <v>update dochazka set zastavka = '95' where zamestnanec = '1467';</v>
      </c>
    </row>
    <row r="680" spans="1:28" x14ac:dyDescent="0.25">
      <c r="A680" s="2">
        <v>1645</v>
      </c>
      <c r="B680" t="s">
        <v>64</v>
      </c>
      <c r="C680" t="s">
        <v>64</v>
      </c>
      <c r="D680" t="s">
        <v>2668</v>
      </c>
      <c r="E680" t="s">
        <v>3384</v>
      </c>
      <c r="F680" t="s">
        <v>7041</v>
      </c>
      <c r="G680" s="1">
        <v>45789</v>
      </c>
      <c r="H680" s="1" t="e">
        <v>#N/A</v>
      </c>
      <c r="I680" s="1" t="e">
        <v>#N/A</v>
      </c>
      <c r="J680" s="2" t="s">
        <v>759</v>
      </c>
      <c r="K680" t="s">
        <v>4285</v>
      </c>
      <c r="M680" s="16" t="s">
        <v>8515</v>
      </c>
      <c r="N680" s="16" t="str">
        <f>VLOOKUP(M680,Tab_Zast[[Zastávka]:[Sloupec1]],2,0)</f>
        <v>95</v>
      </c>
      <c r="O680" t="s">
        <v>4286</v>
      </c>
      <c r="P680">
        <v>6</v>
      </c>
      <c r="Q680">
        <v>0</v>
      </c>
      <c r="R680" t="s">
        <v>130</v>
      </c>
      <c r="S680" t="s">
        <v>179</v>
      </c>
      <c r="T680" t="s">
        <v>32</v>
      </c>
      <c r="V680" s="1" t="e">
        <v>#N/A</v>
      </c>
      <c r="W680" t="s">
        <v>3052</v>
      </c>
      <c r="X680">
        <v>1</v>
      </c>
      <c r="Y680">
        <v>1038</v>
      </c>
      <c r="AA680" t="str">
        <f t="shared" si="20"/>
        <v>update zamestnanci set nastup='95' where id='1645';</v>
      </c>
      <c r="AB680" t="str">
        <f t="shared" si="21"/>
        <v>update dochazka set zastavka = '95' where zamestnanec = '1645';</v>
      </c>
    </row>
    <row r="681" spans="1:28" x14ac:dyDescent="0.25">
      <c r="A681" s="2">
        <v>1655</v>
      </c>
      <c r="B681" t="s">
        <v>7075</v>
      </c>
      <c r="C681" t="s">
        <v>64</v>
      </c>
      <c r="D681" t="s">
        <v>7076</v>
      </c>
      <c r="E681" t="s">
        <v>725</v>
      </c>
      <c r="F681" t="s">
        <v>64</v>
      </c>
      <c r="G681" s="1">
        <v>45799</v>
      </c>
      <c r="H681" s="1">
        <v>45799</v>
      </c>
      <c r="I681" s="1">
        <v>73050</v>
      </c>
      <c r="J681" s="2" t="s">
        <v>759</v>
      </c>
      <c r="K681" t="s">
        <v>7077</v>
      </c>
      <c r="M681" s="16" t="s">
        <v>8515</v>
      </c>
      <c r="N681" s="16" t="str">
        <f>VLOOKUP(M681,Tab_Zast[[Zastávka]:[Sloupec1]],2,0)</f>
        <v>95</v>
      </c>
      <c r="O681" t="s">
        <v>4286</v>
      </c>
      <c r="P681">
        <v>6</v>
      </c>
      <c r="Q681">
        <v>0</v>
      </c>
      <c r="R681" t="s">
        <v>31</v>
      </c>
      <c r="S681" t="s">
        <v>31</v>
      </c>
      <c r="T681" t="s">
        <v>32</v>
      </c>
      <c r="V681" s="1">
        <v>45801</v>
      </c>
      <c r="W681" t="s">
        <v>1216</v>
      </c>
      <c r="X681">
        <v>0</v>
      </c>
      <c r="Y681">
        <v>1048</v>
      </c>
      <c r="AA681" t="str">
        <f t="shared" si="20"/>
        <v>update zamestnanci set nastup='95' where id='1655';</v>
      </c>
      <c r="AB681" t="str">
        <f t="shared" si="21"/>
        <v>update dochazka set zastavka = '95' where zamestnanec = '1655';</v>
      </c>
    </row>
    <row r="682" spans="1:28" x14ac:dyDescent="0.25">
      <c r="A682" s="2">
        <v>1773</v>
      </c>
      <c r="B682" t="s">
        <v>7511</v>
      </c>
      <c r="C682" t="s">
        <v>357</v>
      </c>
      <c r="D682" t="s">
        <v>6312</v>
      </c>
      <c r="E682" t="s">
        <v>1402</v>
      </c>
      <c r="F682" t="s">
        <v>7512</v>
      </c>
      <c r="G682" s="1">
        <v>45873</v>
      </c>
      <c r="H682" s="1" t="e">
        <v>#N/A</v>
      </c>
      <c r="I682" s="1" t="e">
        <v>#N/A</v>
      </c>
      <c r="J682" s="2" t="s">
        <v>759</v>
      </c>
      <c r="K682" t="s">
        <v>7513</v>
      </c>
      <c r="M682" s="16" t="s">
        <v>8515</v>
      </c>
      <c r="N682" s="16" t="str">
        <f>VLOOKUP(M682,Tab_Zast[[Zastávka]:[Sloupec1]],2,0)</f>
        <v>95</v>
      </c>
      <c r="O682" t="s">
        <v>6314</v>
      </c>
      <c r="P682">
        <v>6</v>
      </c>
      <c r="Q682">
        <v>0</v>
      </c>
      <c r="R682" t="s">
        <v>179</v>
      </c>
      <c r="S682" t="s">
        <v>31</v>
      </c>
      <c r="T682" t="s">
        <v>32</v>
      </c>
      <c r="V682" s="1" t="e">
        <v>#N/A</v>
      </c>
      <c r="W682" t="s">
        <v>1216</v>
      </c>
      <c r="X682">
        <v>1</v>
      </c>
      <c r="Y682">
        <v>1166</v>
      </c>
      <c r="AA682" t="str">
        <f t="shared" si="20"/>
        <v>update zamestnanci set nastup='95' where id='1773';</v>
      </c>
      <c r="AB682" t="str">
        <f t="shared" si="21"/>
        <v>update dochazka set zastavka = '95' where zamestnanec = '1773';</v>
      </c>
    </row>
    <row r="683" spans="1:28" x14ac:dyDescent="0.25">
      <c r="A683" s="2">
        <v>1809</v>
      </c>
      <c r="B683" t="s">
        <v>7637</v>
      </c>
      <c r="C683" t="s">
        <v>357</v>
      </c>
      <c r="D683" t="s">
        <v>7638</v>
      </c>
      <c r="E683" t="s">
        <v>3481</v>
      </c>
      <c r="F683" t="s">
        <v>569</v>
      </c>
      <c r="G683" s="1">
        <v>45897</v>
      </c>
      <c r="H683" s="1">
        <v>45538</v>
      </c>
      <c r="I683" s="1">
        <v>73050</v>
      </c>
      <c r="J683" s="2" t="s">
        <v>759</v>
      </c>
      <c r="K683" t="s">
        <v>7639</v>
      </c>
      <c r="M683" s="16" t="s">
        <v>8515</v>
      </c>
      <c r="N683" s="16" t="str">
        <f>VLOOKUP(M683,Tab_Zast[[Zastávka]:[Sloupec1]],2,0)</f>
        <v>95</v>
      </c>
      <c r="O683" t="s">
        <v>7640</v>
      </c>
      <c r="P683">
        <v>6</v>
      </c>
      <c r="Q683">
        <v>0</v>
      </c>
      <c r="R683" t="s">
        <v>31</v>
      </c>
      <c r="S683" t="s">
        <v>31</v>
      </c>
      <c r="T683" t="s">
        <v>32</v>
      </c>
      <c r="V683" s="1" t="e">
        <v>#N/A</v>
      </c>
      <c r="W683" t="s">
        <v>3052</v>
      </c>
      <c r="X683">
        <v>0</v>
      </c>
      <c r="Y683">
        <v>1203</v>
      </c>
      <c r="AA683" t="str">
        <f t="shared" si="20"/>
        <v>update zamestnanci set nastup='95' where id='1809';</v>
      </c>
      <c r="AB683" t="str">
        <f t="shared" si="21"/>
        <v>update dochazka set zastavka = '95' where zamestnanec = '1809';</v>
      </c>
    </row>
    <row r="684" spans="1:28" x14ac:dyDescent="0.25">
      <c r="A684" s="2">
        <v>1838</v>
      </c>
      <c r="B684" t="s">
        <v>7738</v>
      </c>
      <c r="C684" t="s">
        <v>357</v>
      </c>
      <c r="D684" t="s">
        <v>6109</v>
      </c>
      <c r="E684" t="s">
        <v>5049</v>
      </c>
      <c r="F684" t="s">
        <v>357</v>
      </c>
      <c r="G684" s="1">
        <v>45911</v>
      </c>
      <c r="H684" s="1">
        <v>45917</v>
      </c>
      <c r="I684" s="1">
        <v>73050</v>
      </c>
      <c r="J684" s="2" t="s">
        <v>759</v>
      </c>
      <c r="K684" t="s">
        <v>7739</v>
      </c>
      <c r="M684" s="16" t="s">
        <v>8515</v>
      </c>
      <c r="N684" s="16" t="str">
        <f>VLOOKUP(M684,Tab_Zast[[Zastávka]:[Sloupec1]],2,0)</f>
        <v>95</v>
      </c>
      <c r="O684" t="s">
        <v>7740</v>
      </c>
      <c r="P684">
        <v>6</v>
      </c>
      <c r="Q684">
        <v>0</v>
      </c>
      <c r="R684" t="s">
        <v>31</v>
      </c>
      <c r="S684" t="s">
        <v>31</v>
      </c>
      <c r="T684" t="s">
        <v>32</v>
      </c>
      <c r="V684" s="1" t="e">
        <v>#N/A</v>
      </c>
      <c r="W684" t="s">
        <v>3052</v>
      </c>
      <c r="X684">
        <v>0</v>
      </c>
      <c r="Y684">
        <v>1234</v>
      </c>
      <c r="AA684" t="str">
        <f t="shared" si="20"/>
        <v>update zamestnanci set nastup='95' where id='1838';</v>
      </c>
      <c r="AB684" t="str">
        <f t="shared" si="21"/>
        <v>update dochazka set zastavka = '95' where zamestnanec = '1838';</v>
      </c>
    </row>
    <row r="685" spans="1:28" x14ac:dyDescent="0.25">
      <c r="A685" s="2">
        <v>776</v>
      </c>
      <c r="B685" t="s">
        <v>3468</v>
      </c>
      <c r="C685" t="s">
        <v>3469</v>
      </c>
      <c r="D685" t="s">
        <v>3470</v>
      </c>
      <c r="E685" t="s">
        <v>3471</v>
      </c>
      <c r="F685" t="s">
        <v>569</v>
      </c>
      <c r="G685" s="1">
        <v>45321</v>
      </c>
      <c r="H685" s="1">
        <v>45887</v>
      </c>
      <c r="I685" s="1">
        <v>73050</v>
      </c>
      <c r="J685" s="2" t="s">
        <v>357</v>
      </c>
      <c r="K685" t="s">
        <v>3472</v>
      </c>
      <c r="M685" s="16" t="s">
        <v>8551</v>
      </c>
      <c r="N685" s="16" t="str">
        <f>VLOOKUP(M685,Tab_Zast[[Zastávka]:[Sloupec1]],2,0)</f>
        <v>00</v>
      </c>
      <c r="O685" t="s">
        <v>3473</v>
      </c>
      <c r="P685">
        <v>8</v>
      </c>
      <c r="Q685">
        <v>0</v>
      </c>
      <c r="R685" t="s">
        <v>31</v>
      </c>
      <c r="S685" t="s">
        <v>31</v>
      </c>
      <c r="T685" t="s">
        <v>32</v>
      </c>
      <c r="V685" s="1" t="e">
        <v>#N/A</v>
      </c>
      <c r="W685" t="s">
        <v>493</v>
      </c>
      <c r="X685">
        <v>0</v>
      </c>
      <c r="Y685">
        <v>0</v>
      </c>
      <c r="AA685" t="str">
        <f t="shared" si="20"/>
        <v/>
      </c>
      <c r="AB685" t="str">
        <f t="shared" si="21"/>
        <v/>
      </c>
    </row>
    <row r="686" spans="1:28" x14ac:dyDescent="0.25">
      <c r="A686" s="2">
        <v>1148</v>
      </c>
      <c r="B686" t="s">
        <v>5133</v>
      </c>
      <c r="C686" t="s">
        <v>64</v>
      </c>
      <c r="D686" t="s">
        <v>5134</v>
      </c>
      <c r="E686" t="s">
        <v>3373</v>
      </c>
      <c r="F686" t="s">
        <v>5135</v>
      </c>
      <c r="G686" s="1">
        <v>45519</v>
      </c>
      <c r="H686" s="1">
        <v>45558</v>
      </c>
      <c r="I686" s="1">
        <v>73050</v>
      </c>
      <c r="J686" s="2" t="s">
        <v>357</v>
      </c>
      <c r="K686" t="s">
        <v>5136</v>
      </c>
      <c r="M686" s="16" t="s">
        <v>8551</v>
      </c>
      <c r="N686" s="16" t="str">
        <f>VLOOKUP(M686,Tab_Zast[[Zastávka]:[Sloupec1]],2,0)</f>
        <v>00</v>
      </c>
      <c r="O686" t="s">
        <v>5137</v>
      </c>
      <c r="P686">
        <v>8</v>
      </c>
      <c r="Q686">
        <v>0</v>
      </c>
      <c r="R686" t="s">
        <v>31</v>
      </c>
      <c r="S686" t="s">
        <v>31</v>
      </c>
      <c r="T686" t="s">
        <v>32</v>
      </c>
      <c r="V686" s="1" t="e">
        <v>#N/A</v>
      </c>
      <c r="W686" t="s">
        <v>493</v>
      </c>
      <c r="X686">
        <v>0</v>
      </c>
      <c r="Y686">
        <v>536</v>
      </c>
      <c r="Z686" t="s">
        <v>54</v>
      </c>
      <c r="AA686" t="str">
        <f t="shared" si="20"/>
        <v/>
      </c>
      <c r="AB686" t="str">
        <f t="shared" si="21"/>
        <v/>
      </c>
    </row>
    <row r="687" spans="1:28" x14ac:dyDescent="0.25">
      <c r="A687" s="2">
        <v>1199</v>
      </c>
      <c r="B687" t="s">
        <v>5331</v>
      </c>
      <c r="C687" t="s">
        <v>151</v>
      </c>
      <c r="D687" t="s">
        <v>5332</v>
      </c>
      <c r="E687" t="s">
        <v>2607</v>
      </c>
      <c r="F687" t="s">
        <v>569</v>
      </c>
      <c r="G687" s="1">
        <v>45538</v>
      </c>
      <c r="H687" s="1">
        <v>45937</v>
      </c>
      <c r="I687" s="1">
        <v>73050</v>
      </c>
      <c r="J687" s="2" t="s">
        <v>357</v>
      </c>
      <c r="K687" t="s">
        <v>5333</v>
      </c>
      <c r="M687" s="16" t="s">
        <v>8551</v>
      </c>
      <c r="N687" s="16" t="str">
        <f>VLOOKUP(M687,Tab_Zast[[Zastávka]:[Sloupec1]],2,0)</f>
        <v>00</v>
      </c>
      <c r="O687" t="s">
        <v>5334</v>
      </c>
      <c r="P687">
        <v>8</v>
      </c>
      <c r="Q687">
        <v>0</v>
      </c>
      <c r="R687" t="s">
        <v>31</v>
      </c>
      <c r="S687" t="s">
        <v>31</v>
      </c>
      <c r="T687" t="s">
        <v>32</v>
      </c>
      <c r="V687" s="1">
        <v>45810</v>
      </c>
      <c r="W687" t="s">
        <v>493</v>
      </c>
      <c r="X687">
        <v>0</v>
      </c>
      <c r="Y687">
        <v>589</v>
      </c>
      <c r="AA687" t="str">
        <f t="shared" si="20"/>
        <v/>
      </c>
      <c r="AB687" t="str">
        <f t="shared" si="21"/>
        <v/>
      </c>
    </row>
    <row r="688" spans="1:28" x14ac:dyDescent="0.25">
      <c r="A688" s="2">
        <v>1275</v>
      </c>
      <c r="B688" t="s">
        <v>5638</v>
      </c>
      <c r="C688" t="s">
        <v>64</v>
      </c>
      <c r="D688" t="s">
        <v>5639</v>
      </c>
      <c r="E688" t="s">
        <v>1509</v>
      </c>
      <c r="F688" t="s">
        <v>67</v>
      </c>
      <c r="G688" s="1">
        <v>45566</v>
      </c>
      <c r="H688" s="1">
        <v>45567</v>
      </c>
      <c r="I688" s="1">
        <v>73050</v>
      </c>
      <c r="J688" s="2" t="s">
        <v>357</v>
      </c>
      <c r="K688" t="s">
        <v>5640</v>
      </c>
      <c r="M688" s="16" t="s">
        <v>8551</v>
      </c>
      <c r="N688" s="16" t="str">
        <f>VLOOKUP(M688,Tab_Zast[[Zastávka]:[Sloupec1]],2,0)</f>
        <v>00</v>
      </c>
      <c r="O688" t="s">
        <v>5641</v>
      </c>
      <c r="P688">
        <v>8</v>
      </c>
      <c r="Q688">
        <v>0</v>
      </c>
      <c r="R688" t="s">
        <v>31</v>
      </c>
      <c r="S688" t="s">
        <v>31</v>
      </c>
      <c r="T688" t="s">
        <v>32</v>
      </c>
      <c r="V688" s="1" t="e">
        <v>#N/A</v>
      </c>
      <c r="W688" t="s">
        <v>493</v>
      </c>
      <c r="X688">
        <v>0</v>
      </c>
      <c r="Y688">
        <v>668</v>
      </c>
      <c r="Z688" t="s">
        <v>40</v>
      </c>
      <c r="AA688" t="str">
        <f t="shared" si="20"/>
        <v/>
      </c>
      <c r="AB688" t="str">
        <f t="shared" si="21"/>
        <v/>
      </c>
    </row>
    <row r="689" spans="1:28" x14ac:dyDescent="0.25">
      <c r="A689" s="2">
        <v>1277</v>
      </c>
      <c r="B689" t="s">
        <v>5644</v>
      </c>
      <c r="C689" t="s">
        <v>64</v>
      </c>
      <c r="D689" t="s">
        <v>5645</v>
      </c>
      <c r="E689" t="s">
        <v>5646</v>
      </c>
      <c r="F689" t="s">
        <v>64</v>
      </c>
      <c r="G689" s="1">
        <v>45566</v>
      </c>
      <c r="H689" s="1">
        <v>45566</v>
      </c>
      <c r="I689" s="1">
        <v>45566</v>
      </c>
      <c r="J689" s="2" t="s">
        <v>357</v>
      </c>
      <c r="K689" t="s">
        <v>5647</v>
      </c>
      <c r="M689" s="16" t="s">
        <v>8551</v>
      </c>
      <c r="N689" s="16" t="str">
        <f>VLOOKUP(M689,Tab_Zast[[Zastávka]:[Sloupec1]],2,0)</f>
        <v>00</v>
      </c>
      <c r="O689" t="s">
        <v>5648</v>
      </c>
      <c r="P689">
        <v>8</v>
      </c>
      <c r="Q689">
        <v>0</v>
      </c>
      <c r="R689" t="s">
        <v>31</v>
      </c>
      <c r="S689" t="s">
        <v>31</v>
      </c>
      <c r="T689" t="s">
        <v>32</v>
      </c>
      <c r="V689" s="1" t="e">
        <v>#N/A</v>
      </c>
      <c r="W689" t="s">
        <v>493</v>
      </c>
      <c r="X689">
        <v>0</v>
      </c>
      <c r="Y689">
        <v>666</v>
      </c>
      <c r="Z689" t="s">
        <v>40</v>
      </c>
      <c r="AA689" t="str">
        <f t="shared" si="20"/>
        <v/>
      </c>
      <c r="AB689" t="str">
        <f t="shared" si="21"/>
        <v/>
      </c>
    </row>
    <row r="690" spans="1:28" x14ac:dyDescent="0.25">
      <c r="A690" s="2">
        <v>1278</v>
      </c>
      <c r="B690" t="s">
        <v>5649</v>
      </c>
      <c r="C690" t="s">
        <v>64</v>
      </c>
      <c r="D690" t="s">
        <v>5650</v>
      </c>
      <c r="E690" t="s">
        <v>671</v>
      </c>
      <c r="F690" t="s">
        <v>67</v>
      </c>
      <c r="G690" s="1">
        <v>45566</v>
      </c>
      <c r="H690" s="1">
        <v>45567</v>
      </c>
      <c r="I690" s="1">
        <v>73050</v>
      </c>
      <c r="J690" s="2" t="s">
        <v>357</v>
      </c>
      <c r="K690" t="s">
        <v>4432</v>
      </c>
      <c r="M690" s="16" t="s">
        <v>8551</v>
      </c>
      <c r="N690" s="16" t="str">
        <f>VLOOKUP(M690,Tab_Zast[[Zastávka]:[Sloupec1]],2,0)</f>
        <v>00</v>
      </c>
      <c r="O690" t="s">
        <v>5651</v>
      </c>
      <c r="P690">
        <v>8</v>
      </c>
      <c r="Q690">
        <v>0</v>
      </c>
      <c r="R690" t="s">
        <v>31</v>
      </c>
      <c r="S690" t="s">
        <v>31</v>
      </c>
      <c r="T690" t="s">
        <v>32</v>
      </c>
      <c r="V690" s="1" t="e">
        <v>#N/A</v>
      </c>
      <c r="W690" t="s">
        <v>493</v>
      </c>
      <c r="X690">
        <v>0</v>
      </c>
      <c r="Y690">
        <v>667</v>
      </c>
      <c r="Z690" t="s">
        <v>40</v>
      </c>
      <c r="AA690" t="str">
        <f t="shared" si="20"/>
        <v/>
      </c>
      <c r="AB690" t="str">
        <f t="shared" si="21"/>
        <v/>
      </c>
    </row>
    <row r="691" spans="1:28" x14ac:dyDescent="0.25">
      <c r="A691" s="2">
        <v>1464</v>
      </c>
      <c r="B691" t="s">
        <v>6379</v>
      </c>
      <c r="C691" t="s">
        <v>64</v>
      </c>
      <c r="D691" t="s">
        <v>5962</v>
      </c>
      <c r="E691" t="s">
        <v>3605</v>
      </c>
      <c r="F691" t="s">
        <v>6380</v>
      </c>
      <c r="G691" s="1">
        <v>45698</v>
      </c>
      <c r="H691" s="1">
        <v>45747</v>
      </c>
      <c r="I691" s="1">
        <v>73050</v>
      </c>
      <c r="J691" s="2" t="s">
        <v>357</v>
      </c>
      <c r="K691" t="s">
        <v>5963</v>
      </c>
      <c r="M691" s="16" t="s">
        <v>8551</v>
      </c>
      <c r="N691" s="16" t="str">
        <f>VLOOKUP(M691,Tab_Zast[[Zastávka]:[Sloupec1]],2,0)</f>
        <v>00</v>
      </c>
      <c r="O691" t="s">
        <v>5168</v>
      </c>
      <c r="P691">
        <v>8</v>
      </c>
      <c r="Q691">
        <v>0</v>
      </c>
      <c r="R691" t="s">
        <v>31</v>
      </c>
      <c r="S691" t="s">
        <v>31</v>
      </c>
      <c r="T691" t="s">
        <v>32</v>
      </c>
      <c r="V691" s="1">
        <v>45730</v>
      </c>
      <c r="W691" t="s">
        <v>493</v>
      </c>
      <c r="X691">
        <v>0</v>
      </c>
      <c r="Y691">
        <v>852</v>
      </c>
      <c r="AA691" t="str">
        <f t="shared" si="20"/>
        <v/>
      </c>
      <c r="AB691" t="str">
        <f t="shared" si="21"/>
        <v/>
      </c>
    </row>
    <row r="692" spans="1:28" x14ac:dyDescent="0.25">
      <c r="A692" s="2">
        <v>1465</v>
      </c>
      <c r="B692" t="s">
        <v>6381</v>
      </c>
      <c r="C692" t="s">
        <v>64</v>
      </c>
      <c r="D692" t="s">
        <v>6382</v>
      </c>
      <c r="E692" t="s">
        <v>3931</v>
      </c>
      <c r="F692" t="s">
        <v>569</v>
      </c>
      <c r="G692" s="1">
        <v>45698</v>
      </c>
      <c r="H692" s="1">
        <v>45792</v>
      </c>
      <c r="I692" s="1">
        <v>73050</v>
      </c>
      <c r="J692" s="2" t="s">
        <v>357</v>
      </c>
      <c r="K692" t="s">
        <v>6383</v>
      </c>
      <c r="M692" s="16" t="s">
        <v>8551</v>
      </c>
      <c r="N692" s="16" t="str">
        <f>VLOOKUP(M692,Tab_Zast[[Zastávka]:[Sloupec1]],2,0)</f>
        <v>00</v>
      </c>
      <c r="O692" t="s">
        <v>6384</v>
      </c>
      <c r="P692">
        <v>8</v>
      </c>
      <c r="Q692">
        <v>0</v>
      </c>
      <c r="R692" t="s">
        <v>31</v>
      </c>
      <c r="S692" t="s">
        <v>31</v>
      </c>
      <c r="T692" t="s">
        <v>32</v>
      </c>
      <c r="V692" s="1">
        <v>45769</v>
      </c>
      <c r="W692" t="s">
        <v>493</v>
      </c>
      <c r="X692">
        <v>0</v>
      </c>
      <c r="Y692">
        <v>853</v>
      </c>
      <c r="AA692" t="str">
        <f t="shared" si="20"/>
        <v/>
      </c>
      <c r="AB692" t="str">
        <f t="shared" si="21"/>
        <v/>
      </c>
    </row>
    <row r="693" spans="1:28" x14ac:dyDescent="0.25">
      <c r="A693" s="2">
        <v>1489</v>
      </c>
      <c r="B693" t="s">
        <v>6469</v>
      </c>
      <c r="C693" t="s">
        <v>64</v>
      </c>
      <c r="D693" t="s">
        <v>6470</v>
      </c>
      <c r="E693" t="s">
        <v>3717</v>
      </c>
      <c r="F693" t="s">
        <v>6471</v>
      </c>
      <c r="G693" s="1">
        <v>45713</v>
      </c>
      <c r="H693" s="1">
        <v>45722</v>
      </c>
      <c r="I693" s="1">
        <v>73050</v>
      </c>
      <c r="J693" s="2" t="s">
        <v>357</v>
      </c>
      <c r="K693" t="s">
        <v>6472</v>
      </c>
      <c r="M693" s="16" t="s">
        <v>8551</v>
      </c>
      <c r="N693" s="16" t="str">
        <f>VLOOKUP(M693,Tab_Zast[[Zastávka]:[Sloupec1]],2,0)</f>
        <v>00</v>
      </c>
      <c r="O693" t="s">
        <v>6473</v>
      </c>
      <c r="P693">
        <v>8</v>
      </c>
      <c r="Q693">
        <v>0</v>
      </c>
      <c r="R693" t="s">
        <v>31</v>
      </c>
      <c r="S693" t="s">
        <v>31</v>
      </c>
      <c r="T693" t="s">
        <v>32</v>
      </c>
      <c r="V693" s="1" t="e">
        <v>#N/A</v>
      </c>
      <c r="W693" t="s">
        <v>493</v>
      </c>
      <c r="X693">
        <v>0</v>
      </c>
      <c r="Y693">
        <v>880</v>
      </c>
      <c r="AA693" t="str">
        <f t="shared" si="20"/>
        <v/>
      </c>
      <c r="AB693" t="str">
        <f t="shared" si="21"/>
        <v/>
      </c>
    </row>
    <row r="694" spans="1:28" x14ac:dyDescent="0.25">
      <c r="A694" s="2">
        <v>1502</v>
      </c>
      <c r="B694" t="s">
        <v>6519</v>
      </c>
      <c r="C694" t="s">
        <v>64</v>
      </c>
      <c r="D694" t="s">
        <v>6520</v>
      </c>
      <c r="E694" t="s">
        <v>3152</v>
      </c>
      <c r="F694" t="s">
        <v>6521</v>
      </c>
      <c r="G694" s="1">
        <v>45721</v>
      </c>
      <c r="H694" s="1">
        <v>45982</v>
      </c>
      <c r="I694" s="1" t="e">
        <v>#N/A</v>
      </c>
      <c r="J694" s="2" t="s">
        <v>357</v>
      </c>
      <c r="K694" t="s">
        <v>6522</v>
      </c>
      <c r="M694" s="16" t="s">
        <v>8551</v>
      </c>
      <c r="N694" s="16" t="str">
        <f>VLOOKUP(M694,Tab_Zast[[Zastávka]:[Sloupec1]],2,0)</f>
        <v>00</v>
      </c>
      <c r="O694" t="s">
        <v>6523</v>
      </c>
      <c r="P694">
        <v>8</v>
      </c>
      <c r="Q694">
        <v>0</v>
      </c>
      <c r="R694" t="s">
        <v>31</v>
      </c>
      <c r="S694" t="s">
        <v>31</v>
      </c>
      <c r="T694" t="s">
        <v>32</v>
      </c>
      <c r="V694" s="1" t="e">
        <v>#N/A</v>
      </c>
      <c r="W694" t="s">
        <v>3023</v>
      </c>
      <c r="X694">
        <v>0</v>
      </c>
      <c r="Y694">
        <v>893</v>
      </c>
      <c r="AA694" t="str">
        <f t="shared" si="20"/>
        <v/>
      </c>
      <c r="AB694" t="str">
        <f t="shared" si="21"/>
        <v/>
      </c>
    </row>
    <row r="695" spans="1:28" x14ac:dyDescent="0.25">
      <c r="A695" s="2">
        <v>1507</v>
      </c>
      <c r="B695" t="s">
        <v>6538</v>
      </c>
      <c r="C695" t="s">
        <v>64</v>
      </c>
      <c r="D695" t="s">
        <v>6539</v>
      </c>
      <c r="E695" t="s">
        <v>3204</v>
      </c>
      <c r="F695" t="s">
        <v>6540</v>
      </c>
      <c r="G695" s="1">
        <v>45726</v>
      </c>
      <c r="H695" s="1">
        <v>45747</v>
      </c>
      <c r="I695" s="1">
        <v>73050</v>
      </c>
      <c r="J695" s="2" t="s">
        <v>357</v>
      </c>
      <c r="K695" t="s">
        <v>6541</v>
      </c>
      <c r="M695" s="16" t="s">
        <v>8551</v>
      </c>
      <c r="N695" s="16" t="str">
        <f>VLOOKUP(M695,Tab_Zast[[Zastávka]:[Sloupec1]],2,0)</f>
        <v>00</v>
      </c>
      <c r="O695" t="s">
        <v>6542</v>
      </c>
      <c r="P695">
        <v>8</v>
      </c>
      <c r="Q695">
        <v>0</v>
      </c>
      <c r="R695" t="s">
        <v>31</v>
      </c>
      <c r="S695" t="s">
        <v>31</v>
      </c>
      <c r="T695" t="s">
        <v>32</v>
      </c>
      <c r="V695" s="1">
        <v>45737</v>
      </c>
      <c r="W695" t="s">
        <v>3023</v>
      </c>
      <c r="X695">
        <v>0</v>
      </c>
      <c r="Y695">
        <v>901</v>
      </c>
      <c r="AA695" t="str">
        <f t="shared" si="20"/>
        <v/>
      </c>
      <c r="AB695" t="str">
        <f t="shared" si="21"/>
        <v/>
      </c>
    </row>
    <row r="696" spans="1:28" x14ac:dyDescent="0.25">
      <c r="A696" s="2">
        <v>1509</v>
      </c>
      <c r="B696" t="s">
        <v>6548</v>
      </c>
      <c r="C696" t="s">
        <v>64</v>
      </c>
      <c r="D696" t="s">
        <v>4592</v>
      </c>
      <c r="E696" t="s">
        <v>4593</v>
      </c>
      <c r="F696" t="s">
        <v>569</v>
      </c>
      <c r="G696" s="1">
        <v>45726</v>
      </c>
      <c r="H696" s="1">
        <v>45779</v>
      </c>
      <c r="I696" s="1">
        <v>73050</v>
      </c>
      <c r="J696" s="2" t="s">
        <v>357</v>
      </c>
      <c r="K696" t="s">
        <v>4594</v>
      </c>
      <c r="M696" s="16" t="s">
        <v>8551</v>
      </c>
      <c r="N696" s="16" t="str">
        <f>VLOOKUP(M696,Tab_Zast[[Zastávka]:[Sloupec1]],2,0)</f>
        <v>00</v>
      </c>
      <c r="O696" t="s">
        <v>4058</v>
      </c>
      <c r="P696">
        <v>8</v>
      </c>
      <c r="Q696">
        <v>0</v>
      </c>
      <c r="R696" t="s">
        <v>31</v>
      </c>
      <c r="S696" t="s">
        <v>31</v>
      </c>
      <c r="T696" t="s">
        <v>32</v>
      </c>
      <c r="V696" s="1" t="e">
        <v>#N/A</v>
      </c>
      <c r="W696" t="s">
        <v>3023</v>
      </c>
      <c r="X696">
        <v>0</v>
      </c>
      <c r="Y696">
        <v>903</v>
      </c>
      <c r="AA696" t="str">
        <f t="shared" si="20"/>
        <v/>
      </c>
      <c r="AB696" t="str">
        <f t="shared" si="21"/>
        <v/>
      </c>
    </row>
    <row r="697" spans="1:28" x14ac:dyDescent="0.25">
      <c r="A697" s="2">
        <v>1525</v>
      </c>
      <c r="B697" t="s">
        <v>6599</v>
      </c>
      <c r="C697" t="s">
        <v>64</v>
      </c>
      <c r="D697" t="s">
        <v>6600</v>
      </c>
      <c r="E697" t="s">
        <v>3373</v>
      </c>
      <c r="F697" t="s">
        <v>64</v>
      </c>
      <c r="G697" s="1">
        <v>45729</v>
      </c>
      <c r="H697" s="1">
        <v>45761</v>
      </c>
      <c r="I697" s="1">
        <v>73050</v>
      </c>
      <c r="J697" s="2" t="s">
        <v>357</v>
      </c>
      <c r="K697" t="s">
        <v>6601</v>
      </c>
      <c r="M697" s="16" t="s">
        <v>8551</v>
      </c>
      <c r="N697" s="16" t="str">
        <f>VLOOKUP(M697,Tab_Zast[[Zastávka]:[Sloupec1]],2,0)</f>
        <v>00</v>
      </c>
      <c r="O697" t="s">
        <v>6602</v>
      </c>
      <c r="P697">
        <v>8</v>
      </c>
      <c r="Q697">
        <v>0</v>
      </c>
      <c r="R697" t="s">
        <v>31</v>
      </c>
      <c r="S697" t="s">
        <v>31</v>
      </c>
      <c r="T697" t="s">
        <v>32</v>
      </c>
      <c r="V697" s="1" t="e">
        <v>#N/A</v>
      </c>
      <c r="W697" t="s">
        <v>3023</v>
      </c>
      <c r="X697">
        <v>0</v>
      </c>
      <c r="Y697">
        <v>916</v>
      </c>
      <c r="AA697" t="str">
        <f t="shared" si="20"/>
        <v/>
      </c>
      <c r="AB697" t="str">
        <f t="shared" si="21"/>
        <v/>
      </c>
    </row>
    <row r="698" spans="1:28" x14ac:dyDescent="0.25">
      <c r="A698" s="2">
        <v>1541</v>
      </c>
      <c r="B698" t="s">
        <v>6664</v>
      </c>
      <c r="C698" t="s">
        <v>64</v>
      </c>
      <c r="D698" t="s">
        <v>1710</v>
      </c>
      <c r="E698" t="s">
        <v>4016</v>
      </c>
      <c r="F698" t="s">
        <v>64</v>
      </c>
      <c r="G698" s="1">
        <v>45740</v>
      </c>
      <c r="H698" s="1">
        <v>45740</v>
      </c>
      <c r="I698" s="1">
        <v>73050</v>
      </c>
      <c r="J698" s="2" t="s">
        <v>357</v>
      </c>
      <c r="K698" t="s">
        <v>6665</v>
      </c>
      <c r="M698" s="16" t="s">
        <v>8551</v>
      </c>
      <c r="N698" s="16" t="str">
        <f>VLOOKUP(M698,Tab_Zast[[Zastávka]:[Sloupec1]],2,0)</f>
        <v>00</v>
      </c>
      <c r="O698" t="s">
        <v>6666</v>
      </c>
      <c r="P698">
        <v>8</v>
      </c>
      <c r="Q698">
        <v>0</v>
      </c>
      <c r="R698" t="s">
        <v>31</v>
      </c>
      <c r="S698" t="s">
        <v>31</v>
      </c>
      <c r="T698" t="s">
        <v>32</v>
      </c>
      <c r="V698" s="1">
        <v>45740</v>
      </c>
      <c r="W698" t="s">
        <v>3023</v>
      </c>
      <c r="X698">
        <v>0</v>
      </c>
      <c r="Y698">
        <v>930</v>
      </c>
      <c r="AA698" t="str">
        <f t="shared" si="20"/>
        <v/>
      </c>
      <c r="AB698" t="str">
        <f t="shared" si="21"/>
        <v/>
      </c>
    </row>
    <row r="699" spans="1:28" x14ac:dyDescent="0.25">
      <c r="A699" s="2">
        <v>1569</v>
      </c>
      <c r="B699" t="s">
        <v>6765</v>
      </c>
      <c r="C699" t="s">
        <v>64</v>
      </c>
      <c r="D699" t="s">
        <v>6766</v>
      </c>
      <c r="E699" t="s">
        <v>3717</v>
      </c>
      <c r="F699" t="s">
        <v>6767</v>
      </c>
      <c r="G699" s="1">
        <v>45754</v>
      </c>
      <c r="H699" s="1">
        <v>45770</v>
      </c>
      <c r="I699" s="1">
        <v>73050</v>
      </c>
      <c r="J699" s="2" t="s">
        <v>357</v>
      </c>
      <c r="K699" t="s">
        <v>6768</v>
      </c>
      <c r="M699" s="16" t="s">
        <v>8551</v>
      </c>
      <c r="N699" s="16" t="str">
        <f>VLOOKUP(M699,Tab_Zast[[Zastávka]:[Sloupec1]],2,0)</f>
        <v>00</v>
      </c>
      <c r="O699" t="s">
        <v>6769</v>
      </c>
      <c r="P699">
        <v>8</v>
      </c>
      <c r="Q699">
        <v>0</v>
      </c>
      <c r="R699" t="s">
        <v>31</v>
      </c>
      <c r="S699" t="s">
        <v>31</v>
      </c>
      <c r="T699" t="s">
        <v>32</v>
      </c>
      <c r="V699" s="1" t="e">
        <v>#N/A</v>
      </c>
      <c r="W699" t="s">
        <v>3023</v>
      </c>
      <c r="X699">
        <v>0</v>
      </c>
      <c r="Y699">
        <v>957</v>
      </c>
      <c r="AA699" t="str">
        <f t="shared" si="20"/>
        <v/>
      </c>
      <c r="AB699" t="str">
        <f t="shared" si="21"/>
        <v/>
      </c>
    </row>
    <row r="700" spans="1:28" x14ac:dyDescent="0.25">
      <c r="A700" s="2">
        <v>1624</v>
      </c>
      <c r="B700" t="s">
        <v>6975</v>
      </c>
      <c r="C700" t="s">
        <v>357</v>
      </c>
      <c r="D700" t="s">
        <v>6976</v>
      </c>
      <c r="E700" t="s">
        <v>2607</v>
      </c>
      <c r="F700" t="s">
        <v>6977</v>
      </c>
      <c r="G700" s="1">
        <v>45783</v>
      </c>
      <c r="H700" s="1" t="e">
        <v>#N/A</v>
      </c>
      <c r="I700" s="1" t="e">
        <v>#N/A</v>
      </c>
      <c r="J700" s="2" t="s">
        <v>357</v>
      </c>
      <c r="K700" t="s">
        <v>6978</v>
      </c>
      <c r="M700" s="16" t="s">
        <v>8551</v>
      </c>
      <c r="N700" s="16" t="str">
        <f>VLOOKUP(M700,Tab_Zast[[Zastávka]:[Sloupec1]],2,0)</f>
        <v>00</v>
      </c>
      <c r="O700" t="s">
        <v>6979</v>
      </c>
      <c r="P700">
        <v>8</v>
      </c>
      <c r="Q700">
        <v>0</v>
      </c>
      <c r="R700" t="s">
        <v>31</v>
      </c>
      <c r="S700" t="s">
        <v>31</v>
      </c>
      <c r="T700" t="s">
        <v>32</v>
      </c>
      <c r="U700" t="s">
        <v>254</v>
      </c>
      <c r="V700" s="1">
        <v>45876</v>
      </c>
      <c r="W700" t="s">
        <v>493</v>
      </c>
      <c r="X700">
        <v>1</v>
      </c>
      <c r="Y700">
        <v>1017</v>
      </c>
      <c r="AA700" t="str">
        <f t="shared" si="20"/>
        <v/>
      </c>
      <c r="AB700" t="str">
        <f t="shared" si="21"/>
        <v/>
      </c>
    </row>
    <row r="701" spans="1:28" x14ac:dyDescent="0.25">
      <c r="A701" s="2">
        <v>1725</v>
      </c>
      <c r="B701" t="s">
        <v>7317</v>
      </c>
      <c r="C701" t="s">
        <v>357</v>
      </c>
      <c r="D701" t="s">
        <v>7318</v>
      </c>
      <c r="E701" t="s">
        <v>761</v>
      </c>
      <c r="F701" t="s">
        <v>357</v>
      </c>
      <c r="G701" s="1">
        <v>45839</v>
      </c>
      <c r="H701" s="1">
        <v>45839</v>
      </c>
      <c r="I701" s="1">
        <v>73050</v>
      </c>
      <c r="J701" s="2" t="s">
        <v>357</v>
      </c>
      <c r="K701" t="s">
        <v>7319</v>
      </c>
      <c r="M701" s="16" t="s">
        <v>8551</v>
      </c>
      <c r="N701" s="16" t="str">
        <f>VLOOKUP(M701,Tab_Zast[[Zastávka]:[Sloupec1]],2,0)</f>
        <v>00</v>
      </c>
      <c r="O701" t="s">
        <v>7320</v>
      </c>
      <c r="P701">
        <v>8</v>
      </c>
      <c r="Q701">
        <v>0</v>
      </c>
      <c r="R701" t="s">
        <v>31</v>
      </c>
      <c r="S701" t="s">
        <v>31</v>
      </c>
      <c r="T701" t="s">
        <v>32</v>
      </c>
      <c r="V701" s="1" t="e">
        <v>#N/A</v>
      </c>
      <c r="X701">
        <v>0</v>
      </c>
      <c r="Y701">
        <v>1096</v>
      </c>
      <c r="AA701" t="str">
        <f t="shared" si="20"/>
        <v/>
      </c>
      <c r="AB701" t="str">
        <f t="shared" si="21"/>
        <v/>
      </c>
    </row>
    <row r="702" spans="1:28" x14ac:dyDescent="0.25">
      <c r="A702" s="2">
        <v>1729</v>
      </c>
      <c r="B702" t="s">
        <v>7334</v>
      </c>
      <c r="C702" t="s">
        <v>357</v>
      </c>
      <c r="D702" t="s">
        <v>760</v>
      </c>
      <c r="E702" t="s">
        <v>2966</v>
      </c>
      <c r="F702" t="s">
        <v>569</v>
      </c>
      <c r="G702" s="1">
        <v>45846</v>
      </c>
      <c r="H702" s="1">
        <v>45904</v>
      </c>
      <c r="I702" s="1">
        <v>73050</v>
      </c>
      <c r="J702" s="2" t="s">
        <v>357</v>
      </c>
      <c r="K702" t="s">
        <v>7335</v>
      </c>
      <c r="M702" s="16" t="s">
        <v>8551</v>
      </c>
      <c r="N702" s="16" t="str">
        <f>VLOOKUP(M702,Tab_Zast[[Zastávka]:[Sloupec1]],2,0)</f>
        <v>00</v>
      </c>
      <c r="O702" t="s">
        <v>7336</v>
      </c>
      <c r="P702">
        <v>8</v>
      </c>
      <c r="Q702">
        <v>0</v>
      </c>
      <c r="R702" t="s">
        <v>31</v>
      </c>
      <c r="S702" t="s">
        <v>31</v>
      </c>
      <c r="T702" t="s">
        <v>32</v>
      </c>
      <c r="V702" s="1" t="e">
        <v>#N/A</v>
      </c>
      <c r="W702" t="s">
        <v>493</v>
      </c>
      <c r="X702">
        <v>0</v>
      </c>
      <c r="Y702">
        <v>1121</v>
      </c>
      <c r="AA702" t="str">
        <f t="shared" si="20"/>
        <v/>
      </c>
      <c r="AB702" t="str">
        <f t="shared" si="21"/>
        <v/>
      </c>
    </row>
    <row r="703" spans="1:28" x14ac:dyDescent="0.25">
      <c r="A703" s="2">
        <v>1876</v>
      </c>
      <c r="B703" t="s">
        <v>7895</v>
      </c>
      <c r="C703" t="s">
        <v>569</v>
      </c>
      <c r="D703" t="s">
        <v>7896</v>
      </c>
      <c r="E703" t="s">
        <v>800</v>
      </c>
      <c r="F703" t="s">
        <v>7897</v>
      </c>
      <c r="G703" s="1">
        <v>45944</v>
      </c>
      <c r="H703" s="1">
        <v>45964</v>
      </c>
      <c r="I703" s="1" t="e">
        <v>#N/A</v>
      </c>
      <c r="J703" s="2" t="s">
        <v>357</v>
      </c>
      <c r="K703" t="s">
        <v>7898</v>
      </c>
      <c r="M703" s="16" t="s">
        <v>8551</v>
      </c>
      <c r="N703" s="16" t="str">
        <f>VLOOKUP(M703,Tab_Zast[[Zastávka]:[Sloupec1]],2,0)</f>
        <v>00</v>
      </c>
      <c r="O703" t="s">
        <v>7899</v>
      </c>
      <c r="P703">
        <v>8</v>
      </c>
      <c r="Q703">
        <v>0</v>
      </c>
      <c r="R703" t="s">
        <v>31</v>
      </c>
      <c r="S703" t="s">
        <v>31</v>
      </c>
      <c r="T703" t="s">
        <v>32</v>
      </c>
      <c r="V703" s="1" t="e">
        <v>#N/A</v>
      </c>
      <c r="W703" t="s">
        <v>3023</v>
      </c>
      <c r="X703">
        <v>0</v>
      </c>
      <c r="Y703">
        <v>1276</v>
      </c>
      <c r="AA703" t="str">
        <f t="shared" si="20"/>
        <v/>
      </c>
      <c r="AB703" t="str">
        <f t="shared" si="21"/>
        <v/>
      </c>
    </row>
    <row r="704" spans="1:28" x14ac:dyDescent="0.25">
      <c r="A704" s="2">
        <v>416</v>
      </c>
      <c r="B704" t="s">
        <v>1411</v>
      </c>
      <c r="C704" t="s">
        <v>1412</v>
      </c>
      <c r="D704" t="s">
        <v>1413</v>
      </c>
      <c r="E704" t="s">
        <v>1414</v>
      </c>
      <c r="F704" t="s">
        <v>1415</v>
      </c>
      <c r="G704" s="1">
        <v>45187</v>
      </c>
      <c r="H704" s="1">
        <v>73050</v>
      </c>
      <c r="I704" s="1" t="e">
        <v>#N/A</v>
      </c>
      <c r="J704" s="2" t="s">
        <v>8524</v>
      </c>
      <c r="K704" t="s">
        <v>1416</v>
      </c>
      <c r="M704" s="16" t="s">
        <v>8525</v>
      </c>
      <c r="N704" s="16" t="str">
        <f>VLOOKUP(M704,Tab_Zast[[Zastávka]:[Sloupec1]],2,0)</f>
        <v>99</v>
      </c>
      <c r="O704" t="s">
        <v>1417</v>
      </c>
      <c r="P704">
        <v>6</v>
      </c>
      <c r="Q704">
        <v>0</v>
      </c>
      <c r="R704" t="s">
        <v>179</v>
      </c>
      <c r="S704" t="s">
        <v>31</v>
      </c>
      <c r="T704" t="s">
        <v>32</v>
      </c>
      <c r="V704" s="1" t="e">
        <v>#N/A</v>
      </c>
      <c r="W704" t="s">
        <v>1216</v>
      </c>
      <c r="X704">
        <v>1</v>
      </c>
      <c r="Y704">
        <v>0</v>
      </c>
      <c r="AA704" t="str">
        <f t="shared" si="20"/>
        <v>update zamestnanci set nastup='99' where id='416';</v>
      </c>
      <c r="AB704" t="str">
        <f t="shared" si="21"/>
        <v>update dochazka set zastavka = '99' where zamestnanec = '416';</v>
      </c>
    </row>
    <row r="705" spans="1:28" x14ac:dyDescent="0.25">
      <c r="A705" s="2">
        <v>500</v>
      </c>
      <c r="B705" t="s">
        <v>1944</v>
      </c>
      <c r="C705" t="s">
        <v>1945</v>
      </c>
      <c r="D705" t="s">
        <v>1946</v>
      </c>
      <c r="E705" t="s">
        <v>1947</v>
      </c>
      <c r="F705" t="s">
        <v>1948</v>
      </c>
      <c r="G705" s="1">
        <v>45187</v>
      </c>
      <c r="H705" s="1" t="e">
        <v>#N/A</v>
      </c>
      <c r="I705" s="1" t="e">
        <v>#N/A</v>
      </c>
      <c r="J705" s="2" t="s">
        <v>8524</v>
      </c>
      <c r="K705" t="s">
        <v>1949</v>
      </c>
      <c r="M705" s="16" t="s">
        <v>8525</v>
      </c>
      <c r="N705" s="16" t="str">
        <f>VLOOKUP(M705,Tab_Zast[[Zastávka]:[Sloupec1]],2,0)</f>
        <v>99</v>
      </c>
      <c r="O705" t="s">
        <v>1950</v>
      </c>
      <c r="P705">
        <v>6</v>
      </c>
      <c r="Q705">
        <v>0</v>
      </c>
      <c r="R705" t="s">
        <v>179</v>
      </c>
      <c r="S705" t="s">
        <v>31</v>
      </c>
      <c r="T705" t="s">
        <v>32</v>
      </c>
      <c r="V705" s="1" t="e">
        <v>#N/A</v>
      </c>
      <c r="W705" t="s">
        <v>1216</v>
      </c>
      <c r="X705">
        <v>1</v>
      </c>
      <c r="Y705">
        <v>0</v>
      </c>
      <c r="AA705" t="str">
        <f t="shared" si="20"/>
        <v>update zamestnanci set nastup='99' where id='500';</v>
      </c>
      <c r="AB705" t="str">
        <f t="shared" si="21"/>
        <v>update dochazka set zastavka = '99' where zamestnanec = '500';</v>
      </c>
    </row>
    <row r="706" spans="1:28" x14ac:dyDescent="0.25">
      <c r="A706" s="2">
        <v>528</v>
      </c>
      <c r="B706" t="s">
        <v>2118</v>
      </c>
      <c r="C706" t="s">
        <v>1394</v>
      </c>
      <c r="D706" t="s">
        <v>2119</v>
      </c>
      <c r="E706" t="s">
        <v>2120</v>
      </c>
      <c r="F706" t="s">
        <v>2121</v>
      </c>
      <c r="G706" s="1">
        <v>44964</v>
      </c>
      <c r="H706" s="1">
        <v>73050</v>
      </c>
      <c r="I706" s="1" t="e">
        <v>#N/A</v>
      </c>
      <c r="J706" s="2" t="s">
        <v>8524</v>
      </c>
      <c r="K706" t="s">
        <v>2122</v>
      </c>
      <c r="M706" s="16" t="s">
        <v>8525</v>
      </c>
      <c r="N706" s="16" t="str">
        <f>VLOOKUP(M706,Tab_Zast[[Zastávka]:[Sloupec1]],2,0)</f>
        <v>99</v>
      </c>
      <c r="O706" t="s">
        <v>2123</v>
      </c>
      <c r="P706">
        <v>6</v>
      </c>
      <c r="Q706">
        <v>0</v>
      </c>
      <c r="R706" t="s">
        <v>130</v>
      </c>
      <c r="S706" t="s">
        <v>31</v>
      </c>
      <c r="T706" t="s">
        <v>32</v>
      </c>
      <c r="V706" s="1" t="e">
        <v>#N/A</v>
      </c>
      <c r="W706" t="s">
        <v>1216</v>
      </c>
      <c r="X706">
        <v>1</v>
      </c>
      <c r="Y706">
        <v>0</v>
      </c>
      <c r="Z706" t="s">
        <v>54</v>
      </c>
      <c r="AA706" t="str">
        <f t="shared" si="20"/>
        <v>update zamestnanci set nastup='99' where id='528';</v>
      </c>
      <c r="AB706" t="str">
        <f t="shared" si="21"/>
        <v>update dochazka set zastavka = '99' where zamestnanec = '528';</v>
      </c>
    </row>
    <row r="707" spans="1:28" x14ac:dyDescent="0.25">
      <c r="A707" s="2">
        <v>716</v>
      </c>
      <c r="B707" t="s">
        <v>3172</v>
      </c>
      <c r="D707" t="s">
        <v>2517</v>
      </c>
      <c r="E707" t="s">
        <v>3173</v>
      </c>
      <c r="F707" t="s">
        <v>3175</v>
      </c>
      <c r="G707" s="1">
        <v>45278</v>
      </c>
      <c r="H707" s="1">
        <v>45412</v>
      </c>
      <c r="I707" s="1">
        <v>73050</v>
      </c>
      <c r="J707" s="2" t="s">
        <v>8524</v>
      </c>
      <c r="K707" t="s">
        <v>2520</v>
      </c>
      <c r="M707" s="16" t="s">
        <v>8525</v>
      </c>
      <c r="N707" s="16" t="str">
        <f>VLOOKUP(M707,Tab_Zast[[Zastávka]:[Sloupec1]],2,0)</f>
        <v>99</v>
      </c>
      <c r="O707" t="s">
        <v>3174</v>
      </c>
      <c r="P707">
        <v>6</v>
      </c>
      <c r="Q707">
        <v>0</v>
      </c>
      <c r="R707" t="s">
        <v>31</v>
      </c>
      <c r="S707" t="s">
        <v>31</v>
      </c>
      <c r="T707" t="s">
        <v>32</v>
      </c>
      <c r="V707" s="1" t="e">
        <v>#N/A</v>
      </c>
      <c r="W707" t="s">
        <v>1216</v>
      </c>
      <c r="X707">
        <v>0</v>
      </c>
      <c r="Y707">
        <v>0</v>
      </c>
      <c r="Z707" t="s">
        <v>54</v>
      </c>
      <c r="AA707" t="str">
        <f t="shared" si="20"/>
        <v>update zamestnanci set nastup='99' where id='716';</v>
      </c>
      <c r="AB707" t="str">
        <f t="shared" si="21"/>
        <v>update dochazka set zastavka = '99' where zamestnanec = '716';</v>
      </c>
    </row>
    <row r="708" spans="1:28" x14ac:dyDescent="0.25">
      <c r="A708" s="2">
        <v>795</v>
      </c>
      <c r="B708" t="s">
        <v>3564</v>
      </c>
      <c r="D708" t="s">
        <v>3565</v>
      </c>
      <c r="E708" t="s">
        <v>3566</v>
      </c>
      <c r="F708" t="s">
        <v>3567</v>
      </c>
      <c r="G708" s="1">
        <v>45337</v>
      </c>
      <c r="H708" s="1">
        <v>45348</v>
      </c>
      <c r="I708" s="1">
        <v>73050</v>
      </c>
      <c r="J708" s="2" t="s">
        <v>8524</v>
      </c>
      <c r="K708" t="s">
        <v>3568</v>
      </c>
      <c r="M708" s="16" t="s">
        <v>8525</v>
      </c>
      <c r="N708" s="16" t="str">
        <f>VLOOKUP(M708,Tab_Zast[[Zastávka]:[Sloupec1]],2,0)</f>
        <v>99</v>
      </c>
      <c r="O708" t="s">
        <v>3569</v>
      </c>
      <c r="P708">
        <v>6</v>
      </c>
      <c r="Q708">
        <v>0</v>
      </c>
      <c r="R708" t="s">
        <v>31</v>
      </c>
      <c r="S708" t="s">
        <v>31</v>
      </c>
      <c r="T708" t="s">
        <v>32</v>
      </c>
      <c r="V708" s="1" t="e">
        <v>#N/A</v>
      </c>
      <c r="W708" t="s">
        <v>1216</v>
      </c>
      <c r="X708">
        <v>0</v>
      </c>
      <c r="Y708">
        <v>0</v>
      </c>
      <c r="Z708" t="s">
        <v>54</v>
      </c>
      <c r="AA708" t="str">
        <f t="shared" ref="AA708:AA771" si="22">IF(J708&lt;&gt;"00","update zamestnanci set nastup='" &amp; J708 &amp; "' where id='" &amp; A708 &amp; "';","")</f>
        <v>update zamestnanci set nastup='99' where id='795';</v>
      </c>
      <c r="AB708" t="str">
        <f t="shared" ref="AB708:AB771" si="23">IF(J708&lt;&gt;"00","update dochazka set zastavka = '" &amp; J708 &amp; "' where zamestnanec = '" &amp; A708 &amp; "';","")</f>
        <v>update dochazka set zastavka = '99' where zamestnanec = '795';</v>
      </c>
    </row>
    <row r="709" spans="1:28" x14ac:dyDescent="0.25">
      <c r="A709" s="2">
        <v>799</v>
      </c>
      <c r="B709" t="s">
        <v>3582</v>
      </c>
      <c r="D709" t="s">
        <v>3583</v>
      </c>
      <c r="E709" t="s">
        <v>689</v>
      </c>
      <c r="F709" t="s">
        <v>3584</v>
      </c>
      <c r="G709" s="1">
        <v>45336</v>
      </c>
      <c r="H709" s="1">
        <v>45396</v>
      </c>
      <c r="I709" s="1">
        <v>73050</v>
      </c>
      <c r="J709" s="2" t="s">
        <v>8524</v>
      </c>
      <c r="K709" t="s">
        <v>3585</v>
      </c>
      <c r="M709" s="16" t="s">
        <v>8525</v>
      </c>
      <c r="N709" s="16" t="str">
        <f>VLOOKUP(M709,Tab_Zast[[Zastávka]:[Sloupec1]],2,0)</f>
        <v>99</v>
      </c>
      <c r="O709" t="s">
        <v>3586</v>
      </c>
      <c r="P709">
        <v>6</v>
      </c>
      <c r="Q709">
        <v>0</v>
      </c>
      <c r="R709" t="s">
        <v>31</v>
      </c>
      <c r="S709" t="s">
        <v>31</v>
      </c>
      <c r="T709" t="s">
        <v>32</v>
      </c>
      <c r="V709" s="1" t="e">
        <v>#N/A</v>
      </c>
      <c r="W709" t="s">
        <v>1216</v>
      </c>
      <c r="X709">
        <v>0</v>
      </c>
      <c r="Y709">
        <v>0</v>
      </c>
      <c r="AA709" t="str">
        <f t="shared" si="22"/>
        <v>update zamestnanci set nastup='99' where id='799';</v>
      </c>
      <c r="AB709" t="str">
        <f t="shared" si="23"/>
        <v>update dochazka set zastavka = '99' where zamestnanec = '799';</v>
      </c>
    </row>
    <row r="710" spans="1:28" x14ac:dyDescent="0.25">
      <c r="A710" s="2">
        <v>856</v>
      </c>
      <c r="B710" t="s">
        <v>3862</v>
      </c>
      <c r="C710" t="s">
        <v>3863</v>
      </c>
      <c r="D710" t="s">
        <v>3864</v>
      </c>
      <c r="E710" t="s">
        <v>2940</v>
      </c>
      <c r="F710" t="s">
        <v>3865</v>
      </c>
      <c r="G710" s="1">
        <v>45369</v>
      </c>
      <c r="H710" s="1">
        <v>45455</v>
      </c>
      <c r="I710" s="1">
        <v>73050</v>
      </c>
      <c r="J710" s="2" t="s">
        <v>8524</v>
      </c>
      <c r="K710" t="s">
        <v>3866</v>
      </c>
      <c r="M710" s="16" t="s">
        <v>8525</v>
      </c>
      <c r="N710" s="16" t="str">
        <f>VLOOKUP(M710,Tab_Zast[[Zastávka]:[Sloupec1]],2,0)</f>
        <v>99</v>
      </c>
      <c r="O710" t="s">
        <v>3867</v>
      </c>
      <c r="P710">
        <v>6</v>
      </c>
      <c r="Q710">
        <v>0</v>
      </c>
      <c r="R710" t="s">
        <v>31</v>
      </c>
      <c r="S710" t="s">
        <v>31</v>
      </c>
      <c r="T710" t="s">
        <v>32</v>
      </c>
      <c r="V710" s="1" t="e">
        <v>#N/A</v>
      </c>
      <c r="W710" t="s">
        <v>1216</v>
      </c>
      <c r="X710">
        <v>0</v>
      </c>
      <c r="Y710">
        <v>194</v>
      </c>
      <c r="AA710" t="str">
        <f t="shared" si="22"/>
        <v>update zamestnanci set nastup='99' where id='856';</v>
      </c>
      <c r="AB710" t="str">
        <f t="shared" si="23"/>
        <v>update dochazka set zastavka = '99' where zamestnanec = '856';</v>
      </c>
    </row>
    <row r="711" spans="1:28" x14ac:dyDescent="0.25">
      <c r="A711" s="2">
        <v>989</v>
      </c>
      <c r="B711" t="s">
        <v>1394</v>
      </c>
      <c r="C711" t="s">
        <v>4473</v>
      </c>
      <c r="D711" t="s">
        <v>4474</v>
      </c>
      <c r="E711" t="s">
        <v>725</v>
      </c>
      <c r="F711" t="s">
        <v>4475</v>
      </c>
      <c r="G711" s="1">
        <v>45453</v>
      </c>
      <c r="H711" s="1">
        <v>45455</v>
      </c>
      <c r="I711" s="1">
        <v>73050</v>
      </c>
      <c r="J711" s="2" t="s">
        <v>8524</v>
      </c>
      <c r="K711" t="s">
        <v>4476</v>
      </c>
      <c r="M711" s="16" t="s">
        <v>8525</v>
      </c>
      <c r="N711" s="16" t="str">
        <f>VLOOKUP(M711,Tab_Zast[[Zastávka]:[Sloupec1]],2,0)</f>
        <v>99</v>
      </c>
      <c r="O711" t="s">
        <v>4477</v>
      </c>
      <c r="P711">
        <v>6</v>
      </c>
      <c r="Q711">
        <v>0</v>
      </c>
      <c r="R711" t="s">
        <v>130</v>
      </c>
      <c r="S711" t="s">
        <v>31</v>
      </c>
      <c r="T711" t="s">
        <v>32</v>
      </c>
      <c r="V711" s="1" t="e">
        <v>#N/A</v>
      </c>
      <c r="W711" t="s">
        <v>1216</v>
      </c>
      <c r="X711">
        <v>0</v>
      </c>
      <c r="Y711">
        <v>381</v>
      </c>
      <c r="AA711" t="str">
        <f t="shared" si="22"/>
        <v>update zamestnanci set nastup='99' where id='989';</v>
      </c>
      <c r="AB711" t="str">
        <f t="shared" si="23"/>
        <v>update dochazka set zastavka = '99' where zamestnanec = '989';</v>
      </c>
    </row>
    <row r="712" spans="1:28" x14ac:dyDescent="0.25">
      <c r="A712" s="2">
        <v>1084</v>
      </c>
      <c r="B712" t="s">
        <v>4874</v>
      </c>
      <c r="C712" t="s">
        <v>1394</v>
      </c>
      <c r="D712" t="s">
        <v>4875</v>
      </c>
      <c r="E712" t="s">
        <v>2883</v>
      </c>
      <c r="F712" t="s">
        <v>4876</v>
      </c>
      <c r="G712" s="1">
        <v>45488</v>
      </c>
      <c r="H712" s="1">
        <v>45603</v>
      </c>
      <c r="I712" s="1">
        <v>73050</v>
      </c>
      <c r="J712" s="2" t="s">
        <v>8524</v>
      </c>
      <c r="K712" t="s">
        <v>4877</v>
      </c>
      <c r="M712" s="16" t="s">
        <v>8525</v>
      </c>
      <c r="N712" s="16" t="str">
        <f>VLOOKUP(M712,Tab_Zast[[Zastávka]:[Sloupec1]],2,0)</f>
        <v>99</v>
      </c>
      <c r="O712" t="s">
        <v>4878</v>
      </c>
      <c r="P712">
        <v>6</v>
      </c>
      <c r="Q712">
        <v>0</v>
      </c>
      <c r="R712" t="s">
        <v>31</v>
      </c>
      <c r="S712" t="s">
        <v>31</v>
      </c>
      <c r="T712" t="s">
        <v>32</v>
      </c>
      <c r="V712" s="1">
        <v>45595</v>
      </c>
      <c r="W712" t="s">
        <v>1022</v>
      </c>
      <c r="X712">
        <v>0</v>
      </c>
      <c r="Y712">
        <v>472</v>
      </c>
      <c r="AA712" t="str">
        <f t="shared" si="22"/>
        <v>update zamestnanci set nastup='99' where id='1084';</v>
      </c>
      <c r="AB712" t="str">
        <f t="shared" si="23"/>
        <v>update dochazka set zastavka = '99' where zamestnanec = '1084';</v>
      </c>
    </row>
    <row r="713" spans="1:28" x14ac:dyDescent="0.25">
      <c r="A713" s="2">
        <v>1231</v>
      </c>
      <c r="B713" t="s">
        <v>5459</v>
      </c>
      <c r="C713" t="s">
        <v>1394</v>
      </c>
      <c r="D713" t="s">
        <v>5460</v>
      </c>
      <c r="E713" t="s">
        <v>3373</v>
      </c>
      <c r="F713" t="s">
        <v>5461</v>
      </c>
      <c r="G713" s="1">
        <v>45547</v>
      </c>
      <c r="H713" s="1">
        <v>45569</v>
      </c>
      <c r="I713" s="1">
        <v>73050</v>
      </c>
      <c r="J713" s="2" t="s">
        <v>8524</v>
      </c>
      <c r="K713" t="s">
        <v>5462</v>
      </c>
      <c r="M713" s="16" t="s">
        <v>8525</v>
      </c>
      <c r="N713" s="16" t="str">
        <f>VLOOKUP(M713,Tab_Zast[[Zastávka]:[Sloupec1]],2,0)</f>
        <v>99</v>
      </c>
      <c r="O713" t="s">
        <v>5463</v>
      </c>
      <c r="P713">
        <v>6</v>
      </c>
      <c r="Q713">
        <v>0</v>
      </c>
      <c r="R713" t="s">
        <v>31</v>
      </c>
      <c r="S713" t="s">
        <v>31</v>
      </c>
      <c r="T713" t="s">
        <v>32</v>
      </c>
      <c r="V713" s="1" t="e">
        <v>#N/A</v>
      </c>
      <c r="W713" t="s">
        <v>1216</v>
      </c>
      <c r="X713">
        <v>0</v>
      </c>
      <c r="Y713">
        <v>622</v>
      </c>
      <c r="AA713" t="str">
        <f t="shared" si="22"/>
        <v>update zamestnanci set nastup='99' where id='1231';</v>
      </c>
      <c r="AB713" t="str">
        <f t="shared" si="23"/>
        <v>update dochazka set zastavka = '99' where zamestnanec = '1231';</v>
      </c>
    </row>
    <row r="714" spans="1:28" x14ac:dyDescent="0.25">
      <c r="A714" s="2">
        <v>1421</v>
      </c>
      <c r="B714" t="s">
        <v>6213</v>
      </c>
      <c r="C714" t="s">
        <v>64</v>
      </c>
      <c r="D714" t="s">
        <v>6214</v>
      </c>
      <c r="E714" t="s">
        <v>2451</v>
      </c>
      <c r="F714" t="s">
        <v>1093</v>
      </c>
      <c r="G714" s="1">
        <v>45637</v>
      </c>
      <c r="H714" s="1">
        <v>45637</v>
      </c>
      <c r="I714" s="1">
        <v>45637</v>
      </c>
      <c r="J714" s="2" t="s">
        <v>8524</v>
      </c>
      <c r="K714" t="s">
        <v>6215</v>
      </c>
      <c r="M714" s="16" t="s">
        <v>8525</v>
      </c>
      <c r="N714" s="16" t="str">
        <f>VLOOKUP(M714,Tab_Zast[[Zastávka]:[Sloupec1]],2,0)</f>
        <v>99</v>
      </c>
      <c r="O714" t="s">
        <v>6216</v>
      </c>
      <c r="P714">
        <v>6</v>
      </c>
      <c r="Q714">
        <v>0</v>
      </c>
      <c r="R714" t="s">
        <v>31</v>
      </c>
      <c r="S714" t="s">
        <v>31</v>
      </c>
      <c r="T714" t="s">
        <v>32</v>
      </c>
      <c r="V714" s="1" t="e">
        <v>#N/A</v>
      </c>
      <c r="W714" t="s">
        <v>1022</v>
      </c>
      <c r="X714">
        <v>0</v>
      </c>
      <c r="Y714">
        <v>812</v>
      </c>
      <c r="AA714" t="str">
        <f t="shared" si="22"/>
        <v>update zamestnanci set nastup='99' where id='1421';</v>
      </c>
      <c r="AB714" t="str">
        <f t="shared" si="23"/>
        <v>update dochazka set zastavka = '99' where zamestnanec = '1421';</v>
      </c>
    </row>
    <row r="715" spans="1:28" x14ac:dyDescent="0.25">
      <c r="A715" s="2">
        <v>1469</v>
      </c>
      <c r="B715" t="s">
        <v>6400</v>
      </c>
      <c r="C715" t="s">
        <v>64</v>
      </c>
      <c r="D715" t="s">
        <v>6401</v>
      </c>
      <c r="E715" t="s">
        <v>661</v>
      </c>
      <c r="F715" t="s">
        <v>6402</v>
      </c>
      <c r="G715" s="1">
        <v>45699</v>
      </c>
      <c r="H715" s="1">
        <v>73050</v>
      </c>
      <c r="I715" s="1" t="e">
        <v>#N/A</v>
      </c>
      <c r="J715" s="2" t="s">
        <v>8524</v>
      </c>
      <c r="K715" t="s">
        <v>6403</v>
      </c>
      <c r="M715" s="16" t="s">
        <v>8525</v>
      </c>
      <c r="N715" s="16" t="str">
        <f>VLOOKUP(M715,Tab_Zast[[Zastávka]:[Sloupec1]],2,0)</f>
        <v>99</v>
      </c>
      <c r="O715" t="s">
        <v>6404</v>
      </c>
      <c r="P715">
        <v>6</v>
      </c>
      <c r="Q715">
        <v>0</v>
      </c>
      <c r="R715" t="s">
        <v>179</v>
      </c>
      <c r="S715" t="s">
        <v>31</v>
      </c>
      <c r="T715" t="s">
        <v>32</v>
      </c>
      <c r="U715" t="s">
        <v>254</v>
      </c>
      <c r="V715" s="1">
        <v>45951</v>
      </c>
      <c r="W715" t="s">
        <v>1216</v>
      </c>
      <c r="X715">
        <v>1</v>
      </c>
      <c r="Y715">
        <v>860</v>
      </c>
      <c r="AA715" t="str">
        <f t="shared" si="22"/>
        <v>update zamestnanci set nastup='99' where id='1469';</v>
      </c>
      <c r="AB715" t="str">
        <f t="shared" si="23"/>
        <v>update dochazka set zastavka = '99' where zamestnanec = '1469';</v>
      </c>
    </row>
    <row r="716" spans="1:28" x14ac:dyDescent="0.25">
      <c r="A716" s="2">
        <v>1521</v>
      </c>
      <c r="B716" t="s">
        <v>6584</v>
      </c>
      <c r="C716" t="s">
        <v>64</v>
      </c>
      <c r="D716" t="s">
        <v>6585</v>
      </c>
      <c r="E716" t="s">
        <v>3179</v>
      </c>
      <c r="F716" t="s">
        <v>6586</v>
      </c>
      <c r="G716" s="1">
        <v>45728</v>
      </c>
      <c r="H716" s="1">
        <v>45797</v>
      </c>
      <c r="I716" s="1">
        <v>73050</v>
      </c>
      <c r="J716" s="2" t="s">
        <v>8524</v>
      </c>
      <c r="K716" t="s">
        <v>6587</v>
      </c>
      <c r="M716" s="16" t="s">
        <v>8525</v>
      </c>
      <c r="N716" s="16" t="str">
        <f>VLOOKUP(M716,Tab_Zast[[Zastávka]:[Sloupec1]],2,0)</f>
        <v>99</v>
      </c>
      <c r="O716" t="s">
        <v>6588</v>
      </c>
      <c r="P716">
        <v>6</v>
      </c>
      <c r="Q716">
        <v>0</v>
      </c>
      <c r="R716" t="s">
        <v>31</v>
      </c>
      <c r="S716" t="s">
        <v>31</v>
      </c>
      <c r="T716" t="s">
        <v>32</v>
      </c>
      <c r="V716" s="1">
        <v>45796</v>
      </c>
      <c r="W716" t="s">
        <v>1022</v>
      </c>
      <c r="X716">
        <v>0</v>
      </c>
      <c r="Y716">
        <v>911</v>
      </c>
      <c r="AA716" t="str">
        <f t="shared" si="22"/>
        <v>update zamestnanci set nastup='99' where id='1521';</v>
      </c>
      <c r="AB716" t="str">
        <f t="shared" si="23"/>
        <v>update dochazka set zastavka = '99' where zamestnanec = '1521';</v>
      </c>
    </row>
    <row r="717" spans="1:28" x14ac:dyDescent="0.25">
      <c r="A717" s="2">
        <v>1782</v>
      </c>
      <c r="B717" t="s">
        <v>7541</v>
      </c>
      <c r="C717" t="s">
        <v>569</v>
      </c>
      <c r="D717" t="s">
        <v>7542</v>
      </c>
      <c r="E717" t="s">
        <v>1744</v>
      </c>
      <c r="F717" t="s">
        <v>569</v>
      </c>
      <c r="G717" s="1">
        <v>45876</v>
      </c>
      <c r="H717" s="1">
        <v>45930</v>
      </c>
      <c r="I717" s="1">
        <v>73050</v>
      </c>
      <c r="J717" s="2" t="s">
        <v>8524</v>
      </c>
      <c r="K717" t="s">
        <v>7543</v>
      </c>
      <c r="M717" s="16" t="s">
        <v>8525</v>
      </c>
      <c r="N717" s="16" t="str">
        <f>VLOOKUP(M717,Tab_Zast[[Zastávka]:[Sloupec1]],2,0)</f>
        <v>99</v>
      </c>
      <c r="O717" t="s">
        <v>7544</v>
      </c>
      <c r="P717">
        <v>6</v>
      </c>
      <c r="Q717">
        <v>0</v>
      </c>
      <c r="R717" t="s">
        <v>31</v>
      </c>
      <c r="S717" t="s">
        <v>31</v>
      </c>
      <c r="T717" t="s">
        <v>32</v>
      </c>
      <c r="V717" s="1" t="e">
        <v>#N/A</v>
      </c>
      <c r="W717" t="s">
        <v>3052</v>
      </c>
      <c r="X717">
        <v>0</v>
      </c>
      <c r="Y717">
        <v>1171</v>
      </c>
      <c r="AA717" t="str">
        <f t="shared" si="22"/>
        <v>update zamestnanci set nastup='99' where id='1782';</v>
      </c>
      <c r="AB717" t="str">
        <f t="shared" si="23"/>
        <v>update dochazka set zastavka = '99' where zamestnanec = '1782';</v>
      </c>
    </row>
    <row r="718" spans="1:28" x14ac:dyDescent="0.25">
      <c r="A718" s="2">
        <v>1794</v>
      </c>
      <c r="B718" t="s">
        <v>7585</v>
      </c>
      <c r="C718" t="s">
        <v>569</v>
      </c>
      <c r="D718" t="s">
        <v>808</v>
      </c>
      <c r="E718" t="s">
        <v>2391</v>
      </c>
      <c r="F718" t="s">
        <v>569</v>
      </c>
      <c r="G718" s="1">
        <v>45889</v>
      </c>
      <c r="H718" s="1">
        <v>45890</v>
      </c>
      <c r="I718" s="1">
        <v>73050</v>
      </c>
      <c r="J718" s="2" t="s">
        <v>8524</v>
      </c>
      <c r="K718" t="s">
        <v>7586</v>
      </c>
      <c r="M718" s="16" t="s">
        <v>8525</v>
      </c>
      <c r="N718" s="16" t="str">
        <f>VLOOKUP(M718,Tab_Zast[[Zastávka]:[Sloupec1]],2,0)</f>
        <v>99</v>
      </c>
      <c r="O718" t="s">
        <v>7587</v>
      </c>
      <c r="P718">
        <v>6</v>
      </c>
      <c r="Q718">
        <v>0</v>
      </c>
      <c r="R718" t="s">
        <v>31</v>
      </c>
      <c r="S718" t="s">
        <v>31</v>
      </c>
      <c r="T718" t="s">
        <v>32</v>
      </c>
      <c r="V718" s="1" t="e">
        <v>#N/A</v>
      </c>
      <c r="W718" t="s">
        <v>3052</v>
      </c>
      <c r="X718">
        <v>0</v>
      </c>
      <c r="Y718">
        <v>1187</v>
      </c>
      <c r="AA718" t="str">
        <f t="shared" si="22"/>
        <v>update zamestnanci set nastup='99' where id='1794';</v>
      </c>
      <c r="AB718" t="str">
        <f t="shared" si="23"/>
        <v>update dochazka set zastavka = '99' where zamestnanec = '1794';</v>
      </c>
    </row>
    <row r="719" spans="1:28" x14ac:dyDescent="0.25">
      <c r="A719" s="2">
        <v>1821</v>
      </c>
      <c r="B719" t="s">
        <v>7677</v>
      </c>
      <c r="C719" t="s">
        <v>357</v>
      </c>
      <c r="D719" t="s">
        <v>2651</v>
      </c>
      <c r="E719" t="s">
        <v>755</v>
      </c>
      <c r="F719" t="s">
        <v>7678</v>
      </c>
      <c r="G719" s="1">
        <v>45904</v>
      </c>
      <c r="H719" s="1">
        <v>45926</v>
      </c>
      <c r="I719" s="1">
        <v>73050</v>
      </c>
      <c r="J719" s="2" t="s">
        <v>8524</v>
      </c>
      <c r="K719" t="s">
        <v>7679</v>
      </c>
      <c r="M719" s="16" t="s">
        <v>8525</v>
      </c>
      <c r="N719" s="16" t="str">
        <f>VLOOKUP(M719,Tab_Zast[[Zastávka]:[Sloupec1]],2,0)</f>
        <v>99</v>
      </c>
      <c r="O719" t="s">
        <v>7680</v>
      </c>
      <c r="P719">
        <v>6</v>
      </c>
      <c r="Q719">
        <v>0</v>
      </c>
      <c r="R719" t="s">
        <v>31</v>
      </c>
      <c r="S719" t="s">
        <v>31</v>
      </c>
      <c r="T719" t="s">
        <v>32</v>
      </c>
      <c r="V719" s="1" t="e">
        <v>#N/A</v>
      </c>
      <c r="W719" t="s">
        <v>3052</v>
      </c>
      <c r="X719">
        <v>0</v>
      </c>
      <c r="Y719">
        <v>1216</v>
      </c>
      <c r="AA719" t="str">
        <f t="shared" si="22"/>
        <v>update zamestnanci set nastup='99' where id='1821';</v>
      </c>
      <c r="AB719" t="str">
        <f t="shared" si="23"/>
        <v>update dochazka set zastavka = '99' where zamestnanec = '1821';</v>
      </c>
    </row>
    <row r="720" spans="1:28" x14ac:dyDescent="0.25">
      <c r="A720" s="2">
        <v>1824</v>
      </c>
      <c r="B720" t="s">
        <v>7689</v>
      </c>
      <c r="C720" t="s">
        <v>357</v>
      </c>
      <c r="D720" t="s">
        <v>7690</v>
      </c>
      <c r="E720" t="s">
        <v>593</v>
      </c>
      <c r="F720" t="s">
        <v>7691</v>
      </c>
      <c r="G720" s="1">
        <v>45904</v>
      </c>
      <c r="H720" s="1">
        <v>73050</v>
      </c>
      <c r="I720" s="1" t="e">
        <v>#N/A</v>
      </c>
      <c r="J720" s="2" t="s">
        <v>8524</v>
      </c>
      <c r="K720" t="s">
        <v>7692</v>
      </c>
      <c r="M720" s="16" t="s">
        <v>8525</v>
      </c>
      <c r="N720" s="16" t="str">
        <f>VLOOKUP(M720,Tab_Zast[[Zastávka]:[Sloupec1]],2,0)</f>
        <v>99</v>
      </c>
      <c r="O720" t="s">
        <v>7693</v>
      </c>
      <c r="P720">
        <v>6</v>
      </c>
      <c r="Q720">
        <v>0</v>
      </c>
      <c r="R720" t="s">
        <v>129</v>
      </c>
      <c r="S720" t="s">
        <v>179</v>
      </c>
      <c r="T720" t="s">
        <v>32</v>
      </c>
      <c r="V720" s="1" t="e">
        <v>#N/A</v>
      </c>
      <c r="W720" t="s">
        <v>3052</v>
      </c>
      <c r="X720">
        <v>1</v>
      </c>
      <c r="Y720">
        <v>1219</v>
      </c>
      <c r="AA720" t="str">
        <f t="shared" si="22"/>
        <v>update zamestnanci set nastup='99' where id='1824';</v>
      </c>
      <c r="AB720" t="str">
        <f t="shared" si="23"/>
        <v>update dochazka set zastavka = '99' where zamestnanec = '1824';</v>
      </c>
    </row>
    <row r="721" spans="1:28" x14ac:dyDescent="0.25">
      <c r="A721" s="2">
        <v>1827</v>
      </c>
      <c r="B721" t="s">
        <v>7701</v>
      </c>
      <c r="C721" t="s">
        <v>569</v>
      </c>
      <c r="D721" t="s">
        <v>7702</v>
      </c>
      <c r="E721" t="s">
        <v>6640</v>
      </c>
      <c r="F721" t="s">
        <v>357</v>
      </c>
      <c r="G721" s="1">
        <v>45908</v>
      </c>
      <c r="H721" s="1">
        <v>45925</v>
      </c>
      <c r="I721" s="1">
        <v>73050</v>
      </c>
      <c r="J721" s="2" t="s">
        <v>8524</v>
      </c>
      <c r="K721" t="s">
        <v>7703</v>
      </c>
      <c r="M721" s="16" t="s">
        <v>8525</v>
      </c>
      <c r="N721" s="16" t="str">
        <f>VLOOKUP(M721,Tab_Zast[[Zastávka]:[Sloupec1]],2,0)</f>
        <v>99</v>
      </c>
      <c r="O721" t="s">
        <v>7704</v>
      </c>
      <c r="P721">
        <v>6</v>
      </c>
      <c r="Q721">
        <v>0</v>
      </c>
      <c r="R721" t="s">
        <v>31</v>
      </c>
      <c r="S721" t="s">
        <v>31</v>
      </c>
      <c r="T721" t="s">
        <v>32</v>
      </c>
      <c r="V721" s="1" t="e">
        <v>#N/A</v>
      </c>
      <c r="W721" t="s">
        <v>1216</v>
      </c>
      <c r="X721">
        <v>0</v>
      </c>
      <c r="Y721">
        <v>1225</v>
      </c>
      <c r="AA721" t="str">
        <f t="shared" si="22"/>
        <v>update zamestnanci set nastup='99' where id='1827';</v>
      </c>
      <c r="AB721" t="str">
        <f t="shared" si="23"/>
        <v>update dochazka set zastavka = '99' where zamestnanec = '1827';</v>
      </c>
    </row>
    <row r="722" spans="1:28" x14ac:dyDescent="0.25">
      <c r="A722" s="2">
        <v>34</v>
      </c>
      <c r="B722" t="s">
        <v>242</v>
      </c>
      <c r="D722" t="s">
        <v>243</v>
      </c>
      <c r="E722" t="s">
        <v>244</v>
      </c>
      <c r="F722" t="s">
        <v>245</v>
      </c>
      <c r="G722" s="1">
        <v>45061</v>
      </c>
      <c r="H722" s="1">
        <v>45338</v>
      </c>
      <c r="I722" s="1">
        <v>73050</v>
      </c>
      <c r="J722" s="2" t="s">
        <v>8356</v>
      </c>
      <c r="K722" t="s">
        <v>246</v>
      </c>
      <c r="M722" s="16" t="s">
        <v>8357</v>
      </c>
      <c r="N722" s="16" t="str">
        <f>VLOOKUP(M722,Tab_Zast[[Zastávka]:[Sloupec1]],2,0)</f>
        <v>39</v>
      </c>
      <c r="O722" t="s">
        <v>247</v>
      </c>
      <c r="P722">
        <v>1</v>
      </c>
      <c r="Q722">
        <v>0</v>
      </c>
      <c r="R722" t="s">
        <v>31</v>
      </c>
      <c r="S722" t="s">
        <v>31</v>
      </c>
      <c r="T722" t="s">
        <v>32</v>
      </c>
      <c r="V722" s="1" t="e">
        <v>#N/A</v>
      </c>
      <c r="W722" t="s">
        <v>47</v>
      </c>
      <c r="X722">
        <v>0</v>
      </c>
      <c r="Y722">
        <v>0</v>
      </c>
      <c r="AA722" t="str">
        <f t="shared" si="22"/>
        <v>update zamestnanci set nastup='39' where id='34';</v>
      </c>
      <c r="AB722" t="str">
        <f t="shared" si="23"/>
        <v>update dochazka set zastavka = '39' where zamestnanec = '34';</v>
      </c>
    </row>
    <row r="723" spans="1:28" x14ac:dyDescent="0.25">
      <c r="A723" s="2">
        <v>38</v>
      </c>
      <c r="B723" t="s">
        <v>267</v>
      </c>
      <c r="D723" t="s">
        <v>268</v>
      </c>
      <c r="E723" t="s">
        <v>269</v>
      </c>
      <c r="F723" t="s">
        <v>270</v>
      </c>
      <c r="G723" s="1">
        <v>44944</v>
      </c>
      <c r="H723" s="1">
        <v>45239</v>
      </c>
      <c r="I723" s="1" t="e">
        <v>#N/A</v>
      </c>
      <c r="J723" s="2" t="s">
        <v>8356</v>
      </c>
      <c r="K723" t="s">
        <v>271</v>
      </c>
      <c r="M723" s="16" t="s">
        <v>8357</v>
      </c>
      <c r="N723" s="16" t="str">
        <f>VLOOKUP(M723,Tab_Zast[[Zastávka]:[Sloupec1]],2,0)</f>
        <v>39</v>
      </c>
      <c r="O723" t="s">
        <v>272</v>
      </c>
      <c r="P723">
        <v>1</v>
      </c>
      <c r="Q723">
        <v>0</v>
      </c>
      <c r="R723" t="s">
        <v>31</v>
      </c>
      <c r="S723" t="s">
        <v>31</v>
      </c>
      <c r="T723" t="s">
        <v>32</v>
      </c>
      <c r="V723" s="1" t="e">
        <v>#N/A</v>
      </c>
      <c r="W723" t="s">
        <v>47</v>
      </c>
      <c r="X723">
        <v>0</v>
      </c>
      <c r="Y723">
        <v>0</v>
      </c>
      <c r="Z723" t="s">
        <v>54</v>
      </c>
      <c r="AA723" t="str">
        <f t="shared" si="22"/>
        <v>update zamestnanci set nastup='39' where id='38';</v>
      </c>
      <c r="AB723" t="str">
        <f t="shared" si="23"/>
        <v>update dochazka set zastavka = '39' where zamestnanec = '38';</v>
      </c>
    </row>
    <row r="724" spans="1:28" x14ac:dyDescent="0.25">
      <c r="A724" s="2">
        <v>42</v>
      </c>
      <c r="B724" t="s">
        <v>288</v>
      </c>
      <c r="D724" t="s">
        <v>289</v>
      </c>
      <c r="E724" t="s">
        <v>290</v>
      </c>
      <c r="F724" t="s">
        <v>291</v>
      </c>
      <c r="G724" s="1">
        <v>45180</v>
      </c>
      <c r="H724" s="1">
        <v>45321</v>
      </c>
      <c r="I724" s="1">
        <v>73050</v>
      </c>
      <c r="J724" s="2" t="s">
        <v>8356</v>
      </c>
      <c r="K724" t="s">
        <v>292</v>
      </c>
      <c r="M724" s="16" t="s">
        <v>8357</v>
      </c>
      <c r="N724" s="16" t="str">
        <f>VLOOKUP(M724,Tab_Zast[[Zastávka]:[Sloupec1]],2,0)</f>
        <v>39</v>
      </c>
      <c r="O724" t="s">
        <v>293</v>
      </c>
      <c r="P724">
        <v>1</v>
      </c>
      <c r="Q724">
        <v>0</v>
      </c>
      <c r="R724" t="s">
        <v>31</v>
      </c>
      <c r="S724" t="s">
        <v>31</v>
      </c>
      <c r="T724" t="s">
        <v>32</v>
      </c>
      <c r="V724" s="1" t="e">
        <v>#N/A</v>
      </c>
      <c r="W724" t="s">
        <v>47</v>
      </c>
      <c r="X724">
        <v>0</v>
      </c>
      <c r="Y724">
        <v>0</v>
      </c>
      <c r="AA724" t="str">
        <f t="shared" si="22"/>
        <v>update zamestnanci set nastup='39' where id='42';</v>
      </c>
      <c r="AB724" t="str">
        <f t="shared" si="23"/>
        <v>update dochazka set zastavka = '39' where zamestnanec = '42';</v>
      </c>
    </row>
    <row r="725" spans="1:28" x14ac:dyDescent="0.25">
      <c r="A725" s="2">
        <v>60</v>
      </c>
      <c r="B725" t="s">
        <v>396</v>
      </c>
      <c r="C725" t="s">
        <v>396</v>
      </c>
      <c r="D725" t="s">
        <v>397</v>
      </c>
      <c r="E725" t="s">
        <v>398</v>
      </c>
      <c r="F725" t="s">
        <v>399</v>
      </c>
      <c r="G725" s="1">
        <v>44119</v>
      </c>
      <c r="H725" s="1">
        <v>73050</v>
      </c>
      <c r="I725" s="1" t="e">
        <v>#N/A</v>
      </c>
      <c r="J725" s="2" t="s">
        <v>8356</v>
      </c>
      <c r="K725" t="s">
        <v>400</v>
      </c>
      <c r="M725" s="16" t="s">
        <v>8357</v>
      </c>
      <c r="N725" s="16" t="str">
        <f>VLOOKUP(M725,Tab_Zast[[Zastávka]:[Sloupec1]],2,0)</f>
        <v>39</v>
      </c>
      <c r="O725" t="s">
        <v>401</v>
      </c>
      <c r="P725">
        <v>1</v>
      </c>
      <c r="Q725">
        <v>0</v>
      </c>
      <c r="R725" t="s">
        <v>130</v>
      </c>
      <c r="S725" t="s">
        <v>31</v>
      </c>
      <c r="T725" t="s">
        <v>32</v>
      </c>
      <c r="V725" s="1" t="e">
        <v>#N/A</v>
      </c>
      <c r="W725" t="s">
        <v>47</v>
      </c>
      <c r="X725">
        <v>1</v>
      </c>
      <c r="Y725">
        <v>0</v>
      </c>
      <c r="AA725" t="str">
        <f t="shared" si="22"/>
        <v>update zamestnanci set nastup='39' where id='60';</v>
      </c>
      <c r="AB725" t="str">
        <f t="shared" si="23"/>
        <v>update dochazka set zastavka = '39' where zamestnanec = '60';</v>
      </c>
    </row>
    <row r="726" spans="1:28" x14ac:dyDescent="0.25">
      <c r="A726" s="2">
        <v>80</v>
      </c>
      <c r="B726" t="s">
        <v>510</v>
      </c>
      <c r="C726" t="s">
        <v>510</v>
      </c>
      <c r="D726" t="s">
        <v>511</v>
      </c>
      <c r="E726" t="s">
        <v>512</v>
      </c>
      <c r="F726" t="s">
        <v>513</v>
      </c>
      <c r="G726" s="1">
        <v>44119</v>
      </c>
      <c r="H726" s="1">
        <v>73050</v>
      </c>
      <c r="I726" s="1" t="e">
        <v>#N/A</v>
      </c>
      <c r="J726" s="2" t="s">
        <v>8356</v>
      </c>
      <c r="K726" t="s">
        <v>514</v>
      </c>
      <c r="M726" s="16" t="s">
        <v>8357</v>
      </c>
      <c r="N726" s="16" t="str">
        <f>VLOOKUP(M726,Tab_Zast[[Zastávka]:[Sloupec1]],2,0)</f>
        <v>39</v>
      </c>
      <c r="O726" t="s">
        <v>515</v>
      </c>
      <c r="P726">
        <v>1</v>
      </c>
      <c r="Q726">
        <v>0</v>
      </c>
      <c r="R726" t="s">
        <v>130</v>
      </c>
      <c r="S726" t="s">
        <v>31</v>
      </c>
      <c r="T726" t="s">
        <v>32</v>
      </c>
      <c r="V726" s="1" t="e">
        <v>#N/A</v>
      </c>
      <c r="W726" t="s">
        <v>47</v>
      </c>
      <c r="X726">
        <v>1</v>
      </c>
      <c r="Y726">
        <v>0</v>
      </c>
      <c r="AA726" t="str">
        <f t="shared" si="22"/>
        <v>update zamestnanci set nastup='39' where id='80';</v>
      </c>
      <c r="AB726" t="str">
        <f t="shared" si="23"/>
        <v>update dochazka set zastavka = '39' where zamestnanec = '80';</v>
      </c>
    </row>
    <row r="727" spans="1:28" x14ac:dyDescent="0.25">
      <c r="A727" s="2">
        <v>82</v>
      </c>
      <c r="B727" t="s">
        <v>522</v>
      </c>
      <c r="C727" t="s">
        <v>522</v>
      </c>
      <c r="D727" t="s">
        <v>523</v>
      </c>
      <c r="E727" t="s">
        <v>524</v>
      </c>
      <c r="F727" t="s">
        <v>525</v>
      </c>
      <c r="G727" s="1">
        <v>44207</v>
      </c>
      <c r="H727" s="1">
        <v>73050</v>
      </c>
      <c r="I727" s="1" t="e">
        <v>#N/A</v>
      </c>
      <c r="J727" s="2" t="s">
        <v>8356</v>
      </c>
      <c r="K727" t="s">
        <v>526</v>
      </c>
      <c r="M727" s="16" t="s">
        <v>8357</v>
      </c>
      <c r="N727" s="16" t="str">
        <f>VLOOKUP(M727,Tab_Zast[[Zastávka]:[Sloupec1]],2,0)</f>
        <v>39</v>
      </c>
      <c r="O727" t="s">
        <v>527</v>
      </c>
      <c r="P727">
        <v>1</v>
      </c>
      <c r="Q727">
        <v>0</v>
      </c>
      <c r="R727" t="s">
        <v>129</v>
      </c>
      <c r="S727" t="s">
        <v>31</v>
      </c>
      <c r="T727" t="s">
        <v>32</v>
      </c>
      <c r="V727" s="1" t="e">
        <v>#N/A</v>
      </c>
      <c r="W727" t="s">
        <v>47</v>
      </c>
      <c r="X727">
        <v>1</v>
      </c>
      <c r="Y727">
        <v>0</v>
      </c>
      <c r="AA727" t="str">
        <f t="shared" si="22"/>
        <v>update zamestnanci set nastup='39' where id='82';</v>
      </c>
      <c r="AB727" t="str">
        <f t="shared" si="23"/>
        <v>update dochazka set zastavka = '39' where zamestnanec = '82';</v>
      </c>
    </row>
    <row r="728" spans="1:28" x14ac:dyDescent="0.25">
      <c r="A728" s="2">
        <v>88</v>
      </c>
      <c r="B728" t="s">
        <v>555</v>
      </c>
      <c r="D728" t="s">
        <v>556</v>
      </c>
      <c r="E728" t="s">
        <v>557</v>
      </c>
      <c r="F728" t="s">
        <v>558</v>
      </c>
      <c r="G728" s="1">
        <v>44852</v>
      </c>
      <c r="H728" s="1">
        <v>45331</v>
      </c>
      <c r="I728" s="1">
        <v>73050</v>
      </c>
      <c r="J728" s="2" t="s">
        <v>8356</v>
      </c>
      <c r="K728" t="s">
        <v>559</v>
      </c>
      <c r="M728" s="16" t="s">
        <v>8357</v>
      </c>
      <c r="N728" s="16" t="str">
        <f>VLOOKUP(M728,Tab_Zast[[Zastávka]:[Sloupec1]],2,0)</f>
        <v>39</v>
      </c>
      <c r="O728" t="s">
        <v>560</v>
      </c>
      <c r="P728">
        <v>1</v>
      </c>
      <c r="Q728">
        <v>0</v>
      </c>
      <c r="R728" t="s">
        <v>31</v>
      </c>
      <c r="S728" t="s">
        <v>31</v>
      </c>
      <c r="T728" t="s">
        <v>32</v>
      </c>
      <c r="V728" s="1" t="e">
        <v>#N/A</v>
      </c>
      <c r="W728" t="s">
        <v>47</v>
      </c>
      <c r="X728">
        <v>0</v>
      </c>
      <c r="Y728">
        <v>0</v>
      </c>
      <c r="Z728" t="s">
        <v>54</v>
      </c>
      <c r="AA728" t="str">
        <f t="shared" si="22"/>
        <v>update zamestnanci set nastup='39' where id='88';</v>
      </c>
      <c r="AB728" t="str">
        <f t="shared" si="23"/>
        <v>update dochazka set zastavka = '39' where zamestnanec = '88';</v>
      </c>
    </row>
    <row r="729" spans="1:28" x14ac:dyDescent="0.25">
      <c r="A729" s="2">
        <v>581</v>
      </c>
      <c r="B729" t="s">
        <v>2449</v>
      </c>
      <c r="D729" t="s">
        <v>2450</v>
      </c>
      <c r="E729" t="s">
        <v>2451</v>
      </c>
      <c r="F729" t="s">
        <v>2452</v>
      </c>
      <c r="G729" s="1">
        <v>45174</v>
      </c>
      <c r="H729" s="1">
        <v>45260</v>
      </c>
      <c r="I729" s="1" t="e">
        <v>#N/A</v>
      </c>
      <c r="J729" s="2" t="s">
        <v>8481</v>
      </c>
      <c r="K729" t="s">
        <v>2453</v>
      </c>
      <c r="M729" s="16" t="s">
        <v>8482</v>
      </c>
      <c r="N729" s="16" t="str">
        <f>VLOOKUP(M729,Tab_Zast[[Zastávka]:[Sloupec1]],2,0)</f>
        <v>82</v>
      </c>
      <c r="O729" t="s">
        <v>2454</v>
      </c>
      <c r="P729">
        <v>3</v>
      </c>
      <c r="Q729">
        <v>0</v>
      </c>
      <c r="R729" t="s">
        <v>31</v>
      </c>
      <c r="S729" t="s">
        <v>31</v>
      </c>
      <c r="T729" t="s">
        <v>32</v>
      </c>
      <c r="V729" s="1" t="e">
        <v>#N/A</v>
      </c>
      <c r="W729" t="s">
        <v>493</v>
      </c>
      <c r="X729">
        <v>0</v>
      </c>
      <c r="Y729">
        <v>0</v>
      </c>
      <c r="Z729" t="s">
        <v>54</v>
      </c>
      <c r="AA729" t="str">
        <f t="shared" si="22"/>
        <v>update zamestnanci set nastup='82' where id='581';</v>
      </c>
      <c r="AB729" t="str">
        <f t="shared" si="23"/>
        <v>update dochazka set zastavka = '82' where zamestnanec = '581';</v>
      </c>
    </row>
    <row r="730" spans="1:28" x14ac:dyDescent="0.25">
      <c r="A730" s="2">
        <v>586</v>
      </c>
      <c r="B730" t="s">
        <v>1979</v>
      </c>
      <c r="D730" t="s">
        <v>2475</v>
      </c>
      <c r="E730" t="s">
        <v>2476</v>
      </c>
      <c r="F730" t="s">
        <v>2477</v>
      </c>
      <c r="G730" s="1">
        <v>45082</v>
      </c>
      <c r="H730" s="1">
        <v>45223</v>
      </c>
      <c r="I730" s="1" t="e">
        <v>#N/A</v>
      </c>
      <c r="J730" s="2" t="s">
        <v>8481</v>
      </c>
      <c r="K730" t="s">
        <v>2478</v>
      </c>
      <c r="M730" s="16" t="s">
        <v>8482</v>
      </c>
      <c r="N730" s="16" t="str">
        <f>VLOOKUP(M730,Tab_Zast[[Zastávka]:[Sloupec1]],2,0)</f>
        <v>82</v>
      </c>
      <c r="O730" t="s">
        <v>2479</v>
      </c>
      <c r="P730">
        <v>3</v>
      </c>
      <c r="Q730">
        <v>0</v>
      </c>
      <c r="R730" t="s">
        <v>179</v>
      </c>
      <c r="S730" t="s">
        <v>31</v>
      </c>
      <c r="T730" t="s">
        <v>32</v>
      </c>
      <c r="V730" s="1" t="e">
        <v>#N/A</v>
      </c>
      <c r="W730" t="s">
        <v>493</v>
      </c>
      <c r="X730">
        <v>0</v>
      </c>
      <c r="Y730">
        <v>0</v>
      </c>
      <c r="Z730" t="s">
        <v>54</v>
      </c>
      <c r="AA730" t="str">
        <f t="shared" si="22"/>
        <v>update zamestnanci set nastup='82' where id='586';</v>
      </c>
      <c r="AB730" t="str">
        <f t="shared" si="23"/>
        <v>update dochazka set zastavka = '82' where zamestnanec = '586';</v>
      </c>
    </row>
    <row r="731" spans="1:28" x14ac:dyDescent="0.25">
      <c r="A731" s="2">
        <v>591</v>
      </c>
      <c r="B731" t="s">
        <v>2106</v>
      </c>
      <c r="D731" t="s">
        <v>213</v>
      </c>
      <c r="E731" t="s">
        <v>2506</v>
      </c>
      <c r="F731" t="s">
        <v>64</v>
      </c>
      <c r="G731" s="1">
        <v>45056</v>
      </c>
      <c r="H731" s="1">
        <v>45229</v>
      </c>
      <c r="I731" s="1" t="e">
        <v>#N/A</v>
      </c>
      <c r="J731" s="2" t="s">
        <v>8481</v>
      </c>
      <c r="K731" t="s">
        <v>2507</v>
      </c>
      <c r="M731" s="16" t="s">
        <v>8482</v>
      </c>
      <c r="N731" s="16" t="str">
        <f>VLOOKUP(M731,Tab_Zast[[Zastávka]:[Sloupec1]],2,0)</f>
        <v>82</v>
      </c>
      <c r="O731" t="s">
        <v>2508</v>
      </c>
      <c r="P731">
        <v>3</v>
      </c>
      <c r="Q731">
        <v>0</v>
      </c>
      <c r="R731" t="s">
        <v>130</v>
      </c>
      <c r="S731" t="s">
        <v>129</v>
      </c>
      <c r="T731" t="s">
        <v>32</v>
      </c>
      <c r="V731" s="1" t="e">
        <v>#N/A</v>
      </c>
      <c r="W731" t="s">
        <v>493</v>
      </c>
      <c r="X731">
        <v>0</v>
      </c>
      <c r="Y731">
        <v>0</v>
      </c>
      <c r="Z731" t="s">
        <v>54</v>
      </c>
      <c r="AA731" t="str">
        <f t="shared" si="22"/>
        <v>update zamestnanci set nastup='82' where id='591';</v>
      </c>
      <c r="AB731" t="str">
        <f t="shared" si="23"/>
        <v>update dochazka set zastavka = '82' where zamestnanec = '591';</v>
      </c>
    </row>
    <row r="732" spans="1:28" x14ac:dyDescent="0.25">
      <c r="A732" s="2">
        <v>608</v>
      </c>
      <c r="B732" t="s">
        <v>2605</v>
      </c>
      <c r="D732" t="s">
        <v>2606</v>
      </c>
      <c r="E732" t="s">
        <v>2607</v>
      </c>
      <c r="F732" t="s">
        <v>2608</v>
      </c>
      <c r="G732" s="1">
        <v>45103</v>
      </c>
      <c r="H732" s="1">
        <v>45387</v>
      </c>
      <c r="I732" s="1">
        <v>73050</v>
      </c>
      <c r="J732" s="2" t="s">
        <v>8481</v>
      </c>
      <c r="K732" t="s">
        <v>2609</v>
      </c>
      <c r="M732" s="16" t="s">
        <v>8482</v>
      </c>
      <c r="N732" s="16" t="str">
        <f>VLOOKUP(M732,Tab_Zast[[Zastávka]:[Sloupec1]],2,0)</f>
        <v>82</v>
      </c>
      <c r="O732" t="s">
        <v>2610</v>
      </c>
      <c r="P732">
        <v>3</v>
      </c>
      <c r="Q732">
        <v>0</v>
      </c>
      <c r="R732" t="s">
        <v>31</v>
      </c>
      <c r="S732" t="s">
        <v>31</v>
      </c>
      <c r="T732" t="s">
        <v>32</v>
      </c>
      <c r="V732" s="1" t="e">
        <v>#N/A</v>
      </c>
      <c r="W732" t="s">
        <v>493</v>
      </c>
      <c r="X732">
        <v>0</v>
      </c>
      <c r="Y732">
        <v>0</v>
      </c>
      <c r="Z732" t="s">
        <v>40</v>
      </c>
      <c r="AA732" t="str">
        <f t="shared" si="22"/>
        <v>update zamestnanci set nastup='82' where id='608';</v>
      </c>
      <c r="AB732" t="str">
        <f t="shared" si="23"/>
        <v>update dochazka set zastavka = '82' where zamestnanec = '608';</v>
      </c>
    </row>
    <row r="733" spans="1:28" x14ac:dyDescent="0.25">
      <c r="A733" s="2">
        <v>623</v>
      </c>
      <c r="B733" t="s">
        <v>2687</v>
      </c>
      <c r="C733" t="s">
        <v>920</v>
      </c>
      <c r="D733" t="s">
        <v>2688</v>
      </c>
      <c r="E733" t="s">
        <v>2689</v>
      </c>
      <c r="F733" t="s">
        <v>2690</v>
      </c>
      <c r="G733" s="1">
        <v>45068</v>
      </c>
      <c r="H733" s="1">
        <v>73050</v>
      </c>
      <c r="I733" s="1" t="e">
        <v>#N/A</v>
      </c>
      <c r="J733" s="2" t="s">
        <v>2656</v>
      </c>
      <c r="K733" t="s">
        <v>2691</v>
      </c>
      <c r="M733" s="16" t="s">
        <v>8475</v>
      </c>
      <c r="N733" s="16" t="str">
        <f>VLOOKUP(M733,Tab_Zast[[Zastávka]:[Sloupec1]],2,0)</f>
        <v>108</v>
      </c>
      <c r="O733" t="s">
        <v>2692</v>
      </c>
      <c r="P733">
        <v>1</v>
      </c>
      <c r="Q733">
        <v>0</v>
      </c>
      <c r="R733" t="s">
        <v>129</v>
      </c>
      <c r="S733" t="s">
        <v>31</v>
      </c>
      <c r="T733" t="s">
        <v>32</v>
      </c>
      <c r="V733" s="1" t="e">
        <v>#N/A</v>
      </c>
      <c r="W733" t="s">
        <v>47</v>
      </c>
      <c r="X733">
        <v>1</v>
      </c>
      <c r="Y733">
        <v>0</v>
      </c>
      <c r="AA733" t="str">
        <f t="shared" si="22"/>
        <v>update zamestnanci set nastup='108' where id='623';</v>
      </c>
      <c r="AB733" t="str">
        <f t="shared" si="23"/>
        <v>update dochazka set zastavka = '108' where zamestnanec = '623';</v>
      </c>
    </row>
    <row r="734" spans="1:28" x14ac:dyDescent="0.25">
      <c r="A734" s="2">
        <v>638</v>
      </c>
      <c r="B734" t="s">
        <v>2760</v>
      </c>
      <c r="D734" t="s">
        <v>2761</v>
      </c>
      <c r="E734" t="s">
        <v>164</v>
      </c>
      <c r="F734" t="s">
        <v>215</v>
      </c>
      <c r="G734" s="1">
        <v>45215</v>
      </c>
      <c r="H734" s="1">
        <v>45252</v>
      </c>
      <c r="I734" s="1" t="e">
        <v>#N/A</v>
      </c>
      <c r="J734" s="2" t="s">
        <v>2656</v>
      </c>
      <c r="K734" t="s">
        <v>2762</v>
      </c>
      <c r="M734" s="16" t="s">
        <v>8475</v>
      </c>
      <c r="N734" s="16" t="str">
        <f>VLOOKUP(M734,Tab_Zast[[Zastávka]:[Sloupec1]],2,0)</f>
        <v>108</v>
      </c>
      <c r="O734" t="s">
        <v>2763</v>
      </c>
      <c r="P734">
        <v>1</v>
      </c>
      <c r="Q734">
        <v>0</v>
      </c>
      <c r="R734" t="s">
        <v>31</v>
      </c>
      <c r="S734" t="s">
        <v>31</v>
      </c>
      <c r="T734" t="s">
        <v>32</v>
      </c>
      <c r="V734" s="1" t="e">
        <v>#N/A</v>
      </c>
      <c r="W734" t="s">
        <v>47</v>
      </c>
      <c r="X734">
        <v>0</v>
      </c>
      <c r="Y734">
        <v>0</v>
      </c>
      <c r="Z734" t="s">
        <v>54</v>
      </c>
      <c r="AA734" t="str">
        <f t="shared" si="22"/>
        <v>update zamestnanci set nastup='108' where id='638';</v>
      </c>
      <c r="AB734" t="str">
        <f t="shared" si="23"/>
        <v>update dochazka set zastavka = '108' where zamestnanec = '638';</v>
      </c>
    </row>
    <row r="735" spans="1:28" x14ac:dyDescent="0.25">
      <c r="A735" s="2">
        <v>651</v>
      </c>
      <c r="B735" t="s">
        <v>2827</v>
      </c>
      <c r="D735" t="s">
        <v>2828</v>
      </c>
      <c r="E735" t="s">
        <v>1402</v>
      </c>
      <c r="F735" t="s">
        <v>2829</v>
      </c>
      <c r="G735" s="1">
        <v>45216</v>
      </c>
      <c r="H735" s="1">
        <v>45272</v>
      </c>
      <c r="I735" s="1" t="e">
        <v>#N/A</v>
      </c>
      <c r="J735" s="2" t="s">
        <v>8481</v>
      </c>
      <c r="K735" t="s">
        <v>2830</v>
      </c>
      <c r="M735" s="16" t="s">
        <v>8482</v>
      </c>
      <c r="N735" s="16" t="str">
        <f>VLOOKUP(M735,Tab_Zast[[Zastávka]:[Sloupec1]],2,0)</f>
        <v>82</v>
      </c>
      <c r="O735" t="s">
        <v>2831</v>
      </c>
      <c r="P735">
        <v>3</v>
      </c>
      <c r="Q735">
        <v>0</v>
      </c>
      <c r="R735" t="s">
        <v>31</v>
      </c>
      <c r="S735" t="s">
        <v>31</v>
      </c>
      <c r="T735" t="s">
        <v>32</v>
      </c>
      <c r="V735" s="1" t="e">
        <v>#N/A</v>
      </c>
      <c r="W735" t="s">
        <v>493</v>
      </c>
      <c r="X735">
        <v>0</v>
      </c>
      <c r="Y735">
        <v>0</v>
      </c>
      <c r="Z735" t="s">
        <v>54</v>
      </c>
      <c r="AA735" t="str">
        <f t="shared" si="22"/>
        <v>update zamestnanci set nastup='82' where id='651';</v>
      </c>
      <c r="AB735" t="str">
        <f t="shared" si="23"/>
        <v>update dochazka set zastavka = '82' where zamestnanec = '651';</v>
      </c>
    </row>
    <row r="736" spans="1:28" x14ac:dyDescent="0.25">
      <c r="A736" s="2">
        <v>656</v>
      </c>
      <c r="B736" t="s">
        <v>2853</v>
      </c>
      <c r="D736" t="s">
        <v>2854</v>
      </c>
      <c r="E736" t="s">
        <v>2855</v>
      </c>
      <c r="F736" t="s">
        <v>285</v>
      </c>
      <c r="G736" s="1">
        <v>45222</v>
      </c>
      <c r="H736" s="1">
        <v>45334</v>
      </c>
      <c r="I736" s="1">
        <v>73050</v>
      </c>
      <c r="J736" s="2" t="s">
        <v>8356</v>
      </c>
      <c r="K736" t="s">
        <v>2856</v>
      </c>
      <c r="M736" s="16" t="s">
        <v>8357</v>
      </c>
      <c r="N736" s="16" t="str">
        <f>VLOOKUP(M736,Tab_Zast[[Zastávka]:[Sloupec1]],2,0)</f>
        <v>39</v>
      </c>
      <c r="O736" t="s">
        <v>2857</v>
      </c>
      <c r="P736">
        <v>1</v>
      </c>
      <c r="Q736">
        <v>0</v>
      </c>
      <c r="R736" t="s">
        <v>31</v>
      </c>
      <c r="S736" t="s">
        <v>31</v>
      </c>
      <c r="T736" t="s">
        <v>32</v>
      </c>
      <c r="V736" s="1" t="e">
        <v>#N/A</v>
      </c>
      <c r="W736" t="s">
        <v>47</v>
      </c>
      <c r="X736">
        <v>0</v>
      </c>
      <c r="Y736">
        <v>0</v>
      </c>
      <c r="AA736" t="str">
        <f t="shared" si="22"/>
        <v>update zamestnanci set nastup='39' where id='656';</v>
      </c>
      <c r="AB736" t="str">
        <f t="shared" si="23"/>
        <v>update dochazka set zastavka = '39' where zamestnanec = '656';</v>
      </c>
    </row>
    <row r="737" spans="1:28" x14ac:dyDescent="0.25">
      <c r="A737" s="2">
        <v>658</v>
      </c>
      <c r="B737" t="s">
        <v>2863</v>
      </c>
      <c r="D737" t="s">
        <v>2864</v>
      </c>
      <c r="E737" t="s">
        <v>2865</v>
      </c>
      <c r="F737" t="s">
        <v>2772</v>
      </c>
      <c r="G737" s="1">
        <v>45222</v>
      </c>
      <c r="H737" s="1">
        <v>45299</v>
      </c>
      <c r="I737" s="1" t="e">
        <v>#N/A</v>
      </c>
      <c r="J737" s="2" t="s">
        <v>2656</v>
      </c>
      <c r="K737" t="s">
        <v>2866</v>
      </c>
      <c r="M737" s="16" t="s">
        <v>8475</v>
      </c>
      <c r="N737" s="16" t="str">
        <f>VLOOKUP(M737,Tab_Zast[[Zastávka]:[Sloupec1]],2,0)</f>
        <v>108</v>
      </c>
      <c r="O737" t="s">
        <v>2867</v>
      </c>
      <c r="P737">
        <v>1</v>
      </c>
      <c r="Q737">
        <v>0</v>
      </c>
      <c r="R737" t="s">
        <v>31</v>
      </c>
      <c r="S737" t="s">
        <v>31</v>
      </c>
      <c r="T737" t="s">
        <v>32</v>
      </c>
      <c r="V737" s="1" t="e">
        <v>#N/A</v>
      </c>
      <c r="W737" t="s">
        <v>47</v>
      </c>
      <c r="X737">
        <v>0</v>
      </c>
      <c r="Y737">
        <v>0</v>
      </c>
      <c r="AA737" t="str">
        <f t="shared" si="22"/>
        <v>update zamestnanci set nastup='108' where id='658';</v>
      </c>
      <c r="AB737" t="str">
        <f t="shared" si="23"/>
        <v>update dochazka set zastavka = '108' where zamestnanec = '658';</v>
      </c>
    </row>
    <row r="738" spans="1:28" x14ac:dyDescent="0.25">
      <c r="A738" s="2">
        <v>681</v>
      </c>
      <c r="B738" t="s">
        <v>2989</v>
      </c>
      <c r="D738" t="s">
        <v>2990</v>
      </c>
      <c r="E738" t="s">
        <v>643</v>
      </c>
      <c r="F738" t="s">
        <v>2991</v>
      </c>
      <c r="G738" s="1">
        <v>45236</v>
      </c>
      <c r="H738" s="1">
        <v>45251</v>
      </c>
      <c r="I738" s="1" t="e">
        <v>#N/A</v>
      </c>
      <c r="J738" s="2" t="s">
        <v>8481</v>
      </c>
      <c r="K738" t="s">
        <v>2992</v>
      </c>
      <c r="M738" s="16" t="s">
        <v>8482</v>
      </c>
      <c r="N738" s="16" t="str">
        <f>VLOOKUP(M738,Tab_Zast[[Zastávka]:[Sloupec1]],2,0)</f>
        <v>82</v>
      </c>
      <c r="O738" t="s">
        <v>2993</v>
      </c>
      <c r="P738">
        <v>3</v>
      </c>
      <c r="Q738">
        <v>0</v>
      </c>
      <c r="R738" t="s">
        <v>31</v>
      </c>
      <c r="S738" t="s">
        <v>31</v>
      </c>
      <c r="T738" t="s">
        <v>32</v>
      </c>
      <c r="V738" s="1" t="e">
        <v>#N/A</v>
      </c>
      <c r="W738" t="s">
        <v>493</v>
      </c>
      <c r="X738">
        <v>0</v>
      </c>
      <c r="Y738">
        <v>0</v>
      </c>
      <c r="Z738" t="s">
        <v>40</v>
      </c>
      <c r="AA738" t="str">
        <f t="shared" si="22"/>
        <v>update zamestnanci set nastup='82' where id='681';</v>
      </c>
      <c r="AB738" t="str">
        <f t="shared" si="23"/>
        <v>update dochazka set zastavka = '82' where zamestnanec = '681';</v>
      </c>
    </row>
    <row r="739" spans="1:28" x14ac:dyDescent="0.25">
      <c r="A739" s="2">
        <v>786</v>
      </c>
      <c r="B739" t="s">
        <v>3516</v>
      </c>
      <c r="D739" t="s">
        <v>1981</v>
      </c>
      <c r="E739" t="s">
        <v>3373</v>
      </c>
      <c r="F739" t="s">
        <v>3517</v>
      </c>
      <c r="G739" s="1">
        <v>45335</v>
      </c>
      <c r="H739" s="1">
        <v>45414</v>
      </c>
      <c r="I739" s="1">
        <v>73050</v>
      </c>
      <c r="J739" s="2" t="s">
        <v>8481</v>
      </c>
      <c r="K739" t="s">
        <v>3518</v>
      </c>
      <c r="M739" s="16" t="s">
        <v>8482</v>
      </c>
      <c r="N739" s="16" t="str">
        <f>VLOOKUP(M739,Tab_Zast[[Zastávka]:[Sloupec1]],2,0)</f>
        <v>82</v>
      </c>
      <c r="O739" t="s">
        <v>3519</v>
      </c>
      <c r="P739">
        <v>3</v>
      </c>
      <c r="Q739">
        <v>0</v>
      </c>
      <c r="R739" t="s">
        <v>31</v>
      </c>
      <c r="S739" t="s">
        <v>31</v>
      </c>
      <c r="T739" t="s">
        <v>32</v>
      </c>
      <c r="V739" s="1" t="e">
        <v>#N/A</v>
      </c>
      <c r="W739" t="s">
        <v>493</v>
      </c>
      <c r="X739">
        <v>0</v>
      </c>
      <c r="Y739">
        <v>0</v>
      </c>
      <c r="Z739" t="s">
        <v>54</v>
      </c>
      <c r="AA739" t="str">
        <f t="shared" si="22"/>
        <v>update zamestnanci set nastup='82' where id='786';</v>
      </c>
      <c r="AB739" t="str">
        <f t="shared" si="23"/>
        <v>update dochazka set zastavka = '82' where zamestnanec = '786';</v>
      </c>
    </row>
    <row r="740" spans="1:28" x14ac:dyDescent="0.25">
      <c r="A740" s="2">
        <v>791</v>
      </c>
      <c r="B740" t="s">
        <v>3543</v>
      </c>
      <c r="C740" t="s">
        <v>3544</v>
      </c>
      <c r="D740" t="s">
        <v>213</v>
      </c>
      <c r="E740" t="s">
        <v>671</v>
      </c>
      <c r="F740" t="s">
        <v>3545</v>
      </c>
      <c r="G740" s="1">
        <v>45329</v>
      </c>
      <c r="H740" s="1">
        <v>45539</v>
      </c>
      <c r="I740" s="1">
        <v>73050</v>
      </c>
      <c r="J740" s="2" t="s">
        <v>8481</v>
      </c>
      <c r="K740" t="s">
        <v>3546</v>
      </c>
      <c r="M740" s="16" t="s">
        <v>8482</v>
      </c>
      <c r="N740" s="16" t="str">
        <f>VLOOKUP(M740,Tab_Zast[[Zastávka]:[Sloupec1]],2,0)</f>
        <v>82</v>
      </c>
      <c r="O740" t="s">
        <v>3547</v>
      </c>
      <c r="P740">
        <v>3</v>
      </c>
      <c r="Q740">
        <v>0</v>
      </c>
      <c r="R740" t="s">
        <v>31</v>
      </c>
      <c r="S740" t="s">
        <v>31</v>
      </c>
      <c r="T740" t="s">
        <v>32</v>
      </c>
      <c r="V740" s="1" t="e">
        <v>#N/A</v>
      </c>
      <c r="W740" t="s">
        <v>493</v>
      </c>
      <c r="X740">
        <v>0</v>
      </c>
      <c r="Y740">
        <v>0</v>
      </c>
      <c r="AA740" t="str">
        <f t="shared" si="22"/>
        <v>update zamestnanci set nastup='82' where id='791';</v>
      </c>
      <c r="AB740" t="str">
        <f t="shared" si="23"/>
        <v>update dochazka set zastavka = '82' where zamestnanec = '791';</v>
      </c>
    </row>
    <row r="741" spans="1:28" x14ac:dyDescent="0.25">
      <c r="A741" s="2">
        <v>821</v>
      </c>
      <c r="B741" t="s">
        <v>3690</v>
      </c>
      <c r="D741" t="s">
        <v>3691</v>
      </c>
      <c r="E741" t="s">
        <v>3539</v>
      </c>
      <c r="F741" t="s">
        <v>3692</v>
      </c>
      <c r="G741" s="1">
        <v>45343</v>
      </c>
      <c r="H741" s="1">
        <v>45351</v>
      </c>
      <c r="I741" s="1">
        <v>73050</v>
      </c>
      <c r="J741" s="2" t="s">
        <v>8481</v>
      </c>
      <c r="K741" t="s">
        <v>3693</v>
      </c>
      <c r="M741" s="16" t="s">
        <v>8482</v>
      </c>
      <c r="N741" s="16" t="str">
        <f>VLOOKUP(M741,Tab_Zast[[Zastávka]:[Sloupec1]],2,0)</f>
        <v>82</v>
      </c>
      <c r="O741" t="s">
        <v>3694</v>
      </c>
      <c r="P741">
        <v>3</v>
      </c>
      <c r="Q741">
        <v>0</v>
      </c>
      <c r="R741" t="s">
        <v>31</v>
      </c>
      <c r="S741" t="s">
        <v>31</v>
      </c>
      <c r="T741" t="s">
        <v>32</v>
      </c>
      <c r="V741" s="1" t="e">
        <v>#N/A</v>
      </c>
      <c r="W741" t="s">
        <v>493</v>
      </c>
      <c r="X741">
        <v>0</v>
      </c>
      <c r="Y741">
        <v>0</v>
      </c>
      <c r="AA741" t="str">
        <f t="shared" si="22"/>
        <v>update zamestnanci set nastup='82' where id='821';</v>
      </c>
      <c r="AB741" t="str">
        <f t="shared" si="23"/>
        <v>update dochazka set zastavka = '82' where zamestnanec = '821';</v>
      </c>
    </row>
    <row r="742" spans="1:28" x14ac:dyDescent="0.25">
      <c r="A742" s="2">
        <v>844</v>
      </c>
      <c r="B742" t="s">
        <v>3818</v>
      </c>
      <c r="D742" t="s">
        <v>3819</v>
      </c>
      <c r="E742" t="s">
        <v>3820</v>
      </c>
      <c r="F742" t="s">
        <v>3821</v>
      </c>
      <c r="G742" s="1">
        <v>45358</v>
      </c>
      <c r="H742" s="1">
        <v>45412</v>
      </c>
      <c r="I742" s="1">
        <v>73050</v>
      </c>
      <c r="J742" s="2" t="s">
        <v>2656</v>
      </c>
      <c r="K742" t="s">
        <v>3822</v>
      </c>
      <c r="M742" s="16" t="s">
        <v>8475</v>
      </c>
      <c r="N742" s="16" t="str">
        <f>VLOOKUP(M742,Tab_Zast[[Zastávka]:[Sloupec1]],2,0)</f>
        <v>108</v>
      </c>
      <c r="O742" t="s">
        <v>3823</v>
      </c>
      <c r="P742">
        <v>1</v>
      </c>
      <c r="Q742">
        <v>0</v>
      </c>
      <c r="R742" t="s">
        <v>31</v>
      </c>
      <c r="S742" t="s">
        <v>31</v>
      </c>
      <c r="T742" t="s">
        <v>32</v>
      </c>
      <c r="V742" s="1" t="e">
        <v>#N/A</v>
      </c>
      <c r="W742" t="s">
        <v>2381</v>
      </c>
      <c r="X742">
        <v>0</v>
      </c>
      <c r="Y742">
        <v>0</v>
      </c>
      <c r="AA742" t="str">
        <f t="shared" si="22"/>
        <v>update zamestnanci set nastup='108' where id='844';</v>
      </c>
      <c r="AB742" t="str">
        <f t="shared" si="23"/>
        <v>update dochazka set zastavka = '108' where zamestnanec = '844';</v>
      </c>
    </row>
    <row r="743" spans="1:28" x14ac:dyDescent="0.25">
      <c r="A743" s="2">
        <v>984</v>
      </c>
      <c r="B743" t="s">
        <v>4453</v>
      </c>
      <c r="C743" t="s">
        <v>1394</v>
      </c>
      <c r="D743" t="s">
        <v>4345</v>
      </c>
      <c r="E743" t="s">
        <v>3533</v>
      </c>
      <c r="F743" t="s">
        <v>245</v>
      </c>
      <c r="G743" s="1">
        <v>45447</v>
      </c>
      <c r="H743" s="1">
        <v>45483</v>
      </c>
      <c r="I743" s="1">
        <v>73050</v>
      </c>
      <c r="J743" s="2" t="s">
        <v>8356</v>
      </c>
      <c r="K743" t="s">
        <v>4454</v>
      </c>
      <c r="M743" s="16" t="s">
        <v>8357</v>
      </c>
      <c r="N743" s="16" t="str">
        <f>VLOOKUP(M743,Tab_Zast[[Zastávka]:[Sloupec1]],2,0)</f>
        <v>39</v>
      </c>
      <c r="O743" t="s">
        <v>4347</v>
      </c>
      <c r="P743">
        <v>1</v>
      </c>
      <c r="Q743">
        <v>0</v>
      </c>
      <c r="R743" t="s">
        <v>31</v>
      </c>
      <c r="S743" t="s">
        <v>31</v>
      </c>
      <c r="T743" t="s">
        <v>32</v>
      </c>
      <c r="V743" s="1" t="e">
        <v>#N/A</v>
      </c>
      <c r="W743" t="s">
        <v>47</v>
      </c>
      <c r="X743">
        <v>0</v>
      </c>
      <c r="Y743">
        <v>369</v>
      </c>
      <c r="AA743" t="str">
        <f t="shared" si="22"/>
        <v>update zamestnanci set nastup='39' where id='984';</v>
      </c>
      <c r="AB743" t="str">
        <f t="shared" si="23"/>
        <v>update dochazka set zastavka = '39' where zamestnanec = '984';</v>
      </c>
    </row>
    <row r="744" spans="1:28" x14ac:dyDescent="0.25">
      <c r="A744" s="2">
        <v>991</v>
      </c>
      <c r="B744" t="s">
        <v>1394</v>
      </c>
      <c r="C744" t="s">
        <v>1394</v>
      </c>
      <c r="D744" t="s">
        <v>4482</v>
      </c>
      <c r="E744" t="s">
        <v>701</v>
      </c>
      <c r="F744" t="s">
        <v>67</v>
      </c>
      <c r="G744" s="1">
        <v>45453</v>
      </c>
      <c r="H744" s="1">
        <v>45453</v>
      </c>
      <c r="I744" s="1">
        <v>45453</v>
      </c>
      <c r="J744" s="2" t="s">
        <v>8481</v>
      </c>
      <c r="K744" t="s">
        <v>4483</v>
      </c>
      <c r="M744" s="16" t="s">
        <v>8482</v>
      </c>
      <c r="N744" s="16" t="str">
        <f>VLOOKUP(M744,Tab_Zast[[Zastávka]:[Sloupec1]],2,0)</f>
        <v>82</v>
      </c>
      <c r="O744" t="s">
        <v>4484</v>
      </c>
      <c r="P744">
        <v>3</v>
      </c>
      <c r="Q744">
        <v>0</v>
      </c>
      <c r="R744" t="s">
        <v>129</v>
      </c>
      <c r="S744" t="s">
        <v>130</v>
      </c>
      <c r="T744" t="s">
        <v>32</v>
      </c>
      <c r="V744" s="1" t="e">
        <v>#N/A</v>
      </c>
      <c r="W744" t="s">
        <v>3091</v>
      </c>
      <c r="X744">
        <v>0</v>
      </c>
      <c r="Y744">
        <v>382</v>
      </c>
      <c r="AA744" t="str">
        <f t="shared" si="22"/>
        <v>update zamestnanci set nastup='82' where id='991';</v>
      </c>
      <c r="AB744" t="str">
        <f t="shared" si="23"/>
        <v>update dochazka set zastavka = '82' where zamestnanec = '991';</v>
      </c>
    </row>
    <row r="745" spans="1:28" x14ac:dyDescent="0.25">
      <c r="A745" s="2">
        <v>1013</v>
      </c>
      <c r="B745" t="s">
        <v>4560</v>
      </c>
      <c r="C745" t="s">
        <v>64</v>
      </c>
      <c r="D745" t="s">
        <v>1724</v>
      </c>
      <c r="E745" t="s">
        <v>3373</v>
      </c>
      <c r="F745" t="s">
        <v>64</v>
      </c>
      <c r="G745" s="1">
        <v>45460</v>
      </c>
      <c r="H745" s="1">
        <v>45460</v>
      </c>
      <c r="I745" s="1">
        <v>45460</v>
      </c>
      <c r="J745" s="2" t="s">
        <v>8356</v>
      </c>
      <c r="K745" t="s">
        <v>4199</v>
      </c>
      <c r="M745" s="16" t="s">
        <v>8357</v>
      </c>
      <c r="N745" s="16" t="str">
        <f>VLOOKUP(M745,Tab_Zast[[Zastávka]:[Sloupec1]],2,0)</f>
        <v>39</v>
      </c>
      <c r="O745" t="s">
        <v>4561</v>
      </c>
      <c r="P745">
        <v>1</v>
      </c>
      <c r="Q745">
        <v>0</v>
      </c>
      <c r="R745" t="s">
        <v>31</v>
      </c>
      <c r="S745" t="s">
        <v>31</v>
      </c>
      <c r="T745" t="s">
        <v>32</v>
      </c>
      <c r="V745" s="1" t="e">
        <v>#N/A</v>
      </c>
      <c r="W745" t="s">
        <v>47</v>
      </c>
      <c r="X745">
        <v>0</v>
      </c>
      <c r="Y745">
        <v>402</v>
      </c>
      <c r="AA745" t="str">
        <f t="shared" si="22"/>
        <v>update zamestnanci set nastup='39' where id='1013';</v>
      </c>
      <c r="AB745" t="str">
        <f t="shared" si="23"/>
        <v>update dochazka set zastavka = '39' where zamestnanec = '1013';</v>
      </c>
    </row>
    <row r="746" spans="1:28" x14ac:dyDescent="0.25">
      <c r="A746" s="2">
        <v>1043</v>
      </c>
      <c r="B746" t="s">
        <v>4694</v>
      </c>
      <c r="C746" t="s">
        <v>1394</v>
      </c>
      <c r="D746" t="s">
        <v>4435</v>
      </c>
      <c r="E746" t="s">
        <v>3373</v>
      </c>
      <c r="F746" t="s">
        <v>4695</v>
      </c>
      <c r="G746" s="1">
        <v>45468</v>
      </c>
      <c r="H746" s="1">
        <v>45535</v>
      </c>
      <c r="I746" s="1">
        <v>73050</v>
      </c>
      <c r="J746" s="2" t="s">
        <v>8481</v>
      </c>
      <c r="K746" t="s">
        <v>4696</v>
      </c>
      <c r="M746" s="16" t="s">
        <v>8482</v>
      </c>
      <c r="N746" s="16" t="str">
        <f>VLOOKUP(M746,Tab_Zast[[Zastávka]:[Sloupec1]],2,0)</f>
        <v>82</v>
      </c>
      <c r="O746" t="s">
        <v>4697</v>
      </c>
      <c r="P746">
        <v>3</v>
      </c>
      <c r="Q746">
        <v>0</v>
      </c>
      <c r="R746" t="s">
        <v>31</v>
      </c>
      <c r="S746" t="s">
        <v>31</v>
      </c>
      <c r="T746" t="s">
        <v>32</v>
      </c>
      <c r="V746" s="1" t="e">
        <v>#N/A</v>
      </c>
      <c r="W746" t="s">
        <v>3091</v>
      </c>
      <c r="X746">
        <v>0</v>
      </c>
      <c r="Y746">
        <v>431</v>
      </c>
      <c r="AA746" t="str">
        <f t="shared" si="22"/>
        <v>update zamestnanci set nastup='82' where id='1043';</v>
      </c>
      <c r="AB746" t="str">
        <f t="shared" si="23"/>
        <v>update dochazka set zastavka = '82' where zamestnanec = '1043';</v>
      </c>
    </row>
    <row r="747" spans="1:28" x14ac:dyDescent="0.25">
      <c r="A747" s="2">
        <v>1069</v>
      </c>
      <c r="B747" t="s">
        <v>4812</v>
      </c>
      <c r="C747" t="s">
        <v>1394</v>
      </c>
      <c r="D747" t="s">
        <v>4813</v>
      </c>
      <c r="E747" t="s">
        <v>2096</v>
      </c>
      <c r="F747" t="s">
        <v>4814</v>
      </c>
      <c r="G747" s="1">
        <v>45481</v>
      </c>
      <c r="H747" s="1">
        <v>45495</v>
      </c>
      <c r="I747" s="1">
        <v>73050</v>
      </c>
      <c r="J747" s="2" t="s">
        <v>8481</v>
      </c>
      <c r="K747" t="s">
        <v>4815</v>
      </c>
      <c r="M747" s="16" t="s">
        <v>8482</v>
      </c>
      <c r="N747" s="16" t="str">
        <f>VLOOKUP(M747,Tab_Zast[[Zastávka]:[Sloupec1]],2,0)</f>
        <v>82</v>
      </c>
      <c r="O747" t="s">
        <v>4816</v>
      </c>
      <c r="P747">
        <v>3</v>
      </c>
      <c r="Q747">
        <v>0</v>
      </c>
      <c r="R747" t="s">
        <v>31</v>
      </c>
      <c r="S747" t="s">
        <v>31</v>
      </c>
      <c r="T747" t="s">
        <v>32</v>
      </c>
      <c r="V747" s="1">
        <v>45495</v>
      </c>
      <c r="W747" t="s">
        <v>3091</v>
      </c>
      <c r="X747">
        <v>0</v>
      </c>
      <c r="Y747">
        <v>450</v>
      </c>
      <c r="AA747" t="str">
        <f t="shared" si="22"/>
        <v>update zamestnanci set nastup='82' where id='1069';</v>
      </c>
      <c r="AB747" t="str">
        <f t="shared" si="23"/>
        <v>update dochazka set zastavka = '82' where zamestnanec = '1069';</v>
      </c>
    </row>
    <row r="748" spans="1:28" x14ac:dyDescent="0.25">
      <c r="A748" s="2">
        <v>1108</v>
      </c>
      <c r="B748" t="s">
        <v>4972</v>
      </c>
      <c r="C748" t="s">
        <v>151</v>
      </c>
      <c r="D748" t="s">
        <v>4973</v>
      </c>
      <c r="E748" t="s">
        <v>182</v>
      </c>
      <c r="F748" t="s">
        <v>4974</v>
      </c>
      <c r="G748" s="1">
        <v>45502</v>
      </c>
      <c r="H748" s="1">
        <v>45516</v>
      </c>
      <c r="I748" s="1">
        <v>73050</v>
      </c>
      <c r="J748" s="2" t="s">
        <v>2656</v>
      </c>
      <c r="K748" t="s">
        <v>4975</v>
      </c>
      <c r="M748" s="16" t="s">
        <v>8475</v>
      </c>
      <c r="N748" s="16" t="str">
        <f>VLOOKUP(M748,Tab_Zast[[Zastávka]:[Sloupec1]],2,0)</f>
        <v>108</v>
      </c>
      <c r="O748" t="s">
        <v>4976</v>
      </c>
      <c r="P748">
        <v>1</v>
      </c>
      <c r="Q748">
        <v>0</v>
      </c>
      <c r="R748" t="s">
        <v>31</v>
      </c>
      <c r="S748" t="s">
        <v>31</v>
      </c>
      <c r="T748" t="s">
        <v>32</v>
      </c>
      <c r="V748" s="1">
        <v>45504</v>
      </c>
      <c r="W748" t="s">
        <v>47</v>
      </c>
      <c r="X748">
        <v>0</v>
      </c>
      <c r="Y748">
        <v>497</v>
      </c>
      <c r="AA748" t="str">
        <f t="shared" si="22"/>
        <v>update zamestnanci set nastup='108' where id='1108';</v>
      </c>
      <c r="AB748" t="str">
        <f t="shared" si="23"/>
        <v>update dochazka set zastavka = '108' where zamestnanec = '1108';</v>
      </c>
    </row>
    <row r="749" spans="1:28" x14ac:dyDescent="0.25">
      <c r="A749" s="2">
        <v>1132</v>
      </c>
      <c r="B749" t="s">
        <v>5069</v>
      </c>
      <c r="C749" t="s">
        <v>151</v>
      </c>
      <c r="D749" t="s">
        <v>5070</v>
      </c>
      <c r="E749" t="s">
        <v>2705</v>
      </c>
      <c r="F749" t="s">
        <v>67</v>
      </c>
      <c r="G749" s="1">
        <v>45516</v>
      </c>
      <c r="H749" s="1">
        <v>45516</v>
      </c>
      <c r="I749" s="1">
        <v>45516</v>
      </c>
      <c r="J749" s="2" t="s">
        <v>2656</v>
      </c>
      <c r="K749" t="s">
        <v>5071</v>
      </c>
      <c r="M749" s="16" t="s">
        <v>8475</v>
      </c>
      <c r="N749" s="16" t="str">
        <f>VLOOKUP(M749,Tab_Zast[[Zastávka]:[Sloupec1]],2,0)</f>
        <v>108</v>
      </c>
      <c r="O749" t="s">
        <v>5072</v>
      </c>
      <c r="P749">
        <v>1</v>
      </c>
      <c r="Q749">
        <v>0</v>
      </c>
      <c r="R749" t="s">
        <v>31</v>
      </c>
      <c r="S749" t="s">
        <v>31</v>
      </c>
      <c r="T749" t="s">
        <v>32</v>
      </c>
      <c r="V749" s="1" t="e">
        <v>#N/A</v>
      </c>
      <c r="W749" t="s">
        <v>47</v>
      </c>
      <c r="X749">
        <v>0</v>
      </c>
      <c r="Y749">
        <v>520</v>
      </c>
      <c r="AA749" t="str">
        <f t="shared" si="22"/>
        <v>update zamestnanci set nastup='108' where id='1132';</v>
      </c>
      <c r="AB749" t="str">
        <f t="shared" si="23"/>
        <v>update dochazka set zastavka = '108' where zamestnanec = '1132';</v>
      </c>
    </row>
    <row r="750" spans="1:28" x14ac:dyDescent="0.25">
      <c r="A750" s="2">
        <v>1133</v>
      </c>
      <c r="B750" t="s">
        <v>5073</v>
      </c>
      <c r="C750" t="s">
        <v>151</v>
      </c>
      <c r="D750" t="s">
        <v>5074</v>
      </c>
      <c r="E750" t="s">
        <v>4305</v>
      </c>
      <c r="F750" t="s">
        <v>357</v>
      </c>
      <c r="G750" s="1">
        <v>45516</v>
      </c>
      <c r="H750" s="1">
        <v>45754</v>
      </c>
      <c r="I750" s="1">
        <v>73050</v>
      </c>
      <c r="J750" s="2" t="s">
        <v>8356</v>
      </c>
      <c r="K750" t="s">
        <v>5075</v>
      </c>
      <c r="M750" s="16" t="s">
        <v>8357</v>
      </c>
      <c r="N750" s="16" t="str">
        <f>VLOOKUP(M750,Tab_Zast[[Zastávka]:[Sloupec1]],2,0)</f>
        <v>39</v>
      </c>
      <c r="O750" t="s">
        <v>5076</v>
      </c>
      <c r="P750">
        <v>1</v>
      </c>
      <c r="Q750">
        <v>0</v>
      </c>
      <c r="R750" t="s">
        <v>31</v>
      </c>
      <c r="S750" t="s">
        <v>31</v>
      </c>
      <c r="T750" t="s">
        <v>32</v>
      </c>
      <c r="V750" s="1">
        <v>45749</v>
      </c>
      <c r="W750" t="s">
        <v>47</v>
      </c>
      <c r="X750">
        <v>0</v>
      </c>
      <c r="Y750">
        <v>522</v>
      </c>
      <c r="AA750" t="str">
        <f t="shared" si="22"/>
        <v>update zamestnanci set nastup='39' where id='1133';</v>
      </c>
      <c r="AB750" t="str">
        <f t="shared" si="23"/>
        <v>update dochazka set zastavka = '39' where zamestnanec = '1133';</v>
      </c>
    </row>
    <row r="751" spans="1:28" x14ac:dyDescent="0.25">
      <c r="A751" s="2">
        <v>1159</v>
      </c>
      <c r="B751" t="s">
        <v>5174</v>
      </c>
      <c r="C751" t="s">
        <v>64</v>
      </c>
      <c r="D751" t="s">
        <v>295</v>
      </c>
      <c r="E751" t="s">
        <v>593</v>
      </c>
      <c r="F751" t="s">
        <v>4911</v>
      </c>
      <c r="G751" s="1">
        <v>45523</v>
      </c>
      <c r="H751" s="1">
        <v>73050</v>
      </c>
      <c r="I751" s="1" t="e">
        <v>#N/A</v>
      </c>
      <c r="J751" s="2" t="s">
        <v>2656</v>
      </c>
      <c r="K751" t="s">
        <v>5175</v>
      </c>
      <c r="M751" s="16" t="s">
        <v>8475</v>
      </c>
      <c r="N751" s="16" t="str">
        <f>VLOOKUP(M751,Tab_Zast[[Zastávka]:[Sloupec1]],2,0)</f>
        <v>108</v>
      </c>
      <c r="O751" t="s">
        <v>5176</v>
      </c>
      <c r="P751">
        <v>1</v>
      </c>
      <c r="Q751">
        <v>0</v>
      </c>
      <c r="R751" t="s">
        <v>179</v>
      </c>
      <c r="S751" t="s">
        <v>31</v>
      </c>
      <c r="T751" t="s">
        <v>32</v>
      </c>
      <c r="V751" s="1" t="e">
        <v>#N/A</v>
      </c>
      <c r="W751" t="s">
        <v>47</v>
      </c>
      <c r="X751">
        <v>1</v>
      </c>
      <c r="Y751">
        <v>548</v>
      </c>
      <c r="AA751" t="str">
        <f t="shared" si="22"/>
        <v>update zamestnanci set nastup='108' where id='1159';</v>
      </c>
      <c r="AB751" t="str">
        <f t="shared" si="23"/>
        <v>update dochazka set zastavka = '108' where zamestnanec = '1159';</v>
      </c>
    </row>
    <row r="752" spans="1:28" x14ac:dyDescent="0.25">
      <c r="A752" s="2">
        <v>1160</v>
      </c>
      <c r="B752" t="s">
        <v>5177</v>
      </c>
      <c r="C752" t="s">
        <v>64</v>
      </c>
      <c r="D752" t="s">
        <v>5178</v>
      </c>
      <c r="E752" t="s">
        <v>923</v>
      </c>
      <c r="F752" t="s">
        <v>5179</v>
      </c>
      <c r="G752" s="1">
        <v>45523</v>
      </c>
      <c r="H752" s="1">
        <v>45569</v>
      </c>
      <c r="I752" s="1">
        <v>73050</v>
      </c>
      <c r="J752" s="2" t="s">
        <v>2656</v>
      </c>
      <c r="K752" t="s">
        <v>5180</v>
      </c>
      <c r="M752" s="16" t="s">
        <v>8475</v>
      </c>
      <c r="N752" s="16" t="str">
        <f>VLOOKUP(M752,Tab_Zast[[Zastávka]:[Sloupec1]],2,0)</f>
        <v>108</v>
      </c>
      <c r="O752" t="s">
        <v>5181</v>
      </c>
      <c r="P752">
        <v>1</v>
      </c>
      <c r="Q752">
        <v>0</v>
      </c>
      <c r="R752" t="s">
        <v>31</v>
      </c>
      <c r="S752" t="s">
        <v>31</v>
      </c>
      <c r="T752" t="s">
        <v>32</v>
      </c>
      <c r="V752" s="1" t="e">
        <v>#N/A</v>
      </c>
      <c r="W752" t="s">
        <v>47</v>
      </c>
      <c r="X752">
        <v>0</v>
      </c>
      <c r="Y752">
        <v>549</v>
      </c>
      <c r="AA752" t="str">
        <f t="shared" si="22"/>
        <v>update zamestnanci set nastup='108' where id='1160';</v>
      </c>
      <c r="AB752" t="str">
        <f t="shared" si="23"/>
        <v>update dochazka set zastavka = '108' where zamestnanec = '1160';</v>
      </c>
    </row>
    <row r="753" spans="1:28" x14ac:dyDescent="0.25">
      <c r="A753" s="2">
        <v>1163</v>
      </c>
      <c r="B753" t="s">
        <v>5192</v>
      </c>
      <c r="C753" t="s">
        <v>1394</v>
      </c>
      <c r="D753" t="s">
        <v>5193</v>
      </c>
      <c r="E753" t="s">
        <v>1744</v>
      </c>
      <c r="F753" t="s">
        <v>151</v>
      </c>
      <c r="G753" s="1">
        <v>45524</v>
      </c>
      <c r="H753" s="1">
        <v>45534</v>
      </c>
      <c r="I753" s="1">
        <v>73050</v>
      </c>
      <c r="J753" s="2" t="s">
        <v>8481</v>
      </c>
      <c r="K753" t="s">
        <v>5194</v>
      </c>
      <c r="M753" s="16" t="s">
        <v>8482</v>
      </c>
      <c r="N753" s="16" t="str">
        <f>VLOOKUP(M753,Tab_Zast[[Zastávka]:[Sloupec1]],2,0)</f>
        <v>82</v>
      </c>
      <c r="O753" t="s">
        <v>5195</v>
      </c>
      <c r="P753">
        <v>3</v>
      </c>
      <c r="Q753">
        <v>0</v>
      </c>
      <c r="R753" t="s">
        <v>31</v>
      </c>
      <c r="S753" t="s">
        <v>31</v>
      </c>
      <c r="T753" t="s">
        <v>32</v>
      </c>
      <c r="V753" s="1" t="e">
        <v>#N/A</v>
      </c>
      <c r="W753" t="s">
        <v>3091</v>
      </c>
      <c r="X753">
        <v>0</v>
      </c>
      <c r="Y753">
        <v>552</v>
      </c>
      <c r="AA753" t="str">
        <f t="shared" si="22"/>
        <v>update zamestnanci set nastup='82' where id='1163';</v>
      </c>
      <c r="AB753" t="str">
        <f t="shared" si="23"/>
        <v>update dochazka set zastavka = '82' where zamestnanec = '1163';</v>
      </c>
    </row>
    <row r="754" spans="1:28" x14ac:dyDescent="0.25">
      <c r="A754" s="2">
        <v>1173</v>
      </c>
      <c r="B754" t="s">
        <v>5230</v>
      </c>
      <c r="C754" t="s">
        <v>1394</v>
      </c>
      <c r="D754" t="s">
        <v>2187</v>
      </c>
      <c r="E754" t="s">
        <v>3373</v>
      </c>
      <c r="F754" t="s">
        <v>5231</v>
      </c>
      <c r="G754" s="1">
        <v>45527</v>
      </c>
      <c r="H754" s="1">
        <v>45539</v>
      </c>
      <c r="I754" s="1">
        <v>73050</v>
      </c>
      <c r="J754" s="2" t="s">
        <v>8481</v>
      </c>
      <c r="K754" t="s">
        <v>5232</v>
      </c>
      <c r="M754" s="16" t="s">
        <v>8482</v>
      </c>
      <c r="N754" s="16" t="str">
        <f>VLOOKUP(M754,Tab_Zast[[Zastávka]:[Sloupec1]],2,0)</f>
        <v>82</v>
      </c>
      <c r="O754" t="s">
        <v>5233</v>
      </c>
      <c r="P754">
        <v>3</v>
      </c>
      <c r="Q754">
        <v>0</v>
      </c>
      <c r="R754" t="s">
        <v>31</v>
      </c>
      <c r="S754" t="s">
        <v>31</v>
      </c>
      <c r="T754" t="s">
        <v>32</v>
      </c>
      <c r="V754" s="1" t="e">
        <v>#N/A</v>
      </c>
      <c r="W754" t="s">
        <v>493</v>
      </c>
      <c r="X754">
        <v>0</v>
      </c>
      <c r="Y754">
        <v>561</v>
      </c>
      <c r="AA754" t="str">
        <f t="shared" si="22"/>
        <v>update zamestnanci set nastup='82' where id='1173';</v>
      </c>
      <c r="AB754" t="str">
        <f t="shared" si="23"/>
        <v>update dochazka set zastavka = '82' where zamestnanec = '1173';</v>
      </c>
    </row>
    <row r="755" spans="1:28" x14ac:dyDescent="0.25">
      <c r="A755" s="2">
        <v>1230</v>
      </c>
      <c r="B755" t="s">
        <v>1394</v>
      </c>
      <c r="C755" t="s">
        <v>1394</v>
      </c>
      <c r="D755" t="s">
        <v>5456</v>
      </c>
      <c r="E755" t="s">
        <v>3931</v>
      </c>
      <c r="F755" t="s">
        <v>64</v>
      </c>
      <c r="G755" s="1">
        <v>45534</v>
      </c>
      <c r="H755" s="1">
        <v>45534</v>
      </c>
      <c r="I755" s="1">
        <v>45534</v>
      </c>
      <c r="J755" s="2" t="s">
        <v>8481</v>
      </c>
      <c r="K755" t="s">
        <v>5457</v>
      </c>
      <c r="M755" s="16" t="s">
        <v>8482</v>
      </c>
      <c r="N755" s="16" t="str">
        <f>VLOOKUP(M755,Tab_Zast[[Zastávka]:[Sloupec1]],2,0)</f>
        <v>82</v>
      </c>
      <c r="O755" t="s">
        <v>5458</v>
      </c>
      <c r="P755">
        <v>3</v>
      </c>
      <c r="Q755">
        <v>0</v>
      </c>
      <c r="R755" t="s">
        <v>31</v>
      </c>
      <c r="S755" t="s">
        <v>130</v>
      </c>
      <c r="T755" t="s">
        <v>32</v>
      </c>
      <c r="V755" s="1" t="e">
        <v>#N/A</v>
      </c>
      <c r="W755" t="s">
        <v>3091</v>
      </c>
      <c r="X755">
        <v>0</v>
      </c>
      <c r="Y755">
        <v>621</v>
      </c>
      <c r="AA755" t="str">
        <f t="shared" si="22"/>
        <v>update zamestnanci set nastup='82' where id='1230';</v>
      </c>
      <c r="AB755" t="str">
        <f t="shared" si="23"/>
        <v>update dochazka set zastavka = '82' where zamestnanec = '1230';</v>
      </c>
    </row>
    <row r="756" spans="1:28" x14ac:dyDescent="0.25">
      <c r="A756" s="2">
        <v>1255</v>
      </c>
      <c r="B756" t="s">
        <v>5555</v>
      </c>
      <c r="C756" t="s">
        <v>151</v>
      </c>
      <c r="D756" t="s">
        <v>5556</v>
      </c>
      <c r="E756" t="s">
        <v>1402</v>
      </c>
      <c r="F756" t="s">
        <v>357</v>
      </c>
      <c r="G756" s="1">
        <v>45558</v>
      </c>
      <c r="H756" s="1">
        <v>45742</v>
      </c>
      <c r="I756" s="1">
        <v>73050</v>
      </c>
      <c r="J756" s="2" t="s">
        <v>2656</v>
      </c>
      <c r="K756" t="s">
        <v>5557</v>
      </c>
      <c r="M756" s="16" t="s">
        <v>8475</v>
      </c>
      <c r="N756" s="16" t="str">
        <f>VLOOKUP(M756,Tab_Zast[[Zastávka]:[Sloupec1]],2,0)</f>
        <v>108</v>
      </c>
      <c r="O756" t="s">
        <v>5558</v>
      </c>
      <c r="P756">
        <v>1</v>
      </c>
      <c r="Q756">
        <v>0</v>
      </c>
      <c r="R756" t="s">
        <v>31</v>
      </c>
      <c r="S756" t="s">
        <v>31</v>
      </c>
      <c r="T756" t="s">
        <v>32</v>
      </c>
      <c r="V756" s="1" t="e">
        <v>#N/A</v>
      </c>
      <c r="W756" t="s">
        <v>47</v>
      </c>
      <c r="X756">
        <v>0</v>
      </c>
      <c r="Y756">
        <v>647</v>
      </c>
      <c r="AA756" t="str">
        <f t="shared" si="22"/>
        <v>update zamestnanci set nastup='108' where id='1255';</v>
      </c>
      <c r="AB756" t="str">
        <f t="shared" si="23"/>
        <v>update dochazka set zastavka = '108' where zamestnanec = '1255';</v>
      </c>
    </row>
    <row r="757" spans="1:28" x14ac:dyDescent="0.25">
      <c r="A757" s="2">
        <v>1273</v>
      </c>
      <c r="B757" t="s">
        <v>5630</v>
      </c>
      <c r="C757" t="s">
        <v>1394</v>
      </c>
      <c r="D757" t="s">
        <v>5631</v>
      </c>
      <c r="E757" t="s">
        <v>574</v>
      </c>
      <c r="F757" t="s">
        <v>67</v>
      </c>
      <c r="G757" s="1">
        <v>45565</v>
      </c>
      <c r="H757" s="1">
        <v>45569</v>
      </c>
      <c r="I757" s="1">
        <v>73050</v>
      </c>
      <c r="J757" s="2" t="s">
        <v>2656</v>
      </c>
      <c r="K757" t="s">
        <v>5632</v>
      </c>
      <c r="M757" s="16" t="s">
        <v>8475</v>
      </c>
      <c r="N757" s="16" t="str">
        <f>VLOOKUP(M757,Tab_Zast[[Zastávka]:[Sloupec1]],2,0)</f>
        <v>108</v>
      </c>
      <c r="O757" t="s">
        <v>5633</v>
      </c>
      <c r="P757">
        <v>1</v>
      </c>
      <c r="Q757">
        <v>0</v>
      </c>
      <c r="R757" t="s">
        <v>31</v>
      </c>
      <c r="S757" t="s">
        <v>31</v>
      </c>
      <c r="T757" t="s">
        <v>32</v>
      </c>
      <c r="V757" s="1" t="e">
        <v>#N/A</v>
      </c>
      <c r="W757" t="s">
        <v>47</v>
      </c>
      <c r="X757">
        <v>0</v>
      </c>
      <c r="Y757">
        <v>663</v>
      </c>
      <c r="AA757" t="str">
        <f t="shared" si="22"/>
        <v>update zamestnanci set nastup='108' where id='1273';</v>
      </c>
      <c r="AB757" t="str">
        <f t="shared" si="23"/>
        <v>update dochazka set zastavka = '108' where zamestnanec = '1273';</v>
      </c>
    </row>
    <row r="758" spans="1:28" x14ac:dyDescent="0.25">
      <c r="A758" s="2">
        <v>1395</v>
      </c>
      <c r="B758" t="s">
        <v>6113</v>
      </c>
      <c r="C758" t="s">
        <v>64</v>
      </c>
      <c r="D758" t="s">
        <v>1710</v>
      </c>
      <c r="E758" t="s">
        <v>3204</v>
      </c>
      <c r="F758" t="s">
        <v>1394</v>
      </c>
      <c r="G758" s="1">
        <v>45621</v>
      </c>
      <c r="H758" s="1">
        <v>45720</v>
      </c>
      <c r="I758" s="1">
        <v>73050</v>
      </c>
      <c r="J758" s="2" t="s">
        <v>8356</v>
      </c>
      <c r="K758" t="s">
        <v>6114</v>
      </c>
      <c r="M758" s="16" t="s">
        <v>8357</v>
      </c>
      <c r="N758" s="16" t="str">
        <f>VLOOKUP(M758,Tab_Zast[[Zastávka]:[Sloupec1]],2,0)</f>
        <v>39</v>
      </c>
      <c r="O758" t="s">
        <v>6115</v>
      </c>
      <c r="P758">
        <v>1</v>
      </c>
      <c r="Q758">
        <v>0</v>
      </c>
      <c r="R758" t="s">
        <v>31</v>
      </c>
      <c r="S758" t="s">
        <v>31</v>
      </c>
      <c r="T758" t="s">
        <v>32</v>
      </c>
      <c r="V758" s="1" t="e">
        <v>#N/A</v>
      </c>
      <c r="W758" t="s">
        <v>47</v>
      </c>
      <c r="X758">
        <v>0</v>
      </c>
      <c r="Y758">
        <v>784</v>
      </c>
      <c r="AA758" t="str">
        <f t="shared" si="22"/>
        <v>update zamestnanci set nastup='39' where id='1395';</v>
      </c>
      <c r="AB758" t="str">
        <f t="shared" si="23"/>
        <v>update dochazka set zastavka = '39' where zamestnanec = '1395';</v>
      </c>
    </row>
    <row r="759" spans="1:28" x14ac:dyDescent="0.25">
      <c r="A759" s="2">
        <v>1397</v>
      </c>
      <c r="B759" t="s">
        <v>6120</v>
      </c>
      <c r="C759" t="s">
        <v>64</v>
      </c>
      <c r="D759" t="s">
        <v>6121</v>
      </c>
      <c r="E759" t="s">
        <v>761</v>
      </c>
      <c r="F759" t="s">
        <v>64</v>
      </c>
      <c r="G759" s="1">
        <v>45623</v>
      </c>
      <c r="H759" s="1">
        <v>45623</v>
      </c>
      <c r="I759" s="1">
        <v>45623</v>
      </c>
      <c r="J759" s="2" t="s">
        <v>8356</v>
      </c>
      <c r="K759" t="s">
        <v>6122</v>
      </c>
      <c r="M759" s="16" t="s">
        <v>8357</v>
      </c>
      <c r="N759" s="16" t="str">
        <f>VLOOKUP(M759,Tab_Zast[[Zastávka]:[Sloupec1]],2,0)</f>
        <v>39</v>
      </c>
      <c r="O759" t="s">
        <v>6123</v>
      </c>
      <c r="P759">
        <v>1</v>
      </c>
      <c r="Q759">
        <v>0</v>
      </c>
      <c r="R759" t="s">
        <v>31</v>
      </c>
      <c r="S759" t="s">
        <v>31</v>
      </c>
      <c r="T759" t="s">
        <v>32</v>
      </c>
      <c r="V759" s="1" t="e">
        <v>#N/A</v>
      </c>
      <c r="W759" t="s">
        <v>47</v>
      </c>
      <c r="X759">
        <v>0</v>
      </c>
      <c r="Y759">
        <v>786</v>
      </c>
      <c r="AA759" t="str">
        <f t="shared" si="22"/>
        <v>update zamestnanci set nastup='39' where id='1397';</v>
      </c>
      <c r="AB759" t="str">
        <f t="shared" si="23"/>
        <v>update dochazka set zastavka = '39' where zamestnanec = '1397';</v>
      </c>
    </row>
    <row r="760" spans="1:28" x14ac:dyDescent="0.25">
      <c r="A760" s="2">
        <v>1560</v>
      </c>
      <c r="B760" t="s">
        <v>6732</v>
      </c>
      <c r="C760" t="s">
        <v>357</v>
      </c>
      <c r="D760" t="s">
        <v>6733</v>
      </c>
      <c r="E760" t="s">
        <v>3152</v>
      </c>
      <c r="F760" t="s">
        <v>569</v>
      </c>
      <c r="G760" s="1">
        <v>45750</v>
      </c>
      <c r="H760" s="1">
        <v>45840</v>
      </c>
      <c r="I760" s="1">
        <v>73050</v>
      </c>
      <c r="J760" s="2" t="s">
        <v>8356</v>
      </c>
      <c r="K760" t="s">
        <v>6734</v>
      </c>
      <c r="M760" s="16" t="s">
        <v>8357</v>
      </c>
      <c r="N760" s="16" t="str">
        <f>VLOOKUP(M760,Tab_Zast[[Zastávka]:[Sloupec1]],2,0)</f>
        <v>39</v>
      </c>
      <c r="O760" t="s">
        <v>6735</v>
      </c>
      <c r="P760">
        <v>1</v>
      </c>
      <c r="Q760">
        <v>0</v>
      </c>
      <c r="R760" t="s">
        <v>31</v>
      </c>
      <c r="S760" t="s">
        <v>31</v>
      </c>
      <c r="T760" t="s">
        <v>32</v>
      </c>
      <c r="V760" s="1" t="e">
        <v>#N/A</v>
      </c>
      <c r="W760" t="s">
        <v>47</v>
      </c>
      <c r="X760">
        <v>0</v>
      </c>
      <c r="Y760">
        <v>952</v>
      </c>
      <c r="AA760" t="str">
        <f t="shared" si="22"/>
        <v>update zamestnanci set nastup='39' where id='1560';</v>
      </c>
      <c r="AB760" t="str">
        <f t="shared" si="23"/>
        <v>update dochazka set zastavka = '39' where zamestnanec = '1560';</v>
      </c>
    </row>
    <row r="761" spans="1:28" x14ac:dyDescent="0.25">
      <c r="A761" s="2">
        <v>1618</v>
      </c>
      <c r="B761" t="s">
        <v>6932</v>
      </c>
      <c r="C761" t="s">
        <v>569</v>
      </c>
      <c r="D761" t="s">
        <v>6952</v>
      </c>
      <c r="E761" t="s">
        <v>6953</v>
      </c>
      <c r="F761" t="s">
        <v>569</v>
      </c>
      <c r="G761" s="1">
        <v>45782</v>
      </c>
      <c r="H761" s="1">
        <v>45800</v>
      </c>
      <c r="I761" s="1">
        <v>73050</v>
      </c>
      <c r="J761" s="2" t="s">
        <v>2656</v>
      </c>
      <c r="K761" t="s">
        <v>6954</v>
      </c>
      <c r="M761" s="16" t="s">
        <v>8475</v>
      </c>
      <c r="N761" s="16" t="str">
        <f>VLOOKUP(M761,Tab_Zast[[Zastávka]:[Sloupec1]],2,0)</f>
        <v>108</v>
      </c>
      <c r="O761" t="s">
        <v>6955</v>
      </c>
      <c r="P761">
        <v>1</v>
      </c>
      <c r="Q761">
        <v>0</v>
      </c>
      <c r="R761" t="s">
        <v>129</v>
      </c>
      <c r="S761" t="s">
        <v>31</v>
      </c>
      <c r="T761" t="s">
        <v>32</v>
      </c>
      <c r="V761" s="1" t="e">
        <v>#N/A</v>
      </c>
      <c r="W761" t="s">
        <v>47</v>
      </c>
      <c r="X761">
        <v>0</v>
      </c>
      <c r="Y761">
        <v>1011</v>
      </c>
      <c r="AA761" t="str">
        <f t="shared" si="22"/>
        <v>update zamestnanci set nastup='108' where id='1618';</v>
      </c>
      <c r="AB761" t="str">
        <f t="shared" si="23"/>
        <v>update dochazka set zastavka = '108' where zamestnanec = '1618';</v>
      </c>
    </row>
    <row r="762" spans="1:28" x14ac:dyDescent="0.25">
      <c r="A762" s="2">
        <v>1629</v>
      </c>
      <c r="B762" t="s">
        <v>6990</v>
      </c>
      <c r="C762" t="s">
        <v>875</v>
      </c>
      <c r="D762" t="s">
        <v>6121</v>
      </c>
      <c r="E762" t="s">
        <v>761</v>
      </c>
      <c r="F762" t="s">
        <v>569</v>
      </c>
      <c r="G762" s="1">
        <v>45789</v>
      </c>
      <c r="H762" s="1">
        <v>45930</v>
      </c>
      <c r="I762" s="1">
        <v>73050</v>
      </c>
      <c r="J762" s="2" t="s">
        <v>8356</v>
      </c>
      <c r="K762" t="s">
        <v>6122</v>
      </c>
      <c r="M762" s="16" t="s">
        <v>8357</v>
      </c>
      <c r="N762" s="16" t="str">
        <f>VLOOKUP(M762,Tab_Zast[[Zastávka]:[Sloupec1]],2,0)</f>
        <v>39</v>
      </c>
      <c r="O762" t="s">
        <v>6991</v>
      </c>
      <c r="P762">
        <v>1</v>
      </c>
      <c r="Q762">
        <v>0</v>
      </c>
      <c r="R762" t="s">
        <v>31</v>
      </c>
      <c r="S762" t="s">
        <v>31</v>
      </c>
      <c r="T762" t="s">
        <v>32</v>
      </c>
      <c r="V762" s="1" t="e">
        <v>#N/A</v>
      </c>
      <c r="W762" t="s">
        <v>47</v>
      </c>
      <c r="X762">
        <v>0</v>
      </c>
      <c r="Y762">
        <v>1019</v>
      </c>
      <c r="AA762" t="str">
        <f t="shared" si="22"/>
        <v>update zamestnanci set nastup='39' where id='1629';</v>
      </c>
      <c r="AB762" t="str">
        <f t="shared" si="23"/>
        <v>update dochazka set zastavka = '39' where zamestnanec = '1629';</v>
      </c>
    </row>
    <row r="763" spans="1:28" x14ac:dyDescent="0.25">
      <c r="A763" s="2">
        <v>1633</v>
      </c>
      <c r="B763" t="s">
        <v>7006</v>
      </c>
      <c r="C763" t="s">
        <v>569</v>
      </c>
      <c r="D763" t="s">
        <v>5074</v>
      </c>
      <c r="E763" t="s">
        <v>4305</v>
      </c>
      <c r="F763" t="s">
        <v>1394</v>
      </c>
      <c r="G763" s="1">
        <v>45789</v>
      </c>
      <c r="H763" s="1">
        <v>45819</v>
      </c>
      <c r="I763" s="1">
        <v>73050</v>
      </c>
      <c r="J763" s="2" t="s">
        <v>8356</v>
      </c>
      <c r="K763" t="s">
        <v>7007</v>
      </c>
      <c r="M763" s="16" t="s">
        <v>8357</v>
      </c>
      <c r="N763" s="16" t="str">
        <f>VLOOKUP(M763,Tab_Zast[[Zastávka]:[Sloupec1]],2,0)</f>
        <v>39</v>
      </c>
      <c r="O763" t="s">
        <v>5076</v>
      </c>
      <c r="P763">
        <v>1</v>
      </c>
      <c r="Q763">
        <v>0</v>
      </c>
      <c r="R763" t="s">
        <v>31</v>
      </c>
      <c r="S763" t="s">
        <v>31</v>
      </c>
      <c r="T763" t="s">
        <v>32</v>
      </c>
      <c r="V763" s="1">
        <v>45810</v>
      </c>
      <c r="W763" t="s">
        <v>47</v>
      </c>
      <c r="X763">
        <v>0</v>
      </c>
      <c r="Y763">
        <v>1023</v>
      </c>
      <c r="AA763" t="str">
        <f t="shared" si="22"/>
        <v>update zamestnanci set nastup='39' where id='1633';</v>
      </c>
      <c r="AB763" t="str">
        <f t="shared" si="23"/>
        <v>update dochazka set zastavka = '39' where zamestnanec = '1633';</v>
      </c>
    </row>
    <row r="764" spans="1:28" x14ac:dyDescent="0.25">
      <c r="A764" s="2">
        <v>1683</v>
      </c>
      <c r="B764" t="s">
        <v>64</v>
      </c>
      <c r="C764" t="s">
        <v>64</v>
      </c>
      <c r="D764" t="s">
        <v>6050</v>
      </c>
      <c r="E764" t="s">
        <v>2646</v>
      </c>
      <c r="F764" t="s">
        <v>7172</v>
      </c>
      <c r="G764" s="1">
        <v>45824</v>
      </c>
      <c r="H764" s="1">
        <v>45855</v>
      </c>
      <c r="I764" s="1">
        <v>73050</v>
      </c>
      <c r="J764" s="2" t="s">
        <v>8481</v>
      </c>
      <c r="K764" t="s">
        <v>7173</v>
      </c>
      <c r="M764" s="16" t="s">
        <v>8482</v>
      </c>
      <c r="N764" s="16" t="str">
        <f>VLOOKUP(M764,Tab_Zast[[Zastávka]:[Sloupec1]],2,0)</f>
        <v>82</v>
      </c>
      <c r="O764" t="s">
        <v>7174</v>
      </c>
      <c r="P764">
        <v>8</v>
      </c>
      <c r="Q764">
        <v>0</v>
      </c>
      <c r="R764" t="s">
        <v>129</v>
      </c>
      <c r="S764" t="s">
        <v>179</v>
      </c>
      <c r="T764" t="s">
        <v>32</v>
      </c>
      <c r="V764" s="1" t="e">
        <v>#N/A</v>
      </c>
      <c r="W764" t="s">
        <v>3023</v>
      </c>
      <c r="X764">
        <v>0</v>
      </c>
      <c r="Y764">
        <v>1075</v>
      </c>
      <c r="AA764" t="str">
        <f t="shared" si="22"/>
        <v>update zamestnanci set nastup='82' where id='1683';</v>
      </c>
      <c r="AB764" t="str">
        <f t="shared" si="23"/>
        <v>update dochazka set zastavka = '82' where zamestnanec = '1683';</v>
      </c>
    </row>
    <row r="765" spans="1:28" x14ac:dyDescent="0.25">
      <c r="A765" s="2">
        <v>1813</v>
      </c>
      <c r="B765" t="s">
        <v>7653</v>
      </c>
      <c r="C765" t="s">
        <v>569</v>
      </c>
      <c r="D765" t="s">
        <v>7654</v>
      </c>
      <c r="E765" t="s">
        <v>1509</v>
      </c>
      <c r="F765" t="s">
        <v>569</v>
      </c>
      <c r="G765" s="1">
        <v>45901</v>
      </c>
      <c r="H765" s="1">
        <v>45901</v>
      </c>
      <c r="I765" s="1">
        <v>73050</v>
      </c>
      <c r="J765" s="2" t="s">
        <v>2656</v>
      </c>
      <c r="K765" t="s">
        <v>7655</v>
      </c>
      <c r="M765" s="16" t="s">
        <v>8475</v>
      </c>
      <c r="N765" s="16" t="str">
        <f>VLOOKUP(M765,Tab_Zast[[Zastávka]:[Sloupec1]],2,0)</f>
        <v>108</v>
      </c>
      <c r="O765" t="s">
        <v>7656</v>
      </c>
      <c r="P765">
        <v>1</v>
      </c>
      <c r="Q765">
        <v>0</v>
      </c>
      <c r="R765" t="s">
        <v>31</v>
      </c>
      <c r="S765" t="s">
        <v>31</v>
      </c>
      <c r="T765" t="s">
        <v>32</v>
      </c>
      <c r="V765" s="1" t="e">
        <v>#N/A</v>
      </c>
      <c r="W765" t="s">
        <v>47</v>
      </c>
      <c r="X765">
        <v>0</v>
      </c>
      <c r="Y765">
        <v>1209</v>
      </c>
      <c r="AA765" t="str">
        <f t="shared" si="22"/>
        <v>update zamestnanci set nastup='108' where id='1813';</v>
      </c>
      <c r="AB765" t="str">
        <f t="shared" si="23"/>
        <v>update dochazka set zastavka = '108' where zamestnanec = '1813';</v>
      </c>
    </row>
    <row r="766" spans="1:28" x14ac:dyDescent="0.25">
      <c r="A766" s="2">
        <v>1814</v>
      </c>
      <c r="B766" t="s">
        <v>6936</v>
      </c>
      <c r="C766" t="s">
        <v>569</v>
      </c>
      <c r="D766" t="s">
        <v>7657</v>
      </c>
      <c r="E766" t="s">
        <v>7658</v>
      </c>
      <c r="F766" t="s">
        <v>569</v>
      </c>
      <c r="G766" s="1">
        <v>45901</v>
      </c>
      <c r="H766" s="1">
        <v>45901</v>
      </c>
      <c r="I766" s="1">
        <v>73050</v>
      </c>
      <c r="J766" s="2" t="s">
        <v>2656</v>
      </c>
      <c r="K766" t="s">
        <v>7659</v>
      </c>
      <c r="M766" s="16" t="s">
        <v>8475</v>
      </c>
      <c r="N766" s="16" t="str">
        <f>VLOOKUP(M766,Tab_Zast[[Zastávka]:[Sloupec1]],2,0)</f>
        <v>108</v>
      </c>
      <c r="O766" t="s">
        <v>7660</v>
      </c>
      <c r="P766">
        <v>1</v>
      </c>
      <c r="Q766">
        <v>0</v>
      </c>
      <c r="R766" t="s">
        <v>31</v>
      </c>
      <c r="S766" t="s">
        <v>31</v>
      </c>
      <c r="T766" t="s">
        <v>32</v>
      </c>
      <c r="V766" s="1" t="e">
        <v>#N/A</v>
      </c>
      <c r="W766" t="s">
        <v>47</v>
      </c>
      <c r="X766">
        <v>0</v>
      </c>
      <c r="Y766">
        <v>1210</v>
      </c>
      <c r="AA766" t="str">
        <f t="shared" si="22"/>
        <v>update zamestnanci set nastup='108' where id='1814';</v>
      </c>
      <c r="AB766" t="str">
        <f t="shared" si="23"/>
        <v>update dochazka set zastavka = '108' where zamestnanec = '1814';</v>
      </c>
    </row>
    <row r="767" spans="1:28" x14ac:dyDescent="0.25">
      <c r="A767" s="2">
        <v>1832</v>
      </c>
      <c r="B767" t="s">
        <v>7716</v>
      </c>
      <c r="C767" t="s">
        <v>357</v>
      </c>
      <c r="D767" t="s">
        <v>7717</v>
      </c>
      <c r="E767" t="s">
        <v>3373</v>
      </c>
      <c r="F767" t="s">
        <v>569</v>
      </c>
      <c r="G767" s="1">
        <v>45908</v>
      </c>
      <c r="H767" s="1">
        <v>45930</v>
      </c>
      <c r="I767" s="1">
        <v>73050</v>
      </c>
      <c r="J767" s="2" t="s">
        <v>2656</v>
      </c>
      <c r="K767" t="s">
        <v>7718</v>
      </c>
      <c r="M767" s="16" t="s">
        <v>8475</v>
      </c>
      <c r="N767" s="16" t="str">
        <f>VLOOKUP(M767,Tab_Zast[[Zastávka]:[Sloupec1]],2,0)</f>
        <v>108</v>
      </c>
      <c r="O767" t="s">
        <v>7719</v>
      </c>
      <c r="P767">
        <v>1</v>
      </c>
      <c r="Q767">
        <v>0</v>
      </c>
      <c r="R767" t="s">
        <v>31</v>
      </c>
      <c r="S767" t="s">
        <v>31</v>
      </c>
      <c r="T767" t="s">
        <v>32</v>
      </c>
      <c r="V767" s="1" t="e">
        <v>#N/A</v>
      </c>
      <c r="W767" t="s">
        <v>5988</v>
      </c>
      <c r="X767">
        <v>0</v>
      </c>
      <c r="Y767">
        <v>1227</v>
      </c>
      <c r="AA767" t="str">
        <f t="shared" si="22"/>
        <v>update zamestnanci set nastup='108' where id='1832';</v>
      </c>
      <c r="AB767" t="str">
        <f t="shared" si="23"/>
        <v>update dochazka set zastavka = '108' where zamestnanec = '1832';</v>
      </c>
    </row>
    <row r="768" spans="1:28" x14ac:dyDescent="0.25">
      <c r="A768" s="2">
        <v>1858</v>
      </c>
      <c r="B768" t="s">
        <v>7822</v>
      </c>
      <c r="C768" t="s">
        <v>569</v>
      </c>
      <c r="D768" t="s">
        <v>5556</v>
      </c>
      <c r="E768" t="s">
        <v>1402</v>
      </c>
      <c r="F768" t="s">
        <v>7822</v>
      </c>
      <c r="G768" s="1">
        <v>45929</v>
      </c>
      <c r="H768" s="1" t="e">
        <v>#N/A</v>
      </c>
      <c r="I768" s="1" t="e">
        <v>#N/A</v>
      </c>
      <c r="J768" s="2" t="s">
        <v>2656</v>
      </c>
      <c r="K768" t="s">
        <v>5557</v>
      </c>
      <c r="M768" s="16" t="s">
        <v>8475</v>
      </c>
      <c r="N768" s="16" t="str">
        <f>VLOOKUP(M768,Tab_Zast[[Zastávka]:[Sloupec1]],2,0)</f>
        <v>108</v>
      </c>
      <c r="O768" t="s">
        <v>7823</v>
      </c>
      <c r="P768">
        <v>1</v>
      </c>
      <c r="Q768">
        <v>0</v>
      </c>
      <c r="R768" t="s">
        <v>179</v>
      </c>
      <c r="S768" t="s">
        <v>31</v>
      </c>
      <c r="T768" t="s">
        <v>32</v>
      </c>
      <c r="V768" s="1" t="e">
        <v>#N/A</v>
      </c>
      <c r="W768" t="s">
        <v>47</v>
      </c>
      <c r="X768">
        <v>1</v>
      </c>
      <c r="Y768">
        <v>1254</v>
      </c>
      <c r="AA768" t="str">
        <f t="shared" si="22"/>
        <v>update zamestnanci set nastup='108' where id='1858';</v>
      </c>
      <c r="AB768" t="str">
        <f t="shared" si="23"/>
        <v>update dochazka set zastavka = '108' where zamestnanec = '1858';</v>
      </c>
    </row>
    <row r="769" spans="1:28" x14ac:dyDescent="0.25">
      <c r="A769" s="2">
        <v>1907</v>
      </c>
      <c r="B769" t="s">
        <v>8031</v>
      </c>
      <c r="C769" t="s">
        <v>569</v>
      </c>
      <c r="D769" t="s">
        <v>8032</v>
      </c>
      <c r="E769" t="s">
        <v>5683</v>
      </c>
      <c r="F769" t="s">
        <v>8033</v>
      </c>
      <c r="G769" s="1">
        <v>45971</v>
      </c>
      <c r="H769" s="1" t="e">
        <v>#N/A</v>
      </c>
      <c r="I769" s="1" t="e">
        <v>#N/A</v>
      </c>
      <c r="J769" s="2" t="s">
        <v>8481</v>
      </c>
      <c r="K769" t="s">
        <v>8034</v>
      </c>
      <c r="M769" s="16" t="s">
        <v>8482</v>
      </c>
      <c r="N769" s="16" t="str">
        <f>VLOOKUP(M769,Tab_Zast[[Zastávka]:[Sloupec1]],2,0)</f>
        <v>82</v>
      </c>
      <c r="O769" t="s">
        <v>8035</v>
      </c>
      <c r="P769">
        <v>8</v>
      </c>
      <c r="Q769">
        <v>0</v>
      </c>
      <c r="R769" t="s">
        <v>130</v>
      </c>
      <c r="S769" t="s">
        <v>31</v>
      </c>
      <c r="T769" t="s">
        <v>32</v>
      </c>
      <c r="V769" s="1" t="e">
        <v>#N/A</v>
      </c>
      <c r="W769" t="s">
        <v>493</v>
      </c>
      <c r="X769">
        <v>1</v>
      </c>
      <c r="Y769">
        <v>1303</v>
      </c>
      <c r="AA769" t="str">
        <f t="shared" si="22"/>
        <v>update zamestnanci set nastup='82' where id='1907';</v>
      </c>
      <c r="AB769" t="str">
        <f t="shared" si="23"/>
        <v>update dochazka set zastavka = '82' where zamestnanec = '1907';</v>
      </c>
    </row>
    <row r="770" spans="1:28" x14ac:dyDescent="0.25">
      <c r="A770" s="2">
        <v>1937</v>
      </c>
      <c r="B770" t="s">
        <v>8152</v>
      </c>
      <c r="C770" t="s">
        <v>357</v>
      </c>
      <c r="D770" t="s">
        <v>6121</v>
      </c>
      <c r="E770" t="s">
        <v>761</v>
      </c>
      <c r="F770" t="s">
        <v>8152</v>
      </c>
      <c r="G770" s="1">
        <v>45988</v>
      </c>
      <c r="H770" s="1" t="e">
        <v>#N/A</v>
      </c>
      <c r="I770" s="1" t="e">
        <v>#N/A</v>
      </c>
      <c r="J770" s="2" t="s">
        <v>8356</v>
      </c>
      <c r="K770" t="s">
        <v>6122</v>
      </c>
      <c r="M770" s="16" t="s">
        <v>8357</v>
      </c>
      <c r="N770" s="16" t="str">
        <f>VLOOKUP(M770,Tab_Zast[[Zastávka]:[Sloupec1]],2,0)</f>
        <v>39</v>
      </c>
      <c r="O770" t="s">
        <v>8153</v>
      </c>
      <c r="P770">
        <v>1</v>
      </c>
      <c r="Q770">
        <v>0</v>
      </c>
      <c r="R770" t="s">
        <v>129</v>
      </c>
      <c r="S770" t="s">
        <v>31</v>
      </c>
      <c r="T770" t="s">
        <v>32</v>
      </c>
      <c r="V770" s="1" t="e">
        <v>#N/A</v>
      </c>
      <c r="W770" t="s">
        <v>5988</v>
      </c>
      <c r="X770">
        <v>1</v>
      </c>
      <c r="Y770">
        <v>1352</v>
      </c>
      <c r="AA770" t="str">
        <f t="shared" si="22"/>
        <v>update zamestnanci set nastup='39' where id='1937';</v>
      </c>
      <c r="AB770" t="str">
        <f t="shared" si="23"/>
        <v>update dochazka set zastavka = '39' where zamestnanec = '1937';</v>
      </c>
    </row>
    <row r="771" spans="1:28" x14ac:dyDescent="0.25">
      <c r="A771" s="2">
        <v>1943</v>
      </c>
      <c r="B771" t="s">
        <v>8171</v>
      </c>
      <c r="C771" t="s">
        <v>569</v>
      </c>
      <c r="D771" t="s">
        <v>5178</v>
      </c>
      <c r="E771" t="s">
        <v>7760</v>
      </c>
      <c r="F771" t="s">
        <v>8171</v>
      </c>
      <c r="G771" s="1">
        <v>45992</v>
      </c>
      <c r="H771" s="1" t="e">
        <v>#N/A</v>
      </c>
      <c r="I771" s="1" t="e">
        <v>#N/A</v>
      </c>
      <c r="J771" s="2" t="s">
        <v>2656</v>
      </c>
      <c r="K771" t="s">
        <v>8172</v>
      </c>
      <c r="M771" s="16" t="s">
        <v>8475</v>
      </c>
      <c r="N771" s="16" t="str">
        <f>VLOOKUP(M771,Tab_Zast[[Zastávka]:[Sloupec1]],2,0)</f>
        <v>108</v>
      </c>
      <c r="O771" t="s">
        <v>8173</v>
      </c>
      <c r="P771">
        <v>1</v>
      </c>
      <c r="Q771">
        <v>0</v>
      </c>
      <c r="R771" t="s">
        <v>31</v>
      </c>
      <c r="S771" t="s">
        <v>31</v>
      </c>
      <c r="T771" t="s">
        <v>32</v>
      </c>
      <c r="V771" s="1" t="e">
        <v>#N/A</v>
      </c>
      <c r="W771" t="s">
        <v>47</v>
      </c>
      <c r="X771">
        <v>1</v>
      </c>
      <c r="Y771">
        <v>1359</v>
      </c>
      <c r="AA771" t="str">
        <f t="shared" si="22"/>
        <v>update zamestnanci set nastup='108' where id='1943';</v>
      </c>
      <c r="AB771" t="str">
        <f t="shared" si="23"/>
        <v>update dochazka set zastavka = '108' where zamestnanec = '1943';</v>
      </c>
    </row>
    <row r="772" spans="1:28" x14ac:dyDescent="0.25">
      <c r="A772" s="2">
        <v>1947</v>
      </c>
      <c r="B772" t="s">
        <v>8186</v>
      </c>
      <c r="C772" t="s">
        <v>569</v>
      </c>
      <c r="D772" t="s">
        <v>7408</v>
      </c>
      <c r="E772" t="s">
        <v>2096</v>
      </c>
      <c r="F772" t="s">
        <v>8186</v>
      </c>
      <c r="G772" s="1">
        <v>45992</v>
      </c>
      <c r="H772" s="1">
        <v>46001</v>
      </c>
      <c r="I772" s="1" t="e">
        <v>#N/A</v>
      </c>
      <c r="J772" s="2" t="s">
        <v>2656</v>
      </c>
      <c r="K772" t="s">
        <v>8187</v>
      </c>
      <c r="M772" s="16" t="s">
        <v>8475</v>
      </c>
      <c r="N772" s="16" t="str">
        <f>VLOOKUP(M772,Tab_Zast[[Zastávka]:[Sloupec1]],2,0)</f>
        <v>108</v>
      </c>
      <c r="O772" t="s">
        <v>8188</v>
      </c>
      <c r="P772">
        <v>1</v>
      </c>
      <c r="Q772">
        <v>0</v>
      </c>
      <c r="R772" t="s">
        <v>31</v>
      </c>
      <c r="S772" t="s">
        <v>31</v>
      </c>
      <c r="T772" t="s">
        <v>32</v>
      </c>
      <c r="V772" s="1" t="e">
        <v>#N/A</v>
      </c>
      <c r="W772" t="s">
        <v>5988</v>
      </c>
      <c r="X772">
        <v>0</v>
      </c>
      <c r="Y772">
        <v>1365</v>
      </c>
      <c r="AA772" t="str">
        <f t="shared" ref="AA772:AA835" si="24">IF(J772&lt;&gt;"00","update zamestnanci set nastup='" &amp; J772 &amp; "' where id='" &amp; A772 &amp; "';","")</f>
        <v>update zamestnanci set nastup='108' where id='1947';</v>
      </c>
      <c r="AB772" t="str">
        <f t="shared" ref="AB772:AB835" si="25">IF(J772&lt;&gt;"00","update dochazka set zastavka = '" &amp; J772 &amp; "' where zamestnanec = '" &amp; A772 &amp; "';","")</f>
        <v>update dochazka set zastavka = '108' where zamestnanec = '1947';</v>
      </c>
    </row>
    <row r="773" spans="1:28" x14ac:dyDescent="0.25">
      <c r="A773" s="2">
        <v>122</v>
      </c>
      <c r="B773" t="s">
        <v>753</v>
      </c>
      <c r="D773" t="s">
        <v>754</v>
      </c>
      <c r="E773" t="s">
        <v>755</v>
      </c>
      <c r="F773" t="s">
        <v>756</v>
      </c>
      <c r="G773" s="1">
        <v>45329</v>
      </c>
      <c r="H773" s="1">
        <v>45408</v>
      </c>
      <c r="I773" s="1">
        <v>73050</v>
      </c>
      <c r="J773" s="2" t="s">
        <v>357</v>
      </c>
      <c r="K773" t="s">
        <v>757</v>
      </c>
      <c r="M773" s="16" t="s">
        <v>8551</v>
      </c>
      <c r="N773" s="16" t="str">
        <f>VLOOKUP(M773,Tab_Zast[[Zastávka]:[Sloupec1]],2,0)</f>
        <v>00</v>
      </c>
      <c r="O773" t="s">
        <v>758</v>
      </c>
      <c r="P773">
        <v>3</v>
      </c>
      <c r="Q773">
        <v>0</v>
      </c>
      <c r="R773" t="s">
        <v>31</v>
      </c>
      <c r="S773" t="s">
        <v>31</v>
      </c>
      <c r="T773" t="s">
        <v>32</v>
      </c>
      <c r="V773" s="1" t="e">
        <v>#N/A</v>
      </c>
      <c r="W773" t="s">
        <v>493</v>
      </c>
      <c r="X773">
        <v>0</v>
      </c>
      <c r="Y773">
        <v>0</v>
      </c>
      <c r="Z773" t="s">
        <v>54</v>
      </c>
      <c r="AA773" t="str">
        <f t="shared" si="24"/>
        <v/>
      </c>
      <c r="AB773" t="str">
        <f t="shared" si="25"/>
        <v/>
      </c>
    </row>
    <row r="774" spans="1:28" x14ac:dyDescent="0.25">
      <c r="A774" s="2">
        <v>399</v>
      </c>
      <c r="B774" t="s">
        <v>449</v>
      </c>
      <c r="C774" t="s">
        <v>1307</v>
      </c>
      <c r="D774" t="s">
        <v>1308</v>
      </c>
      <c r="E774" t="s">
        <v>1309</v>
      </c>
      <c r="F774" t="s">
        <v>1310</v>
      </c>
      <c r="G774" s="1">
        <v>44593</v>
      </c>
      <c r="H774" s="1" t="e">
        <v>#N/A</v>
      </c>
      <c r="I774" s="1" t="e">
        <v>#N/A</v>
      </c>
      <c r="J774" s="2" t="s">
        <v>555</v>
      </c>
      <c r="K774" t="s">
        <v>1311</v>
      </c>
      <c r="M774" s="16" t="s">
        <v>8420</v>
      </c>
      <c r="N774" s="16" t="str">
        <f>VLOOKUP(M774,Tab_Zast[[Zastávka]:[Sloupec1]],2,0)</f>
        <v>62</v>
      </c>
      <c r="O774" t="s">
        <v>1312</v>
      </c>
      <c r="P774">
        <v>6</v>
      </c>
      <c r="Q774">
        <v>0</v>
      </c>
      <c r="R774" t="s">
        <v>179</v>
      </c>
      <c r="S774" t="s">
        <v>31</v>
      </c>
      <c r="T774" t="s">
        <v>32</v>
      </c>
      <c r="V774" s="1" t="e">
        <v>#N/A</v>
      </c>
      <c r="W774" t="s">
        <v>1216</v>
      </c>
      <c r="X774">
        <v>1</v>
      </c>
      <c r="Y774">
        <v>0</v>
      </c>
      <c r="AA774" t="str">
        <f t="shared" si="24"/>
        <v>update zamestnanci set nastup='62' where id='399';</v>
      </c>
      <c r="AB774" t="str">
        <f t="shared" si="25"/>
        <v>update dochazka set zastavka = '62' where zamestnanec = '399';</v>
      </c>
    </row>
    <row r="775" spans="1:28" x14ac:dyDescent="0.25">
      <c r="A775" s="2">
        <v>403</v>
      </c>
      <c r="B775" t="s">
        <v>1333</v>
      </c>
      <c r="D775" t="s">
        <v>1334</v>
      </c>
      <c r="E775" t="s">
        <v>1335</v>
      </c>
      <c r="F775" t="s">
        <v>1336</v>
      </c>
      <c r="G775" s="1">
        <v>44650</v>
      </c>
      <c r="H775" s="1">
        <v>45366</v>
      </c>
      <c r="I775" s="1">
        <v>73050</v>
      </c>
      <c r="J775" s="2" t="s">
        <v>555</v>
      </c>
      <c r="K775" t="s">
        <v>1337</v>
      </c>
      <c r="M775" s="16" t="s">
        <v>8420</v>
      </c>
      <c r="N775" s="16" t="str">
        <f>VLOOKUP(M775,Tab_Zast[[Zastávka]:[Sloupec1]],2,0)</f>
        <v>62</v>
      </c>
      <c r="O775" t="s">
        <v>1338</v>
      </c>
      <c r="P775">
        <v>6</v>
      </c>
      <c r="Q775">
        <v>0</v>
      </c>
      <c r="R775" t="s">
        <v>31</v>
      </c>
      <c r="S775" t="s">
        <v>31</v>
      </c>
      <c r="T775" t="s">
        <v>32</v>
      </c>
      <c r="V775" s="1">
        <v>45358</v>
      </c>
      <c r="W775" t="s">
        <v>1216</v>
      </c>
      <c r="X775">
        <v>0</v>
      </c>
      <c r="Y775">
        <v>0</v>
      </c>
      <c r="Z775" t="s">
        <v>54</v>
      </c>
      <c r="AA775" t="str">
        <f t="shared" si="24"/>
        <v>update zamestnanci set nastup='62' where id='403';</v>
      </c>
      <c r="AB775" t="str">
        <f t="shared" si="25"/>
        <v>update dochazka set zastavka = '62' where zamestnanec = '403';</v>
      </c>
    </row>
    <row r="776" spans="1:28" x14ac:dyDescent="0.25">
      <c r="A776" s="2">
        <v>404</v>
      </c>
      <c r="B776" t="s">
        <v>1339</v>
      </c>
      <c r="C776" t="s">
        <v>1340</v>
      </c>
      <c r="D776" t="s">
        <v>1334</v>
      </c>
      <c r="E776" t="s">
        <v>1341</v>
      </c>
      <c r="F776" t="s">
        <v>1342</v>
      </c>
      <c r="G776" s="1">
        <v>45009</v>
      </c>
      <c r="H776" s="1">
        <v>45572</v>
      </c>
      <c r="I776" s="1">
        <v>73050</v>
      </c>
      <c r="J776" s="2" t="s">
        <v>555</v>
      </c>
      <c r="K776" t="s">
        <v>1343</v>
      </c>
      <c r="M776" s="16" t="s">
        <v>8420</v>
      </c>
      <c r="N776" s="16" t="str">
        <f>VLOOKUP(M776,Tab_Zast[[Zastávka]:[Sloupec1]],2,0)</f>
        <v>62</v>
      </c>
      <c r="O776" t="s">
        <v>1344</v>
      </c>
      <c r="P776">
        <v>6</v>
      </c>
      <c r="Q776">
        <v>0</v>
      </c>
      <c r="R776" t="s">
        <v>31</v>
      </c>
      <c r="S776" t="s">
        <v>31</v>
      </c>
      <c r="T776" t="s">
        <v>32</v>
      </c>
      <c r="V776" s="1">
        <v>45572</v>
      </c>
      <c r="W776" t="s">
        <v>1216</v>
      </c>
      <c r="X776">
        <v>0</v>
      </c>
      <c r="Y776">
        <v>0</v>
      </c>
      <c r="AA776" t="str">
        <f t="shared" si="24"/>
        <v>update zamestnanci set nastup='62' where id='404';</v>
      </c>
      <c r="AB776" t="str">
        <f t="shared" si="25"/>
        <v>update dochazka set zastavka = '62' where zamestnanec = '404';</v>
      </c>
    </row>
    <row r="777" spans="1:28" x14ac:dyDescent="0.25">
      <c r="A777" s="2">
        <v>405</v>
      </c>
      <c r="B777" t="s">
        <v>1345</v>
      </c>
      <c r="D777" t="s">
        <v>1346</v>
      </c>
      <c r="E777" t="s">
        <v>1347</v>
      </c>
      <c r="F777" t="s">
        <v>1348</v>
      </c>
      <c r="G777" s="1">
        <v>44781</v>
      </c>
      <c r="H777" s="1">
        <v>45348</v>
      </c>
      <c r="I777" s="1">
        <v>73050</v>
      </c>
      <c r="J777" s="2" t="s">
        <v>555</v>
      </c>
      <c r="K777" t="s">
        <v>1349</v>
      </c>
      <c r="M777" s="16" t="s">
        <v>8420</v>
      </c>
      <c r="N777" s="16" t="str">
        <f>VLOOKUP(M777,Tab_Zast[[Zastávka]:[Sloupec1]],2,0)</f>
        <v>62</v>
      </c>
      <c r="O777" t="s">
        <v>1350</v>
      </c>
      <c r="P777">
        <v>6</v>
      </c>
      <c r="Q777">
        <v>0</v>
      </c>
      <c r="R777" t="s">
        <v>31</v>
      </c>
      <c r="S777" t="s">
        <v>31</v>
      </c>
      <c r="T777" t="s">
        <v>32</v>
      </c>
      <c r="V777" s="1" t="e">
        <v>#N/A</v>
      </c>
      <c r="W777" t="s">
        <v>1216</v>
      </c>
      <c r="X777">
        <v>0</v>
      </c>
      <c r="Y777">
        <v>0</v>
      </c>
      <c r="Z777" t="s">
        <v>54</v>
      </c>
      <c r="AA777" t="str">
        <f t="shared" si="24"/>
        <v>update zamestnanci set nastup='62' where id='405';</v>
      </c>
      <c r="AB777" t="str">
        <f t="shared" si="25"/>
        <v>update dochazka set zastavka = '62' where zamestnanec = '405';</v>
      </c>
    </row>
    <row r="778" spans="1:28" x14ac:dyDescent="0.25">
      <c r="A778" s="2">
        <v>529</v>
      </c>
      <c r="B778" t="s">
        <v>2124</v>
      </c>
      <c r="D778" t="s">
        <v>2125</v>
      </c>
      <c r="E778" t="s">
        <v>1150</v>
      </c>
      <c r="F778" t="s">
        <v>2126</v>
      </c>
      <c r="G778" s="1">
        <v>45041</v>
      </c>
      <c r="H778" s="1">
        <v>45359</v>
      </c>
      <c r="I778" s="1">
        <v>73050</v>
      </c>
      <c r="J778" s="2" t="s">
        <v>555</v>
      </c>
      <c r="K778" t="s">
        <v>2127</v>
      </c>
      <c r="M778" s="16" t="s">
        <v>8420</v>
      </c>
      <c r="N778" s="16" t="str">
        <f>VLOOKUP(M778,Tab_Zast[[Zastávka]:[Sloupec1]],2,0)</f>
        <v>62</v>
      </c>
      <c r="O778" t="s">
        <v>2128</v>
      </c>
      <c r="P778">
        <v>6</v>
      </c>
      <c r="Q778">
        <v>0</v>
      </c>
      <c r="R778" t="s">
        <v>31</v>
      </c>
      <c r="S778" t="s">
        <v>31</v>
      </c>
      <c r="T778" t="s">
        <v>32</v>
      </c>
      <c r="V778" s="1" t="e">
        <v>#N/A</v>
      </c>
      <c r="W778" t="s">
        <v>1216</v>
      </c>
      <c r="X778">
        <v>0</v>
      </c>
      <c r="Y778">
        <v>0</v>
      </c>
      <c r="Z778" t="s">
        <v>54</v>
      </c>
      <c r="AA778" t="str">
        <f t="shared" si="24"/>
        <v>update zamestnanci set nastup='62' where id='529';</v>
      </c>
      <c r="AB778" t="str">
        <f t="shared" si="25"/>
        <v>update dochazka set zastavka = '62' where zamestnanec = '529';</v>
      </c>
    </row>
    <row r="779" spans="1:28" x14ac:dyDescent="0.25">
      <c r="A779" s="2">
        <v>549</v>
      </c>
      <c r="B779" t="s">
        <v>804</v>
      </c>
      <c r="C779" t="s">
        <v>2251</v>
      </c>
      <c r="D779" t="s">
        <v>2252</v>
      </c>
      <c r="E779" t="s">
        <v>2253</v>
      </c>
      <c r="F779" t="s">
        <v>2254</v>
      </c>
      <c r="G779" s="1">
        <v>44593</v>
      </c>
      <c r="H779" s="1">
        <v>73050</v>
      </c>
      <c r="I779" s="1" t="e">
        <v>#N/A</v>
      </c>
      <c r="J779" s="2" t="s">
        <v>555</v>
      </c>
      <c r="K779" t="s">
        <v>2255</v>
      </c>
      <c r="M779" s="16" t="s">
        <v>8420</v>
      </c>
      <c r="N779" s="16" t="str">
        <f>VLOOKUP(M779,Tab_Zast[[Zastávka]:[Sloupec1]],2,0)</f>
        <v>62</v>
      </c>
      <c r="O779" t="s">
        <v>2256</v>
      </c>
      <c r="P779">
        <v>6</v>
      </c>
      <c r="Q779">
        <v>0</v>
      </c>
      <c r="R779" t="s">
        <v>129</v>
      </c>
      <c r="S779" t="s">
        <v>31</v>
      </c>
      <c r="T779" t="s">
        <v>32</v>
      </c>
      <c r="V779" s="1" t="e">
        <v>#N/A</v>
      </c>
      <c r="W779" t="s">
        <v>1216</v>
      </c>
      <c r="X779">
        <v>1</v>
      </c>
      <c r="Y779">
        <v>0</v>
      </c>
      <c r="AA779" t="str">
        <f t="shared" si="24"/>
        <v>update zamestnanci set nastup='62' where id='549';</v>
      </c>
      <c r="AB779" t="str">
        <f t="shared" si="25"/>
        <v>update dochazka set zastavka = '62' where zamestnanec = '549';</v>
      </c>
    </row>
    <row r="780" spans="1:28" x14ac:dyDescent="0.25">
      <c r="A780" s="2">
        <v>593</v>
      </c>
      <c r="B780" t="s">
        <v>2516</v>
      </c>
      <c r="D780" t="s">
        <v>2517</v>
      </c>
      <c r="E780" t="s">
        <v>2518</v>
      </c>
      <c r="F780" t="s">
        <v>2519</v>
      </c>
      <c r="G780" s="1">
        <v>45069</v>
      </c>
      <c r="H780" s="1">
        <v>45275</v>
      </c>
      <c r="I780" s="1" t="e">
        <v>#N/A</v>
      </c>
      <c r="J780" s="2" t="s">
        <v>357</v>
      </c>
      <c r="K780" t="s">
        <v>2520</v>
      </c>
      <c r="M780" s="16" t="s">
        <v>8551</v>
      </c>
      <c r="N780" s="16" t="str">
        <f>VLOOKUP(M780,Tab_Zast[[Zastávka]:[Sloupec1]],2,0)</f>
        <v>00</v>
      </c>
      <c r="O780" t="s">
        <v>2521</v>
      </c>
      <c r="P780">
        <v>3</v>
      </c>
      <c r="Q780">
        <v>0</v>
      </c>
      <c r="R780" t="s">
        <v>31</v>
      </c>
      <c r="S780" t="s">
        <v>31</v>
      </c>
      <c r="T780" t="s">
        <v>32</v>
      </c>
      <c r="V780" s="1" t="e">
        <v>#N/A</v>
      </c>
      <c r="W780" t="s">
        <v>493</v>
      </c>
      <c r="X780">
        <v>0</v>
      </c>
      <c r="Y780">
        <v>0</v>
      </c>
      <c r="Z780" t="s">
        <v>54</v>
      </c>
      <c r="AA780" t="str">
        <f t="shared" si="24"/>
        <v/>
      </c>
      <c r="AB780" t="str">
        <f t="shared" si="25"/>
        <v/>
      </c>
    </row>
    <row r="781" spans="1:28" x14ac:dyDescent="0.25">
      <c r="A781" s="2">
        <v>686</v>
      </c>
      <c r="B781" t="s">
        <v>3017</v>
      </c>
      <c r="D781" t="s">
        <v>3018</v>
      </c>
      <c r="E781" t="s">
        <v>3019</v>
      </c>
      <c r="F781" t="s">
        <v>3020</v>
      </c>
      <c r="G781" s="1">
        <v>45238</v>
      </c>
      <c r="H781" s="1">
        <v>45273</v>
      </c>
      <c r="I781" s="1">
        <v>73050</v>
      </c>
      <c r="J781" s="2" t="s">
        <v>357</v>
      </c>
      <c r="K781" t="s">
        <v>3021</v>
      </c>
      <c r="M781" s="16" t="s">
        <v>8551</v>
      </c>
      <c r="N781" s="16" t="str">
        <f>VLOOKUP(M781,Tab_Zast[[Zastávka]:[Sloupec1]],2,0)</f>
        <v>00</v>
      </c>
      <c r="O781" t="s">
        <v>3022</v>
      </c>
      <c r="P781">
        <v>3</v>
      </c>
      <c r="Q781">
        <v>0</v>
      </c>
      <c r="R781" t="s">
        <v>31</v>
      </c>
      <c r="S781" t="s">
        <v>31</v>
      </c>
      <c r="T781" t="s">
        <v>32</v>
      </c>
      <c r="V781" s="1" t="e">
        <v>#N/A</v>
      </c>
      <c r="W781" t="s">
        <v>3023</v>
      </c>
      <c r="X781">
        <v>0</v>
      </c>
      <c r="Y781">
        <v>0</v>
      </c>
      <c r="Z781" t="s">
        <v>54</v>
      </c>
      <c r="AA781" t="str">
        <f t="shared" si="24"/>
        <v/>
      </c>
      <c r="AB781" t="str">
        <f t="shared" si="25"/>
        <v/>
      </c>
    </row>
    <row r="782" spans="1:28" x14ac:dyDescent="0.25">
      <c r="A782" s="2">
        <v>747</v>
      </c>
      <c r="B782" t="s">
        <v>3324</v>
      </c>
      <c r="D782" t="s">
        <v>3325</v>
      </c>
      <c r="E782" t="s">
        <v>2705</v>
      </c>
      <c r="F782" t="s">
        <v>3326</v>
      </c>
      <c r="G782" s="1">
        <v>45306</v>
      </c>
      <c r="H782" s="1">
        <v>45308</v>
      </c>
      <c r="I782" s="1">
        <v>73050</v>
      </c>
      <c r="J782" s="2" t="s">
        <v>357</v>
      </c>
      <c r="K782" t="s">
        <v>3327</v>
      </c>
      <c r="M782" s="16" t="s">
        <v>8551</v>
      </c>
      <c r="N782" s="16" t="str">
        <f>VLOOKUP(M782,Tab_Zast[[Zastávka]:[Sloupec1]],2,0)</f>
        <v>00</v>
      </c>
      <c r="O782" t="s">
        <v>3328</v>
      </c>
      <c r="P782">
        <v>3</v>
      </c>
      <c r="Q782">
        <v>0</v>
      </c>
      <c r="R782" t="s">
        <v>31</v>
      </c>
      <c r="S782" t="s">
        <v>31</v>
      </c>
      <c r="T782" t="s">
        <v>32</v>
      </c>
      <c r="V782" s="1" t="e">
        <v>#N/A</v>
      </c>
      <c r="W782" t="s">
        <v>493</v>
      </c>
      <c r="X782">
        <v>0</v>
      </c>
      <c r="Y782">
        <v>0</v>
      </c>
      <c r="AA782" t="str">
        <f t="shared" si="24"/>
        <v/>
      </c>
      <c r="AB782" t="str">
        <f t="shared" si="25"/>
        <v/>
      </c>
    </row>
    <row r="783" spans="1:28" x14ac:dyDescent="0.25">
      <c r="A783" s="2">
        <v>751</v>
      </c>
      <c r="B783" t="s">
        <v>3345</v>
      </c>
      <c r="D783" t="s">
        <v>3346</v>
      </c>
      <c r="E783" t="s">
        <v>2628</v>
      </c>
      <c r="F783" t="s">
        <v>67</v>
      </c>
      <c r="G783" s="1">
        <v>45309</v>
      </c>
      <c r="H783" s="1">
        <v>45316</v>
      </c>
      <c r="I783" s="1">
        <v>73050</v>
      </c>
      <c r="J783" s="2" t="s">
        <v>357</v>
      </c>
      <c r="K783" t="s">
        <v>3347</v>
      </c>
      <c r="M783" s="16" t="s">
        <v>8551</v>
      </c>
      <c r="N783" s="16" t="str">
        <f>VLOOKUP(M783,Tab_Zast[[Zastávka]:[Sloupec1]],2,0)</f>
        <v>00</v>
      </c>
      <c r="O783" t="s">
        <v>3348</v>
      </c>
      <c r="P783">
        <v>3</v>
      </c>
      <c r="Q783">
        <v>0</v>
      </c>
      <c r="R783" t="s">
        <v>31</v>
      </c>
      <c r="S783" t="s">
        <v>31</v>
      </c>
      <c r="T783" t="s">
        <v>32</v>
      </c>
      <c r="V783" s="1" t="e">
        <v>#N/A</v>
      </c>
      <c r="W783" t="s">
        <v>493</v>
      </c>
      <c r="X783">
        <v>0</v>
      </c>
      <c r="Y783">
        <v>0</v>
      </c>
      <c r="AA783" t="str">
        <f t="shared" si="24"/>
        <v/>
      </c>
      <c r="AB783" t="str">
        <f t="shared" si="25"/>
        <v/>
      </c>
    </row>
    <row r="784" spans="1:28" x14ac:dyDescent="0.25">
      <c r="A784" s="2">
        <v>759</v>
      </c>
      <c r="B784" t="s">
        <v>3382</v>
      </c>
      <c r="D784" t="s">
        <v>3383</v>
      </c>
      <c r="E784" t="s">
        <v>3384</v>
      </c>
      <c r="F784" t="s">
        <v>3385</v>
      </c>
      <c r="G784" s="1">
        <v>45314</v>
      </c>
      <c r="H784" s="1">
        <v>45401</v>
      </c>
      <c r="I784" s="1">
        <v>73050</v>
      </c>
      <c r="J784" s="2" t="s">
        <v>357</v>
      </c>
      <c r="K784" t="s">
        <v>3386</v>
      </c>
      <c r="M784" s="16" t="s">
        <v>8551</v>
      </c>
      <c r="N784" s="16" t="str">
        <f>VLOOKUP(M784,Tab_Zast[[Zastávka]:[Sloupec1]],2,0)</f>
        <v>00</v>
      </c>
      <c r="O784" t="s">
        <v>3387</v>
      </c>
      <c r="P784">
        <v>3</v>
      </c>
      <c r="Q784">
        <v>0</v>
      </c>
      <c r="R784" t="s">
        <v>31</v>
      </c>
      <c r="S784" t="s">
        <v>31</v>
      </c>
      <c r="T784" t="s">
        <v>32</v>
      </c>
      <c r="V784" s="1" t="e">
        <v>#N/A</v>
      </c>
      <c r="W784" t="s">
        <v>493</v>
      </c>
      <c r="X784">
        <v>0</v>
      </c>
      <c r="Y784">
        <v>0</v>
      </c>
      <c r="Z784" t="s">
        <v>54</v>
      </c>
      <c r="AA784" t="str">
        <f t="shared" si="24"/>
        <v/>
      </c>
      <c r="AB784" t="str">
        <f t="shared" si="25"/>
        <v/>
      </c>
    </row>
    <row r="785" spans="1:28" x14ac:dyDescent="0.25">
      <c r="A785" s="2">
        <v>780</v>
      </c>
      <c r="B785" t="s">
        <v>3490</v>
      </c>
      <c r="D785" t="s">
        <v>243</v>
      </c>
      <c r="E785" t="s">
        <v>2883</v>
      </c>
      <c r="F785" t="s">
        <v>3491</v>
      </c>
      <c r="G785" s="1">
        <v>45327</v>
      </c>
      <c r="H785" s="1">
        <v>45379</v>
      </c>
      <c r="I785" s="1">
        <v>73050</v>
      </c>
      <c r="J785" s="2" t="s">
        <v>555</v>
      </c>
      <c r="K785" t="s">
        <v>3492</v>
      </c>
      <c r="M785" s="16" t="s">
        <v>8420</v>
      </c>
      <c r="N785" s="16" t="str">
        <f>VLOOKUP(M785,Tab_Zast[[Zastávka]:[Sloupec1]],2,0)</f>
        <v>62</v>
      </c>
      <c r="O785" t="s">
        <v>3493</v>
      </c>
      <c r="P785">
        <v>6</v>
      </c>
      <c r="Q785">
        <v>0</v>
      </c>
      <c r="R785" t="s">
        <v>31</v>
      </c>
      <c r="S785" t="s">
        <v>31</v>
      </c>
      <c r="T785" t="s">
        <v>32</v>
      </c>
      <c r="V785" s="1" t="e">
        <v>#N/A</v>
      </c>
      <c r="W785" t="s">
        <v>1216</v>
      </c>
      <c r="X785">
        <v>0</v>
      </c>
      <c r="Y785">
        <v>0</v>
      </c>
      <c r="Z785" t="s">
        <v>54</v>
      </c>
      <c r="AA785" t="str">
        <f t="shared" si="24"/>
        <v>update zamestnanci set nastup='62' where id='780';</v>
      </c>
      <c r="AB785" t="str">
        <f t="shared" si="25"/>
        <v>update dochazka set zastavka = '62' where zamestnanec = '780';</v>
      </c>
    </row>
    <row r="786" spans="1:28" x14ac:dyDescent="0.25">
      <c r="A786" s="2">
        <v>787</v>
      </c>
      <c r="B786" t="s">
        <v>3520</v>
      </c>
      <c r="D786" t="s">
        <v>3521</v>
      </c>
      <c r="E786" t="s">
        <v>3522</v>
      </c>
      <c r="F786" t="s">
        <v>3523</v>
      </c>
      <c r="G786" s="1">
        <v>45335</v>
      </c>
      <c r="H786" s="1">
        <v>45405</v>
      </c>
      <c r="I786" s="1">
        <v>73050</v>
      </c>
      <c r="J786" s="2" t="s">
        <v>357</v>
      </c>
      <c r="K786" t="s">
        <v>3524</v>
      </c>
      <c r="M786" s="16" t="s">
        <v>8551</v>
      </c>
      <c r="N786" s="16" t="str">
        <f>VLOOKUP(M786,Tab_Zast[[Zastávka]:[Sloupec1]],2,0)</f>
        <v>00</v>
      </c>
      <c r="O786" t="s">
        <v>3525</v>
      </c>
      <c r="P786">
        <v>3</v>
      </c>
      <c r="Q786">
        <v>0</v>
      </c>
      <c r="R786" t="s">
        <v>31</v>
      </c>
      <c r="S786" t="s">
        <v>31</v>
      </c>
      <c r="T786" t="s">
        <v>32</v>
      </c>
      <c r="V786" s="1" t="e">
        <v>#N/A</v>
      </c>
      <c r="W786" t="s">
        <v>493</v>
      </c>
      <c r="X786">
        <v>0</v>
      </c>
      <c r="Y786">
        <v>0</v>
      </c>
      <c r="Z786" t="s">
        <v>54</v>
      </c>
      <c r="AA786" t="str">
        <f t="shared" si="24"/>
        <v/>
      </c>
      <c r="AB786" t="str">
        <f t="shared" si="25"/>
        <v/>
      </c>
    </row>
    <row r="787" spans="1:28" x14ac:dyDescent="0.25">
      <c r="A787" s="2">
        <v>789</v>
      </c>
      <c r="B787" t="s">
        <v>3531</v>
      </c>
      <c r="D787" t="s">
        <v>3532</v>
      </c>
      <c r="E787" t="s">
        <v>3533</v>
      </c>
      <c r="F787" t="s">
        <v>3534</v>
      </c>
      <c r="G787" s="1">
        <v>45335</v>
      </c>
      <c r="H787" s="1">
        <v>45344</v>
      </c>
      <c r="I787" s="1">
        <v>73050</v>
      </c>
      <c r="J787" s="2" t="s">
        <v>357</v>
      </c>
      <c r="K787" t="s">
        <v>3535</v>
      </c>
      <c r="M787" s="16" t="s">
        <v>8551</v>
      </c>
      <c r="N787" s="16" t="str">
        <f>VLOOKUP(M787,Tab_Zast[[Zastávka]:[Sloupec1]],2,0)</f>
        <v>00</v>
      </c>
      <c r="O787" t="s">
        <v>3536</v>
      </c>
      <c r="P787">
        <v>3</v>
      </c>
      <c r="Q787">
        <v>0</v>
      </c>
      <c r="R787" t="s">
        <v>31</v>
      </c>
      <c r="S787" t="s">
        <v>31</v>
      </c>
      <c r="T787" t="s">
        <v>32</v>
      </c>
      <c r="V787" s="1" t="e">
        <v>#N/A</v>
      </c>
      <c r="W787" t="s">
        <v>493</v>
      </c>
      <c r="X787">
        <v>0</v>
      </c>
      <c r="Y787">
        <v>0</v>
      </c>
      <c r="AA787" t="str">
        <f t="shared" si="24"/>
        <v/>
      </c>
      <c r="AB787" t="str">
        <f t="shared" si="25"/>
        <v/>
      </c>
    </row>
    <row r="788" spans="1:28" x14ac:dyDescent="0.25">
      <c r="A788" s="2">
        <v>817</v>
      </c>
      <c r="B788" t="s">
        <v>3672</v>
      </c>
      <c r="D788" t="s">
        <v>3673</v>
      </c>
      <c r="E788" t="s">
        <v>2960</v>
      </c>
      <c r="F788" t="s">
        <v>3674</v>
      </c>
      <c r="G788" s="1">
        <v>45343</v>
      </c>
      <c r="H788" s="1">
        <v>45369</v>
      </c>
      <c r="I788" s="1">
        <v>73050</v>
      </c>
      <c r="J788" s="2" t="s">
        <v>357</v>
      </c>
      <c r="K788" t="s">
        <v>3675</v>
      </c>
      <c r="M788" s="16" t="s">
        <v>8551</v>
      </c>
      <c r="N788" s="16" t="str">
        <f>VLOOKUP(M788,Tab_Zast[[Zastávka]:[Sloupec1]],2,0)</f>
        <v>00</v>
      </c>
      <c r="O788" t="s">
        <v>3676</v>
      </c>
      <c r="P788">
        <v>3</v>
      </c>
      <c r="Q788">
        <v>0</v>
      </c>
      <c r="R788" t="s">
        <v>31</v>
      </c>
      <c r="S788" t="s">
        <v>31</v>
      </c>
      <c r="T788" t="s">
        <v>32</v>
      </c>
      <c r="V788" s="1" t="e">
        <v>#N/A</v>
      </c>
      <c r="W788" t="s">
        <v>493</v>
      </c>
      <c r="X788">
        <v>0</v>
      </c>
      <c r="Y788">
        <v>0</v>
      </c>
      <c r="Z788" t="s">
        <v>40</v>
      </c>
      <c r="AA788" t="str">
        <f t="shared" si="24"/>
        <v/>
      </c>
      <c r="AB788" t="str">
        <f t="shared" si="25"/>
        <v/>
      </c>
    </row>
    <row r="789" spans="1:28" x14ac:dyDescent="0.25">
      <c r="A789" s="2">
        <v>818</v>
      </c>
      <c r="B789" t="s">
        <v>3677</v>
      </c>
      <c r="D789" t="s">
        <v>3678</v>
      </c>
      <c r="E789" t="s">
        <v>755</v>
      </c>
      <c r="F789" t="s">
        <v>3679</v>
      </c>
      <c r="G789" s="1">
        <v>45343</v>
      </c>
      <c r="H789" s="1">
        <v>45419</v>
      </c>
      <c r="I789" s="1">
        <v>73050</v>
      </c>
      <c r="J789" s="2" t="s">
        <v>357</v>
      </c>
      <c r="K789" t="s">
        <v>3680</v>
      </c>
      <c r="M789" s="16" t="s">
        <v>8551</v>
      </c>
      <c r="N789" s="16" t="str">
        <f>VLOOKUP(M789,Tab_Zast[[Zastávka]:[Sloupec1]],2,0)</f>
        <v>00</v>
      </c>
      <c r="O789" t="s">
        <v>3676</v>
      </c>
      <c r="P789">
        <v>3</v>
      </c>
      <c r="Q789">
        <v>0</v>
      </c>
      <c r="R789" t="s">
        <v>31</v>
      </c>
      <c r="S789" t="s">
        <v>31</v>
      </c>
      <c r="T789" t="s">
        <v>32</v>
      </c>
      <c r="V789" s="1">
        <v>45384</v>
      </c>
      <c r="W789" t="s">
        <v>493</v>
      </c>
      <c r="X789">
        <v>0</v>
      </c>
      <c r="Y789">
        <v>0</v>
      </c>
      <c r="Z789" t="s">
        <v>40</v>
      </c>
      <c r="AA789" t="str">
        <f t="shared" si="24"/>
        <v/>
      </c>
      <c r="AB789" t="str">
        <f t="shared" si="25"/>
        <v/>
      </c>
    </row>
    <row r="790" spans="1:28" x14ac:dyDescent="0.25">
      <c r="A790" s="2">
        <v>832</v>
      </c>
      <c r="B790" t="s">
        <v>3748</v>
      </c>
      <c r="D790" t="s">
        <v>3749</v>
      </c>
      <c r="E790" t="s">
        <v>2120</v>
      </c>
      <c r="F790" t="s">
        <v>3750</v>
      </c>
      <c r="G790" s="1">
        <v>45351</v>
      </c>
      <c r="H790" s="1">
        <v>45371</v>
      </c>
      <c r="I790" s="1">
        <v>73050</v>
      </c>
      <c r="J790" s="2" t="s">
        <v>555</v>
      </c>
      <c r="K790" t="s">
        <v>3751</v>
      </c>
      <c r="M790" s="16" t="s">
        <v>8420</v>
      </c>
      <c r="N790" s="16" t="str">
        <f>VLOOKUP(M790,Tab_Zast[[Zastávka]:[Sloupec1]],2,0)</f>
        <v>62</v>
      </c>
      <c r="O790" t="s">
        <v>3752</v>
      </c>
      <c r="P790">
        <v>6</v>
      </c>
      <c r="Q790">
        <v>0</v>
      </c>
      <c r="R790" t="s">
        <v>31</v>
      </c>
      <c r="S790" t="s">
        <v>31</v>
      </c>
      <c r="T790" t="s">
        <v>32</v>
      </c>
      <c r="V790" s="1" t="e">
        <v>#N/A</v>
      </c>
      <c r="W790" t="s">
        <v>1216</v>
      </c>
      <c r="X790">
        <v>0</v>
      </c>
      <c r="Y790">
        <v>0</v>
      </c>
      <c r="Z790" t="s">
        <v>54</v>
      </c>
      <c r="AA790" t="str">
        <f t="shared" si="24"/>
        <v>update zamestnanci set nastup='62' where id='832';</v>
      </c>
      <c r="AB790" t="str">
        <f t="shared" si="25"/>
        <v>update dochazka set zastavka = '62' where zamestnanec = '832';</v>
      </c>
    </row>
    <row r="791" spans="1:28" x14ac:dyDescent="0.25">
      <c r="A791" s="2">
        <v>859</v>
      </c>
      <c r="B791" t="s">
        <v>3874</v>
      </c>
      <c r="D791" t="s">
        <v>3875</v>
      </c>
      <c r="E791" t="s">
        <v>3373</v>
      </c>
      <c r="F791" t="s">
        <v>67</v>
      </c>
      <c r="G791" s="1">
        <v>45369</v>
      </c>
      <c r="H791" s="1">
        <v>45369</v>
      </c>
      <c r="I791" s="1">
        <v>45369</v>
      </c>
      <c r="J791" s="2" t="s">
        <v>357</v>
      </c>
      <c r="K791" t="s">
        <v>3876</v>
      </c>
      <c r="M791" s="16" t="s">
        <v>8551</v>
      </c>
      <c r="N791" s="16" t="str">
        <f>VLOOKUP(M791,Tab_Zast[[Zastávka]:[Sloupec1]],2,0)</f>
        <v>00</v>
      </c>
      <c r="O791" t="s">
        <v>3877</v>
      </c>
      <c r="P791">
        <v>3</v>
      </c>
      <c r="Q791">
        <v>0</v>
      </c>
      <c r="R791" t="s">
        <v>31</v>
      </c>
      <c r="S791" t="s">
        <v>31</v>
      </c>
      <c r="T791" t="s">
        <v>32</v>
      </c>
      <c r="V791" s="1" t="e">
        <v>#N/A</v>
      </c>
      <c r="W791" t="s">
        <v>493</v>
      </c>
      <c r="X791">
        <v>0</v>
      </c>
      <c r="Y791">
        <v>179</v>
      </c>
      <c r="AA791" t="str">
        <f t="shared" si="24"/>
        <v/>
      </c>
      <c r="AB791" t="str">
        <f t="shared" si="25"/>
        <v/>
      </c>
    </row>
    <row r="792" spans="1:28" x14ac:dyDescent="0.25">
      <c r="A792" s="2">
        <v>871</v>
      </c>
      <c r="B792" t="s">
        <v>3930</v>
      </c>
      <c r="D792" t="s">
        <v>2761</v>
      </c>
      <c r="E792" t="s">
        <v>3931</v>
      </c>
      <c r="F792" t="s">
        <v>3932</v>
      </c>
      <c r="G792" s="1">
        <v>45376</v>
      </c>
      <c r="H792" s="1">
        <v>45412</v>
      </c>
      <c r="I792" s="1">
        <v>73050</v>
      </c>
      <c r="J792" s="2" t="s">
        <v>357</v>
      </c>
      <c r="K792" t="s">
        <v>3933</v>
      </c>
      <c r="M792" s="16" t="s">
        <v>8551</v>
      </c>
      <c r="N792" s="16" t="str">
        <f>VLOOKUP(M792,Tab_Zast[[Zastávka]:[Sloupec1]],2,0)</f>
        <v>00</v>
      </c>
      <c r="O792" t="s">
        <v>3934</v>
      </c>
      <c r="P792">
        <v>3</v>
      </c>
      <c r="Q792">
        <v>0</v>
      </c>
      <c r="R792" t="s">
        <v>31</v>
      </c>
      <c r="S792" t="s">
        <v>31</v>
      </c>
      <c r="T792" t="s">
        <v>32</v>
      </c>
      <c r="V792" s="1" t="e">
        <v>#N/A</v>
      </c>
      <c r="W792" t="s">
        <v>493</v>
      </c>
      <c r="X792">
        <v>0</v>
      </c>
      <c r="Y792">
        <v>202</v>
      </c>
      <c r="Z792" t="s">
        <v>54</v>
      </c>
      <c r="AA792" t="str">
        <f t="shared" si="24"/>
        <v/>
      </c>
      <c r="AB792" t="str">
        <f t="shared" si="25"/>
        <v/>
      </c>
    </row>
    <row r="793" spans="1:28" x14ac:dyDescent="0.25">
      <c r="A793" s="2">
        <v>881</v>
      </c>
      <c r="B793" t="s">
        <v>3979</v>
      </c>
      <c r="D793" t="s">
        <v>3980</v>
      </c>
      <c r="E793" t="s">
        <v>1947</v>
      </c>
      <c r="F793" t="s">
        <v>67</v>
      </c>
      <c r="G793" s="1">
        <v>45384</v>
      </c>
      <c r="H793" s="1">
        <v>45384</v>
      </c>
      <c r="I793" s="1">
        <v>45384</v>
      </c>
      <c r="J793" s="2" t="s">
        <v>357</v>
      </c>
      <c r="K793" t="s">
        <v>3981</v>
      </c>
      <c r="M793" s="16" t="s">
        <v>8551</v>
      </c>
      <c r="N793" s="16" t="str">
        <f>VLOOKUP(M793,Tab_Zast[[Zastávka]:[Sloupec1]],2,0)</f>
        <v>00</v>
      </c>
      <c r="O793" t="s">
        <v>3982</v>
      </c>
      <c r="P793">
        <v>3</v>
      </c>
      <c r="Q793">
        <v>0</v>
      </c>
      <c r="R793" t="s">
        <v>31</v>
      </c>
      <c r="S793" t="s">
        <v>31</v>
      </c>
      <c r="T793" t="s">
        <v>32</v>
      </c>
      <c r="V793" s="1" t="e">
        <v>#N/A</v>
      </c>
      <c r="W793" t="s">
        <v>493</v>
      </c>
      <c r="X793">
        <v>0</v>
      </c>
      <c r="Y793">
        <v>224</v>
      </c>
      <c r="AA793" t="str">
        <f t="shared" si="24"/>
        <v/>
      </c>
      <c r="AB793" t="str">
        <f t="shared" si="25"/>
        <v/>
      </c>
    </row>
    <row r="794" spans="1:28" x14ac:dyDescent="0.25">
      <c r="A794" s="2">
        <v>892</v>
      </c>
      <c r="B794" t="s">
        <v>4028</v>
      </c>
      <c r="D794" t="s">
        <v>4029</v>
      </c>
      <c r="E794" t="s">
        <v>617</v>
      </c>
      <c r="F794" t="s">
        <v>4030</v>
      </c>
      <c r="G794" s="1">
        <v>45390</v>
      </c>
      <c r="H794" s="1">
        <v>45408</v>
      </c>
      <c r="I794" s="1">
        <v>73050</v>
      </c>
      <c r="J794" s="2" t="s">
        <v>357</v>
      </c>
      <c r="K794" t="s">
        <v>4031</v>
      </c>
      <c r="M794" s="16" t="s">
        <v>8551</v>
      </c>
      <c r="N794" s="16" t="str">
        <f>VLOOKUP(M794,Tab_Zast[[Zastávka]:[Sloupec1]],2,0)</f>
        <v>00</v>
      </c>
      <c r="O794" t="s">
        <v>4032</v>
      </c>
      <c r="P794">
        <v>3</v>
      </c>
      <c r="Q794">
        <v>0</v>
      </c>
      <c r="R794" t="s">
        <v>31</v>
      </c>
      <c r="S794" t="s">
        <v>31</v>
      </c>
      <c r="T794" t="s">
        <v>32</v>
      </c>
      <c r="V794" s="1" t="e">
        <v>#N/A</v>
      </c>
      <c r="W794" t="s">
        <v>493</v>
      </c>
      <c r="X794">
        <v>0</v>
      </c>
      <c r="Y794">
        <v>237</v>
      </c>
      <c r="Z794" t="s">
        <v>54</v>
      </c>
      <c r="AA794" t="str">
        <f t="shared" si="24"/>
        <v/>
      </c>
      <c r="AB794" t="str">
        <f t="shared" si="25"/>
        <v/>
      </c>
    </row>
    <row r="795" spans="1:28" x14ac:dyDescent="0.25">
      <c r="A795" s="2">
        <v>909</v>
      </c>
      <c r="B795" t="s">
        <v>4113</v>
      </c>
      <c r="D795" t="s">
        <v>4114</v>
      </c>
      <c r="E795" t="s">
        <v>1947</v>
      </c>
      <c r="F795" t="s">
        <v>4115</v>
      </c>
      <c r="G795" s="1">
        <v>45397</v>
      </c>
      <c r="H795" s="1">
        <v>45399</v>
      </c>
      <c r="I795" s="1">
        <v>73050</v>
      </c>
      <c r="J795" s="2" t="s">
        <v>357</v>
      </c>
      <c r="K795" t="s">
        <v>4116</v>
      </c>
      <c r="M795" s="16" t="s">
        <v>8551</v>
      </c>
      <c r="N795" s="16" t="str">
        <f>VLOOKUP(M795,Tab_Zast[[Zastávka]:[Sloupec1]],2,0)</f>
        <v>00</v>
      </c>
      <c r="O795" t="s">
        <v>4117</v>
      </c>
      <c r="P795">
        <v>3</v>
      </c>
      <c r="Q795">
        <v>0</v>
      </c>
      <c r="R795" t="s">
        <v>31</v>
      </c>
      <c r="S795" t="s">
        <v>31</v>
      </c>
      <c r="T795" t="s">
        <v>32</v>
      </c>
      <c r="V795" s="1" t="e">
        <v>#N/A</v>
      </c>
      <c r="W795" t="s">
        <v>493</v>
      </c>
      <c r="X795">
        <v>0</v>
      </c>
      <c r="Y795">
        <v>262</v>
      </c>
      <c r="Z795" t="s">
        <v>40</v>
      </c>
      <c r="AA795" t="str">
        <f t="shared" si="24"/>
        <v/>
      </c>
      <c r="AB795" t="str">
        <f t="shared" si="25"/>
        <v/>
      </c>
    </row>
    <row r="796" spans="1:28" x14ac:dyDescent="0.25">
      <c r="A796" s="2">
        <v>922</v>
      </c>
      <c r="B796" t="s">
        <v>4174</v>
      </c>
      <c r="D796" t="s">
        <v>4175</v>
      </c>
      <c r="E796" t="s">
        <v>719</v>
      </c>
      <c r="F796" t="s">
        <v>4176</v>
      </c>
      <c r="G796" s="1">
        <v>45405</v>
      </c>
      <c r="H796" s="1">
        <v>45433</v>
      </c>
      <c r="I796" s="1">
        <v>73050</v>
      </c>
      <c r="J796" s="2" t="s">
        <v>555</v>
      </c>
      <c r="K796" t="s">
        <v>4177</v>
      </c>
      <c r="M796" s="16" t="s">
        <v>8420</v>
      </c>
      <c r="N796" s="16" t="str">
        <f>VLOOKUP(M796,Tab_Zast[[Zastávka]:[Sloupec1]],2,0)</f>
        <v>62</v>
      </c>
      <c r="O796" t="s">
        <v>4178</v>
      </c>
      <c r="P796">
        <v>6</v>
      </c>
      <c r="Q796">
        <v>0</v>
      </c>
      <c r="R796" t="s">
        <v>31</v>
      </c>
      <c r="S796" t="s">
        <v>31</v>
      </c>
      <c r="T796" t="s">
        <v>32</v>
      </c>
      <c r="V796" s="1" t="e">
        <v>#N/A</v>
      </c>
      <c r="W796" t="s">
        <v>1216</v>
      </c>
      <c r="X796">
        <v>0</v>
      </c>
      <c r="Y796">
        <v>288</v>
      </c>
      <c r="AA796" t="str">
        <f t="shared" si="24"/>
        <v>update zamestnanci set nastup='62' where id='922';</v>
      </c>
      <c r="AB796" t="str">
        <f t="shared" si="25"/>
        <v>update dochazka set zastavka = '62' where zamestnanec = '922';</v>
      </c>
    </row>
    <row r="797" spans="1:28" x14ac:dyDescent="0.25">
      <c r="A797" s="2">
        <v>1426</v>
      </c>
      <c r="B797" t="s">
        <v>6228</v>
      </c>
      <c r="C797" t="s">
        <v>64</v>
      </c>
      <c r="D797" t="s">
        <v>6229</v>
      </c>
      <c r="E797" t="s">
        <v>643</v>
      </c>
      <c r="F797" t="s">
        <v>3600</v>
      </c>
      <c r="G797" s="1">
        <v>45637</v>
      </c>
      <c r="H797" s="1">
        <v>45957</v>
      </c>
      <c r="I797" s="1" t="e">
        <v>#N/A</v>
      </c>
      <c r="J797" s="2" t="s">
        <v>555</v>
      </c>
      <c r="K797" t="s">
        <v>6230</v>
      </c>
      <c r="M797" s="16" t="s">
        <v>8420</v>
      </c>
      <c r="N797" s="16" t="str">
        <f>VLOOKUP(M797,Tab_Zast[[Zastávka]:[Sloupec1]],2,0)</f>
        <v>62</v>
      </c>
      <c r="O797" t="s">
        <v>6231</v>
      </c>
      <c r="P797">
        <v>6</v>
      </c>
      <c r="Q797">
        <v>0</v>
      </c>
      <c r="R797" t="s">
        <v>31</v>
      </c>
      <c r="S797" t="s">
        <v>31</v>
      </c>
      <c r="T797" t="s">
        <v>32</v>
      </c>
      <c r="V797" s="1" t="e">
        <v>#N/A</v>
      </c>
      <c r="W797" t="s">
        <v>1022</v>
      </c>
      <c r="X797">
        <v>0</v>
      </c>
      <c r="Y797">
        <v>810</v>
      </c>
      <c r="AA797" t="str">
        <f t="shared" si="24"/>
        <v>update zamestnanci set nastup='62' where id='1426';</v>
      </c>
      <c r="AB797" t="str">
        <f t="shared" si="25"/>
        <v>update dochazka set zastavka = '62' where zamestnanec = '1426';</v>
      </c>
    </row>
    <row r="798" spans="1:28" x14ac:dyDescent="0.25">
      <c r="A798" s="2">
        <v>1519</v>
      </c>
      <c r="B798" t="s">
        <v>6579</v>
      </c>
      <c r="C798" t="s">
        <v>64</v>
      </c>
      <c r="D798" t="s">
        <v>4175</v>
      </c>
      <c r="E798" t="s">
        <v>719</v>
      </c>
      <c r="F798" t="s">
        <v>4809</v>
      </c>
      <c r="G798" s="1">
        <v>45728</v>
      </c>
      <c r="H798" s="1">
        <v>45821</v>
      </c>
      <c r="I798" s="1">
        <v>73050</v>
      </c>
      <c r="J798" s="2" t="s">
        <v>555</v>
      </c>
      <c r="K798" t="s">
        <v>4177</v>
      </c>
      <c r="M798" s="16" t="s">
        <v>8420</v>
      </c>
      <c r="N798" s="16" t="str">
        <f>VLOOKUP(M798,Tab_Zast[[Zastávka]:[Sloupec1]],2,0)</f>
        <v>62</v>
      </c>
      <c r="O798" t="s">
        <v>4178</v>
      </c>
      <c r="P798">
        <v>6</v>
      </c>
      <c r="Q798">
        <v>0</v>
      </c>
      <c r="R798" t="s">
        <v>31</v>
      </c>
      <c r="S798" t="s">
        <v>31</v>
      </c>
      <c r="T798" t="s">
        <v>32</v>
      </c>
      <c r="V798" s="1">
        <v>45784</v>
      </c>
      <c r="W798" t="s">
        <v>1022</v>
      </c>
      <c r="X798">
        <v>0</v>
      </c>
      <c r="Y798">
        <v>914</v>
      </c>
      <c r="AA798" t="str">
        <f t="shared" si="24"/>
        <v>update zamestnanci set nastup='62' where id='1519';</v>
      </c>
      <c r="AB798" t="str">
        <f t="shared" si="25"/>
        <v>update dochazka set zastavka = '62' where zamestnanec = '1519';</v>
      </c>
    </row>
    <row r="799" spans="1:28" x14ac:dyDescent="0.25">
      <c r="A799" s="2">
        <v>1709</v>
      </c>
      <c r="B799" t="s">
        <v>7248</v>
      </c>
      <c r="C799" t="s">
        <v>569</v>
      </c>
      <c r="D799" t="s">
        <v>7249</v>
      </c>
      <c r="E799" t="s">
        <v>7250</v>
      </c>
      <c r="F799" t="s">
        <v>7251</v>
      </c>
      <c r="G799" s="1">
        <v>45838</v>
      </c>
      <c r="H799" s="1" t="e">
        <v>#N/A</v>
      </c>
      <c r="I799" s="1">
        <v>73050</v>
      </c>
      <c r="J799" s="2" t="s">
        <v>555</v>
      </c>
      <c r="K799" t="s">
        <v>7252</v>
      </c>
      <c r="M799" s="16" t="s">
        <v>8420</v>
      </c>
      <c r="N799" s="16" t="str">
        <f>VLOOKUP(M799,Tab_Zast[[Zastávka]:[Sloupec1]],2,0)</f>
        <v>62</v>
      </c>
      <c r="O799" t="s">
        <v>7253</v>
      </c>
      <c r="P799">
        <v>6</v>
      </c>
      <c r="Q799">
        <v>0</v>
      </c>
      <c r="R799" t="s">
        <v>31</v>
      </c>
      <c r="S799" t="s">
        <v>31</v>
      </c>
      <c r="T799" t="s">
        <v>32</v>
      </c>
      <c r="V799" s="1" t="e">
        <v>#N/A</v>
      </c>
      <c r="W799" t="s">
        <v>1216</v>
      </c>
      <c r="X799">
        <v>0</v>
      </c>
      <c r="Y799">
        <v>1101</v>
      </c>
      <c r="AA799" t="str">
        <f t="shared" si="24"/>
        <v>update zamestnanci set nastup='62' where id='1709';</v>
      </c>
      <c r="AB799" t="str">
        <f t="shared" si="25"/>
        <v>update dochazka set zastavka = '62' where zamestnanec = '1709';</v>
      </c>
    </row>
    <row r="800" spans="1:28" x14ac:dyDescent="0.25">
      <c r="A800" s="2">
        <v>1710</v>
      </c>
      <c r="B800" t="s">
        <v>7254</v>
      </c>
      <c r="C800" t="s">
        <v>569</v>
      </c>
      <c r="D800" t="s">
        <v>2945</v>
      </c>
      <c r="E800" t="s">
        <v>2613</v>
      </c>
      <c r="F800" t="s">
        <v>569</v>
      </c>
      <c r="G800" s="1">
        <v>45838</v>
      </c>
      <c r="H800" s="1">
        <v>45959</v>
      </c>
      <c r="I800" s="1" t="e">
        <v>#N/A</v>
      </c>
      <c r="J800" s="2" t="s">
        <v>555</v>
      </c>
      <c r="K800" t="s">
        <v>7255</v>
      </c>
      <c r="M800" s="16" t="s">
        <v>8420</v>
      </c>
      <c r="N800" s="16" t="str">
        <f>VLOOKUP(M800,Tab_Zast[[Zastávka]:[Sloupec1]],2,0)</f>
        <v>62</v>
      </c>
      <c r="O800" t="s">
        <v>7256</v>
      </c>
      <c r="P800">
        <v>6</v>
      </c>
      <c r="Q800">
        <v>0</v>
      </c>
      <c r="R800" t="s">
        <v>31</v>
      </c>
      <c r="S800" t="s">
        <v>31</v>
      </c>
      <c r="T800" t="s">
        <v>32</v>
      </c>
      <c r="V800" s="1" t="e">
        <v>#N/A</v>
      </c>
      <c r="W800" t="s">
        <v>1216</v>
      </c>
      <c r="X800">
        <v>0</v>
      </c>
      <c r="Y800">
        <v>1103</v>
      </c>
      <c r="AA800" t="str">
        <f t="shared" si="24"/>
        <v>update zamestnanci set nastup='62' where id='1710';</v>
      </c>
      <c r="AB800" t="str">
        <f t="shared" si="25"/>
        <v>update dochazka set zastavka = '62' where zamestnanec = '1710';</v>
      </c>
    </row>
    <row r="801" spans="1:28" x14ac:dyDescent="0.25">
      <c r="A801" s="2">
        <v>1771</v>
      </c>
      <c r="B801" t="s">
        <v>7504</v>
      </c>
      <c r="C801" t="s">
        <v>357</v>
      </c>
      <c r="D801" t="s">
        <v>1334</v>
      </c>
      <c r="E801" t="s">
        <v>2903</v>
      </c>
      <c r="F801" t="s">
        <v>569</v>
      </c>
      <c r="G801" s="1">
        <v>45880</v>
      </c>
      <c r="H801" s="1">
        <v>45880</v>
      </c>
      <c r="I801" s="1">
        <v>45880</v>
      </c>
      <c r="J801" s="2" t="s">
        <v>555</v>
      </c>
      <c r="K801" t="s">
        <v>7505</v>
      </c>
      <c r="M801" s="16" t="s">
        <v>8420</v>
      </c>
      <c r="N801" s="16" t="str">
        <f>VLOOKUP(M801,Tab_Zast[[Zastávka]:[Sloupec1]],2,0)</f>
        <v>62</v>
      </c>
      <c r="O801" t="s">
        <v>7506</v>
      </c>
      <c r="P801">
        <v>6</v>
      </c>
      <c r="Q801">
        <v>0</v>
      </c>
      <c r="R801" t="s">
        <v>31</v>
      </c>
      <c r="S801" t="s">
        <v>31</v>
      </c>
      <c r="T801" t="s">
        <v>32</v>
      </c>
      <c r="V801" s="1" t="e">
        <v>#N/A</v>
      </c>
      <c r="W801" t="s">
        <v>1216</v>
      </c>
      <c r="X801">
        <v>0</v>
      </c>
      <c r="Y801">
        <v>1164</v>
      </c>
      <c r="AA801" t="str">
        <f t="shared" si="24"/>
        <v>update zamestnanci set nastup='62' where id='1771';</v>
      </c>
      <c r="AB801" t="str">
        <f t="shared" si="25"/>
        <v>update dochazka set zastavka = '62' where zamestnanec = '1771';</v>
      </c>
    </row>
    <row r="802" spans="1:28" x14ac:dyDescent="0.25">
      <c r="A802" s="2">
        <v>1796</v>
      </c>
      <c r="B802" t="s">
        <v>7593</v>
      </c>
      <c r="C802" t="s">
        <v>569</v>
      </c>
      <c r="D802" t="s">
        <v>7594</v>
      </c>
      <c r="E802" t="s">
        <v>3931</v>
      </c>
      <c r="F802" t="s">
        <v>7595</v>
      </c>
      <c r="G802" s="1">
        <v>45889</v>
      </c>
      <c r="H802" s="1">
        <v>45902</v>
      </c>
      <c r="I802" s="1">
        <v>73050</v>
      </c>
      <c r="J802" s="2" t="s">
        <v>555</v>
      </c>
      <c r="K802" t="s">
        <v>7596</v>
      </c>
      <c r="M802" s="16" t="s">
        <v>8420</v>
      </c>
      <c r="N802" s="16" t="str">
        <f>VLOOKUP(M802,Tab_Zast[[Zastávka]:[Sloupec1]],2,0)</f>
        <v>62</v>
      </c>
      <c r="O802" t="s">
        <v>7597</v>
      </c>
      <c r="P802">
        <v>6</v>
      </c>
      <c r="Q802">
        <v>0</v>
      </c>
      <c r="R802" t="s">
        <v>31</v>
      </c>
      <c r="S802" t="s">
        <v>31</v>
      </c>
      <c r="T802" t="s">
        <v>32</v>
      </c>
      <c r="V802" s="1" t="e">
        <v>#N/A</v>
      </c>
      <c r="W802" t="s">
        <v>3052</v>
      </c>
      <c r="X802">
        <v>0</v>
      </c>
      <c r="Y802">
        <v>1190</v>
      </c>
      <c r="AA802" t="str">
        <f t="shared" si="24"/>
        <v>update zamestnanci set nastup='62' where id='1796';</v>
      </c>
      <c r="AB802" t="str">
        <f t="shared" si="25"/>
        <v>update dochazka set zastavka = '62' where zamestnanec = '1796';</v>
      </c>
    </row>
    <row r="803" spans="1:28" x14ac:dyDescent="0.25">
      <c r="A803" s="2">
        <v>7</v>
      </c>
      <c r="B803" t="s">
        <v>70</v>
      </c>
      <c r="C803" t="s">
        <v>71</v>
      </c>
      <c r="D803" t="s">
        <v>72</v>
      </c>
      <c r="E803" t="s">
        <v>73</v>
      </c>
      <c r="F803" t="s">
        <v>74</v>
      </c>
      <c r="G803" s="1">
        <v>45323</v>
      </c>
      <c r="H803" s="1">
        <v>45468</v>
      </c>
      <c r="I803" s="1">
        <v>73050</v>
      </c>
      <c r="J803" s="2" t="s">
        <v>8481</v>
      </c>
      <c r="K803" t="s">
        <v>75</v>
      </c>
      <c r="M803" s="16" t="s">
        <v>8482</v>
      </c>
      <c r="N803" s="16" t="str">
        <f>VLOOKUP(M803,Tab_Zast[[Zastávka]:[Sloupec1]],2,0)</f>
        <v>82</v>
      </c>
      <c r="O803" t="s">
        <v>76</v>
      </c>
      <c r="P803">
        <v>4</v>
      </c>
      <c r="Q803">
        <v>0</v>
      </c>
      <c r="R803" t="s">
        <v>31</v>
      </c>
      <c r="S803" t="s">
        <v>31</v>
      </c>
      <c r="T803" t="s">
        <v>32</v>
      </c>
      <c r="V803" s="1">
        <v>45414</v>
      </c>
      <c r="W803" t="s">
        <v>62</v>
      </c>
      <c r="X803">
        <v>0</v>
      </c>
      <c r="Y803">
        <v>0</v>
      </c>
      <c r="AA803" t="str">
        <f t="shared" si="24"/>
        <v>update zamestnanci set nastup='82' where id='7';</v>
      </c>
      <c r="AB803" t="str">
        <f t="shared" si="25"/>
        <v>update dochazka set zastavka = '82' where zamestnanec = '7';</v>
      </c>
    </row>
    <row r="804" spans="1:28" x14ac:dyDescent="0.25">
      <c r="A804" s="2">
        <v>14</v>
      </c>
      <c r="B804" t="s">
        <v>117</v>
      </c>
      <c r="C804" t="s">
        <v>118</v>
      </c>
      <c r="D804" t="s">
        <v>119</v>
      </c>
      <c r="E804" t="s">
        <v>120</v>
      </c>
      <c r="F804" t="s">
        <v>121</v>
      </c>
      <c r="G804" s="1">
        <v>45322</v>
      </c>
      <c r="H804" s="1">
        <v>45825</v>
      </c>
      <c r="I804" s="1">
        <v>73050</v>
      </c>
      <c r="J804" s="2" t="s">
        <v>8481</v>
      </c>
      <c r="K804" t="s">
        <v>122</v>
      </c>
      <c r="M804" s="16" t="s">
        <v>8482</v>
      </c>
      <c r="N804" s="16" t="str">
        <f>VLOOKUP(M804,Tab_Zast[[Zastávka]:[Sloupec1]],2,0)</f>
        <v>82</v>
      </c>
      <c r="O804" t="s">
        <v>123</v>
      </c>
      <c r="P804">
        <v>4</v>
      </c>
      <c r="Q804">
        <v>0</v>
      </c>
      <c r="R804" t="s">
        <v>31</v>
      </c>
      <c r="S804" t="s">
        <v>31</v>
      </c>
      <c r="T804" t="s">
        <v>103</v>
      </c>
      <c r="V804" s="1" t="e">
        <v>#N/A</v>
      </c>
      <c r="W804" t="s">
        <v>62</v>
      </c>
      <c r="X804">
        <v>0</v>
      </c>
      <c r="Y804">
        <v>0</v>
      </c>
      <c r="AA804" t="str">
        <f t="shared" si="24"/>
        <v>update zamestnanci set nastup='82' where id='14';</v>
      </c>
      <c r="AB804" t="str">
        <f t="shared" si="25"/>
        <v>update dochazka set zastavka = '82' where zamestnanec = '14';</v>
      </c>
    </row>
    <row r="805" spans="1:28" x14ac:dyDescent="0.25">
      <c r="A805" s="2">
        <v>16</v>
      </c>
      <c r="B805" t="s">
        <v>131</v>
      </c>
      <c r="C805" t="s">
        <v>64</v>
      </c>
      <c r="D805" t="s">
        <v>132</v>
      </c>
      <c r="E805" t="s">
        <v>133</v>
      </c>
      <c r="F805" t="s">
        <v>134</v>
      </c>
      <c r="G805" s="1">
        <v>44147</v>
      </c>
      <c r="H805" s="1">
        <v>45989</v>
      </c>
      <c r="I805" s="1" t="e">
        <v>#N/A</v>
      </c>
      <c r="J805" s="2" t="s">
        <v>8481</v>
      </c>
      <c r="K805" t="s">
        <v>135</v>
      </c>
      <c r="M805" s="16" t="s">
        <v>8482</v>
      </c>
      <c r="N805" s="16" t="str">
        <f>VLOOKUP(M805,Tab_Zast[[Zastávka]:[Sloupec1]],2,0)</f>
        <v>82</v>
      </c>
      <c r="O805" t="s">
        <v>136</v>
      </c>
      <c r="P805">
        <v>4</v>
      </c>
      <c r="Q805">
        <v>0</v>
      </c>
      <c r="R805" t="s">
        <v>31</v>
      </c>
      <c r="S805" t="s">
        <v>31</v>
      </c>
      <c r="T805" t="s">
        <v>103</v>
      </c>
      <c r="V805" s="1" t="e">
        <v>#N/A</v>
      </c>
      <c r="W805" t="s">
        <v>62</v>
      </c>
      <c r="X805">
        <v>0</v>
      </c>
      <c r="Y805">
        <v>0</v>
      </c>
      <c r="AA805" t="str">
        <f t="shared" si="24"/>
        <v>update zamestnanci set nastup='82' where id='16';</v>
      </c>
      <c r="AB805" t="str">
        <f t="shared" si="25"/>
        <v>update dochazka set zastavka = '82' where zamestnanec = '16';</v>
      </c>
    </row>
    <row r="806" spans="1:28" x14ac:dyDescent="0.25">
      <c r="A806" s="2">
        <v>27</v>
      </c>
      <c r="B806" t="s">
        <v>198</v>
      </c>
      <c r="C806" t="s">
        <v>199</v>
      </c>
      <c r="D806" t="s">
        <v>200</v>
      </c>
      <c r="E806" t="s">
        <v>201</v>
      </c>
      <c r="F806" t="s">
        <v>202</v>
      </c>
      <c r="G806" s="1">
        <v>45336</v>
      </c>
      <c r="H806" s="1">
        <v>45468</v>
      </c>
      <c r="I806" s="1">
        <v>73050</v>
      </c>
      <c r="J806" s="2" t="s">
        <v>8481</v>
      </c>
      <c r="K806" t="s">
        <v>203</v>
      </c>
      <c r="M806" s="16" t="s">
        <v>8482</v>
      </c>
      <c r="N806" s="16" t="str">
        <f>VLOOKUP(M806,Tab_Zast[[Zastávka]:[Sloupec1]],2,0)</f>
        <v>82</v>
      </c>
      <c r="O806" t="s">
        <v>204</v>
      </c>
      <c r="P806">
        <v>4</v>
      </c>
      <c r="Q806">
        <v>0</v>
      </c>
      <c r="R806" t="s">
        <v>31</v>
      </c>
      <c r="S806" t="s">
        <v>31</v>
      </c>
      <c r="T806" t="s">
        <v>205</v>
      </c>
      <c r="V806" s="1">
        <v>45418</v>
      </c>
      <c r="W806" t="s">
        <v>62</v>
      </c>
      <c r="X806">
        <v>0</v>
      </c>
      <c r="Y806">
        <v>0</v>
      </c>
      <c r="AA806" t="str">
        <f t="shared" si="24"/>
        <v>update zamestnanci set nastup='82' where id='27';</v>
      </c>
      <c r="AB806" t="str">
        <f t="shared" si="25"/>
        <v>update dochazka set zastavka = '82' where zamestnanec = '27';</v>
      </c>
    </row>
    <row r="807" spans="1:28" x14ac:dyDescent="0.25">
      <c r="A807" s="2">
        <v>129</v>
      </c>
      <c r="B807" t="s">
        <v>793</v>
      </c>
      <c r="D807" t="s">
        <v>794</v>
      </c>
      <c r="E807" t="s">
        <v>795</v>
      </c>
      <c r="F807" t="s">
        <v>67</v>
      </c>
      <c r="G807" s="1">
        <v>45169</v>
      </c>
      <c r="H807" s="1">
        <v>45383</v>
      </c>
      <c r="I807" s="1">
        <v>73050</v>
      </c>
      <c r="J807" s="2" t="s">
        <v>8481</v>
      </c>
      <c r="K807" t="s">
        <v>796</v>
      </c>
      <c r="M807" s="16" t="s">
        <v>8482</v>
      </c>
      <c r="N807" s="16" t="str">
        <f>VLOOKUP(M807,Tab_Zast[[Zastávka]:[Sloupec1]],2,0)</f>
        <v>82</v>
      </c>
      <c r="O807" t="s">
        <v>797</v>
      </c>
      <c r="P807">
        <v>4</v>
      </c>
      <c r="Q807">
        <v>0</v>
      </c>
      <c r="R807" t="s">
        <v>31</v>
      </c>
      <c r="S807" t="s">
        <v>31</v>
      </c>
      <c r="T807" t="s">
        <v>32</v>
      </c>
      <c r="V807" s="1" t="e">
        <v>#N/A</v>
      </c>
      <c r="W807" t="s">
        <v>62</v>
      </c>
      <c r="X807">
        <v>0</v>
      </c>
      <c r="Y807">
        <v>0</v>
      </c>
      <c r="Z807" t="s">
        <v>54</v>
      </c>
      <c r="AA807" t="str">
        <f t="shared" si="24"/>
        <v>update zamestnanci set nastup='82' where id='129';</v>
      </c>
      <c r="AB807" t="str">
        <f t="shared" si="25"/>
        <v>update dochazka set zastavka = '82' where zamestnanec = '129';</v>
      </c>
    </row>
    <row r="808" spans="1:28" x14ac:dyDescent="0.25">
      <c r="A808" s="2">
        <v>135</v>
      </c>
      <c r="B808" t="s">
        <v>825</v>
      </c>
      <c r="D808" t="s">
        <v>826</v>
      </c>
      <c r="E808" t="s">
        <v>827</v>
      </c>
      <c r="F808" t="s">
        <v>828</v>
      </c>
      <c r="G808" s="1">
        <v>45166</v>
      </c>
      <c r="H808" s="1">
        <v>45412</v>
      </c>
      <c r="I808" s="1">
        <v>73050</v>
      </c>
      <c r="J808" s="2" t="s">
        <v>8481</v>
      </c>
      <c r="K808" t="s">
        <v>829</v>
      </c>
      <c r="M808" s="16" t="s">
        <v>8482</v>
      </c>
      <c r="N808" s="16" t="str">
        <f>VLOOKUP(M808,Tab_Zast[[Zastávka]:[Sloupec1]],2,0)</f>
        <v>82</v>
      </c>
      <c r="O808" t="s">
        <v>830</v>
      </c>
      <c r="P808">
        <v>4</v>
      </c>
      <c r="Q808">
        <v>0</v>
      </c>
      <c r="R808" t="s">
        <v>31</v>
      </c>
      <c r="S808" t="s">
        <v>31</v>
      </c>
      <c r="T808" t="s">
        <v>103</v>
      </c>
      <c r="V808" s="1" t="e">
        <v>#N/A</v>
      </c>
      <c r="W808" t="s">
        <v>62</v>
      </c>
      <c r="X808">
        <v>0</v>
      </c>
      <c r="Y808">
        <v>0</v>
      </c>
      <c r="Z808" t="s">
        <v>54</v>
      </c>
      <c r="AA808" t="str">
        <f t="shared" si="24"/>
        <v>update zamestnanci set nastup='82' where id='135';</v>
      </c>
      <c r="AB808" t="str">
        <f t="shared" si="25"/>
        <v>update dochazka set zastavka = '82' where zamestnanec = '135';</v>
      </c>
    </row>
    <row r="809" spans="1:28" x14ac:dyDescent="0.25">
      <c r="A809" s="2">
        <v>142</v>
      </c>
      <c r="B809" t="s">
        <v>871</v>
      </c>
      <c r="C809" t="s">
        <v>872</v>
      </c>
      <c r="D809" t="s">
        <v>873</v>
      </c>
      <c r="E809" t="s">
        <v>874</v>
      </c>
      <c r="F809" t="s">
        <v>875</v>
      </c>
      <c r="G809" s="1">
        <v>44795</v>
      </c>
      <c r="H809" s="1">
        <v>45702</v>
      </c>
      <c r="I809" s="1">
        <v>73050</v>
      </c>
      <c r="J809" s="2" t="s">
        <v>8481</v>
      </c>
      <c r="K809" t="s">
        <v>876</v>
      </c>
      <c r="M809" s="16" t="s">
        <v>8482</v>
      </c>
      <c r="N809" s="16" t="str">
        <f>VLOOKUP(M809,Tab_Zast[[Zastávka]:[Sloupec1]],2,0)</f>
        <v>82</v>
      </c>
      <c r="O809" t="s">
        <v>877</v>
      </c>
      <c r="P809">
        <v>4</v>
      </c>
      <c r="Q809">
        <v>0</v>
      </c>
      <c r="R809" t="s">
        <v>31</v>
      </c>
      <c r="S809" t="s">
        <v>31</v>
      </c>
      <c r="T809" t="s">
        <v>103</v>
      </c>
      <c r="V809" s="1" t="e">
        <v>#N/A</v>
      </c>
      <c r="W809" t="s">
        <v>62</v>
      </c>
      <c r="X809">
        <v>0</v>
      </c>
      <c r="Y809">
        <v>0</v>
      </c>
      <c r="AA809" t="str">
        <f t="shared" si="24"/>
        <v>update zamestnanci set nastup='82' where id='142';</v>
      </c>
      <c r="AB809" t="str">
        <f t="shared" si="25"/>
        <v>update dochazka set zastavka = '82' where zamestnanec = '142';</v>
      </c>
    </row>
    <row r="810" spans="1:28" x14ac:dyDescent="0.25">
      <c r="A810" s="2">
        <v>440</v>
      </c>
      <c r="B810" t="s">
        <v>1564</v>
      </c>
      <c r="D810" t="s">
        <v>1565</v>
      </c>
      <c r="E810" t="s">
        <v>1566</v>
      </c>
      <c r="F810" t="s">
        <v>1567</v>
      </c>
      <c r="G810" s="1">
        <v>45148</v>
      </c>
      <c r="H810" s="1">
        <v>45290</v>
      </c>
      <c r="I810" s="1" t="e">
        <v>#N/A</v>
      </c>
      <c r="J810" s="2" t="s">
        <v>8467</v>
      </c>
      <c r="K810" t="s">
        <v>1568</v>
      </c>
      <c r="M810" s="16" t="s">
        <v>8468</v>
      </c>
      <c r="N810" s="16" t="str">
        <f>VLOOKUP(M810,Tab_Zast[[Zastávka]:[Sloupec1]],2,0)</f>
        <v>65</v>
      </c>
      <c r="O810" t="s">
        <v>1569</v>
      </c>
      <c r="P810">
        <v>6</v>
      </c>
      <c r="Q810">
        <v>0</v>
      </c>
      <c r="R810" t="s">
        <v>31</v>
      </c>
      <c r="S810" t="s">
        <v>31</v>
      </c>
      <c r="T810" t="s">
        <v>32</v>
      </c>
      <c r="V810" s="1" t="e">
        <v>#N/A</v>
      </c>
      <c r="W810" t="s">
        <v>1216</v>
      </c>
      <c r="X810">
        <v>0</v>
      </c>
      <c r="Y810">
        <v>0</v>
      </c>
      <c r="Z810" t="s">
        <v>54</v>
      </c>
      <c r="AA810" t="str">
        <f t="shared" si="24"/>
        <v>update zamestnanci set nastup='65' where id='440';</v>
      </c>
      <c r="AB810" t="str">
        <f t="shared" si="25"/>
        <v>update dochazka set zastavka = '65' where zamestnanec = '440';</v>
      </c>
    </row>
    <row r="811" spans="1:28" x14ac:dyDescent="0.25">
      <c r="A811" s="2">
        <v>480</v>
      </c>
      <c r="B811" t="s">
        <v>1816</v>
      </c>
      <c r="C811" t="s">
        <v>1817</v>
      </c>
      <c r="D811" t="s">
        <v>1818</v>
      </c>
      <c r="E811" t="s">
        <v>1819</v>
      </c>
      <c r="F811" t="s">
        <v>1820</v>
      </c>
      <c r="G811" s="1">
        <v>44593</v>
      </c>
      <c r="H811" s="1">
        <v>45716</v>
      </c>
      <c r="I811" s="1">
        <v>73050</v>
      </c>
      <c r="J811" s="2" t="s">
        <v>8467</v>
      </c>
      <c r="K811" t="s">
        <v>1821</v>
      </c>
      <c r="M811" s="16" t="s">
        <v>8468</v>
      </c>
      <c r="N811" s="16" t="str">
        <f>VLOOKUP(M811,Tab_Zast[[Zastávka]:[Sloupec1]],2,0)</f>
        <v>65</v>
      </c>
      <c r="O811" t="s">
        <v>1822</v>
      </c>
      <c r="P811">
        <v>6</v>
      </c>
      <c r="Q811">
        <v>0</v>
      </c>
      <c r="R811" t="s">
        <v>31</v>
      </c>
      <c r="S811" t="s">
        <v>31</v>
      </c>
      <c r="T811" t="s">
        <v>32</v>
      </c>
      <c r="V811" s="1" t="e">
        <v>#N/A</v>
      </c>
      <c r="W811" t="s">
        <v>1216</v>
      </c>
      <c r="X811">
        <v>0</v>
      </c>
      <c r="Y811">
        <v>0</v>
      </c>
      <c r="AA811" t="str">
        <f t="shared" si="24"/>
        <v>update zamestnanci set nastup='65' where id='480';</v>
      </c>
      <c r="AB811" t="str">
        <f t="shared" si="25"/>
        <v>update dochazka set zastavka = '65' where zamestnanec = '480';</v>
      </c>
    </row>
    <row r="812" spans="1:28" x14ac:dyDescent="0.25">
      <c r="A812" s="2">
        <v>537</v>
      </c>
      <c r="B812" t="s">
        <v>431</v>
      </c>
      <c r="C812" t="s">
        <v>2173</v>
      </c>
      <c r="D812" t="s">
        <v>2174</v>
      </c>
      <c r="E812" t="s">
        <v>2175</v>
      </c>
      <c r="F812" t="s">
        <v>2176</v>
      </c>
      <c r="G812" s="1">
        <v>44915</v>
      </c>
      <c r="H812" s="1">
        <v>45600</v>
      </c>
      <c r="I812" s="1">
        <v>73050</v>
      </c>
      <c r="J812" s="2" t="s">
        <v>8467</v>
      </c>
      <c r="K812" t="s">
        <v>2177</v>
      </c>
      <c r="M812" s="16" t="s">
        <v>8468</v>
      </c>
      <c r="N812" s="16" t="str">
        <f>VLOOKUP(M812,Tab_Zast[[Zastávka]:[Sloupec1]],2,0)</f>
        <v>65</v>
      </c>
      <c r="O812" t="s">
        <v>2178</v>
      </c>
      <c r="P812">
        <v>6</v>
      </c>
      <c r="Q812">
        <v>0</v>
      </c>
      <c r="R812" t="s">
        <v>31</v>
      </c>
      <c r="S812" t="s">
        <v>31</v>
      </c>
      <c r="T812" t="s">
        <v>32</v>
      </c>
      <c r="V812" s="1" t="e">
        <v>#N/A</v>
      </c>
      <c r="W812" t="s">
        <v>1216</v>
      </c>
      <c r="X812">
        <v>0</v>
      </c>
      <c r="Y812">
        <v>0</v>
      </c>
      <c r="AA812" t="str">
        <f t="shared" si="24"/>
        <v>update zamestnanci set nastup='65' where id='537';</v>
      </c>
      <c r="AB812" t="str">
        <f t="shared" si="25"/>
        <v>update dochazka set zastavka = '65' where zamestnanec = '537';</v>
      </c>
    </row>
    <row r="813" spans="1:28" x14ac:dyDescent="0.25">
      <c r="A813" s="2">
        <v>565</v>
      </c>
      <c r="B813" t="s">
        <v>2351</v>
      </c>
      <c r="C813" t="s">
        <v>2352</v>
      </c>
      <c r="D813" t="s">
        <v>2353</v>
      </c>
      <c r="E813" t="s">
        <v>2354</v>
      </c>
      <c r="F813" t="s">
        <v>2355</v>
      </c>
      <c r="G813" s="1">
        <v>44652</v>
      </c>
      <c r="H813" s="1">
        <v>73050</v>
      </c>
      <c r="I813" s="1" t="e">
        <v>#N/A</v>
      </c>
      <c r="J813" s="2" t="s">
        <v>8467</v>
      </c>
      <c r="K813" t="s">
        <v>2356</v>
      </c>
      <c r="M813" s="16" t="s">
        <v>8468</v>
      </c>
      <c r="N813" s="16" t="str">
        <f>VLOOKUP(M813,Tab_Zast[[Zastávka]:[Sloupec1]],2,0)</f>
        <v>65</v>
      </c>
      <c r="O813" t="s">
        <v>2357</v>
      </c>
      <c r="P813">
        <v>6</v>
      </c>
      <c r="Q813">
        <v>0</v>
      </c>
      <c r="R813" t="s">
        <v>129</v>
      </c>
      <c r="S813" t="s">
        <v>31</v>
      </c>
      <c r="T813" t="s">
        <v>32</v>
      </c>
      <c r="V813" s="1" t="e">
        <v>#N/A</v>
      </c>
      <c r="W813" t="s">
        <v>1216</v>
      </c>
      <c r="X813">
        <v>1</v>
      </c>
      <c r="Y813">
        <v>0</v>
      </c>
      <c r="AA813" t="str">
        <f t="shared" si="24"/>
        <v>update zamestnanci set nastup='65' where id='565';</v>
      </c>
      <c r="AB813" t="str">
        <f t="shared" si="25"/>
        <v>update dochazka set zastavka = '65' where zamestnanec = '565';</v>
      </c>
    </row>
    <row r="814" spans="1:28" x14ac:dyDescent="0.25">
      <c r="A814" s="2">
        <v>660</v>
      </c>
      <c r="B814" t="s">
        <v>2874</v>
      </c>
      <c r="C814" t="s">
        <v>2875</v>
      </c>
      <c r="D814" t="s">
        <v>2876</v>
      </c>
      <c r="E814" t="s">
        <v>2877</v>
      </c>
      <c r="F814" t="s">
        <v>2878</v>
      </c>
      <c r="G814" s="1">
        <v>45225</v>
      </c>
      <c r="H814" s="1" t="e">
        <v>#N/A</v>
      </c>
      <c r="I814" s="1" t="e">
        <v>#N/A</v>
      </c>
      <c r="J814" s="2" t="s">
        <v>8467</v>
      </c>
      <c r="K814" t="s">
        <v>2879</v>
      </c>
      <c r="M814" s="16" t="s">
        <v>8468</v>
      </c>
      <c r="N814" s="16" t="str">
        <f>VLOOKUP(M814,Tab_Zast[[Zastávka]:[Sloupec1]],2,0)</f>
        <v>65</v>
      </c>
      <c r="O814" t="s">
        <v>2880</v>
      </c>
      <c r="P814">
        <v>6</v>
      </c>
      <c r="Q814">
        <v>0</v>
      </c>
      <c r="R814" t="s">
        <v>130</v>
      </c>
      <c r="S814" t="s">
        <v>31</v>
      </c>
      <c r="T814" t="s">
        <v>32</v>
      </c>
      <c r="V814" s="1" t="e">
        <v>#N/A</v>
      </c>
      <c r="W814" t="s">
        <v>1216</v>
      </c>
      <c r="X814">
        <v>1</v>
      </c>
      <c r="Y814">
        <v>0</v>
      </c>
      <c r="AA814" t="str">
        <f t="shared" si="24"/>
        <v>update zamestnanci set nastup='65' where id='660';</v>
      </c>
      <c r="AB814" t="str">
        <f t="shared" si="25"/>
        <v>update dochazka set zastavka = '65' where zamestnanec = '660';</v>
      </c>
    </row>
    <row r="815" spans="1:28" x14ac:dyDescent="0.25">
      <c r="A815" s="2">
        <v>712</v>
      </c>
      <c r="B815" t="s">
        <v>3159</v>
      </c>
      <c r="D815" t="s">
        <v>3160</v>
      </c>
      <c r="E815" t="s">
        <v>755</v>
      </c>
      <c r="F815" t="s">
        <v>1935</v>
      </c>
      <c r="G815" s="1">
        <v>45274</v>
      </c>
      <c r="H815" s="1">
        <v>45314</v>
      </c>
      <c r="I815" s="1">
        <v>73050</v>
      </c>
      <c r="J815" s="2" t="s">
        <v>8467</v>
      </c>
      <c r="K815" t="s">
        <v>2457</v>
      </c>
      <c r="M815" s="16" t="s">
        <v>8468</v>
      </c>
      <c r="N815" s="16" t="str">
        <f>VLOOKUP(M815,Tab_Zast[[Zastávka]:[Sloupec1]],2,0)</f>
        <v>65</v>
      </c>
      <c r="O815" t="s">
        <v>3161</v>
      </c>
      <c r="P815">
        <v>6</v>
      </c>
      <c r="Q815">
        <v>0</v>
      </c>
      <c r="R815" t="s">
        <v>31</v>
      </c>
      <c r="S815" t="s">
        <v>31</v>
      </c>
      <c r="T815" t="s">
        <v>32</v>
      </c>
      <c r="V815" s="1" t="e">
        <v>#N/A</v>
      </c>
      <c r="W815" t="s">
        <v>1216</v>
      </c>
      <c r="X815">
        <v>0</v>
      </c>
      <c r="Y815">
        <v>0</v>
      </c>
      <c r="Z815" t="s">
        <v>54</v>
      </c>
      <c r="AA815" t="str">
        <f t="shared" si="24"/>
        <v>update zamestnanci set nastup='65' where id='712';</v>
      </c>
      <c r="AB815" t="str">
        <f t="shared" si="25"/>
        <v>update dochazka set zastavka = '65' where zamestnanec = '712';</v>
      </c>
    </row>
    <row r="816" spans="1:28" x14ac:dyDescent="0.25">
      <c r="A816" s="2">
        <v>849</v>
      </c>
      <c r="B816" t="s">
        <v>3830</v>
      </c>
      <c r="C816" t="s">
        <v>3831</v>
      </c>
      <c r="D816" t="s">
        <v>138</v>
      </c>
      <c r="E816" t="s">
        <v>3244</v>
      </c>
      <c r="F816" t="s">
        <v>140</v>
      </c>
      <c r="G816" s="1">
        <v>45362</v>
      </c>
      <c r="H816" s="1">
        <v>45569</v>
      </c>
      <c r="I816" s="1">
        <v>73050</v>
      </c>
      <c r="J816" s="2" t="s">
        <v>8481</v>
      </c>
      <c r="K816" t="s">
        <v>141</v>
      </c>
      <c r="M816" s="16" t="s">
        <v>8482</v>
      </c>
      <c r="N816" s="16" t="str">
        <f>VLOOKUP(M816,Tab_Zast[[Zastávka]:[Sloupec1]],2,0)</f>
        <v>82</v>
      </c>
      <c r="O816" t="s">
        <v>3832</v>
      </c>
      <c r="P816">
        <v>4</v>
      </c>
      <c r="Q816">
        <v>0</v>
      </c>
      <c r="R816" t="s">
        <v>31</v>
      </c>
      <c r="S816" t="s">
        <v>31</v>
      </c>
      <c r="T816" t="s">
        <v>205</v>
      </c>
      <c r="V816" s="1" t="e">
        <v>#N/A</v>
      </c>
      <c r="W816" t="s">
        <v>62</v>
      </c>
      <c r="X816">
        <v>0</v>
      </c>
      <c r="Y816">
        <v>176</v>
      </c>
      <c r="AA816" t="str">
        <f t="shared" si="24"/>
        <v>update zamestnanci set nastup='82' where id='849';</v>
      </c>
      <c r="AB816" t="str">
        <f t="shared" si="25"/>
        <v>update dochazka set zastavka = '82' where zamestnanec = '849';</v>
      </c>
    </row>
    <row r="817" spans="1:28" x14ac:dyDescent="0.25">
      <c r="A817" s="2">
        <v>865</v>
      </c>
      <c r="B817" t="s">
        <v>3901</v>
      </c>
      <c r="D817" t="s">
        <v>3902</v>
      </c>
      <c r="E817" t="s">
        <v>725</v>
      </c>
      <c r="F817" t="s">
        <v>3903</v>
      </c>
      <c r="G817" s="1">
        <v>45371</v>
      </c>
      <c r="H817" s="1">
        <v>45385</v>
      </c>
      <c r="I817" s="1">
        <v>73050</v>
      </c>
      <c r="J817" s="2" t="s">
        <v>8467</v>
      </c>
      <c r="K817" t="s">
        <v>3904</v>
      </c>
      <c r="M817" s="16" t="s">
        <v>8468</v>
      </c>
      <c r="N817" s="16" t="str">
        <f>VLOOKUP(M817,Tab_Zast[[Zastávka]:[Sloupec1]],2,0)</f>
        <v>65</v>
      </c>
      <c r="O817" t="s">
        <v>3905</v>
      </c>
      <c r="P817">
        <v>6</v>
      </c>
      <c r="Q817">
        <v>0</v>
      </c>
      <c r="R817" t="s">
        <v>31</v>
      </c>
      <c r="S817" t="s">
        <v>31</v>
      </c>
      <c r="T817" t="s">
        <v>32</v>
      </c>
      <c r="V817" s="1" t="e">
        <v>#N/A</v>
      </c>
      <c r="W817" t="s">
        <v>1216</v>
      </c>
      <c r="X817">
        <v>0</v>
      </c>
      <c r="Y817">
        <v>200</v>
      </c>
      <c r="Z817" t="s">
        <v>54</v>
      </c>
      <c r="AA817" t="str">
        <f t="shared" si="24"/>
        <v>update zamestnanci set nastup='65' where id='865';</v>
      </c>
      <c r="AB817" t="str">
        <f t="shared" si="25"/>
        <v>update dochazka set zastavka = '65' where zamestnanec = '865';</v>
      </c>
    </row>
    <row r="818" spans="1:28" x14ac:dyDescent="0.25">
      <c r="A818" s="2">
        <v>911</v>
      </c>
      <c r="B818" t="s">
        <v>4122</v>
      </c>
      <c r="C818" t="s">
        <v>4123</v>
      </c>
      <c r="D818" t="s">
        <v>4124</v>
      </c>
      <c r="E818" t="s">
        <v>1509</v>
      </c>
      <c r="F818" t="s">
        <v>4125</v>
      </c>
      <c r="G818" s="1">
        <v>45397</v>
      </c>
      <c r="H818" s="1">
        <v>45455</v>
      </c>
      <c r="I818" s="1">
        <v>73050</v>
      </c>
      <c r="J818" s="2" t="s">
        <v>8467</v>
      </c>
      <c r="K818" t="s">
        <v>4126</v>
      </c>
      <c r="M818" s="16" t="s">
        <v>8468</v>
      </c>
      <c r="N818" s="16" t="str">
        <f>VLOOKUP(M818,Tab_Zast[[Zastávka]:[Sloupec1]],2,0)</f>
        <v>65</v>
      </c>
      <c r="O818" t="s">
        <v>4127</v>
      </c>
      <c r="P818">
        <v>6</v>
      </c>
      <c r="Q818">
        <v>0</v>
      </c>
      <c r="R818" t="s">
        <v>31</v>
      </c>
      <c r="S818" t="s">
        <v>31</v>
      </c>
      <c r="T818" t="s">
        <v>32</v>
      </c>
      <c r="V818" s="1" t="e">
        <v>#N/A</v>
      </c>
      <c r="W818" t="s">
        <v>1216</v>
      </c>
      <c r="X818">
        <v>0</v>
      </c>
      <c r="Y818">
        <v>263</v>
      </c>
      <c r="AA818" t="str">
        <f t="shared" si="24"/>
        <v>update zamestnanci set nastup='65' where id='911';</v>
      </c>
      <c r="AB818" t="str">
        <f t="shared" si="25"/>
        <v>update dochazka set zastavka = '65' where zamestnanec = '911';</v>
      </c>
    </row>
    <row r="819" spans="1:28" x14ac:dyDescent="0.25">
      <c r="A819" s="2">
        <v>1155</v>
      </c>
      <c r="B819" t="s">
        <v>5160</v>
      </c>
      <c r="C819" t="s">
        <v>569</v>
      </c>
      <c r="D819" t="s">
        <v>3785</v>
      </c>
      <c r="E819" t="s">
        <v>5161</v>
      </c>
      <c r="F819" t="s">
        <v>5162</v>
      </c>
      <c r="G819" s="1">
        <v>45523</v>
      </c>
      <c r="H819" s="1" t="e">
        <v>#N/A</v>
      </c>
      <c r="I819" s="1" t="e">
        <v>#N/A</v>
      </c>
      <c r="J819" s="2" t="s">
        <v>8481</v>
      </c>
      <c r="K819" t="s">
        <v>5163</v>
      </c>
      <c r="M819" s="16" t="s">
        <v>8482</v>
      </c>
      <c r="N819" s="16" t="str">
        <f>VLOOKUP(M819,Tab_Zast[[Zastávka]:[Sloupec1]],2,0)</f>
        <v>82</v>
      </c>
      <c r="O819" t="s">
        <v>5164</v>
      </c>
      <c r="P819">
        <v>4</v>
      </c>
      <c r="Q819">
        <v>0</v>
      </c>
      <c r="R819" t="s">
        <v>129</v>
      </c>
      <c r="S819" t="s">
        <v>31</v>
      </c>
      <c r="T819" t="s">
        <v>318</v>
      </c>
      <c r="V819" s="1" t="e">
        <v>#N/A</v>
      </c>
      <c r="W819" t="s">
        <v>62</v>
      </c>
      <c r="X819">
        <v>1</v>
      </c>
      <c r="Y819">
        <v>544</v>
      </c>
      <c r="AA819" t="str">
        <f t="shared" si="24"/>
        <v>update zamestnanci set nastup='82' where id='1155';</v>
      </c>
      <c r="AB819" t="str">
        <f t="shared" si="25"/>
        <v>update dochazka set zastavka = '82' where zamestnanec = '1155';</v>
      </c>
    </row>
    <row r="820" spans="1:28" x14ac:dyDescent="0.25">
      <c r="A820" s="2">
        <v>1182</v>
      </c>
      <c r="B820" t="s">
        <v>5265</v>
      </c>
      <c r="C820" t="s">
        <v>64</v>
      </c>
      <c r="D820" t="s">
        <v>5266</v>
      </c>
      <c r="E820" t="s">
        <v>574</v>
      </c>
      <c r="F820" t="s">
        <v>3766</v>
      </c>
      <c r="G820" s="1">
        <v>45531</v>
      </c>
      <c r="H820" s="1">
        <v>45574</v>
      </c>
      <c r="I820" s="1">
        <v>73050</v>
      </c>
      <c r="J820" s="2" t="s">
        <v>8481</v>
      </c>
      <c r="K820" t="s">
        <v>5267</v>
      </c>
      <c r="M820" s="16" t="s">
        <v>8482</v>
      </c>
      <c r="N820" s="16" t="str">
        <f>VLOOKUP(M820,Tab_Zast[[Zastávka]:[Sloupec1]],2,0)</f>
        <v>82</v>
      </c>
      <c r="O820" t="s">
        <v>5268</v>
      </c>
      <c r="P820">
        <v>4</v>
      </c>
      <c r="Q820">
        <v>0</v>
      </c>
      <c r="R820" t="s">
        <v>31</v>
      </c>
      <c r="S820" t="s">
        <v>31</v>
      </c>
      <c r="T820" t="s">
        <v>318</v>
      </c>
      <c r="V820" s="1" t="e">
        <v>#N/A</v>
      </c>
      <c r="W820" t="s">
        <v>62</v>
      </c>
      <c r="X820">
        <v>0</v>
      </c>
      <c r="Y820">
        <v>571</v>
      </c>
      <c r="AA820" t="str">
        <f t="shared" si="24"/>
        <v>update zamestnanci set nastup='82' where id='1182';</v>
      </c>
      <c r="AB820" t="str">
        <f t="shared" si="25"/>
        <v>update dochazka set zastavka = '82' where zamestnanec = '1182';</v>
      </c>
    </row>
    <row r="821" spans="1:28" x14ac:dyDescent="0.25">
      <c r="A821" s="2">
        <v>1184</v>
      </c>
      <c r="B821" t="s">
        <v>5273</v>
      </c>
      <c r="C821" t="s">
        <v>64</v>
      </c>
      <c r="D821" t="s">
        <v>5266</v>
      </c>
      <c r="E821" t="s">
        <v>923</v>
      </c>
      <c r="F821" t="s">
        <v>1002</v>
      </c>
      <c r="G821" s="1">
        <v>45534</v>
      </c>
      <c r="H821" s="1">
        <v>45596</v>
      </c>
      <c r="I821" s="1">
        <v>73050</v>
      </c>
      <c r="J821" s="2" t="s">
        <v>8481</v>
      </c>
      <c r="K821" t="s">
        <v>5274</v>
      </c>
      <c r="M821" s="16" t="s">
        <v>8482</v>
      </c>
      <c r="N821" s="16" t="str">
        <f>VLOOKUP(M821,Tab_Zast[[Zastávka]:[Sloupec1]],2,0)</f>
        <v>82</v>
      </c>
      <c r="O821" t="s">
        <v>5275</v>
      </c>
      <c r="P821">
        <v>4</v>
      </c>
      <c r="Q821">
        <v>0</v>
      </c>
      <c r="R821" t="s">
        <v>31</v>
      </c>
      <c r="S821" t="s">
        <v>31</v>
      </c>
      <c r="T821" t="s">
        <v>103</v>
      </c>
      <c r="V821" s="1" t="e">
        <v>#N/A</v>
      </c>
      <c r="W821" t="s">
        <v>62</v>
      </c>
      <c r="X821">
        <v>0</v>
      </c>
      <c r="Y821">
        <v>577</v>
      </c>
      <c r="AA821" t="str">
        <f t="shared" si="24"/>
        <v>update zamestnanci set nastup='82' where id='1184';</v>
      </c>
      <c r="AB821" t="str">
        <f t="shared" si="25"/>
        <v>update dochazka set zastavka = '82' where zamestnanec = '1184';</v>
      </c>
    </row>
    <row r="822" spans="1:28" x14ac:dyDescent="0.25">
      <c r="A822" s="2">
        <v>1185</v>
      </c>
      <c r="B822" t="s">
        <v>5276</v>
      </c>
      <c r="C822" t="s">
        <v>151</v>
      </c>
      <c r="D822" t="s">
        <v>5277</v>
      </c>
      <c r="E822" t="s">
        <v>2865</v>
      </c>
      <c r="F822" t="s">
        <v>905</v>
      </c>
      <c r="G822" s="1">
        <v>45537</v>
      </c>
      <c r="H822" s="1">
        <v>45716</v>
      </c>
      <c r="I822" s="1">
        <v>73050</v>
      </c>
      <c r="J822" s="2" t="s">
        <v>8481</v>
      </c>
      <c r="K822" t="s">
        <v>5278</v>
      </c>
      <c r="M822" s="16" t="s">
        <v>8482</v>
      </c>
      <c r="N822" s="16" t="str">
        <f>VLOOKUP(M822,Tab_Zast[[Zastávka]:[Sloupec1]],2,0)</f>
        <v>82</v>
      </c>
      <c r="O822" t="s">
        <v>5279</v>
      </c>
      <c r="P822">
        <v>4</v>
      </c>
      <c r="Q822">
        <v>0</v>
      </c>
      <c r="R822" t="s">
        <v>31</v>
      </c>
      <c r="S822" t="s">
        <v>31</v>
      </c>
      <c r="T822" t="s">
        <v>32</v>
      </c>
      <c r="V822" s="1" t="e">
        <v>#N/A</v>
      </c>
      <c r="W822" t="s">
        <v>62</v>
      </c>
      <c r="X822">
        <v>0</v>
      </c>
      <c r="Y822">
        <v>578</v>
      </c>
      <c r="AA822" t="str">
        <f t="shared" si="24"/>
        <v>update zamestnanci set nastup='82' where id='1185';</v>
      </c>
      <c r="AB822" t="str">
        <f t="shared" si="25"/>
        <v>update dochazka set zastavka = '82' where zamestnanec = '1185';</v>
      </c>
    </row>
    <row r="823" spans="1:28" x14ac:dyDescent="0.25">
      <c r="A823" s="2">
        <v>1296</v>
      </c>
      <c r="B823" t="s">
        <v>5727</v>
      </c>
      <c r="C823" t="s">
        <v>5610</v>
      </c>
      <c r="D823" t="s">
        <v>4661</v>
      </c>
      <c r="E823" t="s">
        <v>671</v>
      </c>
      <c r="F823" t="s">
        <v>5728</v>
      </c>
      <c r="G823" s="1">
        <v>45573</v>
      </c>
      <c r="H823" s="1">
        <v>45667</v>
      </c>
      <c r="I823" s="1">
        <v>73050</v>
      </c>
      <c r="J823" s="2" t="s">
        <v>8467</v>
      </c>
      <c r="K823" t="s">
        <v>4663</v>
      </c>
      <c r="M823" s="16" t="s">
        <v>8468</v>
      </c>
      <c r="N823" s="16" t="str">
        <f>VLOOKUP(M823,Tab_Zast[[Zastávka]:[Sloupec1]],2,0)</f>
        <v>65</v>
      </c>
      <c r="O823" t="s">
        <v>5729</v>
      </c>
      <c r="P823">
        <v>6</v>
      </c>
      <c r="Q823">
        <v>0</v>
      </c>
      <c r="R823" t="s">
        <v>31</v>
      </c>
      <c r="S823" t="s">
        <v>31</v>
      </c>
      <c r="T823" t="s">
        <v>32</v>
      </c>
      <c r="V823" s="1" t="e">
        <v>#N/A</v>
      </c>
      <c r="W823" t="s">
        <v>1216</v>
      </c>
      <c r="X823">
        <v>0</v>
      </c>
      <c r="Y823">
        <v>686</v>
      </c>
      <c r="AA823" t="str">
        <f t="shared" si="24"/>
        <v>update zamestnanci set nastup='65' where id='1296';</v>
      </c>
      <c r="AB823" t="str">
        <f t="shared" si="25"/>
        <v>update dochazka set zastavka = '65' where zamestnanec = '1296';</v>
      </c>
    </row>
    <row r="824" spans="1:28" x14ac:dyDescent="0.25">
      <c r="A824" s="2">
        <v>1297</v>
      </c>
      <c r="B824" t="s">
        <v>5730</v>
      </c>
      <c r="C824" t="s">
        <v>5610</v>
      </c>
      <c r="D824" t="s">
        <v>5731</v>
      </c>
      <c r="E824" t="s">
        <v>677</v>
      </c>
      <c r="F824" t="s">
        <v>5732</v>
      </c>
      <c r="G824" s="1">
        <v>45573</v>
      </c>
      <c r="H824" s="1">
        <v>45625</v>
      </c>
      <c r="I824" s="1">
        <v>73050</v>
      </c>
      <c r="J824" s="2" t="s">
        <v>8467</v>
      </c>
      <c r="K824" t="s">
        <v>5733</v>
      </c>
      <c r="M824" s="16" t="s">
        <v>8468</v>
      </c>
      <c r="N824" s="16" t="str">
        <f>VLOOKUP(M824,Tab_Zast[[Zastávka]:[Sloupec1]],2,0)</f>
        <v>65</v>
      </c>
      <c r="O824" t="s">
        <v>5734</v>
      </c>
      <c r="P824">
        <v>6</v>
      </c>
      <c r="Q824">
        <v>0</v>
      </c>
      <c r="R824" t="s">
        <v>31</v>
      </c>
      <c r="S824" t="s">
        <v>31</v>
      </c>
      <c r="T824" t="s">
        <v>32</v>
      </c>
      <c r="V824" s="1" t="e">
        <v>#N/A</v>
      </c>
      <c r="W824" t="s">
        <v>1216</v>
      </c>
      <c r="X824">
        <v>0</v>
      </c>
      <c r="Y824">
        <v>687</v>
      </c>
      <c r="AA824" t="str">
        <f t="shared" si="24"/>
        <v>update zamestnanci set nastup='65' where id='1297';</v>
      </c>
      <c r="AB824" t="str">
        <f t="shared" si="25"/>
        <v>update dochazka set zastavka = '65' where zamestnanec = '1297';</v>
      </c>
    </row>
    <row r="825" spans="1:28" x14ac:dyDescent="0.25">
      <c r="A825" s="2">
        <v>1427</v>
      </c>
      <c r="B825" t="s">
        <v>6232</v>
      </c>
      <c r="C825" t="s">
        <v>64</v>
      </c>
      <c r="D825" t="s">
        <v>6233</v>
      </c>
      <c r="E825" t="s">
        <v>1711</v>
      </c>
      <c r="F825" t="s">
        <v>3773</v>
      </c>
      <c r="G825" s="1">
        <v>45637</v>
      </c>
      <c r="H825" s="1">
        <v>45642</v>
      </c>
      <c r="I825" s="1">
        <v>73050</v>
      </c>
      <c r="J825" s="2" t="s">
        <v>8467</v>
      </c>
      <c r="K825" t="s">
        <v>6234</v>
      </c>
      <c r="M825" s="16" t="s">
        <v>8468</v>
      </c>
      <c r="N825" s="16" t="str">
        <f>VLOOKUP(M825,Tab_Zast[[Zastávka]:[Sloupec1]],2,0)</f>
        <v>65</v>
      </c>
      <c r="O825" t="s">
        <v>6235</v>
      </c>
      <c r="P825">
        <v>6</v>
      </c>
      <c r="Q825">
        <v>0</v>
      </c>
      <c r="R825" t="s">
        <v>31</v>
      </c>
      <c r="S825" t="s">
        <v>31</v>
      </c>
      <c r="T825" t="s">
        <v>32</v>
      </c>
      <c r="V825" s="1" t="e">
        <v>#N/A</v>
      </c>
      <c r="W825" t="s">
        <v>1022</v>
      </c>
      <c r="X825">
        <v>0</v>
      </c>
      <c r="Y825">
        <v>808</v>
      </c>
      <c r="AA825" t="str">
        <f t="shared" si="24"/>
        <v>update zamestnanci set nastup='65' where id='1427';</v>
      </c>
      <c r="AB825" t="str">
        <f t="shared" si="25"/>
        <v>update dochazka set zastavka = '65' where zamestnanec = '1427';</v>
      </c>
    </row>
    <row r="826" spans="1:28" x14ac:dyDescent="0.25">
      <c r="A826" s="2">
        <v>1428</v>
      </c>
      <c r="B826" t="s">
        <v>6236</v>
      </c>
      <c r="C826" t="s">
        <v>64</v>
      </c>
      <c r="D826" t="s">
        <v>6237</v>
      </c>
      <c r="E826" t="s">
        <v>3931</v>
      </c>
      <c r="F826" t="s">
        <v>140</v>
      </c>
      <c r="G826" s="1">
        <v>45637</v>
      </c>
      <c r="H826" s="1">
        <v>45643</v>
      </c>
      <c r="I826" s="1">
        <v>73050</v>
      </c>
      <c r="J826" s="2" t="s">
        <v>8467</v>
      </c>
      <c r="K826" t="s">
        <v>6238</v>
      </c>
      <c r="M826" s="16" t="s">
        <v>8468</v>
      </c>
      <c r="N826" s="16" t="str">
        <f>VLOOKUP(M826,Tab_Zast[[Zastávka]:[Sloupec1]],2,0)</f>
        <v>65</v>
      </c>
      <c r="O826" t="s">
        <v>6239</v>
      </c>
      <c r="P826">
        <v>6</v>
      </c>
      <c r="Q826">
        <v>0</v>
      </c>
      <c r="R826" t="s">
        <v>31</v>
      </c>
      <c r="S826" t="s">
        <v>31</v>
      </c>
      <c r="T826" t="s">
        <v>32</v>
      </c>
      <c r="V826" s="1" t="e">
        <v>#N/A</v>
      </c>
      <c r="W826" t="s">
        <v>1022</v>
      </c>
      <c r="X826">
        <v>0</v>
      </c>
      <c r="Y826">
        <v>806</v>
      </c>
      <c r="AA826" t="str">
        <f t="shared" si="24"/>
        <v>update zamestnanci set nastup='65' where id='1428';</v>
      </c>
      <c r="AB826" t="str">
        <f t="shared" si="25"/>
        <v>update dochazka set zastavka = '65' where zamestnanec = '1428';</v>
      </c>
    </row>
    <row r="827" spans="1:28" x14ac:dyDescent="0.25">
      <c r="A827" s="2">
        <v>1549</v>
      </c>
      <c r="B827" t="s">
        <v>6691</v>
      </c>
      <c r="C827" t="s">
        <v>64</v>
      </c>
      <c r="D827" t="s">
        <v>6692</v>
      </c>
      <c r="E827" t="s">
        <v>3321</v>
      </c>
      <c r="F827" t="s">
        <v>6693</v>
      </c>
      <c r="G827" s="1">
        <v>45743</v>
      </c>
      <c r="H827" s="1">
        <v>45751</v>
      </c>
      <c r="I827" s="1">
        <v>73050</v>
      </c>
      <c r="J827" s="2" t="s">
        <v>8467</v>
      </c>
      <c r="K827" t="s">
        <v>6694</v>
      </c>
      <c r="M827" s="16" t="s">
        <v>8468</v>
      </c>
      <c r="N827" s="16" t="str">
        <f>VLOOKUP(M827,Tab_Zast[[Zastávka]:[Sloupec1]],2,0)</f>
        <v>65</v>
      </c>
      <c r="O827" t="s">
        <v>6695</v>
      </c>
      <c r="P827">
        <v>6</v>
      </c>
      <c r="Q827">
        <v>0</v>
      </c>
      <c r="R827" t="s">
        <v>31</v>
      </c>
      <c r="S827" t="s">
        <v>31</v>
      </c>
      <c r="T827" t="s">
        <v>32</v>
      </c>
      <c r="V827" s="1" t="e">
        <v>#N/A</v>
      </c>
      <c r="W827" t="s">
        <v>3052</v>
      </c>
      <c r="X827">
        <v>0</v>
      </c>
      <c r="Y827">
        <v>940</v>
      </c>
      <c r="AA827" t="str">
        <f t="shared" si="24"/>
        <v>update zamestnanci set nastup='65' where id='1549';</v>
      </c>
      <c r="AB827" t="str">
        <f t="shared" si="25"/>
        <v>update dochazka set zastavka = '65' where zamestnanec = '1549';</v>
      </c>
    </row>
    <row r="828" spans="1:28" x14ac:dyDescent="0.25">
      <c r="A828" s="2">
        <v>1662</v>
      </c>
      <c r="B828" t="s">
        <v>7099</v>
      </c>
      <c r="C828" t="s">
        <v>64</v>
      </c>
      <c r="D828" t="s">
        <v>7100</v>
      </c>
      <c r="E828" t="s">
        <v>743</v>
      </c>
      <c r="F828" t="s">
        <v>7101</v>
      </c>
      <c r="G828" s="1">
        <v>45804</v>
      </c>
      <c r="H828" s="1">
        <v>45821</v>
      </c>
      <c r="I828" s="1">
        <v>73050</v>
      </c>
      <c r="J828" s="2" t="s">
        <v>8481</v>
      </c>
      <c r="K828" t="s">
        <v>7102</v>
      </c>
      <c r="M828" s="16" t="s">
        <v>8482</v>
      </c>
      <c r="N828" s="16" t="str">
        <f>VLOOKUP(M828,Tab_Zast[[Zastávka]:[Sloupec1]],2,0)</f>
        <v>82</v>
      </c>
      <c r="O828" t="s">
        <v>7103</v>
      </c>
      <c r="P828">
        <v>4</v>
      </c>
      <c r="Q828">
        <v>0</v>
      </c>
      <c r="R828" t="s">
        <v>31</v>
      </c>
      <c r="S828" t="s">
        <v>31</v>
      </c>
      <c r="T828" t="s">
        <v>32</v>
      </c>
      <c r="V828" s="1">
        <v>45824</v>
      </c>
      <c r="W828" t="s">
        <v>2729</v>
      </c>
      <c r="X828">
        <v>0</v>
      </c>
      <c r="Y828">
        <v>1056</v>
      </c>
      <c r="AA828" t="str">
        <f t="shared" si="24"/>
        <v>update zamestnanci set nastup='82' where id='1662';</v>
      </c>
      <c r="AB828" t="str">
        <f t="shared" si="25"/>
        <v>update dochazka set zastavka = '82' where zamestnanec = '1662';</v>
      </c>
    </row>
    <row r="829" spans="1:28" x14ac:dyDescent="0.25">
      <c r="A829" s="2">
        <v>1890</v>
      </c>
      <c r="B829" t="s">
        <v>7951</v>
      </c>
      <c r="C829" t="s">
        <v>569</v>
      </c>
      <c r="D829" t="s">
        <v>5178</v>
      </c>
      <c r="E829" t="s">
        <v>923</v>
      </c>
      <c r="F829" t="s">
        <v>7952</v>
      </c>
      <c r="G829" s="1">
        <v>45954</v>
      </c>
      <c r="H829" s="1" t="e">
        <v>#N/A</v>
      </c>
      <c r="I829" s="1" t="e">
        <v>#N/A</v>
      </c>
      <c r="J829" s="2" t="s">
        <v>8481</v>
      </c>
      <c r="K829" t="s">
        <v>5180</v>
      </c>
      <c r="M829" s="16" t="s">
        <v>8482</v>
      </c>
      <c r="N829" s="16" t="str">
        <f>VLOOKUP(M829,Tab_Zast[[Zastávka]:[Sloupec1]],2,0)</f>
        <v>82</v>
      </c>
      <c r="O829" t="s">
        <v>5181</v>
      </c>
      <c r="P829">
        <v>4</v>
      </c>
      <c r="Q829">
        <v>0</v>
      </c>
      <c r="R829" t="s">
        <v>129</v>
      </c>
      <c r="S829" t="s">
        <v>31</v>
      </c>
      <c r="T829" t="s">
        <v>32</v>
      </c>
      <c r="V829" s="1" t="e">
        <v>#N/A</v>
      </c>
      <c r="W829" t="s">
        <v>62</v>
      </c>
      <c r="X829">
        <v>1</v>
      </c>
      <c r="Y829">
        <v>1287</v>
      </c>
      <c r="AA829" t="str">
        <f t="shared" si="24"/>
        <v>update zamestnanci set nastup='82' where id='1890';</v>
      </c>
      <c r="AB829" t="str">
        <f t="shared" si="25"/>
        <v>update dochazka set zastavka = '82' where zamestnanec = '1890';</v>
      </c>
    </row>
    <row r="830" spans="1:28" x14ac:dyDescent="0.25">
      <c r="A830" s="2">
        <v>1961</v>
      </c>
      <c r="B830" t="s">
        <v>8241</v>
      </c>
      <c r="C830" t="s">
        <v>357</v>
      </c>
      <c r="D830" t="s">
        <v>8242</v>
      </c>
      <c r="E830" t="s">
        <v>770</v>
      </c>
      <c r="F830" t="s">
        <v>8241</v>
      </c>
      <c r="G830" s="1">
        <v>46003</v>
      </c>
      <c r="H830" s="1" t="e">
        <v>#N/A</v>
      </c>
      <c r="I830" s="1" t="e">
        <v>#N/A</v>
      </c>
      <c r="J830" s="2" t="s">
        <v>8467</v>
      </c>
      <c r="K830" t="s">
        <v>8243</v>
      </c>
      <c r="M830" s="16" t="s">
        <v>8468</v>
      </c>
      <c r="N830" s="16" t="str">
        <f>VLOOKUP(M830,Tab_Zast[[Zastávka]:[Sloupec1]],2,0)</f>
        <v>65</v>
      </c>
      <c r="O830" t="s">
        <v>8244</v>
      </c>
      <c r="P830">
        <v>6</v>
      </c>
      <c r="Q830">
        <v>0</v>
      </c>
      <c r="R830" t="s">
        <v>130</v>
      </c>
      <c r="S830" t="s">
        <v>31</v>
      </c>
      <c r="T830" t="s">
        <v>32</v>
      </c>
      <c r="V830" s="1" t="e">
        <v>#N/A</v>
      </c>
      <c r="W830" t="s">
        <v>1216</v>
      </c>
      <c r="X830">
        <v>1</v>
      </c>
      <c r="Y830">
        <v>1383</v>
      </c>
      <c r="AA830" t="str">
        <f t="shared" si="24"/>
        <v>update zamestnanci set nastup='65' where id='1961';</v>
      </c>
      <c r="AB830" t="str">
        <f t="shared" si="25"/>
        <v>update dochazka set zastavka = '65' where zamestnanec = '1961';</v>
      </c>
    </row>
    <row r="831" spans="1:28" x14ac:dyDescent="0.25">
      <c r="A831" s="2">
        <v>76</v>
      </c>
      <c r="B831" t="s">
        <v>487</v>
      </c>
      <c r="D831" t="s">
        <v>488</v>
      </c>
      <c r="E831" t="s">
        <v>489</v>
      </c>
      <c r="F831" t="s">
        <v>490</v>
      </c>
      <c r="G831" s="1">
        <v>45335</v>
      </c>
      <c r="H831" s="1">
        <v>45364</v>
      </c>
      <c r="I831" s="1">
        <v>73050</v>
      </c>
      <c r="J831" s="2" t="s">
        <v>419</v>
      </c>
      <c r="K831" t="s">
        <v>491</v>
      </c>
      <c r="M831" s="16" t="s">
        <v>8363</v>
      </c>
      <c r="N831" s="16" t="str">
        <f>VLOOKUP(M831,Tab_Zast[[Zastávka]:[Sloupec1]],2,0)</f>
        <v>42</v>
      </c>
      <c r="O831" t="s">
        <v>492</v>
      </c>
      <c r="P831">
        <v>3</v>
      </c>
      <c r="Q831">
        <v>0</v>
      </c>
      <c r="R831" t="s">
        <v>31</v>
      </c>
      <c r="S831" t="s">
        <v>31</v>
      </c>
      <c r="T831" t="s">
        <v>32</v>
      </c>
      <c r="V831" s="1" t="e">
        <v>#N/A</v>
      </c>
      <c r="W831" t="s">
        <v>493</v>
      </c>
      <c r="X831">
        <v>0</v>
      </c>
      <c r="Y831">
        <v>0</v>
      </c>
      <c r="Z831" t="s">
        <v>54</v>
      </c>
      <c r="AA831" t="str">
        <f t="shared" si="24"/>
        <v>update zamestnanci set nastup='42' where id='76';</v>
      </c>
      <c r="AB831" t="str">
        <f t="shared" si="25"/>
        <v>update dochazka set zastavka = '42' where zamestnanec = '76';</v>
      </c>
    </row>
    <row r="832" spans="1:28" x14ac:dyDescent="0.25">
      <c r="A832" s="2">
        <v>604</v>
      </c>
      <c r="B832" t="s">
        <v>2582</v>
      </c>
      <c r="C832" t="s">
        <v>2583</v>
      </c>
      <c r="D832" t="s">
        <v>2584</v>
      </c>
      <c r="E832" t="s">
        <v>2585</v>
      </c>
      <c r="F832" t="s">
        <v>2586</v>
      </c>
      <c r="G832" s="1">
        <v>45180</v>
      </c>
      <c r="H832" s="1">
        <v>45595</v>
      </c>
      <c r="I832" s="1">
        <v>73050</v>
      </c>
      <c r="J832" s="2" t="s">
        <v>357</v>
      </c>
      <c r="K832" t="s">
        <v>2587</v>
      </c>
      <c r="M832" s="16" t="s">
        <v>8551</v>
      </c>
      <c r="N832" s="16" t="str">
        <f>VLOOKUP(M832,Tab_Zast[[Zastávka]:[Sloupec1]],2,0)</f>
        <v>00</v>
      </c>
      <c r="O832" t="s">
        <v>2588</v>
      </c>
      <c r="P832">
        <v>8</v>
      </c>
      <c r="Q832">
        <v>0</v>
      </c>
      <c r="R832" t="s">
        <v>31</v>
      </c>
      <c r="S832" t="s">
        <v>31</v>
      </c>
      <c r="T832" t="s">
        <v>32</v>
      </c>
      <c r="V832" s="1">
        <v>45547</v>
      </c>
      <c r="W832" t="s">
        <v>493</v>
      </c>
      <c r="X832">
        <v>0</v>
      </c>
      <c r="Y832">
        <v>0</v>
      </c>
      <c r="AA832" t="str">
        <f t="shared" si="24"/>
        <v/>
      </c>
      <c r="AB832" t="str">
        <f t="shared" si="25"/>
        <v/>
      </c>
    </row>
    <row r="833" spans="1:28" x14ac:dyDescent="0.25">
      <c r="A833" s="2">
        <v>676</v>
      </c>
      <c r="B833" t="s">
        <v>2959</v>
      </c>
      <c r="D833" t="s">
        <v>1902</v>
      </c>
      <c r="E833" t="s">
        <v>2960</v>
      </c>
      <c r="F833" t="s">
        <v>2961</v>
      </c>
      <c r="G833" s="1">
        <v>45231</v>
      </c>
      <c r="H833" s="1">
        <v>45322</v>
      </c>
      <c r="I833" s="1">
        <v>73050</v>
      </c>
      <c r="J833" s="2" t="s">
        <v>419</v>
      </c>
      <c r="K833" t="s">
        <v>2962</v>
      </c>
      <c r="M833" s="16" t="s">
        <v>8363</v>
      </c>
      <c r="N833" s="16" t="str">
        <f>VLOOKUP(M833,Tab_Zast[[Zastávka]:[Sloupec1]],2,0)</f>
        <v>42</v>
      </c>
      <c r="O833" t="s">
        <v>2963</v>
      </c>
      <c r="P833">
        <v>3</v>
      </c>
      <c r="Q833">
        <v>0</v>
      </c>
      <c r="R833" t="s">
        <v>31</v>
      </c>
      <c r="S833" t="s">
        <v>31</v>
      </c>
      <c r="T833" t="s">
        <v>32</v>
      </c>
      <c r="V833" s="1" t="e">
        <v>#N/A</v>
      </c>
      <c r="W833" t="s">
        <v>493</v>
      </c>
      <c r="X833">
        <v>0</v>
      </c>
      <c r="Y833">
        <v>0</v>
      </c>
      <c r="AA833" t="str">
        <f t="shared" si="24"/>
        <v>update zamestnanci set nastup='42' where id='676';</v>
      </c>
      <c r="AB833" t="str">
        <f t="shared" si="25"/>
        <v>update dochazka set zastavka = '42' where zamestnanec = '676';</v>
      </c>
    </row>
    <row r="834" spans="1:28" x14ac:dyDescent="0.25">
      <c r="A834" s="2">
        <v>690</v>
      </c>
      <c r="B834" t="s">
        <v>3041</v>
      </c>
      <c r="D834" t="s">
        <v>3042</v>
      </c>
      <c r="E834" t="s">
        <v>2451</v>
      </c>
      <c r="F834" t="s">
        <v>3043</v>
      </c>
      <c r="G834" s="1">
        <v>45245</v>
      </c>
      <c r="H834" s="1">
        <v>45352</v>
      </c>
      <c r="I834" s="1">
        <v>73050</v>
      </c>
      <c r="J834" s="2" t="s">
        <v>419</v>
      </c>
      <c r="K834" t="s">
        <v>3044</v>
      </c>
      <c r="M834" s="16" t="s">
        <v>8363</v>
      </c>
      <c r="N834" s="16" t="str">
        <f>VLOOKUP(M834,Tab_Zast[[Zastávka]:[Sloupec1]],2,0)</f>
        <v>42</v>
      </c>
      <c r="O834" t="s">
        <v>3045</v>
      </c>
      <c r="P834">
        <v>3</v>
      </c>
      <c r="Q834">
        <v>0</v>
      </c>
      <c r="R834" t="s">
        <v>31</v>
      </c>
      <c r="S834" t="s">
        <v>31</v>
      </c>
      <c r="T834" t="s">
        <v>32</v>
      </c>
      <c r="V834" s="1" t="e">
        <v>#N/A</v>
      </c>
      <c r="W834" t="s">
        <v>493</v>
      </c>
      <c r="X834">
        <v>0</v>
      </c>
      <c r="Y834">
        <v>0</v>
      </c>
      <c r="AA834" t="str">
        <f t="shared" si="24"/>
        <v>update zamestnanci set nastup='42' where id='690';</v>
      </c>
      <c r="AB834" t="str">
        <f t="shared" si="25"/>
        <v>update dochazka set zastavka = '42' where zamestnanec = '690';</v>
      </c>
    </row>
    <row r="835" spans="1:28" x14ac:dyDescent="0.25">
      <c r="A835" s="2">
        <v>742</v>
      </c>
      <c r="B835" t="s">
        <v>3302</v>
      </c>
      <c r="D835" t="s">
        <v>3303</v>
      </c>
      <c r="E835" t="s">
        <v>3304</v>
      </c>
      <c r="F835" t="s">
        <v>3305</v>
      </c>
      <c r="G835" s="1">
        <v>45301</v>
      </c>
      <c r="H835" s="1">
        <v>45303</v>
      </c>
      <c r="I835" s="1">
        <v>73050</v>
      </c>
      <c r="J835" s="2" t="s">
        <v>419</v>
      </c>
      <c r="K835" t="s">
        <v>3306</v>
      </c>
      <c r="M835" s="16" t="s">
        <v>8363</v>
      </c>
      <c r="N835" s="16" t="str">
        <f>VLOOKUP(M835,Tab_Zast[[Zastávka]:[Sloupec1]],2,0)</f>
        <v>42</v>
      </c>
      <c r="O835" t="s">
        <v>3307</v>
      </c>
      <c r="P835">
        <v>3</v>
      </c>
      <c r="Q835">
        <v>0</v>
      </c>
      <c r="R835" t="s">
        <v>31</v>
      </c>
      <c r="S835" t="s">
        <v>31</v>
      </c>
      <c r="T835" t="s">
        <v>32</v>
      </c>
      <c r="V835" s="1" t="e">
        <v>#N/A</v>
      </c>
      <c r="W835" t="s">
        <v>493</v>
      </c>
      <c r="X835">
        <v>0</v>
      </c>
      <c r="Y835">
        <v>0</v>
      </c>
      <c r="AA835" t="str">
        <f t="shared" si="24"/>
        <v>update zamestnanci set nastup='42' where id='742';</v>
      </c>
      <c r="AB835" t="str">
        <f t="shared" si="25"/>
        <v>update dochazka set zastavka = '42' where zamestnanec = '742';</v>
      </c>
    </row>
    <row r="836" spans="1:28" x14ac:dyDescent="0.25">
      <c r="A836" s="2">
        <v>750</v>
      </c>
      <c r="B836" t="s">
        <v>3339</v>
      </c>
      <c r="D836" t="s">
        <v>3340</v>
      </c>
      <c r="E836" t="s">
        <v>3341</v>
      </c>
      <c r="F836" t="s">
        <v>3342</v>
      </c>
      <c r="G836" s="1">
        <v>45308</v>
      </c>
      <c r="H836" s="1">
        <v>45379</v>
      </c>
      <c r="I836" s="1">
        <v>73050</v>
      </c>
      <c r="J836" s="2" t="s">
        <v>419</v>
      </c>
      <c r="K836" t="s">
        <v>3343</v>
      </c>
      <c r="M836" s="16" t="s">
        <v>8363</v>
      </c>
      <c r="N836" s="16" t="str">
        <f>VLOOKUP(M836,Tab_Zast[[Zastávka]:[Sloupec1]],2,0)</f>
        <v>42</v>
      </c>
      <c r="O836" t="s">
        <v>3344</v>
      </c>
      <c r="P836">
        <v>3</v>
      </c>
      <c r="Q836">
        <v>0</v>
      </c>
      <c r="R836" t="s">
        <v>31</v>
      </c>
      <c r="S836" t="s">
        <v>31</v>
      </c>
      <c r="T836" t="s">
        <v>32</v>
      </c>
      <c r="V836" s="1" t="e">
        <v>#N/A</v>
      </c>
      <c r="W836" t="s">
        <v>493</v>
      </c>
      <c r="X836">
        <v>0</v>
      </c>
      <c r="Y836">
        <v>0</v>
      </c>
      <c r="Z836" t="s">
        <v>54</v>
      </c>
      <c r="AA836" t="str">
        <f t="shared" ref="AA836:AA899" si="26">IF(J836&lt;&gt;"00","update zamestnanci set nastup='" &amp; J836 &amp; "' where id='" &amp; A836 &amp; "';","")</f>
        <v>update zamestnanci set nastup='42' where id='750';</v>
      </c>
      <c r="AB836" t="str">
        <f t="shared" ref="AB836:AB899" si="27">IF(J836&lt;&gt;"00","update dochazka set zastavka = '" &amp; J836 &amp; "' where zamestnanec = '" &amp; A836 &amp; "';","")</f>
        <v>update dochazka set zastavka = '42' where zamestnanec = '750';</v>
      </c>
    </row>
    <row r="837" spans="1:28" x14ac:dyDescent="0.25">
      <c r="A837" s="2">
        <v>793</v>
      </c>
      <c r="B837" t="s">
        <v>3554</v>
      </c>
      <c r="C837" t="s">
        <v>3555</v>
      </c>
      <c r="D837" t="s">
        <v>3556</v>
      </c>
      <c r="E837" t="s">
        <v>1947</v>
      </c>
      <c r="F837" t="s">
        <v>3557</v>
      </c>
      <c r="G837" s="1">
        <v>45329</v>
      </c>
      <c r="H837" s="1">
        <v>45441</v>
      </c>
      <c r="I837" s="1">
        <v>73050</v>
      </c>
      <c r="J837" s="2" t="s">
        <v>419</v>
      </c>
      <c r="K837" t="s">
        <v>3558</v>
      </c>
      <c r="M837" s="16" t="s">
        <v>8363</v>
      </c>
      <c r="N837" s="16" t="str">
        <f>VLOOKUP(M837,Tab_Zast[[Zastávka]:[Sloupec1]],2,0)</f>
        <v>42</v>
      </c>
      <c r="O837" t="s">
        <v>3559</v>
      </c>
      <c r="P837">
        <v>3</v>
      </c>
      <c r="Q837">
        <v>0</v>
      </c>
      <c r="R837" t="s">
        <v>31</v>
      </c>
      <c r="S837" t="s">
        <v>31</v>
      </c>
      <c r="T837" t="s">
        <v>32</v>
      </c>
      <c r="V837" s="1">
        <v>45425</v>
      </c>
      <c r="W837" t="s">
        <v>493</v>
      </c>
      <c r="X837">
        <v>0</v>
      </c>
      <c r="Y837">
        <v>0</v>
      </c>
      <c r="Z837" t="s">
        <v>54</v>
      </c>
      <c r="AA837" t="str">
        <f t="shared" si="26"/>
        <v>update zamestnanci set nastup='42' where id='793';</v>
      </c>
      <c r="AB837" t="str">
        <f t="shared" si="27"/>
        <v>update dochazka set zastavka = '42' where zamestnanec = '793';</v>
      </c>
    </row>
    <row r="838" spans="1:28" x14ac:dyDescent="0.25">
      <c r="A838" s="2">
        <v>819</v>
      </c>
      <c r="B838" t="s">
        <v>3681</v>
      </c>
      <c r="D838" t="s">
        <v>2823</v>
      </c>
      <c r="E838" t="s">
        <v>743</v>
      </c>
      <c r="F838" t="s">
        <v>3682</v>
      </c>
      <c r="G838" s="1">
        <v>45343</v>
      </c>
      <c r="H838" s="1">
        <v>45364</v>
      </c>
      <c r="I838" s="1">
        <v>73050</v>
      </c>
      <c r="J838" s="2" t="s">
        <v>419</v>
      </c>
      <c r="K838" t="s">
        <v>3683</v>
      </c>
      <c r="M838" s="16" t="s">
        <v>8363</v>
      </c>
      <c r="N838" s="16" t="str">
        <f>VLOOKUP(M838,Tab_Zast[[Zastávka]:[Sloupec1]],2,0)</f>
        <v>42</v>
      </c>
      <c r="O838" t="s">
        <v>3684</v>
      </c>
      <c r="P838">
        <v>3</v>
      </c>
      <c r="Q838">
        <v>0</v>
      </c>
      <c r="R838" t="s">
        <v>31</v>
      </c>
      <c r="S838" t="s">
        <v>31</v>
      </c>
      <c r="T838" t="s">
        <v>32</v>
      </c>
      <c r="V838" s="1" t="e">
        <v>#N/A</v>
      </c>
      <c r="W838" t="s">
        <v>493</v>
      </c>
      <c r="X838">
        <v>0</v>
      </c>
      <c r="Y838">
        <v>0</v>
      </c>
      <c r="Z838" t="s">
        <v>40</v>
      </c>
      <c r="AA838" t="str">
        <f t="shared" si="26"/>
        <v>update zamestnanci set nastup='42' where id='819';</v>
      </c>
      <c r="AB838" t="str">
        <f t="shared" si="27"/>
        <v>update dochazka set zastavka = '42' where zamestnanec = '819';</v>
      </c>
    </row>
    <row r="839" spans="1:28" x14ac:dyDescent="0.25">
      <c r="A839" s="2">
        <v>861</v>
      </c>
      <c r="B839" t="s">
        <v>3882</v>
      </c>
      <c r="D839" t="s">
        <v>3883</v>
      </c>
      <c r="E839" t="s">
        <v>917</v>
      </c>
      <c r="F839" t="s">
        <v>67</v>
      </c>
      <c r="G839" s="1">
        <v>45369</v>
      </c>
      <c r="H839" s="1">
        <v>45369</v>
      </c>
      <c r="I839" s="1">
        <v>45369</v>
      </c>
      <c r="J839" s="2" t="s">
        <v>419</v>
      </c>
      <c r="K839" t="s">
        <v>3884</v>
      </c>
      <c r="M839" s="16" t="s">
        <v>8363</v>
      </c>
      <c r="N839" s="16" t="str">
        <f>VLOOKUP(M839,Tab_Zast[[Zastávka]:[Sloupec1]],2,0)</f>
        <v>42</v>
      </c>
      <c r="O839" t="s">
        <v>3885</v>
      </c>
      <c r="P839">
        <v>3</v>
      </c>
      <c r="Q839">
        <v>0</v>
      </c>
      <c r="R839" t="s">
        <v>31</v>
      </c>
      <c r="S839" t="s">
        <v>31</v>
      </c>
      <c r="T839" t="s">
        <v>32</v>
      </c>
      <c r="V839" s="1" t="e">
        <v>#N/A</v>
      </c>
      <c r="W839" t="s">
        <v>493</v>
      </c>
      <c r="X839">
        <v>0</v>
      </c>
      <c r="Y839">
        <v>173</v>
      </c>
      <c r="AA839" t="str">
        <f t="shared" si="26"/>
        <v>update zamestnanci set nastup='42' where id='861';</v>
      </c>
      <c r="AB839" t="str">
        <f t="shared" si="27"/>
        <v>update dochazka set zastavka = '42' where zamestnanec = '861';</v>
      </c>
    </row>
    <row r="840" spans="1:28" x14ac:dyDescent="0.25">
      <c r="A840" s="2">
        <v>893</v>
      </c>
      <c r="B840" t="s">
        <v>4033</v>
      </c>
      <c r="D840" t="s">
        <v>4034</v>
      </c>
      <c r="E840" t="s">
        <v>4035</v>
      </c>
      <c r="F840" t="s">
        <v>4036</v>
      </c>
      <c r="G840" s="1">
        <v>45390</v>
      </c>
      <c r="H840" s="1">
        <v>45399</v>
      </c>
      <c r="I840" s="1">
        <v>73050</v>
      </c>
      <c r="J840" s="2" t="s">
        <v>419</v>
      </c>
      <c r="K840" t="s">
        <v>4037</v>
      </c>
      <c r="M840" s="16" t="s">
        <v>8363</v>
      </c>
      <c r="N840" s="16" t="str">
        <f>VLOOKUP(M840,Tab_Zast[[Zastávka]:[Sloupec1]],2,0)</f>
        <v>42</v>
      </c>
      <c r="O840" t="s">
        <v>4038</v>
      </c>
      <c r="P840">
        <v>3</v>
      </c>
      <c r="Q840">
        <v>0</v>
      </c>
      <c r="R840" t="s">
        <v>31</v>
      </c>
      <c r="S840" t="s">
        <v>31</v>
      </c>
      <c r="T840" t="s">
        <v>32</v>
      </c>
      <c r="V840" s="1" t="e">
        <v>#N/A</v>
      </c>
      <c r="W840" t="s">
        <v>493</v>
      </c>
      <c r="X840">
        <v>0</v>
      </c>
      <c r="Y840">
        <v>236</v>
      </c>
      <c r="Z840" t="s">
        <v>54</v>
      </c>
      <c r="AA840" t="str">
        <f t="shared" si="26"/>
        <v>update zamestnanci set nastup='42' where id='893';</v>
      </c>
      <c r="AB840" t="str">
        <f t="shared" si="27"/>
        <v>update dochazka set zastavka = '42' where zamestnanec = '893';</v>
      </c>
    </row>
    <row r="841" spans="1:28" x14ac:dyDescent="0.25">
      <c r="A841" s="2">
        <v>895</v>
      </c>
      <c r="B841" t="s">
        <v>4045</v>
      </c>
      <c r="D841" t="s">
        <v>1056</v>
      </c>
      <c r="E841" t="s">
        <v>701</v>
      </c>
      <c r="F841" t="s">
        <v>4046</v>
      </c>
      <c r="G841" s="1">
        <v>45390</v>
      </c>
      <c r="H841" s="1">
        <v>45405</v>
      </c>
      <c r="I841" s="1">
        <v>73050</v>
      </c>
      <c r="J841" s="2" t="s">
        <v>419</v>
      </c>
      <c r="K841" t="s">
        <v>4047</v>
      </c>
      <c r="M841" s="16" t="s">
        <v>8363</v>
      </c>
      <c r="N841" s="16" t="str">
        <f>VLOOKUP(M841,Tab_Zast[[Zastávka]:[Sloupec1]],2,0)</f>
        <v>42</v>
      </c>
      <c r="O841" t="s">
        <v>4048</v>
      </c>
      <c r="P841">
        <v>3</v>
      </c>
      <c r="Q841">
        <v>0</v>
      </c>
      <c r="R841" t="s">
        <v>31</v>
      </c>
      <c r="S841" t="s">
        <v>31</v>
      </c>
      <c r="T841" t="s">
        <v>32</v>
      </c>
      <c r="V841" s="1" t="e">
        <v>#N/A</v>
      </c>
      <c r="W841" t="s">
        <v>493</v>
      </c>
      <c r="X841">
        <v>0</v>
      </c>
      <c r="Y841">
        <v>234</v>
      </c>
      <c r="Z841" t="s">
        <v>54</v>
      </c>
      <c r="AA841" t="str">
        <f t="shared" si="26"/>
        <v>update zamestnanci set nastup='42' where id='895';</v>
      </c>
      <c r="AB841" t="str">
        <f t="shared" si="27"/>
        <v>update dochazka set zastavka = '42' where zamestnanec = '895';</v>
      </c>
    </row>
    <row r="842" spans="1:28" x14ac:dyDescent="0.25">
      <c r="A842" s="2">
        <v>1460</v>
      </c>
      <c r="B842" t="s">
        <v>6362</v>
      </c>
      <c r="C842" t="s">
        <v>64</v>
      </c>
      <c r="D842" t="s">
        <v>6363</v>
      </c>
      <c r="E842" t="s">
        <v>2607</v>
      </c>
      <c r="F842" t="s">
        <v>64</v>
      </c>
      <c r="G842" s="1">
        <v>45692</v>
      </c>
      <c r="H842" s="1">
        <v>45771</v>
      </c>
      <c r="I842" s="1">
        <v>73050</v>
      </c>
      <c r="J842" s="2" t="s">
        <v>357</v>
      </c>
      <c r="K842" t="s">
        <v>6364</v>
      </c>
      <c r="M842" s="16" t="s">
        <v>8551</v>
      </c>
      <c r="N842" s="16" t="str">
        <f>VLOOKUP(M842,Tab_Zast[[Zastávka]:[Sloupec1]],2,0)</f>
        <v>00</v>
      </c>
      <c r="O842" t="s">
        <v>6365</v>
      </c>
      <c r="P842">
        <v>8</v>
      </c>
      <c r="Q842">
        <v>0</v>
      </c>
      <c r="R842" t="s">
        <v>31</v>
      </c>
      <c r="S842" t="s">
        <v>31</v>
      </c>
      <c r="T842" t="s">
        <v>32</v>
      </c>
      <c r="V842" s="1" t="e">
        <v>#N/A</v>
      </c>
      <c r="W842" t="s">
        <v>493</v>
      </c>
      <c r="X842">
        <v>0</v>
      </c>
      <c r="Y842">
        <v>849</v>
      </c>
      <c r="AA842" t="str">
        <f t="shared" si="26"/>
        <v/>
      </c>
      <c r="AB842" t="str">
        <f t="shared" si="27"/>
        <v/>
      </c>
    </row>
    <row r="843" spans="1:28" x14ac:dyDescent="0.25">
      <c r="A843" s="2">
        <v>1479</v>
      </c>
      <c r="B843" t="s">
        <v>6435</v>
      </c>
      <c r="C843" t="s">
        <v>64</v>
      </c>
      <c r="D843" t="s">
        <v>6436</v>
      </c>
      <c r="E843" t="s">
        <v>761</v>
      </c>
      <c r="F843" t="s">
        <v>569</v>
      </c>
      <c r="G843" s="1">
        <v>45706</v>
      </c>
      <c r="H843" s="1">
        <v>45771</v>
      </c>
      <c r="I843" s="1">
        <v>73050</v>
      </c>
      <c r="J843" s="2" t="s">
        <v>357</v>
      </c>
      <c r="K843" t="s">
        <v>6437</v>
      </c>
      <c r="M843" s="16" t="s">
        <v>8551</v>
      </c>
      <c r="N843" s="16" t="str">
        <f>VLOOKUP(M843,Tab_Zast[[Zastávka]:[Sloupec1]],2,0)</f>
        <v>00</v>
      </c>
      <c r="O843" t="s">
        <v>6438</v>
      </c>
      <c r="P843">
        <v>8</v>
      </c>
      <c r="Q843">
        <v>0</v>
      </c>
      <c r="R843" t="s">
        <v>31</v>
      </c>
      <c r="S843" t="s">
        <v>31</v>
      </c>
      <c r="T843" t="s">
        <v>32</v>
      </c>
      <c r="V843" s="1" t="e">
        <v>#N/A</v>
      </c>
      <c r="W843" t="s">
        <v>3023</v>
      </c>
      <c r="X843">
        <v>0</v>
      </c>
      <c r="Y843">
        <v>870</v>
      </c>
      <c r="AA843" t="str">
        <f t="shared" si="26"/>
        <v/>
      </c>
      <c r="AB843" t="str">
        <f t="shared" si="27"/>
        <v/>
      </c>
    </row>
    <row r="844" spans="1:28" x14ac:dyDescent="0.25">
      <c r="A844" s="2">
        <v>1481</v>
      </c>
      <c r="B844" t="s">
        <v>6440</v>
      </c>
      <c r="C844" t="s">
        <v>64</v>
      </c>
      <c r="D844" t="s">
        <v>6441</v>
      </c>
      <c r="E844" t="s">
        <v>643</v>
      </c>
      <c r="F844" t="s">
        <v>6442</v>
      </c>
      <c r="G844" s="1">
        <v>45706</v>
      </c>
      <c r="H844" s="1">
        <v>45765</v>
      </c>
      <c r="I844" s="1">
        <v>73050</v>
      </c>
      <c r="J844" s="2" t="s">
        <v>357</v>
      </c>
      <c r="K844" t="s">
        <v>6443</v>
      </c>
      <c r="M844" s="16" t="s">
        <v>8551</v>
      </c>
      <c r="N844" s="16" t="str">
        <f>VLOOKUP(M844,Tab_Zast[[Zastávka]:[Sloupec1]],2,0)</f>
        <v>00</v>
      </c>
      <c r="O844" t="s">
        <v>6444</v>
      </c>
      <c r="P844">
        <v>8</v>
      </c>
      <c r="Q844">
        <v>0</v>
      </c>
      <c r="R844" t="s">
        <v>31</v>
      </c>
      <c r="S844" t="s">
        <v>31</v>
      </c>
      <c r="T844" t="s">
        <v>32</v>
      </c>
      <c r="V844" s="1">
        <v>45742</v>
      </c>
      <c r="W844" t="s">
        <v>3023</v>
      </c>
      <c r="X844">
        <v>0</v>
      </c>
      <c r="Y844">
        <v>872</v>
      </c>
      <c r="AA844" t="str">
        <f t="shared" si="26"/>
        <v/>
      </c>
      <c r="AB844" t="str">
        <f t="shared" si="27"/>
        <v/>
      </c>
    </row>
    <row r="845" spans="1:28" x14ac:dyDescent="0.25">
      <c r="A845" s="2">
        <v>1505</v>
      </c>
      <c r="B845" t="s">
        <v>6532</v>
      </c>
      <c r="C845" t="s">
        <v>64</v>
      </c>
      <c r="D845" t="s">
        <v>6533</v>
      </c>
      <c r="E845" t="s">
        <v>755</v>
      </c>
      <c r="F845" t="s">
        <v>6534</v>
      </c>
      <c r="G845" s="1">
        <v>45726</v>
      </c>
      <c r="H845" s="1">
        <v>45770</v>
      </c>
      <c r="I845" s="1">
        <v>73050</v>
      </c>
      <c r="J845" s="2" t="s">
        <v>357</v>
      </c>
      <c r="K845" t="s">
        <v>6535</v>
      </c>
      <c r="M845" s="16" t="s">
        <v>8551</v>
      </c>
      <c r="N845" s="16" t="str">
        <f>VLOOKUP(M845,Tab_Zast[[Zastávka]:[Sloupec1]],2,0)</f>
        <v>00</v>
      </c>
      <c r="O845" t="s">
        <v>6488</v>
      </c>
      <c r="P845">
        <v>8</v>
      </c>
      <c r="Q845">
        <v>0</v>
      </c>
      <c r="R845" t="s">
        <v>31</v>
      </c>
      <c r="S845" t="s">
        <v>31</v>
      </c>
      <c r="T845" t="s">
        <v>32</v>
      </c>
      <c r="V845" s="1">
        <v>45742</v>
      </c>
      <c r="W845" t="s">
        <v>3023</v>
      </c>
      <c r="X845">
        <v>0</v>
      </c>
      <c r="Y845">
        <v>897</v>
      </c>
      <c r="AA845" t="str">
        <f t="shared" si="26"/>
        <v/>
      </c>
      <c r="AB845" t="str">
        <f t="shared" si="27"/>
        <v/>
      </c>
    </row>
    <row r="846" spans="1:28" x14ac:dyDescent="0.25">
      <c r="A846" s="2">
        <v>1506</v>
      </c>
      <c r="B846" t="s">
        <v>6536</v>
      </c>
      <c r="C846" t="s">
        <v>64</v>
      </c>
      <c r="D846" t="s">
        <v>4360</v>
      </c>
      <c r="E846" t="s">
        <v>2613</v>
      </c>
      <c r="F846" t="s">
        <v>6537</v>
      </c>
      <c r="G846" s="1">
        <v>45726</v>
      </c>
      <c r="H846" s="1">
        <v>45747</v>
      </c>
      <c r="I846" s="1">
        <v>73050</v>
      </c>
      <c r="J846" s="2" t="s">
        <v>357</v>
      </c>
      <c r="K846" t="s">
        <v>4361</v>
      </c>
      <c r="M846" s="16" t="s">
        <v>8551</v>
      </c>
      <c r="N846" s="16" t="str">
        <f>VLOOKUP(M846,Tab_Zast[[Zastávka]:[Sloupec1]],2,0)</f>
        <v>00</v>
      </c>
      <c r="O846" t="s">
        <v>4362</v>
      </c>
      <c r="P846">
        <v>8</v>
      </c>
      <c r="Q846">
        <v>0</v>
      </c>
      <c r="R846" t="s">
        <v>31</v>
      </c>
      <c r="S846" t="s">
        <v>31</v>
      </c>
      <c r="T846" t="s">
        <v>32</v>
      </c>
      <c r="V846" s="1">
        <v>45735</v>
      </c>
      <c r="W846" t="s">
        <v>3023</v>
      </c>
      <c r="X846">
        <v>0</v>
      </c>
      <c r="Y846">
        <v>898</v>
      </c>
      <c r="AA846" t="str">
        <f t="shared" si="26"/>
        <v/>
      </c>
      <c r="AB846" t="str">
        <f t="shared" si="27"/>
        <v/>
      </c>
    </row>
    <row r="847" spans="1:28" x14ac:dyDescent="0.25">
      <c r="A847" s="2">
        <v>1510</v>
      </c>
      <c r="B847" t="s">
        <v>6549</v>
      </c>
      <c r="C847" t="s">
        <v>64</v>
      </c>
      <c r="D847" t="s">
        <v>2908</v>
      </c>
      <c r="E847" t="s">
        <v>3048</v>
      </c>
      <c r="F847" t="s">
        <v>64</v>
      </c>
      <c r="G847" s="1">
        <v>45726</v>
      </c>
      <c r="H847" s="1">
        <v>45726</v>
      </c>
      <c r="I847" s="1">
        <v>45726</v>
      </c>
      <c r="J847" s="2" t="s">
        <v>357</v>
      </c>
      <c r="K847" t="s">
        <v>6550</v>
      </c>
      <c r="M847" s="16" t="s">
        <v>8551</v>
      </c>
      <c r="N847" s="16" t="str">
        <f>VLOOKUP(M847,Tab_Zast[[Zastávka]:[Sloupec1]],2,0)</f>
        <v>00</v>
      </c>
      <c r="O847" t="s">
        <v>6551</v>
      </c>
      <c r="P847">
        <v>8</v>
      </c>
      <c r="Q847">
        <v>0</v>
      </c>
      <c r="R847" t="s">
        <v>31</v>
      </c>
      <c r="S847" t="s">
        <v>31</v>
      </c>
      <c r="T847" t="s">
        <v>32</v>
      </c>
      <c r="V847" s="1" t="e">
        <v>#N/A</v>
      </c>
      <c r="W847" t="s">
        <v>3023</v>
      </c>
      <c r="X847">
        <v>0</v>
      </c>
      <c r="Y847">
        <v>894</v>
      </c>
      <c r="AA847" t="str">
        <f t="shared" si="26"/>
        <v/>
      </c>
      <c r="AB847" t="str">
        <f t="shared" si="27"/>
        <v/>
      </c>
    </row>
    <row r="848" spans="1:28" x14ac:dyDescent="0.25">
      <c r="A848" s="2">
        <v>1551</v>
      </c>
      <c r="B848" t="s">
        <v>6699</v>
      </c>
      <c r="C848" t="s">
        <v>64</v>
      </c>
      <c r="D848" t="s">
        <v>6700</v>
      </c>
      <c r="E848" t="s">
        <v>2096</v>
      </c>
      <c r="F848" t="s">
        <v>569</v>
      </c>
      <c r="G848" s="1">
        <v>45747</v>
      </c>
      <c r="H848" s="1">
        <v>45819</v>
      </c>
      <c r="I848" s="1">
        <v>73050</v>
      </c>
      <c r="J848" s="2" t="s">
        <v>357</v>
      </c>
      <c r="K848" t="s">
        <v>6701</v>
      </c>
      <c r="M848" s="16" t="s">
        <v>8551</v>
      </c>
      <c r="N848" s="16" t="str">
        <f>VLOOKUP(M848,Tab_Zast[[Zastávka]:[Sloupec1]],2,0)</f>
        <v>00</v>
      </c>
      <c r="O848" t="s">
        <v>6702</v>
      </c>
      <c r="P848">
        <v>8</v>
      </c>
      <c r="Q848">
        <v>0</v>
      </c>
      <c r="R848" t="s">
        <v>31</v>
      </c>
      <c r="S848" t="s">
        <v>31</v>
      </c>
      <c r="T848" t="s">
        <v>32</v>
      </c>
      <c r="V848" s="1" t="e">
        <v>#N/A</v>
      </c>
      <c r="W848" t="s">
        <v>3023</v>
      </c>
      <c r="X848">
        <v>0</v>
      </c>
      <c r="Y848">
        <v>941</v>
      </c>
      <c r="AA848" t="str">
        <f t="shared" si="26"/>
        <v/>
      </c>
      <c r="AB848" t="str">
        <f t="shared" si="27"/>
        <v/>
      </c>
    </row>
    <row r="849" spans="1:28" x14ac:dyDescent="0.25">
      <c r="A849" s="2">
        <v>1552</v>
      </c>
      <c r="B849" t="s">
        <v>6703</v>
      </c>
      <c r="C849" t="s">
        <v>64</v>
      </c>
      <c r="D849" t="s">
        <v>6704</v>
      </c>
      <c r="E849" t="s">
        <v>2883</v>
      </c>
      <c r="F849" t="s">
        <v>64</v>
      </c>
      <c r="G849" s="1">
        <v>45747</v>
      </c>
      <c r="H849" s="1">
        <v>45770</v>
      </c>
      <c r="I849" s="1">
        <v>73050</v>
      </c>
      <c r="J849" s="2" t="s">
        <v>357</v>
      </c>
      <c r="K849" t="s">
        <v>6705</v>
      </c>
      <c r="M849" s="16" t="s">
        <v>8551</v>
      </c>
      <c r="N849" s="16" t="str">
        <f>VLOOKUP(M849,Tab_Zast[[Zastávka]:[Sloupec1]],2,0)</f>
        <v>00</v>
      </c>
      <c r="O849" t="s">
        <v>6706</v>
      </c>
      <c r="P849">
        <v>8</v>
      </c>
      <c r="Q849">
        <v>0</v>
      </c>
      <c r="R849" t="s">
        <v>31</v>
      </c>
      <c r="S849" t="s">
        <v>31</v>
      </c>
      <c r="T849" t="s">
        <v>32</v>
      </c>
      <c r="V849" s="1" t="e">
        <v>#N/A</v>
      </c>
      <c r="W849" t="s">
        <v>3023</v>
      </c>
      <c r="X849">
        <v>0</v>
      </c>
      <c r="Y849">
        <v>942</v>
      </c>
      <c r="AA849" t="str">
        <f t="shared" si="26"/>
        <v/>
      </c>
      <c r="AB849" t="str">
        <f t="shared" si="27"/>
        <v/>
      </c>
    </row>
    <row r="850" spans="1:28" x14ac:dyDescent="0.25">
      <c r="A850" s="2">
        <v>1568</v>
      </c>
      <c r="B850" t="s">
        <v>6761</v>
      </c>
      <c r="C850" t="s">
        <v>64</v>
      </c>
      <c r="D850" t="s">
        <v>6762</v>
      </c>
      <c r="E850" t="s">
        <v>3373</v>
      </c>
      <c r="F850" t="s">
        <v>569</v>
      </c>
      <c r="G850" s="1">
        <v>45754</v>
      </c>
      <c r="H850" s="1">
        <v>45779</v>
      </c>
      <c r="I850" s="1">
        <v>73050</v>
      </c>
      <c r="J850" s="2" t="s">
        <v>357</v>
      </c>
      <c r="K850" t="s">
        <v>6763</v>
      </c>
      <c r="M850" s="16" t="s">
        <v>8551</v>
      </c>
      <c r="N850" s="16" t="str">
        <f>VLOOKUP(M850,Tab_Zast[[Zastávka]:[Sloupec1]],2,0)</f>
        <v>00</v>
      </c>
      <c r="O850" t="s">
        <v>6764</v>
      </c>
      <c r="P850">
        <v>8</v>
      </c>
      <c r="Q850">
        <v>0</v>
      </c>
      <c r="R850" t="s">
        <v>31</v>
      </c>
      <c r="S850" t="s">
        <v>31</v>
      </c>
      <c r="T850" t="s">
        <v>32</v>
      </c>
      <c r="V850" s="1" t="e">
        <v>#N/A</v>
      </c>
      <c r="W850" t="s">
        <v>3023</v>
      </c>
      <c r="X850">
        <v>0</v>
      </c>
      <c r="Y850">
        <v>956</v>
      </c>
      <c r="AA850" t="str">
        <f t="shared" si="26"/>
        <v/>
      </c>
      <c r="AB850" t="str">
        <f t="shared" si="27"/>
        <v/>
      </c>
    </row>
    <row r="851" spans="1:28" x14ac:dyDescent="0.25">
      <c r="A851" s="2">
        <v>1682</v>
      </c>
      <c r="B851" t="s">
        <v>64</v>
      </c>
      <c r="C851" t="s">
        <v>64</v>
      </c>
      <c r="D851" t="s">
        <v>7168</v>
      </c>
      <c r="E851" t="s">
        <v>7169</v>
      </c>
      <c r="F851" t="s">
        <v>569</v>
      </c>
      <c r="G851" s="1">
        <v>45824</v>
      </c>
      <c r="H851" s="1">
        <v>45832</v>
      </c>
      <c r="I851" s="1">
        <v>73050</v>
      </c>
      <c r="J851" s="2" t="s">
        <v>419</v>
      </c>
      <c r="K851" t="s">
        <v>7170</v>
      </c>
      <c r="M851" s="16" t="s">
        <v>8363</v>
      </c>
      <c r="N851" s="16" t="str">
        <f>VLOOKUP(M851,Tab_Zast[[Zastávka]:[Sloupec1]],2,0)</f>
        <v>42</v>
      </c>
      <c r="O851" t="s">
        <v>7171</v>
      </c>
      <c r="P851">
        <v>8</v>
      </c>
      <c r="Q851">
        <v>0</v>
      </c>
      <c r="R851" t="s">
        <v>129</v>
      </c>
      <c r="S851" t="s">
        <v>179</v>
      </c>
      <c r="T851" t="s">
        <v>32</v>
      </c>
      <c r="V851" s="1" t="e">
        <v>#N/A</v>
      </c>
      <c r="W851" t="s">
        <v>3023</v>
      </c>
      <c r="X851">
        <v>0</v>
      </c>
      <c r="Y851">
        <v>1074</v>
      </c>
      <c r="AA851" t="str">
        <f t="shared" si="26"/>
        <v>update zamestnanci set nastup='42' where id='1682';</v>
      </c>
      <c r="AB851" t="str">
        <f t="shared" si="27"/>
        <v>update dochazka set zastavka = '42' where zamestnanec = '1682';</v>
      </c>
    </row>
    <row r="852" spans="1:28" x14ac:dyDescent="0.25">
      <c r="A852" s="2">
        <v>1722</v>
      </c>
      <c r="B852" t="s">
        <v>7306</v>
      </c>
      <c r="C852" t="s">
        <v>357</v>
      </c>
      <c r="D852" t="s">
        <v>3561</v>
      </c>
      <c r="E852" t="s">
        <v>6225</v>
      </c>
      <c r="F852" t="s">
        <v>357</v>
      </c>
      <c r="G852" s="1">
        <v>45839</v>
      </c>
      <c r="H852" s="1">
        <v>45706</v>
      </c>
      <c r="I852" s="1">
        <v>45839</v>
      </c>
      <c r="J852" s="2" t="s">
        <v>357</v>
      </c>
      <c r="K852" t="s">
        <v>6226</v>
      </c>
      <c r="M852" s="16" t="s">
        <v>8551</v>
      </c>
      <c r="N852" s="16" t="str">
        <f>VLOOKUP(M852,Tab_Zast[[Zastávka]:[Sloupec1]],2,0)</f>
        <v>00</v>
      </c>
      <c r="O852" t="s">
        <v>7307</v>
      </c>
      <c r="P852">
        <v>8</v>
      </c>
      <c r="Q852">
        <v>0</v>
      </c>
      <c r="R852" t="s">
        <v>31</v>
      </c>
      <c r="S852" t="s">
        <v>31</v>
      </c>
      <c r="T852" t="s">
        <v>32</v>
      </c>
      <c r="V852" s="1" t="e">
        <v>#N/A</v>
      </c>
      <c r="X852">
        <v>0</v>
      </c>
      <c r="Y852">
        <v>1114</v>
      </c>
      <c r="AA852" t="str">
        <f t="shared" si="26"/>
        <v/>
      </c>
      <c r="AB852" t="str">
        <f t="shared" si="27"/>
        <v/>
      </c>
    </row>
    <row r="853" spans="1:28" x14ac:dyDescent="0.25">
      <c r="A853" s="2">
        <v>1791</v>
      </c>
      <c r="B853" t="s">
        <v>7573</v>
      </c>
      <c r="C853" t="s">
        <v>569</v>
      </c>
      <c r="D853" t="s">
        <v>7574</v>
      </c>
      <c r="E853" t="s">
        <v>4461</v>
      </c>
      <c r="F853" t="s">
        <v>569</v>
      </c>
      <c r="G853" s="1">
        <v>45888</v>
      </c>
      <c r="H853" s="1">
        <v>45889</v>
      </c>
      <c r="I853" s="1">
        <v>73050</v>
      </c>
      <c r="J853" s="2" t="s">
        <v>357</v>
      </c>
      <c r="K853" t="s">
        <v>7575</v>
      </c>
      <c r="M853" s="16" t="s">
        <v>8551</v>
      </c>
      <c r="N853" s="16" t="str">
        <f>VLOOKUP(M853,Tab_Zast[[Zastávka]:[Sloupec1]],2,0)</f>
        <v>00</v>
      </c>
      <c r="O853" t="s">
        <v>7576</v>
      </c>
      <c r="P853">
        <v>8</v>
      </c>
      <c r="Q853">
        <v>0</v>
      </c>
      <c r="R853" t="s">
        <v>31</v>
      </c>
      <c r="S853" t="s">
        <v>31</v>
      </c>
      <c r="T853" t="s">
        <v>32</v>
      </c>
      <c r="V853" s="1" t="e">
        <v>#N/A</v>
      </c>
      <c r="W853" t="s">
        <v>493</v>
      </c>
      <c r="X853">
        <v>0</v>
      </c>
      <c r="Y853">
        <v>1184</v>
      </c>
      <c r="AA853" t="str">
        <f t="shared" si="26"/>
        <v/>
      </c>
      <c r="AB853" t="str">
        <f t="shared" si="27"/>
        <v/>
      </c>
    </row>
    <row r="854" spans="1:28" x14ac:dyDescent="0.25">
      <c r="A854" s="2">
        <v>1792</v>
      </c>
      <c r="B854" t="s">
        <v>7577</v>
      </c>
      <c r="C854" t="s">
        <v>357</v>
      </c>
      <c r="D854" t="s">
        <v>7578</v>
      </c>
      <c r="E854" t="s">
        <v>3373</v>
      </c>
      <c r="F854" t="s">
        <v>569</v>
      </c>
      <c r="G854" s="1">
        <v>45888</v>
      </c>
      <c r="H854" s="1">
        <v>45890</v>
      </c>
      <c r="I854" s="1">
        <v>73050</v>
      </c>
      <c r="J854" s="2" t="s">
        <v>357</v>
      </c>
      <c r="K854" t="s">
        <v>7579</v>
      </c>
      <c r="M854" s="16" t="s">
        <v>8551</v>
      </c>
      <c r="N854" s="16" t="str">
        <f>VLOOKUP(M854,Tab_Zast[[Zastávka]:[Sloupec1]],2,0)</f>
        <v>00</v>
      </c>
      <c r="O854" t="s">
        <v>7580</v>
      </c>
      <c r="P854">
        <v>8</v>
      </c>
      <c r="Q854">
        <v>0</v>
      </c>
      <c r="R854" t="s">
        <v>31</v>
      </c>
      <c r="S854" t="s">
        <v>31</v>
      </c>
      <c r="T854" t="s">
        <v>32</v>
      </c>
      <c r="V854" s="1" t="e">
        <v>#N/A</v>
      </c>
      <c r="W854" t="s">
        <v>493</v>
      </c>
      <c r="X854">
        <v>0</v>
      </c>
      <c r="Y854">
        <v>1185</v>
      </c>
      <c r="AA854" t="str">
        <f t="shared" si="26"/>
        <v/>
      </c>
      <c r="AB854" t="str">
        <f t="shared" si="27"/>
        <v/>
      </c>
    </row>
    <row r="855" spans="1:28" x14ac:dyDescent="0.25">
      <c r="A855" s="2">
        <v>1848</v>
      </c>
      <c r="B855" t="s">
        <v>7780</v>
      </c>
      <c r="C855" t="s">
        <v>569</v>
      </c>
      <c r="D855" t="s">
        <v>7781</v>
      </c>
      <c r="E855" t="s">
        <v>701</v>
      </c>
      <c r="F855" t="s">
        <v>7782</v>
      </c>
      <c r="G855" s="1">
        <v>45922</v>
      </c>
      <c r="H855" s="1">
        <v>45950</v>
      </c>
      <c r="I855" s="1">
        <v>73050</v>
      </c>
      <c r="J855" s="2" t="s">
        <v>419</v>
      </c>
      <c r="K855" t="s">
        <v>7783</v>
      </c>
      <c r="M855" s="16" t="s">
        <v>8363</v>
      </c>
      <c r="N855" s="16" t="str">
        <f>VLOOKUP(M855,Tab_Zast[[Zastávka]:[Sloupec1]],2,0)</f>
        <v>42</v>
      </c>
      <c r="O855" t="s">
        <v>7784</v>
      </c>
      <c r="P855">
        <v>8</v>
      </c>
      <c r="Q855">
        <v>0</v>
      </c>
      <c r="R855" t="s">
        <v>31</v>
      </c>
      <c r="S855" t="s">
        <v>31</v>
      </c>
      <c r="T855" t="s">
        <v>32</v>
      </c>
      <c r="V855" s="1" t="e">
        <v>#N/A</v>
      </c>
      <c r="W855" t="s">
        <v>493</v>
      </c>
      <c r="X855">
        <v>0</v>
      </c>
      <c r="Y855">
        <v>1244</v>
      </c>
      <c r="AA855" t="str">
        <f t="shared" si="26"/>
        <v>update zamestnanci set nastup='42' where id='1848';</v>
      </c>
      <c r="AB855" t="str">
        <f t="shared" si="27"/>
        <v>update dochazka set zastavka = '42' where zamestnanec = '1848';</v>
      </c>
    </row>
    <row r="856" spans="1:28" x14ac:dyDescent="0.25">
      <c r="A856" s="2">
        <v>1849</v>
      </c>
      <c r="B856" t="s">
        <v>7785</v>
      </c>
      <c r="C856" t="s">
        <v>569</v>
      </c>
      <c r="D856" t="s">
        <v>7786</v>
      </c>
      <c r="E856" t="s">
        <v>2391</v>
      </c>
      <c r="F856" t="s">
        <v>7787</v>
      </c>
      <c r="G856" s="1">
        <v>45922</v>
      </c>
      <c r="H856" s="1">
        <v>45962</v>
      </c>
      <c r="I856" s="1" t="e">
        <v>#N/A</v>
      </c>
      <c r="J856" s="2" t="s">
        <v>419</v>
      </c>
      <c r="K856" t="s">
        <v>7788</v>
      </c>
      <c r="M856" s="16" t="s">
        <v>8363</v>
      </c>
      <c r="N856" s="16" t="str">
        <f>VLOOKUP(M856,Tab_Zast[[Zastávka]:[Sloupec1]],2,0)</f>
        <v>42</v>
      </c>
      <c r="O856" t="s">
        <v>7789</v>
      </c>
      <c r="P856">
        <v>8</v>
      </c>
      <c r="Q856">
        <v>0</v>
      </c>
      <c r="R856" t="s">
        <v>31</v>
      </c>
      <c r="S856" t="s">
        <v>31</v>
      </c>
      <c r="T856" t="s">
        <v>32</v>
      </c>
      <c r="V856" s="1" t="e">
        <v>#N/A</v>
      </c>
      <c r="W856" t="s">
        <v>493</v>
      </c>
      <c r="X856">
        <v>0</v>
      </c>
      <c r="Y856">
        <v>1245</v>
      </c>
      <c r="AA856" t="str">
        <f t="shared" si="26"/>
        <v>update zamestnanci set nastup='42' where id='1849';</v>
      </c>
      <c r="AB856" t="str">
        <f t="shared" si="27"/>
        <v>update dochazka set zastavka = '42' where zamestnanec = '1849';</v>
      </c>
    </row>
    <row r="857" spans="1:28" x14ac:dyDescent="0.25">
      <c r="A857" s="2">
        <v>406</v>
      </c>
      <c r="B857" t="s">
        <v>1351</v>
      </c>
      <c r="C857" t="s">
        <v>1352</v>
      </c>
      <c r="D857" t="s">
        <v>1353</v>
      </c>
      <c r="E857" t="s">
        <v>1354</v>
      </c>
      <c r="F857" t="s">
        <v>1355</v>
      </c>
      <c r="G857" s="1">
        <v>45209</v>
      </c>
      <c r="H857" s="1">
        <v>45791</v>
      </c>
      <c r="I857" s="1">
        <v>73050</v>
      </c>
      <c r="J857" s="2" t="s">
        <v>8348</v>
      </c>
      <c r="K857" t="s">
        <v>1356</v>
      </c>
      <c r="M857" s="16" t="s">
        <v>8349</v>
      </c>
      <c r="N857" s="16" t="str">
        <f>VLOOKUP(M857,Tab_Zast[[Zastávka]:[Sloupec1]],2,0)</f>
        <v>36</v>
      </c>
      <c r="O857" t="s">
        <v>1357</v>
      </c>
      <c r="P857">
        <v>6</v>
      </c>
      <c r="Q857">
        <v>0</v>
      </c>
      <c r="R857" t="s">
        <v>31</v>
      </c>
      <c r="S857" t="s">
        <v>31</v>
      </c>
      <c r="T857" t="s">
        <v>32</v>
      </c>
      <c r="V857" s="1" t="e">
        <v>#N/A</v>
      </c>
      <c r="W857" t="s">
        <v>1216</v>
      </c>
      <c r="X857">
        <v>0</v>
      </c>
      <c r="Y857">
        <v>0</v>
      </c>
      <c r="AA857" t="str">
        <f t="shared" si="26"/>
        <v>update zamestnanci set nastup='36' where id='406';</v>
      </c>
      <c r="AB857" t="str">
        <f t="shared" si="27"/>
        <v>update dochazka set zastavka = '36' where zamestnanec = '406';</v>
      </c>
    </row>
    <row r="858" spans="1:28" x14ac:dyDescent="0.25">
      <c r="A858" s="2">
        <v>442</v>
      </c>
      <c r="B858" t="s">
        <v>1576</v>
      </c>
      <c r="C858" t="s">
        <v>1577</v>
      </c>
      <c r="D858" t="s">
        <v>1578</v>
      </c>
      <c r="E858" t="s">
        <v>182</v>
      </c>
      <c r="F858" t="s">
        <v>569</v>
      </c>
      <c r="G858" s="1">
        <v>44802</v>
      </c>
      <c r="H858" s="1">
        <v>45897</v>
      </c>
      <c r="I858" s="1">
        <v>73050</v>
      </c>
      <c r="J858" s="2" t="s">
        <v>8348</v>
      </c>
      <c r="K858" t="s">
        <v>1579</v>
      </c>
      <c r="M858" s="16" t="s">
        <v>8349</v>
      </c>
      <c r="N858" s="16" t="str">
        <f>VLOOKUP(M858,Tab_Zast[[Zastávka]:[Sloupec1]],2,0)</f>
        <v>36</v>
      </c>
      <c r="O858" t="s">
        <v>1580</v>
      </c>
      <c r="P858">
        <v>6</v>
      </c>
      <c r="Q858">
        <v>0</v>
      </c>
      <c r="R858" t="s">
        <v>31</v>
      </c>
      <c r="S858" t="s">
        <v>31</v>
      </c>
      <c r="T858" t="s">
        <v>32</v>
      </c>
      <c r="V858" s="1">
        <v>45894</v>
      </c>
      <c r="W858" t="s">
        <v>1216</v>
      </c>
      <c r="X858">
        <v>0</v>
      </c>
      <c r="Y858">
        <v>0</v>
      </c>
      <c r="AA858" t="str">
        <f t="shared" si="26"/>
        <v>update zamestnanci set nastup='36' where id='442';</v>
      </c>
      <c r="AB858" t="str">
        <f t="shared" si="27"/>
        <v>update dochazka set zastavka = '36' where zamestnanec = '442';</v>
      </c>
    </row>
    <row r="859" spans="1:28" x14ac:dyDescent="0.25">
      <c r="A859" s="2">
        <v>482</v>
      </c>
      <c r="B859" t="s">
        <v>1830</v>
      </c>
      <c r="C859" t="s">
        <v>1831</v>
      </c>
      <c r="D859" t="s">
        <v>1832</v>
      </c>
      <c r="E859" t="s">
        <v>1833</v>
      </c>
      <c r="F859" t="s">
        <v>1834</v>
      </c>
      <c r="G859" s="1">
        <v>45173</v>
      </c>
      <c r="H859" s="1">
        <v>73050</v>
      </c>
      <c r="I859" s="1" t="e">
        <v>#N/A</v>
      </c>
      <c r="J859" s="2" t="s">
        <v>8348</v>
      </c>
      <c r="K859" t="s">
        <v>1835</v>
      </c>
      <c r="M859" s="16" t="s">
        <v>8349</v>
      </c>
      <c r="N859" s="16" t="str">
        <f>VLOOKUP(M859,Tab_Zast[[Zastávka]:[Sloupec1]],2,0)</f>
        <v>36</v>
      </c>
      <c r="O859" t="s">
        <v>1836</v>
      </c>
      <c r="P859">
        <v>6</v>
      </c>
      <c r="Q859">
        <v>0</v>
      </c>
      <c r="R859" t="s">
        <v>179</v>
      </c>
      <c r="S859" t="s">
        <v>31</v>
      </c>
      <c r="T859" t="s">
        <v>32</v>
      </c>
      <c r="V859" s="1" t="e">
        <v>#N/A</v>
      </c>
      <c r="W859" t="s">
        <v>1216</v>
      </c>
      <c r="X859">
        <v>1</v>
      </c>
      <c r="Y859">
        <v>0</v>
      </c>
      <c r="AA859" t="str">
        <f t="shared" si="26"/>
        <v>update zamestnanci set nastup='36' where id='482';</v>
      </c>
      <c r="AB859" t="str">
        <f t="shared" si="27"/>
        <v>update dochazka set zastavka = '36' where zamestnanec = '482';</v>
      </c>
    </row>
    <row r="860" spans="1:28" x14ac:dyDescent="0.25">
      <c r="A860" s="2">
        <v>650</v>
      </c>
      <c r="B860" t="s">
        <v>2821</v>
      </c>
      <c r="C860" t="s">
        <v>2822</v>
      </c>
      <c r="D860" t="s">
        <v>2823</v>
      </c>
      <c r="E860" t="s">
        <v>761</v>
      </c>
      <c r="F860" t="s">
        <v>2824</v>
      </c>
      <c r="G860" s="1">
        <v>45215</v>
      </c>
      <c r="H860" s="1">
        <v>73050</v>
      </c>
      <c r="I860" s="1" t="e">
        <v>#N/A</v>
      </c>
      <c r="J860" s="2" t="s">
        <v>8481</v>
      </c>
      <c r="K860" t="s">
        <v>2825</v>
      </c>
      <c r="M860" s="16" t="s">
        <v>8482</v>
      </c>
      <c r="N860" s="16" t="str">
        <f>VLOOKUP(M860,Tab_Zast[[Zastávka]:[Sloupec1]],2,0)</f>
        <v>82</v>
      </c>
      <c r="O860" t="s">
        <v>2826</v>
      </c>
      <c r="P860">
        <v>8</v>
      </c>
      <c r="Q860">
        <v>0</v>
      </c>
      <c r="R860" t="s">
        <v>130</v>
      </c>
      <c r="S860" t="s">
        <v>31</v>
      </c>
      <c r="T860" t="s">
        <v>32</v>
      </c>
      <c r="V860" s="1" t="e">
        <v>#N/A</v>
      </c>
      <c r="W860" t="s">
        <v>493</v>
      </c>
      <c r="X860">
        <v>1</v>
      </c>
      <c r="Y860">
        <v>0</v>
      </c>
      <c r="AA860" t="str">
        <f t="shared" si="26"/>
        <v>update zamestnanci set nastup='82' where id='650';</v>
      </c>
      <c r="AB860" t="str">
        <f t="shared" si="27"/>
        <v>update dochazka set zastavka = '82' where zamestnanec = '650';</v>
      </c>
    </row>
    <row r="861" spans="1:28" x14ac:dyDescent="0.25">
      <c r="A861" s="2">
        <v>736</v>
      </c>
      <c r="B861" t="s">
        <v>3271</v>
      </c>
      <c r="D861" t="s">
        <v>3272</v>
      </c>
      <c r="E861" t="s">
        <v>3273</v>
      </c>
      <c r="F861" t="s">
        <v>3274</v>
      </c>
      <c r="G861" s="1">
        <v>45308</v>
      </c>
      <c r="H861" s="1">
        <v>45320</v>
      </c>
      <c r="I861" s="1">
        <v>73050</v>
      </c>
      <c r="J861" s="2" t="s">
        <v>8348</v>
      </c>
      <c r="K861" t="s">
        <v>3275</v>
      </c>
      <c r="M861" s="16" t="s">
        <v>8349</v>
      </c>
      <c r="N861" s="16" t="str">
        <f>VLOOKUP(M861,Tab_Zast[[Zastávka]:[Sloupec1]],2,0)</f>
        <v>36</v>
      </c>
      <c r="O861" t="s">
        <v>3276</v>
      </c>
      <c r="P861">
        <v>6</v>
      </c>
      <c r="Q861">
        <v>0</v>
      </c>
      <c r="R861" t="s">
        <v>31</v>
      </c>
      <c r="S861" t="s">
        <v>31</v>
      </c>
      <c r="T861" t="s">
        <v>32</v>
      </c>
      <c r="V861" s="1" t="e">
        <v>#N/A</v>
      </c>
      <c r="W861" t="s">
        <v>1216</v>
      </c>
      <c r="X861">
        <v>0</v>
      </c>
      <c r="Y861">
        <v>0</v>
      </c>
      <c r="Z861" t="s">
        <v>54</v>
      </c>
      <c r="AA861" t="str">
        <f t="shared" si="26"/>
        <v>update zamestnanci set nastup='36' where id='736';</v>
      </c>
      <c r="AB861" t="str">
        <f t="shared" si="27"/>
        <v>update dochazka set zastavka = '36' where zamestnanec = '736';</v>
      </c>
    </row>
    <row r="862" spans="1:28" x14ac:dyDescent="0.25">
      <c r="A862" s="2">
        <v>877</v>
      </c>
      <c r="B862" t="s">
        <v>3961</v>
      </c>
      <c r="D862" t="s">
        <v>3962</v>
      </c>
      <c r="E862" t="s">
        <v>701</v>
      </c>
      <c r="F862" t="s">
        <v>3963</v>
      </c>
      <c r="G862" s="1">
        <v>45384</v>
      </c>
      <c r="H862" s="1">
        <v>45412</v>
      </c>
      <c r="I862" s="1">
        <v>73050</v>
      </c>
      <c r="J862" s="2" t="s">
        <v>8348</v>
      </c>
      <c r="K862" t="s">
        <v>3964</v>
      </c>
      <c r="M862" s="16" t="s">
        <v>8349</v>
      </c>
      <c r="N862" s="16" t="str">
        <f>VLOOKUP(M862,Tab_Zast[[Zastávka]:[Sloupec1]],2,0)</f>
        <v>36</v>
      </c>
      <c r="O862" t="s">
        <v>3965</v>
      </c>
      <c r="P862">
        <v>6</v>
      </c>
      <c r="Q862">
        <v>0</v>
      </c>
      <c r="R862" t="s">
        <v>31</v>
      </c>
      <c r="S862" t="s">
        <v>31</v>
      </c>
      <c r="T862" t="s">
        <v>32</v>
      </c>
      <c r="V862" s="1" t="e">
        <v>#N/A</v>
      </c>
      <c r="W862" t="s">
        <v>1216</v>
      </c>
      <c r="X862">
        <v>0</v>
      </c>
      <c r="Y862">
        <v>231</v>
      </c>
      <c r="Z862" t="s">
        <v>54</v>
      </c>
      <c r="AA862" t="str">
        <f t="shared" si="26"/>
        <v>update zamestnanci set nastup='36' where id='877';</v>
      </c>
      <c r="AB862" t="str">
        <f t="shared" si="27"/>
        <v>update dochazka set zastavka = '36' where zamestnanec = '877';</v>
      </c>
    </row>
    <row r="863" spans="1:28" x14ac:dyDescent="0.25">
      <c r="A863" s="2">
        <v>912</v>
      </c>
      <c r="B863" t="s">
        <v>4128</v>
      </c>
      <c r="D863" t="s">
        <v>4129</v>
      </c>
      <c r="E863" t="s">
        <v>3728</v>
      </c>
      <c r="F863" t="s">
        <v>4130</v>
      </c>
      <c r="G863" s="1">
        <v>45398</v>
      </c>
      <c r="H863" s="1">
        <v>45421</v>
      </c>
      <c r="I863" s="1">
        <v>73050</v>
      </c>
      <c r="J863" s="2" t="s">
        <v>8348</v>
      </c>
      <c r="K863" t="s">
        <v>4131</v>
      </c>
      <c r="M863" s="16" t="s">
        <v>8349</v>
      </c>
      <c r="N863" s="16" t="str">
        <f>VLOOKUP(M863,Tab_Zast[[Zastávka]:[Sloupec1]],2,0)</f>
        <v>36</v>
      </c>
      <c r="O863" t="s">
        <v>4132</v>
      </c>
      <c r="P863">
        <v>6</v>
      </c>
      <c r="Q863">
        <v>0</v>
      </c>
      <c r="R863" t="s">
        <v>31</v>
      </c>
      <c r="S863" t="s">
        <v>31</v>
      </c>
      <c r="T863" t="s">
        <v>32</v>
      </c>
      <c r="V863" s="1" t="e">
        <v>#N/A</v>
      </c>
      <c r="W863" t="s">
        <v>1216</v>
      </c>
      <c r="X863">
        <v>0</v>
      </c>
      <c r="Y863">
        <v>275</v>
      </c>
      <c r="AA863" t="str">
        <f t="shared" si="26"/>
        <v>update zamestnanci set nastup='36' where id='912';</v>
      </c>
      <c r="AB863" t="str">
        <f t="shared" si="27"/>
        <v>update dochazka set zastavka = '36' where zamestnanec = '912';</v>
      </c>
    </row>
    <row r="864" spans="1:28" x14ac:dyDescent="0.25">
      <c r="A864" s="2">
        <v>941</v>
      </c>
      <c r="B864" t="s">
        <v>4246</v>
      </c>
      <c r="D864" t="s">
        <v>4247</v>
      </c>
      <c r="E864" t="s">
        <v>4248</v>
      </c>
      <c r="F864" t="s">
        <v>67</v>
      </c>
      <c r="G864" s="1">
        <v>45425</v>
      </c>
      <c r="H864" s="1">
        <v>45425</v>
      </c>
      <c r="I864" s="1">
        <v>45425</v>
      </c>
      <c r="J864" s="2" t="s">
        <v>8348</v>
      </c>
      <c r="K864" t="s">
        <v>4249</v>
      </c>
      <c r="M864" s="16" t="s">
        <v>8349</v>
      </c>
      <c r="N864" s="16" t="str">
        <f>VLOOKUP(M864,Tab_Zast[[Zastávka]:[Sloupec1]],2,0)</f>
        <v>36</v>
      </c>
      <c r="O864" t="s">
        <v>4250</v>
      </c>
      <c r="P864">
        <v>6</v>
      </c>
      <c r="Q864">
        <v>0</v>
      </c>
      <c r="R864" t="s">
        <v>31</v>
      </c>
      <c r="S864" t="s">
        <v>31</v>
      </c>
      <c r="T864" t="s">
        <v>32</v>
      </c>
      <c r="V864" s="1" t="e">
        <v>#N/A</v>
      </c>
      <c r="W864" t="s">
        <v>1216</v>
      </c>
      <c r="X864">
        <v>0</v>
      </c>
      <c r="Y864">
        <v>324</v>
      </c>
      <c r="AA864" t="str">
        <f t="shared" si="26"/>
        <v>update zamestnanci set nastup='36' where id='941';</v>
      </c>
      <c r="AB864" t="str">
        <f t="shared" si="27"/>
        <v>update dochazka set zastavka = '36' where zamestnanec = '941';</v>
      </c>
    </row>
    <row r="865" spans="1:28" x14ac:dyDescent="0.25">
      <c r="A865" s="2">
        <v>1082</v>
      </c>
      <c r="B865" t="s">
        <v>4863</v>
      </c>
      <c r="C865" t="s">
        <v>1394</v>
      </c>
      <c r="D865" t="s">
        <v>4864</v>
      </c>
      <c r="E865" t="s">
        <v>3152</v>
      </c>
      <c r="F865" t="s">
        <v>4865</v>
      </c>
      <c r="G865" s="1">
        <v>45488</v>
      </c>
      <c r="H865" s="1">
        <v>45596</v>
      </c>
      <c r="I865" s="1">
        <v>73050</v>
      </c>
      <c r="J865" s="2" t="s">
        <v>8348</v>
      </c>
      <c r="K865" t="s">
        <v>4866</v>
      </c>
      <c r="M865" s="16" t="s">
        <v>8349</v>
      </c>
      <c r="N865" s="16" t="str">
        <f>VLOOKUP(M865,Tab_Zast[[Zastávka]:[Sloupec1]],2,0)</f>
        <v>36</v>
      </c>
      <c r="O865" t="s">
        <v>4867</v>
      </c>
      <c r="P865">
        <v>6</v>
      </c>
      <c r="Q865">
        <v>0</v>
      </c>
      <c r="R865" t="s">
        <v>31</v>
      </c>
      <c r="S865" t="s">
        <v>31</v>
      </c>
      <c r="T865" t="s">
        <v>32</v>
      </c>
      <c r="V865" s="1" t="e">
        <v>#N/A</v>
      </c>
      <c r="W865" t="s">
        <v>1022</v>
      </c>
      <c r="X865">
        <v>0</v>
      </c>
      <c r="Y865">
        <v>470</v>
      </c>
      <c r="AA865" t="str">
        <f t="shared" si="26"/>
        <v>update zamestnanci set nastup='36' where id='1082';</v>
      </c>
      <c r="AB865" t="str">
        <f t="shared" si="27"/>
        <v>update dochazka set zastavka = '36' where zamestnanec = '1082';</v>
      </c>
    </row>
    <row r="866" spans="1:28" x14ac:dyDescent="0.25">
      <c r="A866" s="2">
        <v>1083</v>
      </c>
      <c r="B866" t="s">
        <v>4868</v>
      </c>
      <c r="C866" t="s">
        <v>1394</v>
      </c>
      <c r="D866" t="s">
        <v>4869</v>
      </c>
      <c r="E866" t="s">
        <v>4870</v>
      </c>
      <c r="F866" t="s">
        <v>4871</v>
      </c>
      <c r="G866" s="1">
        <v>45488</v>
      </c>
      <c r="H866" s="1">
        <v>45525</v>
      </c>
      <c r="I866" s="1">
        <v>73050</v>
      </c>
      <c r="J866" s="2" t="s">
        <v>8348</v>
      </c>
      <c r="K866" t="s">
        <v>4872</v>
      </c>
      <c r="M866" s="16" t="s">
        <v>8349</v>
      </c>
      <c r="N866" s="16" t="str">
        <f>VLOOKUP(M866,Tab_Zast[[Zastávka]:[Sloupec1]],2,0)</f>
        <v>36</v>
      </c>
      <c r="O866" t="s">
        <v>4873</v>
      </c>
      <c r="P866">
        <v>6</v>
      </c>
      <c r="Q866">
        <v>0</v>
      </c>
      <c r="R866" t="s">
        <v>31</v>
      </c>
      <c r="S866" t="s">
        <v>31</v>
      </c>
      <c r="T866" t="s">
        <v>32</v>
      </c>
      <c r="V866" s="1" t="e">
        <v>#N/A</v>
      </c>
      <c r="W866" t="s">
        <v>1022</v>
      </c>
      <c r="X866">
        <v>0</v>
      </c>
      <c r="Y866">
        <v>471</v>
      </c>
      <c r="AA866" t="str">
        <f t="shared" si="26"/>
        <v>update zamestnanci set nastup='36' where id='1083';</v>
      </c>
      <c r="AB866" t="str">
        <f t="shared" si="27"/>
        <v>update dochazka set zastavka = '36' where zamestnanec = '1083';</v>
      </c>
    </row>
    <row r="867" spans="1:28" x14ac:dyDescent="0.25">
      <c r="A867" s="2">
        <v>1457</v>
      </c>
      <c r="B867" t="s">
        <v>6348</v>
      </c>
      <c r="C867" t="s">
        <v>64</v>
      </c>
      <c r="D867" t="s">
        <v>6349</v>
      </c>
      <c r="E867" t="s">
        <v>755</v>
      </c>
      <c r="F867" t="s">
        <v>1394</v>
      </c>
      <c r="G867" s="1">
        <v>45685</v>
      </c>
      <c r="H867" s="1">
        <v>45786</v>
      </c>
      <c r="I867" s="1">
        <v>73050</v>
      </c>
      <c r="J867" s="2" t="s">
        <v>8481</v>
      </c>
      <c r="K867" t="s">
        <v>6350</v>
      </c>
      <c r="M867" s="16" t="s">
        <v>8482</v>
      </c>
      <c r="N867" s="16" t="str">
        <f>VLOOKUP(M867,Tab_Zast[[Zastávka]:[Sloupec1]],2,0)</f>
        <v>82</v>
      </c>
      <c r="O867" t="s">
        <v>6351</v>
      </c>
      <c r="P867">
        <v>8</v>
      </c>
      <c r="Q867">
        <v>0</v>
      </c>
      <c r="R867" t="s">
        <v>31</v>
      </c>
      <c r="S867" t="s">
        <v>31</v>
      </c>
      <c r="T867" t="s">
        <v>32</v>
      </c>
      <c r="V867" s="1">
        <v>45779</v>
      </c>
      <c r="W867" t="s">
        <v>493</v>
      </c>
      <c r="X867">
        <v>0</v>
      </c>
      <c r="Y867">
        <v>846</v>
      </c>
      <c r="AA867" t="str">
        <f t="shared" si="26"/>
        <v>update zamestnanci set nastup='82' where id='1457';</v>
      </c>
      <c r="AB867" t="str">
        <f t="shared" si="27"/>
        <v>update dochazka set zastavka = '82' where zamestnanec = '1457';</v>
      </c>
    </row>
    <row r="868" spans="1:28" x14ac:dyDescent="0.25">
      <c r="A868" s="2">
        <v>1527</v>
      </c>
      <c r="B868" t="s">
        <v>6608</v>
      </c>
      <c r="C868" t="s">
        <v>64</v>
      </c>
      <c r="D868" t="s">
        <v>6609</v>
      </c>
      <c r="E868" t="s">
        <v>2966</v>
      </c>
      <c r="F868" t="s">
        <v>64</v>
      </c>
      <c r="G868" s="1">
        <v>45729</v>
      </c>
      <c r="H868" s="1">
        <v>45775</v>
      </c>
      <c r="I868" s="1">
        <v>73050</v>
      </c>
      <c r="J868" s="2" t="s">
        <v>8481</v>
      </c>
      <c r="K868" t="s">
        <v>6610</v>
      </c>
      <c r="M868" s="16" t="s">
        <v>8482</v>
      </c>
      <c r="N868" s="16" t="str">
        <f>VLOOKUP(M868,Tab_Zast[[Zastávka]:[Sloupec1]],2,0)</f>
        <v>82</v>
      </c>
      <c r="O868" t="s">
        <v>6611</v>
      </c>
      <c r="P868">
        <v>8</v>
      </c>
      <c r="Q868">
        <v>0</v>
      </c>
      <c r="R868" t="s">
        <v>31</v>
      </c>
      <c r="S868" t="s">
        <v>31</v>
      </c>
      <c r="T868" t="s">
        <v>32</v>
      </c>
      <c r="V868" s="1" t="e">
        <v>#N/A</v>
      </c>
      <c r="W868" t="s">
        <v>3023</v>
      </c>
      <c r="X868">
        <v>0</v>
      </c>
      <c r="Y868">
        <v>919</v>
      </c>
      <c r="AA868" t="str">
        <f t="shared" si="26"/>
        <v>update zamestnanci set nastup='82' where id='1527';</v>
      </c>
      <c r="AB868" t="str">
        <f t="shared" si="27"/>
        <v>update dochazka set zastavka = '82' where zamestnanec = '1527';</v>
      </c>
    </row>
    <row r="869" spans="1:28" x14ac:dyDescent="0.25">
      <c r="A869" s="2">
        <v>1553</v>
      </c>
      <c r="B869" t="s">
        <v>6707</v>
      </c>
      <c r="C869" t="s">
        <v>64</v>
      </c>
      <c r="D869" t="s">
        <v>6708</v>
      </c>
      <c r="E869" t="s">
        <v>3373</v>
      </c>
      <c r="F869" t="s">
        <v>6709</v>
      </c>
      <c r="G869" s="1">
        <v>45747</v>
      </c>
      <c r="H869" s="1">
        <v>45769</v>
      </c>
      <c r="I869" s="1">
        <v>73050</v>
      </c>
      <c r="J869" s="2" t="s">
        <v>8481</v>
      </c>
      <c r="K869" t="s">
        <v>6710</v>
      </c>
      <c r="M869" s="16" t="s">
        <v>8482</v>
      </c>
      <c r="N869" s="16" t="str">
        <f>VLOOKUP(M869,Tab_Zast[[Zastávka]:[Sloupec1]],2,0)</f>
        <v>82</v>
      </c>
      <c r="O869" t="s">
        <v>6711</v>
      </c>
      <c r="P869">
        <v>8</v>
      </c>
      <c r="Q869">
        <v>0</v>
      </c>
      <c r="R869" t="s">
        <v>31</v>
      </c>
      <c r="S869" t="s">
        <v>31</v>
      </c>
      <c r="T869" t="s">
        <v>32</v>
      </c>
      <c r="V869" s="1" t="e">
        <v>#N/A</v>
      </c>
      <c r="W869" t="s">
        <v>3023</v>
      </c>
      <c r="X869">
        <v>0</v>
      </c>
      <c r="Y869">
        <v>945</v>
      </c>
      <c r="AA869" t="str">
        <f t="shared" si="26"/>
        <v>update zamestnanci set nastup='82' where id='1553';</v>
      </c>
      <c r="AB869" t="str">
        <f t="shared" si="27"/>
        <v>update dochazka set zastavka = '82' where zamestnanec = '1553';</v>
      </c>
    </row>
    <row r="870" spans="1:28" x14ac:dyDescent="0.25">
      <c r="A870" s="2">
        <v>1583</v>
      </c>
      <c r="B870" t="s">
        <v>6813</v>
      </c>
      <c r="C870" t="s">
        <v>357</v>
      </c>
      <c r="D870" t="s">
        <v>6814</v>
      </c>
      <c r="E870" t="s">
        <v>1947</v>
      </c>
      <c r="F870" t="s">
        <v>569</v>
      </c>
      <c r="G870" s="1">
        <v>45761</v>
      </c>
      <c r="H870" s="1">
        <v>45791</v>
      </c>
      <c r="I870" s="1">
        <v>73050</v>
      </c>
      <c r="J870" s="2" t="s">
        <v>8481</v>
      </c>
      <c r="K870" t="s">
        <v>6815</v>
      </c>
      <c r="M870" s="16" t="s">
        <v>8482</v>
      </c>
      <c r="N870" s="16" t="str">
        <f>VLOOKUP(M870,Tab_Zast[[Zastávka]:[Sloupec1]],2,0)</f>
        <v>82</v>
      </c>
      <c r="O870" t="s">
        <v>6816</v>
      </c>
      <c r="P870">
        <v>8</v>
      </c>
      <c r="Q870">
        <v>0</v>
      </c>
      <c r="R870" t="s">
        <v>31</v>
      </c>
      <c r="S870" t="s">
        <v>31</v>
      </c>
      <c r="T870" t="s">
        <v>32</v>
      </c>
      <c r="V870" s="1" t="e">
        <v>#N/A</v>
      </c>
      <c r="W870" t="s">
        <v>493</v>
      </c>
      <c r="X870">
        <v>0</v>
      </c>
      <c r="Y870">
        <v>975</v>
      </c>
      <c r="AA870" t="str">
        <f t="shared" si="26"/>
        <v>update zamestnanci set nastup='82' where id='1583';</v>
      </c>
      <c r="AB870" t="str">
        <f t="shared" si="27"/>
        <v>update dochazka set zastavka = '82' where zamestnanec = '1583';</v>
      </c>
    </row>
    <row r="871" spans="1:28" x14ac:dyDescent="0.25">
      <c r="A871" s="2">
        <v>1588</v>
      </c>
      <c r="B871" t="s">
        <v>6832</v>
      </c>
      <c r="C871" t="s">
        <v>64</v>
      </c>
      <c r="D871" t="s">
        <v>6833</v>
      </c>
      <c r="E871" t="s">
        <v>574</v>
      </c>
      <c r="F871" t="s">
        <v>64</v>
      </c>
      <c r="G871" s="1">
        <v>45763</v>
      </c>
      <c r="H871" s="1">
        <v>45769</v>
      </c>
      <c r="I871" s="1">
        <v>73050</v>
      </c>
      <c r="J871" s="2" t="s">
        <v>8348</v>
      </c>
      <c r="K871" t="s">
        <v>6834</v>
      </c>
      <c r="M871" s="16" t="s">
        <v>8349</v>
      </c>
      <c r="N871" s="16" t="str">
        <f>VLOOKUP(M871,Tab_Zast[[Zastávka]:[Sloupec1]],2,0)</f>
        <v>36</v>
      </c>
      <c r="O871" t="s">
        <v>6835</v>
      </c>
      <c r="P871">
        <v>6</v>
      </c>
      <c r="Q871">
        <v>0</v>
      </c>
      <c r="R871" t="s">
        <v>31</v>
      </c>
      <c r="S871" t="s">
        <v>31</v>
      </c>
      <c r="T871" t="s">
        <v>32</v>
      </c>
      <c r="V871" s="1" t="e">
        <v>#N/A</v>
      </c>
      <c r="W871" t="s">
        <v>1216</v>
      </c>
      <c r="X871">
        <v>0</v>
      </c>
      <c r="Y871">
        <v>981</v>
      </c>
      <c r="AA871" t="str">
        <f t="shared" si="26"/>
        <v>update zamestnanci set nastup='36' where id='1588';</v>
      </c>
      <c r="AB871" t="str">
        <f t="shared" si="27"/>
        <v>update dochazka set zastavka = '36' where zamestnanec = '1588';</v>
      </c>
    </row>
    <row r="872" spans="1:28" x14ac:dyDescent="0.25">
      <c r="A872" s="2">
        <v>1639</v>
      </c>
      <c r="B872" t="s">
        <v>7022</v>
      </c>
      <c r="C872" t="s">
        <v>64</v>
      </c>
      <c r="D872" t="s">
        <v>3232</v>
      </c>
      <c r="E872" t="s">
        <v>725</v>
      </c>
      <c r="F872" t="s">
        <v>7023</v>
      </c>
      <c r="G872" s="1">
        <v>45789</v>
      </c>
      <c r="H872" s="1">
        <v>45803</v>
      </c>
      <c r="I872" s="1">
        <v>73050</v>
      </c>
      <c r="J872" s="2" t="s">
        <v>8348</v>
      </c>
      <c r="K872" t="s">
        <v>7024</v>
      </c>
      <c r="M872" s="16" t="s">
        <v>8349</v>
      </c>
      <c r="N872" s="16" t="str">
        <f>VLOOKUP(M872,Tab_Zast[[Zastávka]:[Sloupec1]],2,0)</f>
        <v>36</v>
      </c>
      <c r="O872" t="s">
        <v>7025</v>
      </c>
      <c r="P872">
        <v>6</v>
      </c>
      <c r="Q872">
        <v>0</v>
      </c>
      <c r="R872" t="s">
        <v>31</v>
      </c>
      <c r="S872" t="s">
        <v>31</v>
      </c>
      <c r="T872" t="s">
        <v>32</v>
      </c>
      <c r="V872" s="1">
        <v>45792</v>
      </c>
      <c r="W872" t="s">
        <v>3052</v>
      </c>
      <c r="X872">
        <v>0</v>
      </c>
      <c r="Y872">
        <v>1026</v>
      </c>
      <c r="AA872" t="str">
        <f t="shared" si="26"/>
        <v>update zamestnanci set nastup='36' where id='1639';</v>
      </c>
      <c r="AB872" t="str">
        <f t="shared" si="27"/>
        <v>update dochazka set zastavka = '36' where zamestnanec = '1639';</v>
      </c>
    </row>
    <row r="873" spans="1:28" x14ac:dyDescent="0.25">
      <c r="A873" s="2">
        <v>1869</v>
      </c>
      <c r="B873" t="s">
        <v>7868</v>
      </c>
      <c r="C873" t="s">
        <v>569</v>
      </c>
      <c r="D873" t="s">
        <v>7869</v>
      </c>
      <c r="E873" t="s">
        <v>4870</v>
      </c>
      <c r="F873" t="s">
        <v>7870</v>
      </c>
      <c r="G873" s="1">
        <v>45936</v>
      </c>
      <c r="H873" s="1">
        <v>45972</v>
      </c>
      <c r="I873" s="1" t="e">
        <v>#N/A</v>
      </c>
      <c r="J873" s="2" t="s">
        <v>8481</v>
      </c>
      <c r="K873" t="s">
        <v>7871</v>
      </c>
      <c r="M873" s="16" t="s">
        <v>8482</v>
      </c>
      <c r="N873" s="16" t="str">
        <f>VLOOKUP(M873,Tab_Zast[[Zastávka]:[Sloupec1]],2,0)</f>
        <v>82</v>
      </c>
      <c r="O873" t="s">
        <v>7872</v>
      </c>
      <c r="P873">
        <v>8</v>
      </c>
      <c r="Q873">
        <v>0</v>
      </c>
      <c r="R873" t="s">
        <v>31</v>
      </c>
      <c r="S873" t="s">
        <v>31</v>
      </c>
      <c r="T873" t="s">
        <v>32</v>
      </c>
      <c r="V873" s="1" t="e">
        <v>#N/A</v>
      </c>
      <c r="W873" t="s">
        <v>493</v>
      </c>
      <c r="X873">
        <v>0</v>
      </c>
      <c r="Y873">
        <v>1266</v>
      </c>
      <c r="AA873" t="str">
        <f t="shared" si="26"/>
        <v>update zamestnanci set nastup='82' where id='1869';</v>
      </c>
      <c r="AB873" t="str">
        <f t="shared" si="27"/>
        <v>update dochazka set zastavka = '82' where zamestnanec = '1869';</v>
      </c>
    </row>
    <row r="874" spans="1:28" x14ac:dyDescent="0.25">
      <c r="A874" s="2">
        <v>1894</v>
      </c>
      <c r="B874" t="s">
        <v>7965</v>
      </c>
      <c r="C874" t="s">
        <v>569</v>
      </c>
      <c r="D874" t="s">
        <v>3075</v>
      </c>
      <c r="E874" t="s">
        <v>7966</v>
      </c>
      <c r="F874" t="s">
        <v>7967</v>
      </c>
      <c r="G874" s="1">
        <v>45960</v>
      </c>
      <c r="H874" s="1" t="e">
        <v>#N/A</v>
      </c>
      <c r="I874" s="1" t="e">
        <v>#N/A</v>
      </c>
      <c r="J874" s="2" t="s">
        <v>8481</v>
      </c>
      <c r="K874" t="s">
        <v>7968</v>
      </c>
      <c r="L874" t="s">
        <v>7969</v>
      </c>
      <c r="M874" s="16" t="s">
        <v>8482</v>
      </c>
      <c r="N874" s="16" t="str">
        <f>VLOOKUP(M874,Tab_Zast[[Zastávka]:[Sloupec1]],2,0)</f>
        <v>82</v>
      </c>
      <c r="O874" t="s">
        <v>7970</v>
      </c>
      <c r="P874">
        <v>8</v>
      </c>
      <c r="Q874">
        <v>0</v>
      </c>
      <c r="R874" t="s">
        <v>129</v>
      </c>
      <c r="S874" t="s">
        <v>31</v>
      </c>
      <c r="T874" t="s">
        <v>32</v>
      </c>
      <c r="V874" s="1" t="e">
        <v>#N/A</v>
      </c>
      <c r="W874" t="s">
        <v>3023</v>
      </c>
      <c r="X874">
        <v>1</v>
      </c>
      <c r="Y874">
        <v>1294</v>
      </c>
      <c r="AA874" t="str">
        <f t="shared" si="26"/>
        <v>update zamestnanci set nastup='82' where id='1894';</v>
      </c>
      <c r="AB874" t="str">
        <f t="shared" si="27"/>
        <v>update dochazka set zastavka = '82' where zamestnanec = '1894';</v>
      </c>
    </row>
    <row r="875" spans="1:28" x14ac:dyDescent="0.25">
      <c r="A875" s="2">
        <v>1897</v>
      </c>
      <c r="B875" t="s">
        <v>7984</v>
      </c>
      <c r="C875" t="s">
        <v>569</v>
      </c>
      <c r="D875" t="s">
        <v>7985</v>
      </c>
      <c r="E875" t="s">
        <v>7986</v>
      </c>
      <c r="F875" t="s">
        <v>7987</v>
      </c>
      <c r="G875" s="1">
        <v>45960</v>
      </c>
      <c r="H875" s="1">
        <v>45989</v>
      </c>
      <c r="I875" s="1" t="e">
        <v>#N/A</v>
      </c>
      <c r="J875" s="2" t="s">
        <v>8481</v>
      </c>
      <c r="K875" t="s">
        <v>7988</v>
      </c>
      <c r="L875" t="s">
        <v>7989</v>
      </c>
      <c r="M875" s="16" t="s">
        <v>8482</v>
      </c>
      <c r="N875" s="16" t="str">
        <f>VLOOKUP(M875,Tab_Zast[[Zastávka]:[Sloupec1]],2,0)</f>
        <v>82</v>
      </c>
      <c r="O875" t="s">
        <v>7990</v>
      </c>
      <c r="P875">
        <v>8</v>
      </c>
      <c r="Q875">
        <v>0</v>
      </c>
      <c r="R875" t="s">
        <v>31</v>
      </c>
      <c r="S875" t="s">
        <v>31</v>
      </c>
      <c r="T875" t="s">
        <v>32</v>
      </c>
      <c r="V875" s="1" t="e">
        <v>#N/A</v>
      </c>
      <c r="W875" t="s">
        <v>3023</v>
      </c>
      <c r="X875">
        <v>0</v>
      </c>
      <c r="Y875">
        <v>1291</v>
      </c>
      <c r="AA875" t="str">
        <f t="shared" si="26"/>
        <v>update zamestnanci set nastup='82' where id='1897';</v>
      </c>
      <c r="AB875" t="str">
        <f t="shared" si="27"/>
        <v>update dochazka set zastavka = '82' where zamestnanec = '1897';</v>
      </c>
    </row>
    <row r="876" spans="1:28" x14ac:dyDescent="0.25">
      <c r="A876" s="2">
        <v>1898</v>
      </c>
      <c r="B876" t="s">
        <v>7991</v>
      </c>
      <c r="C876" t="s">
        <v>569</v>
      </c>
      <c r="D876" t="s">
        <v>7992</v>
      </c>
      <c r="E876" t="s">
        <v>7993</v>
      </c>
      <c r="F876" t="s">
        <v>7994</v>
      </c>
      <c r="G876" s="1">
        <v>45960</v>
      </c>
      <c r="H876" s="1">
        <v>45989</v>
      </c>
      <c r="I876" s="1" t="e">
        <v>#N/A</v>
      </c>
      <c r="J876" s="2" t="s">
        <v>8481</v>
      </c>
      <c r="K876" t="s">
        <v>7995</v>
      </c>
      <c r="L876" t="s">
        <v>7996</v>
      </c>
      <c r="M876" s="16" t="s">
        <v>8482</v>
      </c>
      <c r="N876" s="16" t="str">
        <f>VLOOKUP(M876,Tab_Zast[[Zastávka]:[Sloupec1]],2,0)</f>
        <v>82</v>
      </c>
      <c r="O876" t="s">
        <v>7997</v>
      </c>
      <c r="P876">
        <v>8</v>
      </c>
      <c r="Q876">
        <v>0</v>
      </c>
      <c r="R876" t="s">
        <v>31</v>
      </c>
      <c r="S876" t="s">
        <v>31</v>
      </c>
      <c r="T876" t="s">
        <v>32</v>
      </c>
      <c r="V876" s="1" t="e">
        <v>#N/A</v>
      </c>
      <c r="W876" t="s">
        <v>3023</v>
      </c>
      <c r="X876">
        <v>0</v>
      </c>
      <c r="Y876">
        <v>1292</v>
      </c>
      <c r="AA876" t="str">
        <f t="shared" si="26"/>
        <v>update zamestnanci set nastup='82' where id='1898';</v>
      </c>
      <c r="AB876" t="str">
        <f t="shared" si="27"/>
        <v>update dochazka set zastavka = '82' where zamestnanec = '1898';</v>
      </c>
    </row>
    <row r="877" spans="1:28" x14ac:dyDescent="0.25">
      <c r="A877" s="2">
        <v>1902</v>
      </c>
      <c r="B877" t="s">
        <v>8012</v>
      </c>
      <c r="C877" t="s">
        <v>569</v>
      </c>
      <c r="D877" t="s">
        <v>8013</v>
      </c>
      <c r="E877" t="s">
        <v>4461</v>
      </c>
      <c r="F877" t="s">
        <v>8014</v>
      </c>
      <c r="G877" s="1">
        <v>45973</v>
      </c>
      <c r="H877" s="1" t="e">
        <v>#N/A</v>
      </c>
      <c r="I877" s="1" t="e">
        <v>#N/A</v>
      </c>
      <c r="J877" s="2" t="s">
        <v>8481</v>
      </c>
      <c r="K877" t="s">
        <v>8015</v>
      </c>
      <c r="M877" s="16" t="s">
        <v>8482</v>
      </c>
      <c r="N877" s="16" t="str">
        <f>VLOOKUP(M877,Tab_Zast[[Zastávka]:[Sloupec1]],2,0)</f>
        <v>82</v>
      </c>
      <c r="O877" t="s">
        <v>8016</v>
      </c>
      <c r="P877">
        <v>8</v>
      </c>
      <c r="Q877">
        <v>0</v>
      </c>
      <c r="R877" t="s">
        <v>129</v>
      </c>
      <c r="S877" t="s">
        <v>31</v>
      </c>
      <c r="T877" t="s">
        <v>32</v>
      </c>
      <c r="V877" s="1" t="e">
        <v>#N/A</v>
      </c>
      <c r="W877" t="s">
        <v>493</v>
      </c>
      <c r="X877">
        <v>1</v>
      </c>
      <c r="Y877">
        <v>1308</v>
      </c>
      <c r="AA877" t="str">
        <f t="shared" si="26"/>
        <v>update zamestnanci set nastup='82' where id='1902';</v>
      </c>
      <c r="AB877" t="str">
        <f t="shared" si="27"/>
        <v>update dochazka set zastavka = '82' where zamestnanec = '1902';</v>
      </c>
    </row>
    <row r="878" spans="1:28" x14ac:dyDescent="0.25">
      <c r="A878" s="2">
        <v>1903</v>
      </c>
      <c r="B878" t="s">
        <v>8017</v>
      </c>
      <c r="C878" t="s">
        <v>569</v>
      </c>
      <c r="D878" t="s">
        <v>6050</v>
      </c>
      <c r="E878" t="s">
        <v>1402</v>
      </c>
      <c r="F878" t="s">
        <v>8018</v>
      </c>
      <c r="G878" s="1">
        <v>45971</v>
      </c>
      <c r="H878" s="1">
        <v>45989</v>
      </c>
      <c r="I878" s="1" t="e">
        <v>#N/A</v>
      </c>
      <c r="J878" s="2" t="s">
        <v>8481</v>
      </c>
      <c r="K878" t="s">
        <v>8019</v>
      </c>
      <c r="M878" s="16" t="s">
        <v>8482</v>
      </c>
      <c r="N878" s="16" t="str">
        <f>VLOOKUP(M878,Tab_Zast[[Zastávka]:[Sloupec1]],2,0)</f>
        <v>82</v>
      </c>
      <c r="O878" t="s">
        <v>6052</v>
      </c>
      <c r="P878">
        <v>8</v>
      </c>
      <c r="Q878">
        <v>0</v>
      </c>
      <c r="R878" t="s">
        <v>31</v>
      </c>
      <c r="S878" t="s">
        <v>31</v>
      </c>
      <c r="T878" t="s">
        <v>32</v>
      </c>
      <c r="V878" s="1" t="e">
        <v>#N/A</v>
      </c>
      <c r="W878" t="s">
        <v>493</v>
      </c>
      <c r="X878">
        <v>0</v>
      </c>
      <c r="Y878">
        <v>1309</v>
      </c>
      <c r="AA878" t="str">
        <f t="shared" si="26"/>
        <v>update zamestnanci set nastup='82' where id='1903';</v>
      </c>
      <c r="AB878" t="str">
        <f t="shared" si="27"/>
        <v>update dochazka set zastavka = '82' where zamestnanec = '1903';</v>
      </c>
    </row>
    <row r="879" spans="1:28" x14ac:dyDescent="0.25">
      <c r="A879" s="2">
        <v>90</v>
      </c>
      <c r="B879" t="s">
        <v>566</v>
      </c>
      <c r="C879" t="s">
        <v>566</v>
      </c>
      <c r="D879" t="s">
        <v>567</v>
      </c>
      <c r="E879" t="s">
        <v>568</v>
      </c>
      <c r="F879" t="s">
        <v>569</v>
      </c>
      <c r="G879" s="1">
        <v>45078</v>
      </c>
      <c r="H879" s="1">
        <v>45807</v>
      </c>
      <c r="I879" s="1">
        <v>73050</v>
      </c>
      <c r="J879" s="2" t="s">
        <v>8413</v>
      </c>
      <c r="K879" t="s">
        <v>570</v>
      </c>
      <c r="M879" s="16" t="s">
        <v>8414</v>
      </c>
      <c r="N879" s="16" t="str">
        <f>VLOOKUP(M879,Tab_Zast[[Zastávka]:[Sloupec1]],2,0)</f>
        <v>60</v>
      </c>
      <c r="O879" t="s">
        <v>571</v>
      </c>
      <c r="P879">
        <v>1</v>
      </c>
      <c r="Q879">
        <v>0</v>
      </c>
      <c r="R879" t="s">
        <v>31</v>
      </c>
      <c r="S879" t="s">
        <v>31</v>
      </c>
      <c r="T879" t="s">
        <v>32</v>
      </c>
      <c r="V879" s="1" t="e">
        <v>#N/A</v>
      </c>
      <c r="W879" t="s">
        <v>47</v>
      </c>
      <c r="X879">
        <v>0</v>
      </c>
      <c r="Y879">
        <v>0</v>
      </c>
      <c r="AA879" t="str">
        <f t="shared" si="26"/>
        <v>update zamestnanci set nastup='60' where id='90';</v>
      </c>
      <c r="AB879" t="str">
        <f t="shared" si="27"/>
        <v>update dochazka set zastavka = '60' where zamestnanec = '90';</v>
      </c>
    </row>
    <row r="880" spans="1:28" x14ac:dyDescent="0.25">
      <c r="A880" s="2">
        <v>92</v>
      </c>
      <c r="B880" t="s">
        <v>578</v>
      </c>
      <c r="C880" t="s">
        <v>578</v>
      </c>
      <c r="D880" t="s">
        <v>579</v>
      </c>
      <c r="E880" t="s">
        <v>580</v>
      </c>
      <c r="F880" t="s">
        <v>581</v>
      </c>
      <c r="G880" s="1">
        <v>45001</v>
      </c>
      <c r="H880" s="1">
        <v>45495</v>
      </c>
      <c r="I880" s="1">
        <v>73050</v>
      </c>
      <c r="J880" s="2" t="s">
        <v>8413</v>
      </c>
      <c r="K880" t="s">
        <v>582</v>
      </c>
      <c r="M880" s="16" t="s">
        <v>8414</v>
      </c>
      <c r="N880" s="16" t="str">
        <f>VLOOKUP(M880,Tab_Zast[[Zastávka]:[Sloupec1]],2,0)</f>
        <v>60</v>
      </c>
      <c r="O880" t="s">
        <v>583</v>
      </c>
      <c r="P880">
        <v>1</v>
      </c>
      <c r="Q880">
        <v>0</v>
      </c>
      <c r="R880" t="s">
        <v>31</v>
      </c>
      <c r="S880" t="s">
        <v>31</v>
      </c>
      <c r="T880" t="s">
        <v>32</v>
      </c>
      <c r="V880" s="1" t="e">
        <v>#N/A</v>
      </c>
      <c r="W880" t="s">
        <v>47</v>
      </c>
      <c r="X880">
        <v>0</v>
      </c>
      <c r="Y880">
        <v>0</v>
      </c>
      <c r="AA880" t="str">
        <f t="shared" si="26"/>
        <v>update zamestnanci set nastup='60' where id='92';</v>
      </c>
      <c r="AB880" t="str">
        <f t="shared" si="27"/>
        <v>update dochazka set zastavka = '60' where zamestnanec = '92';</v>
      </c>
    </row>
    <row r="881" spans="1:28" x14ac:dyDescent="0.25">
      <c r="A881" s="2">
        <v>95</v>
      </c>
      <c r="B881" t="s">
        <v>597</v>
      </c>
      <c r="C881" t="s">
        <v>597</v>
      </c>
      <c r="D881" t="s">
        <v>598</v>
      </c>
      <c r="E881" t="s">
        <v>599</v>
      </c>
      <c r="F881" t="s">
        <v>600</v>
      </c>
      <c r="G881" s="1">
        <v>44287</v>
      </c>
      <c r="H881" s="1">
        <v>73050</v>
      </c>
      <c r="I881" s="1" t="e">
        <v>#N/A</v>
      </c>
      <c r="J881" s="2" t="s">
        <v>8413</v>
      </c>
      <c r="K881" t="s">
        <v>601</v>
      </c>
      <c r="M881" s="16" t="s">
        <v>8414</v>
      </c>
      <c r="N881" s="16" t="str">
        <f>VLOOKUP(M881,Tab_Zast[[Zastávka]:[Sloupec1]],2,0)</f>
        <v>60</v>
      </c>
      <c r="O881" t="s">
        <v>602</v>
      </c>
      <c r="P881">
        <v>1</v>
      </c>
      <c r="Q881">
        <v>0</v>
      </c>
      <c r="R881" t="s">
        <v>129</v>
      </c>
      <c r="S881" t="s">
        <v>31</v>
      </c>
      <c r="T881" t="s">
        <v>32</v>
      </c>
      <c r="V881" s="1" t="e">
        <v>#N/A</v>
      </c>
      <c r="W881" t="s">
        <v>47</v>
      </c>
      <c r="X881">
        <v>1</v>
      </c>
      <c r="Y881">
        <v>0</v>
      </c>
      <c r="AA881" t="str">
        <f t="shared" si="26"/>
        <v>update zamestnanci set nastup='60' where id='95';</v>
      </c>
      <c r="AB881" t="str">
        <f t="shared" si="27"/>
        <v>update dochazka set zastavka = '60' where zamestnanec = '95';</v>
      </c>
    </row>
    <row r="882" spans="1:28" x14ac:dyDescent="0.25">
      <c r="A882" s="2">
        <v>97</v>
      </c>
      <c r="B882" t="s">
        <v>609</v>
      </c>
      <c r="C882" t="s">
        <v>609</v>
      </c>
      <c r="D882" t="s">
        <v>610</v>
      </c>
      <c r="E882" t="s">
        <v>611</v>
      </c>
      <c r="F882" t="s">
        <v>612</v>
      </c>
      <c r="G882" s="1">
        <v>45123</v>
      </c>
      <c r="H882" s="1">
        <v>73050</v>
      </c>
      <c r="I882" s="1" t="e">
        <v>#N/A</v>
      </c>
      <c r="J882" s="2" t="s">
        <v>8413</v>
      </c>
      <c r="K882" t="s">
        <v>613</v>
      </c>
      <c r="M882" s="16" t="s">
        <v>8414</v>
      </c>
      <c r="N882" s="16" t="str">
        <f>VLOOKUP(M882,Tab_Zast[[Zastávka]:[Sloupec1]],2,0)</f>
        <v>60</v>
      </c>
      <c r="O882" t="s">
        <v>614</v>
      </c>
      <c r="P882">
        <v>1</v>
      </c>
      <c r="Q882">
        <v>0</v>
      </c>
      <c r="R882" t="s">
        <v>179</v>
      </c>
      <c r="S882" t="s">
        <v>31</v>
      </c>
      <c r="T882" t="s">
        <v>32</v>
      </c>
      <c r="V882" s="1" t="e">
        <v>#N/A</v>
      </c>
      <c r="W882" t="s">
        <v>47</v>
      </c>
      <c r="X882">
        <v>1</v>
      </c>
      <c r="Y882">
        <v>0</v>
      </c>
      <c r="AA882" t="str">
        <f t="shared" si="26"/>
        <v>update zamestnanci set nastup='60' where id='97';</v>
      </c>
      <c r="AB882" t="str">
        <f t="shared" si="27"/>
        <v>update dochazka set zastavka = '60' where zamestnanec = '97';</v>
      </c>
    </row>
    <row r="883" spans="1:28" x14ac:dyDescent="0.25">
      <c r="A883" s="2">
        <v>98</v>
      </c>
      <c r="B883" t="s">
        <v>615</v>
      </c>
      <c r="C883" t="s">
        <v>615</v>
      </c>
      <c r="D883" t="s">
        <v>616</v>
      </c>
      <c r="E883" t="s">
        <v>617</v>
      </c>
      <c r="F883" t="s">
        <v>618</v>
      </c>
      <c r="G883" s="1">
        <v>44270</v>
      </c>
      <c r="H883" s="1">
        <v>45685</v>
      </c>
      <c r="I883" s="1">
        <v>73050</v>
      </c>
      <c r="J883" s="2" t="s">
        <v>8413</v>
      </c>
      <c r="K883" t="s">
        <v>619</v>
      </c>
      <c r="M883" s="16" t="s">
        <v>8414</v>
      </c>
      <c r="N883" s="16" t="str">
        <f>VLOOKUP(M883,Tab_Zast[[Zastávka]:[Sloupec1]],2,0)</f>
        <v>60</v>
      </c>
      <c r="O883" t="s">
        <v>620</v>
      </c>
      <c r="P883">
        <v>1</v>
      </c>
      <c r="Q883">
        <v>0</v>
      </c>
      <c r="R883" t="s">
        <v>31</v>
      </c>
      <c r="S883" t="s">
        <v>31</v>
      </c>
      <c r="T883" t="s">
        <v>32</v>
      </c>
      <c r="V883" s="1" t="e">
        <v>#N/A</v>
      </c>
      <c r="W883" t="s">
        <v>47</v>
      </c>
      <c r="X883">
        <v>0</v>
      </c>
      <c r="Y883">
        <v>0</v>
      </c>
      <c r="AA883" t="str">
        <f t="shared" si="26"/>
        <v>update zamestnanci set nastup='60' where id='98';</v>
      </c>
      <c r="AB883" t="str">
        <f t="shared" si="27"/>
        <v>update dochazka set zastavka = '60' where zamestnanec = '98';</v>
      </c>
    </row>
    <row r="884" spans="1:28" x14ac:dyDescent="0.25">
      <c r="A884" s="2">
        <v>99</v>
      </c>
      <c r="B884" t="s">
        <v>621</v>
      </c>
      <c r="C884" t="s">
        <v>621</v>
      </c>
      <c r="D884" t="s">
        <v>616</v>
      </c>
      <c r="E884" t="s">
        <v>622</v>
      </c>
      <c r="F884" t="s">
        <v>623</v>
      </c>
      <c r="G884" s="1">
        <v>44270</v>
      </c>
      <c r="H884" s="1">
        <v>73050</v>
      </c>
      <c r="I884" s="1" t="e">
        <v>#N/A</v>
      </c>
      <c r="J884" s="2" t="s">
        <v>8413</v>
      </c>
      <c r="K884" t="s">
        <v>624</v>
      </c>
      <c r="M884" s="16" t="s">
        <v>8414</v>
      </c>
      <c r="N884" s="16" t="str">
        <f>VLOOKUP(M884,Tab_Zast[[Zastávka]:[Sloupec1]],2,0)</f>
        <v>60</v>
      </c>
      <c r="O884" t="s">
        <v>620</v>
      </c>
      <c r="P884">
        <v>1</v>
      </c>
      <c r="Q884">
        <v>0</v>
      </c>
      <c r="R884" t="s">
        <v>129</v>
      </c>
      <c r="S884" t="s">
        <v>31</v>
      </c>
      <c r="T884" t="s">
        <v>32</v>
      </c>
      <c r="V884" s="1" t="e">
        <v>#N/A</v>
      </c>
      <c r="W884" t="s">
        <v>47</v>
      </c>
      <c r="X884">
        <v>1</v>
      </c>
      <c r="Y884">
        <v>0</v>
      </c>
      <c r="AA884" t="str">
        <f t="shared" si="26"/>
        <v>update zamestnanci set nastup='60' where id='99';</v>
      </c>
      <c r="AB884" t="str">
        <f t="shared" si="27"/>
        <v>update dochazka set zastavka = '60' where zamestnanec = '99';</v>
      </c>
    </row>
    <row r="885" spans="1:28" x14ac:dyDescent="0.25">
      <c r="A885" s="2">
        <v>100</v>
      </c>
      <c r="B885" t="s">
        <v>625</v>
      </c>
      <c r="C885" t="s">
        <v>625</v>
      </c>
      <c r="D885" t="s">
        <v>626</v>
      </c>
      <c r="E885" t="s">
        <v>627</v>
      </c>
      <c r="F885" t="s">
        <v>628</v>
      </c>
      <c r="G885" s="1">
        <v>44627</v>
      </c>
      <c r="H885" s="1">
        <v>45504</v>
      </c>
      <c r="I885" s="1">
        <v>73050</v>
      </c>
      <c r="J885" s="2" t="s">
        <v>8413</v>
      </c>
      <c r="K885" t="s">
        <v>629</v>
      </c>
      <c r="M885" s="16" t="s">
        <v>8414</v>
      </c>
      <c r="N885" s="16" t="str">
        <f>VLOOKUP(M885,Tab_Zast[[Zastávka]:[Sloupec1]],2,0)</f>
        <v>60</v>
      </c>
      <c r="O885" t="s">
        <v>630</v>
      </c>
      <c r="P885">
        <v>1</v>
      </c>
      <c r="Q885">
        <v>0</v>
      </c>
      <c r="R885" t="s">
        <v>31</v>
      </c>
      <c r="S885" t="s">
        <v>31</v>
      </c>
      <c r="T885" t="s">
        <v>32</v>
      </c>
      <c r="V885" s="1">
        <v>45455</v>
      </c>
      <c r="W885" t="s">
        <v>47</v>
      </c>
      <c r="X885">
        <v>0</v>
      </c>
      <c r="Y885">
        <v>0</v>
      </c>
      <c r="AA885" t="str">
        <f t="shared" si="26"/>
        <v>update zamestnanci set nastup='60' where id='100';</v>
      </c>
      <c r="AB885" t="str">
        <f t="shared" si="27"/>
        <v>update dochazka set zastavka = '60' where zamestnanec = '100';</v>
      </c>
    </row>
    <row r="886" spans="1:28" x14ac:dyDescent="0.25">
      <c r="A886" s="2">
        <v>104</v>
      </c>
      <c r="B886" t="s">
        <v>647</v>
      </c>
      <c r="D886" t="s">
        <v>648</v>
      </c>
      <c r="E886" t="s">
        <v>649</v>
      </c>
      <c r="F886" t="s">
        <v>650</v>
      </c>
      <c r="G886" s="1">
        <v>44896</v>
      </c>
      <c r="H886" s="1">
        <v>45330</v>
      </c>
      <c r="I886" s="1">
        <v>73050</v>
      </c>
      <c r="J886" s="2" t="s">
        <v>8413</v>
      </c>
      <c r="K886" t="s">
        <v>651</v>
      </c>
      <c r="M886" s="16" t="s">
        <v>8414</v>
      </c>
      <c r="N886" s="16" t="str">
        <f>VLOOKUP(M886,Tab_Zast[[Zastávka]:[Sloupec1]],2,0)</f>
        <v>60</v>
      </c>
      <c r="O886" t="s">
        <v>652</v>
      </c>
      <c r="P886">
        <v>1</v>
      </c>
      <c r="Q886">
        <v>0</v>
      </c>
      <c r="R886" t="s">
        <v>31</v>
      </c>
      <c r="S886" t="s">
        <v>31</v>
      </c>
      <c r="T886" t="s">
        <v>32</v>
      </c>
      <c r="V886" s="1" t="e">
        <v>#N/A</v>
      </c>
      <c r="W886" t="s">
        <v>47</v>
      </c>
      <c r="X886">
        <v>0</v>
      </c>
      <c r="Y886">
        <v>0</v>
      </c>
      <c r="Z886" t="s">
        <v>54</v>
      </c>
      <c r="AA886" t="str">
        <f t="shared" si="26"/>
        <v>update zamestnanci set nastup='60' where id='104';</v>
      </c>
      <c r="AB886" t="str">
        <f t="shared" si="27"/>
        <v>update dochazka set zastavka = '60' where zamestnanec = '104';</v>
      </c>
    </row>
    <row r="887" spans="1:28" x14ac:dyDescent="0.25">
      <c r="A887" s="2">
        <v>383</v>
      </c>
      <c r="B887" t="s">
        <v>1210</v>
      </c>
      <c r="C887" t="s">
        <v>1211</v>
      </c>
      <c r="D887" t="s">
        <v>1212</v>
      </c>
      <c r="E887" t="s">
        <v>1213</v>
      </c>
      <c r="F887" t="s">
        <v>971</v>
      </c>
      <c r="G887" s="1">
        <v>45048</v>
      </c>
      <c r="H887" s="1">
        <v>45771</v>
      </c>
      <c r="I887" s="1">
        <v>73050</v>
      </c>
      <c r="J887" s="2" t="s">
        <v>8383</v>
      </c>
      <c r="K887" t="s">
        <v>1214</v>
      </c>
      <c r="M887" s="16" t="s">
        <v>8384</v>
      </c>
      <c r="N887" s="16" t="str">
        <f>VLOOKUP(M887,Tab_Zast[[Zastávka]:[Sloupec1]],2,0)</f>
        <v>50</v>
      </c>
      <c r="O887" t="s">
        <v>1215</v>
      </c>
      <c r="P887">
        <v>6</v>
      </c>
      <c r="Q887">
        <v>0</v>
      </c>
      <c r="R887" t="s">
        <v>31</v>
      </c>
      <c r="S887" t="s">
        <v>31</v>
      </c>
      <c r="T887" t="s">
        <v>32</v>
      </c>
      <c r="V887" s="1" t="e">
        <v>#N/A</v>
      </c>
      <c r="W887" t="s">
        <v>1216</v>
      </c>
      <c r="X887">
        <v>0</v>
      </c>
      <c r="Y887">
        <v>0</v>
      </c>
      <c r="AA887" t="str">
        <f t="shared" si="26"/>
        <v>update zamestnanci set nastup='50' where id='383';</v>
      </c>
      <c r="AB887" t="str">
        <f t="shared" si="27"/>
        <v>update dochazka set zastavka = '50' where zamestnanec = '383';</v>
      </c>
    </row>
    <row r="888" spans="1:28" x14ac:dyDescent="0.25">
      <c r="A888" s="2">
        <v>438</v>
      </c>
      <c r="B888" t="s">
        <v>1552</v>
      </c>
      <c r="D888" t="s">
        <v>1553</v>
      </c>
      <c r="E888" t="s">
        <v>1554</v>
      </c>
      <c r="F888" t="s">
        <v>1555</v>
      </c>
      <c r="G888" s="1">
        <v>45175</v>
      </c>
      <c r="H888" s="1">
        <v>45302</v>
      </c>
      <c r="I888" s="1" t="e">
        <v>#N/A</v>
      </c>
      <c r="J888" s="2" t="s">
        <v>8383</v>
      </c>
      <c r="K888" t="s">
        <v>1556</v>
      </c>
      <c r="M888" s="16" t="s">
        <v>8384</v>
      </c>
      <c r="N888" s="16" t="str">
        <f>VLOOKUP(M888,Tab_Zast[[Zastávka]:[Sloupec1]],2,0)</f>
        <v>50</v>
      </c>
      <c r="O888" t="s">
        <v>1557</v>
      </c>
      <c r="P888">
        <v>6</v>
      </c>
      <c r="Q888">
        <v>0</v>
      </c>
      <c r="R888" t="s">
        <v>31</v>
      </c>
      <c r="S888" t="s">
        <v>31</v>
      </c>
      <c r="T888" t="s">
        <v>32</v>
      </c>
      <c r="V888" s="1" t="e">
        <v>#N/A</v>
      </c>
      <c r="W888" t="s">
        <v>1216</v>
      </c>
      <c r="X888">
        <v>0</v>
      </c>
      <c r="Y888">
        <v>0</v>
      </c>
      <c r="Z888" t="s">
        <v>54</v>
      </c>
      <c r="AA888" t="str">
        <f t="shared" si="26"/>
        <v>update zamestnanci set nastup='50' where id='438';</v>
      </c>
      <c r="AB888" t="str">
        <f t="shared" si="27"/>
        <v>update dochazka set zastavka = '50' where zamestnanec = '438';</v>
      </c>
    </row>
    <row r="889" spans="1:28" x14ac:dyDescent="0.25">
      <c r="A889" s="2">
        <v>462</v>
      </c>
      <c r="B889" t="s">
        <v>150</v>
      </c>
      <c r="C889" t="s">
        <v>1702</v>
      </c>
      <c r="D889" t="s">
        <v>1703</v>
      </c>
      <c r="E889" t="s">
        <v>1704</v>
      </c>
      <c r="F889" t="s">
        <v>1705</v>
      </c>
      <c r="G889" s="1">
        <v>44593</v>
      </c>
      <c r="H889" s="1">
        <v>73050</v>
      </c>
      <c r="I889" s="1" t="e">
        <v>#N/A</v>
      </c>
      <c r="J889" s="2" t="s">
        <v>8383</v>
      </c>
      <c r="K889" t="s">
        <v>1706</v>
      </c>
      <c r="M889" s="16" t="s">
        <v>8384</v>
      </c>
      <c r="N889" s="16" t="str">
        <f>VLOOKUP(M889,Tab_Zast[[Zastávka]:[Sloupec1]],2,0)</f>
        <v>50</v>
      </c>
      <c r="O889" t="s">
        <v>1707</v>
      </c>
      <c r="P889">
        <v>6</v>
      </c>
      <c r="Q889">
        <v>0</v>
      </c>
      <c r="R889" t="s">
        <v>130</v>
      </c>
      <c r="S889" t="s">
        <v>31</v>
      </c>
      <c r="T889" t="s">
        <v>32</v>
      </c>
      <c r="V889" s="1" t="e">
        <v>#N/A</v>
      </c>
      <c r="W889" t="s">
        <v>1216</v>
      </c>
      <c r="X889">
        <v>1</v>
      </c>
      <c r="Y889">
        <v>0</v>
      </c>
      <c r="AA889" t="str">
        <f t="shared" si="26"/>
        <v>update zamestnanci set nastup='50' where id='462';</v>
      </c>
      <c r="AB889" t="str">
        <f t="shared" si="27"/>
        <v>update dochazka set zastavka = '50' where zamestnanec = '462';</v>
      </c>
    </row>
    <row r="890" spans="1:28" x14ac:dyDescent="0.25">
      <c r="A890" s="2">
        <v>903</v>
      </c>
      <c r="B890" t="s">
        <v>4082</v>
      </c>
      <c r="D890" t="s">
        <v>2823</v>
      </c>
      <c r="E890" t="s">
        <v>2903</v>
      </c>
      <c r="F890" t="s">
        <v>4083</v>
      </c>
      <c r="G890" s="1">
        <v>45393</v>
      </c>
      <c r="H890" s="1">
        <v>45429</v>
      </c>
      <c r="I890" s="1">
        <v>73050</v>
      </c>
      <c r="J890" s="2" t="s">
        <v>8383</v>
      </c>
      <c r="K890" t="s">
        <v>4084</v>
      </c>
      <c r="M890" s="16" t="s">
        <v>8384</v>
      </c>
      <c r="N890" s="16" t="str">
        <f>VLOOKUP(M890,Tab_Zast[[Zastávka]:[Sloupec1]],2,0)</f>
        <v>50</v>
      </c>
      <c r="O890" t="s">
        <v>4085</v>
      </c>
      <c r="P890">
        <v>6</v>
      </c>
      <c r="Q890">
        <v>0</v>
      </c>
      <c r="R890" t="s">
        <v>31</v>
      </c>
      <c r="S890" t="s">
        <v>31</v>
      </c>
      <c r="T890" t="s">
        <v>32</v>
      </c>
      <c r="V890" s="1" t="e">
        <v>#N/A</v>
      </c>
      <c r="W890" t="s">
        <v>1216</v>
      </c>
      <c r="X890">
        <v>0</v>
      </c>
      <c r="Y890">
        <v>257</v>
      </c>
      <c r="AA890" t="str">
        <f t="shared" si="26"/>
        <v>update zamestnanci set nastup='50' where id='903';</v>
      </c>
      <c r="AB890" t="str">
        <f t="shared" si="27"/>
        <v>update dochazka set zastavka = '50' where zamestnanec = '903';</v>
      </c>
    </row>
    <row r="891" spans="1:28" x14ac:dyDescent="0.25">
      <c r="A891" s="2">
        <v>934</v>
      </c>
      <c r="B891" t="s">
        <v>4215</v>
      </c>
      <c r="C891" t="s">
        <v>4216</v>
      </c>
      <c r="D891" t="s">
        <v>4217</v>
      </c>
      <c r="E891" t="s">
        <v>2607</v>
      </c>
      <c r="F891" t="s">
        <v>3100</v>
      </c>
      <c r="G891" s="1">
        <v>45415</v>
      </c>
      <c r="H891" s="1">
        <v>45566</v>
      </c>
      <c r="I891" s="1">
        <v>73050</v>
      </c>
      <c r="J891" s="2" t="s">
        <v>8383</v>
      </c>
      <c r="K891" t="s">
        <v>4218</v>
      </c>
      <c r="M891" s="16" t="s">
        <v>8384</v>
      </c>
      <c r="N891" s="16" t="str">
        <f>VLOOKUP(M891,Tab_Zast[[Zastávka]:[Sloupec1]],2,0)</f>
        <v>50</v>
      </c>
      <c r="O891" t="s">
        <v>4219</v>
      </c>
      <c r="P891">
        <v>6</v>
      </c>
      <c r="Q891">
        <v>0</v>
      </c>
      <c r="R891" t="s">
        <v>31</v>
      </c>
      <c r="S891" t="s">
        <v>31</v>
      </c>
      <c r="T891" t="s">
        <v>32</v>
      </c>
      <c r="V891" s="1" t="e">
        <v>#N/A</v>
      </c>
      <c r="W891" t="s">
        <v>1216</v>
      </c>
      <c r="X891">
        <v>0</v>
      </c>
      <c r="Y891">
        <v>313</v>
      </c>
      <c r="AA891" t="str">
        <f t="shared" si="26"/>
        <v>update zamestnanci set nastup='50' where id='934';</v>
      </c>
      <c r="AB891" t="str">
        <f t="shared" si="27"/>
        <v>update dochazka set zastavka = '50' where zamestnanec = '934';</v>
      </c>
    </row>
    <row r="892" spans="1:28" x14ac:dyDescent="0.25">
      <c r="A892" s="2">
        <v>937</v>
      </c>
      <c r="B892" t="s">
        <v>4227</v>
      </c>
      <c r="D892" t="s">
        <v>4228</v>
      </c>
      <c r="E892" t="s">
        <v>4229</v>
      </c>
      <c r="F892" t="s">
        <v>3496</v>
      </c>
      <c r="G892" s="1">
        <v>45419</v>
      </c>
      <c r="H892" s="1">
        <v>45425</v>
      </c>
      <c r="I892" s="1">
        <v>73050</v>
      </c>
      <c r="J892" s="2" t="s">
        <v>8383</v>
      </c>
      <c r="K892" t="s">
        <v>4230</v>
      </c>
      <c r="M892" s="16" t="s">
        <v>8384</v>
      </c>
      <c r="N892" s="16" t="str">
        <f>VLOOKUP(M892,Tab_Zast[[Zastávka]:[Sloupec1]],2,0)</f>
        <v>50</v>
      </c>
      <c r="O892" t="s">
        <v>4231</v>
      </c>
      <c r="P892">
        <v>6</v>
      </c>
      <c r="Q892">
        <v>0</v>
      </c>
      <c r="R892" t="s">
        <v>31</v>
      </c>
      <c r="S892" t="s">
        <v>31</v>
      </c>
      <c r="T892" t="s">
        <v>32</v>
      </c>
      <c r="V892" s="1" t="e">
        <v>#N/A</v>
      </c>
      <c r="W892" t="s">
        <v>1216</v>
      </c>
      <c r="X892">
        <v>0</v>
      </c>
      <c r="Y892">
        <v>311</v>
      </c>
      <c r="AA892" t="str">
        <f t="shared" si="26"/>
        <v>update zamestnanci set nastup='50' where id='937';</v>
      </c>
      <c r="AB892" t="str">
        <f t="shared" si="27"/>
        <v>update dochazka set zastavka = '50' where zamestnanec = '937';</v>
      </c>
    </row>
    <row r="893" spans="1:28" x14ac:dyDescent="0.25">
      <c r="A893" s="2">
        <v>1076</v>
      </c>
      <c r="B893" t="s">
        <v>4842</v>
      </c>
      <c r="C893" t="s">
        <v>1394</v>
      </c>
      <c r="D893" t="s">
        <v>4190</v>
      </c>
      <c r="E893" t="s">
        <v>2613</v>
      </c>
      <c r="F893" t="s">
        <v>4843</v>
      </c>
      <c r="G893" s="1">
        <v>45481</v>
      </c>
      <c r="H893" s="1">
        <v>45504</v>
      </c>
      <c r="I893" s="1">
        <v>73050</v>
      </c>
      <c r="J893" s="2" t="s">
        <v>8261</v>
      </c>
      <c r="K893" t="s">
        <v>4844</v>
      </c>
      <c r="M893" s="16" t="s">
        <v>8262</v>
      </c>
      <c r="N893" s="16" t="str">
        <f>VLOOKUP(M893,Tab_Zast[[Zastávka]:[Sloupec1]],2,0)</f>
        <v>04</v>
      </c>
      <c r="O893" t="s">
        <v>4845</v>
      </c>
      <c r="P893">
        <v>3</v>
      </c>
      <c r="Q893">
        <v>0</v>
      </c>
      <c r="R893" t="s">
        <v>31</v>
      </c>
      <c r="S893" t="s">
        <v>31</v>
      </c>
      <c r="T893" t="s">
        <v>32</v>
      </c>
      <c r="V893" s="1" t="e">
        <v>#N/A</v>
      </c>
      <c r="W893" t="s">
        <v>3091</v>
      </c>
      <c r="X893">
        <v>0</v>
      </c>
      <c r="Y893">
        <v>462</v>
      </c>
      <c r="AA893" t="str">
        <f t="shared" si="26"/>
        <v>update zamestnanci set nastup='04' where id='1076';</v>
      </c>
      <c r="AB893" t="str">
        <f t="shared" si="27"/>
        <v>update dochazka set zastavka = '04' where zamestnanec = '1076';</v>
      </c>
    </row>
    <row r="894" spans="1:28" x14ac:dyDescent="0.25">
      <c r="A894" s="2">
        <v>1095</v>
      </c>
      <c r="B894" t="s">
        <v>4919</v>
      </c>
      <c r="C894" t="s">
        <v>151</v>
      </c>
      <c r="D894" t="s">
        <v>4921</v>
      </c>
      <c r="E894" t="s">
        <v>4922</v>
      </c>
      <c r="F894" t="s">
        <v>4923</v>
      </c>
      <c r="G894" s="1">
        <v>45496</v>
      </c>
      <c r="H894" s="1">
        <v>45534</v>
      </c>
      <c r="I894" s="1">
        <v>73050</v>
      </c>
      <c r="J894" s="2" t="s">
        <v>8261</v>
      </c>
      <c r="K894" t="s">
        <v>4924</v>
      </c>
      <c r="M894" s="16" t="s">
        <v>8262</v>
      </c>
      <c r="N894" s="16" t="str">
        <f>VLOOKUP(M894,Tab_Zast[[Zastávka]:[Sloupec1]],2,0)</f>
        <v>04</v>
      </c>
      <c r="O894" t="s">
        <v>4925</v>
      </c>
      <c r="P894">
        <v>3</v>
      </c>
      <c r="Q894">
        <v>0</v>
      </c>
      <c r="R894" t="s">
        <v>31</v>
      </c>
      <c r="S894" t="s">
        <v>31</v>
      </c>
      <c r="T894" t="s">
        <v>32</v>
      </c>
      <c r="V894" s="1" t="e">
        <v>#N/A</v>
      </c>
      <c r="W894" t="s">
        <v>493</v>
      </c>
      <c r="X894">
        <v>0</v>
      </c>
      <c r="Y894">
        <v>484</v>
      </c>
      <c r="AA894" t="str">
        <f t="shared" si="26"/>
        <v>update zamestnanci set nastup='04' where id='1095';</v>
      </c>
      <c r="AB894" t="str">
        <f t="shared" si="27"/>
        <v>update dochazka set zastavka = '04' where zamestnanec = '1095';</v>
      </c>
    </row>
    <row r="895" spans="1:28" x14ac:dyDescent="0.25">
      <c r="A895" s="2">
        <v>1143</v>
      </c>
      <c r="B895" t="s">
        <v>5112</v>
      </c>
      <c r="C895" t="s">
        <v>1394</v>
      </c>
      <c r="D895" t="s">
        <v>5113</v>
      </c>
      <c r="E895" t="s">
        <v>633</v>
      </c>
      <c r="F895" t="s">
        <v>67</v>
      </c>
      <c r="G895" s="1">
        <v>45516</v>
      </c>
      <c r="H895" s="1">
        <v>45849</v>
      </c>
      <c r="I895" s="1">
        <v>45516</v>
      </c>
      <c r="J895" s="2" t="s">
        <v>8383</v>
      </c>
      <c r="K895" t="s">
        <v>5114</v>
      </c>
      <c r="M895" s="16" t="s">
        <v>8384</v>
      </c>
      <c r="N895" s="16" t="str">
        <f>VLOOKUP(M895,Tab_Zast[[Zastávka]:[Sloupec1]],2,0)</f>
        <v>50</v>
      </c>
      <c r="O895" t="s">
        <v>5115</v>
      </c>
      <c r="P895">
        <v>6</v>
      </c>
      <c r="Q895">
        <v>0</v>
      </c>
      <c r="R895" t="s">
        <v>31</v>
      </c>
      <c r="S895" t="s">
        <v>31</v>
      </c>
      <c r="T895" t="s">
        <v>32</v>
      </c>
      <c r="V895" s="1" t="e">
        <v>#N/A</v>
      </c>
      <c r="W895" t="s">
        <v>1216</v>
      </c>
      <c r="X895">
        <v>0</v>
      </c>
      <c r="Y895">
        <v>532</v>
      </c>
      <c r="AA895" t="str">
        <f t="shared" si="26"/>
        <v>update zamestnanci set nastup='50' where id='1143';</v>
      </c>
      <c r="AB895" t="str">
        <f t="shared" si="27"/>
        <v>update dochazka set zastavka = '50' where zamestnanec = '1143';</v>
      </c>
    </row>
    <row r="896" spans="1:28" x14ac:dyDescent="0.25">
      <c r="A896" s="2">
        <v>1162</v>
      </c>
      <c r="B896" t="s">
        <v>5187</v>
      </c>
      <c r="C896" t="s">
        <v>1394</v>
      </c>
      <c r="D896" t="s">
        <v>5188</v>
      </c>
      <c r="E896" t="s">
        <v>5189</v>
      </c>
      <c r="F896" t="s">
        <v>67</v>
      </c>
      <c r="G896" s="1">
        <v>45524</v>
      </c>
      <c r="H896" s="1">
        <v>45524</v>
      </c>
      <c r="I896" s="1">
        <v>45524</v>
      </c>
      <c r="J896" s="2" t="s">
        <v>8261</v>
      </c>
      <c r="K896" t="s">
        <v>5190</v>
      </c>
      <c r="M896" s="16" t="s">
        <v>8262</v>
      </c>
      <c r="N896" s="16" t="str">
        <f>VLOOKUP(M896,Tab_Zast[[Zastávka]:[Sloupec1]],2,0)</f>
        <v>04</v>
      </c>
      <c r="O896" t="s">
        <v>5191</v>
      </c>
      <c r="P896">
        <v>3</v>
      </c>
      <c r="Q896">
        <v>0</v>
      </c>
      <c r="R896" t="s">
        <v>31</v>
      </c>
      <c r="S896" t="s">
        <v>31</v>
      </c>
      <c r="T896" t="s">
        <v>32</v>
      </c>
      <c r="V896" s="1" t="e">
        <v>#N/A</v>
      </c>
      <c r="W896" t="s">
        <v>3091</v>
      </c>
      <c r="X896">
        <v>0</v>
      </c>
      <c r="Y896">
        <v>551</v>
      </c>
      <c r="AA896" t="str">
        <f t="shared" si="26"/>
        <v>update zamestnanci set nastup='04' where id='1162';</v>
      </c>
      <c r="AB896" t="str">
        <f t="shared" si="27"/>
        <v>update dochazka set zastavka = '04' where zamestnanec = '1162';</v>
      </c>
    </row>
    <row r="897" spans="1:28" x14ac:dyDescent="0.25">
      <c r="A897" s="2">
        <v>1174</v>
      </c>
      <c r="B897" t="s">
        <v>5234</v>
      </c>
      <c r="C897" t="s">
        <v>1394</v>
      </c>
      <c r="D897" t="s">
        <v>5235</v>
      </c>
      <c r="E897" t="s">
        <v>701</v>
      </c>
      <c r="F897" t="s">
        <v>67</v>
      </c>
      <c r="G897" s="1">
        <v>45527</v>
      </c>
      <c r="H897" s="1">
        <v>45532</v>
      </c>
      <c r="I897" s="1">
        <v>73050</v>
      </c>
      <c r="J897" s="2" t="s">
        <v>8261</v>
      </c>
      <c r="K897" t="s">
        <v>5236</v>
      </c>
      <c r="M897" s="16" t="s">
        <v>8262</v>
      </c>
      <c r="N897" s="16" t="str">
        <f>VLOOKUP(M897,Tab_Zast[[Zastávka]:[Sloupec1]],2,0)</f>
        <v>04</v>
      </c>
      <c r="O897" t="s">
        <v>5237</v>
      </c>
      <c r="P897">
        <v>3</v>
      </c>
      <c r="Q897">
        <v>0</v>
      </c>
      <c r="R897" t="s">
        <v>31</v>
      </c>
      <c r="S897" t="s">
        <v>31</v>
      </c>
      <c r="T897" t="s">
        <v>32</v>
      </c>
      <c r="V897" s="1" t="e">
        <v>#N/A</v>
      </c>
      <c r="W897" t="s">
        <v>493</v>
      </c>
      <c r="X897">
        <v>0</v>
      </c>
      <c r="Y897">
        <v>563</v>
      </c>
      <c r="AA897" t="str">
        <f t="shared" si="26"/>
        <v>update zamestnanci set nastup='04' where id='1174';</v>
      </c>
      <c r="AB897" t="str">
        <f t="shared" si="27"/>
        <v>update dochazka set zastavka = '04' where zamestnanec = '1174';</v>
      </c>
    </row>
    <row r="898" spans="1:28" x14ac:dyDescent="0.25">
      <c r="A898" s="2">
        <v>1192</v>
      </c>
      <c r="B898" t="s">
        <v>5307</v>
      </c>
      <c r="C898" t="s">
        <v>1394</v>
      </c>
      <c r="D898" t="s">
        <v>3561</v>
      </c>
      <c r="E898" t="s">
        <v>1711</v>
      </c>
      <c r="F898" t="s">
        <v>64</v>
      </c>
      <c r="G898" s="1">
        <v>45535</v>
      </c>
      <c r="H898" s="1">
        <v>45535</v>
      </c>
      <c r="I898" s="1">
        <v>45535</v>
      </c>
      <c r="J898" s="2" t="s">
        <v>8261</v>
      </c>
      <c r="K898" t="s">
        <v>5308</v>
      </c>
      <c r="M898" s="16" t="s">
        <v>8262</v>
      </c>
      <c r="N898" s="16" t="str">
        <f>VLOOKUP(M898,Tab_Zast[[Zastávka]:[Sloupec1]],2,0)</f>
        <v>04</v>
      </c>
      <c r="O898" t="s">
        <v>3563</v>
      </c>
      <c r="P898">
        <v>3</v>
      </c>
      <c r="Q898">
        <v>0</v>
      </c>
      <c r="R898" t="s">
        <v>31</v>
      </c>
      <c r="S898" t="s">
        <v>31</v>
      </c>
      <c r="T898" t="s">
        <v>32</v>
      </c>
      <c r="V898" s="1" t="e">
        <v>#N/A</v>
      </c>
      <c r="W898" t="s">
        <v>3091</v>
      </c>
      <c r="X898">
        <v>0</v>
      </c>
      <c r="Y898">
        <v>582</v>
      </c>
      <c r="AA898" t="str">
        <f t="shared" si="26"/>
        <v>update zamestnanci set nastup='04' where id='1192';</v>
      </c>
      <c r="AB898" t="str">
        <f t="shared" si="27"/>
        <v>update dochazka set zastavka = '04' where zamestnanec = '1192';</v>
      </c>
    </row>
    <row r="899" spans="1:28" x14ac:dyDescent="0.25">
      <c r="A899" s="2">
        <v>1196</v>
      </c>
      <c r="B899" t="s">
        <v>5320</v>
      </c>
      <c r="C899" t="s">
        <v>1394</v>
      </c>
      <c r="D899" t="s">
        <v>42</v>
      </c>
      <c r="E899" t="s">
        <v>3432</v>
      </c>
      <c r="F899" t="s">
        <v>151</v>
      </c>
      <c r="G899" s="1">
        <v>45538</v>
      </c>
      <c r="H899" s="1">
        <v>45539</v>
      </c>
      <c r="I899" s="1">
        <v>73050</v>
      </c>
      <c r="J899" s="2" t="s">
        <v>8261</v>
      </c>
      <c r="K899" t="s">
        <v>5321</v>
      </c>
      <c r="M899" s="16" t="s">
        <v>8262</v>
      </c>
      <c r="N899" s="16" t="str">
        <f>VLOOKUP(M899,Tab_Zast[[Zastávka]:[Sloupec1]],2,0)</f>
        <v>04</v>
      </c>
      <c r="O899" t="s">
        <v>5322</v>
      </c>
      <c r="P899">
        <v>3</v>
      </c>
      <c r="Q899">
        <v>0</v>
      </c>
      <c r="R899" t="s">
        <v>31</v>
      </c>
      <c r="S899" t="s">
        <v>31</v>
      </c>
      <c r="T899" t="s">
        <v>32</v>
      </c>
      <c r="V899" s="1" t="e">
        <v>#N/A</v>
      </c>
      <c r="W899" t="s">
        <v>3091</v>
      </c>
      <c r="X899">
        <v>0</v>
      </c>
      <c r="Y899">
        <v>586</v>
      </c>
      <c r="AA899" t="str">
        <f t="shared" si="26"/>
        <v>update zamestnanci set nastup='04' where id='1196';</v>
      </c>
      <c r="AB899" t="str">
        <f t="shared" si="27"/>
        <v>update dochazka set zastavka = '04' where zamestnanec = '1196';</v>
      </c>
    </row>
    <row r="900" spans="1:28" x14ac:dyDescent="0.25">
      <c r="A900" s="2">
        <v>1220</v>
      </c>
      <c r="B900" t="s">
        <v>5422</v>
      </c>
      <c r="C900" t="s">
        <v>151</v>
      </c>
      <c r="D900" t="s">
        <v>5423</v>
      </c>
      <c r="E900" t="s">
        <v>2883</v>
      </c>
      <c r="F900" t="s">
        <v>5424</v>
      </c>
      <c r="G900" s="1">
        <v>45546</v>
      </c>
      <c r="H900" s="1">
        <v>45547</v>
      </c>
      <c r="I900" s="1">
        <v>73050</v>
      </c>
      <c r="J900" s="2" t="s">
        <v>8261</v>
      </c>
      <c r="K900" t="s">
        <v>5425</v>
      </c>
      <c r="M900" s="16" t="s">
        <v>8262</v>
      </c>
      <c r="N900" s="16" t="str">
        <f>VLOOKUP(M900,Tab_Zast[[Zastávka]:[Sloupec1]],2,0)</f>
        <v>04</v>
      </c>
      <c r="O900" t="s">
        <v>5426</v>
      </c>
      <c r="P900">
        <v>3</v>
      </c>
      <c r="Q900">
        <v>0</v>
      </c>
      <c r="R900" t="s">
        <v>31</v>
      </c>
      <c r="S900" t="s">
        <v>31</v>
      </c>
      <c r="T900" t="s">
        <v>32</v>
      </c>
      <c r="V900" s="1" t="e">
        <v>#N/A</v>
      </c>
      <c r="W900" t="s">
        <v>493</v>
      </c>
      <c r="X900">
        <v>0</v>
      </c>
      <c r="Y900">
        <v>610</v>
      </c>
      <c r="AA900" t="str">
        <f t="shared" ref="AA900:AA963" si="28">IF(J900&lt;&gt;"00","update zamestnanci set nastup='" &amp; J900 &amp; "' where id='" &amp; A900 &amp; "';","")</f>
        <v>update zamestnanci set nastup='04' where id='1220';</v>
      </c>
      <c r="AB900" t="str">
        <f t="shared" ref="AB900:AB963" si="29">IF(J900&lt;&gt;"00","update dochazka set zastavka = '" &amp; J900 &amp; "' where zamestnanec = '" &amp; A900 &amp; "';","")</f>
        <v>update dochazka set zastavka = '04' where zamestnanec = '1220';</v>
      </c>
    </row>
    <row r="901" spans="1:28" x14ac:dyDescent="0.25">
      <c r="A901" s="2">
        <v>1228</v>
      </c>
      <c r="B901" t="s">
        <v>1394</v>
      </c>
      <c r="C901" t="s">
        <v>1394</v>
      </c>
      <c r="D901" t="s">
        <v>3561</v>
      </c>
      <c r="E901" t="s">
        <v>1711</v>
      </c>
      <c r="F901" t="s">
        <v>357</v>
      </c>
      <c r="G901" s="1">
        <v>45534</v>
      </c>
      <c r="H901" s="1">
        <v>45534</v>
      </c>
      <c r="I901" s="1">
        <v>45534</v>
      </c>
      <c r="J901" s="2" t="s">
        <v>8261</v>
      </c>
      <c r="K901" t="s">
        <v>5308</v>
      </c>
      <c r="M901" s="16" t="s">
        <v>8262</v>
      </c>
      <c r="N901" s="16" t="str">
        <f>VLOOKUP(M901,Tab_Zast[[Zastávka]:[Sloupec1]],2,0)</f>
        <v>04</v>
      </c>
      <c r="O901" t="s">
        <v>3563</v>
      </c>
      <c r="P901">
        <v>3</v>
      </c>
      <c r="Q901">
        <v>0</v>
      </c>
      <c r="R901" t="s">
        <v>31</v>
      </c>
      <c r="S901" t="s">
        <v>130</v>
      </c>
      <c r="T901" t="s">
        <v>32</v>
      </c>
      <c r="V901" s="1" t="e">
        <v>#N/A</v>
      </c>
      <c r="W901" t="s">
        <v>3091</v>
      </c>
      <c r="X901">
        <v>0</v>
      </c>
      <c r="Y901">
        <v>619</v>
      </c>
      <c r="AA901" t="str">
        <f t="shared" si="28"/>
        <v>update zamestnanci set nastup='04' where id='1228';</v>
      </c>
      <c r="AB901" t="str">
        <f t="shared" si="29"/>
        <v>update dochazka set zastavka = '04' where zamestnanec = '1228';</v>
      </c>
    </row>
    <row r="902" spans="1:28" x14ac:dyDescent="0.25">
      <c r="A902" s="2">
        <v>1379</v>
      </c>
      <c r="B902" t="s">
        <v>6045</v>
      </c>
      <c r="C902" t="s">
        <v>64</v>
      </c>
      <c r="D902" t="s">
        <v>3893</v>
      </c>
      <c r="E902" t="s">
        <v>1226</v>
      </c>
      <c r="F902" t="s">
        <v>6046</v>
      </c>
      <c r="G902" s="1">
        <v>45611</v>
      </c>
      <c r="H902" s="1">
        <v>45631</v>
      </c>
      <c r="I902" s="1">
        <v>45631</v>
      </c>
      <c r="J902" s="2" t="s">
        <v>8413</v>
      </c>
      <c r="K902" t="s">
        <v>6047</v>
      </c>
      <c r="M902" s="16" t="s">
        <v>8414</v>
      </c>
      <c r="N902" s="16" t="str">
        <f>VLOOKUP(M902,Tab_Zast[[Zastávka]:[Sloupec1]],2,0)</f>
        <v>60</v>
      </c>
      <c r="O902" t="s">
        <v>6048</v>
      </c>
      <c r="P902">
        <v>1</v>
      </c>
      <c r="Q902">
        <v>0</v>
      </c>
      <c r="R902" t="s">
        <v>31</v>
      </c>
      <c r="S902" t="s">
        <v>31</v>
      </c>
      <c r="T902" t="s">
        <v>32</v>
      </c>
      <c r="V902" s="1" t="e">
        <v>#N/A</v>
      </c>
      <c r="W902" t="s">
        <v>47</v>
      </c>
      <c r="X902">
        <v>0</v>
      </c>
      <c r="Y902">
        <v>0</v>
      </c>
      <c r="AA902" t="str">
        <f t="shared" si="28"/>
        <v>update zamestnanci set nastup='60' where id='1379';</v>
      </c>
      <c r="AB902" t="str">
        <f t="shared" si="29"/>
        <v>update dochazka set zastavka = '60' where zamestnanec = '1379';</v>
      </c>
    </row>
    <row r="903" spans="1:28" x14ac:dyDescent="0.25">
      <c r="A903" s="2">
        <v>1466</v>
      </c>
      <c r="B903" t="s">
        <v>6385</v>
      </c>
      <c r="C903" t="s">
        <v>64</v>
      </c>
      <c r="D903" t="s">
        <v>6386</v>
      </c>
      <c r="E903" t="s">
        <v>1947</v>
      </c>
      <c r="F903" t="s">
        <v>6387</v>
      </c>
      <c r="G903" s="1">
        <v>45698</v>
      </c>
      <c r="H903" s="1" t="e">
        <v>#N/A</v>
      </c>
      <c r="I903" s="1" t="e">
        <v>#N/A</v>
      </c>
      <c r="J903" s="2" t="s">
        <v>8261</v>
      </c>
      <c r="K903" t="s">
        <v>6388</v>
      </c>
      <c r="M903" s="16" t="s">
        <v>8262</v>
      </c>
      <c r="N903" s="16" t="str">
        <f>VLOOKUP(M903,Tab_Zast[[Zastávka]:[Sloupec1]],2,0)</f>
        <v>04</v>
      </c>
      <c r="O903" t="s">
        <v>6389</v>
      </c>
      <c r="P903">
        <v>8</v>
      </c>
      <c r="Q903">
        <v>0</v>
      </c>
      <c r="R903" t="s">
        <v>179</v>
      </c>
      <c r="S903" t="s">
        <v>31</v>
      </c>
      <c r="T903" t="s">
        <v>32</v>
      </c>
      <c r="V903" s="1" t="e">
        <v>#N/A</v>
      </c>
      <c r="W903" t="s">
        <v>493</v>
      </c>
      <c r="X903">
        <v>1</v>
      </c>
      <c r="Y903">
        <v>854</v>
      </c>
      <c r="AA903" t="str">
        <f t="shared" si="28"/>
        <v>update zamestnanci set nastup='04' where id='1466';</v>
      </c>
      <c r="AB903" t="str">
        <f t="shared" si="29"/>
        <v>update dochazka set zastavka = '04' where zamestnanec = '1466';</v>
      </c>
    </row>
    <row r="904" spans="1:28" x14ac:dyDescent="0.25">
      <c r="A904" s="2">
        <v>1567</v>
      </c>
      <c r="B904" t="s">
        <v>6758</v>
      </c>
      <c r="C904" t="s">
        <v>64</v>
      </c>
      <c r="D904" t="s">
        <v>4460</v>
      </c>
      <c r="E904" t="s">
        <v>800</v>
      </c>
      <c r="F904" t="s">
        <v>6759</v>
      </c>
      <c r="G904" s="1">
        <v>45754</v>
      </c>
      <c r="H904" s="1" t="e">
        <v>#N/A</v>
      </c>
      <c r="I904" s="1" t="e">
        <v>#N/A</v>
      </c>
      <c r="J904" s="2" t="s">
        <v>8261</v>
      </c>
      <c r="K904" t="s">
        <v>6760</v>
      </c>
      <c r="M904" s="16" t="s">
        <v>8262</v>
      </c>
      <c r="N904" s="16" t="str">
        <f>VLOOKUP(M904,Tab_Zast[[Zastávka]:[Sloupec1]],2,0)</f>
        <v>04</v>
      </c>
      <c r="O904" t="s">
        <v>5586</v>
      </c>
      <c r="P904">
        <v>8</v>
      </c>
      <c r="Q904">
        <v>0</v>
      </c>
      <c r="R904" t="s">
        <v>129</v>
      </c>
      <c r="S904" t="s">
        <v>31</v>
      </c>
      <c r="T904" t="s">
        <v>32</v>
      </c>
      <c r="V904" s="1" t="e">
        <v>#N/A</v>
      </c>
      <c r="W904" t="s">
        <v>3023</v>
      </c>
      <c r="X904">
        <v>1</v>
      </c>
      <c r="Y904">
        <v>955</v>
      </c>
      <c r="AA904" t="str">
        <f t="shared" si="28"/>
        <v>update zamestnanci set nastup='04' where id='1567';</v>
      </c>
      <c r="AB904" t="str">
        <f t="shared" si="29"/>
        <v>update dochazka set zastavka = '04' where zamestnanec = '1567';</v>
      </c>
    </row>
    <row r="905" spans="1:28" x14ac:dyDescent="0.25">
      <c r="A905" s="2">
        <v>1668</v>
      </c>
      <c r="B905" t="s">
        <v>64</v>
      </c>
      <c r="C905" t="s">
        <v>357</v>
      </c>
      <c r="D905" t="s">
        <v>626</v>
      </c>
      <c r="E905" t="s">
        <v>627</v>
      </c>
      <c r="F905" t="s">
        <v>7119</v>
      </c>
      <c r="G905" s="1">
        <v>45813</v>
      </c>
      <c r="H905" s="1" t="e">
        <v>#N/A</v>
      </c>
      <c r="I905" s="1" t="e">
        <v>#N/A</v>
      </c>
      <c r="J905" s="2" t="s">
        <v>8413</v>
      </c>
      <c r="K905" t="s">
        <v>7120</v>
      </c>
      <c r="M905" s="16" t="s">
        <v>8414</v>
      </c>
      <c r="N905" s="16" t="str">
        <f>VLOOKUP(M905,Tab_Zast[[Zastávka]:[Sloupec1]],2,0)</f>
        <v>60</v>
      </c>
      <c r="O905" t="s">
        <v>7121</v>
      </c>
      <c r="P905">
        <v>1</v>
      </c>
      <c r="Q905">
        <v>0</v>
      </c>
      <c r="R905" t="s">
        <v>179</v>
      </c>
      <c r="S905" t="s">
        <v>179</v>
      </c>
      <c r="T905" t="s">
        <v>32</v>
      </c>
      <c r="V905" s="1" t="e">
        <v>#N/A</v>
      </c>
      <c r="W905" t="s">
        <v>5988</v>
      </c>
      <c r="X905">
        <v>1</v>
      </c>
      <c r="Y905">
        <v>1060</v>
      </c>
      <c r="AA905" t="str">
        <f t="shared" si="28"/>
        <v>update zamestnanci set nastup='60' where id='1668';</v>
      </c>
      <c r="AB905" t="str">
        <f t="shared" si="29"/>
        <v>update dochazka set zastavka = '60' where zamestnanec = '1668';</v>
      </c>
    </row>
    <row r="906" spans="1:28" x14ac:dyDescent="0.25">
      <c r="A906" s="2">
        <v>1718</v>
      </c>
      <c r="B906" t="s">
        <v>7288</v>
      </c>
      <c r="C906" t="s">
        <v>64</v>
      </c>
      <c r="D906" t="s">
        <v>7289</v>
      </c>
      <c r="E906" t="s">
        <v>3321</v>
      </c>
      <c r="F906" t="s">
        <v>7290</v>
      </c>
      <c r="G906" s="1">
        <v>45839</v>
      </c>
      <c r="H906" s="1">
        <v>45845</v>
      </c>
      <c r="I906" s="1">
        <v>73050</v>
      </c>
      <c r="J906" s="2" t="s">
        <v>8383</v>
      </c>
      <c r="K906" t="s">
        <v>7291</v>
      </c>
      <c r="M906" s="16" t="s">
        <v>8384</v>
      </c>
      <c r="N906" s="16" t="str">
        <f>VLOOKUP(M906,Tab_Zast[[Zastávka]:[Sloupec1]],2,0)</f>
        <v>50</v>
      </c>
      <c r="O906" t="s">
        <v>7292</v>
      </c>
      <c r="P906">
        <v>6</v>
      </c>
      <c r="Q906">
        <v>0</v>
      </c>
      <c r="R906" t="s">
        <v>31</v>
      </c>
      <c r="S906" t="s">
        <v>31</v>
      </c>
      <c r="T906" t="s">
        <v>32</v>
      </c>
      <c r="V906" s="1">
        <v>45840</v>
      </c>
      <c r="W906" t="s">
        <v>3052</v>
      </c>
      <c r="X906">
        <v>0</v>
      </c>
      <c r="Y906">
        <v>1111</v>
      </c>
      <c r="AA906" t="str">
        <f t="shared" si="28"/>
        <v>update zamestnanci set nastup='50' where id='1718';</v>
      </c>
      <c r="AB906" t="str">
        <f t="shared" si="29"/>
        <v>update dochazka set zastavka = '50' where zamestnanec = '1718';</v>
      </c>
    </row>
    <row r="907" spans="1:28" x14ac:dyDescent="0.25">
      <c r="A907" s="2">
        <v>1777</v>
      </c>
      <c r="B907" t="s">
        <v>7527</v>
      </c>
      <c r="C907" t="s">
        <v>569</v>
      </c>
      <c r="D907" t="s">
        <v>6059</v>
      </c>
      <c r="E907" t="s">
        <v>6060</v>
      </c>
      <c r="F907" t="s">
        <v>569</v>
      </c>
      <c r="G907" s="1">
        <v>45876</v>
      </c>
      <c r="H907" s="1">
        <v>45891</v>
      </c>
      <c r="I907" s="1">
        <v>73050</v>
      </c>
      <c r="J907" s="2" t="s">
        <v>8383</v>
      </c>
      <c r="K907" t="s">
        <v>7528</v>
      </c>
      <c r="M907" s="16" t="s">
        <v>8384</v>
      </c>
      <c r="N907" s="16" t="str">
        <f>VLOOKUP(M907,Tab_Zast[[Zastávka]:[Sloupec1]],2,0)</f>
        <v>50</v>
      </c>
      <c r="O907" t="s">
        <v>6063</v>
      </c>
      <c r="P907">
        <v>6</v>
      </c>
      <c r="Q907">
        <v>0</v>
      </c>
      <c r="R907" t="s">
        <v>31</v>
      </c>
      <c r="S907" t="s">
        <v>31</v>
      </c>
      <c r="T907" t="s">
        <v>32</v>
      </c>
      <c r="V907" s="1" t="e">
        <v>#N/A</v>
      </c>
      <c r="W907" t="s">
        <v>3052</v>
      </c>
      <c r="X907">
        <v>0</v>
      </c>
      <c r="Y907">
        <v>1172</v>
      </c>
      <c r="AA907" t="str">
        <f t="shared" si="28"/>
        <v>update zamestnanci set nastup='50' where id='1777';</v>
      </c>
      <c r="AB907" t="str">
        <f t="shared" si="29"/>
        <v>update dochazka set zastavka = '50' where zamestnanec = '1777';</v>
      </c>
    </row>
    <row r="908" spans="1:28" x14ac:dyDescent="0.25">
      <c r="A908" s="2">
        <v>1799</v>
      </c>
      <c r="B908" t="s">
        <v>7605</v>
      </c>
      <c r="C908" t="s">
        <v>569</v>
      </c>
      <c r="D908" t="s">
        <v>6059</v>
      </c>
      <c r="E908" t="s">
        <v>6060</v>
      </c>
      <c r="F908" t="s">
        <v>7606</v>
      </c>
      <c r="G908" s="1">
        <v>45889</v>
      </c>
      <c r="H908" s="1">
        <v>45891</v>
      </c>
      <c r="I908" s="1">
        <v>73050</v>
      </c>
      <c r="J908" s="2" t="s">
        <v>8383</v>
      </c>
      <c r="K908" t="s">
        <v>7528</v>
      </c>
      <c r="M908" s="16" t="s">
        <v>8384</v>
      </c>
      <c r="N908" s="16" t="str">
        <f>VLOOKUP(M908,Tab_Zast[[Zastávka]:[Sloupec1]],2,0)</f>
        <v>50</v>
      </c>
      <c r="O908" t="s">
        <v>6063</v>
      </c>
      <c r="P908">
        <v>6</v>
      </c>
      <c r="Q908">
        <v>0</v>
      </c>
      <c r="R908" t="s">
        <v>31</v>
      </c>
      <c r="S908" t="s">
        <v>31</v>
      </c>
      <c r="T908" t="s">
        <v>32</v>
      </c>
      <c r="V908" s="1" t="e">
        <v>#N/A</v>
      </c>
      <c r="W908" t="s">
        <v>3052</v>
      </c>
      <c r="X908">
        <v>0</v>
      </c>
      <c r="Y908">
        <v>1193</v>
      </c>
      <c r="AA908" t="str">
        <f t="shared" si="28"/>
        <v>update zamestnanci set nastup='50' where id='1799';</v>
      </c>
      <c r="AB908" t="str">
        <f t="shared" si="29"/>
        <v>update dochazka set zastavka = '50' where zamestnanec = '1799';</v>
      </c>
    </row>
    <row r="909" spans="1:28" x14ac:dyDescent="0.25">
      <c r="A909" s="2">
        <v>50</v>
      </c>
      <c r="B909" t="s">
        <v>336</v>
      </c>
      <c r="C909" t="s">
        <v>336</v>
      </c>
      <c r="D909" t="s">
        <v>337</v>
      </c>
      <c r="E909" t="s">
        <v>338</v>
      </c>
      <c r="F909" t="s">
        <v>339</v>
      </c>
      <c r="G909" s="1">
        <v>44522</v>
      </c>
      <c r="H909" s="1" t="e">
        <v>#N/A</v>
      </c>
      <c r="I909" s="1" t="e">
        <v>#N/A</v>
      </c>
      <c r="J909" s="2" t="s">
        <v>8409</v>
      </c>
      <c r="K909" t="s">
        <v>340</v>
      </c>
      <c r="M909" s="16" t="s">
        <v>8410</v>
      </c>
      <c r="N909" s="16" t="str">
        <f>VLOOKUP(M909,Tab_Zast[[Zastávka]:[Sloupec1]],2,0)</f>
        <v>59</v>
      </c>
      <c r="O909" t="s">
        <v>341</v>
      </c>
      <c r="P909">
        <v>1</v>
      </c>
      <c r="Q909">
        <v>0</v>
      </c>
      <c r="R909" t="s">
        <v>179</v>
      </c>
      <c r="S909" t="s">
        <v>31</v>
      </c>
      <c r="T909" t="s">
        <v>32</v>
      </c>
      <c r="V909" s="1" t="e">
        <v>#N/A</v>
      </c>
      <c r="W909" t="s">
        <v>47</v>
      </c>
      <c r="X909">
        <v>1</v>
      </c>
      <c r="Y909">
        <v>0</v>
      </c>
      <c r="AA909" t="str">
        <f t="shared" si="28"/>
        <v>update zamestnanci set nastup='59' where id='50';</v>
      </c>
      <c r="AB909" t="str">
        <f t="shared" si="29"/>
        <v>update dochazka set zastavka = '59' where zamestnanec = '50';</v>
      </c>
    </row>
    <row r="910" spans="1:28" x14ac:dyDescent="0.25">
      <c r="A910" s="2">
        <v>66</v>
      </c>
      <c r="B910" t="s">
        <v>430</v>
      </c>
      <c r="C910" t="s">
        <v>431</v>
      </c>
      <c r="D910" t="s">
        <v>432</v>
      </c>
      <c r="E910" t="s">
        <v>433</v>
      </c>
      <c r="F910" t="s">
        <v>434</v>
      </c>
      <c r="G910" s="1">
        <v>44886</v>
      </c>
      <c r="H910" s="1">
        <v>45673</v>
      </c>
      <c r="I910" s="1">
        <v>73050</v>
      </c>
      <c r="J910" s="2" t="s">
        <v>8409</v>
      </c>
      <c r="K910" t="s">
        <v>435</v>
      </c>
      <c r="M910" s="16" t="s">
        <v>8410</v>
      </c>
      <c r="N910" s="16" t="str">
        <f>VLOOKUP(M910,Tab_Zast[[Zastávka]:[Sloupec1]],2,0)</f>
        <v>59</v>
      </c>
      <c r="O910" t="s">
        <v>436</v>
      </c>
      <c r="P910">
        <v>1</v>
      </c>
      <c r="Q910">
        <v>0</v>
      </c>
      <c r="R910" t="s">
        <v>31</v>
      </c>
      <c r="S910" t="s">
        <v>31</v>
      </c>
      <c r="T910" t="s">
        <v>32</v>
      </c>
      <c r="V910" s="1" t="e">
        <v>#N/A</v>
      </c>
      <c r="W910" t="s">
        <v>47</v>
      </c>
      <c r="X910">
        <v>0</v>
      </c>
      <c r="Y910">
        <v>0</v>
      </c>
      <c r="AA910" t="str">
        <f t="shared" si="28"/>
        <v>update zamestnanci set nastup='59' where id='66';</v>
      </c>
      <c r="AB910" t="str">
        <f t="shared" si="29"/>
        <v>update dochazka set zastavka = '59' where zamestnanec = '66';</v>
      </c>
    </row>
    <row r="911" spans="1:28" x14ac:dyDescent="0.25">
      <c r="A911" s="2">
        <v>101</v>
      </c>
      <c r="B911" t="s">
        <v>631</v>
      </c>
      <c r="D911" t="s">
        <v>632</v>
      </c>
      <c r="E911" t="s">
        <v>633</v>
      </c>
      <c r="F911" t="s">
        <v>634</v>
      </c>
      <c r="G911" s="1">
        <v>44284</v>
      </c>
      <c r="H911" s="1">
        <v>45362</v>
      </c>
      <c r="I911" s="1">
        <v>73050</v>
      </c>
      <c r="J911" s="2" t="s">
        <v>8409</v>
      </c>
      <c r="K911" t="s">
        <v>635</v>
      </c>
      <c r="M911" s="16" t="s">
        <v>8410</v>
      </c>
      <c r="N911" s="16" t="str">
        <f>VLOOKUP(M911,Tab_Zast[[Zastávka]:[Sloupec1]],2,0)</f>
        <v>59</v>
      </c>
      <c r="O911" t="s">
        <v>636</v>
      </c>
      <c r="P911">
        <v>1</v>
      </c>
      <c r="Q911">
        <v>0</v>
      </c>
      <c r="R911" t="s">
        <v>31</v>
      </c>
      <c r="S911" t="s">
        <v>31</v>
      </c>
      <c r="T911" t="s">
        <v>32</v>
      </c>
      <c r="V911" s="1" t="e">
        <v>#N/A</v>
      </c>
      <c r="W911" t="s">
        <v>47</v>
      </c>
      <c r="X911">
        <v>0</v>
      </c>
      <c r="Y911">
        <v>0</v>
      </c>
      <c r="Z911" t="s">
        <v>54</v>
      </c>
      <c r="AA911" t="str">
        <f t="shared" si="28"/>
        <v>update zamestnanci set nastup='59' where id='101';</v>
      </c>
      <c r="AB911" t="str">
        <f t="shared" si="29"/>
        <v>update dochazka set zastavka = '59' where zamestnanec = '101';</v>
      </c>
    </row>
    <row r="912" spans="1:28" x14ac:dyDescent="0.25">
      <c r="A912" s="2">
        <v>103</v>
      </c>
      <c r="B912" t="s">
        <v>642</v>
      </c>
      <c r="D912" t="s">
        <v>517</v>
      </c>
      <c r="E912" t="s">
        <v>643</v>
      </c>
      <c r="F912" t="s">
        <v>644</v>
      </c>
      <c r="G912" s="1">
        <v>44677</v>
      </c>
      <c r="H912" s="1">
        <v>45336</v>
      </c>
      <c r="I912" s="1">
        <v>73050</v>
      </c>
      <c r="J912" s="2" t="s">
        <v>8409</v>
      </c>
      <c r="K912" t="s">
        <v>645</v>
      </c>
      <c r="M912" s="16" t="s">
        <v>8410</v>
      </c>
      <c r="N912" s="16" t="str">
        <f>VLOOKUP(M912,Tab_Zast[[Zastávka]:[Sloupec1]],2,0)</f>
        <v>59</v>
      </c>
      <c r="O912" t="s">
        <v>646</v>
      </c>
      <c r="P912">
        <v>1</v>
      </c>
      <c r="Q912">
        <v>0</v>
      </c>
      <c r="R912" t="s">
        <v>31</v>
      </c>
      <c r="S912" t="s">
        <v>31</v>
      </c>
      <c r="T912" t="s">
        <v>32</v>
      </c>
      <c r="V912" s="1" t="e">
        <v>#N/A</v>
      </c>
      <c r="W912" t="s">
        <v>47</v>
      </c>
      <c r="X912">
        <v>0</v>
      </c>
      <c r="Y912">
        <v>0</v>
      </c>
      <c r="Z912" t="s">
        <v>54</v>
      </c>
      <c r="AA912" t="str">
        <f t="shared" si="28"/>
        <v>update zamestnanci set nastup='59' where id='103';</v>
      </c>
      <c r="AB912" t="str">
        <f t="shared" si="29"/>
        <v>update dochazka set zastavka = '59' where zamestnanec = '103';</v>
      </c>
    </row>
    <row r="913" spans="1:28" x14ac:dyDescent="0.25">
      <c r="A913" s="2">
        <v>431</v>
      </c>
      <c r="B913" t="s">
        <v>1506</v>
      </c>
      <c r="C913" t="s">
        <v>1507</v>
      </c>
      <c r="D913" t="s">
        <v>1508</v>
      </c>
      <c r="E913" t="s">
        <v>1509</v>
      </c>
      <c r="F913" t="s">
        <v>1510</v>
      </c>
      <c r="G913" s="1">
        <v>45408</v>
      </c>
      <c r="H913" s="1" t="e">
        <v>#N/A</v>
      </c>
      <c r="I913" s="1" t="e">
        <v>#N/A</v>
      </c>
      <c r="J913" s="2" t="s">
        <v>487</v>
      </c>
      <c r="K913" t="s">
        <v>1511</v>
      </c>
      <c r="M913" s="16" t="s">
        <v>8389</v>
      </c>
      <c r="N913" s="16" t="str">
        <f>VLOOKUP(M913,Tab_Zast[[Zastávka]:[Sloupec1]],2,0)</f>
        <v>52</v>
      </c>
      <c r="O913" t="s">
        <v>1512</v>
      </c>
      <c r="P913">
        <v>6</v>
      </c>
      <c r="Q913">
        <v>0</v>
      </c>
      <c r="R913" t="s">
        <v>129</v>
      </c>
      <c r="S913" t="s">
        <v>31</v>
      </c>
      <c r="T913" t="s">
        <v>32</v>
      </c>
      <c r="V913" s="1" t="e">
        <v>#N/A</v>
      </c>
      <c r="W913" t="s">
        <v>1216</v>
      </c>
      <c r="X913">
        <v>1</v>
      </c>
      <c r="Y913">
        <v>0</v>
      </c>
      <c r="Z913" t="s">
        <v>54</v>
      </c>
      <c r="AA913" t="str">
        <f t="shared" si="28"/>
        <v>update zamestnanci set nastup='52' where id='431';</v>
      </c>
      <c r="AB913" t="str">
        <f t="shared" si="29"/>
        <v>update dochazka set zastavka = '52' where zamestnanec = '431';</v>
      </c>
    </row>
    <row r="914" spans="1:28" x14ac:dyDescent="0.25">
      <c r="A914" s="2">
        <v>518</v>
      </c>
      <c r="B914" t="s">
        <v>2055</v>
      </c>
      <c r="C914" t="s">
        <v>2056</v>
      </c>
      <c r="D914" t="s">
        <v>2057</v>
      </c>
      <c r="E914" t="s">
        <v>2058</v>
      </c>
      <c r="F914" t="s">
        <v>2059</v>
      </c>
      <c r="G914" s="1">
        <v>44853</v>
      </c>
      <c r="H914" s="1">
        <v>73050</v>
      </c>
      <c r="I914" s="1" t="e">
        <v>#N/A</v>
      </c>
      <c r="J914" s="2" t="s">
        <v>487</v>
      </c>
      <c r="K914" t="s">
        <v>2060</v>
      </c>
      <c r="M914" s="16" t="s">
        <v>8389</v>
      </c>
      <c r="N914" s="16" t="str">
        <f>VLOOKUP(M914,Tab_Zast[[Zastávka]:[Sloupec1]],2,0)</f>
        <v>52</v>
      </c>
      <c r="O914" t="s">
        <v>2061</v>
      </c>
      <c r="P914">
        <v>6</v>
      </c>
      <c r="Q914">
        <v>0</v>
      </c>
      <c r="R914" t="s">
        <v>129</v>
      </c>
      <c r="S914" t="s">
        <v>31</v>
      </c>
      <c r="T914" t="s">
        <v>32</v>
      </c>
      <c r="V914" s="1" t="e">
        <v>#N/A</v>
      </c>
      <c r="W914" t="s">
        <v>1216</v>
      </c>
      <c r="X914">
        <v>1</v>
      </c>
      <c r="Y914">
        <v>0</v>
      </c>
      <c r="AA914" t="str">
        <f t="shared" si="28"/>
        <v>update zamestnanci set nastup='52' where id='518';</v>
      </c>
      <c r="AB914" t="str">
        <f t="shared" si="29"/>
        <v>update dochazka set zastavka = '52' where zamestnanec = '518';</v>
      </c>
    </row>
    <row r="915" spans="1:28" x14ac:dyDescent="0.25">
      <c r="A915" s="2">
        <v>684</v>
      </c>
      <c r="B915" t="s">
        <v>3005</v>
      </c>
      <c r="D915" t="s">
        <v>3006</v>
      </c>
      <c r="E915" t="s">
        <v>3007</v>
      </c>
      <c r="F915" t="s">
        <v>3008</v>
      </c>
      <c r="G915" s="1">
        <v>45238</v>
      </c>
      <c r="H915" s="1">
        <v>45401</v>
      </c>
      <c r="I915" s="1">
        <v>73050</v>
      </c>
      <c r="J915" s="2" t="s">
        <v>267</v>
      </c>
      <c r="K915" t="s">
        <v>3009</v>
      </c>
      <c r="M915" s="16" t="s">
        <v>8305</v>
      </c>
      <c r="N915" s="16" t="str">
        <f>VLOOKUP(M915,Tab_Zast[[Zastávka]:[Sloupec1]],2,0)</f>
        <v>18</v>
      </c>
      <c r="O915" t="s">
        <v>3010</v>
      </c>
      <c r="P915">
        <v>2</v>
      </c>
      <c r="Q915">
        <v>0</v>
      </c>
      <c r="R915" t="s">
        <v>31</v>
      </c>
      <c r="S915" t="s">
        <v>31</v>
      </c>
      <c r="T915" t="s">
        <v>32</v>
      </c>
      <c r="V915" s="1" t="e">
        <v>#N/A</v>
      </c>
      <c r="W915" t="s">
        <v>90</v>
      </c>
      <c r="X915">
        <v>0</v>
      </c>
      <c r="Y915">
        <v>0</v>
      </c>
      <c r="Z915" t="s">
        <v>54</v>
      </c>
      <c r="AA915" t="str">
        <f t="shared" si="28"/>
        <v>update zamestnanci set nastup='18' where id='684';</v>
      </c>
      <c r="AB915" t="str">
        <f t="shared" si="29"/>
        <v>update dochazka set zastavka = '18' where zamestnanec = '684';</v>
      </c>
    </row>
    <row r="916" spans="1:28" x14ac:dyDescent="0.25">
      <c r="A916" s="2">
        <v>692</v>
      </c>
      <c r="B916" t="s">
        <v>3053</v>
      </c>
      <c r="D916" t="s">
        <v>3054</v>
      </c>
      <c r="E916" t="s">
        <v>3055</v>
      </c>
      <c r="F916" t="s">
        <v>3056</v>
      </c>
      <c r="G916" s="1">
        <v>45245</v>
      </c>
      <c r="H916" s="1">
        <v>45291</v>
      </c>
      <c r="I916" s="1">
        <v>73050</v>
      </c>
      <c r="J916" s="2" t="s">
        <v>487</v>
      </c>
      <c r="K916" t="s">
        <v>3057</v>
      </c>
      <c r="M916" s="16" t="s">
        <v>8389</v>
      </c>
      <c r="N916" s="16" t="str">
        <f>VLOOKUP(M916,Tab_Zast[[Zastávka]:[Sloupec1]],2,0)</f>
        <v>52</v>
      </c>
      <c r="O916" t="s">
        <v>3058</v>
      </c>
      <c r="P916">
        <v>6</v>
      </c>
      <c r="Q916">
        <v>0</v>
      </c>
      <c r="R916" t="s">
        <v>31</v>
      </c>
      <c r="S916" t="s">
        <v>31</v>
      </c>
      <c r="T916" t="s">
        <v>32</v>
      </c>
      <c r="V916" s="1" t="e">
        <v>#N/A</v>
      </c>
      <c r="W916" t="s">
        <v>3052</v>
      </c>
      <c r="X916">
        <v>0</v>
      </c>
      <c r="Y916">
        <v>0</v>
      </c>
      <c r="Z916" t="s">
        <v>54</v>
      </c>
      <c r="AA916" t="str">
        <f t="shared" si="28"/>
        <v>update zamestnanci set nastup='52' where id='692';</v>
      </c>
      <c r="AB916" t="str">
        <f t="shared" si="29"/>
        <v>update dochazka set zastavka = '52' where zamestnanec = '692';</v>
      </c>
    </row>
    <row r="917" spans="1:28" x14ac:dyDescent="0.25">
      <c r="A917" s="2">
        <v>697</v>
      </c>
      <c r="B917" t="s">
        <v>3080</v>
      </c>
      <c r="D917" t="s">
        <v>896</v>
      </c>
      <c r="E917" t="s">
        <v>3081</v>
      </c>
      <c r="F917" t="s">
        <v>67</v>
      </c>
      <c r="G917" s="1">
        <v>45257</v>
      </c>
      <c r="H917" s="1">
        <v>45373</v>
      </c>
      <c r="I917" s="1">
        <v>73050</v>
      </c>
      <c r="J917" s="2" t="s">
        <v>267</v>
      </c>
      <c r="K917" t="s">
        <v>3082</v>
      </c>
      <c r="M917" s="16" t="s">
        <v>8305</v>
      </c>
      <c r="N917" s="16" t="str">
        <f>VLOOKUP(M917,Tab_Zast[[Zastávka]:[Sloupec1]],2,0)</f>
        <v>18</v>
      </c>
      <c r="O917" t="s">
        <v>3083</v>
      </c>
      <c r="P917">
        <v>2</v>
      </c>
      <c r="Q917">
        <v>0</v>
      </c>
      <c r="R917" t="s">
        <v>31</v>
      </c>
      <c r="S917" t="s">
        <v>31</v>
      </c>
      <c r="T917" t="s">
        <v>32</v>
      </c>
      <c r="V917" s="1" t="e">
        <v>#N/A</v>
      </c>
      <c r="W917" t="s">
        <v>90</v>
      </c>
      <c r="X917">
        <v>0</v>
      </c>
      <c r="Y917">
        <v>0</v>
      </c>
      <c r="Z917" t="s">
        <v>54</v>
      </c>
      <c r="AA917" t="str">
        <f t="shared" si="28"/>
        <v>update zamestnanci set nastup='18' where id='697';</v>
      </c>
      <c r="AB917" t="str">
        <f t="shared" si="29"/>
        <v>update dochazka set zastavka = '18' where zamestnanec = '697';</v>
      </c>
    </row>
    <row r="918" spans="1:28" x14ac:dyDescent="0.25">
      <c r="A918" s="2">
        <v>809</v>
      </c>
      <c r="B918" t="s">
        <v>3632</v>
      </c>
      <c r="D918" t="s">
        <v>3633</v>
      </c>
      <c r="E918" t="s">
        <v>3373</v>
      </c>
      <c r="F918" t="s">
        <v>67</v>
      </c>
      <c r="G918" s="1">
        <v>45343</v>
      </c>
      <c r="H918" s="1">
        <v>45343</v>
      </c>
      <c r="I918" s="1">
        <v>45343</v>
      </c>
      <c r="J918" s="2" t="s">
        <v>487</v>
      </c>
      <c r="K918" t="s">
        <v>3634</v>
      </c>
      <c r="M918" s="16" t="s">
        <v>8389</v>
      </c>
      <c r="N918" s="16" t="str">
        <f>VLOOKUP(M918,Tab_Zast[[Zastávka]:[Sloupec1]],2,0)</f>
        <v>52</v>
      </c>
      <c r="O918" t="s">
        <v>3635</v>
      </c>
      <c r="P918">
        <v>6</v>
      </c>
      <c r="Q918">
        <v>0</v>
      </c>
      <c r="R918" t="s">
        <v>31</v>
      </c>
      <c r="S918" t="s">
        <v>31</v>
      </c>
      <c r="T918" t="s">
        <v>32</v>
      </c>
      <c r="V918" s="1" t="e">
        <v>#N/A</v>
      </c>
      <c r="W918" t="s">
        <v>1216</v>
      </c>
      <c r="X918">
        <v>0</v>
      </c>
      <c r="Y918">
        <v>0</v>
      </c>
      <c r="Z918" t="s">
        <v>54</v>
      </c>
      <c r="AA918" t="str">
        <f t="shared" si="28"/>
        <v>update zamestnanci set nastup='52' where id='809';</v>
      </c>
      <c r="AB918" t="str">
        <f t="shared" si="29"/>
        <v>update dochazka set zastavka = '52' where zamestnanec = '809';</v>
      </c>
    </row>
    <row r="919" spans="1:28" x14ac:dyDescent="0.25">
      <c r="A919" s="2">
        <v>823</v>
      </c>
      <c r="B919" t="s">
        <v>3701</v>
      </c>
      <c r="D919" t="s">
        <v>3702</v>
      </c>
      <c r="E919" t="s">
        <v>182</v>
      </c>
      <c r="F919" t="s">
        <v>3703</v>
      </c>
      <c r="G919" s="1">
        <v>45348</v>
      </c>
      <c r="H919" s="1">
        <v>45351</v>
      </c>
      <c r="I919" s="1">
        <v>73050</v>
      </c>
      <c r="J919" s="2" t="s">
        <v>487</v>
      </c>
      <c r="K919" t="s">
        <v>3704</v>
      </c>
      <c r="M919" s="16" t="s">
        <v>8389</v>
      </c>
      <c r="N919" s="16" t="str">
        <f>VLOOKUP(M919,Tab_Zast[[Zastávka]:[Sloupec1]],2,0)</f>
        <v>52</v>
      </c>
      <c r="O919" t="s">
        <v>3705</v>
      </c>
      <c r="P919">
        <v>6</v>
      </c>
      <c r="Q919">
        <v>0</v>
      </c>
      <c r="R919" t="s">
        <v>31</v>
      </c>
      <c r="S919" t="s">
        <v>31</v>
      </c>
      <c r="T919" t="s">
        <v>32</v>
      </c>
      <c r="V919" s="1" t="e">
        <v>#N/A</v>
      </c>
      <c r="W919" t="s">
        <v>1216</v>
      </c>
      <c r="X919">
        <v>0</v>
      </c>
      <c r="Y919">
        <v>0</v>
      </c>
      <c r="Z919" t="s">
        <v>54</v>
      </c>
      <c r="AA919" t="str">
        <f t="shared" si="28"/>
        <v>update zamestnanci set nastup='52' where id='823';</v>
      </c>
      <c r="AB919" t="str">
        <f t="shared" si="29"/>
        <v>update dochazka set zastavka = '52' where zamestnanec = '823';</v>
      </c>
    </row>
    <row r="920" spans="1:28" x14ac:dyDescent="0.25">
      <c r="A920" s="2">
        <v>827</v>
      </c>
      <c r="B920" t="s">
        <v>3720</v>
      </c>
      <c r="C920" t="s">
        <v>3721</v>
      </c>
      <c r="D920" t="s">
        <v>3722</v>
      </c>
      <c r="E920" t="s">
        <v>617</v>
      </c>
      <c r="F920" t="s">
        <v>3723</v>
      </c>
      <c r="G920" s="1">
        <v>45349</v>
      </c>
      <c r="H920" s="1">
        <v>45437</v>
      </c>
      <c r="I920" s="1">
        <v>73050</v>
      </c>
      <c r="J920" s="2" t="s">
        <v>487</v>
      </c>
      <c r="K920" t="s">
        <v>3724</v>
      </c>
      <c r="M920" s="16" t="s">
        <v>8389</v>
      </c>
      <c r="N920" s="16" t="str">
        <f>VLOOKUP(M920,Tab_Zast[[Zastávka]:[Sloupec1]],2,0)</f>
        <v>52</v>
      </c>
      <c r="O920" t="s">
        <v>3725</v>
      </c>
      <c r="P920">
        <v>6</v>
      </c>
      <c r="Q920">
        <v>0</v>
      </c>
      <c r="R920" t="s">
        <v>31</v>
      </c>
      <c r="S920" t="s">
        <v>31</v>
      </c>
      <c r="T920" t="s">
        <v>32</v>
      </c>
      <c r="V920" s="1">
        <v>45389</v>
      </c>
      <c r="W920" t="s">
        <v>1216</v>
      </c>
      <c r="X920">
        <v>0</v>
      </c>
      <c r="Y920">
        <v>0</v>
      </c>
      <c r="AA920" t="str">
        <f t="shared" si="28"/>
        <v>update zamestnanci set nastup='52' where id='827';</v>
      </c>
      <c r="AB920" t="str">
        <f t="shared" si="29"/>
        <v>update dochazka set zastavka = '52' where zamestnanec = '827';</v>
      </c>
    </row>
    <row r="921" spans="1:28" x14ac:dyDescent="0.25">
      <c r="A921" s="2">
        <v>916</v>
      </c>
      <c r="B921" t="s">
        <v>4150</v>
      </c>
      <c r="C921" t="s">
        <v>151</v>
      </c>
      <c r="D921" t="s">
        <v>3340</v>
      </c>
      <c r="E921" t="s">
        <v>2705</v>
      </c>
      <c r="F921" t="s">
        <v>67</v>
      </c>
      <c r="G921" s="1">
        <v>45404</v>
      </c>
      <c r="H921" s="1">
        <v>45412</v>
      </c>
      <c r="I921" s="1">
        <v>73050</v>
      </c>
      <c r="J921" s="2" t="s">
        <v>267</v>
      </c>
      <c r="K921" t="s">
        <v>4151</v>
      </c>
      <c r="M921" s="16" t="s">
        <v>8305</v>
      </c>
      <c r="N921" s="16" t="str">
        <f>VLOOKUP(M921,Tab_Zast[[Zastávka]:[Sloupec1]],2,0)</f>
        <v>18</v>
      </c>
      <c r="O921" t="s">
        <v>4152</v>
      </c>
      <c r="P921">
        <v>2</v>
      </c>
      <c r="Q921">
        <v>0</v>
      </c>
      <c r="R921" t="s">
        <v>31</v>
      </c>
      <c r="S921" t="s">
        <v>31</v>
      </c>
      <c r="T921" t="s">
        <v>32</v>
      </c>
      <c r="V921" s="1" t="e">
        <v>#N/A</v>
      </c>
      <c r="W921" t="s">
        <v>90</v>
      </c>
      <c r="X921">
        <v>0</v>
      </c>
      <c r="Y921">
        <v>266</v>
      </c>
      <c r="Z921" t="s">
        <v>40</v>
      </c>
      <c r="AA921" t="str">
        <f t="shared" si="28"/>
        <v>update zamestnanci set nastup='18' where id='916';</v>
      </c>
      <c r="AB921" t="str">
        <f t="shared" si="29"/>
        <v>update dochazka set zastavka = '18' where zamestnanec = '916';</v>
      </c>
    </row>
    <row r="922" spans="1:28" x14ac:dyDescent="0.25">
      <c r="A922" s="2">
        <v>917</v>
      </c>
      <c r="B922" t="s">
        <v>4153</v>
      </c>
      <c r="C922" t="s">
        <v>151</v>
      </c>
      <c r="D922" t="s">
        <v>4154</v>
      </c>
      <c r="E922" t="s">
        <v>2120</v>
      </c>
      <c r="F922" t="s">
        <v>67</v>
      </c>
      <c r="G922" s="1">
        <v>45404</v>
      </c>
      <c r="H922" s="1">
        <v>45412</v>
      </c>
      <c r="I922" s="1">
        <v>73050</v>
      </c>
      <c r="J922" s="2" t="s">
        <v>267</v>
      </c>
      <c r="K922" t="s">
        <v>4155</v>
      </c>
      <c r="M922" s="16" t="s">
        <v>8305</v>
      </c>
      <c r="N922" s="16" t="str">
        <f>VLOOKUP(M922,Tab_Zast[[Zastávka]:[Sloupec1]],2,0)</f>
        <v>18</v>
      </c>
      <c r="O922" t="s">
        <v>4152</v>
      </c>
      <c r="P922">
        <v>2</v>
      </c>
      <c r="Q922">
        <v>0</v>
      </c>
      <c r="R922" t="s">
        <v>31</v>
      </c>
      <c r="S922" t="s">
        <v>31</v>
      </c>
      <c r="T922" t="s">
        <v>32</v>
      </c>
      <c r="V922" s="1" t="e">
        <v>#N/A</v>
      </c>
      <c r="W922" t="s">
        <v>90</v>
      </c>
      <c r="X922">
        <v>0</v>
      </c>
      <c r="Y922">
        <v>265</v>
      </c>
      <c r="Z922" t="s">
        <v>40</v>
      </c>
      <c r="AA922" t="str">
        <f t="shared" si="28"/>
        <v>update zamestnanci set nastup='18' where id='917';</v>
      </c>
      <c r="AB922" t="str">
        <f t="shared" si="29"/>
        <v>update dochazka set zastavka = '18' where zamestnanec = '917';</v>
      </c>
    </row>
    <row r="923" spans="1:28" x14ac:dyDescent="0.25">
      <c r="A923" s="2">
        <v>919</v>
      </c>
      <c r="B923" t="s">
        <v>4160</v>
      </c>
      <c r="D923" t="s">
        <v>4161</v>
      </c>
      <c r="E923" t="s">
        <v>755</v>
      </c>
      <c r="F923" t="s">
        <v>4162</v>
      </c>
      <c r="G923" s="1">
        <v>45404</v>
      </c>
      <c r="H923" s="1">
        <v>45406</v>
      </c>
      <c r="I923" s="1">
        <v>73050</v>
      </c>
      <c r="J923" s="2" t="s">
        <v>267</v>
      </c>
      <c r="K923" t="s">
        <v>4163</v>
      </c>
      <c r="M923" s="16" t="s">
        <v>8305</v>
      </c>
      <c r="N923" s="16" t="str">
        <f>VLOOKUP(M923,Tab_Zast[[Zastávka]:[Sloupec1]],2,0)</f>
        <v>18</v>
      </c>
      <c r="O923" t="s">
        <v>4164</v>
      </c>
      <c r="P923">
        <v>2</v>
      </c>
      <c r="Q923">
        <v>0</v>
      </c>
      <c r="R923" t="s">
        <v>31</v>
      </c>
      <c r="S923" t="s">
        <v>31</v>
      </c>
      <c r="T923" t="s">
        <v>32</v>
      </c>
      <c r="V923" s="1" t="e">
        <v>#N/A</v>
      </c>
      <c r="W923" t="s">
        <v>90</v>
      </c>
      <c r="X923">
        <v>0</v>
      </c>
      <c r="Y923">
        <v>278</v>
      </c>
      <c r="Z923" t="s">
        <v>40</v>
      </c>
      <c r="AA923" t="str">
        <f t="shared" si="28"/>
        <v>update zamestnanci set nastup='18' where id='919';</v>
      </c>
      <c r="AB923" t="str">
        <f t="shared" si="29"/>
        <v>update dochazka set zastavka = '18' where zamestnanec = '919';</v>
      </c>
    </row>
    <row r="924" spans="1:28" x14ac:dyDescent="0.25">
      <c r="A924" s="2">
        <v>920</v>
      </c>
      <c r="B924" t="s">
        <v>4165</v>
      </c>
      <c r="D924" t="s">
        <v>3947</v>
      </c>
      <c r="E924" t="s">
        <v>3566</v>
      </c>
      <c r="F924" t="s">
        <v>4166</v>
      </c>
      <c r="G924" s="1">
        <v>45404</v>
      </c>
      <c r="H924" s="1">
        <v>45412</v>
      </c>
      <c r="I924" s="1">
        <v>73050</v>
      </c>
      <c r="J924" s="2" t="s">
        <v>267</v>
      </c>
      <c r="K924" t="s">
        <v>4167</v>
      </c>
      <c r="M924" s="16" t="s">
        <v>8305</v>
      </c>
      <c r="N924" s="16" t="str">
        <f>VLOOKUP(M924,Tab_Zast[[Zastávka]:[Sloupec1]],2,0)</f>
        <v>18</v>
      </c>
      <c r="O924" t="s">
        <v>3949</v>
      </c>
      <c r="P924">
        <v>2</v>
      </c>
      <c r="Q924">
        <v>0</v>
      </c>
      <c r="R924" t="s">
        <v>31</v>
      </c>
      <c r="S924" t="s">
        <v>31</v>
      </c>
      <c r="T924" t="s">
        <v>32</v>
      </c>
      <c r="V924" s="1" t="e">
        <v>#N/A</v>
      </c>
      <c r="W924" t="s">
        <v>90</v>
      </c>
      <c r="X924">
        <v>0</v>
      </c>
      <c r="Y924">
        <v>279</v>
      </c>
      <c r="Z924" t="s">
        <v>40</v>
      </c>
      <c r="AA924" t="str">
        <f t="shared" si="28"/>
        <v>update zamestnanci set nastup='18' where id='920';</v>
      </c>
      <c r="AB924" t="str">
        <f t="shared" si="29"/>
        <v>update dochazka set zastavka = '18' where zamestnanec = '920';</v>
      </c>
    </row>
    <row r="925" spans="1:28" x14ac:dyDescent="0.25">
      <c r="A925" s="2">
        <v>933</v>
      </c>
      <c r="B925" t="s">
        <v>4211</v>
      </c>
      <c r="C925" t="s">
        <v>64</v>
      </c>
      <c r="D925" t="s">
        <v>4212</v>
      </c>
      <c r="E925" t="s">
        <v>671</v>
      </c>
      <c r="F925" t="s">
        <v>67</v>
      </c>
      <c r="G925" s="1">
        <v>45414</v>
      </c>
      <c r="H925" s="1">
        <v>45434</v>
      </c>
      <c r="I925" s="1">
        <v>73050</v>
      </c>
      <c r="J925" s="2" t="s">
        <v>267</v>
      </c>
      <c r="K925" t="s">
        <v>4213</v>
      </c>
      <c r="M925" s="16" t="s">
        <v>8305</v>
      </c>
      <c r="N925" s="16" t="str">
        <f>VLOOKUP(M925,Tab_Zast[[Zastávka]:[Sloupec1]],2,0)</f>
        <v>18</v>
      </c>
      <c r="O925" t="s">
        <v>4214</v>
      </c>
      <c r="P925">
        <v>2</v>
      </c>
      <c r="Q925">
        <v>0</v>
      </c>
      <c r="R925" t="s">
        <v>31</v>
      </c>
      <c r="S925" t="s">
        <v>31</v>
      </c>
      <c r="T925" t="s">
        <v>32</v>
      </c>
      <c r="V925" s="1" t="e">
        <v>#N/A</v>
      </c>
      <c r="W925" t="s">
        <v>90</v>
      </c>
      <c r="X925">
        <v>0</v>
      </c>
      <c r="Y925">
        <v>309</v>
      </c>
      <c r="Z925" t="s">
        <v>54</v>
      </c>
      <c r="AA925" t="str">
        <f t="shared" si="28"/>
        <v>update zamestnanci set nastup='18' where id='933';</v>
      </c>
      <c r="AB925" t="str">
        <f t="shared" si="29"/>
        <v>update dochazka set zastavka = '18' where zamestnanec = '933';</v>
      </c>
    </row>
    <row r="926" spans="1:28" x14ac:dyDescent="0.25">
      <c r="A926" s="2">
        <v>952</v>
      </c>
      <c r="B926" t="s">
        <v>4303</v>
      </c>
      <c r="C926" t="s">
        <v>64</v>
      </c>
      <c r="D926" t="s">
        <v>4304</v>
      </c>
      <c r="E926" t="s">
        <v>4305</v>
      </c>
      <c r="F926" t="s">
        <v>4306</v>
      </c>
      <c r="G926" s="1">
        <v>45439</v>
      </c>
      <c r="H926" s="1">
        <v>45468</v>
      </c>
      <c r="I926" s="1">
        <v>73050</v>
      </c>
      <c r="J926" s="2" t="s">
        <v>267</v>
      </c>
      <c r="K926" t="s">
        <v>4307</v>
      </c>
      <c r="M926" s="16" t="s">
        <v>8305</v>
      </c>
      <c r="N926" s="16" t="str">
        <f>VLOOKUP(M926,Tab_Zast[[Zastávka]:[Sloupec1]],2,0)</f>
        <v>18</v>
      </c>
      <c r="O926" t="s">
        <v>4308</v>
      </c>
      <c r="P926">
        <v>2</v>
      </c>
      <c r="Q926">
        <v>0</v>
      </c>
      <c r="R926" t="s">
        <v>31</v>
      </c>
      <c r="S926" t="s">
        <v>31</v>
      </c>
      <c r="T926" t="s">
        <v>32</v>
      </c>
      <c r="V926" s="1">
        <v>45454</v>
      </c>
      <c r="W926" t="s">
        <v>90</v>
      </c>
      <c r="X926">
        <v>0</v>
      </c>
      <c r="Y926">
        <v>340</v>
      </c>
      <c r="AA926" t="str">
        <f t="shared" si="28"/>
        <v>update zamestnanci set nastup='18' where id='952';</v>
      </c>
      <c r="AB926" t="str">
        <f t="shared" si="29"/>
        <v>update dochazka set zastavka = '18' where zamestnanec = '952';</v>
      </c>
    </row>
    <row r="927" spans="1:28" x14ac:dyDescent="0.25">
      <c r="A927" s="2">
        <v>959</v>
      </c>
      <c r="B927" t="s">
        <v>4339</v>
      </c>
      <c r="C927" t="s">
        <v>64</v>
      </c>
      <c r="D927" t="s">
        <v>4340</v>
      </c>
      <c r="E927" t="s">
        <v>3179</v>
      </c>
      <c r="F927" t="s">
        <v>159</v>
      </c>
      <c r="G927" s="1">
        <v>45439</v>
      </c>
      <c r="H927" s="1">
        <v>45461</v>
      </c>
      <c r="I927" s="1">
        <v>73050</v>
      </c>
      <c r="J927" s="2" t="s">
        <v>267</v>
      </c>
      <c r="K927" t="s">
        <v>4341</v>
      </c>
      <c r="M927" s="16" t="s">
        <v>8305</v>
      </c>
      <c r="N927" s="16" t="str">
        <f>VLOOKUP(M927,Tab_Zast[[Zastávka]:[Sloupec1]],2,0)</f>
        <v>18</v>
      </c>
      <c r="O927" t="s">
        <v>4342</v>
      </c>
      <c r="P927">
        <v>2</v>
      </c>
      <c r="Q927">
        <v>0</v>
      </c>
      <c r="R927" t="s">
        <v>31</v>
      </c>
      <c r="S927" t="s">
        <v>31</v>
      </c>
      <c r="T927" t="s">
        <v>32</v>
      </c>
      <c r="V927" s="1" t="e">
        <v>#N/A</v>
      </c>
      <c r="W927" t="s">
        <v>90</v>
      </c>
      <c r="X927">
        <v>0</v>
      </c>
      <c r="Y927">
        <v>158</v>
      </c>
      <c r="Z927" t="s">
        <v>40</v>
      </c>
      <c r="AA927" t="str">
        <f t="shared" si="28"/>
        <v>update zamestnanci set nastup='18' where id='959';</v>
      </c>
      <c r="AB927" t="str">
        <f t="shared" si="29"/>
        <v>update dochazka set zastavka = '18' where zamestnanec = '959';</v>
      </c>
    </row>
    <row r="928" spans="1:28" x14ac:dyDescent="0.25">
      <c r="A928" s="2">
        <v>1057</v>
      </c>
      <c r="B928" t="s">
        <v>4757</v>
      </c>
      <c r="C928" t="s">
        <v>4758</v>
      </c>
      <c r="D928" t="s">
        <v>4759</v>
      </c>
      <c r="E928" t="s">
        <v>2865</v>
      </c>
      <c r="F928" t="s">
        <v>4760</v>
      </c>
      <c r="G928" s="1">
        <v>45477</v>
      </c>
      <c r="H928" s="1">
        <v>45484</v>
      </c>
      <c r="I928" s="1">
        <v>73050</v>
      </c>
      <c r="J928" s="2" t="s">
        <v>487</v>
      </c>
      <c r="K928" t="s">
        <v>4761</v>
      </c>
      <c r="M928" s="16" t="s">
        <v>8389</v>
      </c>
      <c r="N928" s="16" t="str">
        <f>VLOOKUP(M928,Tab_Zast[[Zastávka]:[Sloupec1]],2,0)</f>
        <v>52</v>
      </c>
      <c r="O928" t="s">
        <v>4762</v>
      </c>
      <c r="P928">
        <v>6</v>
      </c>
      <c r="Q928">
        <v>0</v>
      </c>
      <c r="R928" t="s">
        <v>31</v>
      </c>
      <c r="S928" t="s">
        <v>31</v>
      </c>
      <c r="T928" t="s">
        <v>32</v>
      </c>
      <c r="V928" s="1" t="e">
        <v>#N/A</v>
      </c>
      <c r="W928" t="s">
        <v>1216</v>
      </c>
      <c r="X928">
        <v>0</v>
      </c>
      <c r="Y928">
        <v>441</v>
      </c>
      <c r="AA928" t="str">
        <f t="shared" si="28"/>
        <v>update zamestnanci set nastup='52' where id='1057';</v>
      </c>
      <c r="AB928" t="str">
        <f t="shared" si="29"/>
        <v>update dochazka set zastavka = '52' where zamestnanec = '1057';</v>
      </c>
    </row>
    <row r="929" spans="1:28" x14ac:dyDescent="0.25">
      <c r="A929" s="2">
        <v>1125</v>
      </c>
      <c r="B929" t="s">
        <v>5036</v>
      </c>
      <c r="C929" t="s">
        <v>151</v>
      </c>
      <c r="D929" t="s">
        <v>5037</v>
      </c>
      <c r="E929" t="s">
        <v>3432</v>
      </c>
      <c r="F929" t="s">
        <v>67</v>
      </c>
      <c r="G929" s="1">
        <v>45509</v>
      </c>
      <c r="H929" s="1">
        <v>45509</v>
      </c>
      <c r="I929" s="1">
        <v>45509</v>
      </c>
      <c r="J929" s="2" t="s">
        <v>8409</v>
      </c>
      <c r="K929" t="s">
        <v>5038</v>
      </c>
      <c r="M929" s="16" t="s">
        <v>8410</v>
      </c>
      <c r="N929" s="16" t="str">
        <f>VLOOKUP(M929,Tab_Zast[[Zastávka]:[Sloupec1]],2,0)</f>
        <v>59</v>
      </c>
      <c r="O929" t="s">
        <v>5039</v>
      </c>
      <c r="P929">
        <v>1</v>
      </c>
      <c r="Q929">
        <v>0</v>
      </c>
      <c r="R929" t="s">
        <v>31</v>
      </c>
      <c r="S929" t="s">
        <v>31</v>
      </c>
      <c r="T929" t="s">
        <v>32</v>
      </c>
      <c r="V929" s="1" t="e">
        <v>#N/A</v>
      </c>
      <c r="W929" t="s">
        <v>47</v>
      </c>
      <c r="X929">
        <v>0</v>
      </c>
      <c r="Y929">
        <v>514</v>
      </c>
      <c r="AA929" t="str">
        <f t="shared" si="28"/>
        <v>update zamestnanci set nastup='59' where id='1125';</v>
      </c>
      <c r="AB929" t="str">
        <f t="shared" si="29"/>
        <v>update dochazka set zastavka = '59' where zamestnanec = '1125';</v>
      </c>
    </row>
    <row r="930" spans="1:28" x14ac:dyDescent="0.25">
      <c r="A930" s="2">
        <v>1269</v>
      </c>
      <c r="B930" t="s">
        <v>5613</v>
      </c>
      <c r="C930" t="s">
        <v>1394</v>
      </c>
      <c r="D930" t="s">
        <v>2918</v>
      </c>
      <c r="E930" t="s">
        <v>5097</v>
      </c>
      <c r="F930" t="s">
        <v>5614</v>
      </c>
      <c r="G930" s="1">
        <v>45565</v>
      </c>
      <c r="H930" s="1" t="e">
        <v>#N/A</v>
      </c>
      <c r="I930" s="1" t="e">
        <v>#N/A</v>
      </c>
      <c r="J930" s="2" t="s">
        <v>8409</v>
      </c>
      <c r="K930" t="s">
        <v>5615</v>
      </c>
      <c r="M930" s="16" t="s">
        <v>8410</v>
      </c>
      <c r="N930" s="16" t="str">
        <f>VLOOKUP(M930,Tab_Zast[[Zastávka]:[Sloupec1]],2,0)</f>
        <v>59</v>
      </c>
      <c r="O930" t="s">
        <v>5616</v>
      </c>
      <c r="P930">
        <v>1</v>
      </c>
      <c r="Q930">
        <v>0</v>
      </c>
      <c r="R930" t="s">
        <v>129</v>
      </c>
      <c r="S930" t="s">
        <v>31</v>
      </c>
      <c r="T930" t="s">
        <v>32</v>
      </c>
      <c r="V930" s="1" t="e">
        <v>#N/A</v>
      </c>
      <c r="W930" t="s">
        <v>47</v>
      </c>
      <c r="X930">
        <v>1</v>
      </c>
      <c r="Y930">
        <v>660</v>
      </c>
      <c r="AA930" t="str">
        <f t="shared" si="28"/>
        <v>update zamestnanci set nastup='59' where id='1269';</v>
      </c>
      <c r="AB930" t="str">
        <f t="shared" si="29"/>
        <v>update dochazka set zastavka = '59' where zamestnanec = '1269';</v>
      </c>
    </row>
    <row r="931" spans="1:28" x14ac:dyDescent="0.25">
      <c r="A931" s="2">
        <v>1392</v>
      </c>
      <c r="B931" t="s">
        <v>6102</v>
      </c>
      <c r="C931" t="s">
        <v>64</v>
      </c>
      <c r="D931" t="s">
        <v>4699</v>
      </c>
      <c r="E931" t="s">
        <v>1509</v>
      </c>
      <c r="F931" t="s">
        <v>6103</v>
      </c>
      <c r="G931" s="1">
        <v>45617</v>
      </c>
      <c r="H931" s="1">
        <v>45628</v>
      </c>
      <c r="I931" s="1">
        <v>73050</v>
      </c>
      <c r="J931" s="2" t="s">
        <v>357</v>
      </c>
      <c r="K931" t="s">
        <v>4701</v>
      </c>
      <c r="M931" s="16" t="s">
        <v>8551</v>
      </c>
      <c r="N931" s="16" t="str">
        <f>VLOOKUP(M931,Tab_Zast[[Zastávka]:[Sloupec1]],2,0)</f>
        <v>00</v>
      </c>
      <c r="O931" t="s">
        <v>4702</v>
      </c>
      <c r="P931">
        <v>8</v>
      </c>
      <c r="Q931">
        <v>0</v>
      </c>
      <c r="R931" t="s">
        <v>31</v>
      </c>
      <c r="S931" t="s">
        <v>31</v>
      </c>
      <c r="T931" t="s">
        <v>32</v>
      </c>
      <c r="V931" s="1" t="e">
        <v>#N/A</v>
      </c>
      <c r="W931" t="s">
        <v>493</v>
      </c>
      <c r="X931">
        <v>0</v>
      </c>
      <c r="Y931">
        <v>781</v>
      </c>
      <c r="AA931" t="str">
        <f t="shared" si="28"/>
        <v/>
      </c>
      <c r="AB931" t="str">
        <f t="shared" si="29"/>
        <v/>
      </c>
    </row>
    <row r="932" spans="1:28" x14ac:dyDescent="0.25">
      <c r="A932" s="2">
        <v>1393</v>
      </c>
      <c r="B932" t="s">
        <v>6104</v>
      </c>
      <c r="C932" t="s">
        <v>64</v>
      </c>
      <c r="D932" t="s">
        <v>6105</v>
      </c>
      <c r="E932" t="s">
        <v>3048</v>
      </c>
      <c r="F932" t="s">
        <v>357</v>
      </c>
      <c r="G932" s="1">
        <v>45617</v>
      </c>
      <c r="H932" s="1">
        <v>45775</v>
      </c>
      <c r="I932" s="1">
        <v>73050</v>
      </c>
      <c r="J932" s="2" t="s">
        <v>357</v>
      </c>
      <c r="K932" t="s">
        <v>6106</v>
      </c>
      <c r="M932" s="16" t="s">
        <v>8551</v>
      </c>
      <c r="N932" s="16" t="str">
        <f>VLOOKUP(M932,Tab_Zast[[Zastávka]:[Sloupec1]],2,0)</f>
        <v>00</v>
      </c>
      <c r="O932" t="s">
        <v>6107</v>
      </c>
      <c r="P932">
        <v>8</v>
      </c>
      <c r="Q932">
        <v>0</v>
      </c>
      <c r="R932" t="s">
        <v>31</v>
      </c>
      <c r="S932" t="s">
        <v>31</v>
      </c>
      <c r="T932" t="s">
        <v>32</v>
      </c>
      <c r="V932" s="1" t="e">
        <v>#N/A</v>
      </c>
      <c r="W932" t="s">
        <v>493</v>
      </c>
      <c r="X932">
        <v>0</v>
      </c>
      <c r="Y932">
        <v>782</v>
      </c>
      <c r="AA932" t="str">
        <f t="shared" si="28"/>
        <v/>
      </c>
      <c r="AB932" t="str">
        <f t="shared" si="29"/>
        <v/>
      </c>
    </row>
    <row r="933" spans="1:28" x14ac:dyDescent="0.25">
      <c r="A933" s="2">
        <v>1462</v>
      </c>
      <c r="B933" t="s">
        <v>6370</v>
      </c>
      <c r="C933" t="s">
        <v>64</v>
      </c>
      <c r="D933" t="s">
        <v>6371</v>
      </c>
      <c r="E933" t="s">
        <v>761</v>
      </c>
      <c r="F933" t="s">
        <v>6372</v>
      </c>
      <c r="G933" s="1">
        <v>45698</v>
      </c>
      <c r="H933" s="1">
        <v>45747</v>
      </c>
      <c r="I933" s="1">
        <v>73050</v>
      </c>
      <c r="J933" s="2" t="s">
        <v>357</v>
      </c>
      <c r="K933" t="s">
        <v>6373</v>
      </c>
      <c r="M933" s="16" t="s">
        <v>8551</v>
      </c>
      <c r="N933" s="16" t="str">
        <f>VLOOKUP(M933,Tab_Zast[[Zastávka]:[Sloupec1]],2,0)</f>
        <v>00</v>
      </c>
      <c r="O933" t="s">
        <v>6374</v>
      </c>
      <c r="P933">
        <v>8</v>
      </c>
      <c r="Q933">
        <v>0</v>
      </c>
      <c r="R933" t="s">
        <v>31</v>
      </c>
      <c r="S933" t="s">
        <v>31</v>
      </c>
      <c r="T933" t="s">
        <v>32</v>
      </c>
      <c r="V933" s="1">
        <v>45730</v>
      </c>
      <c r="W933" t="s">
        <v>493</v>
      </c>
      <c r="X933">
        <v>0</v>
      </c>
      <c r="Y933">
        <v>856</v>
      </c>
      <c r="AA933" t="str">
        <f t="shared" si="28"/>
        <v/>
      </c>
      <c r="AB933" t="str">
        <f t="shared" si="29"/>
        <v/>
      </c>
    </row>
    <row r="934" spans="1:28" x14ac:dyDescent="0.25">
      <c r="A934" s="2">
        <v>1501</v>
      </c>
      <c r="B934" t="s">
        <v>6518</v>
      </c>
      <c r="C934" t="s">
        <v>64</v>
      </c>
      <c r="D934" t="s">
        <v>6316</v>
      </c>
      <c r="E934" t="s">
        <v>2391</v>
      </c>
      <c r="F934" t="s">
        <v>569</v>
      </c>
      <c r="G934" s="1">
        <v>45721</v>
      </c>
      <c r="H934" s="1">
        <v>45818</v>
      </c>
      <c r="I934" s="1">
        <v>73050</v>
      </c>
      <c r="J934" s="2" t="s">
        <v>357</v>
      </c>
      <c r="K934" t="s">
        <v>6337</v>
      </c>
      <c r="M934" s="16" t="s">
        <v>8551</v>
      </c>
      <c r="N934" s="16" t="str">
        <f>VLOOKUP(M934,Tab_Zast[[Zastávka]:[Sloupec1]],2,0)</f>
        <v>00</v>
      </c>
      <c r="O934" t="s">
        <v>6338</v>
      </c>
      <c r="P934">
        <v>8</v>
      </c>
      <c r="Q934">
        <v>0</v>
      </c>
      <c r="R934" t="s">
        <v>31</v>
      </c>
      <c r="S934" t="s">
        <v>31</v>
      </c>
      <c r="T934" t="s">
        <v>32</v>
      </c>
      <c r="V934" s="1" t="e">
        <v>#N/A</v>
      </c>
      <c r="W934" t="s">
        <v>3023</v>
      </c>
      <c r="X934">
        <v>0</v>
      </c>
      <c r="Y934">
        <v>892</v>
      </c>
      <c r="AA934" t="str">
        <f t="shared" si="28"/>
        <v/>
      </c>
      <c r="AB934" t="str">
        <f t="shared" si="29"/>
        <v/>
      </c>
    </row>
    <row r="935" spans="1:28" x14ac:dyDescent="0.25">
      <c r="A935" s="2">
        <v>1528</v>
      </c>
      <c r="B935" t="s">
        <v>6612</v>
      </c>
      <c r="C935" t="s">
        <v>64</v>
      </c>
      <c r="D935" t="s">
        <v>4777</v>
      </c>
      <c r="E935" t="s">
        <v>3048</v>
      </c>
      <c r="F935" t="s">
        <v>6613</v>
      </c>
      <c r="G935" s="1">
        <v>45729</v>
      </c>
      <c r="H935" s="1">
        <v>45750</v>
      </c>
      <c r="I935" s="1">
        <v>73050</v>
      </c>
      <c r="J935" s="2" t="s">
        <v>357</v>
      </c>
      <c r="K935" t="s">
        <v>6129</v>
      </c>
      <c r="M935" s="16" t="s">
        <v>8551</v>
      </c>
      <c r="N935" s="16" t="str">
        <f>VLOOKUP(M935,Tab_Zast[[Zastávka]:[Sloupec1]],2,0)</f>
        <v>00</v>
      </c>
      <c r="O935" t="s">
        <v>4779</v>
      </c>
      <c r="P935">
        <v>8</v>
      </c>
      <c r="Q935">
        <v>0</v>
      </c>
      <c r="R935" t="s">
        <v>31</v>
      </c>
      <c r="S935" t="s">
        <v>31</v>
      </c>
      <c r="T935" t="s">
        <v>32</v>
      </c>
      <c r="V935" s="1" t="e">
        <v>#N/A</v>
      </c>
      <c r="W935" t="s">
        <v>3023</v>
      </c>
      <c r="X935">
        <v>0</v>
      </c>
      <c r="Y935">
        <v>917</v>
      </c>
      <c r="AA935" t="str">
        <f t="shared" si="28"/>
        <v/>
      </c>
      <c r="AB935" t="str">
        <f t="shared" si="29"/>
        <v/>
      </c>
    </row>
    <row r="936" spans="1:28" x14ac:dyDescent="0.25">
      <c r="A936" s="2">
        <v>1538</v>
      </c>
      <c r="B936" t="s">
        <v>6652</v>
      </c>
      <c r="C936" t="s">
        <v>64</v>
      </c>
      <c r="D936" t="s">
        <v>6653</v>
      </c>
      <c r="E936" t="s">
        <v>3976</v>
      </c>
      <c r="F936" t="s">
        <v>64</v>
      </c>
      <c r="G936" s="1">
        <v>45740</v>
      </c>
      <c r="H936" s="1">
        <v>45740</v>
      </c>
      <c r="I936" s="1">
        <v>73050</v>
      </c>
      <c r="J936" s="2" t="s">
        <v>357</v>
      </c>
      <c r="K936" t="s">
        <v>6654</v>
      </c>
      <c r="M936" s="16" t="s">
        <v>8551</v>
      </c>
      <c r="N936" s="16" t="str">
        <f>VLOOKUP(M936,Tab_Zast[[Zastávka]:[Sloupec1]],2,0)</f>
        <v>00</v>
      </c>
      <c r="O936" t="s">
        <v>6655</v>
      </c>
      <c r="P936">
        <v>8</v>
      </c>
      <c r="Q936">
        <v>0</v>
      </c>
      <c r="R936" t="s">
        <v>31</v>
      </c>
      <c r="S936" t="s">
        <v>31</v>
      </c>
      <c r="T936" t="s">
        <v>32</v>
      </c>
      <c r="V936" s="1">
        <v>45740</v>
      </c>
      <c r="W936" t="s">
        <v>3023</v>
      </c>
      <c r="X936">
        <v>0</v>
      </c>
      <c r="Y936">
        <v>925</v>
      </c>
      <c r="AA936" t="str">
        <f t="shared" si="28"/>
        <v/>
      </c>
      <c r="AB936" t="str">
        <f t="shared" si="29"/>
        <v/>
      </c>
    </row>
    <row r="937" spans="1:28" x14ac:dyDescent="0.25">
      <c r="A937" s="2">
        <v>1577</v>
      </c>
      <c r="B937" t="s">
        <v>6793</v>
      </c>
      <c r="C937" t="s">
        <v>569</v>
      </c>
      <c r="D937" t="s">
        <v>6794</v>
      </c>
      <c r="E937" t="s">
        <v>182</v>
      </c>
      <c r="F937" t="s">
        <v>569</v>
      </c>
      <c r="G937" s="1">
        <v>45761</v>
      </c>
      <c r="H937" s="1">
        <v>45800</v>
      </c>
      <c r="I937" s="1">
        <v>73050</v>
      </c>
      <c r="J937" s="2" t="s">
        <v>8409</v>
      </c>
      <c r="K937" t="s">
        <v>6795</v>
      </c>
      <c r="M937" s="16" t="s">
        <v>8410</v>
      </c>
      <c r="N937" s="16" t="str">
        <f>VLOOKUP(M937,Tab_Zast[[Zastávka]:[Sloupec1]],2,0)</f>
        <v>59</v>
      </c>
      <c r="O937" t="s">
        <v>6796</v>
      </c>
      <c r="P937">
        <v>1</v>
      </c>
      <c r="Q937">
        <v>0</v>
      </c>
      <c r="R937" t="s">
        <v>31</v>
      </c>
      <c r="S937" t="s">
        <v>31</v>
      </c>
      <c r="T937" t="s">
        <v>32</v>
      </c>
      <c r="V937" s="1" t="e">
        <v>#N/A</v>
      </c>
      <c r="W937" t="s">
        <v>47</v>
      </c>
      <c r="X937">
        <v>0</v>
      </c>
      <c r="Y937">
        <v>970</v>
      </c>
      <c r="AA937" t="str">
        <f t="shared" si="28"/>
        <v>update zamestnanci set nastup='59' where id='1577';</v>
      </c>
      <c r="AB937" t="str">
        <f t="shared" si="29"/>
        <v>update dochazka set zastavka = '59' where zamestnanec = '1577';</v>
      </c>
    </row>
    <row r="938" spans="1:28" x14ac:dyDescent="0.25">
      <c r="A938" s="2">
        <v>1592</v>
      </c>
      <c r="B938" t="s">
        <v>6846</v>
      </c>
      <c r="C938" t="s">
        <v>569</v>
      </c>
      <c r="D938" t="s">
        <v>6175</v>
      </c>
      <c r="E938" t="s">
        <v>6176</v>
      </c>
      <c r="F938" t="s">
        <v>569</v>
      </c>
      <c r="G938" s="1">
        <v>45769</v>
      </c>
      <c r="H938" s="1">
        <v>45782</v>
      </c>
      <c r="I938" s="1">
        <v>73050</v>
      </c>
      <c r="J938" s="2" t="s">
        <v>357</v>
      </c>
      <c r="K938" t="s">
        <v>6177</v>
      </c>
      <c r="M938" s="16" t="s">
        <v>8551</v>
      </c>
      <c r="N938" s="16" t="str">
        <f>VLOOKUP(M938,Tab_Zast[[Zastávka]:[Sloupec1]],2,0)</f>
        <v>00</v>
      </c>
      <c r="O938" t="s">
        <v>6178</v>
      </c>
      <c r="P938">
        <v>8</v>
      </c>
      <c r="Q938">
        <v>0</v>
      </c>
      <c r="R938" t="s">
        <v>31</v>
      </c>
      <c r="S938" t="s">
        <v>31</v>
      </c>
      <c r="T938" t="s">
        <v>32</v>
      </c>
      <c r="V938" s="1" t="e">
        <v>#N/A</v>
      </c>
      <c r="W938" t="s">
        <v>493</v>
      </c>
      <c r="X938">
        <v>0</v>
      </c>
      <c r="Y938">
        <v>992</v>
      </c>
      <c r="AA938" t="str">
        <f t="shared" si="28"/>
        <v/>
      </c>
      <c r="AB938" t="str">
        <f t="shared" si="29"/>
        <v/>
      </c>
    </row>
    <row r="939" spans="1:28" x14ac:dyDescent="0.25">
      <c r="A939" s="2">
        <v>1599</v>
      </c>
      <c r="B939" t="s">
        <v>6870</v>
      </c>
      <c r="C939" t="s">
        <v>64</v>
      </c>
      <c r="D939" t="s">
        <v>6871</v>
      </c>
      <c r="E939" t="s">
        <v>643</v>
      </c>
      <c r="F939" t="s">
        <v>64</v>
      </c>
      <c r="G939" s="1">
        <v>45769</v>
      </c>
      <c r="H939" s="1">
        <v>45770</v>
      </c>
      <c r="I939" s="1">
        <v>73050</v>
      </c>
      <c r="J939" s="2" t="s">
        <v>487</v>
      </c>
      <c r="K939" t="s">
        <v>6872</v>
      </c>
      <c r="M939" s="16" t="s">
        <v>8389</v>
      </c>
      <c r="N939" s="16" t="str">
        <f>VLOOKUP(M939,Tab_Zast[[Zastávka]:[Sloupec1]],2,0)</f>
        <v>52</v>
      </c>
      <c r="O939" t="s">
        <v>6873</v>
      </c>
      <c r="P939">
        <v>6</v>
      </c>
      <c r="Q939">
        <v>0</v>
      </c>
      <c r="R939" t="s">
        <v>31</v>
      </c>
      <c r="S939" t="s">
        <v>31</v>
      </c>
      <c r="T939" t="s">
        <v>32</v>
      </c>
      <c r="V939" s="1" t="e">
        <v>#N/A</v>
      </c>
      <c r="W939" t="s">
        <v>1216</v>
      </c>
      <c r="X939">
        <v>0</v>
      </c>
      <c r="Y939">
        <v>989</v>
      </c>
      <c r="AA939" t="str">
        <f t="shared" si="28"/>
        <v>update zamestnanci set nastup='52' where id='1599';</v>
      </c>
      <c r="AB939" t="str">
        <f t="shared" si="29"/>
        <v>update dochazka set zastavka = '52' where zamestnanec = '1599';</v>
      </c>
    </row>
    <row r="940" spans="1:28" x14ac:dyDescent="0.25">
      <c r="A940" s="2">
        <v>1706</v>
      </c>
      <c r="B940" t="s">
        <v>7240</v>
      </c>
      <c r="C940" t="s">
        <v>569</v>
      </c>
      <c r="D940" t="s">
        <v>4501</v>
      </c>
      <c r="E940" t="s">
        <v>743</v>
      </c>
      <c r="F940" t="s">
        <v>569</v>
      </c>
      <c r="G940" s="1">
        <v>45838</v>
      </c>
      <c r="H940" s="1">
        <v>45838</v>
      </c>
      <c r="I940" s="1">
        <v>45838</v>
      </c>
      <c r="J940" s="2" t="s">
        <v>8409</v>
      </c>
      <c r="K940" t="s">
        <v>4503</v>
      </c>
      <c r="M940" s="16" t="s">
        <v>8410</v>
      </c>
      <c r="N940" s="16" t="str">
        <f>VLOOKUP(M940,Tab_Zast[[Zastávka]:[Sloupec1]],2,0)</f>
        <v>59</v>
      </c>
      <c r="O940" t="s">
        <v>6223</v>
      </c>
      <c r="P940">
        <v>1</v>
      </c>
      <c r="Q940">
        <v>0</v>
      </c>
      <c r="R940" t="s">
        <v>31</v>
      </c>
      <c r="S940" t="s">
        <v>31</v>
      </c>
      <c r="T940" t="s">
        <v>32</v>
      </c>
      <c r="V940" s="1" t="e">
        <v>#N/A</v>
      </c>
      <c r="W940" t="s">
        <v>47</v>
      </c>
      <c r="X940">
        <v>0</v>
      </c>
      <c r="Y940">
        <v>1099</v>
      </c>
      <c r="AA940" t="str">
        <f t="shared" si="28"/>
        <v>update zamestnanci set nastup='59' where id='1706';</v>
      </c>
      <c r="AB940" t="str">
        <f t="shared" si="29"/>
        <v>update dochazka set zastavka = '59' where zamestnanec = '1706';</v>
      </c>
    </row>
    <row r="941" spans="1:28" x14ac:dyDescent="0.25">
      <c r="A941" s="2">
        <v>1707</v>
      </c>
      <c r="B941" t="s">
        <v>7241</v>
      </c>
      <c r="C941" t="s">
        <v>569</v>
      </c>
      <c r="D941" t="s">
        <v>4496</v>
      </c>
      <c r="E941" t="s">
        <v>2156</v>
      </c>
      <c r="F941" t="s">
        <v>569</v>
      </c>
      <c r="G941" s="1">
        <v>45838</v>
      </c>
      <c r="H941" s="1">
        <v>45838</v>
      </c>
      <c r="I941" s="1">
        <v>45838</v>
      </c>
      <c r="J941" s="2" t="s">
        <v>8409</v>
      </c>
      <c r="K941" t="s">
        <v>7242</v>
      </c>
      <c r="M941" s="16" t="s">
        <v>8410</v>
      </c>
      <c r="N941" s="16" t="str">
        <f>VLOOKUP(M941,Tab_Zast[[Zastávka]:[Sloupec1]],2,0)</f>
        <v>59</v>
      </c>
      <c r="O941" t="s">
        <v>4499</v>
      </c>
      <c r="P941">
        <v>1</v>
      </c>
      <c r="Q941">
        <v>0</v>
      </c>
      <c r="R941" t="s">
        <v>31</v>
      </c>
      <c r="S941" t="s">
        <v>31</v>
      </c>
      <c r="T941" t="s">
        <v>32</v>
      </c>
      <c r="V941" s="1" t="e">
        <v>#N/A</v>
      </c>
      <c r="W941" t="s">
        <v>47</v>
      </c>
      <c r="X941">
        <v>0</v>
      </c>
      <c r="Y941">
        <v>1100</v>
      </c>
      <c r="AA941" t="str">
        <f t="shared" si="28"/>
        <v>update zamestnanci set nastup='59' where id='1707';</v>
      </c>
      <c r="AB941" t="str">
        <f t="shared" si="29"/>
        <v>update dochazka set zastavka = '59' where zamestnanec = '1707';</v>
      </c>
    </row>
    <row r="942" spans="1:28" x14ac:dyDescent="0.25">
      <c r="A942" s="2">
        <v>1906</v>
      </c>
      <c r="B942" t="s">
        <v>569</v>
      </c>
      <c r="C942" t="s">
        <v>569</v>
      </c>
      <c r="D942" t="s">
        <v>8028</v>
      </c>
      <c r="E942" t="s">
        <v>2536</v>
      </c>
      <c r="F942" t="s">
        <v>1394</v>
      </c>
      <c r="G942" s="1">
        <v>45971</v>
      </c>
      <c r="H942" s="1">
        <v>45971</v>
      </c>
      <c r="I942" s="1">
        <v>45971</v>
      </c>
      <c r="J942" s="2" t="s">
        <v>357</v>
      </c>
      <c r="K942" t="s">
        <v>8029</v>
      </c>
      <c r="M942" s="16" t="s">
        <v>8551</v>
      </c>
      <c r="N942" s="16" t="str">
        <f>VLOOKUP(M942,Tab_Zast[[Zastávka]:[Sloupec1]],2,0)</f>
        <v>00</v>
      </c>
      <c r="O942" t="s">
        <v>8030</v>
      </c>
      <c r="P942">
        <v>8</v>
      </c>
      <c r="Q942">
        <v>0</v>
      </c>
      <c r="R942" t="s">
        <v>130</v>
      </c>
      <c r="S942" t="s">
        <v>31</v>
      </c>
      <c r="T942" t="s">
        <v>32</v>
      </c>
      <c r="V942" s="1" t="e">
        <v>#N/A</v>
      </c>
      <c r="W942" t="s">
        <v>493</v>
      </c>
      <c r="X942">
        <v>0</v>
      </c>
      <c r="Y942">
        <v>1315</v>
      </c>
      <c r="AA942" t="str">
        <f t="shared" si="28"/>
        <v/>
      </c>
      <c r="AB942" t="str">
        <f t="shared" si="29"/>
        <v/>
      </c>
    </row>
    <row r="943" spans="1:28" x14ac:dyDescent="0.25">
      <c r="A943" s="2">
        <v>1934</v>
      </c>
      <c r="B943" t="s">
        <v>8142</v>
      </c>
      <c r="C943" t="s">
        <v>357</v>
      </c>
      <c r="D943" t="s">
        <v>3633</v>
      </c>
      <c r="E943" t="s">
        <v>3373</v>
      </c>
      <c r="F943" t="s">
        <v>8142</v>
      </c>
      <c r="G943" s="1">
        <v>45987</v>
      </c>
      <c r="H943" s="1" t="e">
        <v>#N/A</v>
      </c>
      <c r="I943" s="1" t="e">
        <v>#N/A</v>
      </c>
      <c r="J943" s="2" t="s">
        <v>487</v>
      </c>
      <c r="K943" t="s">
        <v>3634</v>
      </c>
      <c r="M943" s="16" t="s">
        <v>8389</v>
      </c>
      <c r="N943" s="16" t="str">
        <f>VLOOKUP(M943,Tab_Zast[[Zastávka]:[Sloupec1]],2,0)</f>
        <v>52</v>
      </c>
      <c r="O943" t="s">
        <v>8143</v>
      </c>
      <c r="P943">
        <v>6</v>
      </c>
      <c r="Q943">
        <v>0</v>
      </c>
      <c r="R943" t="s">
        <v>129</v>
      </c>
      <c r="S943" t="s">
        <v>179</v>
      </c>
      <c r="T943" t="s">
        <v>32</v>
      </c>
      <c r="V943" s="1" t="e">
        <v>#N/A</v>
      </c>
      <c r="W943" t="s">
        <v>3052</v>
      </c>
      <c r="X943">
        <v>1</v>
      </c>
      <c r="Y943">
        <v>1342</v>
      </c>
      <c r="AA943" t="str">
        <f t="shared" si="28"/>
        <v>update zamestnanci set nastup='52' where id='1934';</v>
      </c>
      <c r="AB943" t="str">
        <f t="shared" si="29"/>
        <v>update dochazka set zastavka = '52' where zamestnanec = '1934';</v>
      </c>
    </row>
    <row r="944" spans="1:28" x14ac:dyDescent="0.25">
      <c r="A944" s="2">
        <v>1949</v>
      </c>
      <c r="B944" t="s">
        <v>8193</v>
      </c>
      <c r="C944" t="s">
        <v>569</v>
      </c>
      <c r="D944" t="s">
        <v>4506</v>
      </c>
      <c r="E944" t="s">
        <v>2966</v>
      </c>
      <c r="F944" t="s">
        <v>8193</v>
      </c>
      <c r="G944" s="1">
        <v>45992</v>
      </c>
      <c r="H944" s="1">
        <v>45993</v>
      </c>
      <c r="I944" s="1" t="e">
        <v>#N/A</v>
      </c>
      <c r="J944" s="2" t="s">
        <v>357</v>
      </c>
      <c r="K944" t="s">
        <v>8194</v>
      </c>
      <c r="M944" s="16" t="s">
        <v>8551</v>
      </c>
      <c r="N944" s="16" t="str">
        <f>VLOOKUP(M944,Tab_Zast[[Zastávka]:[Sloupec1]],2,0)</f>
        <v>00</v>
      </c>
      <c r="O944" t="s">
        <v>8195</v>
      </c>
      <c r="P944">
        <v>8</v>
      </c>
      <c r="Q944">
        <v>0</v>
      </c>
      <c r="R944" t="s">
        <v>31</v>
      </c>
      <c r="S944" t="s">
        <v>31</v>
      </c>
      <c r="T944" t="s">
        <v>32</v>
      </c>
      <c r="V944" s="1" t="e">
        <v>#N/A</v>
      </c>
      <c r="W944" t="s">
        <v>493</v>
      </c>
      <c r="X944">
        <v>0</v>
      </c>
      <c r="Y944">
        <v>1360</v>
      </c>
      <c r="AA944" t="str">
        <f t="shared" si="28"/>
        <v/>
      </c>
      <c r="AB944" t="str">
        <f t="shared" si="29"/>
        <v/>
      </c>
    </row>
    <row r="945" spans="1:28" x14ac:dyDescent="0.25">
      <c r="A945" s="2">
        <v>105</v>
      </c>
      <c r="B945" t="s">
        <v>653</v>
      </c>
      <c r="C945" t="s">
        <v>653</v>
      </c>
      <c r="D945" t="s">
        <v>654</v>
      </c>
      <c r="E945" t="s">
        <v>655</v>
      </c>
      <c r="F945" t="s">
        <v>656</v>
      </c>
      <c r="G945" s="1">
        <v>44725</v>
      </c>
      <c r="H945" s="1" t="e">
        <v>#N/A</v>
      </c>
      <c r="I945" s="1" t="e">
        <v>#N/A</v>
      </c>
      <c r="J945" s="2" t="s">
        <v>8255</v>
      </c>
      <c r="K945" t="s">
        <v>657</v>
      </c>
      <c r="M945" s="16" t="s">
        <v>8256</v>
      </c>
      <c r="N945" s="16" t="str">
        <f>VLOOKUP(M945,Tab_Zast[[Zastávka]:[Sloupec1]],2,0)</f>
        <v>02</v>
      </c>
      <c r="O945" t="s">
        <v>658</v>
      </c>
      <c r="P945">
        <v>1</v>
      </c>
      <c r="Q945">
        <v>0</v>
      </c>
      <c r="R945" t="s">
        <v>129</v>
      </c>
      <c r="S945" t="s">
        <v>31</v>
      </c>
      <c r="T945" t="s">
        <v>32</v>
      </c>
      <c r="V945" s="1" t="e">
        <v>#N/A</v>
      </c>
      <c r="W945" t="s">
        <v>47</v>
      </c>
      <c r="X945">
        <v>1</v>
      </c>
      <c r="Y945">
        <v>0</v>
      </c>
      <c r="AA945" t="str">
        <f t="shared" si="28"/>
        <v>update zamestnanci set nastup='02' where id='105';</v>
      </c>
      <c r="AB945" t="str">
        <f t="shared" si="29"/>
        <v>update dochazka set zastavka = '02' where zamestnanec = '105';</v>
      </c>
    </row>
    <row r="946" spans="1:28" x14ac:dyDescent="0.25">
      <c r="A946" s="2">
        <v>125</v>
      </c>
      <c r="B946" t="s">
        <v>768</v>
      </c>
      <c r="D946" t="s">
        <v>769</v>
      </c>
      <c r="E946" t="s">
        <v>770</v>
      </c>
      <c r="F946" t="s">
        <v>771</v>
      </c>
      <c r="G946" s="1">
        <v>45187</v>
      </c>
      <c r="H946" s="1">
        <v>45243</v>
      </c>
      <c r="I946" s="1" t="e">
        <v>#N/A</v>
      </c>
      <c r="J946" s="2" t="s">
        <v>8255</v>
      </c>
      <c r="K946" t="s">
        <v>772</v>
      </c>
      <c r="M946" s="16" t="s">
        <v>8256</v>
      </c>
      <c r="N946" s="16" t="str">
        <f>VLOOKUP(M946,Tab_Zast[[Zastávka]:[Sloupec1]],2,0)</f>
        <v>02</v>
      </c>
      <c r="O946" t="s">
        <v>773</v>
      </c>
      <c r="P946">
        <v>1</v>
      </c>
      <c r="Q946">
        <v>0</v>
      </c>
      <c r="R946" t="s">
        <v>31</v>
      </c>
      <c r="S946" t="s">
        <v>31</v>
      </c>
      <c r="T946" t="s">
        <v>32</v>
      </c>
      <c r="V946" s="1" t="e">
        <v>#N/A</v>
      </c>
      <c r="W946" t="s">
        <v>47</v>
      </c>
      <c r="X946">
        <v>0</v>
      </c>
      <c r="Y946">
        <v>0</v>
      </c>
      <c r="Z946" t="s">
        <v>54</v>
      </c>
      <c r="AA946" t="str">
        <f t="shared" si="28"/>
        <v>update zamestnanci set nastup='02' where id='125';</v>
      </c>
      <c r="AB946" t="str">
        <f t="shared" si="29"/>
        <v>update dochazka set zastavka = '02' where zamestnanec = '125';</v>
      </c>
    </row>
    <row r="947" spans="1:28" x14ac:dyDescent="0.25">
      <c r="A947" s="2">
        <v>580</v>
      </c>
      <c r="B947" t="s">
        <v>2442</v>
      </c>
      <c r="C947" t="s">
        <v>2443</v>
      </c>
      <c r="D947" t="s">
        <v>2444</v>
      </c>
      <c r="E947" t="s">
        <v>2445</v>
      </c>
      <c r="F947" t="s">
        <v>2446</v>
      </c>
      <c r="G947" s="1">
        <v>44893</v>
      </c>
      <c r="H947" s="1">
        <v>45492</v>
      </c>
      <c r="I947" s="1">
        <v>73050</v>
      </c>
      <c r="J947" s="2" t="s">
        <v>357</v>
      </c>
      <c r="K947" t="s">
        <v>2447</v>
      </c>
      <c r="M947" s="16" t="s">
        <v>8551</v>
      </c>
      <c r="N947" s="16" t="str">
        <f>VLOOKUP(M947,Tab_Zast[[Zastávka]:[Sloupec1]],2,0)</f>
        <v>00</v>
      </c>
      <c r="O947" t="s">
        <v>2448</v>
      </c>
      <c r="P947">
        <v>3</v>
      </c>
      <c r="Q947">
        <v>0</v>
      </c>
      <c r="R947" t="s">
        <v>31</v>
      </c>
      <c r="S947" t="s">
        <v>31</v>
      </c>
      <c r="T947" t="s">
        <v>32</v>
      </c>
      <c r="V947" s="1" t="e">
        <v>#N/A</v>
      </c>
      <c r="W947" t="s">
        <v>493</v>
      </c>
      <c r="X947">
        <v>0</v>
      </c>
      <c r="Y947">
        <v>0</v>
      </c>
      <c r="AA947" t="str">
        <f t="shared" si="28"/>
        <v/>
      </c>
      <c r="AB947" t="str">
        <f t="shared" si="29"/>
        <v/>
      </c>
    </row>
    <row r="948" spans="1:28" x14ac:dyDescent="0.25">
      <c r="A948" s="2">
        <v>646</v>
      </c>
      <c r="B948" t="s">
        <v>2800</v>
      </c>
      <c r="C948" t="s">
        <v>64</v>
      </c>
      <c r="D948" t="s">
        <v>2801</v>
      </c>
      <c r="E948" t="s">
        <v>2391</v>
      </c>
      <c r="F948" t="s">
        <v>558</v>
      </c>
      <c r="G948" s="1">
        <v>45080</v>
      </c>
      <c r="H948" s="1">
        <v>45467</v>
      </c>
      <c r="I948" s="1">
        <v>73050</v>
      </c>
      <c r="J948" s="2" t="s">
        <v>8255</v>
      </c>
      <c r="K948" t="s">
        <v>2802</v>
      </c>
      <c r="M948" s="16" t="s">
        <v>8256</v>
      </c>
      <c r="N948" s="16" t="str">
        <f>VLOOKUP(M948,Tab_Zast[[Zastávka]:[Sloupec1]],2,0)</f>
        <v>02</v>
      </c>
      <c r="O948" t="s">
        <v>2803</v>
      </c>
      <c r="P948">
        <v>1</v>
      </c>
      <c r="Q948">
        <v>0</v>
      </c>
      <c r="R948" t="s">
        <v>31</v>
      </c>
      <c r="S948" t="s">
        <v>31</v>
      </c>
      <c r="T948" t="s">
        <v>32</v>
      </c>
      <c r="V948" s="1" t="e">
        <v>#N/A</v>
      </c>
      <c r="W948" t="s">
        <v>47</v>
      </c>
      <c r="X948">
        <v>0</v>
      </c>
      <c r="Y948">
        <v>0</v>
      </c>
      <c r="Z948" t="s">
        <v>40</v>
      </c>
      <c r="AA948" t="str">
        <f t="shared" si="28"/>
        <v>update zamestnanci set nastup='02' where id='646';</v>
      </c>
      <c r="AB948" t="str">
        <f t="shared" si="29"/>
        <v>update dochazka set zastavka = '02' where zamestnanec = '646';</v>
      </c>
    </row>
    <row r="949" spans="1:28" x14ac:dyDescent="0.25">
      <c r="A949" s="2">
        <v>655</v>
      </c>
      <c r="B949" t="s">
        <v>2847</v>
      </c>
      <c r="D949" t="s">
        <v>2848</v>
      </c>
      <c r="E949" t="s">
        <v>2849</v>
      </c>
      <c r="F949" t="s">
        <v>2850</v>
      </c>
      <c r="G949" s="1">
        <v>45222</v>
      </c>
      <c r="H949" s="1">
        <v>45307</v>
      </c>
      <c r="I949" s="1">
        <v>73050</v>
      </c>
      <c r="J949" s="2" t="s">
        <v>8255</v>
      </c>
      <c r="K949" t="s">
        <v>2851</v>
      </c>
      <c r="M949" s="16" t="s">
        <v>8256</v>
      </c>
      <c r="N949" s="16" t="str">
        <f>VLOOKUP(M949,Tab_Zast[[Zastávka]:[Sloupec1]],2,0)</f>
        <v>02</v>
      </c>
      <c r="O949" t="s">
        <v>2852</v>
      </c>
      <c r="P949">
        <v>1</v>
      </c>
      <c r="Q949">
        <v>0</v>
      </c>
      <c r="R949" t="s">
        <v>31</v>
      </c>
      <c r="S949" t="s">
        <v>31</v>
      </c>
      <c r="T949" t="s">
        <v>32</v>
      </c>
      <c r="V949" s="1" t="e">
        <v>#N/A</v>
      </c>
      <c r="W949" t="s">
        <v>47</v>
      </c>
      <c r="X949">
        <v>0</v>
      </c>
      <c r="Y949">
        <v>0</v>
      </c>
      <c r="AA949" t="str">
        <f t="shared" si="28"/>
        <v>update zamestnanci set nastup='02' where id='655';</v>
      </c>
      <c r="AB949" t="str">
        <f t="shared" si="29"/>
        <v>update dochazka set zastavka = '02' where zamestnanec = '655';</v>
      </c>
    </row>
    <row r="950" spans="1:28" x14ac:dyDescent="0.25">
      <c r="A950" s="2">
        <v>894</v>
      </c>
      <c r="B950" t="s">
        <v>4039</v>
      </c>
      <c r="C950" t="s">
        <v>4040</v>
      </c>
      <c r="D950" t="s">
        <v>4041</v>
      </c>
      <c r="E950" t="s">
        <v>4016</v>
      </c>
      <c r="F950" t="s">
        <v>4042</v>
      </c>
      <c r="G950" s="1">
        <v>45390</v>
      </c>
      <c r="H950" s="1">
        <v>45495</v>
      </c>
      <c r="I950" s="1">
        <v>73050</v>
      </c>
      <c r="J950" s="2" t="s">
        <v>357</v>
      </c>
      <c r="K950" t="s">
        <v>4043</v>
      </c>
      <c r="M950" s="16" t="s">
        <v>8551</v>
      </c>
      <c r="N950" s="16" t="str">
        <f>VLOOKUP(M950,Tab_Zast[[Zastávka]:[Sloupec1]],2,0)</f>
        <v>00</v>
      </c>
      <c r="O950" t="s">
        <v>4044</v>
      </c>
      <c r="P950">
        <v>3</v>
      </c>
      <c r="Q950">
        <v>0</v>
      </c>
      <c r="R950" t="s">
        <v>31</v>
      </c>
      <c r="S950" t="s">
        <v>31</v>
      </c>
      <c r="T950" t="s">
        <v>32</v>
      </c>
      <c r="V950" s="1" t="e">
        <v>#N/A</v>
      </c>
      <c r="W950" t="s">
        <v>493</v>
      </c>
      <c r="X950">
        <v>0</v>
      </c>
      <c r="Y950">
        <v>235</v>
      </c>
      <c r="AA950" t="str">
        <f t="shared" si="28"/>
        <v/>
      </c>
      <c r="AB950" t="str">
        <f t="shared" si="29"/>
        <v/>
      </c>
    </row>
    <row r="951" spans="1:28" x14ac:dyDescent="0.25">
      <c r="A951" s="2">
        <v>1020</v>
      </c>
      <c r="B951" t="s">
        <v>4591</v>
      </c>
      <c r="C951" t="s">
        <v>1394</v>
      </c>
      <c r="D951" t="s">
        <v>4592</v>
      </c>
      <c r="E951" t="s">
        <v>4593</v>
      </c>
      <c r="F951" t="s">
        <v>4357</v>
      </c>
      <c r="G951" s="1">
        <v>45461</v>
      </c>
      <c r="H951" s="1">
        <v>45646</v>
      </c>
      <c r="I951" s="1">
        <v>73050</v>
      </c>
      <c r="J951" s="2" t="s">
        <v>8267</v>
      </c>
      <c r="K951" t="s">
        <v>4594</v>
      </c>
      <c r="M951" s="16" t="s">
        <v>8268</v>
      </c>
      <c r="N951" s="16" t="str">
        <f>VLOOKUP(M951,Tab_Zast[[Zastávka]:[Sloupec1]],2,0)</f>
        <v>06</v>
      </c>
      <c r="O951" t="s">
        <v>4058</v>
      </c>
      <c r="P951">
        <v>9</v>
      </c>
      <c r="Q951">
        <v>0</v>
      </c>
      <c r="R951" t="s">
        <v>31</v>
      </c>
      <c r="S951" t="s">
        <v>31</v>
      </c>
      <c r="T951" t="s">
        <v>32</v>
      </c>
      <c r="V951" s="1" t="e">
        <v>#N/A</v>
      </c>
      <c r="W951" t="s">
        <v>3091</v>
      </c>
      <c r="X951">
        <v>0</v>
      </c>
      <c r="Y951">
        <v>409</v>
      </c>
      <c r="Z951" t="s">
        <v>54</v>
      </c>
      <c r="AA951" t="str">
        <f t="shared" si="28"/>
        <v>update zamestnanci set nastup='06' where id='1020';</v>
      </c>
      <c r="AB951" t="str">
        <f t="shared" si="29"/>
        <v>update dochazka set zastavka = '06' where zamestnanec = '1020';</v>
      </c>
    </row>
    <row r="952" spans="1:28" x14ac:dyDescent="0.25">
      <c r="A952" s="2">
        <v>1044</v>
      </c>
      <c r="B952" t="s">
        <v>4698</v>
      </c>
      <c r="C952" t="s">
        <v>1394</v>
      </c>
      <c r="D952" t="s">
        <v>4699</v>
      </c>
      <c r="E952" t="s">
        <v>1509</v>
      </c>
      <c r="F952" t="s">
        <v>4700</v>
      </c>
      <c r="G952" s="1">
        <v>45468</v>
      </c>
      <c r="H952" s="1">
        <v>45497</v>
      </c>
      <c r="I952" s="1">
        <v>73050</v>
      </c>
      <c r="J952" s="2" t="s">
        <v>357</v>
      </c>
      <c r="K952" t="s">
        <v>4701</v>
      </c>
      <c r="M952" s="16" t="s">
        <v>8551</v>
      </c>
      <c r="N952" s="16" t="str">
        <f>VLOOKUP(M952,Tab_Zast[[Zastávka]:[Sloupec1]],2,0)</f>
        <v>00</v>
      </c>
      <c r="O952" t="s">
        <v>4702</v>
      </c>
      <c r="P952">
        <v>3</v>
      </c>
      <c r="Q952">
        <v>0</v>
      </c>
      <c r="R952" t="s">
        <v>31</v>
      </c>
      <c r="S952" t="s">
        <v>31</v>
      </c>
      <c r="T952" t="s">
        <v>32</v>
      </c>
      <c r="V952" s="1" t="e">
        <v>#N/A</v>
      </c>
      <c r="W952" t="s">
        <v>3091</v>
      </c>
      <c r="X952">
        <v>0</v>
      </c>
      <c r="Y952">
        <v>432</v>
      </c>
      <c r="AA952" t="str">
        <f t="shared" si="28"/>
        <v/>
      </c>
      <c r="AB952" t="str">
        <f t="shared" si="29"/>
        <v/>
      </c>
    </row>
    <row r="953" spans="1:28" x14ac:dyDescent="0.25">
      <c r="A953" s="2">
        <v>1068</v>
      </c>
      <c r="B953" t="s">
        <v>4807</v>
      </c>
      <c r="C953" t="s">
        <v>1394</v>
      </c>
      <c r="D953" t="s">
        <v>4808</v>
      </c>
      <c r="E953" t="s">
        <v>2536</v>
      </c>
      <c r="F953" t="s">
        <v>4809</v>
      </c>
      <c r="G953" s="1">
        <v>45481</v>
      </c>
      <c r="H953" s="1">
        <v>45517</v>
      </c>
      <c r="I953" s="1">
        <v>73050</v>
      </c>
      <c r="J953" s="2" t="s">
        <v>357</v>
      </c>
      <c r="K953" t="s">
        <v>4810</v>
      </c>
      <c r="M953" s="16" t="s">
        <v>8551</v>
      </c>
      <c r="N953" s="16" t="str">
        <f>VLOOKUP(M953,Tab_Zast[[Zastávka]:[Sloupec1]],2,0)</f>
        <v>00</v>
      </c>
      <c r="O953" t="s">
        <v>4811</v>
      </c>
      <c r="P953">
        <v>3</v>
      </c>
      <c r="Q953">
        <v>0</v>
      </c>
      <c r="R953" t="s">
        <v>31</v>
      </c>
      <c r="S953" t="s">
        <v>31</v>
      </c>
      <c r="T953" t="s">
        <v>32</v>
      </c>
      <c r="V953" s="1" t="e">
        <v>#N/A</v>
      </c>
      <c r="W953" t="s">
        <v>3091</v>
      </c>
      <c r="X953">
        <v>0</v>
      </c>
      <c r="Y953">
        <v>448</v>
      </c>
      <c r="AA953" t="str">
        <f t="shared" si="28"/>
        <v/>
      </c>
      <c r="AB953" t="str">
        <f t="shared" si="29"/>
        <v/>
      </c>
    </row>
    <row r="954" spans="1:28" x14ac:dyDescent="0.25">
      <c r="A954" s="2">
        <v>1072</v>
      </c>
      <c r="B954" t="s">
        <v>4826</v>
      </c>
      <c r="C954" t="s">
        <v>1394</v>
      </c>
      <c r="D954" t="s">
        <v>4827</v>
      </c>
      <c r="E954" t="s">
        <v>1947</v>
      </c>
      <c r="F954" t="s">
        <v>67</v>
      </c>
      <c r="G954" s="1">
        <v>45481</v>
      </c>
      <c r="H954" s="1">
        <v>45481</v>
      </c>
      <c r="I954" s="1">
        <v>45481</v>
      </c>
      <c r="J954" s="2" t="s">
        <v>357</v>
      </c>
      <c r="K954" t="s">
        <v>4828</v>
      </c>
      <c r="M954" s="16" t="s">
        <v>8551</v>
      </c>
      <c r="N954" s="16" t="str">
        <f>VLOOKUP(M954,Tab_Zast[[Zastávka]:[Sloupec1]],2,0)</f>
        <v>00</v>
      </c>
      <c r="O954" t="s">
        <v>4829</v>
      </c>
      <c r="P954">
        <v>3</v>
      </c>
      <c r="Q954">
        <v>0</v>
      </c>
      <c r="R954" t="s">
        <v>31</v>
      </c>
      <c r="S954" t="s">
        <v>31</v>
      </c>
      <c r="T954" t="s">
        <v>32</v>
      </c>
      <c r="V954" s="1" t="e">
        <v>#N/A</v>
      </c>
      <c r="W954" t="s">
        <v>3091</v>
      </c>
      <c r="X954">
        <v>0</v>
      </c>
      <c r="Y954">
        <v>455</v>
      </c>
      <c r="AA954" t="str">
        <f t="shared" si="28"/>
        <v/>
      </c>
      <c r="AB954" t="str">
        <f t="shared" si="29"/>
        <v/>
      </c>
    </row>
    <row r="955" spans="1:28" x14ac:dyDescent="0.25">
      <c r="A955" s="2">
        <v>1090</v>
      </c>
      <c r="B955" t="s">
        <v>4902</v>
      </c>
      <c r="C955" t="s">
        <v>1394</v>
      </c>
      <c r="D955" t="s">
        <v>4903</v>
      </c>
      <c r="E955" t="s">
        <v>2451</v>
      </c>
      <c r="F955" t="s">
        <v>67</v>
      </c>
      <c r="G955" s="1">
        <v>45495</v>
      </c>
      <c r="H955" s="1">
        <v>45495</v>
      </c>
      <c r="I955" s="1">
        <v>45495</v>
      </c>
      <c r="J955" s="2" t="s">
        <v>8255</v>
      </c>
      <c r="K955" t="s">
        <v>4904</v>
      </c>
      <c r="M955" s="16" t="s">
        <v>8256</v>
      </c>
      <c r="N955" s="16" t="str">
        <f>VLOOKUP(M955,Tab_Zast[[Zastávka]:[Sloupec1]],2,0)</f>
        <v>02</v>
      </c>
      <c r="O955" t="s">
        <v>4905</v>
      </c>
      <c r="P955">
        <v>1</v>
      </c>
      <c r="Q955">
        <v>0</v>
      </c>
      <c r="R955" t="s">
        <v>31</v>
      </c>
      <c r="S955" t="s">
        <v>31</v>
      </c>
      <c r="T955" t="s">
        <v>32</v>
      </c>
      <c r="V955" s="1" t="e">
        <v>#N/A</v>
      </c>
      <c r="W955" t="s">
        <v>47</v>
      </c>
      <c r="X955">
        <v>0</v>
      </c>
      <c r="Y955">
        <v>479</v>
      </c>
      <c r="AA955" t="str">
        <f t="shared" si="28"/>
        <v>update zamestnanci set nastup='02' where id='1090';</v>
      </c>
      <c r="AB955" t="str">
        <f t="shared" si="29"/>
        <v>update dochazka set zastavka = '02' where zamestnanec = '1090';</v>
      </c>
    </row>
    <row r="956" spans="1:28" x14ac:dyDescent="0.25">
      <c r="A956" s="2">
        <v>1091</v>
      </c>
      <c r="B956" t="s">
        <v>4906</v>
      </c>
      <c r="C956" t="s">
        <v>1394</v>
      </c>
      <c r="D956" t="s">
        <v>4907</v>
      </c>
      <c r="E956" t="s">
        <v>2120</v>
      </c>
      <c r="F956" t="s">
        <v>67</v>
      </c>
      <c r="G956" s="1">
        <v>45495</v>
      </c>
      <c r="H956" s="1">
        <v>45495</v>
      </c>
      <c r="I956" s="1">
        <v>45495</v>
      </c>
      <c r="J956" s="2" t="s">
        <v>8255</v>
      </c>
      <c r="K956" t="s">
        <v>4908</v>
      </c>
      <c r="M956" s="16" t="s">
        <v>8256</v>
      </c>
      <c r="N956" s="16" t="str">
        <f>VLOOKUP(M956,Tab_Zast[[Zastávka]:[Sloupec1]],2,0)</f>
        <v>02</v>
      </c>
      <c r="O956" t="s">
        <v>4905</v>
      </c>
      <c r="P956">
        <v>1</v>
      </c>
      <c r="Q956">
        <v>0</v>
      </c>
      <c r="R956" t="s">
        <v>31</v>
      </c>
      <c r="S956" t="s">
        <v>31</v>
      </c>
      <c r="T956" t="s">
        <v>32</v>
      </c>
      <c r="V956" s="1" t="e">
        <v>#N/A</v>
      </c>
      <c r="W956" t="s">
        <v>47</v>
      </c>
      <c r="X956">
        <v>0</v>
      </c>
      <c r="Y956">
        <v>480</v>
      </c>
      <c r="AA956" t="str">
        <f t="shared" si="28"/>
        <v>update zamestnanci set nastup='02' where id='1091';</v>
      </c>
      <c r="AB956" t="str">
        <f t="shared" si="29"/>
        <v>update dochazka set zastavka = '02' where zamestnanec = '1091';</v>
      </c>
    </row>
    <row r="957" spans="1:28" x14ac:dyDescent="0.25">
      <c r="A957" s="2">
        <v>1168</v>
      </c>
      <c r="B957" t="s">
        <v>5212</v>
      </c>
      <c r="C957" t="s">
        <v>1394</v>
      </c>
      <c r="D957" t="s">
        <v>5213</v>
      </c>
      <c r="E957" t="s">
        <v>2131</v>
      </c>
      <c r="F957" t="s">
        <v>5214</v>
      </c>
      <c r="G957" s="1">
        <v>45524</v>
      </c>
      <c r="H957" s="1">
        <v>45637</v>
      </c>
      <c r="I957" s="1">
        <v>73050</v>
      </c>
      <c r="J957" s="2" t="s">
        <v>8267</v>
      </c>
      <c r="K957" t="s">
        <v>5215</v>
      </c>
      <c r="M957" s="16" t="s">
        <v>8268</v>
      </c>
      <c r="N957" s="16" t="str">
        <f>VLOOKUP(M957,Tab_Zast[[Zastávka]:[Sloupec1]],2,0)</f>
        <v>06</v>
      </c>
      <c r="O957" t="s">
        <v>4058</v>
      </c>
      <c r="P957">
        <v>9</v>
      </c>
      <c r="Q957">
        <v>0</v>
      </c>
      <c r="R957" t="s">
        <v>31</v>
      </c>
      <c r="S957" t="s">
        <v>31</v>
      </c>
      <c r="T957" t="s">
        <v>32</v>
      </c>
      <c r="V957" s="1" t="e">
        <v>#N/A</v>
      </c>
      <c r="W957" t="s">
        <v>3091</v>
      </c>
      <c r="X957">
        <v>0</v>
      </c>
      <c r="Y957">
        <v>557</v>
      </c>
      <c r="Z957" t="s">
        <v>54</v>
      </c>
      <c r="AA957" t="str">
        <f t="shared" si="28"/>
        <v>update zamestnanci set nastup='06' where id='1168';</v>
      </c>
      <c r="AB957" t="str">
        <f t="shared" si="29"/>
        <v>update dochazka set zastavka = '06' where zamestnanec = '1168';</v>
      </c>
    </row>
    <row r="958" spans="1:28" x14ac:dyDescent="0.25">
      <c r="A958" s="2">
        <v>1171</v>
      </c>
      <c r="B958" t="s">
        <v>5225</v>
      </c>
      <c r="C958" t="s">
        <v>1394</v>
      </c>
      <c r="D958" t="s">
        <v>4808</v>
      </c>
      <c r="E958" t="s">
        <v>2536</v>
      </c>
      <c r="F958" t="s">
        <v>67</v>
      </c>
      <c r="G958" s="1">
        <v>45527</v>
      </c>
      <c r="H958" s="1">
        <v>45527</v>
      </c>
      <c r="I958" s="1">
        <v>45527</v>
      </c>
      <c r="J958" s="2" t="s">
        <v>357</v>
      </c>
      <c r="K958" t="s">
        <v>4810</v>
      </c>
      <c r="M958" s="16" t="s">
        <v>8551</v>
      </c>
      <c r="N958" s="16" t="str">
        <f>VLOOKUP(M958,Tab_Zast[[Zastávka]:[Sloupec1]],2,0)</f>
        <v>00</v>
      </c>
      <c r="O958" t="s">
        <v>4811</v>
      </c>
      <c r="P958">
        <v>3</v>
      </c>
      <c r="Q958">
        <v>0</v>
      </c>
      <c r="R958" t="s">
        <v>31</v>
      </c>
      <c r="S958" t="s">
        <v>31</v>
      </c>
      <c r="T958" t="s">
        <v>32</v>
      </c>
      <c r="V958" s="1" t="e">
        <v>#N/A</v>
      </c>
      <c r="W958" t="s">
        <v>493</v>
      </c>
      <c r="X958">
        <v>0</v>
      </c>
      <c r="Y958">
        <v>559</v>
      </c>
      <c r="AA958" t="str">
        <f t="shared" si="28"/>
        <v/>
      </c>
      <c r="AB958" t="str">
        <f t="shared" si="29"/>
        <v/>
      </c>
    </row>
    <row r="959" spans="1:28" x14ac:dyDescent="0.25">
      <c r="A959" s="2">
        <v>1193</v>
      </c>
      <c r="B959" t="s">
        <v>5309</v>
      </c>
      <c r="C959" t="s">
        <v>1394</v>
      </c>
      <c r="D959" t="s">
        <v>5310</v>
      </c>
      <c r="E959" t="s">
        <v>643</v>
      </c>
      <c r="F959" t="s">
        <v>5209</v>
      </c>
      <c r="G959" s="1">
        <v>45538</v>
      </c>
      <c r="H959" s="1">
        <v>45596</v>
      </c>
      <c r="I959" s="1">
        <v>73050</v>
      </c>
      <c r="J959" s="2" t="s">
        <v>8267</v>
      </c>
      <c r="K959" t="s">
        <v>5311</v>
      </c>
      <c r="M959" s="16" t="s">
        <v>8268</v>
      </c>
      <c r="N959" s="16" t="str">
        <f>VLOOKUP(M959,Tab_Zast[[Zastávka]:[Sloupec1]],2,0)</f>
        <v>06</v>
      </c>
      <c r="O959" t="s">
        <v>4058</v>
      </c>
      <c r="P959">
        <v>9</v>
      </c>
      <c r="Q959">
        <v>0</v>
      </c>
      <c r="R959" t="s">
        <v>31</v>
      </c>
      <c r="S959" t="s">
        <v>31</v>
      </c>
      <c r="T959" t="s">
        <v>32</v>
      </c>
      <c r="V959" s="1" t="e">
        <v>#N/A</v>
      </c>
      <c r="W959" t="s">
        <v>3091</v>
      </c>
      <c r="X959">
        <v>0</v>
      </c>
      <c r="Y959">
        <v>583</v>
      </c>
      <c r="Z959" t="s">
        <v>54</v>
      </c>
      <c r="AA959" t="str">
        <f t="shared" si="28"/>
        <v>update zamestnanci set nastup='06' where id='1193';</v>
      </c>
      <c r="AB959" t="str">
        <f t="shared" si="29"/>
        <v>update dochazka set zastavka = '06' where zamestnanec = '1193';</v>
      </c>
    </row>
    <row r="960" spans="1:28" x14ac:dyDescent="0.25">
      <c r="A960" s="2">
        <v>1226</v>
      </c>
      <c r="B960" t="s">
        <v>5432</v>
      </c>
      <c r="C960" t="s">
        <v>1394</v>
      </c>
      <c r="D960" t="s">
        <v>4264</v>
      </c>
      <c r="E960" t="s">
        <v>761</v>
      </c>
      <c r="F960" t="s">
        <v>151</v>
      </c>
      <c r="G960" s="1">
        <v>45547</v>
      </c>
      <c r="H960" s="1">
        <v>45623</v>
      </c>
      <c r="I960" s="1">
        <v>73050</v>
      </c>
      <c r="J960" s="2" t="s">
        <v>8267</v>
      </c>
      <c r="K960" t="s">
        <v>5448</v>
      </c>
      <c r="M960" s="16" t="s">
        <v>8268</v>
      </c>
      <c r="N960" s="16" t="str">
        <f>VLOOKUP(M960,Tab_Zast[[Zastávka]:[Sloupec1]],2,0)</f>
        <v>06</v>
      </c>
      <c r="O960" t="s">
        <v>4267</v>
      </c>
      <c r="P960">
        <v>9</v>
      </c>
      <c r="Q960">
        <v>0</v>
      </c>
      <c r="R960" t="s">
        <v>31</v>
      </c>
      <c r="S960" t="s">
        <v>31</v>
      </c>
      <c r="T960" t="s">
        <v>32</v>
      </c>
      <c r="V960" s="1" t="e">
        <v>#N/A</v>
      </c>
      <c r="W960" t="s">
        <v>3091</v>
      </c>
      <c r="X960">
        <v>0</v>
      </c>
      <c r="Y960">
        <v>617</v>
      </c>
      <c r="Z960" t="s">
        <v>54</v>
      </c>
      <c r="AA960" t="str">
        <f t="shared" si="28"/>
        <v>update zamestnanci set nastup='06' where id='1226';</v>
      </c>
      <c r="AB960" t="str">
        <f t="shared" si="29"/>
        <v>update dochazka set zastavka = '06' where zamestnanec = '1226';</v>
      </c>
    </row>
    <row r="961" spans="1:28" x14ac:dyDescent="0.25">
      <c r="A961" s="2">
        <v>1262</v>
      </c>
      <c r="B961" t="s">
        <v>5584</v>
      </c>
      <c r="C961" t="s">
        <v>1394</v>
      </c>
      <c r="D961" t="s">
        <v>4680</v>
      </c>
      <c r="E961" t="s">
        <v>2451</v>
      </c>
      <c r="F961" t="s">
        <v>4357</v>
      </c>
      <c r="G961" s="1">
        <v>45559</v>
      </c>
      <c r="H961" s="1">
        <v>45597</v>
      </c>
      <c r="I961" s="1">
        <v>73050</v>
      </c>
      <c r="J961" s="2" t="s">
        <v>8267</v>
      </c>
      <c r="K961" t="s">
        <v>5585</v>
      </c>
      <c r="M961" s="16" t="s">
        <v>8268</v>
      </c>
      <c r="N961" s="16" t="str">
        <f>VLOOKUP(M961,Tab_Zast[[Zastávka]:[Sloupec1]],2,0)</f>
        <v>06</v>
      </c>
      <c r="O961" t="s">
        <v>5586</v>
      </c>
      <c r="P961">
        <v>9</v>
      </c>
      <c r="Q961">
        <v>0</v>
      </c>
      <c r="R961" t="s">
        <v>31</v>
      </c>
      <c r="S961" t="s">
        <v>31</v>
      </c>
      <c r="T961" t="s">
        <v>32</v>
      </c>
      <c r="V961" s="1" t="e">
        <v>#N/A</v>
      </c>
      <c r="W961" t="s">
        <v>3091</v>
      </c>
      <c r="X961">
        <v>0</v>
      </c>
      <c r="Y961">
        <v>653</v>
      </c>
      <c r="Z961" t="s">
        <v>54</v>
      </c>
      <c r="AA961" t="str">
        <f t="shared" si="28"/>
        <v>update zamestnanci set nastup='06' where id='1262';</v>
      </c>
      <c r="AB961" t="str">
        <f t="shared" si="29"/>
        <v>update dochazka set zastavka = '06' where zamestnanec = '1262';</v>
      </c>
    </row>
    <row r="962" spans="1:28" x14ac:dyDescent="0.25">
      <c r="A962" s="2">
        <v>1264</v>
      </c>
      <c r="B962" t="s">
        <v>5591</v>
      </c>
      <c r="C962" t="s">
        <v>1394</v>
      </c>
      <c r="D962" t="s">
        <v>5592</v>
      </c>
      <c r="E962" t="s">
        <v>201</v>
      </c>
      <c r="F962" t="s">
        <v>67</v>
      </c>
      <c r="G962" s="1">
        <v>45561</v>
      </c>
      <c r="H962" s="1">
        <v>45572</v>
      </c>
      <c r="I962" s="1">
        <v>73050</v>
      </c>
      <c r="J962" s="2" t="s">
        <v>8255</v>
      </c>
      <c r="K962" t="s">
        <v>5593</v>
      </c>
      <c r="M962" s="16" t="s">
        <v>8256</v>
      </c>
      <c r="N962" s="16" t="str">
        <f>VLOOKUP(M962,Tab_Zast[[Zastávka]:[Sloupec1]],2,0)</f>
        <v>02</v>
      </c>
      <c r="O962" t="s">
        <v>5594</v>
      </c>
      <c r="P962">
        <v>1</v>
      </c>
      <c r="Q962">
        <v>0</v>
      </c>
      <c r="R962" t="s">
        <v>31</v>
      </c>
      <c r="S962" t="s">
        <v>31</v>
      </c>
      <c r="T962" t="s">
        <v>32</v>
      </c>
      <c r="V962" s="1" t="e">
        <v>#N/A</v>
      </c>
      <c r="W962" t="s">
        <v>47</v>
      </c>
      <c r="X962">
        <v>0</v>
      </c>
      <c r="Y962">
        <v>654</v>
      </c>
      <c r="AA962" t="str">
        <f t="shared" si="28"/>
        <v>update zamestnanci set nastup='02' where id='1264';</v>
      </c>
      <c r="AB962" t="str">
        <f t="shared" si="29"/>
        <v>update dochazka set zastavka = '02' where zamestnanec = '1264';</v>
      </c>
    </row>
    <row r="963" spans="1:28" x14ac:dyDescent="0.25">
      <c r="A963" s="2">
        <v>1317</v>
      </c>
      <c r="B963" t="s">
        <v>5806</v>
      </c>
      <c r="C963" t="s">
        <v>1394</v>
      </c>
      <c r="D963" t="s">
        <v>5807</v>
      </c>
      <c r="E963" t="s">
        <v>2960</v>
      </c>
      <c r="F963" t="s">
        <v>64</v>
      </c>
      <c r="G963" s="1">
        <v>45580</v>
      </c>
      <c r="H963" s="1">
        <v>45580</v>
      </c>
      <c r="I963" s="1">
        <v>73050</v>
      </c>
      <c r="J963" s="2" t="s">
        <v>8267</v>
      </c>
      <c r="K963" t="s">
        <v>5808</v>
      </c>
      <c r="M963" s="16" t="s">
        <v>8268</v>
      </c>
      <c r="N963" s="16" t="str">
        <f>VLOOKUP(M963,Tab_Zast[[Zastávka]:[Sloupec1]],2,0)</f>
        <v>06</v>
      </c>
      <c r="O963" t="s">
        <v>5809</v>
      </c>
      <c r="P963">
        <v>9</v>
      </c>
      <c r="Q963">
        <v>0</v>
      </c>
      <c r="R963" t="s">
        <v>31</v>
      </c>
      <c r="S963" t="s">
        <v>31</v>
      </c>
      <c r="T963" t="s">
        <v>32</v>
      </c>
      <c r="V963" s="1" t="e">
        <v>#N/A</v>
      </c>
      <c r="W963" t="s">
        <v>3091</v>
      </c>
      <c r="X963">
        <v>0</v>
      </c>
      <c r="Y963">
        <v>696</v>
      </c>
      <c r="Z963" t="s">
        <v>54</v>
      </c>
      <c r="AA963" t="str">
        <f t="shared" si="28"/>
        <v>update zamestnanci set nastup='06' where id='1317';</v>
      </c>
      <c r="AB963" t="str">
        <f t="shared" si="29"/>
        <v>update dochazka set zastavka = '06' where zamestnanec = '1317';</v>
      </c>
    </row>
    <row r="964" spans="1:28" x14ac:dyDescent="0.25">
      <c r="A964" s="2">
        <v>1353</v>
      </c>
      <c r="B964" t="s">
        <v>5945</v>
      </c>
      <c r="C964" t="s">
        <v>1394</v>
      </c>
      <c r="D964" t="s">
        <v>5946</v>
      </c>
      <c r="E964" t="s">
        <v>643</v>
      </c>
      <c r="F964" t="s">
        <v>1394</v>
      </c>
      <c r="G964" s="1">
        <v>45601</v>
      </c>
      <c r="H964" s="1">
        <v>45684</v>
      </c>
      <c r="I964" s="1">
        <v>73050</v>
      </c>
      <c r="J964" s="2" t="s">
        <v>8267</v>
      </c>
      <c r="K964" t="s">
        <v>5947</v>
      </c>
      <c r="M964" s="16" t="s">
        <v>8268</v>
      </c>
      <c r="N964" s="16" t="str">
        <f>VLOOKUP(M964,Tab_Zast[[Zastávka]:[Sloupec1]],2,0)</f>
        <v>06</v>
      </c>
      <c r="O964" t="s">
        <v>4058</v>
      </c>
      <c r="P964">
        <v>9</v>
      </c>
      <c r="Q964">
        <v>0</v>
      </c>
      <c r="R964" t="s">
        <v>31</v>
      </c>
      <c r="S964" t="s">
        <v>31</v>
      </c>
      <c r="T964" t="s">
        <v>32</v>
      </c>
      <c r="V964" s="1" t="e">
        <v>#N/A</v>
      </c>
      <c r="W964" t="s">
        <v>3091</v>
      </c>
      <c r="X964">
        <v>0</v>
      </c>
      <c r="Y964">
        <v>743</v>
      </c>
      <c r="AA964" t="str">
        <f t="shared" ref="AA964:AA1027" si="30">IF(J964&lt;&gt;"00","update zamestnanci set nastup='" &amp; J964 &amp; "' where id='" &amp; A964 &amp; "';","")</f>
        <v>update zamestnanci set nastup='06' where id='1353';</v>
      </c>
      <c r="AB964" t="str">
        <f t="shared" ref="AB964:AB1027" si="31">IF(J964&lt;&gt;"00","update dochazka set zastavka = '" &amp; J964 &amp; "' where zamestnanec = '" &amp; A964 &amp; "';","")</f>
        <v>update dochazka set zastavka = '06' where zamestnanec = '1353';</v>
      </c>
    </row>
    <row r="965" spans="1:28" x14ac:dyDescent="0.25">
      <c r="A965" s="2">
        <v>1354</v>
      </c>
      <c r="B965" t="s">
        <v>5948</v>
      </c>
      <c r="C965" t="s">
        <v>1394</v>
      </c>
      <c r="D965" t="s">
        <v>5949</v>
      </c>
      <c r="E965" t="s">
        <v>4305</v>
      </c>
      <c r="F965" t="s">
        <v>1394</v>
      </c>
      <c r="G965" s="1">
        <v>45601</v>
      </c>
      <c r="H965" s="1">
        <v>45684</v>
      </c>
      <c r="I965" s="1">
        <v>73050</v>
      </c>
      <c r="J965" s="2" t="s">
        <v>8267</v>
      </c>
      <c r="K965" t="s">
        <v>5950</v>
      </c>
      <c r="M965" s="16" t="s">
        <v>8268</v>
      </c>
      <c r="N965" s="16" t="str">
        <f>VLOOKUP(M965,Tab_Zast[[Zastávka]:[Sloupec1]],2,0)</f>
        <v>06</v>
      </c>
      <c r="O965" t="s">
        <v>5951</v>
      </c>
      <c r="P965">
        <v>9</v>
      </c>
      <c r="Q965">
        <v>0</v>
      </c>
      <c r="R965" t="s">
        <v>31</v>
      </c>
      <c r="S965" t="s">
        <v>31</v>
      </c>
      <c r="T965" t="s">
        <v>32</v>
      </c>
      <c r="V965" s="1" t="e">
        <v>#N/A</v>
      </c>
      <c r="W965" t="s">
        <v>3091</v>
      </c>
      <c r="X965">
        <v>0</v>
      </c>
      <c r="Y965">
        <v>744</v>
      </c>
      <c r="AA965" t="str">
        <f t="shared" si="30"/>
        <v>update zamestnanci set nastup='06' where id='1354';</v>
      </c>
      <c r="AB965" t="str">
        <f t="shared" si="31"/>
        <v>update dochazka set zastavka = '06' where zamestnanec = '1354';</v>
      </c>
    </row>
    <row r="966" spans="1:28" x14ac:dyDescent="0.25">
      <c r="A966" s="2">
        <v>1578</v>
      </c>
      <c r="B966" t="s">
        <v>6797</v>
      </c>
      <c r="C966" t="s">
        <v>569</v>
      </c>
      <c r="D966" t="s">
        <v>6798</v>
      </c>
      <c r="E966" t="s">
        <v>3122</v>
      </c>
      <c r="F966" t="s">
        <v>357</v>
      </c>
      <c r="G966" s="1">
        <v>45761</v>
      </c>
      <c r="H966" s="1">
        <v>45828</v>
      </c>
      <c r="I966" s="1">
        <v>73050</v>
      </c>
      <c r="J966" s="2" t="s">
        <v>8255</v>
      </c>
      <c r="K966" t="s">
        <v>6799</v>
      </c>
      <c r="M966" s="16" t="s">
        <v>8256</v>
      </c>
      <c r="N966" s="16" t="str">
        <f>VLOOKUP(M966,Tab_Zast[[Zastávka]:[Sloupec1]],2,0)</f>
        <v>02</v>
      </c>
      <c r="O966" t="s">
        <v>6800</v>
      </c>
      <c r="P966">
        <v>1</v>
      </c>
      <c r="Q966">
        <v>0</v>
      </c>
      <c r="R966" t="s">
        <v>31</v>
      </c>
      <c r="S966" t="s">
        <v>31</v>
      </c>
      <c r="T966" t="s">
        <v>32</v>
      </c>
      <c r="V966" s="1" t="e">
        <v>#N/A</v>
      </c>
      <c r="W966" t="s">
        <v>47</v>
      </c>
      <c r="X966">
        <v>0</v>
      </c>
      <c r="Y966">
        <v>971</v>
      </c>
      <c r="AA966" t="str">
        <f t="shared" si="30"/>
        <v>update zamestnanci set nastup='02' where id='1578';</v>
      </c>
      <c r="AB966" t="str">
        <f t="shared" si="31"/>
        <v>update dochazka set zastavka = '02' where zamestnanec = '1578';</v>
      </c>
    </row>
    <row r="967" spans="1:28" x14ac:dyDescent="0.25">
      <c r="A967" s="2">
        <v>1746</v>
      </c>
      <c r="B967" t="s">
        <v>7399</v>
      </c>
      <c r="C967" t="s">
        <v>357</v>
      </c>
      <c r="D967" t="s">
        <v>7400</v>
      </c>
      <c r="E967" t="s">
        <v>3223</v>
      </c>
      <c r="F967" t="s">
        <v>7401</v>
      </c>
      <c r="G967" s="1">
        <v>45853</v>
      </c>
      <c r="H967" s="1">
        <v>45856</v>
      </c>
      <c r="I967" s="1">
        <v>73050</v>
      </c>
      <c r="J967" s="2" t="s">
        <v>357</v>
      </c>
      <c r="K967" t="s">
        <v>7402</v>
      </c>
      <c r="M967" s="16" t="s">
        <v>8551</v>
      </c>
      <c r="N967" s="16" t="str">
        <f>VLOOKUP(M967,Tab_Zast[[Zastávka]:[Sloupec1]],2,0)</f>
        <v>00</v>
      </c>
      <c r="O967" t="s">
        <v>7403</v>
      </c>
      <c r="P967">
        <v>8</v>
      </c>
      <c r="Q967">
        <v>0</v>
      </c>
      <c r="R967" t="s">
        <v>31</v>
      </c>
      <c r="S967" t="s">
        <v>31</v>
      </c>
      <c r="T967" t="s">
        <v>32</v>
      </c>
      <c r="V967" s="1" t="e">
        <v>#N/A</v>
      </c>
      <c r="W967" t="s">
        <v>493</v>
      </c>
      <c r="X967">
        <v>0</v>
      </c>
      <c r="Y967">
        <v>1138</v>
      </c>
      <c r="AA967" t="str">
        <f t="shared" si="30"/>
        <v/>
      </c>
      <c r="AB967" t="str">
        <f t="shared" si="31"/>
        <v/>
      </c>
    </row>
    <row r="968" spans="1:28" x14ac:dyDescent="0.25">
      <c r="A968" s="2">
        <v>1759</v>
      </c>
      <c r="B968" t="s">
        <v>7455</v>
      </c>
      <c r="C968" t="s">
        <v>64</v>
      </c>
      <c r="D968" t="s">
        <v>7456</v>
      </c>
      <c r="E968" t="s">
        <v>2613</v>
      </c>
      <c r="F968" t="s">
        <v>7457</v>
      </c>
      <c r="G968" s="1">
        <v>45861</v>
      </c>
      <c r="H968" s="1">
        <v>45868</v>
      </c>
      <c r="I968" s="1">
        <v>73050</v>
      </c>
      <c r="J968" s="2" t="s">
        <v>2410</v>
      </c>
      <c r="K968" t="s">
        <v>7458</v>
      </c>
      <c r="M968" s="16" t="s">
        <v>8539</v>
      </c>
      <c r="N968" s="16" t="str">
        <f>VLOOKUP(M968,Tab_Zast[[Zastávka]:[Sloupec1]],2,0)</f>
        <v>104</v>
      </c>
      <c r="O968" t="s">
        <v>7459</v>
      </c>
      <c r="P968">
        <v>10</v>
      </c>
      <c r="Q968">
        <v>0</v>
      </c>
      <c r="R968" t="s">
        <v>31</v>
      </c>
      <c r="S968" t="s">
        <v>31</v>
      </c>
      <c r="T968" t="s">
        <v>32</v>
      </c>
      <c r="V968" s="1" t="e">
        <v>#N/A</v>
      </c>
      <c r="X968">
        <v>0</v>
      </c>
      <c r="Y968">
        <v>1150</v>
      </c>
      <c r="AA968" t="str">
        <f t="shared" si="30"/>
        <v>update zamestnanci set nastup='104' where id='1759';</v>
      </c>
      <c r="AB968" t="str">
        <f t="shared" si="31"/>
        <v>update dochazka set zastavka = '104' where zamestnanec = '1759';</v>
      </c>
    </row>
    <row r="969" spans="1:28" x14ac:dyDescent="0.25">
      <c r="A969" s="2">
        <v>1762</v>
      </c>
      <c r="B969" t="s">
        <v>7468</v>
      </c>
      <c r="C969" t="s">
        <v>64</v>
      </c>
      <c r="D969" t="s">
        <v>7456</v>
      </c>
      <c r="E969" t="s">
        <v>1968</v>
      </c>
      <c r="F969" t="s">
        <v>7469</v>
      </c>
      <c r="G969" s="1">
        <v>45867</v>
      </c>
      <c r="H969" s="1">
        <v>45867</v>
      </c>
      <c r="I969" s="1">
        <v>45867</v>
      </c>
      <c r="J969" s="2" t="s">
        <v>2410</v>
      </c>
      <c r="K969" t="s">
        <v>7470</v>
      </c>
      <c r="M969" s="16" t="s">
        <v>8539</v>
      </c>
      <c r="N969" s="16" t="str">
        <f>VLOOKUP(M969,Tab_Zast[[Zastávka]:[Sloupec1]],2,0)</f>
        <v>104</v>
      </c>
      <c r="O969" t="s">
        <v>7471</v>
      </c>
      <c r="P969">
        <v>10</v>
      </c>
      <c r="Q969">
        <v>0</v>
      </c>
      <c r="R969" t="s">
        <v>31</v>
      </c>
      <c r="S969" t="s">
        <v>31</v>
      </c>
      <c r="T969" t="s">
        <v>32</v>
      </c>
      <c r="V969" s="1" t="e">
        <v>#N/A</v>
      </c>
      <c r="X969">
        <v>0</v>
      </c>
      <c r="Y969">
        <v>1155</v>
      </c>
      <c r="AA969" t="str">
        <f t="shared" si="30"/>
        <v>update zamestnanci set nastup='104' where id='1762';</v>
      </c>
      <c r="AB969" t="str">
        <f t="shared" si="31"/>
        <v>update dochazka set zastavka = '104' where zamestnanec = '1762';</v>
      </c>
    </row>
    <row r="970" spans="1:28" x14ac:dyDescent="0.25">
      <c r="A970" s="2">
        <v>1765</v>
      </c>
      <c r="B970" t="s">
        <v>7480</v>
      </c>
      <c r="C970" t="s">
        <v>64</v>
      </c>
      <c r="D970" t="s">
        <v>1085</v>
      </c>
      <c r="E970" t="s">
        <v>1402</v>
      </c>
      <c r="F970" t="s">
        <v>7481</v>
      </c>
      <c r="G970" s="1">
        <v>45867</v>
      </c>
      <c r="H970" s="1">
        <v>45869</v>
      </c>
      <c r="I970" s="1">
        <v>73050</v>
      </c>
      <c r="J970" s="2" t="s">
        <v>2410</v>
      </c>
      <c r="K970" t="s">
        <v>7482</v>
      </c>
      <c r="M970" s="16" t="s">
        <v>8539</v>
      </c>
      <c r="N970" s="16" t="str">
        <f>VLOOKUP(M970,Tab_Zast[[Zastávka]:[Sloupec1]],2,0)</f>
        <v>104</v>
      </c>
      <c r="O970" t="s">
        <v>7483</v>
      </c>
      <c r="P970">
        <v>10</v>
      </c>
      <c r="Q970">
        <v>0</v>
      </c>
      <c r="R970" t="s">
        <v>31</v>
      </c>
      <c r="S970" t="s">
        <v>31</v>
      </c>
      <c r="T970" t="s">
        <v>32</v>
      </c>
      <c r="V970" s="1" t="e">
        <v>#N/A</v>
      </c>
      <c r="W970" t="s">
        <v>7412</v>
      </c>
      <c r="X970">
        <v>0</v>
      </c>
      <c r="Y970">
        <v>1158</v>
      </c>
      <c r="AA970" t="str">
        <f t="shared" si="30"/>
        <v>update zamestnanci set nastup='104' where id='1765';</v>
      </c>
      <c r="AB970" t="str">
        <f t="shared" si="31"/>
        <v>update dochazka set zastavka = '104' where zamestnanec = '1765';</v>
      </c>
    </row>
    <row r="971" spans="1:28" x14ac:dyDescent="0.25">
      <c r="A971" s="2">
        <v>1766</v>
      </c>
      <c r="B971" t="s">
        <v>7484</v>
      </c>
      <c r="C971" t="s">
        <v>64</v>
      </c>
      <c r="D971" t="s">
        <v>7485</v>
      </c>
      <c r="E971" t="s">
        <v>643</v>
      </c>
      <c r="F971" t="s">
        <v>569</v>
      </c>
      <c r="G971" s="1">
        <v>45867</v>
      </c>
      <c r="H971" s="1">
        <v>45869</v>
      </c>
      <c r="I971" s="1">
        <v>73050</v>
      </c>
      <c r="J971" s="2" t="s">
        <v>2410</v>
      </c>
      <c r="K971" t="s">
        <v>7486</v>
      </c>
      <c r="M971" s="16" t="s">
        <v>8539</v>
      </c>
      <c r="N971" s="16" t="str">
        <f>VLOOKUP(M971,Tab_Zast[[Zastávka]:[Sloupec1]],2,0)</f>
        <v>104</v>
      </c>
      <c r="O971" t="s">
        <v>7483</v>
      </c>
      <c r="P971">
        <v>10</v>
      </c>
      <c r="Q971">
        <v>0</v>
      </c>
      <c r="R971" t="s">
        <v>31</v>
      </c>
      <c r="S971" t="s">
        <v>31</v>
      </c>
      <c r="T971" t="s">
        <v>32</v>
      </c>
      <c r="V971" s="1" t="e">
        <v>#N/A</v>
      </c>
      <c r="W971" t="s">
        <v>7412</v>
      </c>
      <c r="X971">
        <v>0</v>
      </c>
      <c r="Y971">
        <v>1159</v>
      </c>
      <c r="AA971" t="str">
        <f t="shared" si="30"/>
        <v>update zamestnanci set nastup='104' where id='1766';</v>
      </c>
      <c r="AB971" t="str">
        <f t="shared" si="31"/>
        <v>update dochazka set zastavka = '104' where zamestnanec = '1766';</v>
      </c>
    </row>
    <row r="972" spans="1:28" x14ac:dyDescent="0.25">
      <c r="A972" s="2">
        <v>1769</v>
      </c>
      <c r="B972" t="s">
        <v>7497</v>
      </c>
      <c r="C972" t="s">
        <v>64</v>
      </c>
      <c r="D972" t="s">
        <v>5317</v>
      </c>
      <c r="E972" t="s">
        <v>2613</v>
      </c>
      <c r="F972" t="s">
        <v>64</v>
      </c>
      <c r="G972" s="1">
        <v>45870</v>
      </c>
      <c r="H972" s="1">
        <v>45870</v>
      </c>
      <c r="I972" s="1">
        <v>45870</v>
      </c>
      <c r="J972" s="2" t="s">
        <v>2410</v>
      </c>
      <c r="K972" t="s">
        <v>7498</v>
      </c>
      <c r="M972" s="16" t="s">
        <v>8539</v>
      </c>
      <c r="N972" s="16" t="str">
        <f>VLOOKUP(M972,Tab_Zast[[Zastávka]:[Sloupec1]],2,0)</f>
        <v>104</v>
      </c>
      <c r="O972" t="s">
        <v>7499</v>
      </c>
      <c r="P972">
        <v>10</v>
      </c>
      <c r="Q972">
        <v>0</v>
      </c>
      <c r="R972" t="s">
        <v>31</v>
      </c>
      <c r="S972" t="s">
        <v>31</v>
      </c>
      <c r="T972" t="s">
        <v>32</v>
      </c>
      <c r="V972" s="1" t="e">
        <v>#N/A</v>
      </c>
      <c r="X972">
        <v>0</v>
      </c>
      <c r="Y972">
        <v>1162</v>
      </c>
      <c r="AA972" t="str">
        <f t="shared" si="30"/>
        <v>update zamestnanci set nastup='104' where id='1769';</v>
      </c>
      <c r="AB972" t="str">
        <f t="shared" si="31"/>
        <v>update dochazka set zastavka = '104' where zamestnanec = '1769';</v>
      </c>
    </row>
    <row r="973" spans="1:28" x14ac:dyDescent="0.25">
      <c r="A973" s="2">
        <v>1776</v>
      </c>
      <c r="B973" t="s">
        <v>7523</v>
      </c>
      <c r="C973" t="s">
        <v>569</v>
      </c>
      <c r="D973" t="s">
        <v>7524</v>
      </c>
      <c r="E973" t="s">
        <v>4593</v>
      </c>
      <c r="F973" t="s">
        <v>569</v>
      </c>
      <c r="G973" s="1">
        <v>45875</v>
      </c>
      <c r="H973" s="1">
        <v>45875</v>
      </c>
      <c r="I973" s="1">
        <v>73050</v>
      </c>
      <c r="J973" s="2" t="s">
        <v>2410</v>
      </c>
      <c r="K973" t="s">
        <v>7525</v>
      </c>
      <c r="M973" s="16" t="s">
        <v>8539</v>
      </c>
      <c r="N973" s="16" t="str">
        <f>VLOOKUP(M973,Tab_Zast[[Zastávka]:[Sloupec1]],2,0)</f>
        <v>104</v>
      </c>
      <c r="O973" t="s">
        <v>7526</v>
      </c>
      <c r="P973">
        <v>10</v>
      </c>
      <c r="Q973">
        <v>0</v>
      </c>
      <c r="R973" t="s">
        <v>31</v>
      </c>
      <c r="S973" t="s">
        <v>31</v>
      </c>
      <c r="T973" t="s">
        <v>32</v>
      </c>
      <c r="V973" s="1" t="e">
        <v>#N/A</v>
      </c>
      <c r="W973" t="s">
        <v>7412</v>
      </c>
      <c r="X973">
        <v>0</v>
      </c>
      <c r="Y973">
        <v>1170</v>
      </c>
      <c r="AA973" t="str">
        <f t="shared" si="30"/>
        <v>update zamestnanci set nastup='104' where id='1776';</v>
      </c>
      <c r="AB973" t="str">
        <f t="shared" si="31"/>
        <v>update dochazka set zastavka = '104' where zamestnanec = '1776';</v>
      </c>
    </row>
    <row r="974" spans="1:28" x14ac:dyDescent="0.25">
      <c r="A974" s="2">
        <v>1783</v>
      </c>
      <c r="B974" t="s">
        <v>7545</v>
      </c>
      <c r="C974" t="s">
        <v>357</v>
      </c>
      <c r="D974" t="s">
        <v>397</v>
      </c>
      <c r="E974" t="s">
        <v>2883</v>
      </c>
      <c r="F974" t="s">
        <v>357</v>
      </c>
      <c r="G974" s="1">
        <v>45882</v>
      </c>
      <c r="H974" s="1">
        <v>45895</v>
      </c>
      <c r="I974" s="1">
        <v>73050</v>
      </c>
      <c r="J974" s="2" t="s">
        <v>2410</v>
      </c>
      <c r="K974" t="s">
        <v>7546</v>
      </c>
      <c r="M974" s="16" t="s">
        <v>8539</v>
      </c>
      <c r="N974" s="16" t="str">
        <f>VLOOKUP(M974,Tab_Zast[[Zastávka]:[Sloupec1]],2,0)</f>
        <v>104</v>
      </c>
      <c r="O974" t="s">
        <v>7547</v>
      </c>
      <c r="P974">
        <v>10</v>
      </c>
      <c r="Q974">
        <v>0</v>
      </c>
      <c r="R974" t="s">
        <v>31</v>
      </c>
      <c r="S974" t="s">
        <v>31</v>
      </c>
      <c r="T974" t="s">
        <v>32</v>
      </c>
      <c r="V974" s="1" t="e">
        <v>#N/A</v>
      </c>
      <c r="W974" t="s">
        <v>7412</v>
      </c>
      <c r="X974">
        <v>0</v>
      </c>
      <c r="Y974">
        <v>1176</v>
      </c>
      <c r="AA974" t="str">
        <f t="shared" si="30"/>
        <v>update zamestnanci set nastup='104' where id='1783';</v>
      </c>
      <c r="AB974" t="str">
        <f t="shared" si="31"/>
        <v>update dochazka set zastavka = '104' where zamestnanec = '1783';</v>
      </c>
    </row>
    <row r="975" spans="1:28" x14ac:dyDescent="0.25">
      <c r="A975" s="2">
        <v>1784</v>
      </c>
      <c r="B975" t="s">
        <v>7548</v>
      </c>
      <c r="C975" t="s">
        <v>357</v>
      </c>
      <c r="D975" t="s">
        <v>7549</v>
      </c>
      <c r="E975" t="s">
        <v>4016</v>
      </c>
      <c r="F975" t="s">
        <v>357</v>
      </c>
      <c r="G975" s="1">
        <v>45882</v>
      </c>
      <c r="H975" s="1">
        <v>45889</v>
      </c>
      <c r="I975" s="1">
        <v>73050</v>
      </c>
      <c r="J975" s="2" t="s">
        <v>2410</v>
      </c>
      <c r="K975" t="s">
        <v>7550</v>
      </c>
      <c r="M975" s="16" t="s">
        <v>8539</v>
      </c>
      <c r="N975" s="16" t="str">
        <f>VLOOKUP(M975,Tab_Zast[[Zastávka]:[Sloupec1]],2,0)</f>
        <v>104</v>
      </c>
      <c r="O975" t="s">
        <v>7551</v>
      </c>
      <c r="P975">
        <v>10</v>
      </c>
      <c r="Q975">
        <v>0</v>
      </c>
      <c r="R975" t="s">
        <v>31</v>
      </c>
      <c r="S975" t="s">
        <v>31</v>
      </c>
      <c r="T975" t="s">
        <v>32</v>
      </c>
      <c r="V975" s="1" t="e">
        <v>#N/A</v>
      </c>
      <c r="W975" t="s">
        <v>7412</v>
      </c>
      <c r="X975">
        <v>0</v>
      </c>
      <c r="Y975">
        <v>1177</v>
      </c>
      <c r="AA975" t="str">
        <f t="shared" si="30"/>
        <v>update zamestnanci set nastup='104' where id='1784';</v>
      </c>
      <c r="AB975" t="str">
        <f t="shared" si="31"/>
        <v>update dochazka set zastavka = '104' where zamestnanec = '1784';</v>
      </c>
    </row>
    <row r="976" spans="1:28" x14ac:dyDescent="0.25">
      <c r="A976" s="2">
        <v>1905</v>
      </c>
      <c r="B976" t="s">
        <v>8024</v>
      </c>
      <c r="C976" t="s">
        <v>569</v>
      </c>
      <c r="D976" t="s">
        <v>8025</v>
      </c>
      <c r="E976" t="s">
        <v>643</v>
      </c>
      <c r="F976" t="s">
        <v>357</v>
      </c>
      <c r="G976" s="1">
        <v>45971</v>
      </c>
      <c r="H976" s="1">
        <v>45971</v>
      </c>
      <c r="I976" s="1" t="e">
        <v>#N/A</v>
      </c>
      <c r="J976" s="2" t="s">
        <v>357</v>
      </c>
      <c r="K976" t="s">
        <v>8026</v>
      </c>
      <c r="M976" s="16" t="s">
        <v>8551</v>
      </c>
      <c r="N976" s="16" t="str">
        <f>VLOOKUP(M976,Tab_Zast[[Zastávka]:[Sloupec1]],2,0)</f>
        <v>00</v>
      </c>
      <c r="O976" t="s">
        <v>8027</v>
      </c>
      <c r="P976">
        <v>8</v>
      </c>
      <c r="Q976">
        <v>0</v>
      </c>
      <c r="R976" t="s">
        <v>31</v>
      </c>
      <c r="S976" t="s">
        <v>31</v>
      </c>
      <c r="T976" t="s">
        <v>32</v>
      </c>
      <c r="V976" s="1" t="e">
        <v>#N/A</v>
      </c>
      <c r="W976" t="s">
        <v>493</v>
      </c>
      <c r="X976">
        <v>0</v>
      </c>
      <c r="Y976">
        <v>1311</v>
      </c>
      <c r="AA976" t="str">
        <f t="shared" si="30"/>
        <v/>
      </c>
      <c r="AB976" t="str">
        <f t="shared" si="31"/>
        <v/>
      </c>
    </row>
    <row r="977" spans="1:28" x14ac:dyDescent="0.25">
      <c r="A977" s="2">
        <v>187</v>
      </c>
      <c r="B977" t="s">
        <v>1147</v>
      </c>
      <c r="C977" t="s">
        <v>1148</v>
      </c>
      <c r="D977" t="s">
        <v>1149</v>
      </c>
      <c r="E977" t="s">
        <v>1150</v>
      </c>
      <c r="F977" t="s">
        <v>1151</v>
      </c>
      <c r="G977" s="1">
        <v>44424</v>
      </c>
      <c r="H977" s="1">
        <v>73050</v>
      </c>
      <c r="I977" s="1" t="e">
        <v>#N/A</v>
      </c>
      <c r="J977" s="2" t="s">
        <v>8353</v>
      </c>
      <c r="K977" t="s">
        <v>1152</v>
      </c>
      <c r="M977" s="16" t="s">
        <v>8354</v>
      </c>
      <c r="N977" s="16" t="str">
        <f>VLOOKUP(M977,Tab_Zast[[Zastávka]:[Sloupec1]],2,0)</f>
        <v>38</v>
      </c>
      <c r="O977" t="s">
        <v>1153</v>
      </c>
      <c r="P977">
        <v>6</v>
      </c>
      <c r="Q977">
        <v>0</v>
      </c>
      <c r="R977" t="s">
        <v>129</v>
      </c>
      <c r="S977" t="s">
        <v>31</v>
      </c>
      <c r="T977" t="s">
        <v>32</v>
      </c>
      <c r="V977" s="1" t="e">
        <v>#N/A</v>
      </c>
      <c r="W977" t="s">
        <v>1022</v>
      </c>
      <c r="X977">
        <v>1</v>
      </c>
      <c r="Y977">
        <v>0</v>
      </c>
      <c r="AA977" t="str">
        <f t="shared" si="30"/>
        <v>update zamestnanci set nastup='38' where id='187';</v>
      </c>
      <c r="AB977" t="str">
        <f t="shared" si="31"/>
        <v>update dochazka set zastavka = '38' where zamestnanec = '187';</v>
      </c>
    </row>
    <row r="978" spans="1:28" x14ac:dyDescent="0.25">
      <c r="A978" s="2">
        <v>577</v>
      </c>
      <c r="B978" t="s">
        <v>2423</v>
      </c>
      <c r="D978" t="s">
        <v>2424</v>
      </c>
      <c r="E978" t="s">
        <v>2425</v>
      </c>
      <c r="F978" t="s">
        <v>2426</v>
      </c>
      <c r="G978" s="1">
        <v>45119</v>
      </c>
      <c r="H978" s="1">
        <v>45260</v>
      </c>
      <c r="I978" s="1">
        <v>73050</v>
      </c>
      <c r="J978" s="2" t="s">
        <v>647</v>
      </c>
      <c r="K978" t="s">
        <v>2427</v>
      </c>
      <c r="M978" s="16" t="s">
        <v>8459</v>
      </c>
      <c r="N978" s="16" t="str">
        <f>VLOOKUP(M978,Tab_Zast[[Zastávka]:[Sloupec1]],2,0)</f>
        <v>78</v>
      </c>
      <c r="O978" t="s">
        <v>2428</v>
      </c>
      <c r="P978">
        <v>3</v>
      </c>
      <c r="Q978">
        <v>0</v>
      </c>
      <c r="R978" t="s">
        <v>31</v>
      </c>
      <c r="S978" t="s">
        <v>31</v>
      </c>
      <c r="T978" t="s">
        <v>32</v>
      </c>
      <c r="V978" s="1" t="e">
        <v>#N/A</v>
      </c>
      <c r="W978" t="s">
        <v>493</v>
      </c>
      <c r="X978">
        <v>0</v>
      </c>
      <c r="Y978">
        <v>0</v>
      </c>
      <c r="Z978" t="s">
        <v>40</v>
      </c>
      <c r="AA978" t="str">
        <f t="shared" si="30"/>
        <v>update zamestnanci set nastup='78' where id='577';</v>
      </c>
      <c r="AB978" t="str">
        <f t="shared" si="31"/>
        <v>update dochazka set zastavka = '78' where zamestnanec = '577';</v>
      </c>
    </row>
    <row r="979" spans="1:28" x14ac:dyDescent="0.25">
      <c r="A979" s="2">
        <v>788</v>
      </c>
      <c r="B979" t="s">
        <v>3526</v>
      </c>
      <c r="C979" t="s">
        <v>64</v>
      </c>
      <c r="D979" t="s">
        <v>3527</v>
      </c>
      <c r="E979" t="s">
        <v>2960</v>
      </c>
      <c r="F979" t="s">
        <v>3528</v>
      </c>
      <c r="G979" s="1">
        <v>45446</v>
      </c>
      <c r="H979" s="1">
        <v>45532</v>
      </c>
      <c r="I979" s="1">
        <v>73050</v>
      </c>
      <c r="J979" s="2" t="s">
        <v>647</v>
      </c>
      <c r="K979" t="s">
        <v>3529</v>
      </c>
      <c r="M979" s="16" t="s">
        <v>8459</v>
      </c>
      <c r="N979" s="16" t="str">
        <f>VLOOKUP(M979,Tab_Zast[[Zastávka]:[Sloupec1]],2,0)</f>
        <v>78</v>
      </c>
      <c r="O979" t="s">
        <v>3530</v>
      </c>
      <c r="P979">
        <v>3</v>
      </c>
      <c r="Q979">
        <v>0</v>
      </c>
      <c r="R979" t="s">
        <v>31</v>
      </c>
      <c r="S979" t="s">
        <v>31</v>
      </c>
      <c r="T979" t="s">
        <v>32</v>
      </c>
      <c r="V979" s="1" t="e">
        <v>#N/A</v>
      </c>
      <c r="W979" t="s">
        <v>493</v>
      </c>
      <c r="X979">
        <v>0</v>
      </c>
      <c r="Y979">
        <v>0</v>
      </c>
      <c r="Z979" t="s">
        <v>54</v>
      </c>
      <c r="AA979" t="str">
        <f t="shared" si="30"/>
        <v>update zamestnanci set nastup='78' where id='788';</v>
      </c>
      <c r="AB979" t="str">
        <f t="shared" si="31"/>
        <v>update dochazka set zastavka = '78' where zamestnanec = '788';</v>
      </c>
    </row>
    <row r="980" spans="1:28" x14ac:dyDescent="0.25">
      <c r="A980" s="2">
        <v>810</v>
      </c>
      <c r="B980" t="s">
        <v>3636</v>
      </c>
      <c r="D980" t="s">
        <v>3637</v>
      </c>
      <c r="E980" t="s">
        <v>3638</v>
      </c>
      <c r="F980" t="s">
        <v>3639</v>
      </c>
      <c r="G980" s="1">
        <v>45343</v>
      </c>
      <c r="H980" s="1">
        <v>45348</v>
      </c>
      <c r="I980" s="1">
        <v>73050</v>
      </c>
      <c r="J980" s="2" t="s">
        <v>8353</v>
      </c>
      <c r="K980" t="s">
        <v>3640</v>
      </c>
      <c r="M980" s="16" t="s">
        <v>8354</v>
      </c>
      <c r="N980" s="16" t="str">
        <f>VLOOKUP(M980,Tab_Zast[[Zastávka]:[Sloupec1]],2,0)</f>
        <v>38</v>
      </c>
      <c r="O980" t="s">
        <v>3641</v>
      </c>
      <c r="P980">
        <v>6</v>
      </c>
      <c r="Q980">
        <v>0</v>
      </c>
      <c r="R980" t="s">
        <v>31</v>
      </c>
      <c r="S980" t="s">
        <v>31</v>
      </c>
      <c r="T980" t="s">
        <v>32</v>
      </c>
      <c r="V980" s="1" t="e">
        <v>#N/A</v>
      </c>
      <c r="W980" t="s">
        <v>1216</v>
      </c>
      <c r="X980">
        <v>0</v>
      </c>
      <c r="Y980">
        <v>0</v>
      </c>
      <c r="Z980" t="s">
        <v>54</v>
      </c>
      <c r="AA980" t="str">
        <f t="shared" si="30"/>
        <v>update zamestnanci set nastup='38' where id='810';</v>
      </c>
      <c r="AB980" t="str">
        <f t="shared" si="31"/>
        <v>update dochazka set zastavka = '38' where zamestnanec = '810';</v>
      </c>
    </row>
    <row r="981" spans="1:28" x14ac:dyDescent="0.25">
      <c r="A981" s="2">
        <v>811</v>
      </c>
      <c r="B981" t="s">
        <v>3642</v>
      </c>
      <c r="D981" t="s">
        <v>3643</v>
      </c>
      <c r="E981" t="s">
        <v>2973</v>
      </c>
      <c r="F981" t="s">
        <v>3644</v>
      </c>
      <c r="G981" s="1">
        <v>45343</v>
      </c>
      <c r="H981" s="1">
        <v>45348</v>
      </c>
      <c r="I981" s="1">
        <v>73050</v>
      </c>
      <c r="J981" s="2" t="s">
        <v>8353</v>
      </c>
      <c r="K981" t="s">
        <v>3645</v>
      </c>
      <c r="M981" s="16" t="s">
        <v>8354</v>
      </c>
      <c r="N981" s="16" t="str">
        <f>VLOOKUP(M981,Tab_Zast[[Zastávka]:[Sloupec1]],2,0)</f>
        <v>38</v>
      </c>
      <c r="O981" t="s">
        <v>3542</v>
      </c>
      <c r="P981">
        <v>6</v>
      </c>
      <c r="Q981">
        <v>0</v>
      </c>
      <c r="R981" t="s">
        <v>31</v>
      </c>
      <c r="S981" t="s">
        <v>31</v>
      </c>
      <c r="T981" t="s">
        <v>32</v>
      </c>
      <c r="V981" s="1" t="e">
        <v>#N/A</v>
      </c>
      <c r="W981" t="s">
        <v>1216</v>
      </c>
      <c r="X981">
        <v>0</v>
      </c>
      <c r="Y981">
        <v>0</v>
      </c>
      <c r="Z981" t="s">
        <v>54</v>
      </c>
      <c r="AA981" t="str">
        <f t="shared" si="30"/>
        <v>update zamestnanci set nastup='38' where id='811';</v>
      </c>
      <c r="AB981" t="str">
        <f t="shared" si="31"/>
        <v>update dochazka set zastavka = '38' where zamestnanec = '811';</v>
      </c>
    </row>
    <row r="982" spans="1:28" x14ac:dyDescent="0.25">
      <c r="A982" s="2">
        <v>813</v>
      </c>
      <c r="B982" t="s">
        <v>3651</v>
      </c>
      <c r="D982" t="s">
        <v>3538</v>
      </c>
      <c r="E982" t="s">
        <v>3652</v>
      </c>
      <c r="F982" t="s">
        <v>3653</v>
      </c>
      <c r="G982" s="1">
        <v>45343</v>
      </c>
      <c r="H982" s="1">
        <v>45358</v>
      </c>
      <c r="I982" s="1">
        <v>73050</v>
      </c>
      <c r="J982" s="2" t="s">
        <v>8353</v>
      </c>
      <c r="K982" t="s">
        <v>3654</v>
      </c>
      <c r="M982" s="16" t="s">
        <v>8354</v>
      </c>
      <c r="N982" s="16" t="str">
        <f>VLOOKUP(M982,Tab_Zast[[Zastávka]:[Sloupec1]],2,0)</f>
        <v>38</v>
      </c>
      <c r="O982" t="s">
        <v>3542</v>
      </c>
      <c r="P982">
        <v>6</v>
      </c>
      <c r="Q982">
        <v>0</v>
      </c>
      <c r="R982" t="s">
        <v>31</v>
      </c>
      <c r="S982" t="s">
        <v>31</v>
      </c>
      <c r="T982" t="s">
        <v>32</v>
      </c>
      <c r="V982" s="1" t="e">
        <v>#N/A</v>
      </c>
      <c r="W982" t="s">
        <v>1216</v>
      </c>
      <c r="X982">
        <v>0</v>
      </c>
      <c r="Y982">
        <v>0</v>
      </c>
      <c r="Z982" t="s">
        <v>54</v>
      </c>
      <c r="AA982" t="str">
        <f t="shared" si="30"/>
        <v>update zamestnanci set nastup='38' where id='813';</v>
      </c>
      <c r="AB982" t="str">
        <f t="shared" si="31"/>
        <v>update dochazka set zastavka = '38' where zamestnanec = '813';</v>
      </c>
    </row>
    <row r="983" spans="1:28" x14ac:dyDescent="0.25">
      <c r="A983" s="2">
        <v>860</v>
      </c>
      <c r="B983" t="s">
        <v>3878</v>
      </c>
      <c r="D983" t="s">
        <v>1192</v>
      </c>
      <c r="E983" t="s">
        <v>1193</v>
      </c>
      <c r="F983" t="s">
        <v>3879</v>
      </c>
      <c r="G983" s="1">
        <v>45369</v>
      </c>
      <c r="H983" s="1">
        <v>45405</v>
      </c>
      <c r="I983" s="1">
        <v>73050</v>
      </c>
      <c r="J983" s="2" t="s">
        <v>647</v>
      </c>
      <c r="K983" t="s">
        <v>3880</v>
      </c>
      <c r="M983" s="16" t="s">
        <v>8459</v>
      </c>
      <c r="N983" s="16" t="str">
        <f>VLOOKUP(M983,Tab_Zast[[Zastávka]:[Sloupec1]],2,0)</f>
        <v>78</v>
      </c>
      <c r="O983" t="s">
        <v>3881</v>
      </c>
      <c r="P983">
        <v>3</v>
      </c>
      <c r="Q983">
        <v>0</v>
      </c>
      <c r="R983" t="s">
        <v>31</v>
      </c>
      <c r="S983" t="s">
        <v>31</v>
      </c>
      <c r="T983" t="s">
        <v>32</v>
      </c>
      <c r="V983" s="1" t="e">
        <v>#N/A</v>
      </c>
      <c r="W983" t="s">
        <v>493</v>
      </c>
      <c r="X983">
        <v>0</v>
      </c>
      <c r="Y983">
        <v>181</v>
      </c>
      <c r="Z983" t="s">
        <v>54</v>
      </c>
      <c r="AA983" t="str">
        <f t="shared" si="30"/>
        <v>update zamestnanci set nastup='78' where id='860';</v>
      </c>
      <c r="AB983" t="str">
        <f t="shared" si="31"/>
        <v>update dochazka set zastavka = '78' where zamestnanec = '860';</v>
      </c>
    </row>
    <row r="984" spans="1:28" x14ac:dyDescent="0.25">
      <c r="A984" s="2">
        <v>869</v>
      </c>
      <c r="B984" t="s">
        <v>3919</v>
      </c>
      <c r="D984" t="s">
        <v>3920</v>
      </c>
      <c r="E984" t="s">
        <v>3921</v>
      </c>
      <c r="F984" t="s">
        <v>67</v>
      </c>
      <c r="G984" s="1">
        <v>45376</v>
      </c>
      <c r="H984" s="1">
        <v>45376</v>
      </c>
      <c r="I984" s="1">
        <v>45376</v>
      </c>
      <c r="J984" s="2" t="s">
        <v>8353</v>
      </c>
      <c r="K984" t="s">
        <v>3922</v>
      </c>
      <c r="M984" s="16" t="s">
        <v>8354</v>
      </c>
      <c r="N984" s="16" t="str">
        <f>VLOOKUP(M984,Tab_Zast[[Zastávka]:[Sloupec1]],2,0)</f>
        <v>38</v>
      </c>
      <c r="O984" t="s">
        <v>3923</v>
      </c>
      <c r="P984">
        <v>6</v>
      </c>
      <c r="Q984">
        <v>0</v>
      </c>
      <c r="R984" t="s">
        <v>31</v>
      </c>
      <c r="S984" t="s">
        <v>31</v>
      </c>
      <c r="T984" t="s">
        <v>32</v>
      </c>
      <c r="V984" s="1" t="e">
        <v>#N/A</v>
      </c>
      <c r="W984" t="s">
        <v>1216</v>
      </c>
      <c r="X984">
        <v>0</v>
      </c>
      <c r="Y984">
        <v>215</v>
      </c>
      <c r="Z984" t="s">
        <v>54</v>
      </c>
      <c r="AA984" t="str">
        <f t="shared" si="30"/>
        <v>update zamestnanci set nastup='38' where id='869';</v>
      </c>
      <c r="AB984" t="str">
        <f t="shared" si="31"/>
        <v>update dochazka set zastavka = '38' where zamestnanec = '869';</v>
      </c>
    </row>
    <row r="985" spans="1:28" x14ac:dyDescent="0.25">
      <c r="A985" s="2">
        <v>891</v>
      </c>
      <c r="B985" t="s">
        <v>4023</v>
      </c>
      <c r="D985" t="s">
        <v>4024</v>
      </c>
      <c r="E985" t="s">
        <v>701</v>
      </c>
      <c r="F985" t="s">
        <v>4025</v>
      </c>
      <c r="G985" s="1">
        <v>45390</v>
      </c>
      <c r="H985" s="1">
        <v>45405</v>
      </c>
      <c r="I985" s="1">
        <v>73050</v>
      </c>
      <c r="J985" s="2" t="s">
        <v>647</v>
      </c>
      <c r="K985" t="s">
        <v>4026</v>
      </c>
      <c r="M985" s="16" t="s">
        <v>8459</v>
      </c>
      <c r="N985" s="16" t="str">
        <f>VLOOKUP(M985,Tab_Zast[[Zastávka]:[Sloupec1]],2,0)</f>
        <v>78</v>
      </c>
      <c r="O985" t="s">
        <v>4027</v>
      </c>
      <c r="P985">
        <v>3</v>
      </c>
      <c r="Q985">
        <v>0</v>
      </c>
      <c r="R985" t="s">
        <v>31</v>
      </c>
      <c r="S985" t="s">
        <v>31</v>
      </c>
      <c r="T985" t="s">
        <v>32</v>
      </c>
      <c r="V985" s="1" t="e">
        <v>#N/A</v>
      </c>
      <c r="W985" t="s">
        <v>493</v>
      </c>
      <c r="X985">
        <v>0</v>
      </c>
      <c r="Y985">
        <v>241</v>
      </c>
      <c r="Z985" t="s">
        <v>54</v>
      </c>
      <c r="AA985" t="str">
        <f t="shared" si="30"/>
        <v>update zamestnanci set nastup='78' where id='891';</v>
      </c>
      <c r="AB985" t="str">
        <f t="shared" si="31"/>
        <v>update dochazka set zastavka = '78' where zamestnanec = '891';</v>
      </c>
    </row>
    <row r="986" spans="1:28" x14ac:dyDescent="0.25">
      <c r="A986" s="2">
        <v>929</v>
      </c>
      <c r="B986" t="s">
        <v>4198</v>
      </c>
      <c r="D986" t="s">
        <v>1724</v>
      </c>
      <c r="E986" t="s">
        <v>3373</v>
      </c>
      <c r="F986" t="s">
        <v>67</v>
      </c>
      <c r="G986" s="1">
        <v>45411</v>
      </c>
      <c r="H986" s="1">
        <v>45405</v>
      </c>
      <c r="I986" s="1">
        <v>45411</v>
      </c>
      <c r="J986" s="2" t="s">
        <v>8353</v>
      </c>
      <c r="K986" t="s">
        <v>4199</v>
      </c>
      <c r="M986" s="16" t="s">
        <v>8354</v>
      </c>
      <c r="N986" s="16" t="str">
        <f>VLOOKUP(M986,Tab_Zast[[Zastávka]:[Sloupec1]],2,0)</f>
        <v>38</v>
      </c>
      <c r="O986" t="s">
        <v>4200</v>
      </c>
      <c r="P986">
        <v>6</v>
      </c>
      <c r="Q986">
        <v>0</v>
      </c>
      <c r="R986" t="s">
        <v>31</v>
      </c>
      <c r="S986" t="s">
        <v>31</v>
      </c>
      <c r="T986" t="s">
        <v>32</v>
      </c>
      <c r="V986" s="1" t="e">
        <v>#N/A</v>
      </c>
      <c r="W986" t="s">
        <v>1216</v>
      </c>
      <c r="X986">
        <v>0</v>
      </c>
      <c r="Y986">
        <v>299</v>
      </c>
      <c r="AA986" t="str">
        <f t="shared" si="30"/>
        <v>update zamestnanci set nastup='38' where id='929';</v>
      </c>
      <c r="AB986" t="str">
        <f t="shared" si="31"/>
        <v>update dochazka set zastavka = '38' where zamestnanec = '929';</v>
      </c>
    </row>
    <row r="987" spans="1:28" x14ac:dyDescent="0.25">
      <c r="A987" s="2">
        <v>940</v>
      </c>
      <c r="B987" t="s">
        <v>4243</v>
      </c>
      <c r="C987" t="s">
        <v>4244</v>
      </c>
      <c r="D987" t="s">
        <v>2595</v>
      </c>
      <c r="E987" t="s">
        <v>2156</v>
      </c>
      <c r="F987" t="s">
        <v>1394</v>
      </c>
      <c r="G987" s="1">
        <v>45425</v>
      </c>
      <c r="H987" s="1">
        <v>45791</v>
      </c>
      <c r="I987" s="1">
        <v>73050</v>
      </c>
      <c r="J987" s="2" t="s">
        <v>357</v>
      </c>
      <c r="K987" t="s">
        <v>2597</v>
      </c>
      <c r="M987" s="16" t="s">
        <v>8551</v>
      </c>
      <c r="N987" s="16" t="str">
        <f>VLOOKUP(M987,Tab_Zast[[Zastávka]:[Sloupec1]],2,0)</f>
        <v>00</v>
      </c>
      <c r="O987" t="s">
        <v>4245</v>
      </c>
      <c r="P987">
        <v>8</v>
      </c>
      <c r="Q987">
        <v>0</v>
      </c>
      <c r="R987" t="s">
        <v>31</v>
      </c>
      <c r="S987" t="s">
        <v>31</v>
      </c>
      <c r="T987" t="s">
        <v>32</v>
      </c>
      <c r="V987" s="1">
        <v>45789</v>
      </c>
      <c r="W987" t="s">
        <v>493</v>
      </c>
      <c r="X987">
        <v>0</v>
      </c>
      <c r="Y987">
        <v>323</v>
      </c>
      <c r="AA987" t="str">
        <f t="shared" si="30"/>
        <v/>
      </c>
      <c r="AB987" t="str">
        <f t="shared" si="31"/>
        <v/>
      </c>
    </row>
    <row r="988" spans="1:28" x14ac:dyDescent="0.25">
      <c r="A988" s="2">
        <v>999</v>
      </c>
      <c r="B988" t="s">
        <v>1394</v>
      </c>
      <c r="C988" t="s">
        <v>1394</v>
      </c>
      <c r="D988" t="s">
        <v>57</v>
      </c>
      <c r="E988" t="s">
        <v>755</v>
      </c>
      <c r="F988" t="s">
        <v>67</v>
      </c>
      <c r="G988" s="1">
        <v>45453</v>
      </c>
      <c r="H988" s="1">
        <v>45453</v>
      </c>
      <c r="I988" s="1">
        <v>45453</v>
      </c>
      <c r="J988" s="2" t="s">
        <v>647</v>
      </c>
      <c r="K988" t="s">
        <v>4515</v>
      </c>
      <c r="M988" s="16" t="s">
        <v>8459</v>
      </c>
      <c r="N988" s="16" t="str">
        <f>VLOOKUP(M988,Tab_Zast[[Zastávka]:[Sloupec1]],2,0)</f>
        <v>78</v>
      </c>
      <c r="O988" t="s">
        <v>4516</v>
      </c>
      <c r="P988">
        <v>3</v>
      </c>
      <c r="Q988">
        <v>0</v>
      </c>
      <c r="R988" t="s">
        <v>129</v>
      </c>
      <c r="S988" t="s">
        <v>130</v>
      </c>
      <c r="T988" t="s">
        <v>32</v>
      </c>
      <c r="V988" s="1" t="e">
        <v>#N/A</v>
      </c>
      <c r="W988" t="s">
        <v>3091</v>
      </c>
      <c r="X988">
        <v>0</v>
      </c>
      <c r="Y988">
        <v>391</v>
      </c>
      <c r="AA988" t="str">
        <f t="shared" si="30"/>
        <v>update zamestnanci set nastup='78' where id='999';</v>
      </c>
      <c r="AB988" t="str">
        <f t="shared" si="31"/>
        <v>update dochazka set zastavka = '78' where zamestnanec = '999';</v>
      </c>
    </row>
    <row r="989" spans="1:28" x14ac:dyDescent="0.25">
      <c r="A989" s="2">
        <v>1022</v>
      </c>
      <c r="B989" t="s">
        <v>4599</v>
      </c>
      <c r="C989" t="s">
        <v>1394</v>
      </c>
      <c r="D989" t="s">
        <v>4600</v>
      </c>
      <c r="E989" t="s">
        <v>643</v>
      </c>
      <c r="F989" t="s">
        <v>4601</v>
      </c>
      <c r="G989" s="1">
        <v>45461</v>
      </c>
      <c r="H989" s="1">
        <v>45488</v>
      </c>
      <c r="I989" s="1">
        <v>73050</v>
      </c>
      <c r="J989" s="2" t="s">
        <v>647</v>
      </c>
      <c r="K989" t="s">
        <v>4602</v>
      </c>
      <c r="M989" s="16" t="s">
        <v>8459</v>
      </c>
      <c r="N989" s="16" t="str">
        <f>VLOOKUP(M989,Tab_Zast[[Zastávka]:[Sloupec1]],2,0)</f>
        <v>78</v>
      </c>
      <c r="O989" t="s">
        <v>4603</v>
      </c>
      <c r="P989">
        <v>3</v>
      </c>
      <c r="Q989">
        <v>0</v>
      </c>
      <c r="R989" t="s">
        <v>31</v>
      </c>
      <c r="S989" t="s">
        <v>31</v>
      </c>
      <c r="T989" t="s">
        <v>32</v>
      </c>
      <c r="V989" s="1" t="e">
        <v>#N/A</v>
      </c>
      <c r="W989" t="s">
        <v>3091</v>
      </c>
      <c r="X989">
        <v>0</v>
      </c>
      <c r="Y989">
        <v>411</v>
      </c>
      <c r="AA989" t="str">
        <f t="shared" si="30"/>
        <v>update zamestnanci set nastup='78' where id='1022';</v>
      </c>
      <c r="AB989" t="str">
        <f t="shared" si="31"/>
        <v>update dochazka set zastavka = '78' where zamestnanec = '1022';</v>
      </c>
    </row>
    <row r="990" spans="1:28" x14ac:dyDescent="0.25">
      <c r="A990" s="2">
        <v>1038</v>
      </c>
      <c r="B990" t="s">
        <v>4674</v>
      </c>
      <c r="C990" t="s">
        <v>1394</v>
      </c>
      <c r="D990" t="s">
        <v>4675</v>
      </c>
      <c r="E990" t="s">
        <v>1744</v>
      </c>
      <c r="F990" t="s">
        <v>4676</v>
      </c>
      <c r="G990" s="1">
        <v>45468</v>
      </c>
      <c r="H990" s="1">
        <v>45518</v>
      </c>
      <c r="I990" s="1">
        <v>73050</v>
      </c>
      <c r="J990" s="2" t="s">
        <v>647</v>
      </c>
      <c r="K990" t="s">
        <v>4677</v>
      </c>
      <c r="M990" s="16" t="s">
        <v>8459</v>
      </c>
      <c r="N990" s="16" t="str">
        <f>VLOOKUP(M990,Tab_Zast[[Zastávka]:[Sloupec1]],2,0)</f>
        <v>78</v>
      </c>
      <c r="O990" t="s">
        <v>4678</v>
      </c>
      <c r="P990">
        <v>3</v>
      </c>
      <c r="Q990">
        <v>0</v>
      </c>
      <c r="R990" t="s">
        <v>31</v>
      </c>
      <c r="S990" t="s">
        <v>31</v>
      </c>
      <c r="T990" t="s">
        <v>32</v>
      </c>
      <c r="V990" s="1" t="e">
        <v>#N/A</v>
      </c>
      <c r="W990" t="s">
        <v>3091</v>
      </c>
      <c r="X990">
        <v>0</v>
      </c>
      <c r="Y990">
        <v>422</v>
      </c>
      <c r="AA990" t="str">
        <f t="shared" si="30"/>
        <v>update zamestnanci set nastup='78' where id='1038';</v>
      </c>
      <c r="AB990" t="str">
        <f t="shared" si="31"/>
        <v>update dochazka set zastavka = '78' where zamestnanec = '1038';</v>
      </c>
    </row>
    <row r="991" spans="1:28" x14ac:dyDescent="0.25">
      <c r="A991" s="2">
        <v>1172</v>
      </c>
      <c r="B991" t="s">
        <v>5226</v>
      </c>
      <c r="C991" t="s">
        <v>1394</v>
      </c>
      <c r="D991" t="s">
        <v>2668</v>
      </c>
      <c r="E991" t="s">
        <v>2807</v>
      </c>
      <c r="F991" t="s">
        <v>5227</v>
      </c>
      <c r="G991" s="1">
        <v>45527</v>
      </c>
      <c r="H991" s="1">
        <v>45644</v>
      </c>
      <c r="I991" s="1">
        <v>73050</v>
      </c>
      <c r="J991" s="2" t="s">
        <v>357</v>
      </c>
      <c r="K991" t="s">
        <v>5228</v>
      </c>
      <c r="M991" s="16" t="s">
        <v>8551</v>
      </c>
      <c r="N991" s="16" t="str">
        <f>VLOOKUP(M991,Tab_Zast[[Zastávka]:[Sloupec1]],2,0)</f>
        <v>00</v>
      </c>
      <c r="O991" t="s">
        <v>5229</v>
      </c>
      <c r="P991">
        <v>8</v>
      </c>
      <c r="Q991">
        <v>0</v>
      </c>
      <c r="R991" t="s">
        <v>31</v>
      </c>
      <c r="S991" t="s">
        <v>31</v>
      </c>
      <c r="T991" t="s">
        <v>32</v>
      </c>
      <c r="V991" s="1" t="e">
        <v>#N/A</v>
      </c>
      <c r="W991" t="s">
        <v>493</v>
      </c>
      <c r="X991">
        <v>0</v>
      </c>
      <c r="Y991">
        <v>560</v>
      </c>
      <c r="AA991" t="str">
        <f t="shared" si="30"/>
        <v/>
      </c>
      <c r="AB991" t="str">
        <f t="shared" si="31"/>
        <v/>
      </c>
    </row>
    <row r="992" spans="1:28" x14ac:dyDescent="0.25">
      <c r="A992" s="2">
        <v>1183</v>
      </c>
      <c r="B992" t="s">
        <v>5269</v>
      </c>
      <c r="C992" t="s">
        <v>1394</v>
      </c>
      <c r="D992" t="s">
        <v>1149</v>
      </c>
      <c r="E992" t="s">
        <v>743</v>
      </c>
      <c r="F992" t="s">
        <v>5270</v>
      </c>
      <c r="G992" s="1">
        <v>45533</v>
      </c>
      <c r="H992" s="1">
        <v>73050</v>
      </c>
      <c r="I992" s="1" t="e">
        <v>#N/A</v>
      </c>
      <c r="J992" s="2" t="s">
        <v>8353</v>
      </c>
      <c r="K992" t="s">
        <v>5271</v>
      </c>
      <c r="M992" s="16" t="s">
        <v>8354</v>
      </c>
      <c r="N992" s="16" t="str">
        <f>VLOOKUP(M992,Tab_Zast[[Zastávka]:[Sloupec1]],2,0)</f>
        <v>38</v>
      </c>
      <c r="O992" t="s">
        <v>5272</v>
      </c>
      <c r="P992">
        <v>6</v>
      </c>
      <c r="Q992">
        <v>0</v>
      </c>
      <c r="R992" t="s">
        <v>129</v>
      </c>
      <c r="S992" t="s">
        <v>179</v>
      </c>
      <c r="T992" t="s">
        <v>32</v>
      </c>
      <c r="V992" s="1" t="e">
        <v>#N/A</v>
      </c>
      <c r="W992" t="s">
        <v>1022</v>
      </c>
      <c r="X992">
        <v>1</v>
      </c>
      <c r="Y992">
        <v>572</v>
      </c>
      <c r="AA992" t="str">
        <f t="shared" si="30"/>
        <v>update zamestnanci set nastup='38' where id='1183';</v>
      </c>
      <c r="AB992" t="str">
        <f t="shared" si="31"/>
        <v>update dochazka set zastavka = '38' where zamestnanec = '1183';</v>
      </c>
    </row>
    <row r="993" spans="1:28" x14ac:dyDescent="0.25">
      <c r="A993" s="2">
        <v>1276</v>
      </c>
      <c r="B993" t="s">
        <v>5642</v>
      </c>
      <c r="C993" t="s">
        <v>64</v>
      </c>
      <c r="D993" t="s">
        <v>5565</v>
      </c>
      <c r="E993" t="s">
        <v>3048</v>
      </c>
      <c r="F993" t="s">
        <v>67</v>
      </c>
      <c r="G993" s="1">
        <v>45566</v>
      </c>
      <c r="H993" s="1">
        <v>45574</v>
      </c>
      <c r="I993" s="1">
        <v>73050</v>
      </c>
      <c r="J993" s="2" t="s">
        <v>357</v>
      </c>
      <c r="K993" t="s">
        <v>5643</v>
      </c>
      <c r="M993" s="16" t="s">
        <v>8551</v>
      </c>
      <c r="N993" s="16" t="str">
        <f>VLOOKUP(M993,Tab_Zast[[Zastávka]:[Sloupec1]],2,0)</f>
        <v>00</v>
      </c>
      <c r="O993" t="s">
        <v>5567</v>
      </c>
      <c r="P993">
        <v>8</v>
      </c>
      <c r="Q993">
        <v>0</v>
      </c>
      <c r="R993" t="s">
        <v>31</v>
      </c>
      <c r="S993" t="s">
        <v>31</v>
      </c>
      <c r="T993" t="s">
        <v>32</v>
      </c>
      <c r="V993" s="1" t="e">
        <v>#N/A</v>
      </c>
      <c r="W993" t="s">
        <v>493</v>
      </c>
      <c r="X993">
        <v>0</v>
      </c>
      <c r="Y993">
        <v>665</v>
      </c>
      <c r="Z993" t="s">
        <v>40</v>
      </c>
      <c r="AA993" t="str">
        <f t="shared" si="30"/>
        <v/>
      </c>
      <c r="AB993" t="str">
        <f t="shared" si="31"/>
        <v/>
      </c>
    </row>
    <row r="994" spans="1:28" x14ac:dyDescent="0.25">
      <c r="A994" s="2">
        <v>1391</v>
      </c>
      <c r="B994" t="s">
        <v>6097</v>
      </c>
      <c r="C994" t="s">
        <v>64</v>
      </c>
      <c r="D994" t="s">
        <v>6098</v>
      </c>
      <c r="E994" t="s">
        <v>1947</v>
      </c>
      <c r="F994" t="s">
        <v>6099</v>
      </c>
      <c r="G994" s="1">
        <v>45617</v>
      </c>
      <c r="H994" s="1">
        <v>45625</v>
      </c>
      <c r="I994" s="1">
        <v>73050</v>
      </c>
      <c r="J994" s="2" t="s">
        <v>357</v>
      </c>
      <c r="K994" t="s">
        <v>6100</v>
      </c>
      <c r="M994" s="16" t="s">
        <v>8551</v>
      </c>
      <c r="N994" s="16" t="str">
        <f>VLOOKUP(M994,Tab_Zast[[Zastávka]:[Sloupec1]],2,0)</f>
        <v>00</v>
      </c>
      <c r="O994" t="s">
        <v>6101</v>
      </c>
      <c r="P994">
        <v>8</v>
      </c>
      <c r="Q994">
        <v>0</v>
      </c>
      <c r="R994" t="s">
        <v>31</v>
      </c>
      <c r="S994" t="s">
        <v>31</v>
      </c>
      <c r="T994" t="s">
        <v>32</v>
      </c>
      <c r="V994" s="1" t="e">
        <v>#N/A</v>
      </c>
      <c r="W994" t="s">
        <v>493</v>
      </c>
      <c r="X994">
        <v>0</v>
      </c>
      <c r="Y994">
        <v>780</v>
      </c>
      <c r="AA994" t="str">
        <f t="shared" si="30"/>
        <v/>
      </c>
      <c r="AB994" t="str">
        <f t="shared" si="31"/>
        <v/>
      </c>
    </row>
    <row r="995" spans="1:28" x14ac:dyDescent="0.25">
      <c r="A995" s="2">
        <v>1504</v>
      </c>
      <c r="B995" t="s">
        <v>6528</v>
      </c>
      <c r="C995" t="s">
        <v>64</v>
      </c>
      <c r="D995" t="s">
        <v>6529</v>
      </c>
      <c r="E995" t="s">
        <v>3373</v>
      </c>
      <c r="F995" t="s">
        <v>64</v>
      </c>
      <c r="G995" s="1">
        <v>45726</v>
      </c>
      <c r="H995" s="1">
        <v>45726</v>
      </c>
      <c r="I995" s="1">
        <v>45726</v>
      </c>
      <c r="J995" s="2" t="s">
        <v>8356</v>
      </c>
      <c r="K995" t="s">
        <v>6530</v>
      </c>
      <c r="M995" s="16" t="s">
        <v>8357</v>
      </c>
      <c r="N995" s="16" t="str">
        <f>VLOOKUP(M995,Tab_Zast[[Zastávka]:[Sloupec1]],2,0)</f>
        <v>39</v>
      </c>
      <c r="O995" t="s">
        <v>6531</v>
      </c>
      <c r="P995">
        <v>8</v>
      </c>
      <c r="Q995">
        <v>0</v>
      </c>
      <c r="R995" t="s">
        <v>31</v>
      </c>
      <c r="S995" t="s">
        <v>31</v>
      </c>
      <c r="T995" t="s">
        <v>32</v>
      </c>
      <c r="V995" s="1" t="e">
        <v>#N/A</v>
      </c>
      <c r="W995" t="s">
        <v>3023</v>
      </c>
      <c r="X995">
        <v>0</v>
      </c>
      <c r="Y995">
        <v>896</v>
      </c>
      <c r="AA995" t="str">
        <f t="shared" si="30"/>
        <v>update zamestnanci set nastup='39' where id='1504';</v>
      </c>
      <c r="AB995" t="str">
        <f t="shared" si="31"/>
        <v>update dochazka set zastavka = '39' where zamestnanec = '1504';</v>
      </c>
    </row>
    <row r="996" spans="1:28" x14ac:dyDescent="0.25">
      <c r="A996" s="2">
        <v>1529</v>
      </c>
      <c r="B996" t="s">
        <v>6614</v>
      </c>
      <c r="C996" t="s">
        <v>64</v>
      </c>
      <c r="D996" t="s">
        <v>6615</v>
      </c>
      <c r="E996" t="s">
        <v>5486</v>
      </c>
      <c r="F996" t="s">
        <v>6616</v>
      </c>
      <c r="G996" s="1">
        <v>45729</v>
      </c>
      <c r="H996" s="1">
        <v>45747</v>
      </c>
      <c r="I996" s="1">
        <v>73050</v>
      </c>
      <c r="J996" s="2" t="s">
        <v>357</v>
      </c>
      <c r="K996" t="s">
        <v>6617</v>
      </c>
      <c r="M996" s="16" t="s">
        <v>8551</v>
      </c>
      <c r="N996" s="16" t="str">
        <f>VLOOKUP(M996,Tab_Zast[[Zastávka]:[Sloupec1]],2,0)</f>
        <v>00</v>
      </c>
      <c r="O996" t="s">
        <v>6618</v>
      </c>
      <c r="P996">
        <v>8</v>
      </c>
      <c r="Q996">
        <v>0</v>
      </c>
      <c r="R996" t="s">
        <v>31</v>
      </c>
      <c r="S996" t="s">
        <v>31</v>
      </c>
      <c r="T996" t="s">
        <v>32</v>
      </c>
      <c r="V996" s="1">
        <v>45736</v>
      </c>
      <c r="W996" t="s">
        <v>3023</v>
      </c>
      <c r="X996">
        <v>0</v>
      </c>
      <c r="Y996">
        <v>918</v>
      </c>
      <c r="AA996" t="str">
        <f t="shared" si="30"/>
        <v/>
      </c>
      <c r="AB996" t="str">
        <f t="shared" si="31"/>
        <v/>
      </c>
    </row>
    <row r="997" spans="1:28" x14ac:dyDescent="0.25">
      <c r="A997" s="2">
        <v>1582</v>
      </c>
      <c r="B997" t="s">
        <v>6809</v>
      </c>
      <c r="C997" t="s">
        <v>569</v>
      </c>
      <c r="D997" t="s">
        <v>6810</v>
      </c>
      <c r="E997" t="s">
        <v>617</v>
      </c>
      <c r="F997" t="s">
        <v>64</v>
      </c>
      <c r="G997" s="1">
        <v>45761</v>
      </c>
      <c r="H997" s="1">
        <v>45840</v>
      </c>
      <c r="I997" s="1">
        <v>45817</v>
      </c>
      <c r="J997" s="2" t="s">
        <v>8356</v>
      </c>
      <c r="K997" t="s">
        <v>6811</v>
      </c>
      <c r="M997" s="16" t="s">
        <v>8357</v>
      </c>
      <c r="N997" s="16" t="str">
        <f>VLOOKUP(M997,Tab_Zast[[Zastávka]:[Sloupec1]],2,0)</f>
        <v>39</v>
      </c>
      <c r="O997" t="s">
        <v>6812</v>
      </c>
      <c r="P997">
        <v>8</v>
      </c>
      <c r="Q997">
        <v>0</v>
      </c>
      <c r="R997" t="s">
        <v>31</v>
      </c>
      <c r="S997" t="s">
        <v>31</v>
      </c>
      <c r="T997" t="s">
        <v>32</v>
      </c>
      <c r="V997" s="1">
        <v>45804</v>
      </c>
      <c r="W997" t="s">
        <v>493</v>
      </c>
      <c r="X997">
        <v>0</v>
      </c>
      <c r="Y997">
        <v>974</v>
      </c>
      <c r="AA997" t="str">
        <f t="shared" si="30"/>
        <v>update zamestnanci set nastup='39' where id='1582';</v>
      </c>
      <c r="AB997" t="str">
        <f t="shared" si="31"/>
        <v>update dochazka set zastavka = '39' where zamestnanec = '1582';</v>
      </c>
    </row>
    <row r="998" spans="1:28" x14ac:dyDescent="0.25">
      <c r="A998" s="2">
        <v>1585</v>
      </c>
      <c r="B998" t="s">
        <v>6821</v>
      </c>
      <c r="C998" t="s">
        <v>569</v>
      </c>
      <c r="D998" t="s">
        <v>6822</v>
      </c>
      <c r="E998" t="s">
        <v>2451</v>
      </c>
      <c r="F998" t="s">
        <v>569</v>
      </c>
      <c r="G998" s="1">
        <v>45761</v>
      </c>
      <c r="H998" s="1">
        <v>45772</v>
      </c>
      <c r="I998" s="1">
        <v>73050</v>
      </c>
      <c r="J998" s="2" t="s">
        <v>357</v>
      </c>
      <c r="K998" t="s">
        <v>6823</v>
      </c>
      <c r="M998" s="16" t="s">
        <v>8551</v>
      </c>
      <c r="N998" s="16" t="str">
        <f>VLOOKUP(M998,Tab_Zast[[Zastávka]:[Sloupec1]],2,0)</f>
        <v>00</v>
      </c>
      <c r="O998" t="s">
        <v>6824</v>
      </c>
      <c r="P998">
        <v>8</v>
      </c>
      <c r="Q998">
        <v>0</v>
      </c>
      <c r="R998" t="s">
        <v>31</v>
      </c>
      <c r="S998" t="s">
        <v>31</v>
      </c>
      <c r="T998" t="s">
        <v>32</v>
      </c>
      <c r="V998" s="1" t="e">
        <v>#N/A</v>
      </c>
      <c r="W998" t="s">
        <v>493</v>
      </c>
      <c r="X998">
        <v>0</v>
      </c>
      <c r="Y998">
        <v>977</v>
      </c>
      <c r="AA998" t="str">
        <f t="shared" si="30"/>
        <v/>
      </c>
      <c r="AB998" t="str">
        <f t="shared" si="31"/>
        <v/>
      </c>
    </row>
    <row r="999" spans="1:28" x14ac:dyDescent="0.25">
      <c r="A999" s="2">
        <v>1586</v>
      </c>
      <c r="B999" t="s">
        <v>6825</v>
      </c>
      <c r="C999" t="s">
        <v>569</v>
      </c>
      <c r="D999" t="s">
        <v>2674</v>
      </c>
      <c r="E999" t="s">
        <v>1509</v>
      </c>
      <c r="F999" t="s">
        <v>569</v>
      </c>
      <c r="G999" s="1">
        <v>45761</v>
      </c>
      <c r="H999" s="1">
        <v>45772</v>
      </c>
      <c r="I999" s="1">
        <v>73050</v>
      </c>
      <c r="J999" s="2" t="s">
        <v>357</v>
      </c>
      <c r="K999" t="s">
        <v>6826</v>
      </c>
      <c r="M999" s="16" t="s">
        <v>8551</v>
      </c>
      <c r="N999" s="16" t="str">
        <f>VLOOKUP(M999,Tab_Zast[[Zastávka]:[Sloupec1]],2,0)</f>
        <v>00</v>
      </c>
      <c r="O999" t="s">
        <v>6827</v>
      </c>
      <c r="P999">
        <v>8</v>
      </c>
      <c r="Q999">
        <v>0</v>
      </c>
      <c r="R999" t="s">
        <v>31</v>
      </c>
      <c r="S999" t="s">
        <v>31</v>
      </c>
      <c r="T999" t="s">
        <v>32</v>
      </c>
      <c r="V999" s="1">
        <v>45762</v>
      </c>
      <c r="W999" t="s">
        <v>493</v>
      </c>
      <c r="X999">
        <v>0</v>
      </c>
      <c r="Y999">
        <v>978</v>
      </c>
      <c r="AA999" t="str">
        <f t="shared" si="30"/>
        <v/>
      </c>
      <c r="AB999" t="str">
        <f t="shared" si="31"/>
        <v/>
      </c>
    </row>
    <row r="1000" spans="1:28" x14ac:dyDescent="0.25">
      <c r="A1000" s="2">
        <v>1587</v>
      </c>
      <c r="B1000" t="s">
        <v>6828</v>
      </c>
      <c r="C1000" t="s">
        <v>569</v>
      </c>
      <c r="D1000" t="s">
        <v>6829</v>
      </c>
      <c r="E1000" t="s">
        <v>1509</v>
      </c>
      <c r="F1000" t="s">
        <v>569</v>
      </c>
      <c r="G1000" s="1">
        <v>45761</v>
      </c>
      <c r="H1000" s="1">
        <v>45812</v>
      </c>
      <c r="I1000" s="1">
        <v>73050</v>
      </c>
      <c r="J1000" s="2" t="s">
        <v>8356</v>
      </c>
      <c r="K1000" t="s">
        <v>6830</v>
      </c>
      <c r="M1000" s="16" t="s">
        <v>8357</v>
      </c>
      <c r="N1000" s="16" t="str">
        <f>VLOOKUP(M1000,Tab_Zast[[Zastávka]:[Sloupec1]],2,0)</f>
        <v>39</v>
      </c>
      <c r="O1000" t="s">
        <v>6831</v>
      </c>
      <c r="P1000">
        <v>8</v>
      </c>
      <c r="Q1000">
        <v>0</v>
      </c>
      <c r="R1000" t="s">
        <v>31</v>
      </c>
      <c r="S1000" t="s">
        <v>31</v>
      </c>
      <c r="T1000" t="s">
        <v>32</v>
      </c>
      <c r="V1000" s="1" t="e">
        <v>#N/A</v>
      </c>
      <c r="W1000" t="s">
        <v>493</v>
      </c>
      <c r="X1000">
        <v>0</v>
      </c>
      <c r="Y1000">
        <v>979</v>
      </c>
      <c r="AA1000" t="str">
        <f t="shared" si="30"/>
        <v>update zamestnanci set nastup='39' where id='1587';</v>
      </c>
      <c r="AB1000" t="str">
        <f t="shared" si="31"/>
        <v>update dochazka set zastavka = '39' where zamestnanec = '1587';</v>
      </c>
    </row>
    <row r="1001" spans="1:28" x14ac:dyDescent="0.25">
      <c r="A1001" s="2">
        <v>1674</v>
      </c>
      <c r="B1001" t="s">
        <v>7138</v>
      </c>
      <c r="C1001" t="s">
        <v>357</v>
      </c>
      <c r="D1001" t="s">
        <v>3538</v>
      </c>
      <c r="E1001" t="s">
        <v>2156</v>
      </c>
      <c r="F1001" t="s">
        <v>357</v>
      </c>
      <c r="G1001" s="1">
        <v>45817</v>
      </c>
      <c r="H1001" s="1">
        <v>45348</v>
      </c>
      <c r="I1001" s="1">
        <v>45817</v>
      </c>
      <c r="J1001" s="2" t="s">
        <v>8356</v>
      </c>
      <c r="K1001" t="s">
        <v>7139</v>
      </c>
      <c r="M1001" s="16" t="s">
        <v>8357</v>
      </c>
      <c r="N1001" s="16" t="str">
        <f>VLOOKUP(M1001,Tab_Zast[[Zastávka]:[Sloupec1]],2,0)</f>
        <v>39</v>
      </c>
      <c r="O1001" t="s">
        <v>7140</v>
      </c>
      <c r="P1001">
        <v>8</v>
      </c>
      <c r="Q1001">
        <v>0</v>
      </c>
      <c r="R1001" t="s">
        <v>31</v>
      </c>
      <c r="S1001" t="s">
        <v>31</v>
      </c>
      <c r="T1001" t="s">
        <v>32</v>
      </c>
      <c r="V1001" s="1" t="e">
        <v>#N/A</v>
      </c>
      <c r="W1001" t="s">
        <v>493</v>
      </c>
      <c r="X1001">
        <v>0</v>
      </c>
      <c r="Y1001">
        <v>1067</v>
      </c>
      <c r="AA1001" t="str">
        <f t="shared" si="30"/>
        <v>update zamestnanci set nastup='39' where id='1674';</v>
      </c>
      <c r="AB1001" t="str">
        <f t="shared" si="31"/>
        <v>update dochazka set zastavka = '39' where zamestnanec = '1674';</v>
      </c>
    </row>
    <row r="1002" spans="1:28" x14ac:dyDescent="0.25">
      <c r="A1002" s="2">
        <v>1675</v>
      </c>
      <c r="B1002" t="s">
        <v>7141</v>
      </c>
      <c r="C1002" t="s">
        <v>357</v>
      </c>
      <c r="D1002" t="s">
        <v>4364</v>
      </c>
      <c r="E1002" t="s">
        <v>800</v>
      </c>
      <c r="F1002" t="s">
        <v>569</v>
      </c>
      <c r="G1002" s="1">
        <v>45817</v>
      </c>
      <c r="H1002" s="1">
        <v>45817</v>
      </c>
      <c r="I1002" s="1">
        <v>45817</v>
      </c>
      <c r="J1002" s="2" t="s">
        <v>8356</v>
      </c>
      <c r="K1002" t="s">
        <v>7139</v>
      </c>
      <c r="M1002" s="16" t="s">
        <v>8357</v>
      </c>
      <c r="N1002" s="16" t="str">
        <f>VLOOKUP(M1002,Tab_Zast[[Zastávka]:[Sloupec1]],2,0)</f>
        <v>39</v>
      </c>
      <c r="O1002" t="s">
        <v>7142</v>
      </c>
      <c r="P1002">
        <v>8</v>
      </c>
      <c r="Q1002">
        <v>0</v>
      </c>
      <c r="R1002" t="s">
        <v>31</v>
      </c>
      <c r="S1002" t="s">
        <v>31</v>
      </c>
      <c r="T1002" t="s">
        <v>32</v>
      </c>
      <c r="V1002" s="1" t="e">
        <v>#N/A</v>
      </c>
      <c r="W1002" t="s">
        <v>493</v>
      </c>
      <c r="X1002">
        <v>0</v>
      </c>
      <c r="Y1002">
        <v>1068</v>
      </c>
      <c r="AA1002" t="str">
        <f t="shared" si="30"/>
        <v>update zamestnanci set nastup='39' where id='1675';</v>
      </c>
      <c r="AB1002" t="str">
        <f t="shared" si="31"/>
        <v>update dochazka set zastavka = '39' where zamestnanec = '1675';</v>
      </c>
    </row>
    <row r="1003" spans="1:28" x14ac:dyDescent="0.25">
      <c r="A1003" s="2">
        <v>1728</v>
      </c>
      <c r="B1003" t="s">
        <v>7329</v>
      </c>
      <c r="C1003" t="s">
        <v>569</v>
      </c>
      <c r="D1003" t="s">
        <v>7330</v>
      </c>
      <c r="E1003" t="s">
        <v>2451</v>
      </c>
      <c r="F1003" t="s">
        <v>7331</v>
      </c>
      <c r="G1003" s="1">
        <v>45846</v>
      </c>
      <c r="H1003" s="1">
        <v>45881</v>
      </c>
      <c r="I1003" s="1">
        <v>73050</v>
      </c>
      <c r="J1003" s="2" t="s">
        <v>8356</v>
      </c>
      <c r="K1003" t="s">
        <v>7332</v>
      </c>
      <c r="M1003" s="16" t="s">
        <v>8357</v>
      </c>
      <c r="N1003" s="16" t="str">
        <f>VLOOKUP(M1003,Tab_Zast[[Zastávka]:[Sloupec1]],2,0)</f>
        <v>39</v>
      </c>
      <c r="O1003" t="s">
        <v>7333</v>
      </c>
      <c r="P1003">
        <v>8</v>
      </c>
      <c r="Q1003">
        <v>0</v>
      </c>
      <c r="R1003" t="s">
        <v>31</v>
      </c>
      <c r="S1003" t="s">
        <v>31</v>
      </c>
      <c r="T1003" t="s">
        <v>32</v>
      </c>
      <c r="V1003" s="1" t="e">
        <v>#N/A</v>
      </c>
      <c r="W1003" t="s">
        <v>493</v>
      </c>
      <c r="X1003">
        <v>0</v>
      </c>
      <c r="Y1003">
        <v>1120</v>
      </c>
      <c r="AA1003" t="str">
        <f t="shared" si="30"/>
        <v>update zamestnanci set nastup='39' where id='1728';</v>
      </c>
      <c r="AB1003" t="str">
        <f t="shared" si="31"/>
        <v>update dochazka set zastavka = '39' where zamestnanec = '1728';</v>
      </c>
    </row>
    <row r="1004" spans="1:28" x14ac:dyDescent="0.25">
      <c r="A1004" s="2">
        <v>1751</v>
      </c>
      <c r="B1004" t="s">
        <v>7420</v>
      </c>
      <c r="C1004" t="s">
        <v>64</v>
      </c>
      <c r="D1004" t="s">
        <v>7421</v>
      </c>
      <c r="E1004" t="s">
        <v>707</v>
      </c>
      <c r="F1004" t="s">
        <v>7422</v>
      </c>
      <c r="G1004" s="1">
        <v>45861</v>
      </c>
      <c r="H1004" s="1">
        <v>45880</v>
      </c>
      <c r="I1004" s="1">
        <v>73050</v>
      </c>
      <c r="J1004" s="2" t="s">
        <v>8267</v>
      </c>
      <c r="K1004" t="s">
        <v>7423</v>
      </c>
      <c r="M1004" s="16" t="s">
        <v>8268</v>
      </c>
      <c r="N1004" s="16" t="str">
        <f>VLOOKUP(M1004,Tab_Zast[[Zastávka]:[Sloupec1]],2,0)</f>
        <v>06</v>
      </c>
      <c r="O1004" t="s">
        <v>7424</v>
      </c>
      <c r="P1004">
        <v>10</v>
      </c>
      <c r="Q1004">
        <v>0</v>
      </c>
      <c r="R1004" t="s">
        <v>31</v>
      </c>
      <c r="S1004" t="s">
        <v>31</v>
      </c>
      <c r="T1004" t="s">
        <v>32</v>
      </c>
      <c r="V1004" s="1" t="e">
        <v>#N/A</v>
      </c>
      <c r="W1004" t="s">
        <v>7412</v>
      </c>
      <c r="X1004">
        <v>0</v>
      </c>
      <c r="Y1004">
        <v>1143</v>
      </c>
      <c r="AA1004" t="str">
        <f t="shared" si="30"/>
        <v>update zamestnanci set nastup='06' where id='1751';</v>
      </c>
      <c r="AB1004" t="str">
        <f t="shared" si="31"/>
        <v>update dochazka set zastavka = '06' where zamestnanec = '1751';</v>
      </c>
    </row>
    <row r="1005" spans="1:28" x14ac:dyDescent="0.25">
      <c r="A1005" s="2">
        <v>1752</v>
      </c>
      <c r="B1005" t="s">
        <v>7425</v>
      </c>
      <c r="C1005" t="s">
        <v>64</v>
      </c>
      <c r="D1005" t="s">
        <v>7426</v>
      </c>
      <c r="E1005" t="s">
        <v>3717</v>
      </c>
      <c r="F1005" t="s">
        <v>7427</v>
      </c>
      <c r="G1005" s="1">
        <v>45861</v>
      </c>
      <c r="H1005" s="1">
        <v>45924</v>
      </c>
      <c r="I1005" s="1">
        <v>73050</v>
      </c>
      <c r="J1005" s="2" t="s">
        <v>8267</v>
      </c>
      <c r="K1005" t="s">
        <v>7428</v>
      </c>
      <c r="M1005" s="16" t="s">
        <v>8268</v>
      </c>
      <c r="N1005" s="16" t="str">
        <f>VLOOKUP(M1005,Tab_Zast[[Zastávka]:[Sloupec1]],2,0)</f>
        <v>06</v>
      </c>
      <c r="O1005" t="s">
        <v>7429</v>
      </c>
      <c r="P1005">
        <v>10</v>
      </c>
      <c r="Q1005">
        <v>0</v>
      </c>
      <c r="R1005" t="s">
        <v>31</v>
      </c>
      <c r="S1005" t="s">
        <v>31</v>
      </c>
      <c r="T1005" t="s">
        <v>32</v>
      </c>
      <c r="V1005" s="1" t="e">
        <v>#N/A</v>
      </c>
      <c r="W1005" t="s">
        <v>7412</v>
      </c>
      <c r="X1005">
        <v>0</v>
      </c>
      <c r="Y1005">
        <v>1144</v>
      </c>
      <c r="AA1005" t="str">
        <f t="shared" si="30"/>
        <v>update zamestnanci set nastup='06' where id='1752';</v>
      </c>
      <c r="AB1005" t="str">
        <f t="shared" si="31"/>
        <v>update dochazka set zastavka = '06' where zamestnanec = '1752';</v>
      </c>
    </row>
    <row r="1006" spans="1:28" x14ac:dyDescent="0.25">
      <c r="A1006" s="2">
        <v>1775</v>
      </c>
      <c r="B1006" t="s">
        <v>7518</v>
      </c>
      <c r="C1006" t="s">
        <v>569</v>
      </c>
      <c r="D1006" t="s">
        <v>7519</v>
      </c>
      <c r="E1006" t="s">
        <v>7520</v>
      </c>
      <c r="F1006" t="s">
        <v>569</v>
      </c>
      <c r="G1006" s="1">
        <v>45875</v>
      </c>
      <c r="H1006" s="1">
        <v>45875</v>
      </c>
      <c r="I1006" s="1">
        <v>73050</v>
      </c>
      <c r="J1006" s="2" t="s">
        <v>8267</v>
      </c>
      <c r="K1006" t="s">
        <v>7521</v>
      </c>
      <c r="M1006" s="16" t="s">
        <v>8268</v>
      </c>
      <c r="N1006" s="16" t="str">
        <f>VLOOKUP(M1006,Tab_Zast[[Zastávka]:[Sloupec1]],2,0)</f>
        <v>06</v>
      </c>
      <c r="O1006" t="s">
        <v>7522</v>
      </c>
      <c r="P1006">
        <v>10</v>
      </c>
      <c r="Q1006">
        <v>0</v>
      </c>
      <c r="R1006" t="s">
        <v>31</v>
      </c>
      <c r="S1006" t="s">
        <v>31</v>
      </c>
      <c r="T1006" t="s">
        <v>32</v>
      </c>
      <c r="V1006" s="1" t="e">
        <v>#N/A</v>
      </c>
      <c r="W1006" t="s">
        <v>7412</v>
      </c>
      <c r="X1006">
        <v>0</v>
      </c>
      <c r="Y1006">
        <v>1169</v>
      </c>
      <c r="AA1006" t="str">
        <f t="shared" si="30"/>
        <v>update zamestnanci set nastup='06' where id='1775';</v>
      </c>
      <c r="AB1006" t="str">
        <f t="shared" si="31"/>
        <v>update dochazka set zastavka = '06' where zamestnanec = '1775';</v>
      </c>
    </row>
    <row r="1007" spans="1:28" x14ac:dyDescent="0.25">
      <c r="A1007" s="2">
        <v>1786</v>
      </c>
      <c r="B1007" t="s">
        <v>7556</v>
      </c>
      <c r="C1007" t="s">
        <v>357</v>
      </c>
      <c r="D1007" t="s">
        <v>7557</v>
      </c>
      <c r="E1007" t="s">
        <v>743</v>
      </c>
      <c r="F1007" t="s">
        <v>357</v>
      </c>
      <c r="G1007" s="1">
        <v>45882</v>
      </c>
      <c r="H1007" s="1">
        <v>45912</v>
      </c>
      <c r="I1007" s="1">
        <v>73050</v>
      </c>
      <c r="J1007" s="2" t="s">
        <v>8267</v>
      </c>
      <c r="K1007" t="s">
        <v>7558</v>
      </c>
      <c r="M1007" s="16" t="s">
        <v>8268</v>
      </c>
      <c r="N1007" s="16" t="str">
        <f>VLOOKUP(M1007,Tab_Zast[[Zastávka]:[Sloupec1]],2,0)</f>
        <v>06</v>
      </c>
      <c r="O1007" t="s">
        <v>7559</v>
      </c>
      <c r="P1007">
        <v>10</v>
      </c>
      <c r="Q1007">
        <v>0</v>
      </c>
      <c r="R1007" t="s">
        <v>31</v>
      </c>
      <c r="S1007" t="s">
        <v>31</v>
      </c>
      <c r="T1007" t="s">
        <v>32</v>
      </c>
      <c r="V1007" s="1" t="e">
        <v>#N/A</v>
      </c>
      <c r="W1007" t="s">
        <v>7412</v>
      </c>
      <c r="X1007">
        <v>0</v>
      </c>
      <c r="Y1007">
        <v>1179</v>
      </c>
      <c r="AA1007" t="str">
        <f t="shared" si="30"/>
        <v>update zamestnanci set nastup='06' where id='1786';</v>
      </c>
      <c r="AB1007" t="str">
        <f t="shared" si="31"/>
        <v>update dochazka set zastavka = '06' where zamestnanec = '1786';</v>
      </c>
    </row>
    <row r="1008" spans="1:28" x14ac:dyDescent="0.25">
      <c r="A1008" s="2">
        <v>1806</v>
      </c>
      <c r="B1008" t="s">
        <v>7626</v>
      </c>
      <c r="C1008" t="s">
        <v>569</v>
      </c>
      <c r="D1008" t="s">
        <v>5949</v>
      </c>
      <c r="E1008" t="s">
        <v>4305</v>
      </c>
      <c r="F1008" t="s">
        <v>569</v>
      </c>
      <c r="G1008" s="1">
        <v>45896</v>
      </c>
      <c r="H1008" s="1">
        <v>45908</v>
      </c>
      <c r="I1008" s="1">
        <v>73050</v>
      </c>
      <c r="J1008" s="2" t="s">
        <v>8267</v>
      </c>
      <c r="K1008" t="s">
        <v>7627</v>
      </c>
      <c r="M1008" s="16" t="s">
        <v>8268</v>
      </c>
      <c r="N1008" s="16" t="str">
        <f>VLOOKUP(M1008,Tab_Zast[[Zastávka]:[Sloupec1]],2,0)</f>
        <v>06</v>
      </c>
      <c r="O1008" t="s">
        <v>7628</v>
      </c>
      <c r="P1008">
        <v>10</v>
      </c>
      <c r="Q1008">
        <v>0</v>
      </c>
      <c r="R1008" t="s">
        <v>31</v>
      </c>
      <c r="S1008" t="s">
        <v>31</v>
      </c>
      <c r="T1008" t="s">
        <v>32</v>
      </c>
      <c r="V1008" s="1" t="e">
        <v>#N/A</v>
      </c>
      <c r="W1008" t="s">
        <v>7629</v>
      </c>
      <c r="X1008">
        <v>0</v>
      </c>
      <c r="Y1008">
        <v>1200</v>
      </c>
      <c r="AA1008" t="str">
        <f t="shared" si="30"/>
        <v>update zamestnanci set nastup='06' where id='1806';</v>
      </c>
      <c r="AB1008" t="str">
        <f t="shared" si="31"/>
        <v>update dochazka set zastavka = '06' where zamestnanec = '1806';</v>
      </c>
    </row>
    <row r="1009" spans="1:28" x14ac:dyDescent="0.25">
      <c r="A1009" s="2">
        <v>1807</v>
      </c>
      <c r="B1009" t="s">
        <v>7630</v>
      </c>
      <c r="C1009" t="s">
        <v>357</v>
      </c>
      <c r="D1009" t="s">
        <v>7631</v>
      </c>
      <c r="E1009" t="s">
        <v>2607</v>
      </c>
      <c r="F1009" t="s">
        <v>357</v>
      </c>
      <c r="G1009" s="1">
        <v>45896</v>
      </c>
      <c r="H1009" s="1">
        <v>45908</v>
      </c>
      <c r="I1009" s="1">
        <v>73050</v>
      </c>
      <c r="J1009" s="2" t="s">
        <v>8267</v>
      </c>
      <c r="K1009" t="s">
        <v>7632</v>
      </c>
      <c r="M1009" s="16" t="s">
        <v>8268</v>
      </c>
      <c r="N1009" s="16" t="str">
        <f>VLOOKUP(M1009,Tab_Zast[[Zastávka]:[Sloupec1]],2,0)</f>
        <v>06</v>
      </c>
      <c r="O1009" t="s">
        <v>7633</v>
      </c>
      <c r="P1009">
        <v>10</v>
      </c>
      <c r="Q1009">
        <v>0</v>
      </c>
      <c r="R1009" t="s">
        <v>31</v>
      </c>
      <c r="S1009" t="s">
        <v>31</v>
      </c>
      <c r="T1009" t="s">
        <v>32</v>
      </c>
      <c r="V1009" s="1" t="e">
        <v>#N/A</v>
      </c>
      <c r="W1009" t="s">
        <v>7629</v>
      </c>
      <c r="X1009">
        <v>0</v>
      </c>
      <c r="Y1009">
        <v>1201</v>
      </c>
      <c r="AA1009" t="str">
        <f t="shared" si="30"/>
        <v>update zamestnanci set nastup='06' where id='1807';</v>
      </c>
      <c r="AB1009" t="str">
        <f t="shared" si="31"/>
        <v>update dochazka set zastavka = '06' where zamestnanec = '1807';</v>
      </c>
    </row>
    <row r="1010" spans="1:28" x14ac:dyDescent="0.25">
      <c r="A1010" s="2">
        <v>1842</v>
      </c>
      <c r="B1010" t="s">
        <v>7754</v>
      </c>
      <c r="C1010" t="s">
        <v>357</v>
      </c>
      <c r="D1010" t="s">
        <v>7755</v>
      </c>
      <c r="E1010" t="s">
        <v>755</v>
      </c>
      <c r="F1010" t="s">
        <v>357</v>
      </c>
      <c r="G1010" s="1">
        <v>45915</v>
      </c>
      <c r="H1010" s="1">
        <v>45915</v>
      </c>
      <c r="I1010" s="1">
        <v>73050</v>
      </c>
      <c r="J1010" s="2" t="s">
        <v>8267</v>
      </c>
      <c r="K1010" t="s">
        <v>7756</v>
      </c>
      <c r="M1010" s="16" t="s">
        <v>8268</v>
      </c>
      <c r="N1010" s="16" t="str">
        <f>VLOOKUP(M1010,Tab_Zast[[Zastávka]:[Sloupec1]],2,0)</f>
        <v>06</v>
      </c>
      <c r="O1010" t="s">
        <v>7757</v>
      </c>
      <c r="P1010">
        <v>10</v>
      </c>
      <c r="Q1010">
        <v>0</v>
      </c>
      <c r="R1010" t="s">
        <v>31</v>
      </c>
      <c r="S1010" t="s">
        <v>31</v>
      </c>
      <c r="T1010" t="s">
        <v>32</v>
      </c>
      <c r="V1010" s="1" t="e">
        <v>#N/A</v>
      </c>
      <c r="W1010" t="s">
        <v>7412</v>
      </c>
      <c r="X1010">
        <v>0</v>
      </c>
      <c r="Y1010">
        <v>1238</v>
      </c>
      <c r="AA1010" t="str">
        <f t="shared" si="30"/>
        <v>update zamestnanci set nastup='06' where id='1842';</v>
      </c>
      <c r="AB1010" t="str">
        <f t="shared" si="31"/>
        <v>update dochazka set zastavka = '06' where zamestnanec = '1842';</v>
      </c>
    </row>
    <row r="1011" spans="1:28" x14ac:dyDescent="0.25">
      <c r="A1011" s="2">
        <v>1877</v>
      </c>
      <c r="B1011" t="s">
        <v>7900</v>
      </c>
      <c r="C1011" t="s">
        <v>569</v>
      </c>
      <c r="D1011" t="s">
        <v>7901</v>
      </c>
      <c r="E1011" t="s">
        <v>3223</v>
      </c>
      <c r="F1011" t="s">
        <v>7902</v>
      </c>
      <c r="G1011" s="1">
        <v>45944</v>
      </c>
      <c r="H1011" s="1">
        <v>73050</v>
      </c>
      <c r="I1011" s="1" t="e">
        <v>#N/A</v>
      </c>
      <c r="J1011" s="2" t="s">
        <v>357</v>
      </c>
      <c r="K1011" t="s">
        <v>7903</v>
      </c>
      <c r="M1011" s="16" t="s">
        <v>8551</v>
      </c>
      <c r="N1011" s="16" t="str">
        <f>VLOOKUP(M1011,Tab_Zast[[Zastávka]:[Sloupec1]],2,0)</f>
        <v>00</v>
      </c>
      <c r="O1011" t="s">
        <v>7904</v>
      </c>
      <c r="P1011">
        <v>8</v>
      </c>
      <c r="Q1011">
        <v>0</v>
      </c>
      <c r="R1011" t="s">
        <v>129</v>
      </c>
      <c r="S1011" t="s">
        <v>31</v>
      </c>
      <c r="T1011" t="s">
        <v>32</v>
      </c>
      <c r="V1011" s="1" t="e">
        <v>#N/A</v>
      </c>
      <c r="W1011" t="s">
        <v>3023</v>
      </c>
      <c r="X1011">
        <v>1</v>
      </c>
      <c r="Y1011">
        <v>1272</v>
      </c>
      <c r="AA1011" t="str">
        <f t="shared" si="30"/>
        <v/>
      </c>
      <c r="AB1011" t="str">
        <f t="shared" si="31"/>
        <v/>
      </c>
    </row>
    <row r="1012" spans="1:28" x14ac:dyDescent="0.25">
      <c r="A1012" s="2">
        <v>1878</v>
      </c>
      <c r="B1012" t="s">
        <v>7905</v>
      </c>
      <c r="C1012" t="s">
        <v>569</v>
      </c>
      <c r="D1012" t="s">
        <v>7906</v>
      </c>
      <c r="E1012" t="s">
        <v>2966</v>
      </c>
      <c r="F1012" t="s">
        <v>7907</v>
      </c>
      <c r="G1012" s="1">
        <v>45944</v>
      </c>
      <c r="H1012" s="1">
        <v>73050</v>
      </c>
      <c r="I1012" s="1" t="e">
        <v>#N/A</v>
      </c>
      <c r="J1012" s="2" t="s">
        <v>357</v>
      </c>
      <c r="K1012" t="s">
        <v>7908</v>
      </c>
      <c r="M1012" s="16" t="s">
        <v>8551</v>
      </c>
      <c r="N1012" s="16" t="str">
        <f>VLOOKUP(M1012,Tab_Zast[[Zastávka]:[Sloupec1]],2,0)</f>
        <v>00</v>
      </c>
      <c r="O1012" t="s">
        <v>7909</v>
      </c>
      <c r="P1012">
        <v>8</v>
      </c>
      <c r="Q1012">
        <v>0</v>
      </c>
      <c r="R1012" t="s">
        <v>129</v>
      </c>
      <c r="S1012" t="s">
        <v>31</v>
      </c>
      <c r="T1012" t="s">
        <v>32</v>
      </c>
      <c r="V1012" s="1" t="e">
        <v>#N/A</v>
      </c>
      <c r="W1012" t="s">
        <v>3023</v>
      </c>
      <c r="X1012">
        <v>1</v>
      </c>
      <c r="Y1012">
        <v>1274</v>
      </c>
      <c r="AA1012" t="str">
        <f t="shared" si="30"/>
        <v/>
      </c>
      <c r="AB1012" t="str">
        <f t="shared" si="31"/>
        <v/>
      </c>
    </row>
    <row r="1013" spans="1:28" x14ac:dyDescent="0.25">
      <c r="A1013" s="2">
        <v>1879</v>
      </c>
      <c r="B1013" t="s">
        <v>7910</v>
      </c>
      <c r="C1013" t="s">
        <v>569</v>
      </c>
      <c r="D1013" t="s">
        <v>6121</v>
      </c>
      <c r="E1013" t="s">
        <v>761</v>
      </c>
      <c r="F1013" t="s">
        <v>7911</v>
      </c>
      <c r="G1013" s="1">
        <v>45944</v>
      </c>
      <c r="H1013" s="1">
        <v>45954</v>
      </c>
      <c r="I1013" s="1" t="e">
        <v>#N/A</v>
      </c>
      <c r="J1013" s="2" t="s">
        <v>8356</v>
      </c>
      <c r="K1013" t="s">
        <v>6122</v>
      </c>
      <c r="M1013" s="16" t="s">
        <v>8357</v>
      </c>
      <c r="N1013" s="16" t="str">
        <f>VLOOKUP(M1013,Tab_Zast[[Zastávka]:[Sloupec1]],2,0)</f>
        <v>39</v>
      </c>
      <c r="O1013" t="s">
        <v>6123</v>
      </c>
      <c r="P1013">
        <v>8</v>
      </c>
      <c r="Q1013">
        <v>0</v>
      </c>
      <c r="R1013" t="s">
        <v>31</v>
      </c>
      <c r="S1013" t="s">
        <v>31</v>
      </c>
      <c r="T1013" t="s">
        <v>32</v>
      </c>
      <c r="V1013" s="1" t="e">
        <v>#N/A</v>
      </c>
      <c r="W1013" t="s">
        <v>3023</v>
      </c>
      <c r="X1013">
        <v>0</v>
      </c>
      <c r="Y1013">
        <v>1275</v>
      </c>
      <c r="AA1013" t="str">
        <f t="shared" si="30"/>
        <v>update zamestnanci set nastup='39' where id='1879';</v>
      </c>
      <c r="AB1013" t="str">
        <f t="shared" si="31"/>
        <v>update dochazka set zastavka = '39' where zamestnanec = '1879';</v>
      </c>
    </row>
    <row r="1014" spans="1:28" x14ac:dyDescent="0.25">
      <c r="A1014" s="2">
        <v>1883</v>
      </c>
      <c r="B1014" t="s">
        <v>7926</v>
      </c>
      <c r="C1014" t="s">
        <v>569</v>
      </c>
      <c r="D1014" t="s">
        <v>7927</v>
      </c>
      <c r="E1014" t="s">
        <v>2966</v>
      </c>
      <c r="F1014" t="s">
        <v>64</v>
      </c>
      <c r="G1014" s="1">
        <v>45944</v>
      </c>
      <c r="H1014" s="1">
        <v>45944</v>
      </c>
      <c r="I1014" s="1">
        <v>73050</v>
      </c>
      <c r="J1014" s="2" t="s">
        <v>357</v>
      </c>
      <c r="K1014" t="s">
        <v>7928</v>
      </c>
      <c r="M1014" s="16" t="s">
        <v>8551</v>
      </c>
      <c r="N1014" s="16" t="str">
        <f>VLOOKUP(M1014,Tab_Zast[[Zastávka]:[Sloupec1]],2,0)</f>
        <v>00</v>
      </c>
      <c r="O1014" t="s">
        <v>7904</v>
      </c>
      <c r="P1014">
        <v>8</v>
      </c>
      <c r="Q1014">
        <v>0</v>
      </c>
      <c r="R1014" t="s">
        <v>31</v>
      </c>
      <c r="S1014" t="s">
        <v>31</v>
      </c>
      <c r="T1014" t="s">
        <v>32</v>
      </c>
      <c r="V1014" s="1" t="e">
        <v>#N/A</v>
      </c>
      <c r="X1014">
        <v>0</v>
      </c>
      <c r="Y1014">
        <v>1273</v>
      </c>
      <c r="AA1014" t="str">
        <f t="shared" si="30"/>
        <v/>
      </c>
      <c r="AB1014" t="str">
        <f t="shared" si="31"/>
        <v/>
      </c>
    </row>
    <row r="1015" spans="1:28" x14ac:dyDescent="0.25">
      <c r="A1015" s="2">
        <v>1886</v>
      </c>
      <c r="B1015" t="s">
        <v>64</v>
      </c>
      <c r="C1015" t="s">
        <v>569</v>
      </c>
      <c r="D1015" t="s">
        <v>4544</v>
      </c>
      <c r="E1015" t="s">
        <v>617</v>
      </c>
      <c r="F1015" t="s">
        <v>7937</v>
      </c>
      <c r="G1015" s="1">
        <v>45950</v>
      </c>
      <c r="H1015" s="1">
        <v>45979</v>
      </c>
      <c r="I1015" s="1" t="e">
        <v>#N/A</v>
      </c>
      <c r="J1015" s="2" t="s">
        <v>357</v>
      </c>
      <c r="K1015" t="s">
        <v>7938</v>
      </c>
      <c r="M1015" s="16" t="s">
        <v>8551</v>
      </c>
      <c r="N1015" s="16" t="str">
        <f>VLOOKUP(M1015,Tab_Zast[[Zastávka]:[Sloupec1]],2,0)</f>
        <v>00</v>
      </c>
      <c r="O1015" t="s">
        <v>7765</v>
      </c>
      <c r="P1015">
        <v>8</v>
      </c>
      <c r="Q1015">
        <v>0</v>
      </c>
      <c r="R1015" t="s">
        <v>129</v>
      </c>
      <c r="S1015" t="s">
        <v>179</v>
      </c>
      <c r="T1015" t="s">
        <v>32</v>
      </c>
      <c r="V1015" s="1" t="e">
        <v>#N/A</v>
      </c>
      <c r="W1015" t="s">
        <v>3023</v>
      </c>
      <c r="X1015">
        <v>0</v>
      </c>
      <c r="Y1015">
        <v>1286</v>
      </c>
      <c r="AA1015" t="str">
        <f t="shared" si="30"/>
        <v/>
      </c>
      <c r="AB1015" t="str">
        <f t="shared" si="31"/>
        <v/>
      </c>
    </row>
    <row r="1016" spans="1:28" x14ac:dyDescent="0.25">
      <c r="A1016" s="2">
        <v>1921</v>
      </c>
      <c r="B1016" t="s">
        <v>8087</v>
      </c>
      <c r="C1016" t="s">
        <v>569</v>
      </c>
      <c r="D1016" t="s">
        <v>1914</v>
      </c>
      <c r="E1016" t="s">
        <v>800</v>
      </c>
      <c r="F1016" t="s">
        <v>8088</v>
      </c>
      <c r="G1016" s="1">
        <v>45979</v>
      </c>
      <c r="H1016" s="1">
        <v>45989</v>
      </c>
      <c r="I1016" s="1" t="e">
        <v>#N/A</v>
      </c>
      <c r="J1016" s="2" t="s">
        <v>357</v>
      </c>
      <c r="K1016" t="s">
        <v>8089</v>
      </c>
      <c r="L1016" t="s">
        <v>8090</v>
      </c>
      <c r="M1016" s="16" t="s">
        <v>8551</v>
      </c>
      <c r="N1016" s="16" t="str">
        <f>VLOOKUP(M1016,Tab_Zast[[Zastávka]:[Sloupec1]],2,0)</f>
        <v>00</v>
      </c>
      <c r="O1016" t="s">
        <v>8091</v>
      </c>
      <c r="P1016">
        <v>8</v>
      </c>
      <c r="Q1016">
        <v>0</v>
      </c>
      <c r="R1016" t="s">
        <v>31</v>
      </c>
      <c r="S1016" t="s">
        <v>31</v>
      </c>
      <c r="T1016" t="s">
        <v>32</v>
      </c>
      <c r="V1016" s="1" t="e">
        <v>#N/A</v>
      </c>
      <c r="W1016" t="s">
        <v>493</v>
      </c>
      <c r="X1016">
        <v>0</v>
      </c>
      <c r="Y1016">
        <v>1316</v>
      </c>
      <c r="AA1016" t="str">
        <f t="shared" si="30"/>
        <v/>
      </c>
      <c r="AB1016" t="str">
        <f t="shared" si="31"/>
        <v/>
      </c>
    </row>
    <row r="1017" spans="1:28" x14ac:dyDescent="0.25">
      <c r="A1017" s="2">
        <v>1929</v>
      </c>
      <c r="B1017" t="s">
        <v>8123</v>
      </c>
      <c r="C1017" t="s">
        <v>569</v>
      </c>
      <c r="D1017" t="s">
        <v>8124</v>
      </c>
      <c r="E1017" t="s">
        <v>2391</v>
      </c>
      <c r="F1017" t="s">
        <v>1394</v>
      </c>
      <c r="G1017" s="1">
        <v>45985</v>
      </c>
      <c r="H1017" s="1">
        <v>45989</v>
      </c>
      <c r="I1017" s="1" t="e">
        <v>#N/A</v>
      </c>
      <c r="J1017" s="2" t="s">
        <v>357</v>
      </c>
      <c r="K1017" t="s">
        <v>8125</v>
      </c>
      <c r="M1017" s="16" t="s">
        <v>8551</v>
      </c>
      <c r="N1017" s="16" t="str">
        <f>VLOOKUP(M1017,Tab_Zast[[Zastávka]:[Sloupec1]],2,0)</f>
        <v>00</v>
      </c>
      <c r="O1017" t="s">
        <v>8126</v>
      </c>
      <c r="P1017">
        <v>8</v>
      </c>
      <c r="Q1017">
        <v>0</v>
      </c>
      <c r="R1017" t="s">
        <v>31</v>
      </c>
      <c r="S1017" t="s">
        <v>31</v>
      </c>
      <c r="T1017" t="s">
        <v>32</v>
      </c>
      <c r="V1017" s="1" t="e">
        <v>#N/A</v>
      </c>
      <c r="W1017" t="s">
        <v>493</v>
      </c>
      <c r="X1017">
        <v>0</v>
      </c>
      <c r="Y1017">
        <v>1336</v>
      </c>
      <c r="AA1017" t="str">
        <f t="shared" si="30"/>
        <v/>
      </c>
      <c r="AB1017" t="str">
        <f t="shared" si="31"/>
        <v/>
      </c>
    </row>
    <row r="1018" spans="1:28" x14ac:dyDescent="0.25">
      <c r="A1018" s="2">
        <v>1931</v>
      </c>
      <c r="B1018" t="s">
        <v>8130</v>
      </c>
      <c r="C1018" t="s">
        <v>569</v>
      </c>
      <c r="D1018" t="s">
        <v>8131</v>
      </c>
      <c r="E1018" t="s">
        <v>8132</v>
      </c>
      <c r="F1018" t="s">
        <v>1394</v>
      </c>
      <c r="G1018" s="1">
        <v>45985</v>
      </c>
      <c r="H1018" s="1">
        <v>45989</v>
      </c>
      <c r="I1018" s="1" t="e">
        <v>#N/A</v>
      </c>
      <c r="J1018" s="2" t="s">
        <v>357</v>
      </c>
      <c r="K1018" t="s">
        <v>8133</v>
      </c>
      <c r="M1018" s="16" t="s">
        <v>8551</v>
      </c>
      <c r="N1018" s="16" t="str">
        <f>VLOOKUP(M1018,Tab_Zast[[Zastávka]:[Sloupec1]],2,0)</f>
        <v>00</v>
      </c>
      <c r="O1018" t="s">
        <v>8134</v>
      </c>
      <c r="P1018">
        <v>8</v>
      </c>
      <c r="Q1018">
        <v>0</v>
      </c>
      <c r="R1018" t="s">
        <v>31</v>
      </c>
      <c r="S1018" t="s">
        <v>31</v>
      </c>
      <c r="T1018" t="s">
        <v>32</v>
      </c>
      <c r="V1018" s="1" t="e">
        <v>#N/A</v>
      </c>
      <c r="W1018" t="s">
        <v>493</v>
      </c>
      <c r="X1018">
        <v>0</v>
      </c>
      <c r="Y1018">
        <v>1338</v>
      </c>
      <c r="AA1018" t="str">
        <f t="shared" si="30"/>
        <v/>
      </c>
      <c r="AB1018" t="str">
        <f t="shared" si="31"/>
        <v/>
      </c>
    </row>
    <row r="1019" spans="1:28" x14ac:dyDescent="0.25">
      <c r="A1019" s="2">
        <v>46</v>
      </c>
      <c r="B1019" t="s">
        <v>312</v>
      </c>
      <c r="C1019" t="s">
        <v>312</v>
      </c>
      <c r="D1019" t="s">
        <v>313</v>
      </c>
      <c r="E1019" t="s">
        <v>314</v>
      </c>
      <c r="F1019" t="s">
        <v>315</v>
      </c>
      <c r="G1019" s="1">
        <v>45545</v>
      </c>
      <c r="H1019" s="1" t="e">
        <v>#N/A</v>
      </c>
      <c r="I1019" s="1" t="e">
        <v>#N/A</v>
      </c>
      <c r="J1019" s="2" t="s">
        <v>267</v>
      </c>
      <c r="K1019" t="s">
        <v>316</v>
      </c>
      <c r="M1019" s="16" t="s">
        <v>8305</v>
      </c>
      <c r="N1019" s="16" t="str">
        <f>VLOOKUP(M1019,Tab_Zast[[Zastávka]:[Sloupec1]],2,0)</f>
        <v>18</v>
      </c>
      <c r="O1019" t="s">
        <v>317</v>
      </c>
      <c r="P1019">
        <v>4</v>
      </c>
      <c r="Q1019">
        <v>0</v>
      </c>
      <c r="R1019" t="s">
        <v>129</v>
      </c>
      <c r="S1019" t="s">
        <v>31</v>
      </c>
      <c r="T1019" t="s">
        <v>318</v>
      </c>
      <c r="V1019" s="1" t="e">
        <v>#N/A</v>
      </c>
      <c r="W1019" t="s">
        <v>62</v>
      </c>
      <c r="X1019">
        <v>1</v>
      </c>
      <c r="Y1019">
        <v>0</v>
      </c>
      <c r="AA1019" t="str">
        <f t="shared" si="30"/>
        <v>update zamestnanci set nastup='18' where id='46';</v>
      </c>
      <c r="AB1019" t="str">
        <f t="shared" si="31"/>
        <v>update dochazka set zastavka = '18' where zamestnanec = '46';</v>
      </c>
    </row>
    <row r="1020" spans="1:28" x14ac:dyDescent="0.25">
      <c r="A1020" s="2">
        <v>53</v>
      </c>
      <c r="B1020" t="s">
        <v>354</v>
      </c>
      <c r="C1020" t="s">
        <v>354</v>
      </c>
      <c r="D1020" t="s">
        <v>355</v>
      </c>
      <c r="E1020" t="s">
        <v>356</v>
      </c>
      <c r="F1020" t="s">
        <v>357</v>
      </c>
      <c r="G1020" s="1">
        <v>45201</v>
      </c>
      <c r="H1020" s="1">
        <v>45691</v>
      </c>
      <c r="I1020" s="1">
        <v>73050</v>
      </c>
      <c r="J1020" s="2" t="s">
        <v>8283</v>
      </c>
      <c r="K1020" t="s">
        <v>358</v>
      </c>
      <c r="M1020" s="16" t="s">
        <v>8284</v>
      </c>
      <c r="N1020" s="16" t="str">
        <f>VLOOKUP(M1020,Tab_Zast[[Zastávka]:[Sloupec1]],2,0)</f>
        <v>11</v>
      </c>
      <c r="O1020" t="s">
        <v>359</v>
      </c>
      <c r="P1020">
        <v>1</v>
      </c>
      <c r="Q1020">
        <v>0</v>
      </c>
      <c r="R1020" t="s">
        <v>31</v>
      </c>
      <c r="S1020" t="s">
        <v>31</v>
      </c>
      <c r="T1020" t="s">
        <v>32</v>
      </c>
      <c r="V1020" s="1" t="e">
        <v>#N/A</v>
      </c>
      <c r="W1020" t="s">
        <v>47</v>
      </c>
      <c r="X1020">
        <v>0</v>
      </c>
      <c r="Y1020">
        <v>0</v>
      </c>
      <c r="AA1020" t="str">
        <f t="shared" si="30"/>
        <v>update zamestnanci set nastup='11' where id='53';</v>
      </c>
      <c r="AB1020" t="str">
        <f t="shared" si="31"/>
        <v>update dochazka set zastavka = '11' where zamestnanec = '53';</v>
      </c>
    </row>
    <row r="1021" spans="1:28" x14ac:dyDescent="0.25">
      <c r="A1021" s="2">
        <v>54</v>
      </c>
      <c r="B1021" t="s">
        <v>360</v>
      </c>
      <c r="D1021" t="s">
        <v>361</v>
      </c>
      <c r="E1021" t="s">
        <v>362</v>
      </c>
      <c r="F1021" t="s">
        <v>363</v>
      </c>
      <c r="G1021" s="1">
        <v>45201</v>
      </c>
      <c r="H1021" s="1">
        <v>45344</v>
      </c>
      <c r="I1021" s="1">
        <v>73050</v>
      </c>
      <c r="J1021" s="2" t="s">
        <v>8283</v>
      </c>
      <c r="K1021" t="s">
        <v>364</v>
      </c>
      <c r="M1021" s="16" t="s">
        <v>8284</v>
      </c>
      <c r="N1021" s="16" t="str">
        <f>VLOOKUP(M1021,Tab_Zast[[Zastávka]:[Sloupec1]],2,0)</f>
        <v>11</v>
      </c>
      <c r="O1021" t="s">
        <v>365</v>
      </c>
      <c r="P1021">
        <v>1</v>
      </c>
      <c r="Q1021">
        <v>0</v>
      </c>
      <c r="R1021" t="s">
        <v>31</v>
      </c>
      <c r="S1021" t="s">
        <v>31</v>
      </c>
      <c r="T1021" t="s">
        <v>32</v>
      </c>
      <c r="V1021" s="1" t="e">
        <v>#N/A</v>
      </c>
      <c r="W1021" t="s">
        <v>47</v>
      </c>
      <c r="X1021">
        <v>0</v>
      </c>
      <c r="Y1021">
        <v>0</v>
      </c>
      <c r="AA1021" t="str">
        <f t="shared" si="30"/>
        <v>update zamestnanci set nastup='11' where id='54';</v>
      </c>
      <c r="AB1021" t="str">
        <f t="shared" si="31"/>
        <v>update dochazka set zastavka = '11' where zamestnanec = '54';</v>
      </c>
    </row>
    <row r="1022" spans="1:28" x14ac:dyDescent="0.25">
      <c r="A1022" s="2">
        <v>56</v>
      </c>
      <c r="B1022" t="s">
        <v>372</v>
      </c>
      <c r="D1022" t="s">
        <v>373</v>
      </c>
      <c r="E1022" t="s">
        <v>374</v>
      </c>
      <c r="F1022" t="s">
        <v>375</v>
      </c>
      <c r="G1022" s="1">
        <v>44802</v>
      </c>
      <c r="H1022" s="1">
        <v>45291</v>
      </c>
      <c r="I1022" s="1" t="e">
        <v>#N/A</v>
      </c>
      <c r="J1022" s="2" t="s">
        <v>8283</v>
      </c>
      <c r="K1022" t="s">
        <v>376</v>
      </c>
      <c r="M1022" s="16" t="s">
        <v>8284</v>
      </c>
      <c r="N1022" s="16" t="str">
        <f>VLOOKUP(M1022,Tab_Zast[[Zastávka]:[Sloupec1]],2,0)</f>
        <v>11</v>
      </c>
      <c r="O1022" t="s">
        <v>377</v>
      </c>
      <c r="P1022">
        <v>1</v>
      </c>
      <c r="Q1022">
        <v>0</v>
      </c>
      <c r="R1022" t="s">
        <v>31</v>
      </c>
      <c r="S1022" t="s">
        <v>31</v>
      </c>
      <c r="T1022" t="s">
        <v>32</v>
      </c>
      <c r="V1022" s="1" t="e">
        <v>#N/A</v>
      </c>
      <c r="W1022" t="s">
        <v>47</v>
      </c>
      <c r="X1022">
        <v>0</v>
      </c>
      <c r="Y1022">
        <v>0</v>
      </c>
      <c r="Z1022" t="s">
        <v>54</v>
      </c>
      <c r="AA1022" t="str">
        <f t="shared" si="30"/>
        <v>update zamestnanci set nastup='11' where id='56';</v>
      </c>
      <c r="AB1022" t="str">
        <f t="shared" si="31"/>
        <v>update dochazka set zastavka = '11' where zamestnanec = '56';</v>
      </c>
    </row>
    <row r="1023" spans="1:28" x14ac:dyDescent="0.25">
      <c r="A1023" s="2">
        <v>63</v>
      </c>
      <c r="B1023" t="s">
        <v>413</v>
      </c>
      <c r="D1023" t="s">
        <v>414</v>
      </c>
      <c r="E1023" t="s">
        <v>415</v>
      </c>
      <c r="F1023" t="s">
        <v>416</v>
      </c>
      <c r="G1023" s="1">
        <v>45187</v>
      </c>
      <c r="H1023" s="1">
        <v>45419</v>
      </c>
      <c r="I1023" s="1">
        <v>73050</v>
      </c>
      <c r="J1023" s="2" t="s">
        <v>8518</v>
      </c>
      <c r="K1023" t="s">
        <v>417</v>
      </c>
      <c r="M1023" s="16" t="s">
        <v>8519</v>
      </c>
      <c r="N1023" s="16" t="str">
        <f>VLOOKUP(M1023,Tab_Zast[[Zastávka]:[Sloupec1]],2,0)</f>
        <v>96</v>
      </c>
      <c r="O1023" t="s">
        <v>418</v>
      </c>
      <c r="P1023">
        <v>1</v>
      </c>
      <c r="Q1023">
        <v>0</v>
      </c>
      <c r="R1023" t="s">
        <v>31</v>
      </c>
      <c r="S1023" t="s">
        <v>31</v>
      </c>
      <c r="T1023" t="s">
        <v>32</v>
      </c>
      <c r="V1023" s="1" t="e">
        <v>#N/A</v>
      </c>
      <c r="W1023" t="s">
        <v>47</v>
      </c>
      <c r="X1023">
        <v>0</v>
      </c>
      <c r="Y1023">
        <v>0</v>
      </c>
      <c r="AA1023" t="str">
        <f t="shared" si="30"/>
        <v>update zamestnanci set nastup='96' where id='63';</v>
      </c>
      <c r="AB1023" t="str">
        <f t="shared" si="31"/>
        <v>update dochazka set zastavka = '96' where zamestnanec = '63';</v>
      </c>
    </row>
    <row r="1024" spans="1:28" x14ac:dyDescent="0.25">
      <c r="A1024" s="2">
        <v>65</v>
      </c>
      <c r="B1024" t="s">
        <v>425</v>
      </c>
      <c r="C1024" t="s">
        <v>425</v>
      </c>
      <c r="D1024" t="s">
        <v>219</v>
      </c>
      <c r="E1024" t="s">
        <v>426</v>
      </c>
      <c r="F1024" t="s">
        <v>427</v>
      </c>
      <c r="G1024" s="1">
        <v>45201</v>
      </c>
      <c r="H1024" s="1">
        <v>45566</v>
      </c>
      <c r="I1024" s="1">
        <v>73050</v>
      </c>
      <c r="J1024" s="2" t="s">
        <v>324</v>
      </c>
      <c r="K1024" t="s">
        <v>428</v>
      </c>
      <c r="M1024" s="16" t="s">
        <v>8324</v>
      </c>
      <c r="N1024" s="16" t="str">
        <f>VLOOKUP(M1024,Tab_Zast[[Zastávka]:[Sloupec1]],2,0)</f>
        <v>26</v>
      </c>
      <c r="O1024" t="s">
        <v>429</v>
      </c>
      <c r="P1024">
        <v>1</v>
      </c>
      <c r="Q1024">
        <v>0</v>
      </c>
      <c r="R1024" t="s">
        <v>31</v>
      </c>
      <c r="S1024" t="s">
        <v>31</v>
      </c>
      <c r="T1024" t="s">
        <v>32</v>
      </c>
      <c r="V1024" s="1">
        <v>45515</v>
      </c>
      <c r="W1024" t="s">
        <v>47</v>
      </c>
      <c r="X1024">
        <v>0</v>
      </c>
      <c r="Y1024">
        <v>0</v>
      </c>
      <c r="AA1024" t="str">
        <f t="shared" si="30"/>
        <v>update zamestnanci set nastup='26' where id='65';</v>
      </c>
      <c r="AB1024" t="str">
        <f t="shared" si="31"/>
        <v>update dochazka set zastavka = '26' where zamestnanec = '65';</v>
      </c>
    </row>
    <row r="1025" spans="1:28" x14ac:dyDescent="0.25">
      <c r="A1025" s="2">
        <v>67</v>
      </c>
      <c r="B1025" t="s">
        <v>437</v>
      </c>
      <c r="D1025" t="s">
        <v>438</v>
      </c>
      <c r="E1025" t="s">
        <v>439</v>
      </c>
      <c r="F1025" t="s">
        <v>440</v>
      </c>
      <c r="G1025" s="1">
        <v>45185</v>
      </c>
      <c r="H1025" s="1">
        <v>45408</v>
      </c>
      <c r="I1025" s="1">
        <v>73050</v>
      </c>
      <c r="J1025" s="2" t="s">
        <v>324</v>
      </c>
      <c r="K1025" t="s">
        <v>441</v>
      </c>
      <c r="M1025" s="16" t="s">
        <v>8324</v>
      </c>
      <c r="N1025" s="16" t="str">
        <f>VLOOKUP(M1025,Tab_Zast[[Zastávka]:[Sloupec1]],2,0)</f>
        <v>26</v>
      </c>
      <c r="O1025" t="s">
        <v>442</v>
      </c>
      <c r="P1025">
        <v>1</v>
      </c>
      <c r="Q1025">
        <v>0</v>
      </c>
      <c r="R1025" t="s">
        <v>31</v>
      </c>
      <c r="S1025" t="s">
        <v>31</v>
      </c>
      <c r="T1025" t="s">
        <v>32</v>
      </c>
      <c r="V1025" s="1" t="e">
        <v>#N/A</v>
      </c>
      <c r="W1025" t="s">
        <v>47</v>
      </c>
      <c r="X1025">
        <v>0</v>
      </c>
      <c r="Y1025">
        <v>0</v>
      </c>
      <c r="Z1025" t="s">
        <v>54</v>
      </c>
      <c r="AA1025" t="str">
        <f t="shared" si="30"/>
        <v>update zamestnanci set nastup='26' where id='67';</v>
      </c>
      <c r="AB1025" t="str">
        <f t="shared" si="31"/>
        <v>update dochazka set zastavka = '26' where zamestnanec = '67';</v>
      </c>
    </row>
    <row r="1026" spans="1:28" x14ac:dyDescent="0.25">
      <c r="A1026" s="2">
        <v>68</v>
      </c>
      <c r="B1026" t="s">
        <v>443</v>
      </c>
      <c r="C1026" t="s">
        <v>443</v>
      </c>
      <c r="D1026" t="s">
        <v>444</v>
      </c>
      <c r="E1026" t="s">
        <v>445</v>
      </c>
      <c r="F1026" t="s">
        <v>446</v>
      </c>
      <c r="G1026" s="1">
        <v>45006</v>
      </c>
      <c r="H1026" s="1">
        <v>73050</v>
      </c>
      <c r="I1026" s="1" t="e">
        <v>#N/A</v>
      </c>
      <c r="J1026" s="2" t="s">
        <v>8518</v>
      </c>
      <c r="K1026" t="s">
        <v>447</v>
      </c>
      <c r="M1026" s="16" t="s">
        <v>8519</v>
      </c>
      <c r="N1026" s="16" t="str">
        <f>VLOOKUP(M1026,Tab_Zast[[Zastávka]:[Sloupec1]],2,0)</f>
        <v>96</v>
      </c>
      <c r="O1026" t="s">
        <v>448</v>
      </c>
      <c r="P1026">
        <v>1</v>
      </c>
      <c r="Q1026">
        <v>0</v>
      </c>
      <c r="R1026" t="s">
        <v>129</v>
      </c>
      <c r="S1026" t="s">
        <v>31</v>
      </c>
      <c r="T1026" t="s">
        <v>32</v>
      </c>
      <c r="V1026" s="1" t="e">
        <v>#N/A</v>
      </c>
      <c r="W1026" t="s">
        <v>47</v>
      </c>
      <c r="X1026">
        <v>1</v>
      </c>
      <c r="Y1026">
        <v>0</v>
      </c>
      <c r="AA1026" t="str">
        <f t="shared" si="30"/>
        <v>update zamestnanci set nastup='96' where id='68';</v>
      </c>
      <c r="AB1026" t="str">
        <f t="shared" si="31"/>
        <v>update dochazka set zastavka = '96' where zamestnanec = '68';</v>
      </c>
    </row>
    <row r="1027" spans="1:28" x14ac:dyDescent="0.25">
      <c r="A1027" s="2">
        <v>70</v>
      </c>
      <c r="B1027" t="s">
        <v>455</v>
      </c>
      <c r="C1027" t="s">
        <v>455</v>
      </c>
      <c r="D1027" t="s">
        <v>456</v>
      </c>
      <c r="E1027" t="s">
        <v>457</v>
      </c>
      <c r="F1027" t="s">
        <v>458</v>
      </c>
      <c r="G1027" s="1">
        <v>44725</v>
      </c>
      <c r="H1027" s="1">
        <v>73050</v>
      </c>
      <c r="I1027" s="1" t="e">
        <v>#N/A</v>
      </c>
      <c r="J1027" s="2" t="s">
        <v>8283</v>
      </c>
      <c r="K1027" t="s">
        <v>459</v>
      </c>
      <c r="M1027" s="16" t="s">
        <v>8284</v>
      </c>
      <c r="N1027" s="16" t="str">
        <f>VLOOKUP(M1027,Tab_Zast[[Zastávka]:[Sloupec1]],2,0)</f>
        <v>11</v>
      </c>
      <c r="O1027" t="s">
        <v>460</v>
      </c>
      <c r="P1027">
        <v>1</v>
      </c>
      <c r="Q1027">
        <v>0</v>
      </c>
      <c r="R1027" t="s">
        <v>130</v>
      </c>
      <c r="S1027" t="s">
        <v>31</v>
      </c>
      <c r="T1027" t="s">
        <v>32</v>
      </c>
      <c r="V1027" s="1" t="e">
        <v>#N/A</v>
      </c>
      <c r="W1027" t="s">
        <v>47</v>
      </c>
      <c r="X1027">
        <v>1</v>
      </c>
      <c r="Y1027">
        <v>0</v>
      </c>
      <c r="AA1027" t="str">
        <f t="shared" si="30"/>
        <v>update zamestnanci set nastup='11' where id='70';</v>
      </c>
      <c r="AB1027" t="str">
        <f t="shared" si="31"/>
        <v>update dochazka set zastavka = '11' where zamestnanec = '70';</v>
      </c>
    </row>
    <row r="1028" spans="1:28" x14ac:dyDescent="0.25">
      <c r="A1028" s="2">
        <v>91</v>
      </c>
      <c r="B1028" t="s">
        <v>572</v>
      </c>
      <c r="C1028" t="s">
        <v>572</v>
      </c>
      <c r="D1028" t="s">
        <v>573</v>
      </c>
      <c r="E1028" t="s">
        <v>574</v>
      </c>
      <c r="F1028" t="s">
        <v>575</v>
      </c>
      <c r="G1028" s="1">
        <v>45078</v>
      </c>
      <c r="H1028" s="1">
        <v>73050</v>
      </c>
      <c r="I1028" s="1" t="e">
        <v>#N/A</v>
      </c>
      <c r="J1028" s="2" t="s">
        <v>324</v>
      </c>
      <c r="K1028" t="s">
        <v>576</v>
      </c>
      <c r="M1028" s="16" t="s">
        <v>8324</v>
      </c>
      <c r="N1028" s="16" t="str">
        <f>VLOOKUP(M1028,Tab_Zast[[Zastávka]:[Sloupec1]],2,0)</f>
        <v>26</v>
      </c>
      <c r="O1028" t="s">
        <v>577</v>
      </c>
      <c r="P1028">
        <v>1</v>
      </c>
      <c r="Q1028">
        <v>0</v>
      </c>
      <c r="R1028" t="s">
        <v>129</v>
      </c>
      <c r="S1028" t="s">
        <v>31</v>
      </c>
      <c r="T1028" t="s">
        <v>32</v>
      </c>
      <c r="V1028" s="1" t="e">
        <v>#N/A</v>
      </c>
      <c r="W1028" t="s">
        <v>47</v>
      </c>
      <c r="X1028">
        <v>1</v>
      </c>
      <c r="Y1028">
        <v>0</v>
      </c>
      <c r="AA1028" t="str">
        <f t="shared" ref="AA1028:AA1091" si="32">IF(J1028&lt;&gt;"00","update zamestnanci set nastup='" &amp; J1028 &amp; "' where id='" &amp; A1028 &amp; "';","")</f>
        <v>update zamestnanci set nastup='26' where id='91';</v>
      </c>
      <c r="AB1028" t="str">
        <f t="shared" ref="AB1028:AB1091" si="33">IF(J1028&lt;&gt;"00","update dochazka set zastavka = '" &amp; J1028 &amp; "' where zamestnanec = '" &amp; A1028 &amp; "';","")</f>
        <v>update dochazka set zastavka = '26' where zamestnanec = '91';</v>
      </c>
    </row>
    <row r="1029" spans="1:28" x14ac:dyDescent="0.25">
      <c r="A1029" s="2">
        <v>94</v>
      </c>
      <c r="B1029" t="s">
        <v>591</v>
      </c>
      <c r="C1029" t="s">
        <v>591</v>
      </c>
      <c r="D1029" t="s">
        <v>592</v>
      </c>
      <c r="E1029" t="s">
        <v>593</v>
      </c>
      <c r="F1029" t="s">
        <v>594</v>
      </c>
      <c r="G1029" s="1">
        <v>45183</v>
      </c>
      <c r="H1029" s="1">
        <v>73050</v>
      </c>
      <c r="I1029" s="1" t="e">
        <v>#N/A</v>
      </c>
      <c r="J1029" s="2" t="s">
        <v>324</v>
      </c>
      <c r="K1029" t="s">
        <v>595</v>
      </c>
      <c r="M1029" s="16" t="s">
        <v>8324</v>
      </c>
      <c r="N1029" s="16" t="str">
        <f>VLOOKUP(M1029,Tab_Zast[[Zastávka]:[Sloupec1]],2,0)</f>
        <v>26</v>
      </c>
      <c r="O1029" t="s">
        <v>596</v>
      </c>
      <c r="P1029">
        <v>1</v>
      </c>
      <c r="Q1029">
        <v>0</v>
      </c>
      <c r="R1029" t="s">
        <v>129</v>
      </c>
      <c r="S1029" t="s">
        <v>31</v>
      </c>
      <c r="T1029" t="s">
        <v>32</v>
      </c>
      <c r="V1029" s="1" t="e">
        <v>#N/A</v>
      </c>
      <c r="W1029" t="s">
        <v>47</v>
      </c>
      <c r="X1029">
        <v>1</v>
      </c>
      <c r="Y1029">
        <v>0</v>
      </c>
      <c r="AA1029" t="str">
        <f t="shared" si="32"/>
        <v>update zamestnanci set nastup='26' where id='94';</v>
      </c>
      <c r="AB1029" t="str">
        <f t="shared" si="33"/>
        <v>update dochazka set zastavka = '26' where zamestnanec = '94';</v>
      </c>
    </row>
    <row r="1030" spans="1:28" x14ac:dyDescent="0.25">
      <c r="A1030" s="2">
        <v>118</v>
      </c>
      <c r="B1030" t="s">
        <v>729</v>
      </c>
      <c r="D1030" t="s">
        <v>730</v>
      </c>
      <c r="E1030" t="s">
        <v>731</v>
      </c>
      <c r="F1030" t="s">
        <v>732</v>
      </c>
      <c r="G1030" s="1">
        <v>45166</v>
      </c>
      <c r="H1030" s="1">
        <v>45245</v>
      </c>
      <c r="I1030" s="1" t="e">
        <v>#N/A</v>
      </c>
      <c r="J1030" s="2" t="s">
        <v>294</v>
      </c>
      <c r="K1030" t="s">
        <v>733</v>
      </c>
      <c r="M1030" s="16" t="s">
        <v>8314</v>
      </c>
      <c r="N1030" s="16" t="str">
        <f>VLOOKUP(M1030,Tab_Zast[[Zastávka]:[Sloupec1]],2,0)</f>
        <v>22</v>
      </c>
      <c r="O1030" t="s">
        <v>734</v>
      </c>
      <c r="P1030">
        <v>1</v>
      </c>
      <c r="Q1030">
        <v>0</v>
      </c>
      <c r="R1030" t="s">
        <v>31</v>
      </c>
      <c r="S1030" t="s">
        <v>31</v>
      </c>
      <c r="T1030" t="s">
        <v>32</v>
      </c>
      <c r="V1030" s="1" t="e">
        <v>#N/A</v>
      </c>
      <c r="W1030" t="s">
        <v>47</v>
      </c>
      <c r="X1030">
        <v>0</v>
      </c>
      <c r="Y1030">
        <v>0</v>
      </c>
      <c r="Z1030" t="s">
        <v>40</v>
      </c>
      <c r="AA1030" t="str">
        <f t="shared" si="32"/>
        <v>update zamestnanci set nastup='22' where id='118';</v>
      </c>
      <c r="AB1030" t="str">
        <f t="shared" si="33"/>
        <v>update dochazka set zastavka = '22' where zamestnanec = '118';</v>
      </c>
    </row>
    <row r="1031" spans="1:28" x14ac:dyDescent="0.25">
      <c r="A1031" s="2">
        <v>134</v>
      </c>
      <c r="B1031" t="s">
        <v>819</v>
      </c>
      <c r="C1031" t="s">
        <v>820</v>
      </c>
      <c r="D1031" t="s">
        <v>821</v>
      </c>
      <c r="E1031" t="s">
        <v>822</v>
      </c>
      <c r="F1031" t="s">
        <v>64</v>
      </c>
      <c r="G1031" s="1">
        <v>44970</v>
      </c>
      <c r="H1031" s="1">
        <v>45743</v>
      </c>
      <c r="I1031" s="1">
        <v>73050</v>
      </c>
      <c r="J1031" s="2" t="s">
        <v>267</v>
      </c>
      <c r="K1031" t="s">
        <v>823</v>
      </c>
      <c r="M1031" s="16" t="s">
        <v>8305</v>
      </c>
      <c r="N1031" s="16" t="str">
        <f>VLOOKUP(M1031,Tab_Zast[[Zastávka]:[Sloupec1]],2,0)</f>
        <v>18</v>
      </c>
      <c r="O1031" t="s">
        <v>824</v>
      </c>
      <c r="P1031">
        <v>4</v>
      </c>
      <c r="Q1031">
        <v>0</v>
      </c>
      <c r="R1031" t="s">
        <v>31</v>
      </c>
      <c r="S1031" t="s">
        <v>31</v>
      </c>
      <c r="T1031" t="s">
        <v>318</v>
      </c>
      <c r="V1031" s="1">
        <v>45741</v>
      </c>
      <c r="W1031" t="s">
        <v>62</v>
      </c>
      <c r="X1031">
        <v>0</v>
      </c>
      <c r="Y1031">
        <v>0</v>
      </c>
      <c r="AA1031" t="str">
        <f t="shared" si="32"/>
        <v>update zamestnanci set nastup='18' where id='134';</v>
      </c>
      <c r="AB1031" t="str">
        <f t="shared" si="33"/>
        <v>update dochazka set zastavka = '18' where zamestnanec = '134';</v>
      </c>
    </row>
    <row r="1032" spans="1:28" x14ac:dyDescent="0.25">
      <c r="A1032" s="2">
        <v>136</v>
      </c>
      <c r="B1032" t="s">
        <v>831</v>
      </c>
      <c r="C1032" t="s">
        <v>832</v>
      </c>
      <c r="D1032" t="s">
        <v>833</v>
      </c>
      <c r="E1032" t="s">
        <v>834</v>
      </c>
      <c r="F1032" t="s">
        <v>835</v>
      </c>
      <c r="G1032" s="1">
        <v>44795</v>
      </c>
      <c r="H1032" s="1">
        <v>45548</v>
      </c>
      <c r="I1032" s="1">
        <v>73050</v>
      </c>
      <c r="J1032" s="2" t="s">
        <v>555</v>
      </c>
      <c r="K1032" t="s">
        <v>836</v>
      </c>
      <c r="M1032" s="16" t="s">
        <v>8420</v>
      </c>
      <c r="N1032" s="16" t="str">
        <f>VLOOKUP(M1032,Tab_Zast[[Zastávka]:[Sloupec1]],2,0)</f>
        <v>62</v>
      </c>
      <c r="O1032" t="s">
        <v>837</v>
      </c>
      <c r="P1032">
        <v>4</v>
      </c>
      <c r="Q1032">
        <v>0</v>
      </c>
      <c r="R1032" t="s">
        <v>31</v>
      </c>
      <c r="S1032" t="s">
        <v>31</v>
      </c>
      <c r="T1032" t="s">
        <v>103</v>
      </c>
      <c r="V1032" s="1">
        <v>45541</v>
      </c>
      <c r="W1032" t="s">
        <v>62</v>
      </c>
      <c r="X1032">
        <v>0</v>
      </c>
      <c r="Y1032">
        <v>0</v>
      </c>
      <c r="AA1032" t="str">
        <f t="shared" si="32"/>
        <v>update zamestnanci set nastup='62' where id='136';</v>
      </c>
      <c r="AB1032" t="str">
        <f t="shared" si="33"/>
        <v>update dochazka set zastavka = '62' where zamestnanec = '136';</v>
      </c>
    </row>
    <row r="1033" spans="1:28" x14ac:dyDescent="0.25">
      <c r="A1033" s="2">
        <v>144</v>
      </c>
      <c r="B1033" t="s">
        <v>883</v>
      </c>
      <c r="C1033" t="s">
        <v>64</v>
      </c>
      <c r="D1033" t="s">
        <v>884</v>
      </c>
      <c r="E1033" t="s">
        <v>885</v>
      </c>
      <c r="F1033" t="s">
        <v>67</v>
      </c>
      <c r="G1033" s="1">
        <v>44746</v>
      </c>
      <c r="H1033" s="1">
        <v>45338</v>
      </c>
      <c r="I1033" s="1">
        <v>73050</v>
      </c>
      <c r="J1033" s="2" t="s">
        <v>723</v>
      </c>
      <c r="K1033" t="s">
        <v>886</v>
      </c>
      <c r="M1033" s="16" t="s">
        <v>8503</v>
      </c>
      <c r="N1033" s="16" t="str">
        <f>VLOOKUP(M1033,Tab_Zast[[Zastávka]:[Sloupec1]],2,0)</f>
        <v>90</v>
      </c>
      <c r="O1033" t="s">
        <v>887</v>
      </c>
      <c r="P1033">
        <v>4</v>
      </c>
      <c r="Q1033">
        <v>0</v>
      </c>
      <c r="R1033" t="s">
        <v>31</v>
      </c>
      <c r="S1033" t="s">
        <v>31</v>
      </c>
      <c r="T1033" t="s">
        <v>32</v>
      </c>
      <c r="V1033" s="1" t="e">
        <v>#N/A</v>
      </c>
      <c r="W1033" t="s">
        <v>62</v>
      </c>
      <c r="X1033">
        <v>0</v>
      </c>
      <c r="Y1033">
        <v>0</v>
      </c>
      <c r="Z1033" t="s">
        <v>54</v>
      </c>
      <c r="AA1033" t="str">
        <f t="shared" si="32"/>
        <v>update zamestnanci set nastup='90' where id='144';</v>
      </c>
      <c r="AB1033" t="str">
        <f t="shared" si="33"/>
        <v>update dochazka set zastavka = '90' where zamestnanec = '144';</v>
      </c>
    </row>
    <row r="1034" spans="1:28" x14ac:dyDescent="0.25">
      <c r="A1034" s="2">
        <v>145</v>
      </c>
      <c r="B1034" t="s">
        <v>888</v>
      </c>
      <c r="D1034" t="s">
        <v>889</v>
      </c>
      <c r="E1034" t="s">
        <v>890</v>
      </c>
      <c r="F1034" t="s">
        <v>891</v>
      </c>
      <c r="G1034" s="1">
        <v>45162</v>
      </c>
      <c r="H1034" s="1">
        <v>45427</v>
      </c>
      <c r="I1034" s="1">
        <v>73050</v>
      </c>
      <c r="J1034" s="2" t="s">
        <v>555</v>
      </c>
      <c r="K1034" t="s">
        <v>892</v>
      </c>
      <c r="M1034" s="16" t="s">
        <v>8420</v>
      </c>
      <c r="N1034" s="16" t="str">
        <f>VLOOKUP(M1034,Tab_Zast[[Zastávka]:[Sloupec1]],2,0)</f>
        <v>62</v>
      </c>
      <c r="O1034" t="s">
        <v>893</v>
      </c>
      <c r="P1034">
        <v>4</v>
      </c>
      <c r="Q1034">
        <v>0</v>
      </c>
      <c r="R1034" t="s">
        <v>31</v>
      </c>
      <c r="S1034" t="s">
        <v>31</v>
      </c>
      <c r="T1034" t="s">
        <v>32</v>
      </c>
      <c r="V1034" s="1" t="e">
        <v>#N/A</v>
      </c>
      <c r="W1034" t="s">
        <v>62</v>
      </c>
      <c r="X1034">
        <v>0</v>
      </c>
      <c r="Y1034">
        <v>0</v>
      </c>
      <c r="Z1034" t="s">
        <v>54</v>
      </c>
      <c r="AA1034" t="str">
        <f t="shared" si="32"/>
        <v>update zamestnanci set nastup='62' where id='145';</v>
      </c>
      <c r="AB1034" t="str">
        <f t="shared" si="33"/>
        <v>update dochazka set zastavka = '62' where zamestnanec = '145';</v>
      </c>
    </row>
    <row r="1035" spans="1:28" x14ac:dyDescent="0.25">
      <c r="A1035" s="2">
        <v>158</v>
      </c>
      <c r="B1035" t="s">
        <v>967</v>
      </c>
      <c r="C1035" t="s">
        <v>968</v>
      </c>
      <c r="D1035" t="s">
        <v>969</v>
      </c>
      <c r="E1035" t="s">
        <v>970</v>
      </c>
      <c r="F1035" t="s">
        <v>971</v>
      </c>
      <c r="G1035" s="1">
        <v>45071</v>
      </c>
      <c r="H1035" s="1">
        <v>45565</v>
      </c>
      <c r="I1035" s="1">
        <v>73050</v>
      </c>
      <c r="J1035" s="2" t="s">
        <v>357</v>
      </c>
      <c r="K1035" t="s">
        <v>972</v>
      </c>
      <c r="M1035" s="16" t="s">
        <v>8551</v>
      </c>
      <c r="N1035" s="16" t="str">
        <f>VLOOKUP(M1035,Tab_Zast[[Zastávka]:[Sloupec1]],2,0)</f>
        <v>00</v>
      </c>
      <c r="O1035" t="s">
        <v>973</v>
      </c>
      <c r="P1035">
        <v>4</v>
      </c>
      <c r="Q1035">
        <v>0</v>
      </c>
      <c r="R1035" t="s">
        <v>31</v>
      </c>
      <c r="S1035" t="s">
        <v>31</v>
      </c>
      <c r="T1035" t="s">
        <v>205</v>
      </c>
      <c r="V1035" s="1" t="e">
        <v>#N/A</v>
      </c>
      <c r="W1035" t="s">
        <v>62</v>
      </c>
      <c r="X1035">
        <v>0</v>
      </c>
      <c r="Y1035">
        <v>0</v>
      </c>
      <c r="AA1035" t="str">
        <f t="shared" si="32"/>
        <v/>
      </c>
      <c r="AB1035" t="str">
        <f t="shared" si="33"/>
        <v/>
      </c>
    </row>
    <row r="1036" spans="1:28" x14ac:dyDescent="0.25">
      <c r="A1036" s="2">
        <v>163</v>
      </c>
      <c r="B1036" t="s">
        <v>998</v>
      </c>
      <c r="C1036" t="s">
        <v>999</v>
      </c>
      <c r="D1036" t="s">
        <v>1000</v>
      </c>
      <c r="E1036" t="s">
        <v>1001</v>
      </c>
      <c r="F1036" t="s">
        <v>1002</v>
      </c>
      <c r="G1036" s="1">
        <v>45103</v>
      </c>
      <c r="H1036" s="1">
        <v>45473</v>
      </c>
      <c r="I1036" s="1">
        <v>73050</v>
      </c>
      <c r="J1036" s="2" t="s">
        <v>357</v>
      </c>
      <c r="K1036" t="s">
        <v>1003</v>
      </c>
      <c r="M1036" s="16" t="s">
        <v>8551</v>
      </c>
      <c r="N1036" s="16" t="str">
        <f>VLOOKUP(M1036,Tab_Zast[[Zastávka]:[Sloupec1]],2,0)</f>
        <v>00</v>
      </c>
      <c r="O1036" t="s">
        <v>1004</v>
      </c>
      <c r="P1036">
        <v>4</v>
      </c>
      <c r="Q1036">
        <v>0</v>
      </c>
      <c r="R1036" t="s">
        <v>31</v>
      </c>
      <c r="S1036" t="s">
        <v>31</v>
      </c>
      <c r="T1036" t="s">
        <v>205</v>
      </c>
      <c r="V1036" s="1" t="e">
        <v>#N/A</v>
      </c>
      <c r="W1036" t="s">
        <v>62</v>
      </c>
      <c r="X1036">
        <v>0</v>
      </c>
      <c r="Y1036">
        <v>0</v>
      </c>
      <c r="AA1036" t="str">
        <f t="shared" si="32"/>
        <v/>
      </c>
      <c r="AB1036" t="str">
        <f t="shared" si="33"/>
        <v/>
      </c>
    </row>
    <row r="1037" spans="1:28" x14ac:dyDescent="0.25">
      <c r="A1037" s="2">
        <v>384</v>
      </c>
      <c r="B1037" t="s">
        <v>1217</v>
      </c>
      <c r="C1037" t="s">
        <v>1218</v>
      </c>
      <c r="D1037" t="s">
        <v>1219</v>
      </c>
      <c r="E1037" t="s">
        <v>1220</v>
      </c>
      <c r="F1037" t="s">
        <v>170</v>
      </c>
      <c r="G1037" s="1">
        <v>44805</v>
      </c>
      <c r="H1037" s="1">
        <v>73050</v>
      </c>
      <c r="I1037" s="1" t="e">
        <v>#N/A</v>
      </c>
      <c r="J1037" s="2" t="s">
        <v>267</v>
      </c>
      <c r="K1037" t="s">
        <v>1221</v>
      </c>
      <c r="M1037" s="16" t="s">
        <v>8305</v>
      </c>
      <c r="N1037" s="16" t="str">
        <f>VLOOKUP(M1037,Tab_Zast[[Zastávka]:[Sloupec1]],2,0)</f>
        <v>18</v>
      </c>
      <c r="O1037" t="s">
        <v>1222</v>
      </c>
      <c r="P1037">
        <v>4</v>
      </c>
      <c r="Q1037">
        <v>0</v>
      </c>
      <c r="R1037" t="s">
        <v>129</v>
      </c>
      <c r="S1037" t="s">
        <v>31</v>
      </c>
      <c r="T1037" t="s">
        <v>205</v>
      </c>
      <c r="V1037" s="1" t="e">
        <v>#N/A</v>
      </c>
      <c r="W1037" t="s">
        <v>62</v>
      </c>
      <c r="X1037">
        <v>1</v>
      </c>
      <c r="Y1037">
        <v>0</v>
      </c>
      <c r="AA1037" t="str">
        <f t="shared" si="32"/>
        <v>update zamestnanci set nastup='18' where id='384';</v>
      </c>
      <c r="AB1037" t="str">
        <f t="shared" si="33"/>
        <v>update dochazka set zastavka = '18' where zamestnanec = '384';</v>
      </c>
    </row>
    <row r="1038" spans="1:28" x14ac:dyDescent="0.25">
      <c r="A1038" s="2">
        <v>619</v>
      </c>
      <c r="B1038" t="s">
        <v>2667</v>
      </c>
      <c r="D1038" t="s">
        <v>2668</v>
      </c>
      <c r="E1038" t="s">
        <v>2669</v>
      </c>
      <c r="F1038" t="s">
        <v>2670</v>
      </c>
      <c r="G1038" s="1">
        <v>45019</v>
      </c>
      <c r="H1038" s="1">
        <v>45384</v>
      </c>
      <c r="I1038" s="1">
        <v>73050</v>
      </c>
      <c r="J1038" s="2" t="s">
        <v>8518</v>
      </c>
      <c r="K1038" t="s">
        <v>2671</v>
      </c>
      <c r="M1038" s="16" t="s">
        <v>8519</v>
      </c>
      <c r="N1038" s="16" t="str">
        <f>VLOOKUP(M1038,Tab_Zast[[Zastávka]:[Sloupec1]],2,0)</f>
        <v>96</v>
      </c>
      <c r="O1038" t="s">
        <v>2672</v>
      </c>
      <c r="P1038">
        <v>1</v>
      </c>
      <c r="Q1038">
        <v>0</v>
      </c>
      <c r="R1038" t="s">
        <v>31</v>
      </c>
      <c r="S1038" t="s">
        <v>31</v>
      </c>
      <c r="T1038" t="s">
        <v>32</v>
      </c>
      <c r="V1038" s="1">
        <v>45379</v>
      </c>
      <c r="W1038" t="s">
        <v>47</v>
      </c>
      <c r="X1038">
        <v>0</v>
      </c>
      <c r="Y1038">
        <v>0</v>
      </c>
      <c r="Z1038" t="s">
        <v>54</v>
      </c>
      <c r="AA1038" t="str">
        <f t="shared" si="32"/>
        <v>update zamestnanci set nastup='96' where id='619';</v>
      </c>
      <c r="AB1038" t="str">
        <f t="shared" si="33"/>
        <v>update dochazka set zastavka = '96' where zamestnanec = '619';</v>
      </c>
    </row>
    <row r="1039" spans="1:28" x14ac:dyDescent="0.25">
      <c r="A1039" s="2">
        <v>680</v>
      </c>
      <c r="B1039" t="s">
        <v>2983</v>
      </c>
      <c r="D1039" t="s">
        <v>2984</v>
      </c>
      <c r="E1039" t="s">
        <v>2985</v>
      </c>
      <c r="F1039" t="s">
        <v>2986</v>
      </c>
      <c r="G1039" s="1">
        <v>45237</v>
      </c>
      <c r="H1039" s="1">
        <v>45272</v>
      </c>
      <c r="I1039" s="1" t="e">
        <v>#N/A</v>
      </c>
      <c r="J1039" s="2" t="s">
        <v>8283</v>
      </c>
      <c r="K1039" t="s">
        <v>2987</v>
      </c>
      <c r="M1039" s="16" t="s">
        <v>8284</v>
      </c>
      <c r="N1039" s="16" t="str">
        <f>VLOOKUP(M1039,Tab_Zast[[Zastávka]:[Sloupec1]],2,0)</f>
        <v>11</v>
      </c>
      <c r="O1039" t="s">
        <v>2988</v>
      </c>
      <c r="P1039">
        <v>1</v>
      </c>
      <c r="Q1039">
        <v>0</v>
      </c>
      <c r="R1039" t="s">
        <v>31</v>
      </c>
      <c r="S1039" t="s">
        <v>31</v>
      </c>
      <c r="T1039" t="s">
        <v>32</v>
      </c>
      <c r="V1039" s="1" t="e">
        <v>#N/A</v>
      </c>
      <c r="W1039" t="s">
        <v>2381</v>
      </c>
      <c r="X1039">
        <v>0</v>
      </c>
      <c r="Y1039">
        <v>0</v>
      </c>
      <c r="AA1039" t="str">
        <f t="shared" si="32"/>
        <v>update zamestnanci set nastup='11' where id='680';</v>
      </c>
      <c r="AB1039" t="str">
        <f t="shared" si="33"/>
        <v>update dochazka set zastavka = '11' where zamestnanec = '680';</v>
      </c>
    </row>
    <row r="1040" spans="1:28" x14ac:dyDescent="0.25">
      <c r="A1040" s="2">
        <v>685</v>
      </c>
      <c r="B1040" t="s">
        <v>3011</v>
      </c>
      <c r="C1040" t="s">
        <v>3012</v>
      </c>
      <c r="D1040" t="s">
        <v>3013</v>
      </c>
      <c r="E1040" t="s">
        <v>737</v>
      </c>
      <c r="F1040" t="s">
        <v>3014</v>
      </c>
      <c r="G1040" s="1">
        <v>45320</v>
      </c>
      <c r="H1040" s="1" t="e">
        <v>#N/A</v>
      </c>
      <c r="I1040" s="1" t="e">
        <v>#N/A</v>
      </c>
      <c r="J1040" s="2" t="s">
        <v>723</v>
      </c>
      <c r="K1040" t="s">
        <v>3015</v>
      </c>
      <c r="M1040" s="16" t="s">
        <v>8503</v>
      </c>
      <c r="N1040" s="16" t="str">
        <f>VLOOKUP(M1040,Tab_Zast[[Zastávka]:[Sloupec1]],2,0)</f>
        <v>90</v>
      </c>
      <c r="O1040" t="s">
        <v>3016</v>
      </c>
      <c r="P1040">
        <v>4</v>
      </c>
      <c r="Q1040">
        <v>0</v>
      </c>
      <c r="R1040" t="s">
        <v>129</v>
      </c>
      <c r="S1040" t="s">
        <v>31</v>
      </c>
      <c r="T1040" t="s">
        <v>103</v>
      </c>
      <c r="V1040" s="1" t="e">
        <v>#N/A</v>
      </c>
      <c r="W1040" t="s">
        <v>62</v>
      </c>
      <c r="X1040">
        <v>1</v>
      </c>
      <c r="Y1040">
        <v>0</v>
      </c>
      <c r="AA1040" t="str">
        <f t="shared" si="32"/>
        <v>update zamestnanci set nastup='90' where id='685';</v>
      </c>
      <c r="AB1040" t="str">
        <f t="shared" si="33"/>
        <v>update dochazka set zastavka = '90' where zamestnanec = '685';</v>
      </c>
    </row>
    <row r="1041" spans="1:28" x14ac:dyDescent="0.25">
      <c r="A1041" s="2">
        <v>702</v>
      </c>
      <c r="B1041" t="s">
        <v>3108</v>
      </c>
      <c r="C1041" t="s">
        <v>3109</v>
      </c>
      <c r="D1041" t="s">
        <v>3110</v>
      </c>
      <c r="E1041" t="s">
        <v>3111</v>
      </c>
      <c r="F1041" t="s">
        <v>805</v>
      </c>
      <c r="G1041" s="1">
        <v>45261</v>
      </c>
      <c r="H1041" s="1">
        <v>45565</v>
      </c>
      <c r="I1041" s="1">
        <v>73050</v>
      </c>
      <c r="J1041" s="2" t="s">
        <v>357</v>
      </c>
      <c r="K1041" t="s">
        <v>3112</v>
      </c>
      <c r="M1041" s="16" t="s">
        <v>8551</v>
      </c>
      <c r="N1041" s="16" t="str">
        <f>VLOOKUP(M1041,Tab_Zast[[Zastávka]:[Sloupec1]],2,0)</f>
        <v>00</v>
      </c>
      <c r="O1041" t="s">
        <v>3113</v>
      </c>
      <c r="P1041">
        <v>4</v>
      </c>
      <c r="Q1041">
        <v>0</v>
      </c>
      <c r="R1041" t="s">
        <v>31</v>
      </c>
      <c r="S1041" t="s">
        <v>31</v>
      </c>
      <c r="T1041" t="s">
        <v>32</v>
      </c>
      <c r="V1041" s="1" t="e">
        <v>#N/A</v>
      </c>
      <c r="W1041" t="s">
        <v>62</v>
      </c>
      <c r="X1041">
        <v>0</v>
      </c>
      <c r="Y1041">
        <v>0</v>
      </c>
      <c r="AA1041" t="str">
        <f t="shared" si="32"/>
        <v/>
      </c>
      <c r="AB1041" t="str">
        <f t="shared" si="33"/>
        <v/>
      </c>
    </row>
    <row r="1042" spans="1:28" x14ac:dyDescent="0.25">
      <c r="A1042" s="2">
        <v>724</v>
      </c>
      <c r="B1042" t="s">
        <v>3213</v>
      </c>
      <c r="D1042" t="s">
        <v>3214</v>
      </c>
      <c r="E1042" t="s">
        <v>3215</v>
      </c>
      <c r="F1042" t="s">
        <v>790</v>
      </c>
      <c r="G1042" s="1">
        <v>45293</v>
      </c>
      <c r="H1042" s="1">
        <v>45412</v>
      </c>
      <c r="I1042" s="1">
        <v>73050</v>
      </c>
      <c r="J1042" s="2" t="s">
        <v>357</v>
      </c>
      <c r="K1042" t="s">
        <v>3216</v>
      </c>
      <c r="M1042" s="16" t="s">
        <v>8551</v>
      </c>
      <c r="N1042" s="16" t="str">
        <f>VLOOKUP(M1042,Tab_Zast[[Zastávka]:[Sloupec1]],2,0)</f>
        <v>00</v>
      </c>
      <c r="O1042" t="s">
        <v>3217</v>
      </c>
      <c r="P1042">
        <v>4</v>
      </c>
      <c r="Q1042">
        <v>0</v>
      </c>
      <c r="R1042" t="s">
        <v>31</v>
      </c>
      <c r="S1042" t="s">
        <v>31</v>
      </c>
      <c r="T1042" t="s">
        <v>32</v>
      </c>
      <c r="V1042" s="1" t="e">
        <v>#N/A</v>
      </c>
      <c r="W1042" t="s">
        <v>62</v>
      </c>
      <c r="X1042">
        <v>0</v>
      </c>
      <c r="Y1042">
        <v>0</v>
      </c>
      <c r="Z1042" t="s">
        <v>54</v>
      </c>
      <c r="AA1042" t="str">
        <f t="shared" si="32"/>
        <v/>
      </c>
      <c r="AB1042" t="str">
        <f t="shared" si="33"/>
        <v/>
      </c>
    </row>
    <row r="1043" spans="1:28" x14ac:dyDescent="0.25">
      <c r="A1043" s="2">
        <v>765</v>
      </c>
      <c r="B1043" t="s">
        <v>3411</v>
      </c>
      <c r="C1043" t="s">
        <v>64</v>
      </c>
      <c r="D1043" t="s">
        <v>3412</v>
      </c>
      <c r="E1043" t="s">
        <v>3413</v>
      </c>
      <c r="F1043" t="s">
        <v>67</v>
      </c>
      <c r="G1043" s="1">
        <v>45320</v>
      </c>
      <c r="H1043" s="1">
        <v>45422</v>
      </c>
      <c r="I1043" s="1">
        <v>73050</v>
      </c>
      <c r="J1043" s="2" t="s">
        <v>357</v>
      </c>
      <c r="K1043" t="s">
        <v>3414</v>
      </c>
      <c r="M1043" s="16" t="s">
        <v>8551</v>
      </c>
      <c r="N1043" s="16" t="str">
        <f>VLOOKUP(M1043,Tab_Zast[[Zastávka]:[Sloupec1]],2,0)</f>
        <v>00</v>
      </c>
      <c r="O1043" t="s">
        <v>3415</v>
      </c>
      <c r="P1043">
        <v>4</v>
      </c>
      <c r="Q1043">
        <v>0</v>
      </c>
      <c r="R1043" t="s">
        <v>31</v>
      </c>
      <c r="S1043" t="s">
        <v>31</v>
      </c>
      <c r="T1043" t="s">
        <v>103</v>
      </c>
      <c r="V1043" s="1" t="e">
        <v>#N/A</v>
      </c>
      <c r="W1043" t="s">
        <v>62</v>
      </c>
      <c r="X1043">
        <v>0</v>
      </c>
      <c r="Y1043">
        <v>0</v>
      </c>
      <c r="Z1043" t="s">
        <v>40</v>
      </c>
      <c r="AA1043" t="str">
        <f t="shared" si="32"/>
        <v/>
      </c>
      <c r="AB1043" t="str">
        <f t="shared" si="33"/>
        <v/>
      </c>
    </row>
    <row r="1044" spans="1:28" x14ac:dyDescent="0.25">
      <c r="A1044" s="2">
        <v>836</v>
      </c>
      <c r="B1044" t="s">
        <v>3769</v>
      </c>
      <c r="C1044" t="s">
        <v>3770</v>
      </c>
      <c r="D1044" t="s">
        <v>3771</v>
      </c>
      <c r="E1044" t="s">
        <v>3772</v>
      </c>
      <c r="F1044" t="s">
        <v>3773</v>
      </c>
      <c r="G1044" s="1">
        <v>45355</v>
      </c>
      <c r="H1044" s="1">
        <v>45540</v>
      </c>
      <c r="I1044" s="1">
        <v>73050</v>
      </c>
      <c r="J1044" s="2" t="s">
        <v>555</v>
      </c>
      <c r="K1044" t="s">
        <v>3774</v>
      </c>
      <c r="M1044" s="16" t="s">
        <v>8420</v>
      </c>
      <c r="N1044" s="16" t="str">
        <f>VLOOKUP(M1044,Tab_Zast[[Zastávka]:[Sloupec1]],2,0)</f>
        <v>62</v>
      </c>
      <c r="O1044" t="s">
        <v>3775</v>
      </c>
      <c r="P1044">
        <v>4</v>
      </c>
      <c r="Q1044">
        <v>0</v>
      </c>
      <c r="R1044" t="s">
        <v>31</v>
      </c>
      <c r="S1044" t="s">
        <v>31</v>
      </c>
      <c r="T1044" t="s">
        <v>32</v>
      </c>
      <c r="V1044" s="1">
        <v>45530</v>
      </c>
      <c r="W1044" t="s">
        <v>62</v>
      </c>
      <c r="X1044">
        <v>0</v>
      </c>
      <c r="Y1044">
        <v>0</v>
      </c>
      <c r="AA1044" t="str">
        <f t="shared" si="32"/>
        <v>update zamestnanci set nastup='62' where id='836';</v>
      </c>
      <c r="AB1044" t="str">
        <f t="shared" si="33"/>
        <v>update dochazka set zastavka = '62' where zamestnanec = '836';</v>
      </c>
    </row>
    <row r="1045" spans="1:28" x14ac:dyDescent="0.25">
      <c r="A1045" s="2">
        <v>837</v>
      </c>
      <c r="B1045" t="s">
        <v>3776</v>
      </c>
      <c r="C1045" t="s">
        <v>3777</v>
      </c>
      <c r="D1045" t="s">
        <v>3778</v>
      </c>
      <c r="E1045" t="s">
        <v>3779</v>
      </c>
      <c r="F1045" t="s">
        <v>3780</v>
      </c>
      <c r="G1045" s="1">
        <v>45355</v>
      </c>
      <c r="H1045" s="1">
        <v>45671</v>
      </c>
      <c r="I1045" s="1">
        <v>73050</v>
      </c>
      <c r="J1045" s="2" t="s">
        <v>267</v>
      </c>
      <c r="K1045" t="s">
        <v>3781</v>
      </c>
      <c r="M1045" s="16" t="s">
        <v>8305</v>
      </c>
      <c r="N1045" s="16" t="str">
        <f>VLOOKUP(M1045,Tab_Zast[[Zastávka]:[Sloupec1]],2,0)</f>
        <v>18</v>
      </c>
      <c r="O1045" t="s">
        <v>3782</v>
      </c>
      <c r="P1045">
        <v>4</v>
      </c>
      <c r="Q1045">
        <v>0</v>
      </c>
      <c r="R1045" t="s">
        <v>31</v>
      </c>
      <c r="S1045" t="s">
        <v>31</v>
      </c>
      <c r="T1045" t="s">
        <v>32</v>
      </c>
      <c r="V1045" s="1" t="e">
        <v>#N/A</v>
      </c>
      <c r="W1045" t="s">
        <v>62</v>
      </c>
      <c r="X1045">
        <v>0</v>
      </c>
      <c r="Y1045">
        <v>0</v>
      </c>
      <c r="AA1045" t="str">
        <f t="shared" si="32"/>
        <v>update zamestnanci set nastup='18' where id='837';</v>
      </c>
      <c r="AB1045" t="str">
        <f t="shared" si="33"/>
        <v>update dochazka set zastavka = '18' where zamestnanec = '837';</v>
      </c>
    </row>
    <row r="1046" spans="1:28" x14ac:dyDescent="0.25">
      <c r="A1046" s="2">
        <v>838</v>
      </c>
      <c r="B1046" t="s">
        <v>3783</v>
      </c>
      <c r="C1046" t="s">
        <v>3784</v>
      </c>
      <c r="D1046" t="s">
        <v>3785</v>
      </c>
      <c r="E1046" t="s">
        <v>3786</v>
      </c>
      <c r="F1046" t="s">
        <v>3787</v>
      </c>
      <c r="G1046" s="1">
        <v>45352</v>
      </c>
      <c r="H1046" s="1">
        <v>45788</v>
      </c>
      <c r="I1046" s="1" t="e">
        <v>#N/A</v>
      </c>
      <c r="J1046" s="2" t="s">
        <v>723</v>
      </c>
      <c r="K1046" t="s">
        <v>3788</v>
      </c>
      <c r="M1046" s="16" t="s">
        <v>8503</v>
      </c>
      <c r="N1046" s="16" t="str">
        <f>VLOOKUP(M1046,Tab_Zast[[Zastávka]:[Sloupec1]],2,0)</f>
        <v>90</v>
      </c>
      <c r="O1046" t="s">
        <v>3789</v>
      </c>
      <c r="P1046">
        <v>4</v>
      </c>
      <c r="Q1046">
        <v>0</v>
      </c>
      <c r="R1046" t="s">
        <v>31</v>
      </c>
      <c r="S1046" t="s">
        <v>31</v>
      </c>
      <c r="T1046" t="s">
        <v>103</v>
      </c>
      <c r="V1046" s="1" t="e">
        <v>#N/A</v>
      </c>
      <c r="W1046" t="s">
        <v>62</v>
      </c>
      <c r="X1046">
        <v>0</v>
      </c>
      <c r="Y1046">
        <v>0</v>
      </c>
      <c r="AA1046" t="str">
        <f t="shared" si="32"/>
        <v>update zamestnanci set nastup='90' where id='838';</v>
      </c>
      <c r="AB1046" t="str">
        <f t="shared" si="33"/>
        <v>update dochazka set zastavka = '90' where zamestnanec = '838';</v>
      </c>
    </row>
    <row r="1047" spans="1:28" x14ac:dyDescent="0.25">
      <c r="A1047" s="2">
        <v>858</v>
      </c>
      <c r="B1047" t="s">
        <v>3872</v>
      </c>
      <c r="D1047" t="s">
        <v>3036</v>
      </c>
      <c r="E1047" t="s">
        <v>2628</v>
      </c>
      <c r="F1047" t="s">
        <v>3038</v>
      </c>
      <c r="G1047" s="1">
        <v>45369</v>
      </c>
      <c r="H1047" s="1">
        <v>45427</v>
      </c>
      <c r="I1047" s="1">
        <v>73050</v>
      </c>
      <c r="J1047" s="2" t="s">
        <v>555</v>
      </c>
      <c r="K1047" t="s">
        <v>3039</v>
      </c>
      <c r="M1047" s="16" t="s">
        <v>8420</v>
      </c>
      <c r="N1047" s="16" t="str">
        <f>VLOOKUP(M1047,Tab_Zast[[Zastávka]:[Sloupec1]],2,0)</f>
        <v>62</v>
      </c>
      <c r="O1047" t="s">
        <v>3873</v>
      </c>
      <c r="P1047">
        <v>4</v>
      </c>
      <c r="Q1047">
        <v>0</v>
      </c>
      <c r="R1047" t="s">
        <v>31</v>
      </c>
      <c r="S1047" t="s">
        <v>31</v>
      </c>
      <c r="T1047" t="s">
        <v>103</v>
      </c>
      <c r="V1047" s="1" t="e">
        <v>#N/A</v>
      </c>
      <c r="W1047" t="s">
        <v>62</v>
      </c>
      <c r="X1047">
        <v>0</v>
      </c>
      <c r="Y1047">
        <v>193</v>
      </c>
      <c r="Z1047" t="s">
        <v>54</v>
      </c>
      <c r="AA1047" t="str">
        <f t="shared" si="32"/>
        <v>update zamestnanci set nastup='62' where id='858';</v>
      </c>
      <c r="AB1047" t="str">
        <f t="shared" si="33"/>
        <v>update dochazka set zastavka = '62' where zamestnanec = '858';</v>
      </c>
    </row>
    <row r="1048" spans="1:28" x14ac:dyDescent="0.25">
      <c r="A1048" s="2">
        <v>964</v>
      </c>
      <c r="B1048" t="s">
        <v>4363</v>
      </c>
      <c r="C1048" t="s">
        <v>1394</v>
      </c>
      <c r="D1048" t="s">
        <v>4364</v>
      </c>
      <c r="E1048" t="s">
        <v>800</v>
      </c>
      <c r="F1048" t="s">
        <v>4365</v>
      </c>
      <c r="G1048" s="1">
        <v>45442</v>
      </c>
      <c r="H1048" s="1">
        <v>45471</v>
      </c>
      <c r="I1048" s="1">
        <v>73050</v>
      </c>
      <c r="J1048" s="2" t="s">
        <v>8348</v>
      </c>
      <c r="K1048" t="s">
        <v>4366</v>
      </c>
      <c r="M1048" s="16" t="s">
        <v>8349</v>
      </c>
      <c r="N1048" s="16" t="str">
        <f>VLOOKUP(M1048,Tab_Zast[[Zastávka]:[Sloupec1]],2,0)</f>
        <v>36</v>
      </c>
      <c r="O1048" t="s">
        <v>4367</v>
      </c>
      <c r="P1048">
        <v>3</v>
      </c>
      <c r="Q1048">
        <v>0</v>
      </c>
      <c r="R1048" t="s">
        <v>31</v>
      </c>
      <c r="S1048" t="s">
        <v>31</v>
      </c>
      <c r="T1048" t="s">
        <v>32</v>
      </c>
      <c r="V1048" s="1" t="e">
        <v>#N/A</v>
      </c>
      <c r="W1048" t="s">
        <v>3091</v>
      </c>
      <c r="X1048">
        <v>0</v>
      </c>
      <c r="Y1048">
        <v>357</v>
      </c>
      <c r="AA1048" t="str">
        <f t="shared" si="32"/>
        <v>update zamestnanci set nastup='36' where id='964';</v>
      </c>
      <c r="AB1048" t="str">
        <f t="shared" si="33"/>
        <v>update dochazka set zastavka = '36' where zamestnanec = '964';</v>
      </c>
    </row>
    <row r="1049" spans="1:28" x14ac:dyDescent="0.25">
      <c r="A1049" s="2">
        <v>982</v>
      </c>
      <c r="B1049" t="s">
        <v>4443</v>
      </c>
      <c r="C1049" t="s">
        <v>1394</v>
      </c>
      <c r="D1049" t="s">
        <v>4444</v>
      </c>
      <c r="E1049" t="s">
        <v>2883</v>
      </c>
      <c r="F1049" t="s">
        <v>4445</v>
      </c>
      <c r="G1049" s="1">
        <v>45447</v>
      </c>
      <c r="H1049" s="1">
        <v>45534</v>
      </c>
      <c r="I1049" s="1">
        <v>73050</v>
      </c>
      <c r="J1049" s="2" t="s">
        <v>8348</v>
      </c>
      <c r="K1049" t="s">
        <v>4446</v>
      </c>
      <c r="M1049" s="16" t="s">
        <v>8349</v>
      </c>
      <c r="N1049" s="16" t="str">
        <f>VLOOKUP(M1049,Tab_Zast[[Zastávka]:[Sloupec1]],2,0)</f>
        <v>36</v>
      </c>
      <c r="O1049" t="s">
        <v>4447</v>
      </c>
      <c r="P1049">
        <v>3</v>
      </c>
      <c r="Q1049">
        <v>0</v>
      </c>
      <c r="R1049" t="s">
        <v>31</v>
      </c>
      <c r="S1049" t="s">
        <v>31</v>
      </c>
      <c r="T1049" t="s">
        <v>32</v>
      </c>
      <c r="V1049" s="1" t="e">
        <v>#N/A</v>
      </c>
      <c r="W1049" t="s">
        <v>3091</v>
      </c>
      <c r="X1049">
        <v>0</v>
      </c>
      <c r="Y1049">
        <v>367</v>
      </c>
      <c r="AA1049" t="str">
        <f t="shared" si="32"/>
        <v>update zamestnanci set nastup='36' where id='982';</v>
      </c>
      <c r="AB1049" t="str">
        <f t="shared" si="33"/>
        <v>update dochazka set zastavka = '36' where zamestnanec = '982';</v>
      </c>
    </row>
    <row r="1050" spans="1:28" x14ac:dyDescent="0.25">
      <c r="A1050" s="2">
        <v>985</v>
      </c>
      <c r="B1050" t="s">
        <v>4455</v>
      </c>
      <c r="C1050" t="s">
        <v>1394</v>
      </c>
      <c r="D1050" t="s">
        <v>4456</v>
      </c>
      <c r="E1050" t="s">
        <v>755</v>
      </c>
      <c r="F1050" t="s">
        <v>4457</v>
      </c>
      <c r="G1050" s="1">
        <v>45447</v>
      </c>
      <c r="H1050" s="1">
        <v>45471</v>
      </c>
      <c r="I1050" s="1">
        <v>73050</v>
      </c>
      <c r="J1050" s="2" t="s">
        <v>8348</v>
      </c>
      <c r="K1050" t="s">
        <v>4458</v>
      </c>
      <c r="M1050" s="16" t="s">
        <v>8349</v>
      </c>
      <c r="N1050" s="16" t="str">
        <f>VLOOKUP(M1050,Tab_Zast[[Zastávka]:[Sloupec1]],2,0)</f>
        <v>36</v>
      </c>
      <c r="O1050" t="s">
        <v>4459</v>
      </c>
      <c r="P1050">
        <v>3</v>
      </c>
      <c r="Q1050">
        <v>0</v>
      </c>
      <c r="R1050" t="s">
        <v>31</v>
      </c>
      <c r="S1050" t="s">
        <v>31</v>
      </c>
      <c r="T1050" t="s">
        <v>32</v>
      </c>
      <c r="V1050" s="1" t="e">
        <v>#N/A</v>
      </c>
      <c r="W1050" t="s">
        <v>3091</v>
      </c>
      <c r="X1050">
        <v>0</v>
      </c>
      <c r="Y1050">
        <v>374</v>
      </c>
      <c r="AA1050" t="str">
        <f t="shared" si="32"/>
        <v>update zamestnanci set nastup='36' where id='985';</v>
      </c>
      <c r="AB1050" t="str">
        <f t="shared" si="33"/>
        <v>update dochazka set zastavka = '36' where zamestnanec = '985';</v>
      </c>
    </row>
    <row r="1051" spans="1:28" x14ac:dyDescent="0.25">
      <c r="A1051" s="2">
        <v>1034</v>
      </c>
      <c r="B1051" t="s">
        <v>4655</v>
      </c>
      <c r="C1051" t="s">
        <v>1394</v>
      </c>
      <c r="D1051" t="s">
        <v>4656</v>
      </c>
      <c r="E1051" t="s">
        <v>2613</v>
      </c>
      <c r="F1051" t="s">
        <v>4657</v>
      </c>
      <c r="G1051" s="1">
        <v>45468</v>
      </c>
      <c r="H1051" s="1">
        <v>45471</v>
      </c>
      <c r="I1051" s="1">
        <v>73050</v>
      </c>
      <c r="J1051" s="2" t="s">
        <v>8348</v>
      </c>
      <c r="K1051" t="s">
        <v>4658</v>
      </c>
      <c r="M1051" s="16" t="s">
        <v>8349</v>
      </c>
      <c r="N1051" s="16" t="str">
        <f>VLOOKUP(M1051,Tab_Zast[[Zastávka]:[Sloupec1]],2,0)</f>
        <v>36</v>
      </c>
      <c r="O1051" t="s">
        <v>4659</v>
      </c>
      <c r="P1051">
        <v>3</v>
      </c>
      <c r="Q1051">
        <v>0</v>
      </c>
      <c r="R1051" t="s">
        <v>31</v>
      </c>
      <c r="S1051" t="s">
        <v>31</v>
      </c>
      <c r="T1051" t="s">
        <v>32</v>
      </c>
      <c r="V1051" s="1" t="e">
        <v>#N/A</v>
      </c>
      <c r="W1051" t="s">
        <v>3091</v>
      </c>
      <c r="X1051">
        <v>0</v>
      </c>
      <c r="Y1051">
        <v>425</v>
      </c>
      <c r="AA1051" t="str">
        <f t="shared" si="32"/>
        <v>update zamestnanci set nastup='36' where id='1034';</v>
      </c>
      <c r="AB1051" t="str">
        <f t="shared" si="33"/>
        <v>update dochazka set zastavka = '36' where zamestnanec = '1034';</v>
      </c>
    </row>
    <row r="1052" spans="1:28" x14ac:dyDescent="0.25">
      <c r="A1052" s="2">
        <v>1126</v>
      </c>
      <c r="B1052" t="s">
        <v>5040</v>
      </c>
      <c r="C1052" t="s">
        <v>151</v>
      </c>
      <c r="D1052" t="s">
        <v>5041</v>
      </c>
      <c r="E1052" t="s">
        <v>2536</v>
      </c>
      <c r="F1052" t="s">
        <v>841</v>
      </c>
      <c r="G1052" s="1">
        <v>45513</v>
      </c>
      <c r="H1052" s="1">
        <v>45541</v>
      </c>
      <c r="I1052" s="1">
        <v>73050</v>
      </c>
      <c r="J1052" s="2" t="s">
        <v>357</v>
      </c>
      <c r="K1052" t="s">
        <v>5042</v>
      </c>
      <c r="M1052" s="16" t="s">
        <v>8551</v>
      </c>
      <c r="N1052" s="16" t="str">
        <f>VLOOKUP(M1052,Tab_Zast[[Zastávka]:[Sloupec1]],2,0)</f>
        <v>00</v>
      </c>
      <c r="O1052" t="s">
        <v>5043</v>
      </c>
      <c r="P1052">
        <v>4</v>
      </c>
      <c r="Q1052">
        <v>0</v>
      </c>
      <c r="R1052" t="s">
        <v>31</v>
      </c>
      <c r="S1052" t="s">
        <v>31</v>
      </c>
      <c r="T1052" t="s">
        <v>205</v>
      </c>
      <c r="V1052" s="1" t="e">
        <v>#N/A</v>
      </c>
      <c r="W1052" t="s">
        <v>62</v>
      </c>
      <c r="X1052">
        <v>0</v>
      </c>
      <c r="Y1052">
        <v>515</v>
      </c>
      <c r="AA1052" t="str">
        <f t="shared" si="32"/>
        <v/>
      </c>
      <c r="AB1052" t="str">
        <f t="shared" si="33"/>
        <v/>
      </c>
    </row>
    <row r="1053" spans="1:28" x14ac:dyDescent="0.25">
      <c r="A1053" s="2">
        <v>1178</v>
      </c>
      <c r="B1053" t="s">
        <v>5251</v>
      </c>
      <c r="C1053" t="s">
        <v>1394</v>
      </c>
      <c r="D1053" t="s">
        <v>5252</v>
      </c>
      <c r="E1053" t="s">
        <v>182</v>
      </c>
      <c r="F1053" t="s">
        <v>67</v>
      </c>
      <c r="G1053" s="1">
        <v>45530</v>
      </c>
      <c r="H1053" s="1">
        <v>45530</v>
      </c>
      <c r="I1053" s="1">
        <v>45530</v>
      </c>
      <c r="J1053" s="2" t="s">
        <v>8518</v>
      </c>
      <c r="K1053" t="s">
        <v>5253</v>
      </c>
      <c r="M1053" s="16" t="s">
        <v>8519</v>
      </c>
      <c r="N1053" s="16" t="str">
        <f>VLOOKUP(M1053,Tab_Zast[[Zastávka]:[Sloupec1]],2,0)</f>
        <v>96</v>
      </c>
      <c r="O1053" t="s">
        <v>5254</v>
      </c>
      <c r="P1053">
        <v>1</v>
      </c>
      <c r="Q1053">
        <v>0</v>
      </c>
      <c r="R1053" t="s">
        <v>31</v>
      </c>
      <c r="S1053" t="s">
        <v>31</v>
      </c>
      <c r="T1053" t="s">
        <v>32</v>
      </c>
      <c r="V1053" s="1" t="e">
        <v>#N/A</v>
      </c>
      <c r="W1053" t="s">
        <v>47</v>
      </c>
      <c r="X1053">
        <v>0</v>
      </c>
      <c r="Y1053">
        <v>566</v>
      </c>
      <c r="AA1053" t="str">
        <f t="shared" si="32"/>
        <v>update zamestnanci set nastup='96' where id='1178';</v>
      </c>
      <c r="AB1053" t="str">
        <f t="shared" si="33"/>
        <v>update dochazka set zastavka = '96' where zamestnanec = '1178';</v>
      </c>
    </row>
    <row r="1054" spans="1:28" x14ac:dyDescent="0.25">
      <c r="A1054" s="2">
        <v>1180</v>
      </c>
      <c r="B1054" t="s">
        <v>5259</v>
      </c>
      <c r="C1054" t="s">
        <v>1394</v>
      </c>
      <c r="D1054" t="s">
        <v>4733</v>
      </c>
      <c r="E1054" t="s">
        <v>1509</v>
      </c>
      <c r="F1054" t="s">
        <v>67</v>
      </c>
      <c r="G1054" s="1">
        <v>45530</v>
      </c>
      <c r="H1054" s="1">
        <v>45530</v>
      </c>
      <c r="I1054" s="1">
        <v>45530</v>
      </c>
      <c r="J1054" s="2" t="s">
        <v>8518</v>
      </c>
      <c r="K1054" t="s">
        <v>5260</v>
      </c>
      <c r="M1054" s="16" t="s">
        <v>8519</v>
      </c>
      <c r="N1054" s="16" t="str">
        <f>VLOOKUP(M1054,Tab_Zast[[Zastávka]:[Sloupec1]],2,0)</f>
        <v>96</v>
      </c>
      <c r="O1054" t="s">
        <v>4736</v>
      </c>
      <c r="P1054">
        <v>1</v>
      </c>
      <c r="Q1054">
        <v>0</v>
      </c>
      <c r="R1054" t="s">
        <v>31</v>
      </c>
      <c r="S1054" t="s">
        <v>31</v>
      </c>
      <c r="T1054" t="s">
        <v>32</v>
      </c>
      <c r="V1054" s="1" t="e">
        <v>#N/A</v>
      </c>
      <c r="W1054" t="s">
        <v>47</v>
      </c>
      <c r="X1054">
        <v>0</v>
      </c>
      <c r="Y1054">
        <v>569</v>
      </c>
      <c r="AA1054" t="str">
        <f t="shared" si="32"/>
        <v>update zamestnanci set nastup='96' where id='1180';</v>
      </c>
      <c r="AB1054" t="str">
        <f t="shared" si="33"/>
        <v>update dochazka set zastavka = '96' where zamestnanec = '1180';</v>
      </c>
    </row>
    <row r="1055" spans="1:28" x14ac:dyDescent="0.25">
      <c r="A1055" s="2">
        <v>1203</v>
      </c>
      <c r="B1055" t="s">
        <v>5352</v>
      </c>
      <c r="C1055" t="s">
        <v>151</v>
      </c>
      <c r="D1055" t="s">
        <v>5353</v>
      </c>
      <c r="E1055" t="s">
        <v>2903</v>
      </c>
      <c r="F1055" t="s">
        <v>67</v>
      </c>
      <c r="G1055" s="1">
        <v>45538</v>
      </c>
      <c r="H1055" s="1">
        <v>45538</v>
      </c>
      <c r="I1055" s="1">
        <v>45538</v>
      </c>
      <c r="J1055" s="2" t="s">
        <v>294</v>
      </c>
      <c r="K1055" t="s">
        <v>5354</v>
      </c>
      <c r="M1055" s="16" t="s">
        <v>8314</v>
      </c>
      <c r="N1055" s="16" t="str">
        <f>VLOOKUP(M1055,Tab_Zast[[Zastávka]:[Sloupec1]],2,0)</f>
        <v>22</v>
      </c>
      <c r="O1055" t="s">
        <v>5355</v>
      </c>
      <c r="P1055">
        <v>1</v>
      </c>
      <c r="Q1055">
        <v>0</v>
      </c>
      <c r="R1055" t="s">
        <v>31</v>
      </c>
      <c r="S1055" t="s">
        <v>31</v>
      </c>
      <c r="T1055" t="s">
        <v>32</v>
      </c>
      <c r="V1055" s="1" t="e">
        <v>#N/A</v>
      </c>
      <c r="W1055" t="s">
        <v>47</v>
      </c>
      <c r="X1055">
        <v>0</v>
      </c>
      <c r="Y1055">
        <v>593</v>
      </c>
      <c r="AA1055" t="str">
        <f t="shared" si="32"/>
        <v>update zamestnanci set nastup='22' where id='1203';</v>
      </c>
      <c r="AB1055" t="str">
        <f t="shared" si="33"/>
        <v>update dochazka set zastavka = '22' where zamestnanec = '1203';</v>
      </c>
    </row>
    <row r="1056" spans="1:28" x14ac:dyDescent="0.25">
      <c r="A1056" s="2">
        <v>1209</v>
      </c>
      <c r="B1056" t="s">
        <v>5378</v>
      </c>
      <c r="C1056" t="s">
        <v>151</v>
      </c>
      <c r="D1056" t="s">
        <v>5379</v>
      </c>
      <c r="E1056" t="s">
        <v>593</v>
      </c>
      <c r="F1056" t="s">
        <v>67</v>
      </c>
      <c r="G1056" s="1">
        <v>45544</v>
      </c>
      <c r="H1056" s="1">
        <v>45544</v>
      </c>
      <c r="I1056" s="1">
        <v>45544</v>
      </c>
      <c r="J1056" s="2" t="s">
        <v>294</v>
      </c>
      <c r="K1056" t="s">
        <v>5380</v>
      </c>
      <c r="M1056" s="16" t="s">
        <v>8314</v>
      </c>
      <c r="N1056" s="16" t="str">
        <f>VLOOKUP(M1056,Tab_Zast[[Zastávka]:[Sloupec1]],2,0)</f>
        <v>22</v>
      </c>
      <c r="O1056" t="s">
        <v>5381</v>
      </c>
      <c r="P1056">
        <v>1</v>
      </c>
      <c r="Q1056">
        <v>0</v>
      </c>
      <c r="R1056" t="s">
        <v>31</v>
      </c>
      <c r="S1056" t="s">
        <v>31</v>
      </c>
      <c r="T1056" t="s">
        <v>32</v>
      </c>
      <c r="V1056" s="1" t="e">
        <v>#N/A</v>
      </c>
      <c r="W1056" t="s">
        <v>47</v>
      </c>
      <c r="X1056">
        <v>0</v>
      </c>
      <c r="Y1056">
        <v>602</v>
      </c>
      <c r="AA1056" t="str">
        <f t="shared" si="32"/>
        <v>update zamestnanci set nastup='22' where id='1209';</v>
      </c>
      <c r="AB1056" t="str">
        <f t="shared" si="33"/>
        <v>update dochazka set zastavka = '22' where zamestnanec = '1209';</v>
      </c>
    </row>
    <row r="1057" spans="1:28" x14ac:dyDescent="0.25">
      <c r="A1057" s="2">
        <v>1236</v>
      </c>
      <c r="B1057" t="s">
        <v>5483</v>
      </c>
      <c r="C1057" t="s">
        <v>64</v>
      </c>
      <c r="D1057" t="s">
        <v>5379</v>
      </c>
      <c r="E1057" t="s">
        <v>593</v>
      </c>
      <c r="F1057" t="s">
        <v>67</v>
      </c>
      <c r="G1057" s="1">
        <v>45551</v>
      </c>
      <c r="H1057" s="1">
        <v>45551</v>
      </c>
      <c r="I1057" s="1">
        <v>45551</v>
      </c>
      <c r="J1057" s="2" t="s">
        <v>294</v>
      </c>
      <c r="K1057" t="s">
        <v>5380</v>
      </c>
      <c r="M1057" s="16" t="s">
        <v>8314</v>
      </c>
      <c r="N1057" s="16" t="str">
        <f>VLOOKUP(M1057,Tab_Zast[[Zastávka]:[Sloupec1]],2,0)</f>
        <v>22</v>
      </c>
      <c r="O1057" t="s">
        <v>5381</v>
      </c>
      <c r="P1057">
        <v>1</v>
      </c>
      <c r="Q1057">
        <v>0</v>
      </c>
      <c r="R1057" t="s">
        <v>31</v>
      </c>
      <c r="S1057" t="s">
        <v>31</v>
      </c>
      <c r="T1057" t="s">
        <v>32</v>
      </c>
      <c r="V1057" s="1" t="e">
        <v>#N/A</v>
      </c>
      <c r="W1057" t="s">
        <v>47</v>
      </c>
      <c r="X1057">
        <v>0</v>
      </c>
      <c r="Y1057">
        <v>627</v>
      </c>
      <c r="AA1057" t="str">
        <f t="shared" si="32"/>
        <v>update zamestnanci set nastup='22' where id='1236';</v>
      </c>
      <c r="AB1057" t="str">
        <f t="shared" si="33"/>
        <v>update dochazka set zastavka = '22' where zamestnanec = '1236';</v>
      </c>
    </row>
    <row r="1058" spans="1:28" x14ac:dyDescent="0.25">
      <c r="A1058" s="2">
        <v>1250</v>
      </c>
      <c r="B1058" t="s">
        <v>5534</v>
      </c>
      <c r="C1058" t="s">
        <v>64</v>
      </c>
      <c r="D1058" t="s">
        <v>5535</v>
      </c>
      <c r="E1058" t="s">
        <v>568</v>
      </c>
      <c r="F1058" t="s">
        <v>5536</v>
      </c>
      <c r="G1058" s="1">
        <v>45554</v>
      </c>
      <c r="H1058" s="1">
        <v>45555</v>
      </c>
      <c r="I1058" s="1">
        <v>73050</v>
      </c>
      <c r="J1058" s="2" t="s">
        <v>324</v>
      </c>
      <c r="K1058" t="s">
        <v>5537</v>
      </c>
      <c r="M1058" s="16" t="s">
        <v>8324</v>
      </c>
      <c r="N1058" s="16" t="str">
        <f>VLOOKUP(M1058,Tab_Zast[[Zastávka]:[Sloupec1]],2,0)</f>
        <v>26</v>
      </c>
      <c r="O1058" t="s">
        <v>5538</v>
      </c>
      <c r="P1058">
        <v>1</v>
      </c>
      <c r="Q1058">
        <v>0</v>
      </c>
      <c r="R1058" t="s">
        <v>31</v>
      </c>
      <c r="S1058" t="s">
        <v>31</v>
      </c>
      <c r="T1058" t="s">
        <v>32</v>
      </c>
      <c r="V1058" s="1" t="e">
        <v>#N/A</v>
      </c>
      <c r="W1058" t="s">
        <v>47</v>
      </c>
      <c r="X1058">
        <v>0</v>
      </c>
      <c r="Y1058">
        <v>641</v>
      </c>
      <c r="AA1058" t="str">
        <f t="shared" si="32"/>
        <v>update zamestnanci set nastup='26' where id='1250';</v>
      </c>
      <c r="AB1058" t="str">
        <f t="shared" si="33"/>
        <v>update dochazka set zastavka = '26' where zamestnanec = '1250';</v>
      </c>
    </row>
    <row r="1059" spans="1:28" x14ac:dyDescent="0.25">
      <c r="A1059" s="2">
        <v>1265</v>
      </c>
      <c r="B1059" t="s">
        <v>5595</v>
      </c>
      <c r="C1059" t="s">
        <v>1394</v>
      </c>
      <c r="D1059" t="s">
        <v>5596</v>
      </c>
      <c r="E1059" t="s">
        <v>593</v>
      </c>
      <c r="F1059" t="s">
        <v>5597</v>
      </c>
      <c r="G1059" s="1">
        <v>45561</v>
      </c>
      <c r="H1059" s="1">
        <v>45611</v>
      </c>
      <c r="I1059" s="1">
        <v>45611</v>
      </c>
      <c r="J1059" s="2" t="s">
        <v>8518</v>
      </c>
      <c r="K1059" t="s">
        <v>5598</v>
      </c>
      <c r="M1059" s="16" t="s">
        <v>8519</v>
      </c>
      <c r="N1059" s="16" t="str">
        <f>VLOOKUP(M1059,Tab_Zast[[Zastávka]:[Sloupec1]],2,0)</f>
        <v>96</v>
      </c>
      <c r="O1059" t="s">
        <v>5599</v>
      </c>
      <c r="P1059">
        <v>1</v>
      </c>
      <c r="Q1059">
        <v>0</v>
      </c>
      <c r="R1059" t="s">
        <v>31</v>
      </c>
      <c r="S1059" t="s">
        <v>31</v>
      </c>
      <c r="T1059" t="s">
        <v>32</v>
      </c>
      <c r="V1059" s="1" t="e">
        <v>#N/A</v>
      </c>
      <c r="W1059" t="s">
        <v>47</v>
      </c>
      <c r="X1059">
        <v>0</v>
      </c>
      <c r="Y1059">
        <v>655</v>
      </c>
      <c r="AA1059" t="str">
        <f t="shared" si="32"/>
        <v>update zamestnanci set nastup='96' where id='1265';</v>
      </c>
      <c r="AB1059" t="str">
        <f t="shared" si="33"/>
        <v>update dochazka set zastavka = '96' where zamestnanec = '1265';</v>
      </c>
    </row>
    <row r="1060" spans="1:28" x14ac:dyDescent="0.25">
      <c r="A1060" s="2">
        <v>1293</v>
      </c>
      <c r="B1060" t="s">
        <v>5713</v>
      </c>
      <c r="C1060" t="s">
        <v>64</v>
      </c>
      <c r="D1060" t="s">
        <v>5714</v>
      </c>
      <c r="E1060" t="s">
        <v>5715</v>
      </c>
      <c r="F1060" t="s">
        <v>835</v>
      </c>
      <c r="G1060" s="1">
        <v>45572</v>
      </c>
      <c r="H1060" s="1">
        <v>45786</v>
      </c>
      <c r="I1060" s="1">
        <v>73050</v>
      </c>
      <c r="J1060" s="2" t="s">
        <v>723</v>
      </c>
      <c r="K1060" t="s">
        <v>5716</v>
      </c>
      <c r="M1060" s="16" t="s">
        <v>8503</v>
      </c>
      <c r="N1060" s="16" t="str">
        <f>VLOOKUP(M1060,Tab_Zast[[Zastávka]:[Sloupec1]],2,0)</f>
        <v>90</v>
      </c>
      <c r="O1060" t="s">
        <v>5717</v>
      </c>
      <c r="P1060">
        <v>4</v>
      </c>
      <c r="Q1060">
        <v>0</v>
      </c>
      <c r="R1060" t="s">
        <v>31</v>
      </c>
      <c r="S1060" t="s">
        <v>31</v>
      </c>
      <c r="T1060" t="s">
        <v>103</v>
      </c>
      <c r="V1060" s="1">
        <v>45783</v>
      </c>
      <c r="W1060" t="s">
        <v>62</v>
      </c>
      <c r="X1060">
        <v>0</v>
      </c>
      <c r="Y1060">
        <v>682</v>
      </c>
      <c r="AA1060" t="str">
        <f t="shared" si="32"/>
        <v>update zamestnanci set nastup='90' where id='1293';</v>
      </c>
      <c r="AB1060" t="str">
        <f t="shared" si="33"/>
        <v>update dochazka set zastavka = '90' where zamestnanec = '1293';</v>
      </c>
    </row>
    <row r="1061" spans="1:28" x14ac:dyDescent="0.25">
      <c r="A1061" s="2">
        <v>1361</v>
      </c>
      <c r="B1061" t="s">
        <v>5972</v>
      </c>
      <c r="C1061" t="s">
        <v>64</v>
      </c>
      <c r="D1061" t="s">
        <v>5973</v>
      </c>
      <c r="E1061" t="s">
        <v>1634</v>
      </c>
      <c r="F1061" t="s">
        <v>5974</v>
      </c>
      <c r="G1061" s="1">
        <v>45607</v>
      </c>
      <c r="H1061" s="1">
        <v>45628</v>
      </c>
      <c r="I1061" s="1">
        <v>45628</v>
      </c>
      <c r="J1061" s="2" t="s">
        <v>294</v>
      </c>
      <c r="K1061" t="s">
        <v>5975</v>
      </c>
      <c r="M1061" s="16" t="s">
        <v>8314</v>
      </c>
      <c r="N1061" s="16" t="str">
        <f>VLOOKUP(M1061,Tab_Zast[[Zastávka]:[Sloupec1]],2,0)</f>
        <v>22</v>
      </c>
      <c r="O1061" t="s">
        <v>5976</v>
      </c>
      <c r="P1061">
        <v>1</v>
      </c>
      <c r="Q1061">
        <v>0</v>
      </c>
      <c r="R1061" t="s">
        <v>31</v>
      </c>
      <c r="S1061" t="s">
        <v>31</v>
      </c>
      <c r="T1061" t="s">
        <v>32</v>
      </c>
      <c r="V1061" s="1">
        <v>45623</v>
      </c>
      <c r="W1061" t="s">
        <v>47</v>
      </c>
      <c r="X1061">
        <v>0</v>
      </c>
      <c r="Y1061">
        <v>752</v>
      </c>
      <c r="AA1061" t="str">
        <f t="shared" si="32"/>
        <v>update zamestnanci set nastup='22' where id='1361';</v>
      </c>
      <c r="AB1061" t="str">
        <f t="shared" si="33"/>
        <v>update dochazka set zastavka = '22' where zamestnanec = '1361';</v>
      </c>
    </row>
    <row r="1062" spans="1:28" x14ac:dyDescent="0.25">
      <c r="A1062" s="2">
        <v>1455</v>
      </c>
      <c r="B1062" t="s">
        <v>6339</v>
      </c>
      <c r="C1062" t="s">
        <v>64</v>
      </c>
      <c r="D1062" t="s">
        <v>6340</v>
      </c>
      <c r="E1062" t="s">
        <v>2607</v>
      </c>
      <c r="F1062" t="s">
        <v>6341</v>
      </c>
      <c r="G1062" s="1">
        <v>45685</v>
      </c>
      <c r="H1062" s="1" t="e">
        <v>#N/A</v>
      </c>
      <c r="I1062" s="1" t="e">
        <v>#N/A</v>
      </c>
      <c r="J1062" s="2" t="s">
        <v>8309</v>
      </c>
      <c r="K1062" t="s">
        <v>6342</v>
      </c>
      <c r="M1062" s="16" t="s">
        <v>8310</v>
      </c>
      <c r="N1062" s="16" t="str">
        <f>VLOOKUP(M1062,Tab_Zast[[Zastávka]:[Sloupec1]],2,0)</f>
        <v>20</v>
      </c>
      <c r="O1062" t="s">
        <v>6343</v>
      </c>
      <c r="P1062">
        <v>8</v>
      </c>
      <c r="Q1062">
        <v>0</v>
      </c>
      <c r="R1062" t="s">
        <v>129</v>
      </c>
      <c r="S1062" t="s">
        <v>31</v>
      </c>
      <c r="T1062" t="s">
        <v>32</v>
      </c>
      <c r="V1062" s="1" t="e">
        <v>#N/A</v>
      </c>
      <c r="W1062" t="s">
        <v>493</v>
      </c>
      <c r="X1062">
        <v>1</v>
      </c>
      <c r="Y1062">
        <v>844</v>
      </c>
      <c r="AA1062" t="str">
        <f t="shared" si="32"/>
        <v>update zamestnanci set nastup='20' where id='1455';</v>
      </c>
      <c r="AB1062" t="str">
        <f t="shared" si="33"/>
        <v>update dochazka set zastavka = '20' where zamestnanec = '1455';</v>
      </c>
    </row>
    <row r="1063" spans="1:28" x14ac:dyDescent="0.25">
      <c r="A1063" s="2">
        <v>1494</v>
      </c>
      <c r="B1063" t="s">
        <v>6489</v>
      </c>
      <c r="C1063" t="s">
        <v>64</v>
      </c>
      <c r="D1063" t="s">
        <v>6490</v>
      </c>
      <c r="E1063" t="s">
        <v>6491</v>
      </c>
      <c r="F1063" t="s">
        <v>6492</v>
      </c>
      <c r="G1063" s="1">
        <v>45717</v>
      </c>
      <c r="H1063" s="1">
        <v>45726</v>
      </c>
      <c r="I1063" s="1">
        <v>73050</v>
      </c>
      <c r="J1063" s="2" t="s">
        <v>267</v>
      </c>
      <c r="K1063" t="s">
        <v>6493</v>
      </c>
      <c r="M1063" s="16" t="s">
        <v>8305</v>
      </c>
      <c r="N1063" s="16" t="str">
        <f>VLOOKUP(M1063,Tab_Zast[[Zastávka]:[Sloupec1]],2,0)</f>
        <v>18</v>
      </c>
      <c r="O1063" t="s">
        <v>6494</v>
      </c>
      <c r="P1063">
        <v>4</v>
      </c>
      <c r="Q1063">
        <v>0</v>
      </c>
      <c r="R1063" t="s">
        <v>31</v>
      </c>
      <c r="S1063" t="s">
        <v>31</v>
      </c>
      <c r="T1063" t="s">
        <v>103</v>
      </c>
      <c r="V1063" s="1">
        <v>45726</v>
      </c>
      <c r="W1063" t="s">
        <v>62</v>
      </c>
      <c r="X1063">
        <v>0</v>
      </c>
      <c r="Y1063">
        <v>885</v>
      </c>
      <c r="AA1063" t="str">
        <f t="shared" si="32"/>
        <v>update zamestnanci set nastup='18' where id='1494';</v>
      </c>
      <c r="AB1063" t="str">
        <f t="shared" si="33"/>
        <v>update dochazka set zastavka = '18' where zamestnanec = '1494';</v>
      </c>
    </row>
    <row r="1064" spans="1:28" x14ac:dyDescent="0.25">
      <c r="A1064" s="2">
        <v>1498</v>
      </c>
      <c r="B1064" t="s">
        <v>6507</v>
      </c>
      <c r="C1064" t="s">
        <v>64</v>
      </c>
      <c r="D1064" t="s">
        <v>544</v>
      </c>
      <c r="E1064" t="s">
        <v>574</v>
      </c>
      <c r="F1064" t="s">
        <v>6508</v>
      </c>
      <c r="G1064" s="1">
        <v>45719</v>
      </c>
      <c r="H1064" s="1">
        <v>73050</v>
      </c>
      <c r="I1064" s="1" t="e">
        <v>#N/A</v>
      </c>
      <c r="J1064" s="2" t="s">
        <v>555</v>
      </c>
      <c r="K1064" t="s">
        <v>4541</v>
      </c>
      <c r="M1064" s="16" t="s">
        <v>8420</v>
      </c>
      <c r="N1064" s="16" t="str">
        <f>VLOOKUP(M1064,Tab_Zast[[Zastávka]:[Sloupec1]],2,0)</f>
        <v>62</v>
      </c>
      <c r="O1064" t="s">
        <v>4535</v>
      </c>
      <c r="P1064">
        <v>4</v>
      </c>
      <c r="Q1064">
        <v>0</v>
      </c>
      <c r="R1064" t="s">
        <v>130</v>
      </c>
      <c r="S1064" t="s">
        <v>31</v>
      </c>
      <c r="T1064" t="s">
        <v>32</v>
      </c>
      <c r="V1064" s="1" t="e">
        <v>#N/A</v>
      </c>
      <c r="W1064" t="s">
        <v>62</v>
      </c>
      <c r="X1064">
        <v>1</v>
      </c>
      <c r="Y1064">
        <v>888</v>
      </c>
      <c r="AA1064" t="str">
        <f t="shared" si="32"/>
        <v>update zamestnanci set nastup='62' where id='1498';</v>
      </c>
      <c r="AB1064" t="str">
        <f t="shared" si="33"/>
        <v>update dochazka set zastavka = '62' where zamestnanec = '1498';</v>
      </c>
    </row>
    <row r="1065" spans="1:28" x14ac:dyDescent="0.25">
      <c r="A1065" s="2">
        <v>1603</v>
      </c>
      <c r="B1065" t="s">
        <v>6889</v>
      </c>
      <c r="C1065" t="s">
        <v>569</v>
      </c>
      <c r="D1065" t="s">
        <v>6890</v>
      </c>
      <c r="E1065" t="s">
        <v>3384</v>
      </c>
      <c r="F1065" t="s">
        <v>357</v>
      </c>
      <c r="G1065" s="1">
        <v>45771</v>
      </c>
      <c r="H1065" s="1">
        <v>45800</v>
      </c>
      <c r="I1065" s="1">
        <v>73050</v>
      </c>
      <c r="J1065" s="2" t="s">
        <v>324</v>
      </c>
      <c r="K1065" t="s">
        <v>6891</v>
      </c>
      <c r="M1065" s="16" t="s">
        <v>8324</v>
      </c>
      <c r="N1065" s="16" t="str">
        <f>VLOOKUP(M1065,Tab_Zast[[Zastávka]:[Sloupec1]],2,0)</f>
        <v>26</v>
      </c>
      <c r="O1065" t="s">
        <v>6892</v>
      </c>
      <c r="P1065">
        <v>1</v>
      </c>
      <c r="Q1065">
        <v>0</v>
      </c>
      <c r="R1065" t="s">
        <v>31</v>
      </c>
      <c r="S1065" t="s">
        <v>31</v>
      </c>
      <c r="T1065" t="s">
        <v>32</v>
      </c>
      <c r="V1065" s="1" t="e">
        <v>#N/A</v>
      </c>
      <c r="W1065" t="s">
        <v>47</v>
      </c>
      <c r="X1065">
        <v>0</v>
      </c>
      <c r="Y1065">
        <v>995</v>
      </c>
      <c r="AA1065" t="str">
        <f t="shared" si="32"/>
        <v>update zamestnanci set nastup='26' where id='1603';</v>
      </c>
      <c r="AB1065" t="str">
        <f t="shared" si="33"/>
        <v>update dochazka set zastavka = '26' where zamestnanec = '1603';</v>
      </c>
    </row>
    <row r="1066" spans="1:28" x14ac:dyDescent="0.25">
      <c r="A1066" s="2">
        <v>1747</v>
      </c>
      <c r="B1066" t="s">
        <v>7404</v>
      </c>
      <c r="C1066" t="s">
        <v>64</v>
      </c>
      <c r="D1066" t="s">
        <v>6661</v>
      </c>
      <c r="E1066" t="s">
        <v>1947</v>
      </c>
      <c r="F1066" t="s">
        <v>7262</v>
      </c>
      <c r="G1066" s="1">
        <v>45861</v>
      </c>
      <c r="H1066" s="1">
        <v>45866</v>
      </c>
      <c r="I1066" s="1">
        <v>73050</v>
      </c>
      <c r="J1066" s="2" t="s">
        <v>8318</v>
      </c>
      <c r="K1066" t="s">
        <v>7405</v>
      </c>
      <c r="M1066" s="16" t="s">
        <v>8319</v>
      </c>
      <c r="N1066" s="16" t="str">
        <f>VLOOKUP(M1066,Tab_Zast[[Zastávka]:[Sloupec1]],2,0)</f>
        <v>24</v>
      </c>
      <c r="O1066" t="s">
        <v>7406</v>
      </c>
      <c r="P1066">
        <v>10</v>
      </c>
      <c r="Q1066">
        <v>0</v>
      </c>
      <c r="R1066" t="s">
        <v>31</v>
      </c>
      <c r="S1066" t="s">
        <v>31</v>
      </c>
      <c r="T1066" t="s">
        <v>32</v>
      </c>
      <c r="V1066" s="1" t="e">
        <v>#N/A</v>
      </c>
      <c r="X1066">
        <v>0</v>
      </c>
      <c r="Y1066">
        <v>1140</v>
      </c>
      <c r="AA1066" t="str">
        <f t="shared" si="32"/>
        <v>update zamestnanci set nastup='24' where id='1747';</v>
      </c>
      <c r="AB1066" t="str">
        <f t="shared" si="33"/>
        <v>update dochazka set zastavka = '24' where zamestnanec = '1747';</v>
      </c>
    </row>
    <row r="1067" spans="1:28" x14ac:dyDescent="0.25">
      <c r="A1067" s="2">
        <v>1749</v>
      </c>
      <c r="B1067" t="s">
        <v>7413</v>
      </c>
      <c r="C1067" t="s">
        <v>64</v>
      </c>
      <c r="D1067" t="s">
        <v>7414</v>
      </c>
      <c r="E1067" t="s">
        <v>1402</v>
      </c>
      <c r="F1067" t="s">
        <v>569</v>
      </c>
      <c r="G1067" s="1">
        <v>45861</v>
      </c>
      <c r="H1067" s="1">
        <v>45905</v>
      </c>
      <c r="I1067" s="1">
        <v>73050</v>
      </c>
      <c r="J1067" s="2" t="s">
        <v>8318</v>
      </c>
      <c r="K1067" t="s">
        <v>7415</v>
      </c>
      <c r="M1067" s="16" t="s">
        <v>8319</v>
      </c>
      <c r="N1067" s="16" t="str">
        <f>VLOOKUP(M1067,Tab_Zast[[Zastávka]:[Sloupec1]],2,0)</f>
        <v>24</v>
      </c>
      <c r="O1067" t="s">
        <v>7416</v>
      </c>
      <c r="P1067">
        <v>10</v>
      </c>
      <c r="Q1067">
        <v>0</v>
      </c>
      <c r="R1067" t="s">
        <v>31</v>
      </c>
      <c r="S1067" t="s">
        <v>31</v>
      </c>
      <c r="T1067" t="s">
        <v>32</v>
      </c>
      <c r="V1067" s="1" t="e">
        <v>#N/A</v>
      </c>
      <c r="W1067" t="s">
        <v>7412</v>
      </c>
      <c r="X1067">
        <v>0</v>
      </c>
      <c r="Y1067">
        <v>1141</v>
      </c>
      <c r="AA1067" t="str">
        <f t="shared" si="32"/>
        <v>update zamestnanci set nastup='24' where id='1749';</v>
      </c>
      <c r="AB1067" t="str">
        <f t="shared" si="33"/>
        <v>update dochazka set zastavka = '24' where zamestnanec = '1749';</v>
      </c>
    </row>
    <row r="1068" spans="1:28" x14ac:dyDescent="0.25">
      <c r="A1068" s="2">
        <v>1760</v>
      </c>
      <c r="B1068" t="s">
        <v>7460</v>
      </c>
      <c r="C1068" t="s">
        <v>64</v>
      </c>
      <c r="D1068" t="s">
        <v>7461</v>
      </c>
      <c r="E1068" t="s">
        <v>2536</v>
      </c>
      <c r="F1068" t="s">
        <v>7462</v>
      </c>
      <c r="G1068" s="1">
        <v>45861</v>
      </c>
      <c r="H1068" s="1">
        <v>45863</v>
      </c>
      <c r="I1068" s="1">
        <v>73050</v>
      </c>
      <c r="J1068" s="2" t="s">
        <v>8318</v>
      </c>
      <c r="K1068" t="s">
        <v>7463</v>
      </c>
      <c r="M1068" s="16" t="s">
        <v>8319</v>
      </c>
      <c r="N1068" s="16" t="str">
        <f>VLOOKUP(M1068,Tab_Zast[[Zastávka]:[Sloupec1]],2,0)</f>
        <v>24</v>
      </c>
      <c r="O1068" t="s">
        <v>7283</v>
      </c>
      <c r="P1068">
        <v>10</v>
      </c>
      <c r="Q1068">
        <v>0</v>
      </c>
      <c r="R1068" t="s">
        <v>31</v>
      </c>
      <c r="S1068" t="s">
        <v>31</v>
      </c>
      <c r="T1068" t="s">
        <v>32</v>
      </c>
      <c r="V1068" s="1" t="e">
        <v>#N/A</v>
      </c>
      <c r="X1068">
        <v>0</v>
      </c>
      <c r="Y1068">
        <v>1152</v>
      </c>
      <c r="AA1068" t="str">
        <f t="shared" si="32"/>
        <v>update zamestnanci set nastup='24' where id='1760';</v>
      </c>
      <c r="AB1068" t="str">
        <f t="shared" si="33"/>
        <v>update dochazka set zastavka = '24' where zamestnanec = '1760';</v>
      </c>
    </row>
    <row r="1069" spans="1:28" x14ac:dyDescent="0.25">
      <c r="A1069" s="2">
        <v>1767</v>
      </c>
      <c r="B1069" t="s">
        <v>7487</v>
      </c>
      <c r="C1069" t="s">
        <v>64</v>
      </c>
      <c r="D1069" t="s">
        <v>7488</v>
      </c>
      <c r="E1069" t="s">
        <v>743</v>
      </c>
      <c r="F1069" t="s">
        <v>7489</v>
      </c>
      <c r="G1069" s="1">
        <v>45870</v>
      </c>
      <c r="H1069" s="1">
        <v>45891</v>
      </c>
      <c r="I1069" s="1">
        <v>73050</v>
      </c>
      <c r="J1069" s="2" t="s">
        <v>8318</v>
      </c>
      <c r="K1069" t="s">
        <v>7490</v>
      </c>
      <c r="M1069" s="16" t="s">
        <v>8319</v>
      </c>
      <c r="N1069" s="16" t="str">
        <f>VLOOKUP(M1069,Tab_Zast[[Zastávka]:[Sloupec1]],2,0)</f>
        <v>24</v>
      </c>
      <c r="O1069" t="s">
        <v>7491</v>
      </c>
      <c r="P1069">
        <v>10</v>
      </c>
      <c r="Q1069">
        <v>0</v>
      </c>
      <c r="R1069" t="s">
        <v>31</v>
      </c>
      <c r="S1069" t="s">
        <v>31</v>
      </c>
      <c r="T1069" t="s">
        <v>32</v>
      </c>
      <c r="V1069" s="1" t="e">
        <v>#N/A</v>
      </c>
      <c r="W1069" t="s">
        <v>7412</v>
      </c>
      <c r="X1069">
        <v>0</v>
      </c>
      <c r="Y1069">
        <v>1160</v>
      </c>
      <c r="AA1069" t="str">
        <f t="shared" si="32"/>
        <v>update zamestnanci set nastup='24' where id='1767';</v>
      </c>
      <c r="AB1069" t="str">
        <f t="shared" si="33"/>
        <v>update dochazka set zastavka = '24' where zamestnanec = '1767';</v>
      </c>
    </row>
    <row r="1070" spans="1:28" x14ac:dyDescent="0.25">
      <c r="A1070" s="2">
        <v>1805</v>
      </c>
      <c r="B1070" t="s">
        <v>7622</v>
      </c>
      <c r="C1070" t="s">
        <v>569</v>
      </c>
      <c r="D1070" t="s">
        <v>7623</v>
      </c>
      <c r="E1070" t="s">
        <v>1744</v>
      </c>
      <c r="F1070" t="s">
        <v>569</v>
      </c>
      <c r="G1070" s="1">
        <v>45896</v>
      </c>
      <c r="H1070" s="1">
        <v>45903</v>
      </c>
      <c r="I1070" s="1">
        <v>73050</v>
      </c>
      <c r="J1070" s="2" t="s">
        <v>8318</v>
      </c>
      <c r="K1070" t="s">
        <v>7624</v>
      </c>
      <c r="M1070" s="16" t="s">
        <v>8319</v>
      </c>
      <c r="N1070" s="16" t="str">
        <f>VLOOKUP(M1070,Tab_Zast[[Zastávka]:[Sloupec1]],2,0)</f>
        <v>24</v>
      </c>
      <c r="O1070" t="s">
        <v>7625</v>
      </c>
      <c r="P1070">
        <v>10</v>
      </c>
      <c r="Q1070">
        <v>0</v>
      </c>
      <c r="R1070" t="s">
        <v>31</v>
      </c>
      <c r="S1070" t="s">
        <v>31</v>
      </c>
      <c r="T1070" t="s">
        <v>32</v>
      </c>
      <c r="V1070" s="1" t="e">
        <v>#N/A</v>
      </c>
      <c r="W1070" t="s">
        <v>7412</v>
      </c>
      <c r="X1070">
        <v>0</v>
      </c>
      <c r="Y1070">
        <v>1199</v>
      </c>
      <c r="AA1070" t="str">
        <f t="shared" si="32"/>
        <v>update zamestnanci set nastup='24' where id='1805';</v>
      </c>
      <c r="AB1070" t="str">
        <f t="shared" si="33"/>
        <v>update dochazka set zastavka = '24' where zamestnanec = '1805';</v>
      </c>
    </row>
    <row r="1071" spans="1:28" x14ac:dyDescent="0.25">
      <c r="A1071" s="2">
        <v>1816</v>
      </c>
      <c r="B1071" t="s">
        <v>7666</v>
      </c>
      <c r="C1071" t="s">
        <v>569</v>
      </c>
      <c r="D1071" t="s">
        <v>7553</v>
      </c>
      <c r="E1071" t="s">
        <v>761</v>
      </c>
      <c r="F1071" t="s">
        <v>569</v>
      </c>
      <c r="G1071" s="1">
        <v>45901</v>
      </c>
      <c r="H1071" s="1">
        <v>45936</v>
      </c>
      <c r="I1071" s="1">
        <v>73050</v>
      </c>
      <c r="J1071" s="2" t="s">
        <v>294</v>
      </c>
      <c r="K1071" t="s">
        <v>7554</v>
      </c>
      <c r="M1071" s="16" t="s">
        <v>8314</v>
      </c>
      <c r="N1071" s="16" t="str">
        <f>VLOOKUP(M1071,Tab_Zast[[Zastávka]:[Sloupec1]],2,0)</f>
        <v>22</v>
      </c>
      <c r="O1071" t="s">
        <v>7555</v>
      </c>
      <c r="P1071">
        <v>1</v>
      </c>
      <c r="Q1071">
        <v>0</v>
      </c>
      <c r="R1071" t="s">
        <v>31</v>
      </c>
      <c r="S1071" t="s">
        <v>31</v>
      </c>
      <c r="T1071" t="s">
        <v>32</v>
      </c>
      <c r="V1071" s="1" t="e">
        <v>#N/A</v>
      </c>
      <c r="W1071" t="s">
        <v>47</v>
      </c>
      <c r="X1071">
        <v>0</v>
      </c>
      <c r="Y1071">
        <v>1213</v>
      </c>
      <c r="AA1071" t="str">
        <f t="shared" si="32"/>
        <v>update zamestnanci set nastup='22' where id='1816';</v>
      </c>
      <c r="AB1071" t="str">
        <f t="shared" si="33"/>
        <v>update dochazka set zastavka = '22' where zamestnanec = '1816';</v>
      </c>
    </row>
    <row r="1072" spans="1:28" x14ac:dyDescent="0.25">
      <c r="A1072" s="2">
        <v>1820</v>
      </c>
      <c r="B1072" t="s">
        <v>7674</v>
      </c>
      <c r="C1072" t="s">
        <v>569</v>
      </c>
      <c r="D1072" t="s">
        <v>5252</v>
      </c>
      <c r="E1072" t="s">
        <v>800</v>
      </c>
      <c r="F1072" t="s">
        <v>1394</v>
      </c>
      <c r="G1072" s="1">
        <v>45903</v>
      </c>
      <c r="H1072" s="1">
        <v>45903</v>
      </c>
      <c r="I1072" s="1">
        <v>73050</v>
      </c>
      <c r="J1072" s="2" t="s">
        <v>8318</v>
      </c>
      <c r="K1072" t="s">
        <v>7675</v>
      </c>
      <c r="M1072" s="16" t="s">
        <v>8319</v>
      </c>
      <c r="N1072" s="16" t="str">
        <f>VLOOKUP(M1072,Tab_Zast[[Zastávka]:[Sloupec1]],2,0)</f>
        <v>24</v>
      </c>
      <c r="O1072" t="s">
        <v>7676</v>
      </c>
      <c r="P1072">
        <v>10</v>
      </c>
      <c r="Q1072">
        <v>0</v>
      </c>
      <c r="R1072" t="s">
        <v>31</v>
      </c>
      <c r="S1072" t="s">
        <v>31</v>
      </c>
      <c r="T1072" t="s">
        <v>32</v>
      </c>
      <c r="V1072" s="1" t="e">
        <v>#N/A</v>
      </c>
      <c r="W1072" t="s">
        <v>7629</v>
      </c>
      <c r="X1072">
        <v>0</v>
      </c>
      <c r="Y1072">
        <v>1215</v>
      </c>
      <c r="AA1072" t="str">
        <f t="shared" si="32"/>
        <v>update zamestnanci set nastup='24' where id='1820';</v>
      </c>
      <c r="AB1072" t="str">
        <f t="shared" si="33"/>
        <v>update dochazka set zastavka = '24' where zamestnanec = '1820';</v>
      </c>
    </row>
    <row r="1073" spans="1:28" x14ac:dyDescent="0.25">
      <c r="A1073" s="2">
        <v>1863</v>
      </c>
      <c r="B1073" t="s">
        <v>7843</v>
      </c>
      <c r="C1073" t="s">
        <v>569</v>
      </c>
      <c r="D1073" t="s">
        <v>7844</v>
      </c>
      <c r="E1073" t="s">
        <v>568</v>
      </c>
      <c r="F1073" t="s">
        <v>7725</v>
      </c>
      <c r="G1073" s="1">
        <v>45931</v>
      </c>
      <c r="H1073" s="1">
        <v>73050</v>
      </c>
      <c r="I1073" s="1" t="e">
        <v>#N/A</v>
      </c>
      <c r="J1073" s="2" t="s">
        <v>723</v>
      </c>
      <c r="K1073" t="s">
        <v>7845</v>
      </c>
      <c r="M1073" s="16" t="s">
        <v>8503</v>
      </c>
      <c r="N1073" s="16" t="str">
        <f>VLOOKUP(M1073,Tab_Zast[[Zastávka]:[Sloupec1]],2,0)</f>
        <v>90</v>
      </c>
      <c r="O1073" t="s">
        <v>7846</v>
      </c>
      <c r="P1073">
        <v>4</v>
      </c>
      <c r="Q1073">
        <v>0</v>
      </c>
      <c r="R1073" t="s">
        <v>129</v>
      </c>
      <c r="S1073" t="s">
        <v>31</v>
      </c>
      <c r="T1073" t="s">
        <v>32</v>
      </c>
      <c r="V1073" s="1" t="e">
        <v>#N/A</v>
      </c>
      <c r="W1073" t="s">
        <v>2729</v>
      </c>
      <c r="X1073">
        <v>1</v>
      </c>
      <c r="Y1073">
        <v>1259</v>
      </c>
      <c r="AA1073" t="str">
        <f t="shared" si="32"/>
        <v>update zamestnanci set nastup='90' where id='1863';</v>
      </c>
      <c r="AB1073" t="str">
        <f t="shared" si="33"/>
        <v>update dochazka set zastavka = '90' where zamestnanec = '1863';</v>
      </c>
    </row>
    <row r="1074" spans="1:28" x14ac:dyDescent="0.25">
      <c r="A1074" s="2">
        <v>1864</v>
      </c>
      <c r="B1074" t="s">
        <v>7847</v>
      </c>
      <c r="C1074" t="s">
        <v>1394</v>
      </c>
      <c r="D1074" t="s">
        <v>7848</v>
      </c>
      <c r="E1074" t="s">
        <v>201</v>
      </c>
      <c r="F1074" t="s">
        <v>7849</v>
      </c>
      <c r="G1074" s="1">
        <v>45931</v>
      </c>
      <c r="H1074" s="1">
        <v>45946</v>
      </c>
      <c r="I1074" s="1">
        <v>73050</v>
      </c>
      <c r="J1074" s="2" t="s">
        <v>555</v>
      </c>
      <c r="K1074" t="s">
        <v>7850</v>
      </c>
      <c r="M1074" s="16" t="s">
        <v>8420</v>
      </c>
      <c r="N1074" s="16" t="str">
        <f>VLOOKUP(M1074,Tab_Zast[[Zastávka]:[Sloupec1]],2,0)</f>
        <v>62</v>
      </c>
      <c r="O1074" t="s">
        <v>7851</v>
      </c>
      <c r="P1074">
        <v>4</v>
      </c>
      <c r="Q1074">
        <v>0</v>
      </c>
      <c r="R1074" t="s">
        <v>31</v>
      </c>
      <c r="S1074" t="s">
        <v>31</v>
      </c>
      <c r="T1074" t="s">
        <v>32</v>
      </c>
      <c r="V1074" s="1" t="e">
        <v>#N/A</v>
      </c>
      <c r="W1074" t="s">
        <v>2729</v>
      </c>
      <c r="X1074">
        <v>0</v>
      </c>
      <c r="Y1074">
        <v>1260</v>
      </c>
      <c r="AA1074" t="str">
        <f t="shared" si="32"/>
        <v>update zamestnanci set nastup='62' where id='1864';</v>
      </c>
      <c r="AB1074" t="str">
        <f t="shared" si="33"/>
        <v>update dochazka set zastavka = '62' where zamestnanec = '1864';</v>
      </c>
    </row>
    <row r="1075" spans="1:28" x14ac:dyDescent="0.25">
      <c r="A1075" s="2">
        <v>1865</v>
      </c>
      <c r="B1075" t="s">
        <v>7852</v>
      </c>
      <c r="C1075" t="s">
        <v>569</v>
      </c>
      <c r="D1075" t="s">
        <v>7853</v>
      </c>
      <c r="E1075" t="s">
        <v>2096</v>
      </c>
      <c r="F1075" t="s">
        <v>7854</v>
      </c>
      <c r="G1075" s="1">
        <v>45931</v>
      </c>
      <c r="H1075" s="1" t="e">
        <v>#N/A</v>
      </c>
      <c r="I1075" s="1" t="e">
        <v>#N/A</v>
      </c>
      <c r="J1075" s="2" t="s">
        <v>8309</v>
      </c>
      <c r="K1075" t="s">
        <v>7855</v>
      </c>
      <c r="M1075" s="16" t="s">
        <v>8310</v>
      </c>
      <c r="N1075" s="16" t="str">
        <f>VLOOKUP(M1075,Tab_Zast[[Zastávka]:[Sloupec1]],2,0)</f>
        <v>20</v>
      </c>
      <c r="O1075" t="s">
        <v>7856</v>
      </c>
      <c r="P1075">
        <v>8</v>
      </c>
      <c r="Q1075">
        <v>0</v>
      </c>
      <c r="R1075" t="s">
        <v>179</v>
      </c>
      <c r="S1075" t="s">
        <v>31</v>
      </c>
      <c r="T1075" t="s">
        <v>32</v>
      </c>
      <c r="V1075" s="1" t="e">
        <v>#N/A</v>
      </c>
      <c r="W1075" t="s">
        <v>3023</v>
      </c>
      <c r="X1075">
        <v>1</v>
      </c>
      <c r="Y1075">
        <v>1261</v>
      </c>
      <c r="AA1075" t="str">
        <f t="shared" si="32"/>
        <v>update zamestnanci set nastup='20' where id='1865';</v>
      </c>
      <c r="AB1075" t="str">
        <f t="shared" si="33"/>
        <v>update dochazka set zastavka = '20' where zamestnanec = '1865';</v>
      </c>
    </row>
    <row r="1076" spans="1:28" x14ac:dyDescent="0.25">
      <c r="A1076" s="2">
        <v>1866</v>
      </c>
      <c r="B1076" t="s">
        <v>7857</v>
      </c>
      <c r="C1076" t="s">
        <v>569</v>
      </c>
      <c r="D1076" t="s">
        <v>7853</v>
      </c>
      <c r="E1076" t="s">
        <v>3152</v>
      </c>
      <c r="F1076" t="s">
        <v>7858</v>
      </c>
      <c r="G1076" s="1">
        <v>45931</v>
      </c>
      <c r="H1076" s="1" t="e">
        <v>#N/A</v>
      </c>
      <c r="I1076" s="1" t="e">
        <v>#N/A</v>
      </c>
      <c r="J1076" s="2" t="s">
        <v>8309</v>
      </c>
      <c r="K1076" t="s">
        <v>7859</v>
      </c>
      <c r="M1076" s="16" t="s">
        <v>8310</v>
      </c>
      <c r="N1076" s="16" t="str">
        <f>VLOOKUP(M1076,Tab_Zast[[Zastávka]:[Sloupec1]],2,0)</f>
        <v>20</v>
      </c>
      <c r="O1076" t="s">
        <v>7860</v>
      </c>
      <c r="P1076">
        <v>8</v>
      </c>
      <c r="Q1076">
        <v>0</v>
      </c>
      <c r="R1076" t="s">
        <v>179</v>
      </c>
      <c r="S1076" t="s">
        <v>31</v>
      </c>
      <c r="T1076" t="s">
        <v>32</v>
      </c>
      <c r="V1076" s="1" t="e">
        <v>#N/A</v>
      </c>
      <c r="W1076" t="s">
        <v>3023</v>
      </c>
      <c r="X1076">
        <v>1</v>
      </c>
      <c r="Y1076">
        <v>1262</v>
      </c>
      <c r="AA1076" t="str">
        <f t="shared" si="32"/>
        <v>update zamestnanci set nastup='20' where id='1866';</v>
      </c>
      <c r="AB1076" t="str">
        <f t="shared" si="33"/>
        <v>update dochazka set zastavka = '20' where zamestnanec = '1866';</v>
      </c>
    </row>
    <row r="1077" spans="1:28" x14ac:dyDescent="0.25">
      <c r="A1077" s="2">
        <v>1884</v>
      </c>
      <c r="B1077" t="s">
        <v>64</v>
      </c>
      <c r="C1077" t="s">
        <v>569</v>
      </c>
      <c r="D1077" t="s">
        <v>7929</v>
      </c>
      <c r="E1077" t="s">
        <v>201</v>
      </c>
      <c r="F1077" t="s">
        <v>7930</v>
      </c>
      <c r="G1077" s="1">
        <v>45950</v>
      </c>
      <c r="H1077" s="1" t="e">
        <v>#N/A</v>
      </c>
      <c r="I1077" s="1" t="e">
        <v>#N/A</v>
      </c>
      <c r="J1077" s="2" t="s">
        <v>267</v>
      </c>
      <c r="K1077" t="s">
        <v>7931</v>
      </c>
      <c r="M1077" s="16" t="s">
        <v>8305</v>
      </c>
      <c r="N1077" s="16" t="str">
        <f>VLOOKUP(M1077,Tab_Zast[[Zastávka]:[Sloupec1]],2,0)</f>
        <v>18</v>
      </c>
      <c r="O1077" t="s">
        <v>7932</v>
      </c>
      <c r="P1077">
        <v>4</v>
      </c>
      <c r="Q1077">
        <v>0</v>
      </c>
      <c r="R1077" t="s">
        <v>129</v>
      </c>
      <c r="S1077" t="s">
        <v>179</v>
      </c>
      <c r="T1077" t="s">
        <v>32</v>
      </c>
      <c r="V1077" s="1" t="e">
        <v>#N/A</v>
      </c>
      <c r="W1077" t="s">
        <v>2729</v>
      </c>
      <c r="X1077">
        <v>1</v>
      </c>
      <c r="Y1077">
        <v>1285</v>
      </c>
      <c r="AA1077" t="str">
        <f t="shared" si="32"/>
        <v>update zamestnanci set nastup='18' where id='1884';</v>
      </c>
      <c r="AB1077" t="str">
        <f t="shared" si="33"/>
        <v>update dochazka set zastavka = '18' where zamestnanec = '1884';</v>
      </c>
    </row>
    <row r="1078" spans="1:28" x14ac:dyDescent="0.25">
      <c r="A1078" s="2">
        <v>1895</v>
      </c>
      <c r="B1078" t="s">
        <v>7971</v>
      </c>
      <c r="C1078" t="s">
        <v>569</v>
      </c>
      <c r="D1078" t="s">
        <v>7972</v>
      </c>
      <c r="E1078" t="s">
        <v>4016</v>
      </c>
      <c r="F1078" t="s">
        <v>7973</v>
      </c>
      <c r="G1078" s="1">
        <v>45960</v>
      </c>
      <c r="H1078" s="1" t="e">
        <v>#N/A</v>
      </c>
      <c r="I1078" s="1" t="e">
        <v>#N/A</v>
      </c>
      <c r="J1078" s="2" t="s">
        <v>8348</v>
      </c>
      <c r="K1078" t="s">
        <v>7974</v>
      </c>
      <c r="L1078" t="s">
        <v>7975</v>
      </c>
      <c r="M1078" s="16" t="s">
        <v>8349</v>
      </c>
      <c r="N1078" s="16" t="str">
        <f>VLOOKUP(M1078,Tab_Zast[[Zastávka]:[Sloupec1]],2,0)</f>
        <v>36</v>
      </c>
      <c r="O1078" t="s">
        <v>7976</v>
      </c>
      <c r="P1078">
        <v>8</v>
      </c>
      <c r="Q1078">
        <v>0</v>
      </c>
      <c r="R1078" t="s">
        <v>179</v>
      </c>
      <c r="S1078" t="s">
        <v>31</v>
      </c>
      <c r="T1078" t="s">
        <v>32</v>
      </c>
      <c r="V1078" s="1" t="e">
        <v>#N/A</v>
      </c>
      <c r="W1078" t="s">
        <v>3023</v>
      </c>
      <c r="X1078">
        <v>1</v>
      </c>
      <c r="Y1078">
        <v>1288</v>
      </c>
      <c r="AA1078" t="str">
        <f t="shared" si="32"/>
        <v>update zamestnanci set nastup='36' where id='1895';</v>
      </c>
      <c r="AB1078" t="str">
        <f t="shared" si="33"/>
        <v>update dochazka set zastavka = '36' where zamestnanec = '1895';</v>
      </c>
    </row>
    <row r="1079" spans="1:28" x14ac:dyDescent="0.25">
      <c r="A1079" s="2">
        <v>1899</v>
      </c>
      <c r="B1079" t="s">
        <v>7998</v>
      </c>
      <c r="C1079" t="s">
        <v>569</v>
      </c>
      <c r="D1079" t="s">
        <v>3785</v>
      </c>
      <c r="E1079" t="s">
        <v>7999</v>
      </c>
      <c r="F1079" t="s">
        <v>8000</v>
      </c>
      <c r="G1079" s="1">
        <v>45965</v>
      </c>
      <c r="H1079" s="1" t="e">
        <v>#N/A</v>
      </c>
      <c r="I1079" s="1" t="e">
        <v>#N/A</v>
      </c>
      <c r="J1079" s="2" t="s">
        <v>723</v>
      </c>
      <c r="K1079" t="s">
        <v>8001</v>
      </c>
      <c r="M1079" s="16" t="s">
        <v>8503</v>
      </c>
      <c r="N1079" s="16" t="str">
        <f>VLOOKUP(M1079,Tab_Zast[[Zastávka]:[Sloupec1]],2,0)</f>
        <v>90</v>
      </c>
      <c r="O1079" t="s">
        <v>8002</v>
      </c>
      <c r="P1079">
        <v>4</v>
      </c>
      <c r="Q1079">
        <v>0</v>
      </c>
      <c r="R1079" t="s">
        <v>179</v>
      </c>
      <c r="S1079" t="s">
        <v>31</v>
      </c>
      <c r="T1079" t="s">
        <v>32</v>
      </c>
      <c r="V1079" s="1" t="e">
        <v>#N/A</v>
      </c>
      <c r="W1079" t="s">
        <v>62</v>
      </c>
      <c r="X1079">
        <v>1</v>
      </c>
      <c r="Y1079">
        <v>1301</v>
      </c>
      <c r="AA1079" t="str">
        <f t="shared" si="32"/>
        <v>update zamestnanci set nastup='90' where id='1899';</v>
      </c>
      <c r="AB1079" t="str">
        <f t="shared" si="33"/>
        <v>update dochazka set zastavka = '90' where zamestnanec = '1899';</v>
      </c>
    </row>
    <row r="1080" spans="1:28" x14ac:dyDescent="0.25">
      <c r="A1080" s="2">
        <v>1901</v>
      </c>
      <c r="B1080" t="s">
        <v>8007</v>
      </c>
      <c r="C1080" t="s">
        <v>569</v>
      </c>
      <c r="D1080" t="s">
        <v>8008</v>
      </c>
      <c r="E1080" t="s">
        <v>2607</v>
      </c>
      <c r="F1080" t="s">
        <v>8009</v>
      </c>
      <c r="G1080" s="1">
        <v>45971</v>
      </c>
      <c r="H1080" s="1" t="e">
        <v>#N/A</v>
      </c>
      <c r="I1080" s="1" t="e">
        <v>#N/A</v>
      </c>
      <c r="J1080" s="2" t="s">
        <v>8348</v>
      </c>
      <c r="K1080" t="s">
        <v>8010</v>
      </c>
      <c r="M1080" s="16" t="s">
        <v>8349</v>
      </c>
      <c r="N1080" s="16" t="str">
        <f>VLOOKUP(M1080,Tab_Zast[[Zastávka]:[Sloupec1]],2,0)</f>
        <v>36</v>
      </c>
      <c r="O1080" t="s">
        <v>8011</v>
      </c>
      <c r="P1080">
        <v>8</v>
      </c>
      <c r="Q1080">
        <v>0</v>
      </c>
      <c r="R1080" t="s">
        <v>179</v>
      </c>
      <c r="S1080" t="s">
        <v>31</v>
      </c>
      <c r="T1080" t="s">
        <v>32</v>
      </c>
      <c r="V1080" s="1" t="e">
        <v>#N/A</v>
      </c>
      <c r="W1080" t="s">
        <v>493</v>
      </c>
      <c r="X1080">
        <v>1</v>
      </c>
      <c r="Y1080">
        <v>1307</v>
      </c>
      <c r="AA1080" t="str">
        <f t="shared" si="32"/>
        <v>update zamestnanci set nastup='36' where id='1901';</v>
      </c>
      <c r="AB1080" t="str">
        <f t="shared" si="33"/>
        <v>update dochazka set zastavka = '36' where zamestnanec = '1901';</v>
      </c>
    </row>
    <row r="1081" spans="1:28" x14ac:dyDescent="0.25">
      <c r="A1081" s="2">
        <v>1919</v>
      </c>
      <c r="B1081" t="s">
        <v>8075</v>
      </c>
      <c r="C1081" t="s">
        <v>569</v>
      </c>
      <c r="D1081" t="s">
        <v>8076</v>
      </c>
      <c r="E1081" t="s">
        <v>2807</v>
      </c>
      <c r="F1081" t="s">
        <v>8077</v>
      </c>
      <c r="G1081" s="1">
        <v>45979</v>
      </c>
      <c r="H1081" s="1" t="e">
        <v>#N/A</v>
      </c>
      <c r="I1081" s="1" t="e">
        <v>#N/A</v>
      </c>
      <c r="J1081" s="2" t="s">
        <v>8309</v>
      </c>
      <c r="K1081" t="s">
        <v>8078</v>
      </c>
      <c r="L1081" t="s">
        <v>8079</v>
      </c>
      <c r="M1081" s="16" t="s">
        <v>8310</v>
      </c>
      <c r="N1081" s="16" t="str">
        <f>VLOOKUP(M1081,Tab_Zast[[Zastávka]:[Sloupec1]],2,0)</f>
        <v>20</v>
      </c>
      <c r="O1081" t="s">
        <v>8080</v>
      </c>
      <c r="P1081">
        <v>8</v>
      </c>
      <c r="Q1081">
        <v>0</v>
      </c>
      <c r="R1081" t="s">
        <v>129</v>
      </c>
      <c r="S1081" t="s">
        <v>31</v>
      </c>
      <c r="T1081" t="s">
        <v>32</v>
      </c>
      <c r="V1081" s="1" t="e">
        <v>#N/A</v>
      </c>
      <c r="W1081" t="s">
        <v>493</v>
      </c>
      <c r="X1081">
        <v>1</v>
      </c>
      <c r="Y1081">
        <v>1331</v>
      </c>
      <c r="AA1081" t="str">
        <f t="shared" si="32"/>
        <v>update zamestnanci set nastup='20' where id='1919';</v>
      </c>
      <c r="AB1081" t="str">
        <f t="shared" si="33"/>
        <v>update dochazka set zastavka = '20' where zamestnanec = '1919';</v>
      </c>
    </row>
    <row r="1082" spans="1:28" x14ac:dyDescent="0.25">
      <c r="A1082" s="2">
        <v>1922</v>
      </c>
      <c r="B1082" t="s">
        <v>8092</v>
      </c>
      <c r="C1082" t="s">
        <v>569</v>
      </c>
      <c r="D1082" t="s">
        <v>8093</v>
      </c>
      <c r="E1082" t="s">
        <v>3432</v>
      </c>
      <c r="F1082" t="s">
        <v>8094</v>
      </c>
      <c r="G1082" s="1">
        <v>45979</v>
      </c>
      <c r="H1082" s="1" t="e">
        <v>#N/A</v>
      </c>
      <c r="I1082" s="1" t="e">
        <v>#N/A</v>
      </c>
      <c r="J1082" s="2" t="s">
        <v>8309</v>
      </c>
      <c r="K1082" t="s">
        <v>8095</v>
      </c>
      <c r="L1082" t="s">
        <v>8096</v>
      </c>
      <c r="M1082" s="16" t="s">
        <v>8310</v>
      </c>
      <c r="N1082" s="16" t="str">
        <f>VLOOKUP(M1082,Tab_Zast[[Zastávka]:[Sloupec1]],2,0)</f>
        <v>20</v>
      </c>
      <c r="O1082" t="s">
        <v>8097</v>
      </c>
      <c r="P1082">
        <v>8</v>
      </c>
      <c r="Q1082">
        <v>0</v>
      </c>
      <c r="R1082" t="s">
        <v>129</v>
      </c>
      <c r="S1082" t="s">
        <v>31</v>
      </c>
      <c r="T1082" t="s">
        <v>32</v>
      </c>
      <c r="V1082" s="1" t="e">
        <v>#N/A</v>
      </c>
      <c r="W1082" t="s">
        <v>493</v>
      </c>
      <c r="X1082">
        <v>1</v>
      </c>
      <c r="Y1082">
        <v>1317</v>
      </c>
      <c r="AA1082" t="str">
        <f t="shared" si="32"/>
        <v>update zamestnanci set nastup='20' where id='1922';</v>
      </c>
      <c r="AB1082" t="str">
        <f t="shared" si="33"/>
        <v>update dochazka set zastavka = '20' where zamestnanec = '1922';</v>
      </c>
    </row>
    <row r="1083" spans="1:28" x14ac:dyDescent="0.25">
      <c r="A1083" s="2">
        <v>1942</v>
      </c>
      <c r="B1083" t="s">
        <v>8167</v>
      </c>
      <c r="C1083" t="s">
        <v>569</v>
      </c>
      <c r="D1083" t="s">
        <v>8168</v>
      </c>
      <c r="E1083" t="s">
        <v>3638</v>
      </c>
      <c r="F1083" t="s">
        <v>8167</v>
      </c>
      <c r="G1083" s="1">
        <v>45992</v>
      </c>
      <c r="H1083" s="1">
        <v>45999</v>
      </c>
      <c r="I1083" s="1" t="e">
        <v>#N/A</v>
      </c>
      <c r="J1083" s="2" t="s">
        <v>8283</v>
      </c>
      <c r="K1083" t="s">
        <v>8169</v>
      </c>
      <c r="M1083" s="16" t="s">
        <v>8284</v>
      </c>
      <c r="N1083" s="16" t="str">
        <f>VLOOKUP(M1083,Tab_Zast[[Zastávka]:[Sloupec1]],2,0)</f>
        <v>11</v>
      </c>
      <c r="O1083" t="s">
        <v>8170</v>
      </c>
      <c r="P1083">
        <v>1</v>
      </c>
      <c r="Q1083">
        <v>0</v>
      </c>
      <c r="R1083" t="s">
        <v>31</v>
      </c>
      <c r="S1083" t="s">
        <v>31</v>
      </c>
      <c r="T1083" t="s">
        <v>32</v>
      </c>
      <c r="V1083" s="1" t="e">
        <v>#N/A</v>
      </c>
      <c r="W1083" t="s">
        <v>47</v>
      </c>
      <c r="X1083">
        <v>0</v>
      </c>
      <c r="Y1083">
        <v>1358</v>
      </c>
      <c r="AA1083" t="str">
        <f t="shared" si="32"/>
        <v>update zamestnanci set nastup='11' where id='1942';</v>
      </c>
      <c r="AB1083" t="str">
        <f t="shared" si="33"/>
        <v>update dochazka set zastavka = '11' where zamestnanec = '1942';</v>
      </c>
    </row>
    <row r="1084" spans="1:28" x14ac:dyDescent="0.25">
      <c r="A1084" s="2">
        <v>1950</v>
      </c>
      <c r="B1084" t="s">
        <v>8196</v>
      </c>
      <c r="C1084" t="s">
        <v>569</v>
      </c>
      <c r="D1084" t="s">
        <v>8197</v>
      </c>
      <c r="E1084" t="s">
        <v>671</v>
      </c>
      <c r="F1084" t="s">
        <v>8196</v>
      </c>
      <c r="G1084" s="1">
        <v>45992</v>
      </c>
      <c r="H1084" s="1" t="e">
        <v>#N/A</v>
      </c>
      <c r="I1084" s="1" t="e">
        <v>#N/A</v>
      </c>
      <c r="J1084" s="2" t="s">
        <v>8309</v>
      </c>
      <c r="K1084" t="s">
        <v>8198</v>
      </c>
      <c r="L1084" t="s">
        <v>8199</v>
      </c>
      <c r="M1084" s="16" t="s">
        <v>8310</v>
      </c>
      <c r="N1084" s="16" t="str">
        <f>VLOOKUP(M1084,Tab_Zast[[Zastávka]:[Sloupec1]],2,0)</f>
        <v>20</v>
      </c>
      <c r="O1084" t="s">
        <v>8200</v>
      </c>
      <c r="P1084">
        <v>8</v>
      </c>
      <c r="Q1084">
        <v>0</v>
      </c>
      <c r="R1084" t="s">
        <v>129</v>
      </c>
      <c r="S1084" t="s">
        <v>31</v>
      </c>
      <c r="T1084" t="s">
        <v>32</v>
      </c>
      <c r="V1084" s="1" t="e">
        <v>#N/A</v>
      </c>
      <c r="W1084" t="s">
        <v>493</v>
      </c>
      <c r="X1084">
        <v>1</v>
      </c>
      <c r="Y1084">
        <v>1363</v>
      </c>
      <c r="AA1084" t="str">
        <f t="shared" si="32"/>
        <v>update zamestnanci set nastup='20' where id='1950';</v>
      </c>
      <c r="AB1084" t="str">
        <f t="shared" si="33"/>
        <v>update dochazka set zastavka = '20' where zamestnanec = '1950';</v>
      </c>
    </row>
    <row r="1085" spans="1:28" x14ac:dyDescent="0.25">
      <c r="A1085" s="2">
        <v>17</v>
      </c>
      <c r="B1085" t="s">
        <v>137</v>
      </c>
      <c r="D1085" t="s">
        <v>138</v>
      </c>
      <c r="E1085" t="s">
        <v>139</v>
      </c>
      <c r="F1085" t="s">
        <v>140</v>
      </c>
      <c r="G1085" s="1">
        <v>44725</v>
      </c>
      <c r="H1085" s="1">
        <v>45359</v>
      </c>
      <c r="I1085" s="1">
        <v>73050</v>
      </c>
      <c r="J1085" s="2" t="s">
        <v>8481</v>
      </c>
      <c r="K1085" t="s">
        <v>141</v>
      </c>
      <c r="M1085" s="16" t="s">
        <v>8482</v>
      </c>
      <c r="N1085" s="16" t="str">
        <f>VLOOKUP(M1085,Tab_Zast[[Zastávka]:[Sloupec1]],2,0)</f>
        <v>82</v>
      </c>
      <c r="O1085" t="s">
        <v>142</v>
      </c>
      <c r="P1085">
        <v>2</v>
      </c>
      <c r="Q1085">
        <v>0</v>
      </c>
      <c r="R1085" t="s">
        <v>31</v>
      </c>
      <c r="S1085" t="s">
        <v>31</v>
      </c>
      <c r="T1085" t="s">
        <v>32</v>
      </c>
      <c r="V1085" s="1" t="e">
        <v>#N/A</v>
      </c>
      <c r="W1085" t="s">
        <v>90</v>
      </c>
      <c r="X1085">
        <v>0</v>
      </c>
      <c r="Y1085">
        <v>0</v>
      </c>
      <c r="Z1085" t="s">
        <v>54</v>
      </c>
      <c r="AA1085" t="str">
        <f t="shared" si="32"/>
        <v>update zamestnanci set nastup='82' where id='17';</v>
      </c>
      <c r="AB1085" t="str">
        <f t="shared" si="33"/>
        <v>update dochazka set zastavka = '82' where zamestnanec = '17';</v>
      </c>
    </row>
    <row r="1086" spans="1:28" x14ac:dyDescent="0.25">
      <c r="A1086" s="2">
        <v>589</v>
      </c>
      <c r="B1086" t="s">
        <v>2087</v>
      </c>
      <c r="D1086" t="s">
        <v>2494</v>
      </c>
      <c r="E1086" t="s">
        <v>2495</v>
      </c>
      <c r="F1086" t="s">
        <v>2496</v>
      </c>
      <c r="G1086" s="1">
        <v>45187</v>
      </c>
      <c r="H1086" s="1">
        <v>45275</v>
      </c>
      <c r="I1086" s="1" t="e">
        <v>#N/A</v>
      </c>
      <c r="J1086" s="2" t="s">
        <v>8348</v>
      </c>
      <c r="K1086" t="s">
        <v>2497</v>
      </c>
      <c r="M1086" s="16" t="s">
        <v>8349</v>
      </c>
      <c r="N1086" s="16" t="str">
        <f>VLOOKUP(M1086,Tab_Zast[[Zastávka]:[Sloupec1]],2,0)</f>
        <v>36</v>
      </c>
      <c r="O1086" t="s">
        <v>2498</v>
      </c>
      <c r="P1086">
        <v>3</v>
      </c>
      <c r="Q1086">
        <v>0</v>
      </c>
      <c r="R1086" t="s">
        <v>130</v>
      </c>
      <c r="S1086" t="s">
        <v>129</v>
      </c>
      <c r="T1086" t="s">
        <v>32</v>
      </c>
      <c r="V1086" s="1" t="e">
        <v>#N/A</v>
      </c>
      <c r="W1086" t="s">
        <v>493</v>
      </c>
      <c r="X1086">
        <v>0</v>
      </c>
      <c r="Y1086">
        <v>0</v>
      </c>
      <c r="AA1086" t="str">
        <f t="shared" si="32"/>
        <v>update zamestnanci set nastup='36' where id='589';</v>
      </c>
      <c r="AB1086" t="str">
        <f t="shared" si="33"/>
        <v>update dochazka set zastavka = '36' where zamestnanec = '589';</v>
      </c>
    </row>
    <row r="1087" spans="1:28" x14ac:dyDescent="0.25">
      <c r="A1087" s="2">
        <v>590</v>
      </c>
      <c r="B1087" t="s">
        <v>2499</v>
      </c>
      <c r="C1087" t="s">
        <v>2500</v>
      </c>
      <c r="D1087" t="s">
        <v>2501</v>
      </c>
      <c r="E1087" t="s">
        <v>2502</v>
      </c>
      <c r="F1087" t="s">
        <v>2503</v>
      </c>
      <c r="G1087" s="1">
        <v>44837</v>
      </c>
      <c r="H1087" s="1">
        <v>45992</v>
      </c>
      <c r="I1087" s="1" t="e">
        <v>#N/A</v>
      </c>
      <c r="J1087" s="2" t="s">
        <v>2410</v>
      </c>
      <c r="K1087" t="s">
        <v>2504</v>
      </c>
      <c r="M1087" s="16" t="s">
        <v>8539</v>
      </c>
      <c r="N1087" s="16" t="str">
        <f>VLOOKUP(M1087,Tab_Zast[[Zastávka]:[Sloupec1]],2,0)</f>
        <v>104</v>
      </c>
      <c r="O1087" t="s">
        <v>2505</v>
      </c>
      <c r="P1087">
        <v>8</v>
      </c>
      <c r="Q1087">
        <v>0</v>
      </c>
      <c r="R1087" t="s">
        <v>31</v>
      </c>
      <c r="S1087" t="s">
        <v>31</v>
      </c>
      <c r="T1087" t="s">
        <v>32</v>
      </c>
      <c r="V1087" s="1" t="e">
        <v>#N/A</v>
      </c>
      <c r="W1087" t="s">
        <v>493</v>
      </c>
      <c r="X1087">
        <v>0</v>
      </c>
      <c r="Y1087">
        <v>0</v>
      </c>
      <c r="AA1087" t="str">
        <f t="shared" si="32"/>
        <v>update zamestnanci set nastup='104' where id='590';</v>
      </c>
      <c r="AB1087" t="str">
        <f t="shared" si="33"/>
        <v>update dochazka set zastavka = '104' where zamestnanec = '590';</v>
      </c>
    </row>
    <row r="1088" spans="1:28" x14ac:dyDescent="0.25">
      <c r="A1088" s="2">
        <v>605</v>
      </c>
      <c r="B1088" t="s">
        <v>2589</v>
      </c>
      <c r="D1088" t="s">
        <v>2590</v>
      </c>
      <c r="E1088" t="s">
        <v>1947</v>
      </c>
      <c r="F1088" t="s">
        <v>2591</v>
      </c>
      <c r="G1088" s="1">
        <v>45096</v>
      </c>
      <c r="H1088" s="1">
        <v>45237</v>
      </c>
      <c r="I1088" s="1" t="e">
        <v>#N/A</v>
      </c>
      <c r="J1088" s="2" t="s">
        <v>8348</v>
      </c>
      <c r="K1088" t="s">
        <v>2592</v>
      </c>
      <c r="M1088" s="16" t="s">
        <v>8349</v>
      </c>
      <c r="N1088" s="16" t="str">
        <f>VLOOKUP(M1088,Tab_Zast[[Zastávka]:[Sloupec1]],2,0)</f>
        <v>36</v>
      </c>
      <c r="O1088" t="s">
        <v>2593</v>
      </c>
      <c r="P1088">
        <v>3</v>
      </c>
      <c r="Q1088">
        <v>0</v>
      </c>
      <c r="R1088" t="s">
        <v>31</v>
      </c>
      <c r="S1088" t="s">
        <v>31</v>
      </c>
      <c r="T1088" t="s">
        <v>32</v>
      </c>
      <c r="V1088" s="1" t="e">
        <v>#N/A</v>
      </c>
      <c r="W1088" t="s">
        <v>493</v>
      </c>
      <c r="X1088">
        <v>0</v>
      </c>
      <c r="Y1088">
        <v>0</v>
      </c>
      <c r="Z1088" t="s">
        <v>54</v>
      </c>
      <c r="AA1088" t="str">
        <f t="shared" si="32"/>
        <v>update zamestnanci set nastup='36' where id='605';</v>
      </c>
      <c r="AB1088" t="str">
        <f t="shared" si="33"/>
        <v>update dochazka set zastavka = '36' where zamestnanec = '605';</v>
      </c>
    </row>
    <row r="1089" spans="1:28" x14ac:dyDescent="0.25">
      <c r="A1089" s="2">
        <v>610</v>
      </c>
      <c r="B1089" t="s">
        <v>2617</v>
      </c>
      <c r="C1089" t="s">
        <v>2618</v>
      </c>
      <c r="D1089" t="s">
        <v>2619</v>
      </c>
      <c r="E1089" t="s">
        <v>2620</v>
      </c>
      <c r="F1089" t="s">
        <v>569</v>
      </c>
      <c r="G1089" s="1">
        <v>45180</v>
      </c>
      <c r="H1089" s="1">
        <v>45832</v>
      </c>
      <c r="I1089" s="1">
        <v>73050</v>
      </c>
      <c r="J1089" s="2" t="s">
        <v>357</v>
      </c>
      <c r="K1089" t="s">
        <v>2621</v>
      </c>
      <c r="M1089" s="16" t="s">
        <v>8551</v>
      </c>
      <c r="N1089" s="16" t="str">
        <f>VLOOKUP(M1089,Tab_Zast[[Zastávka]:[Sloupec1]],2,0)</f>
        <v>00</v>
      </c>
      <c r="O1089" t="s">
        <v>2622</v>
      </c>
      <c r="P1089">
        <v>8</v>
      </c>
      <c r="Q1089">
        <v>0</v>
      </c>
      <c r="R1089" t="s">
        <v>31</v>
      </c>
      <c r="S1089" t="s">
        <v>31</v>
      </c>
      <c r="T1089" t="s">
        <v>32</v>
      </c>
      <c r="V1089" s="1" t="e">
        <v>#N/A</v>
      </c>
      <c r="W1089" t="s">
        <v>493</v>
      </c>
      <c r="X1089">
        <v>0</v>
      </c>
      <c r="Y1089">
        <v>0</v>
      </c>
      <c r="AA1089" t="str">
        <f t="shared" si="32"/>
        <v/>
      </c>
      <c r="AB1089" t="str">
        <f t="shared" si="33"/>
        <v/>
      </c>
    </row>
    <row r="1090" spans="1:28" x14ac:dyDescent="0.25">
      <c r="A1090" s="2">
        <v>678</v>
      </c>
      <c r="B1090" t="s">
        <v>2970</v>
      </c>
      <c r="C1090" t="s">
        <v>2971</v>
      </c>
      <c r="D1090" t="s">
        <v>2972</v>
      </c>
      <c r="E1090" t="s">
        <v>2973</v>
      </c>
      <c r="F1090" t="s">
        <v>2974</v>
      </c>
      <c r="G1090" s="1">
        <v>45313</v>
      </c>
      <c r="H1090" s="1">
        <v>45504</v>
      </c>
      <c r="I1090" s="1">
        <v>73050</v>
      </c>
      <c r="J1090" s="2" t="s">
        <v>8481</v>
      </c>
      <c r="K1090" t="s">
        <v>2975</v>
      </c>
      <c r="M1090" s="16" t="s">
        <v>8482</v>
      </c>
      <c r="N1090" s="16" t="str">
        <f>VLOOKUP(M1090,Tab_Zast[[Zastávka]:[Sloupec1]],2,0)</f>
        <v>82</v>
      </c>
      <c r="O1090" t="s">
        <v>2976</v>
      </c>
      <c r="P1090">
        <v>2</v>
      </c>
      <c r="Q1090">
        <v>0</v>
      </c>
      <c r="R1090" t="s">
        <v>31</v>
      </c>
      <c r="S1090" t="s">
        <v>31</v>
      </c>
      <c r="T1090" t="s">
        <v>32</v>
      </c>
      <c r="V1090" s="1" t="e">
        <v>#N/A</v>
      </c>
      <c r="W1090" t="s">
        <v>90</v>
      </c>
      <c r="X1090">
        <v>0</v>
      </c>
      <c r="Y1090">
        <v>0</v>
      </c>
      <c r="AA1090" t="str">
        <f t="shared" si="32"/>
        <v>update zamestnanci set nastup='82' where id='678';</v>
      </c>
      <c r="AB1090" t="str">
        <f t="shared" si="33"/>
        <v>update dochazka set zastavka = '82' where zamestnanec = '678';</v>
      </c>
    </row>
    <row r="1091" spans="1:28" x14ac:dyDescent="0.25">
      <c r="A1091" s="2">
        <v>689</v>
      </c>
      <c r="B1091" t="s">
        <v>3035</v>
      </c>
      <c r="D1091" t="s">
        <v>3036</v>
      </c>
      <c r="E1091" t="s">
        <v>3037</v>
      </c>
      <c r="F1091" t="s">
        <v>3038</v>
      </c>
      <c r="G1091" s="1">
        <v>45244</v>
      </c>
      <c r="H1091" s="1">
        <v>45366</v>
      </c>
      <c r="I1091" s="1">
        <v>73050</v>
      </c>
      <c r="J1091" s="2" t="s">
        <v>8481</v>
      </c>
      <c r="K1091" t="s">
        <v>3039</v>
      </c>
      <c r="M1091" s="16" t="s">
        <v>8482</v>
      </c>
      <c r="N1091" s="16" t="str">
        <f>VLOOKUP(M1091,Tab_Zast[[Zastávka]:[Sloupec1]],2,0)</f>
        <v>82</v>
      </c>
      <c r="O1091" t="s">
        <v>3040</v>
      </c>
      <c r="P1091">
        <v>2</v>
      </c>
      <c r="Q1091">
        <v>0</v>
      </c>
      <c r="R1091" t="s">
        <v>31</v>
      </c>
      <c r="S1091" t="s">
        <v>31</v>
      </c>
      <c r="T1091" t="s">
        <v>32</v>
      </c>
      <c r="V1091" s="1" t="e">
        <v>#N/A</v>
      </c>
      <c r="W1091" t="s">
        <v>90</v>
      </c>
      <c r="X1091">
        <v>0</v>
      </c>
      <c r="Y1091">
        <v>0</v>
      </c>
      <c r="Z1091" t="s">
        <v>54</v>
      </c>
      <c r="AA1091" t="str">
        <f t="shared" si="32"/>
        <v>update zamestnanci set nastup='82' where id='689';</v>
      </c>
      <c r="AB1091" t="str">
        <f t="shared" si="33"/>
        <v>update dochazka set zastavka = '82' where zamestnanec = '689';</v>
      </c>
    </row>
    <row r="1092" spans="1:28" x14ac:dyDescent="0.25">
      <c r="A1092" s="2">
        <v>739</v>
      </c>
      <c r="B1092" t="s">
        <v>3277</v>
      </c>
      <c r="D1092" t="s">
        <v>3288</v>
      </c>
      <c r="E1092" t="s">
        <v>2607</v>
      </c>
      <c r="F1092" t="s">
        <v>3289</v>
      </c>
      <c r="G1092" s="1">
        <v>45301</v>
      </c>
      <c r="H1092" s="1">
        <v>45394</v>
      </c>
      <c r="I1092" s="1">
        <v>73050</v>
      </c>
      <c r="J1092" s="2" t="s">
        <v>8261</v>
      </c>
      <c r="K1092" t="s">
        <v>3290</v>
      </c>
      <c r="M1092" s="16" t="s">
        <v>8262</v>
      </c>
      <c r="N1092" s="16" t="str">
        <f>VLOOKUP(M1092,Tab_Zast[[Zastávka]:[Sloupec1]],2,0)</f>
        <v>04</v>
      </c>
      <c r="O1092" t="s">
        <v>3291</v>
      </c>
      <c r="P1092">
        <v>3</v>
      </c>
      <c r="Q1092">
        <v>0</v>
      </c>
      <c r="R1092" t="s">
        <v>31</v>
      </c>
      <c r="S1092" t="s">
        <v>31</v>
      </c>
      <c r="T1092" t="s">
        <v>32</v>
      </c>
      <c r="V1092" s="1">
        <v>45384</v>
      </c>
      <c r="W1092" t="s">
        <v>493</v>
      </c>
      <c r="X1092">
        <v>0</v>
      </c>
      <c r="Y1092">
        <v>0</v>
      </c>
      <c r="Z1092" t="s">
        <v>40</v>
      </c>
      <c r="AA1092" t="str">
        <f t="shared" ref="AA1092:AA1155" si="34">IF(J1092&lt;&gt;"00","update zamestnanci set nastup='" &amp; J1092 &amp; "' where id='" &amp; A1092 &amp; "';","")</f>
        <v>update zamestnanci set nastup='04' where id='739';</v>
      </c>
      <c r="AB1092" t="str">
        <f t="shared" ref="AB1092:AB1155" si="35">IF(J1092&lt;&gt;"00","update dochazka set zastavka = '" &amp; J1092 &amp; "' where zamestnanec = '" &amp; A1092 &amp; "';","")</f>
        <v>update dochazka set zastavka = '04' where zamestnanec = '739';</v>
      </c>
    </row>
    <row r="1093" spans="1:28" x14ac:dyDescent="0.25">
      <c r="A1093" s="2">
        <v>740</v>
      </c>
      <c r="B1093" t="s">
        <v>3292</v>
      </c>
      <c r="D1093" t="s">
        <v>3293</v>
      </c>
      <c r="E1093" t="s">
        <v>917</v>
      </c>
      <c r="F1093" t="s">
        <v>3294</v>
      </c>
      <c r="G1093" s="1">
        <v>45301</v>
      </c>
      <c r="H1093" s="1">
        <v>45309</v>
      </c>
      <c r="I1093" s="1">
        <v>73050</v>
      </c>
      <c r="J1093" s="2" t="s">
        <v>8378</v>
      </c>
      <c r="K1093" t="s">
        <v>3295</v>
      </c>
      <c r="M1093" s="16" t="s">
        <v>8379</v>
      </c>
      <c r="N1093" s="16" t="str">
        <f>VLOOKUP(M1093,Tab_Zast[[Zastávka]:[Sloupec1]],2,0)</f>
        <v>48</v>
      </c>
      <c r="O1093" t="s">
        <v>3296</v>
      </c>
      <c r="P1093">
        <v>3</v>
      </c>
      <c r="Q1093">
        <v>0</v>
      </c>
      <c r="R1093" t="s">
        <v>179</v>
      </c>
      <c r="S1093" t="s">
        <v>31</v>
      </c>
      <c r="T1093" t="s">
        <v>32</v>
      </c>
      <c r="V1093" s="1" t="e">
        <v>#N/A</v>
      </c>
      <c r="X1093">
        <v>0</v>
      </c>
      <c r="Y1093">
        <v>0</v>
      </c>
      <c r="AA1093" t="str">
        <f t="shared" si="34"/>
        <v>update zamestnanci set nastup='48' where id='740';</v>
      </c>
      <c r="AB1093" t="str">
        <f t="shared" si="35"/>
        <v>update dochazka set zastavka = '48' where zamestnanec = '740';</v>
      </c>
    </row>
    <row r="1094" spans="1:28" x14ac:dyDescent="0.25">
      <c r="A1094" s="2">
        <v>745</v>
      </c>
      <c r="B1094" t="s">
        <v>3314</v>
      </c>
      <c r="D1094" t="s">
        <v>3315</v>
      </c>
      <c r="E1094" t="s">
        <v>3316</v>
      </c>
      <c r="F1094" t="s">
        <v>67</v>
      </c>
      <c r="G1094" s="1">
        <v>45308</v>
      </c>
      <c r="H1094" s="1">
        <v>45379</v>
      </c>
      <c r="I1094" s="1">
        <v>73050</v>
      </c>
      <c r="J1094" s="2" t="s">
        <v>8481</v>
      </c>
      <c r="K1094" t="s">
        <v>3317</v>
      </c>
      <c r="M1094" s="16" t="s">
        <v>8482</v>
      </c>
      <c r="N1094" s="16" t="str">
        <f>VLOOKUP(M1094,Tab_Zast[[Zastávka]:[Sloupec1]],2,0)</f>
        <v>82</v>
      </c>
      <c r="O1094" t="s">
        <v>3318</v>
      </c>
      <c r="P1094">
        <v>2</v>
      </c>
      <c r="Q1094">
        <v>0</v>
      </c>
      <c r="R1094" t="s">
        <v>31</v>
      </c>
      <c r="S1094" t="s">
        <v>31</v>
      </c>
      <c r="T1094" t="s">
        <v>32</v>
      </c>
      <c r="V1094" s="1" t="e">
        <v>#N/A</v>
      </c>
      <c r="W1094" t="s">
        <v>90</v>
      </c>
      <c r="X1094">
        <v>0</v>
      </c>
      <c r="Y1094">
        <v>0</v>
      </c>
      <c r="Z1094" t="s">
        <v>54</v>
      </c>
      <c r="AA1094" t="str">
        <f t="shared" si="34"/>
        <v>update zamestnanci set nastup='82' where id='745';</v>
      </c>
      <c r="AB1094" t="str">
        <f t="shared" si="35"/>
        <v>update dochazka set zastavka = '82' where zamestnanec = '745';</v>
      </c>
    </row>
    <row r="1095" spans="1:28" x14ac:dyDescent="0.25">
      <c r="A1095" s="2">
        <v>757</v>
      </c>
      <c r="B1095" t="s">
        <v>3371</v>
      </c>
      <c r="D1095" t="s">
        <v>3372</v>
      </c>
      <c r="E1095" t="s">
        <v>3373</v>
      </c>
      <c r="F1095" t="s">
        <v>3374</v>
      </c>
      <c r="G1095" s="1">
        <v>45314</v>
      </c>
      <c r="H1095" s="1">
        <v>45406</v>
      </c>
      <c r="I1095" s="1">
        <v>73050</v>
      </c>
      <c r="J1095" s="2" t="s">
        <v>8348</v>
      </c>
      <c r="K1095" t="s">
        <v>3375</v>
      </c>
      <c r="M1095" s="16" t="s">
        <v>8349</v>
      </c>
      <c r="N1095" s="16" t="str">
        <f>VLOOKUP(M1095,Tab_Zast[[Zastávka]:[Sloupec1]],2,0)</f>
        <v>36</v>
      </c>
      <c r="O1095" t="s">
        <v>3376</v>
      </c>
      <c r="P1095">
        <v>3</v>
      </c>
      <c r="Q1095">
        <v>0</v>
      </c>
      <c r="R1095" t="s">
        <v>31</v>
      </c>
      <c r="S1095" t="s">
        <v>31</v>
      </c>
      <c r="T1095" t="s">
        <v>32</v>
      </c>
      <c r="V1095" s="1" t="e">
        <v>#N/A</v>
      </c>
      <c r="W1095" t="s">
        <v>493</v>
      </c>
      <c r="X1095">
        <v>0</v>
      </c>
      <c r="Y1095">
        <v>0</v>
      </c>
      <c r="Z1095" t="s">
        <v>40</v>
      </c>
      <c r="AA1095" t="str">
        <f t="shared" si="34"/>
        <v>update zamestnanci set nastup='36' where id='757';</v>
      </c>
      <c r="AB1095" t="str">
        <f t="shared" si="35"/>
        <v>update dochazka set zastavka = '36' where zamestnanec = '757';</v>
      </c>
    </row>
    <row r="1096" spans="1:28" x14ac:dyDescent="0.25">
      <c r="A1096" s="2">
        <v>775</v>
      </c>
      <c r="B1096" t="s">
        <v>3463</v>
      </c>
      <c r="D1096" t="s">
        <v>3464</v>
      </c>
      <c r="E1096" t="s">
        <v>2883</v>
      </c>
      <c r="F1096" t="s">
        <v>3465</v>
      </c>
      <c r="G1096" s="1">
        <v>45321</v>
      </c>
      <c r="H1096" s="1">
        <v>45359</v>
      </c>
      <c r="I1096" s="1">
        <v>73050</v>
      </c>
      <c r="J1096" s="2" t="s">
        <v>8378</v>
      </c>
      <c r="K1096" t="s">
        <v>3466</v>
      </c>
      <c r="M1096" s="16" t="s">
        <v>8379</v>
      </c>
      <c r="N1096" s="16" t="str">
        <f>VLOOKUP(M1096,Tab_Zast[[Zastávka]:[Sloupec1]],2,0)</f>
        <v>48</v>
      </c>
      <c r="O1096" t="s">
        <v>3467</v>
      </c>
      <c r="P1096">
        <v>3</v>
      </c>
      <c r="Q1096">
        <v>0</v>
      </c>
      <c r="R1096" t="s">
        <v>31</v>
      </c>
      <c r="S1096" t="s">
        <v>31</v>
      </c>
      <c r="T1096" t="s">
        <v>32</v>
      </c>
      <c r="V1096" s="1" t="e">
        <v>#N/A</v>
      </c>
      <c r="W1096" t="s">
        <v>493</v>
      </c>
      <c r="X1096">
        <v>0</v>
      </c>
      <c r="Y1096">
        <v>0</v>
      </c>
      <c r="AA1096" t="str">
        <f t="shared" si="34"/>
        <v>update zamestnanci set nastup='48' where id='775';</v>
      </c>
      <c r="AB1096" t="str">
        <f t="shared" si="35"/>
        <v>update dochazka set zastavka = '48' where zamestnanec = '775';</v>
      </c>
    </row>
    <row r="1097" spans="1:28" x14ac:dyDescent="0.25">
      <c r="A1097" s="2">
        <v>790</v>
      </c>
      <c r="B1097" t="s">
        <v>3537</v>
      </c>
      <c r="D1097" t="s">
        <v>3538</v>
      </c>
      <c r="E1097" t="s">
        <v>3539</v>
      </c>
      <c r="F1097" t="s">
        <v>3540</v>
      </c>
      <c r="G1097" s="1">
        <v>45335</v>
      </c>
      <c r="H1097" s="1">
        <v>45348</v>
      </c>
      <c r="I1097" s="1">
        <v>73050</v>
      </c>
      <c r="J1097" s="2" t="s">
        <v>8348</v>
      </c>
      <c r="K1097" t="s">
        <v>3541</v>
      </c>
      <c r="M1097" s="16" t="s">
        <v>8349</v>
      </c>
      <c r="N1097" s="16" t="str">
        <f>VLOOKUP(M1097,Tab_Zast[[Zastávka]:[Sloupec1]],2,0)</f>
        <v>36</v>
      </c>
      <c r="O1097" t="s">
        <v>3542</v>
      </c>
      <c r="P1097">
        <v>3</v>
      </c>
      <c r="Q1097">
        <v>0</v>
      </c>
      <c r="R1097" t="s">
        <v>31</v>
      </c>
      <c r="S1097" t="s">
        <v>31</v>
      </c>
      <c r="T1097" t="s">
        <v>32</v>
      </c>
      <c r="V1097" s="1" t="e">
        <v>#N/A</v>
      </c>
      <c r="W1097" t="s">
        <v>493</v>
      </c>
      <c r="X1097">
        <v>0</v>
      </c>
      <c r="Y1097">
        <v>0</v>
      </c>
      <c r="Z1097" t="s">
        <v>54</v>
      </c>
      <c r="AA1097" t="str">
        <f t="shared" si="34"/>
        <v>update zamestnanci set nastup='36' where id='790';</v>
      </c>
      <c r="AB1097" t="str">
        <f t="shared" si="35"/>
        <v>update dochazka set zastavka = '36' where zamestnanec = '790';</v>
      </c>
    </row>
    <row r="1098" spans="1:28" x14ac:dyDescent="0.25">
      <c r="A1098" s="2">
        <v>792</v>
      </c>
      <c r="B1098" t="s">
        <v>3548</v>
      </c>
      <c r="D1098" t="s">
        <v>3549</v>
      </c>
      <c r="E1098" t="s">
        <v>3550</v>
      </c>
      <c r="F1098" t="s">
        <v>3551</v>
      </c>
      <c r="G1098" s="1">
        <v>45329</v>
      </c>
      <c r="H1098" s="1">
        <v>45387</v>
      </c>
      <c r="I1098" s="1">
        <v>73050</v>
      </c>
      <c r="J1098" s="2" t="s">
        <v>8378</v>
      </c>
      <c r="K1098" t="s">
        <v>3552</v>
      </c>
      <c r="M1098" s="16" t="s">
        <v>8379</v>
      </c>
      <c r="N1098" s="16" t="str">
        <f>VLOOKUP(M1098,Tab_Zast[[Zastávka]:[Sloupec1]],2,0)</f>
        <v>48</v>
      </c>
      <c r="O1098" t="s">
        <v>3553</v>
      </c>
      <c r="P1098">
        <v>3</v>
      </c>
      <c r="Q1098">
        <v>0</v>
      </c>
      <c r="R1098" t="s">
        <v>31</v>
      </c>
      <c r="S1098" t="s">
        <v>31</v>
      </c>
      <c r="T1098" t="s">
        <v>32</v>
      </c>
      <c r="V1098" s="1" t="e">
        <v>#N/A</v>
      </c>
      <c r="W1098" t="s">
        <v>493</v>
      </c>
      <c r="X1098">
        <v>0</v>
      </c>
      <c r="Y1098">
        <v>0</v>
      </c>
      <c r="Z1098" t="s">
        <v>54</v>
      </c>
      <c r="AA1098" t="str">
        <f t="shared" si="34"/>
        <v>update zamestnanci set nastup='48' where id='792';</v>
      </c>
      <c r="AB1098" t="str">
        <f t="shared" si="35"/>
        <v>update dochazka set zastavka = '48' where zamestnanec = '792';</v>
      </c>
    </row>
    <row r="1099" spans="1:28" x14ac:dyDescent="0.25">
      <c r="A1099" s="2">
        <v>794</v>
      </c>
      <c r="B1099" t="s">
        <v>3560</v>
      </c>
      <c r="C1099" t="s">
        <v>569</v>
      </c>
      <c r="D1099" t="s">
        <v>3561</v>
      </c>
      <c r="E1099" t="s">
        <v>1711</v>
      </c>
      <c r="F1099" t="s">
        <v>67</v>
      </c>
      <c r="G1099" s="1">
        <v>45329</v>
      </c>
      <c r="H1099" s="1">
        <v>45349</v>
      </c>
      <c r="I1099" s="1">
        <v>73050</v>
      </c>
      <c r="J1099" s="2" t="s">
        <v>8261</v>
      </c>
      <c r="K1099" t="s">
        <v>3562</v>
      </c>
      <c r="M1099" s="16" t="s">
        <v>8262</v>
      </c>
      <c r="N1099" s="16" t="str">
        <f>VLOOKUP(M1099,Tab_Zast[[Zastávka]:[Sloupec1]],2,0)</f>
        <v>04</v>
      </c>
      <c r="O1099" t="s">
        <v>3563</v>
      </c>
      <c r="P1099">
        <v>3</v>
      </c>
      <c r="Q1099">
        <v>0</v>
      </c>
      <c r="R1099" t="s">
        <v>31</v>
      </c>
      <c r="S1099" t="s">
        <v>31</v>
      </c>
      <c r="T1099" t="s">
        <v>32</v>
      </c>
      <c r="V1099" s="1" t="e">
        <v>#N/A</v>
      </c>
      <c r="W1099" t="s">
        <v>493</v>
      </c>
      <c r="X1099">
        <v>0</v>
      </c>
      <c r="Y1099">
        <v>0</v>
      </c>
      <c r="Z1099" t="s">
        <v>40</v>
      </c>
      <c r="AA1099" t="str">
        <f t="shared" si="34"/>
        <v>update zamestnanci set nastup='04' where id='794';</v>
      </c>
      <c r="AB1099" t="str">
        <f t="shared" si="35"/>
        <v>update dochazka set zastavka = '04' where zamestnanec = '794';</v>
      </c>
    </row>
    <row r="1100" spans="1:28" x14ac:dyDescent="0.25">
      <c r="A1100" s="2">
        <v>815</v>
      </c>
      <c r="B1100" t="s">
        <v>3661</v>
      </c>
      <c r="D1100" t="s">
        <v>3662</v>
      </c>
      <c r="E1100" t="s">
        <v>3663</v>
      </c>
      <c r="F1100" t="s">
        <v>3664</v>
      </c>
      <c r="G1100" s="1">
        <v>45343</v>
      </c>
      <c r="H1100" s="1">
        <v>45394</v>
      </c>
      <c r="I1100" s="1">
        <v>73050</v>
      </c>
      <c r="J1100" s="2" t="s">
        <v>8348</v>
      </c>
      <c r="K1100" t="s">
        <v>3665</v>
      </c>
      <c r="M1100" s="16" t="s">
        <v>8349</v>
      </c>
      <c r="N1100" s="16" t="str">
        <f>VLOOKUP(M1100,Tab_Zast[[Zastávka]:[Sloupec1]],2,0)</f>
        <v>36</v>
      </c>
      <c r="O1100" t="s">
        <v>3666</v>
      </c>
      <c r="P1100">
        <v>3</v>
      </c>
      <c r="Q1100">
        <v>0</v>
      </c>
      <c r="R1100" t="s">
        <v>31</v>
      </c>
      <c r="S1100" t="s">
        <v>31</v>
      </c>
      <c r="T1100" t="s">
        <v>32</v>
      </c>
      <c r="V1100" s="1">
        <v>45378</v>
      </c>
      <c r="W1100" t="s">
        <v>493</v>
      </c>
      <c r="X1100">
        <v>0</v>
      </c>
      <c r="Y1100">
        <v>0</v>
      </c>
      <c r="Z1100" t="s">
        <v>40</v>
      </c>
      <c r="AA1100" t="str">
        <f t="shared" si="34"/>
        <v>update zamestnanci set nastup='36' where id='815';</v>
      </c>
      <c r="AB1100" t="str">
        <f t="shared" si="35"/>
        <v>update dochazka set zastavka = '36' where zamestnanec = '815';</v>
      </c>
    </row>
    <row r="1101" spans="1:28" x14ac:dyDescent="0.25">
      <c r="A1101" s="2">
        <v>816</v>
      </c>
      <c r="B1101" t="s">
        <v>3667</v>
      </c>
      <c r="D1101" t="s">
        <v>3668</v>
      </c>
      <c r="E1101" t="s">
        <v>1509</v>
      </c>
      <c r="F1101" t="s">
        <v>3669</v>
      </c>
      <c r="G1101" s="1">
        <v>45343</v>
      </c>
      <c r="H1101" s="1">
        <v>45369</v>
      </c>
      <c r="I1101" s="1">
        <v>73050</v>
      </c>
      <c r="J1101" s="2" t="s">
        <v>8378</v>
      </c>
      <c r="K1101" t="s">
        <v>3670</v>
      </c>
      <c r="M1101" s="16" t="s">
        <v>8379</v>
      </c>
      <c r="N1101" s="16" t="str">
        <f>VLOOKUP(M1101,Tab_Zast[[Zastávka]:[Sloupec1]],2,0)</f>
        <v>48</v>
      </c>
      <c r="O1101" t="s">
        <v>3671</v>
      </c>
      <c r="P1101">
        <v>3</v>
      </c>
      <c r="Q1101">
        <v>0</v>
      </c>
      <c r="R1101" t="s">
        <v>31</v>
      </c>
      <c r="S1101" t="s">
        <v>31</v>
      </c>
      <c r="T1101" t="s">
        <v>32</v>
      </c>
      <c r="V1101" s="1">
        <v>45366</v>
      </c>
      <c r="W1101" t="s">
        <v>493</v>
      </c>
      <c r="X1101">
        <v>0</v>
      </c>
      <c r="Y1101">
        <v>0</v>
      </c>
      <c r="AA1101" t="str">
        <f t="shared" si="34"/>
        <v>update zamestnanci set nastup='48' where id='816';</v>
      </c>
      <c r="AB1101" t="str">
        <f t="shared" si="35"/>
        <v>update dochazka set zastavka = '48' where zamestnanec = '816';</v>
      </c>
    </row>
    <row r="1102" spans="1:28" x14ac:dyDescent="0.25">
      <c r="A1102" s="2">
        <v>820</v>
      </c>
      <c r="B1102" t="s">
        <v>3685</v>
      </c>
      <c r="C1102" t="s">
        <v>151</v>
      </c>
      <c r="D1102" t="s">
        <v>3686</v>
      </c>
      <c r="E1102" t="s">
        <v>1744</v>
      </c>
      <c r="F1102" t="s">
        <v>3687</v>
      </c>
      <c r="G1102" s="1">
        <v>45476</v>
      </c>
      <c r="H1102" s="1">
        <v>45490</v>
      </c>
      <c r="I1102" s="1">
        <v>73050</v>
      </c>
      <c r="J1102" s="2" t="s">
        <v>8378</v>
      </c>
      <c r="K1102" t="s">
        <v>3688</v>
      </c>
      <c r="M1102" s="16" t="s">
        <v>8379</v>
      </c>
      <c r="N1102" s="16" t="str">
        <f>VLOOKUP(M1102,Tab_Zast[[Zastávka]:[Sloupec1]],2,0)</f>
        <v>48</v>
      </c>
      <c r="O1102" t="s">
        <v>3689</v>
      </c>
      <c r="P1102">
        <v>3</v>
      </c>
      <c r="Q1102">
        <v>0</v>
      </c>
      <c r="R1102" t="s">
        <v>31</v>
      </c>
      <c r="S1102" t="s">
        <v>31</v>
      </c>
      <c r="T1102" t="s">
        <v>32</v>
      </c>
      <c r="V1102" s="1" t="e">
        <v>#N/A</v>
      </c>
      <c r="W1102" t="s">
        <v>493</v>
      </c>
      <c r="X1102">
        <v>0</v>
      </c>
      <c r="Y1102">
        <v>0</v>
      </c>
      <c r="Z1102" t="s">
        <v>54</v>
      </c>
      <c r="AA1102" t="str">
        <f t="shared" si="34"/>
        <v>update zamestnanci set nastup='48' where id='820';</v>
      </c>
      <c r="AB1102" t="str">
        <f t="shared" si="35"/>
        <v>update dochazka set zastavka = '48' where zamestnanec = '820';</v>
      </c>
    </row>
    <row r="1103" spans="1:28" x14ac:dyDescent="0.25">
      <c r="A1103" s="2">
        <v>870</v>
      </c>
      <c r="B1103" t="s">
        <v>3924</v>
      </c>
      <c r="C1103" t="s">
        <v>3925</v>
      </c>
      <c r="D1103" t="s">
        <v>3926</v>
      </c>
      <c r="E1103" t="s">
        <v>2451</v>
      </c>
      <c r="F1103" t="s">
        <v>3927</v>
      </c>
      <c r="G1103" s="1">
        <v>45376</v>
      </c>
      <c r="H1103" s="1">
        <v>45443</v>
      </c>
      <c r="I1103" s="1">
        <v>73050</v>
      </c>
      <c r="J1103" s="2" t="s">
        <v>8261</v>
      </c>
      <c r="K1103" t="s">
        <v>3928</v>
      </c>
      <c r="M1103" s="16" t="s">
        <v>8262</v>
      </c>
      <c r="N1103" s="16" t="str">
        <f>VLOOKUP(M1103,Tab_Zast[[Zastávka]:[Sloupec1]],2,0)</f>
        <v>04</v>
      </c>
      <c r="O1103" t="s">
        <v>3929</v>
      </c>
      <c r="P1103">
        <v>3</v>
      </c>
      <c r="Q1103">
        <v>0</v>
      </c>
      <c r="R1103" t="s">
        <v>31</v>
      </c>
      <c r="S1103" t="s">
        <v>31</v>
      </c>
      <c r="T1103" t="s">
        <v>32</v>
      </c>
      <c r="V1103" s="1" t="e">
        <v>#N/A</v>
      </c>
      <c r="W1103" t="s">
        <v>493</v>
      </c>
      <c r="X1103">
        <v>0</v>
      </c>
      <c r="Y1103">
        <v>197</v>
      </c>
      <c r="Z1103" t="s">
        <v>54</v>
      </c>
      <c r="AA1103" t="str">
        <f t="shared" si="34"/>
        <v>update zamestnanci set nastup='04' where id='870';</v>
      </c>
      <c r="AB1103" t="str">
        <f t="shared" si="35"/>
        <v>update dochazka set zastavka = '04' where zamestnanec = '870';</v>
      </c>
    </row>
    <row r="1104" spans="1:28" x14ac:dyDescent="0.25">
      <c r="A1104" s="2">
        <v>880</v>
      </c>
      <c r="B1104" t="s">
        <v>3974</v>
      </c>
      <c r="D1104" t="s">
        <v>3975</v>
      </c>
      <c r="E1104" t="s">
        <v>3976</v>
      </c>
      <c r="F1104" t="s">
        <v>67</v>
      </c>
      <c r="G1104" s="1">
        <v>45384</v>
      </c>
      <c r="H1104" s="1">
        <v>45384</v>
      </c>
      <c r="I1104" s="1">
        <v>45384</v>
      </c>
      <c r="J1104" s="2" t="s">
        <v>8261</v>
      </c>
      <c r="K1104" t="s">
        <v>3977</v>
      </c>
      <c r="M1104" s="16" t="s">
        <v>8262</v>
      </c>
      <c r="N1104" s="16" t="str">
        <f>VLOOKUP(M1104,Tab_Zast[[Zastávka]:[Sloupec1]],2,0)</f>
        <v>04</v>
      </c>
      <c r="O1104" t="s">
        <v>3978</v>
      </c>
      <c r="P1104">
        <v>3</v>
      </c>
      <c r="Q1104">
        <v>0</v>
      </c>
      <c r="R1104" t="s">
        <v>31</v>
      </c>
      <c r="S1104" t="s">
        <v>31</v>
      </c>
      <c r="T1104" t="s">
        <v>32</v>
      </c>
      <c r="V1104" s="1" t="e">
        <v>#N/A</v>
      </c>
      <c r="W1104" t="s">
        <v>493</v>
      </c>
      <c r="X1104">
        <v>0</v>
      </c>
      <c r="Y1104">
        <v>229</v>
      </c>
      <c r="AA1104" t="str">
        <f t="shared" si="34"/>
        <v>update zamestnanci set nastup='04' where id='880';</v>
      </c>
      <c r="AB1104" t="str">
        <f t="shared" si="35"/>
        <v>update dochazka set zastavka = '04' where zamestnanec = '880';</v>
      </c>
    </row>
    <row r="1105" spans="1:28" x14ac:dyDescent="0.25">
      <c r="A1105" s="2">
        <v>910</v>
      </c>
      <c r="B1105" t="s">
        <v>4118</v>
      </c>
      <c r="D1105" t="s">
        <v>231</v>
      </c>
      <c r="E1105" t="s">
        <v>800</v>
      </c>
      <c r="F1105" t="s">
        <v>4119</v>
      </c>
      <c r="G1105" s="1">
        <v>45397</v>
      </c>
      <c r="H1105" s="1">
        <v>45429</v>
      </c>
      <c r="I1105" s="1">
        <v>73050</v>
      </c>
      <c r="J1105" s="2" t="s">
        <v>555</v>
      </c>
      <c r="K1105" t="s">
        <v>4120</v>
      </c>
      <c r="M1105" s="16" t="s">
        <v>8420</v>
      </c>
      <c r="N1105" s="16" t="str">
        <f>VLOOKUP(M1105,Tab_Zast[[Zastávka]:[Sloupec1]],2,0)</f>
        <v>62</v>
      </c>
      <c r="O1105" t="s">
        <v>4121</v>
      </c>
      <c r="P1105">
        <v>3</v>
      </c>
      <c r="Q1105">
        <v>0</v>
      </c>
      <c r="R1105" t="s">
        <v>31</v>
      </c>
      <c r="S1105" t="s">
        <v>31</v>
      </c>
      <c r="T1105" t="s">
        <v>32</v>
      </c>
      <c r="V1105" s="1">
        <v>45414</v>
      </c>
      <c r="W1105" t="s">
        <v>493</v>
      </c>
      <c r="X1105">
        <v>0</v>
      </c>
      <c r="Y1105">
        <v>264</v>
      </c>
      <c r="Z1105" t="s">
        <v>40</v>
      </c>
      <c r="AA1105" t="str">
        <f t="shared" si="34"/>
        <v>update zamestnanci set nastup='62' where id='910';</v>
      </c>
      <c r="AB1105" t="str">
        <f t="shared" si="35"/>
        <v>update dochazka set zastavka = '62' where zamestnanec = '910';</v>
      </c>
    </row>
    <row r="1106" spans="1:28" x14ac:dyDescent="0.25">
      <c r="A1106" s="2">
        <v>918</v>
      </c>
      <c r="B1106" t="s">
        <v>4156</v>
      </c>
      <c r="D1106" t="s">
        <v>4157</v>
      </c>
      <c r="E1106" t="s">
        <v>1744</v>
      </c>
      <c r="F1106" t="s">
        <v>930</v>
      </c>
      <c r="G1106" s="1">
        <v>45403</v>
      </c>
      <c r="H1106" s="1">
        <v>45403</v>
      </c>
      <c r="I1106" s="1">
        <v>45403</v>
      </c>
      <c r="J1106" s="2" t="s">
        <v>8481</v>
      </c>
      <c r="K1106" t="s">
        <v>4158</v>
      </c>
      <c r="M1106" s="16" t="s">
        <v>8482</v>
      </c>
      <c r="N1106" s="16" t="str">
        <f>VLOOKUP(M1106,Tab_Zast[[Zastávka]:[Sloupec1]],2,0)</f>
        <v>82</v>
      </c>
      <c r="O1106" t="s">
        <v>4159</v>
      </c>
      <c r="P1106">
        <v>2</v>
      </c>
      <c r="Q1106">
        <v>0</v>
      </c>
      <c r="R1106" t="s">
        <v>31</v>
      </c>
      <c r="S1106" t="s">
        <v>31</v>
      </c>
      <c r="T1106" t="s">
        <v>32</v>
      </c>
      <c r="V1106" s="1" t="e">
        <v>#N/A</v>
      </c>
      <c r="W1106" t="s">
        <v>90</v>
      </c>
      <c r="X1106">
        <v>0</v>
      </c>
      <c r="Y1106">
        <v>261</v>
      </c>
      <c r="Z1106" t="s">
        <v>54</v>
      </c>
      <c r="AA1106" t="str">
        <f t="shared" si="34"/>
        <v>update zamestnanci set nastup='82' where id='918';</v>
      </c>
      <c r="AB1106" t="str">
        <f t="shared" si="35"/>
        <v>update dochazka set zastavka = '82' where zamestnanec = '918';</v>
      </c>
    </row>
    <row r="1107" spans="1:28" x14ac:dyDescent="0.25">
      <c r="A1107" s="2">
        <v>986</v>
      </c>
      <c r="B1107" t="s">
        <v>1394</v>
      </c>
      <c r="C1107" t="s">
        <v>1394</v>
      </c>
      <c r="D1107" t="s">
        <v>4460</v>
      </c>
      <c r="E1107" t="s">
        <v>4461</v>
      </c>
      <c r="F1107" t="s">
        <v>67</v>
      </c>
      <c r="G1107" s="1">
        <v>45447</v>
      </c>
      <c r="H1107" s="1">
        <v>45447</v>
      </c>
      <c r="I1107" s="1">
        <v>45447</v>
      </c>
      <c r="J1107" s="2" t="s">
        <v>8261</v>
      </c>
      <c r="K1107" t="s">
        <v>4462</v>
      </c>
      <c r="M1107" s="16" t="s">
        <v>8262</v>
      </c>
      <c r="N1107" s="16" t="str">
        <f>VLOOKUP(M1107,Tab_Zast[[Zastávka]:[Sloupec1]],2,0)</f>
        <v>04</v>
      </c>
      <c r="O1107" t="s">
        <v>4463</v>
      </c>
      <c r="P1107">
        <v>3</v>
      </c>
      <c r="Q1107">
        <v>0</v>
      </c>
      <c r="R1107" t="s">
        <v>129</v>
      </c>
      <c r="S1107" t="s">
        <v>130</v>
      </c>
      <c r="T1107" t="s">
        <v>32</v>
      </c>
      <c r="V1107" s="1" t="e">
        <v>#N/A</v>
      </c>
      <c r="X1107">
        <v>0</v>
      </c>
      <c r="Y1107">
        <v>349</v>
      </c>
      <c r="AA1107" t="str">
        <f t="shared" si="34"/>
        <v>update zamestnanci set nastup='04' where id='986';</v>
      </c>
      <c r="AB1107" t="str">
        <f t="shared" si="35"/>
        <v>update dochazka set zastavka = '04' where zamestnanec = '986';</v>
      </c>
    </row>
    <row r="1108" spans="1:28" x14ac:dyDescent="0.25">
      <c r="A1108" s="2">
        <v>995</v>
      </c>
      <c r="B1108" t="s">
        <v>4495</v>
      </c>
      <c r="C1108" t="s">
        <v>1394</v>
      </c>
      <c r="D1108" t="s">
        <v>4496</v>
      </c>
      <c r="E1108" t="s">
        <v>2156</v>
      </c>
      <c r="F1108" t="s">
        <v>4497</v>
      </c>
      <c r="G1108" s="1">
        <v>45453</v>
      </c>
      <c r="H1108" s="1">
        <v>45525</v>
      </c>
      <c r="I1108" s="1">
        <v>73050</v>
      </c>
      <c r="J1108" s="2" t="s">
        <v>357</v>
      </c>
      <c r="K1108" t="s">
        <v>4498</v>
      </c>
      <c r="M1108" s="16" t="s">
        <v>8551</v>
      </c>
      <c r="N1108" s="16" t="str">
        <f>VLOOKUP(M1108,Tab_Zast[[Zastávka]:[Sloupec1]],2,0)</f>
        <v>00</v>
      </c>
      <c r="O1108" t="s">
        <v>4499</v>
      </c>
      <c r="P1108">
        <v>3</v>
      </c>
      <c r="Q1108">
        <v>0</v>
      </c>
      <c r="R1108" t="s">
        <v>31</v>
      </c>
      <c r="S1108" t="s">
        <v>31</v>
      </c>
      <c r="T1108" t="s">
        <v>32</v>
      </c>
      <c r="V1108" s="1" t="e">
        <v>#N/A</v>
      </c>
      <c r="W1108" t="s">
        <v>3091</v>
      </c>
      <c r="X1108">
        <v>0</v>
      </c>
      <c r="Y1108">
        <v>386</v>
      </c>
      <c r="AA1108" t="str">
        <f t="shared" si="34"/>
        <v/>
      </c>
      <c r="AB1108" t="str">
        <f t="shared" si="35"/>
        <v/>
      </c>
    </row>
    <row r="1109" spans="1:28" x14ac:dyDescent="0.25">
      <c r="A1109" s="2">
        <v>996</v>
      </c>
      <c r="B1109" t="s">
        <v>4500</v>
      </c>
      <c r="C1109" t="s">
        <v>1394</v>
      </c>
      <c r="D1109" t="s">
        <v>4501</v>
      </c>
      <c r="E1109" t="s">
        <v>743</v>
      </c>
      <c r="F1109" t="s">
        <v>4502</v>
      </c>
      <c r="G1109" s="1">
        <v>45453</v>
      </c>
      <c r="H1109" s="1">
        <v>45495</v>
      </c>
      <c r="I1109" s="1">
        <v>73050</v>
      </c>
      <c r="J1109" s="2" t="s">
        <v>357</v>
      </c>
      <c r="K1109" t="s">
        <v>4503</v>
      </c>
      <c r="M1109" s="16" t="s">
        <v>8551</v>
      </c>
      <c r="N1109" s="16" t="str">
        <f>VLOOKUP(M1109,Tab_Zast[[Zastávka]:[Sloupec1]],2,0)</f>
        <v>00</v>
      </c>
      <c r="O1109" t="s">
        <v>4504</v>
      </c>
      <c r="P1109">
        <v>3</v>
      </c>
      <c r="Q1109">
        <v>0</v>
      </c>
      <c r="R1109" t="s">
        <v>31</v>
      </c>
      <c r="S1109" t="s">
        <v>31</v>
      </c>
      <c r="T1109" t="s">
        <v>32</v>
      </c>
      <c r="V1109" s="1" t="e">
        <v>#N/A</v>
      </c>
      <c r="W1109" t="s">
        <v>3091</v>
      </c>
      <c r="X1109">
        <v>0</v>
      </c>
      <c r="Y1109">
        <v>387</v>
      </c>
      <c r="AA1109" t="str">
        <f t="shared" si="34"/>
        <v/>
      </c>
      <c r="AB1109" t="str">
        <f t="shared" si="35"/>
        <v/>
      </c>
    </row>
    <row r="1110" spans="1:28" x14ac:dyDescent="0.25">
      <c r="A1110" s="2">
        <v>1002</v>
      </c>
      <c r="B1110" t="s">
        <v>4525</v>
      </c>
      <c r="C1110" t="s">
        <v>1394</v>
      </c>
      <c r="D1110" t="s">
        <v>4496</v>
      </c>
      <c r="E1110" t="s">
        <v>701</v>
      </c>
      <c r="F1110" t="s">
        <v>4526</v>
      </c>
      <c r="G1110" s="1">
        <v>45453</v>
      </c>
      <c r="H1110" s="1">
        <v>45516</v>
      </c>
      <c r="I1110" s="1">
        <v>73050</v>
      </c>
      <c r="J1110" s="2" t="s">
        <v>357</v>
      </c>
      <c r="K1110" t="s">
        <v>4527</v>
      </c>
      <c r="M1110" s="16" t="s">
        <v>8551</v>
      </c>
      <c r="N1110" s="16" t="str">
        <f>VLOOKUP(M1110,Tab_Zast[[Zastávka]:[Sloupec1]],2,0)</f>
        <v>00</v>
      </c>
      <c r="O1110" t="s">
        <v>4499</v>
      </c>
      <c r="P1110">
        <v>3</v>
      </c>
      <c r="Q1110">
        <v>0</v>
      </c>
      <c r="R1110" t="s">
        <v>129</v>
      </c>
      <c r="S1110" t="s">
        <v>31</v>
      </c>
      <c r="T1110" t="s">
        <v>32</v>
      </c>
      <c r="V1110" s="1" t="e">
        <v>#N/A</v>
      </c>
      <c r="W1110" t="s">
        <v>3091</v>
      </c>
      <c r="X1110">
        <v>0</v>
      </c>
      <c r="Y1110">
        <v>394</v>
      </c>
      <c r="AA1110" t="str">
        <f t="shared" si="34"/>
        <v/>
      </c>
      <c r="AB1110" t="str">
        <f t="shared" si="35"/>
        <v/>
      </c>
    </row>
    <row r="1111" spans="1:28" x14ac:dyDescent="0.25">
      <c r="A1111" s="2">
        <v>1070</v>
      </c>
      <c r="B1111" t="s">
        <v>4817</v>
      </c>
      <c r="C1111" t="s">
        <v>1394</v>
      </c>
      <c r="D1111" t="s">
        <v>4818</v>
      </c>
      <c r="E1111" t="s">
        <v>2960</v>
      </c>
      <c r="F1111" t="s">
        <v>4819</v>
      </c>
      <c r="G1111" s="1">
        <v>45481</v>
      </c>
      <c r="H1111" s="1">
        <v>45518</v>
      </c>
      <c r="I1111" s="1">
        <v>73050</v>
      </c>
      <c r="J1111" s="2" t="s">
        <v>357</v>
      </c>
      <c r="K1111" t="s">
        <v>4820</v>
      </c>
      <c r="M1111" s="16" t="s">
        <v>8551</v>
      </c>
      <c r="N1111" s="16" t="str">
        <f>VLOOKUP(M1111,Tab_Zast[[Zastávka]:[Sloupec1]],2,0)</f>
        <v>00</v>
      </c>
      <c r="O1111" t="s">
        <v>4821</v>
      </c>
      <c r="P1111">
        <v>3</v>
      </c>
      <c r="Q1111">
        <v>0</v>
      </c>
      <c r="R1111" t="s">
        <v>31</v>
      </c>
      <c r="S1111" t="s">
        <v>31</v>
      </c>
      <c r="T1111" t="s">
        <v>32</v>
      </c>
      <c r="V1111" s="1">
        <v>45524</v>
      </c>
      <c r="W1111" t="s">
        <v>3091</v>
      </c>
      <c r="X1111">
        <v>0</v>
      </c>
      <c r="Y1111">
        <v>452</v>
      </c>
      <c r="AA1111" t="str">
        <f t="shared" si="34"/>
        <v/>
      </c>
      <c r="AB1111" t="str">
        <f t="shared" si="35"/>
        <v/>
      </c>
    </row>
    <row r="1112" spans="1:28" x14ac:dyDescent="0.25">
      <c r="A1112" s="2">
        <v>1147</v>
      </c>
      <c r="B1112" t="s">
        <v>5129</v>
      </c>
      <c r="C1112" t="s">
        <v>1394</v>
      </c>
      <c r="D1112" t="s">
        <v>5130</v>
      </c>
      <c r="E1112" t="s">
        <v>2391</v>
      </c>
      <c r="F1112" t="s">
        <v>67</v>
      </c>
      <c r="G1112" s="1">
        <v>45519</v>
      </c>
      <c r="H1112" s="1">
        <v>45519</v>
      </c>
      <c r="I1112" s="1">
        <v>45519</v>
      </c>
      <c r="J1112" s="2" t="s">
        <v>357</v>
      </c>
      <c r="K1112" t="s">
        <v>5131</v>
      </c>
      <c r="M1112" s="16" t="s">
        <v>8551</v>
      </c>
      <c r="N1112" s="16" t="str">
        <f>VLOOKUP(M1112,Tab_Zast[[Zastávka]:[Sloupec1]],2,0)</f>
        <v>00</v>
      </c>
      <c r="O1112" t="s">
        <v>5132</v>
      </c>
      <c r="P1112">
        <v>3</v>
      </c>
      <c r="Q1112">
        <v>0</v>
      </c>
      <c r="R1112" t="s">
        <v>31</v>
      </c>
      <c r="S1112" t="s">
        <v>31</v>
      </c>
      <c r="T1112" t="s">
        <v>32</v>
      </c>
      <c r="V1112" s="1" t="e">
        <v>#N/A</v>
      </c>
      <c r="W1112" t="s">
        <v>3091</v>
      </c>
      <c r="X1112">
        <v>0</v>
      </c>
      <c r="Y1112">
        <v>535</v>
      </c>
      <c r="AA1112" t="str">
        <f t="shared" si="34"/>
        <v/>
      </c>
      <c r="AB1112" t="str">
        <f t="shared" si="35"/>
        <v/>
      </c>
    </row>
    <row r="1113" spans="1:28" x14ac:dyDescent="0.25">
      <c r="A1113" s="2">
        <v>1394</v>
      </c>
      <c r="B1113" t="s">
        <v>6108</v>
      </c>
      <c r="C1113" t="s">
        <v>64</v>
      </c>
      <c r="D1113" t="s">
        <v>6109</v>
      </c>
      <c r="E1113" t="s">
        <v>701</v>
      </c>
      <c r="F1113" t="s">
        <v>6110</v>
      </c>
      <c r="G1113" s="1">
        <v>45617</v>
      </c>
      <c r="H1113" s="1">
        <v>45679</v>
      </c>
      <c r="I1113" s="1">
        <v>73050</v>
      </c>
      <c r="J1113" s="2" t="s">
        <v>2410</v>
      </c>
      <c r="K1113" t="s">
        <v>6111</v>
      </c>
      <c r="M1113" s="16" t="s">
        <v>8539</v>
      </c>
      <c r="N1113" s="16" t="str">
        <f>VLOOKUP(M1113,Tab_Zast[[Zastávka]:[Sloupec1]],2,0)</f>
        <v>104</v>
      </c>
      <c r="O1113" t="s">
        <v>6112</v>
      </c>
      <c r="P1113">
        <v>8</v>
      </c>
      <c r="Q1113">
        <v>0</v>
      </c>
      <c r="R1113" t="s">
        <v>31</v>
      </c>
      <c r="S1113" t="s">
        <v>31</v>
      </c>
      <c r="T1113" t="s">
        <v>32</v>
      </c>
      <c r="V1113" s="1" t="e">
        <v>#N/A</v>
      </c>
      <c r="W1113" t="s">
        <v>493</v>
      </c>
      <c r="X1113">
        <v>0</v>
      </c>
      <c r="Y1113">
        <v>783</v>
      </c>
      <c r="AA1113" t="str">
        <f t="shared" si="34"/>
        <v>update zamestnanci set nastup='104' where id='1394';</v>
      </c>
      <c r="AB1113" t="str">
        <f t="shared" si="35"/>
        <v>update dochazka set zastavka = '104' where zamestnanec = '1394';</v>
      </c>
    </row>
    <row r="1114" spans="1:28" x14ac:dyDescent="0.25">
      <c r="A1114" s="2">
        <v>1458</v>
      </c>
      <c r="B1114" t="s">
        <v>6352</v>
      </c>
      <c r="C1114" t="s">
        <v>64</v>
      </c>
      <c r="D1114" t="s">
        <v>6353</v>
      </c>
      <c r="E1114" t="s">
        <v>3373</v>
      </c>
      <c r="F1114" t="s">
        <v>6354</v>
      </c>
      <c r="G1114" s="1">
        <v>45685</v>
      </c>
      <c r="H1114" s="1">
        <v>45705</v>
      </c>
      <c r="I1114" s="1">
        <v>73050</v>
      </c>
      <c r="J1114" s="2" t="s">
        <v>2410</v>
      </c>
      <c r="K1114" t="s">
        <v>6355</v>
      </c>
      <c r="M1114" s="16" t="s">
        <v>8539</v>
      </c>
      <c r="N1114" s="16" t="str">
        <f>VLOOKUP(M1114,Tab_Zast[[Zastávka]:[Sloupec1]],2,0)</f>
        <v>104</v>
      </c>
      <c r="O1114" t="s">
        <v>6356</v>
      </c>
      <c r="P1114">
        <v>8</v>
      </c>
      <c r="Q1114">
        <v>0</v>
      </c>
      <c r="R1114" t="s">
        <v>31</v>
      </c>
      <c r="S1114" t="s">
        <v>31</v>
      </c>
      <c r="T1114" t="s">
        <v>32</v>
      </c>
      <c r="V1114" s="1">
        <v>45698</v>
      </c>
      <c r="W1114" t="s">
        <v>493</v>
      </c>
      <c r="X1114">
        <v>0</v>
      </c>
      <c r="Y1114">
        <v>847</v>
      </c>
      <c r="AA1114" t="str">
        <f t="shared" si="34"/>
        <v>update zamestnanci set nastup='104' where id='1458';</v>
      </c>
      <c r="AB1114" t="str">
        <f t="shared" si="35"/>
        <v>update dochazka set zastavka = '104' where zamestnanec = '1458';</v>
      </c>
    </row>
    <row r="1115" spans="1:28" x14ac:dyDescent="0.25">
      <c r="A1115" s="2">
        <v>1500</v>
      </c>
      <c r="B1115" t="s">
        <v>6513</v>
      </c>
      <c r="C1115" t="s">
        <v>64</v>
      </c>
      <c r="D1115" t="s">
        <v>6514</v>
      </c>
      <c r="E1115" t="s">
        <v>755</v>
      </c>
      <c r="F1115" t="s">
        <v>6515</v>
      </c>
      <c r="G1115" s="1">
        <v>45721</v>
      </c>
      <c r="H1115" s="1">
        <v>45765</v>
      </c>
      <c r="I1115" s="1">
        <v>73050</v>
      </c>
      <c r="J1115" s="2" t="s">
        <v>2410</v>
      </c>
      <c r="K1115" t="s">
        <v>6516</v>
      </c>
      <c r="M1115" s="16" t="s">
        <v>8539</v>
      </c>
      <c r="N1115" s="16" t="str">
        <f>VLOOKUP(M1115,Tab_Zast[[Zastávka]:[Sloupec1]],2,0)</f>
        <v>104</v>
      </c>
      <c r="O1115" t="s">
        <v>6517</v>
      </c>
      <c r="P1115">
        <v>8</v>
      </c>
      <c r="Q1115">
        <v>0</v>
      </c>
      <c r="R1115" t="s">
        <v>31</v>
      </c>
      <c r="S1115" t="s">
        <v>31</v>
      </c>
      <c r="T1115" t="s">
        <v>32</v>
      </c>
      <c r="V1115" s="1">
        <v>45728</v>
      </c>
      <c r="W1115" t="s">
        <v>3023</v>
      </c>
      <c r="X1115">
        <v>0</v>
      </c>
      <c r="Y1115">
        <v>891</v>
      </c>
      <c r="AA1115" t="str">
        <f t="shared" si="34"/>
        <v>update zamestnanci set nastup='104' where id='1500';</v>
      </c>
      <c r="AB1115" t="str">
        <f t="shared" si="35"/>
        <v>update dochazka set zastavka = '104' where zamestnanec = '1500';</v>
      </c>
    </row>
    <row r="1116" spans="1:28" x14ac:dyDescent="0.25">
      <c r="A1116" s="2">
        <v>1511</v>
      </c>
      <c r="B1116" t="s">
        <v>6552</v>
      </c>
      <c r="C1116" t="s">
        <v>64</v>
      </c>
      <c r="D1116" t="s">
        <v>6553</v>
      </c>
      <c r="E1116" t="s">
        <v>2156</v>
      </c>
      <c r="F1116" t="s">
        <v>6554</v>
      </c>
      <c r="G1116" s="1">
        <v>45726</v>
      </c>
      <c r="H1116" s="1">
        <v>45827</v>
      </c>
      <c r="I1116" s="1">
        <v>73050</v>
      </c>
      <c r="J1116" s="2" t="s">
        <v>555</v>
      </c>
      <c r="K1116" t="s">
        <v>6555</v>
      </c>
      <c r="M1116" s="16" t="s">
        <v>8420</v>
      </c>
      <c r="N1116" s="16" t="str">
        <f>VLOOKUP(M1116,Tab_Zast[[Zastávka]:[Sloupec1]],2,0)</f>
        <v>62</v>
      </c>
      <c r="O1116" t="s">
        <v>6556</v>
      </c>
      <c r="P1116">
        <v>8</v>
      </c>
      <c r="Q1116">
        <v>0</v>
      </c>
      <c r="R1116" t="s">
        <v>31</v>
      </c>
      <c r="S1116" t="s">
        <v>31</v>
      </c>
      <c r="T1116" t="s">
        <v>32</v>
      </c>
      <c r="V1116" s="1" t="e">
        <v>#N/A</v>
      </c>
      <c r="W1116" t="s">
        <v>3023</v>
      </c>
      <c r="X1116">
        <v>0</v>
      </c>
      <c r="Y1116">
        <v>900</v>
      </c>
      <c r="AA1116" t="str">
        <f t="shared" si="34"/>
        <v>update zamestnanci set nastup='62' where id='1511';</v>
      </c>
      <c r="AB1116" t="str">
        <f t="shared" si="35"/>
        <v>update dochazka set zastavka = '62' where zamestnanec = '1511';</v>
      </c>
    </row>
    <row r="1117" spans="1:28" x14ac:dyDescent="0.25">
      <c r="A1117" s="2">
        <v>1539</v>
      </c>
      <c r="B1117" t="s">
        <v>6656</v>
      </c>
      <c r="C1117" t="s">
        <v>64</v>
      </c>
      <c r="D1117" t="s">
        <v>2801</v>
      </c>
      <c r="E1117" t="s">
        <v>3976</v>
      </c>
      <c r="F1117" t="s">
        <v>6657</v>
      </c>
      <c r="G1117" s="1">
        <v>45740</v>
      </c>
      <c r="H1117" s="1">
        <v>45756</v>
      </c>
      <c r="I1117" s="1">
        <v>73050</v>
      </c>
      <c r="J1117" s="2" t="s">
        <v>357</v>
      </c>
      <c r="K1117" t="s">
        <v>6658</v>
      </c>
      <c r="M1117" s="16" t="s">
        <v>8551</v>
      </c>
      <c r="N1117" s="16" t="str">
        <f>VLOOKUP(M1117,Tab_Zast[[Zastávka]:[Sloupec1]],2,0)</f>
        <v>00</v>
      </c>
      <c r="O1117" t="s">
        <v>6659</v>
      </c>
      <c r="P1117">
        <v>8</v>
      </c>
      <c r="Q1117">
        <v>0</v>
      </c>
      <c r="R1117" t="s">
        <v>31</v>
      </c>
      <c r="S1117" t="s">
        <v>31</v>
      </c>
      <c r="T1117" t="s">
        <v>32</v>
      </c>
      <c r="V1117" s="1" t="e">
        <v>#N/A</v>
      </c>
      <c r="W1117" t="s">
        <v>3023</v>
      </c>
      <c r="X1117">
        <v>0</v>
      </c>
      <c r="Y1117">
        <v>926</v>
      </c>
      <c r="AA1117" t="str">
        <f t="shared" si="34"/>
        <v/>
      </c>
      <c r="AB1117" t="str">
        <f t="shared" si="35"/>
        <v/>
      </c>
    </row>
    <row r="1118" spans="1:28" x14ac:dyDescent="0.25">
      <c r="A1118" s="2">
        <v>1581</v>
      </c>
      <c r="B1118" t="s">
        <v>6808</v>
      </c>
      <c r="C1118" t="s">
        <v>569</v>
      </c>
      <c r="D1118" t="s">
        <v>6406</v>
      </c>
      <c r="E1118" t="s">
        <v>3533</v>
      </c>
      <c r="F1118" t="s">
        <v>569</v>
      </c>
      <c r="G1118" s="1">
        <v>45761</v>
      </c>
      <c r="H1118" s="1">
        <v>45834</v>
      </c>
      <c r="I1118" s="1">
        <v>73050</v>
      </c>
      <c r="J1118" s="2" t="s">
        <v>2410</v>
      </c>
      <c r="K1118" t="s">
        <v>6408</v>
      </c>
      <c r="M1118" s="16" t="s">
        <v>8539</v>
      </c>
      <c r="N1118" s="16" t="str">
        <f>VLOOKUP(M1118,Tab_Zast[[Zastávka]:[Sloupec1]],2,0)</f>
        <v>104</v>
      </c>
      <c r="O1118" t="s">
        <v>6409</v>
      </c>
      <c r="P1118">
        <v>8</v>
      </c>
      <c r="Q1118">
        <v>0</v>
      </c>
      <c r="R1118" t="s">
        <v>31</v>
      </c>
      <c r="S1118" t="s">
        <v>31</v>
      </c>
      <c r="T1118" t="s">
        <v>32</v>
      </c>
      <c r="V1118" s="1" t="e">
        <v>#N/A</v>
      </c>
      <c r="W1118" t="s">
        <v>493</v>
      </c>
      <c r="X1118">
        <v>0</v>
      </c>
      <c r="Y1118">
        <v>973</v>
      </c>
      <c r="AA1118" t="str">
        <f t="shared" si="34"/>
        <v>update zamestnanci set nastup='104' where id='1581';</v>
      </c>
      <c r="AB1118" t="str">
        <f t="shared" si="35"/>
        <v>update dochazka set zastavka = '104' where zamestnanec = '1581';</v>
      </c>
    </row>
    <row r="1119" spans="1:28" x14ac:dyDescent="0.25">
      <c r="A1119" s="2">
        <v>1593</v>
      </c>
      <c r="B1119" t="s">
        <v>6847</v>
      </c>
      <c r="C1119" t="s">
        <v>569</v>
      </c>
      <c r="D1119" t="s">
        <v>6848</v>
      </c>
      <c r="E1119" t="s">
        <v>4593</v>
      </c>
      <c r="F1119" t="s">
        <v>6849</v>
      </c>
      <c r="G1119" s="1">
        <v>45769</v>
      </c>
      <c r="H1119" s="1" t="e">
        <v>#N/A</v>
      </c>
      <c r="I1119" s="1" t="e">
        <v>#N/A</v>
      </c>
      <c r="J1119" s="2" t="s">
        <v>2410</v>
      </c>
      <c r="K1119" t="s">
        <v>6850</v>
      </c>
      <c r="M1119" s="16" t="s">
        <v>8539</v>
      </c>
      <c r="N1119" s="16" t="str">
        <f>VLOOKUP(M1119,Tab_Zast[[Zastávka]:[Sloupec1]],2,0)</f>
        <v>104</v>
      </c>
      <c r="O1119" t="s">
        <v>6851</v>
      </c>
      <c r="P1119">
        <v>8</v>
      </c>
      <c r="Q1119">
        <v>0</v>
      </c>
      <c r="R1119" t="s">
        <v>130</v>
      </c>
      <c r="S1119" t="s">
        <v>31</v>
      </c>
      <c r="T1119" t="s">
        <v>32</v>
      </c>
      <c r="V1119" s="1" t="e">
        <v>#N/A</v>
      </c>
      <c r="W1119" t="s">
        <v>493</v>
      </c>
      <c r="X1119">
        <v>1</v>
      </c>
      <c r="Y1119">
        <v>993</v>
      </c>
      <c r="AA1119" t="str">
        <f t="shared" si="34"/>
        <v>update zamestnanci set nastup='104' where id='1593';</v>
      </c>
      <c r="AB1119" t="str">
        <f t="shared" si="35"/>
        <v>update dochazka set zastavka = '104' where zamestnanec = '1593';</v>
      </c>
    </row>
    <row r="1120" spans="1:28" x14ac:dyDescent="0.25">
      <c r="A1120" s="2">
        <v>1635</v>
      </c>
      <c r="B1120" t="s">
        <v>7013</v>
      </c>
      <c r="C1120" t="s">
        <v>569</v>
      </c>
      <c r="D1120" t="s">
        <v>6401</v>
      </c>
      <c r="E1120" t="s">
        <v>2705</v>
      </c>
      <c r="F1120" t="s">
        <v>64</v>
      </c>
      <c r="G1120" s="1">
        <v>45789</v>
      </c>
      <c r="H1120" s="1">
        <v>45849</v>
      </c>
      <c r="I1120" s="1">
        <v>73050</v>
      </c>
      <c r="J1120" s="2" t="s">
        <v>2410</v>
      </c>
      <c r="K1120" t="s">
        <v>7014</v>
      </c>
      <c r="M1120" s="16" t="s">
        <v>8539</v>
      </c>
      <c r="N1120" s="16" t="str">
        <f>VLOOKUP(M1120,Tab_Zast[[Zastávka]:[Sloupec1]],2,0)</f>
        <v>104</v>
      </c>
      <c r="O1120" t="s">
        <v>7015</v>
      </c>
      <c r="P1120">
        <v>8</v>
      </c>
      <c r="Q1120">
        <v>0</v>
      </c>
      <c r="R1120" t="s">
        <v>31</v>
      </c>
      <c r="S1120" t="s">
        <v>31</v>
      </c>
      <c r="T1120" t="s">
        <v>32</v>
      </c>
      <c r="V1120" s="1" t="e">
        <v>#N/A</v>
      </c>
      <c r="W1120" t="s">
        <v>493</v>
      </c>
      <c r="X1120">
        <v>0</v>
      </c>
      <c r="Y1120">
        <v>1031</v>
      </c>
      <c r="AA1120" t="str">
        <f t="shared" si="34"/>
        <v>update zamestnanci set nastup='104' where id='1635';</v>
      </c>
      <c r="AB1120" t="str">
        <f t="shared" si="35"/>
        <v>update dochazka set zastavka = '104' where zamestnanec = '1635';</v>
      </c>
    </row>
    <row r="1121" spans="1:28" x14ac:dyDescent="0.25">
      <c r="A1121" s="2">
        <v>1723</v>
      </c>
      <c r="B1121" t="s">
        <v>7308</v>
      </c>
      <c r="C1121" t="s">
        <v>569</v>
      </c>
      <c r="D1121" t="s">
        <v>444</v>
      </c>
      <c r="E1121" t="s">
        <v>3048</v>
      </c>
      <c r="F1121" t="s">
        <v>64</v>
      </c>
      <c r="G1121" s="1">
        <v>45839</v>
      </c>
      <c r="H1121" s="1">
        <v>45855</v>
      </c>
      <c r="I1121" s="1">
        <v>73050</v>
      </c>
      <c r="J1121" s="2" t="s">
        <v>555</v>
      </c>
      <c r="K1121" t="s">
        <v>7309</v>
      </c>
      <c r="M1121" s="16" t="s">
        <v>8420</v>
      </c>
      <c r="N1121" s="16" t="str">
        <f>VLOOKUP(M1121,Tab_Zast[[Zastávka]:[Sloupec1]],2,0)</f>
        <v>62</v>
      </c>
      <c r="O1121" t="s">
        <v>7310</v>
      </c>
      <c r="P1121">
        <v>8</v>
      </c>
      <c r="Q1121">
        <v>0</v>
      </c>
      <c r="R1121" t="s">
        <v>31</v>
      </c>
      <c r="S1121" t="s">
        <v>31</v>
      </c>
      <c r="T1121" t="s">
        <v>32</v>
      </c>
      <c r="V1121" s="1" t="e">
        <v>#N/A</v>
      </c>
      <c r="W1121" t="s">
        <v>493</v>
      </c>
      <c r="X1121">
        <v>0</v>
      </c>
      <c r="Y1121">
        <v>1115</v>
      </c>
      <c r="AA1121" t="str">
        <f t="shared" si="34"/>
        <v>update zamestnanci set nastup='62' where id='1723';</v>
      </c>
      <c r="AB1121" t="str">
        <f t="shared" si="35"/>
        <v>update dochazka set zastavka = '62' where zamestnanec = '1723';</v>
      </c>
    </row>
    <row r="1122" spans="1:28" x14ac:dyDescent="0.25">
      <c r="A1122" s="2">
        <v>1745</v>
      </c>
      <c r="B1122" t="s">
        <v>7396</v>
      </c>
      <c r="C1122" t="s">
        <v>357</v>
      </c>
      <c r="D1122" t="s">
        <v>6233</v>
      </c>
      <c r="E1122" t="s">
        <v>1711</v>
      </c>
      <c r="F1122" t="s">
        <v>569</v>
      </c>
      <c r="G1122" s="1">
        <v>45853</v>
      </c>
      <c r="H1122" s="1">
        <v>45853</v>
      </c>
      <c r="I1122" s="1">
        <v>45853</v>
      </c>
      <c r="J1122" s="2" t="s">
        <v>357</v>
      </c>
      <c r="K1122" t="s">
        <v>7397</v>
      </c>
      <c r="M1122" s="16" t="s">
        <v>8551</v>
      </c>
      <c r="N1122" s="16" t="str">
        <f>VLOOKUP(M1122,Tab_Zast[[Zastávka]:[Sloupec1]],2,0)</f>
        <v>00</v>
      </c>
      <c r="O1122" t="s">
        <v>7398</v>
      </c>
      <c r="P1122">
        <v>8</v>
      </c>
      <c r="Q1122">
        <v>0</v>
      </c>
      <c r="R1122" t="s">
        <v>31</v>
      </c>
      <c r="S1122" t="s">
        <v>31</v>
      </c>
      <c r="T1122" t="s">
        <v>32</v>
      </c>
      <c r="V1122" s="1" t="e">
        <v>#N/A</v>
      </c>
      <c r="X1122">
        <v>0</v>
      </c>
      <c r="Y1122">
        <v>1139</v>
      </c>
      <c r="AA1122" t="str">
        <f t="shared" si="34"/>
        <v/>
      </c>
      <c r="AB1122" t="str">
        <f t="shared" si="35"/>
        <v/>
      </c>
    </row>
    <row r="1123" spans="1:28" x14ac:dyDescent="0.25">
      <c r="A1123" s="2">
        <v>1768</v>
      </c>
      <c r="B1123" t="s">
        <v>7492</v>
      </c>
      <c r="C1123" t="s">
        <v>64</v>
      </c>
      <c r="D1123" t="s">
        <v>7493</v>
      </c>
      <c r="E1123" t="s">
        <v>800</v>
      </c>
      <c r="F1123" t="s">
        <v>7494</v>
      </c>
      <c r="G1123" s="1">
        <v>45870</v>
      </c>
      <c r="H1123" s="1" t="e">
        <v>#N/A</v>
      </c>
      <c r="I1123" s="1" t="e">
        <v>#N/A</v>
      </c>
      <c r="J1123" s="2" t="s">
        <v>2410</v>
      </c>
      <c r="K1123" t="s">
        <v>7495</v>
      </c>
      <c r="M1123" s="16" t="s">
        <v>8539</v>
      </c>
      <c r="N1123" s="16" t="str">
        <f>VLOOKUP(M1123,Tab_Zast[[Zastávka]:[Sloupec1]],2,0)</f>
        <v>104</v>
      </c>
      <c r="O1123" t="s">
        <v>7496</v>
      </c>
      <c r="P1123">
        <v>8</v>
      </c>
      <c r="Q1123">
        <v>0</v>
      </c>
      <c r="R1123" t="s">
        <v>129</v>
      </c>
      <c r="S1123" t="s">
        <v>31</v>
      </c>
      <c r="T1123" t="s">
        <v>32</v>
      </c>
      <c r="V1123" s="1" t="e">
        <v>#N/A</v>
      </c>
      <c r="W1123" t="s">
        <v>493</v>
      </c>
      <c r="X1123">
        <v>1</v>
      </c>
      <c r="Y1123">
        <v>1161</v>
      </c>
      <c r="AA1123" t="str">
        <f t="shared" si="34"/>
        <v>update zamestnanci set nastup='104' where id='1768';</v>
      </c>
      <c r="AB1123" t="str">
        <f t="shared" si="35"/>
        <v>update dochazka set zastavka = '104' where zamestnanec = '1768';</v>
      </c>
    </row>
    <row r="1124" spans="1:28" x14ac:dyDescent="0.25">
      <c r="A1124" s="2">
        <v>1885</v>
      </c>
      <c r="B1124" t="s">
        <v>64</v>
      </c>
      <c r="C1124" t="s">
        <v>569</v>
      </c>
      <c r="D1124" t="s">
        <v>7933</v>
      </c>
      <c r="E1124" t="s">
        <v>2613</v>
      </c>
      <c r="F1124" t="s">
        <v>7934</v>
      </c>
      <c r="G1124" s="1">
        <v>45950</v>
      </c>
      <c r="H1124" s="1">
        <v>45964</v>
      </c>
      <c r="I1124" s="1" t="e">
        <v>#N/A</v>
      </c>
      <c r="J1124" s="2" t="s">
        <v>357</v>
      </c>
      <c r="K1124" t="s">
        <v>7935</v>
      </c>
      <c r="M1124" s="16" t="s">
        <v>8551</v>
      </c>
      <c r="N1124" s="16" t="str">
        <f>VLOOKUP(M1124,Tab_Zast[[Zastávka]:[Sloupec1]],2,0)</f>
        <v>00</v>
      </c>
      <c r="O1124" t="s">
        <v>7936</v>
      </c>
      <c r="P1124">
        <v>8</v>
      </c>
      <c r="Q1124">
        <v>0</v>
      </c>
      <c r="R1124" t="s">
        <v>129</v>
      </c>
      <c r="S1124" t="s">
        <v>179</v>
      </c>
      <c r="T1124" t="s">
        <v>32</v>
      </c>
      <c r="V1124" s="1" t="e">
        <v>#N/A</v>
      </c>
      <c r="W1124" t="s">
        <v>3023</v>
      </c>
      <c r="X1124">
        <v>0</v>
      </c>
      <c r="Y1124">
        <v>1284</v>
      </c>
      <c r="AA1124" t="str">
        <f t="shared" si="34"/>
        <v/>
      </c>
      <c r="AB1124" t="str">
        <f t="shared" si="35"/>
        <v/>
      </c>
    </row>
    <row r="1125" spans="1:28" x14ac:dyDescent="0.25">
      <c r="A1125" s="2">
        <v>1889</v>
      </c>
      <c r="B1125" t="s">
        <v>7948</v>
      </c>
      <c r="C1125" t="s">
        <v>569</v>
      </c>
      <c r="D1125" t="s">
        <v>5256</v>
      </c>
      <c r="E1125" t="s">
        <v>4016</v>
      </c>
      <c r="F1125" t="s">
        <v>64</v>
      </c>
      <c r="G1125" s="1">
        <v>45957</v>
      </c>
      <c r="H1125" s="1">
        <v>45960</v>
      </c>
      <c r="I1125" s="1" t="e">
        <v>#N/A</v>
      </c>
      <c r="J1125" s="2" t="s">
        <v>555</v>
      </c>
      <c r="K1125" t="s">
        <v>7949</v>
      </c>
      <c r="M1125" s="16" t="s">
        <v>8420</v>
      </c>
      <c r="N1125" s="16" t="str">
        <f>VLOOKUP(M1125,Tab_Zast[[Zastávka]:[Sloupec1]],2,0)</f>
        <v>62</v>
      </c>
      <c r="O1125" t="s">
        <v>7950</v>
      </c>
      <c r="P1125">
        <v>8</v>
      </c>
      <c r="Q1125">
        <v>0</v>
      </c>
      <c r="R1125" t="s">
        <v>31</v>
      </c>
      <c r="S1125" t="s">
        <v>31</v>
      </c>
      <c r="T1125" t="s">
        <v>32</v>
      </c>
      <c r="V1125" s="1" t="e">
        <v>#N/A</v>
      </c>
      <c r="W1125" t="s">
        <v>3023</v>
      </c>
      <c r="X1125">
        <v>0</v>
      </c>
      <c r="Y1125">
        <v>1283</v>
      </c>
      <c r="AA1125" t="str">
        <f t="shared" si="34"/>
        <v>update zamestnanci set nastup='62' where id='1889';</v>
      </c>
      <c r="AB1125" t="str">
        <f t="shared" si="35"/>
        <v>update dochazka set zastavka = '62' where zamestnanec = '1889';</v>
      </c>
    </row>
    <row r="1126" spans="1:28" x14ac:dyDescent="0.25">
      <c r="A1126" s="2">
        <v>1904</v>
      </c>
      <c r="B1126" t="s">
        <v>8020</v>
      </c>
      <c r="C1126" t="s">
        <v>569</v>
      </c>
      <c r="D1126" t="s">
        <v>8021</v>
      </c>
      <c r="E1126" t="s">
        <v>671</v>
      </c>
      <c r="F1126" t="s">
        <v>8022</v>
      </c>
      <c r="G1126" s="1">
        <v>45971</v>
      </c>
      <c r="H1126" s="1">
        <v>45989</v>
      </c>
      <c r="I1126" s="1" t="e">
        <v>#N/A</v>
      </c>
      <c r="J1126" s="2" t="s">
        <v>357</v>
      </c>
      <c r="K1126" t="s">
        <v>8023</v>
      </c>
      <c r="M1126" s="16" t="s">
        <v>8551</v>
      </c>
      <c r="N1126" s="16" t="str">
        <f>VLOOKUP(M1126,Tab_Zast[[Zastávka]:[Sloupec1]],2,0)</f>
        <v>00</v>
      </c>
      <c r="O1126" t="s">
        <v>6622</v>
      </c>
      <c r="P1126">
        <v>8</v>
      </c>
      <c r="Q1126">
        <v>0</v>
      </c>
      <c r="R1126" t="s">
        <v>31</v>
      </c>
      <c r="S1126" t="s">
        <v>31</v>
      </c>
      <c r="T1126" t="s">
        <v>32</v>
      </c>
      <c r="V1126" s="1" t="e">
        <v>#N/A</v>
      </c>
      <c r="W1126" t="s">
        <v>493</v>
      </c>
      <c r="X1126">
        <v>0</v>
      </c>
      <c r="Y1126">
        <v>1310</v>
      </c>
      <c r="AA1126" t="str">
        <f t="shared" si="34"/>
        <v/>
      </c>
      <c r="AB1126" t="str">
        <f t="shared" si="35"/>
        <v/>
      </c>
    </row>
    <row r="1127" spans="1:28" x14ac:dyDescent="0.25">
      <c r="A1127" s="2">
        <v>1908</v>
      </c>
      <c r="B1127" t="s">
        <v>8036</v>
      </c>
      <c r="C1127" t="s">
        <v>569</v>
      </c>
      <c r="D1127" t="s">
        <v>8037</v>
      </c>
      <c r="E1127" t="s">
        <v>671</v>
      </c>
      <c r="F1127" t="s">
        <v>8038</v>
      </c>
      <c r="G1127" s="1">
        <v>45971</v>
      </c>
      <c r="H1127" s="1">
        <v>45989</v>
      </c>
      <c r="I1127" s="1" t="e">
        <v>#N/A</v>
      </c>
      <c r="J1127" s="2" t="s">
        <v>555</v>
      </c>
      <c r="K1127" t="s">
        <v>8039</v>
      </c>
      <c r="M1127" s="16" t="s">
        <v>8420</v>
      </c>
      <c r="N1127" s="16" t="str">
        <f>VLOOKUP(M1127,Tab_Zast[[Zastávka]:[Sloupec1]],2,0)</f>
        <v>62</v>
      </c>
      <c r="O1127" t="s">
        <v>8040</v>
      </c>
      <c r="P1127">
        <v>8</v>
      </c>
      <c r="Q1127">
        <v>0</v>
      </c>
      <c r="R1127" t="s">
        <v>31</v>
      </c>
      <c r="S1127" t="s">
        <v>31</v>
      </c>
      <c r="T1127" t="s">
        <v>32</v>
      </c>
      <c r="V1127" s="1" t="e">
        <v>#N/A</v>
      </c>
      <c r="W1127" t="s">
        <v>493</v>
      </c>
      <c r="X1127">
        <v>0</v>
      </c>
      <c r="Y1127">
        <v>1304</v>
      </c>
      <c r="AA1127" t="str">
        <f t="shared" si="34"/>
        <v>update zamestnanci set nastup='62' where id='1908';</v>
      </c>
      <c r="AB1127" t="str">
        <f t="shared" si="35"/>
        <v>update dochazka set zastavka = '62' where zamestnanec = '1908';</v>
      </c>
    </row>
    <row r="1128" spans="1:28" x14ac:dyDescent="0.25">
      <c r="A1128" s="2">
        <v>1909</v>
      </c>
      <c r="B1128" t="s">
        <v>8041</v>
      </c>
      <c r="C1128" t="s">
        <v>569</v>
      </c>
      <c r="D1128" t="s">
        <v>2657</v>
      </c>
      <c r="E1128" t="s">
        <v>2960</v>
      </c>
      <c r="F1128" t="s">
        <v>8042</v>
      </c>
      <c r="G1128" s="1">
        <v>45973</v>
      </c>
      <c r="H1128" s="1" t="e">
        <v>#N/A</v>
      </c>
      <c r="I1128" s="1" t="e">
        <v>#N/A</v>
      </c>
      <c r="J1128" s="2" t="s">
        <v>2410</v>
      </c>
      <c r="K1128" t="s">
        <v>6927</v>
      </c>
      <c r="M1128" s="16" t="s">
        <v>8539</v>
      </c>
      <c r="N1128" s="16" t="str">
        <f>VLOOKUP(M1128,Tab_Zast[[Zastávka]:[Sloupec1]],2,0)</f>
        <v>104</v>
      </c>
      <c r="O1128" t="s">
        <v>8043</v>
      </c>
      <c r="P1128">
        <v>8</v>
      </c>
      <c r="Q1128">
        <v>0</v>
      </c>
      <c r="R1128" t="s">
        <v>179</v>
      </c>
      <c r="S1128" t="s">
        <v>31</v>
      </c>
      <c r="T1128" t="s">
        <v>32</v>
      </c>
      <c r="V1128" s="1" t="e">
        <v>#N/A</v>
      </c>
      <c r="W1128" t="s">
        <v>493</v>
      </c>
      <c r="X1128">
        <v>1</v>
      </c>
      <c r="Y1128">
        <v>1296</v>
      </c>
      <c r="AA1128" t="str">
        <f t="shared" si="34"/>
        <v>update zamestnanci set nastup='104' where id='1909';</v>
      </c>
      <c r="AB1128" t="str">
        <f t="shared" si="35"/>
        <v>update dochazka set zastavka = '104' where zamestnanec = '1909';</v>
      </c>
    </row>
    <row r="1129" spans="1:28" x14ac:dyDescent="0.25">
      <c r="A1129" s="2">
        <v>1918</v>
      </c>
      <c r="B1129" t="s">
        <v>8068</v>
      </c>
      <c r="C1129" t="s">
        <v>569</v>
      </c>
      <c r="D1129" t="s">
        <v>8069</v>
      </c>
      <c r="E1129" t="s">
        <v>8070</v>
      </c>
      <c r="F1129" t="s">
        <v>8071</v>
      </c>
      <c r="G1129" s="1">
        <v>45979</v>
      </c>
      <c r="H1129" s="1" t="e">
        <v>#N/A</v>
      </c>
      <c r="I1129" s="1" t="e">
        <v>#N/A</v>
      </c>
      <c r="J1129" s="2" t="s">
        <v>2410</v>
      </c>
      <c r="K1129" t="s">
        <v>8072</v>
      </c>
      <c r="L1129" t="s">
        <v>8073</v>
      </c>
      <c r="M1129" s="16" t="s">
        <v>8539</v>
      </c>
      <c r="N1129" s="16" t="str">
        <f>VLOOKUP(M1129,Tab_Zast[[Zastávka]:[Sloupec1]],2,0)</f>
        <v>104</v>
      </c>
      <c r="O1129" t="s">
        <v>8074</v>
      </c>
      <c r="P1129">
        <v>8</v>
      </c>
      <c r="Q1129">
        <v>0</v>
      </c>
      <c r="R1129" t="s">
        <v>129</v>
      </c>
      <c r="S1129" t="s">
        <v>31</v>
      </c>
      <c r="T1129" t="s">
        <v>32</v>
      </c>
      <c r="V1129" s="1" t="e">
        <v>#N/A</v>
      </c>
      <c r="W1129" t="s">
        <v>3023</v>
      </c>
      <c r="X1129">
        <v>1</v>
      </c>
      <c r="Y1129">
        <v>1328</v>
      </c>
      <c r="AA1129" t="str">
        <f t="shared" si="34"/>
        <v>update zamestnanci set nastup='104' where id='1918';</v>
      </c>
      <c r="AB1129" t="str">
        <f t="shared" si="35"/>
        <v>update dochazka set zastavka = '104' where zamestnanec = '1918';</v>
      </c>
    </row>
    <row r="1130" spans="1:28" x14ac:dyDescent="0.25">
      <c r="A1130" s="2">
        <v>31</v>
      </c>
      <c r="B1130" t="s">
        <v>224</v>
      </c>
      <c r="C1130" t="s">
        <v>224</v>
      </c>
      <c r="D1130" t="s">
        <v>225</v>
      </c>
      <c r="E1130" t="s">
        <v>226</v>
      </c>
      <c r="F1130" t="s">
        <v>227</v>
      </c>
      <c r="G1130" s="1">
        <v>45145</v>
      </c>
      <c r="H1130" s="1">
        <v>73050</v>
      </c>
      <c r="I1130" s="1" t="e">
        <v>#N/A</v>
      </c>
      <c r="J1130" s="2" t="s">
        <v>408</v>
      </c>
      <c r="K1130" t="s">
        <v>228</v>
      </c>
      <c r="M1130" s="16" t="s">
        <v>8359</v>
      </c>
      <c r="N1130" s="16" t="str">
        <f>VLOOKUP(M1130,Tab_Zast[[Zastávka]:[Sloupec1]],2,0)</f>
        <v>40</v>
      </c>
      <c r="O1130" t="s">
        <v>229</v>
      </c>
      <c r="P1130">
        <v>1</v>
      </c>
      <c r="Q1130">
        <v>0</v>
      </c>
      <c r="R1130" t="s">
        <v>129</v>
      </c>
      <c r="S1130" t="s">
        <v>31</v>
      </c>
      <c r="T1130" t="s">
        <v>32</v>
      </c>
      <c r="V1130" s="1" t="e">
        <v>#N/A</v>
      </c>
      <c r="W1130" t="s">
        <v>47</v>
      </c>
      <c r="X1130">
        <v>1</v>
      </c>
      <c r="Y1130">
        <v>0</v>
      </c>
      <c r="AA1130" t="str">
        <f t="shared" si="34"/>
        <v>update zamestnanci set nastup='40' where id='31';</v>
      </c>
      <c r="AB1130" t="str">
        <f t="shared" si="35"/>
        <v>update dochazka set zastavka = '40' where zamestnanec = '31';</v>
      </c>
    </row>
    <row r="1131" spans="1:28" x14ac:dyDescent="0.25">
      <c r="A1131" s="2">
        <v>33</v>
      </c>
      <c r="B1131" t="s">
        <v>236</v>
      </c>
      <c r="C1131" t="s">
        <v>236</v>
      </c>
      <c r="D1131" t="s">
        <v>237</v>
      </c>
      <c r="E1131" t="s">
        <v>238</v>
      </c>
      <c r="F1131" t="s">
        <v>239</v>
      </c>
      <c r="G1131" s="1">
        <v>45174</v>
      </c>
      <c r="H1131" s="1">
        <v>45473</v>
      </c>
      <c r="I1131" s="1">
        <v>73050</v>
      </c>
      <c r="J1131" s="2" t="s">
        <v>408</v>
      </c>
      <c r="K1131" t="s">
        <v>240</v>
      </c>
      <c r="M1131" s="16" t="s">
        <v>8359</v>
      </c>
      <c r="N1131" s="16" t="str">
        <f>VLOOKUP(M1131,Tab_Zast[[Zastávka]:[Sloupec1]],2,0)</f>
        <v>40</v>
      </c>
      <c r="O1131" t="s">
        <v>241</v>
      </c>
      <c r="P1131">
        <v>1</v>
      </c>
      <c r="Q1131">
        <v>0</v>
      </c>
      <c r="R1131" t="s">
        <v>31</v>
      </c>
      <c r="S1131" t="s">
        <v>31</v>
      </c>
      <c r="T1131" t="s">
        <v>32</v>
      </c>
      <c r="V1131" s="1">
        <v>45359</v>
      </c>
      <c r="W1131" t="s">
        <v>47</v>
      </c>
      <c r="X1131">
        <v>0</v>
      </c>
      <c r="Y1131">
        <v>0</v>
      </c>
      <c r="AA1131" t="str">
        <f t="shared" si="34"/>
        <v>update zamestnanci set nastup='40' where id='33';</v>
      </c>
      <c r="AB1131" t="str">
        <f t="shared" si="35"/>
        <v>update dochazka set zastavka = '40' where zamestnanec = '33';</v>
      </c>
    </row>
    <row r="1132" spans="1:28" x14ac:dyDescent="0.25">
      <c r="A1132" s="2">
        <v>48</v>
      </c>
      <c r="B1132" t="s">
        <v>324</v>
      </c>
      <c r="D1132" t="s">
        <v>325</v>
      </c>
      <c r="E1132" t="s">
        <v>326</v>
      </c>
      <c r="F1132" t="s">
        <v>327</v>
      </c>
      <c r="G1132" s="1">
        <v>45049</v>
      </c>
      <c r="H1132" s="1">
        <v>45362</v>
      </c>
      <c r="I1132" s="1">
        <v>73050</v>
      </c>
      <c r="J1132" s="2" t="s">
        <v>2376</v>
      </c>
      <c r="K1132" t="s">
        <v>328</v>
      </c>
      <c r="M1132" s="16" t="s">
        <v>8522</v>
      </c>
      <c r="N1132" s="16" t="str">
        <f>VLOOKUP(M1132,Tab_Zast[[Zastávka]:[Sloupec1]],2,0)</f>
        <v>98</v>
      </c>
      <c r="O1132" t="s">
        <v>329</v>
      </c>
      <c r="P1132">
        <v>1</v>
      </c>
      <c r="Q1132">
        <v>0</v>
      </c>
      <c r="R1132" t="s">
        <v>31</v>
      </c>
      <c r="S1132" t="s">
        <v>31</v>
      </c>
      <c r="T1132" t="s">
        <v>32</v>
      </c>
      <c r="V1132" s="1" t="e">
        <v>#N/A</v>
      </c>
      <c r="W1132" t="s">
        <v>47</v>
      </c>
      <c r="X1132">
        <v>0</v>
      </c>
      <c r="Y1132">
        <v>0</v>
      </c>
      <c r="Z1132" t="s">
        <v>54</v>
      </c>
      <c r="AA1132" t="str">
        <f t="shared" si="34"/>
        <v>update zamestnanci set nastup='98' where id='48';</v>
      </c>
      <c r="AB1132" t="str">
        <f t="shared" si="35"/>
        <v>update dochazka set zastavka = '98' where zamestnanec = '48';</v>
      </c>
    </row>
    <row r="1133" spans="1:28" x14ac:dyDescent="0.25">
      <c r="A1133" s="2">
        <v>110</v>
      </c>
      <c r="B1133" t="s">
        <v>681</v>
      </c>
      <c r="C1133" t="s">
        <v>681</v>
      </c>
      <c r="D1133" t="s">
        <v>682</v>
      </c>
      <c r="E1133" t="s">
        <v>683</v>
      </c>
      <c r="F1133" t="s">
        <v>684</v>
      </c>
      <c r="G1133" s="1">
        <v>44757</v>
      </c>
      <c r="H1133" s="1">
        <v>73050</v>
      </c>
      <c r="I1133" s="1" t="e">
        <v>#N/A</v>
      </c>
      <c r="J1133" s="2" t="s">
        <v>330</v>
      </c>
      <c r="K1133" t="s">
        <v>685</v>
      </c>
      <c r="M1133" s="16" t="s">
        <v>8326</v>
      </c>
      <c r="N1133" s="16" t="str">
        <f>VLOOKUP(M1133,Tab_Zast[[Zastávka]:[Sloupec1]],2,0)</f>
        <v>27</v>
      </c>
      <c r="O1133" t="s">
        <v>686</v>
      </c>
      <c r="P1133">
        <v>1</v>
      </c>
      <c r="Q1133">
        <v>0</v>
      </c>
      <c r="R1133" t="s">
        <v>179</v>
      </c>
      <c r="S1133" t="s">
        <v>31</v>
      </c>
      <c r="T1133" t="s">
        <v>32</v>
      </c>
      <c r="V1133" s="1" t="e">
        <v>#N/A</v>
      </c>
      <c r="W1133" t="s">
        <v>47</v>
      </c>
      <c r="X1133">
        <v>1</v>
      </c>
      <c r="Y1133">
        <v>0</v>
      </c>
      <c r="AA1133" t="str">
        <f t="shared" si="34"/>
        <v>update zamestnanci set nastup='27' where id='110';</v>
      </c>
      <c r="AB1133" t="str">
        <f t="shared" si="35"/>
        <v>update dochazka set zastavka = '27' where zamestnanec = '110';</v>
      </c>
    </row>
    <row r="1134" spans="1:28" x14ac:dyDescent="0.25">
      <c r="A1134" s="2">
        <v>119</v>
      </c>
      <c r="B1134" t="s">
        <v>735</v>
      </c>
      <c r="C1134" t="s">
        <v>735</v>
      </c>
      <c r="D1134" t="s">
        <v>736</v>
      </c>
      <c r="E1134" t="s">
        <v>737</v>
      </c>
      <c r="F1134" t="s">
        <v>738</v>
      </c>
      <c r="G1134" s="1">
        <v>45166</v>
      </c>
      <c r="H1134" s="1">
        <v>73050</v>
      </c>
      <c r="I1134" s="1" t="e">
        <v>#N/A</v>
      </c>
      <c r="J1134" s="2" t="s">
        <v>330</v>
      </c>
      <c r="K1134" t="s">
        <v>739</v>
      </c>
      <c r="M1134" s="16" t="s">
        <v>8326</v>
      </c>
      <c r="N1134" s="16" t="str">
        <f>VLOOKUP(M1134,Tab_Zast[[Zastávka]:[Sloupec1]],2,0)</f>
        <v>27</v>
      </c>
      <c r="O1134" t="s">
        <v>740</v>
      </c>
      <c r="P1134">
        <v>1</v>
      </c>
      <c r="Q1134">
        <v>0</v>
      </c>
      <c r="R1134" t="s">
        <v>179</v>
      </c>
      <c r="S1134" t="s">
        <v>31</v>
      </c>
      <c r="T1134" t="s">
        <v>32</v>
      </c>
      <c r="V1134" s="1" t="e">
        <v>#N/A</v>
      </c>
      <c r="W1134" t="s">
        <v>47</v>
      </c>
      <c r="X1134">
        <v>1</v>
      </c>
      <c r="Y1134">
        <v>0</v>
      </c>
      <c r="AA1134" t="str">
        <f t="shared" si="34"/>
        <v>update zamestnanci set nastup='27' where id='119';</v>
      </c>
      <c r="AB1134" t="str">
        <f t="shared" si="35"/>
        <v>update dochazka set zastavka = '27' where zamestnanec = '119';</v>
      </c>
    </row>
    <row r="1135" spans="1:28" x14ac:dyDescent="0.25">
      <c r="A1135" s="2">
        <v>430</v>
      </c>
      <c r="B1135" t="s">
        <v>1499</v>
      </c>
      <c r="C1135" t="s">
        <v>1500</v>
      </c>
      <c r="D1135" t="s">
        <v>1501</v>
      </c>
      <c r="E1135" t="s">
        <v>1502</v>
      </c>
      <c r="F1135" t="s">
        <v>1503</v>
      </c>
      <c r="G1135" s="1">
        <v>45061</v>
      </c>
      <c r="H1135" s="1">
        <v>73050</v>
      </c>
      <c r="I1135" s="1" t="e">
        <v>#N/A</v>
      </c>
      <c r="J1135" s="2" t="s">
        <v>8430</v>
      </c>
      <c r="K1135" t="s">
        <v>1504</v>
      </c>
      <c r="M1135" s="16" t="s">
        <v>8431</v>
      </c>
      <c r="N1135" s="16" t="str">
        <f>VLOOKUP(M1135,Tab_Zast[[Zastávka]:[Sloupec1]],2,0)</f>
        <v>69</v>
      </c>
      <c r="O1135" t="s">
        <v>1505</v>
      </c>
      <c r="P1135">
        <v>6</v>
      </c>
      <c r="Q1135">
        <v>0</v>
      </c>
      <c r="R1135" t="s">
        <v>129</v>
      </c>
      <c r="S1135" t="s">
        <v>31</v>
      </c>
      <c r="T1135" t="s">
        <v>32</v>
      </c>
      <c r="V1135" s="1" t="e">
        <v>#N/A</v>
      </c>
      <c r="W1135" t="s">
        <v>1216</v>
      </c>
      <c r="X1135">
        <v>1</v>
      </c>
      <c r="Y1135">
        <v>0</v>
      </c>
      <c r="AA1135" t="str">
        <f t="shared" si="34"/>
        <v>update zamestnanci set nastup='69' where id='430';</v>
      </c>
      <c r="AB1135" t="str">
        <f t="shared" si="35"/>
        <v>update dochazka set zastavka = '69' where zamestnanec = '430';</v>
      </c>
    </row>
    <row r="1136" spans="1:28" x14ac:dyDescent="0.25">
      <c r="A1136" s="2">
        <v>495</v>
      </c>
      <c r="B1136" t="s">
        <v>1912</v>
      </c>
      <c r="C1136" t="s">
        <v>1913</v>
      </c>
      <c r="D1136" t="s">
        <v>1914</v>
      </c>
      <c r="E1136" t="s">
        <v>1915</v>
      </c>
      <c r="F1136" t="s">
        <v>1916</v>
      </c>
      <c r="G1136" s="1">
        <v>44841</v>
      </c>
      <c r="H1136" s="1" t="e">
        <v>#N/A</v>
      </c>
      <c r="I1136" s="1" t="e">
        <v>#N/A</v>
      </c>
      <c r="J1136" s="2" t="s">
        <v>8430</v>
      </c>
      <c r="K1136" t="s">
        <v>1917</v>
      </c>
      <c r="M1136" s="16" t="s">
        <v>8431</v>
      </c>
      <c r="N1136" s="16" t="str">
        <f>VLOOKUP(M1136,Tab_Zast[[Zastávka]:[Sloupec1]],2,0)</f>
        <v>69</v>
      </c>
      <c r="O1136" t="s">
        <v>1918</v>
      </c>
      <c r="P1136">
        <v>6</v>
      </c>
      <c r="Q1136">
        <v>0</v>
      </c>
      <c r="R1136" t="s">
        <v>129</v>
      </c>
      <c r="S1136" t="s">
        <v>31</v>
      </c>
      <c r="T1136" t="s">
        <v>32</v>
      </c>
      <c r="V1136" s="1" t="e">
        <v>#N/A</v>
      </c>
      <c r="W1136" t="s">
        <v>1216</v>
      </c>
      <c r="X1136">
        <v>1</v>
      </c>
      <c r="Y1136">
        <v>0</v>
      </c>
      <c r="AA1136" t="str">
        <f t="shared" si="34"/>
        <v>update zamestnanci set nastup='69' where id='495';</v>
      </c>
      <c r="AB1136" t="str">
        <f t="shared" si="35"/>
        <v>update dochazka set zastavka = '69' where zamestnanec = '495';</v>
      </c>
    </row>
    <row r="1137" spans="1:28" x14ac:dyDescent="0.25">
      <c r="A1137" s="2">
        <v>520</v>
      </c>
      <c r="B1137" t="s">
        <v>2068</v>
      </c>
      <c r="C1137" t="s">
        <v>2069</v>
      </c>
      <c r="D1137" t="s">
        <v>2070</v>
      </c>
      <c r="E1137" t="s">
        <v>2071</v>
      </c>
      <c r="F1137" t="s">
        <v>2072</v>
      </c>
      <c r="G1137" s="1">
        <v>45117</v>
      </c>
      <c r="H1137" s="1">
        <v>45688</v>
      </c>
      <c r="I1137" s="1">
        <v>73050</v>
      </c>
      <c r="J1137" s="2" t="s">
        <v>8430</v>
      </c>
      <c r="K1137" t="s">
        <v>2073</v>
      </c>
      <c r="M1137" s="16" t="s">
        <v>8431</v>
      </c>
      <c r="N1137" s="16" t="str">
        <f>VLOOKUP(M1137,Tab_Zast[[Zastávka]:[Sloupec1]],2,0)</f>
        <v>69</v>
      </c>
      <c r="O1137" t="s">
        <v>2074</v>
      </c>
      <c r="P1137">
        <v>6</v>
      </c>
      <c r="Q1137">
        <v>0</v>
      </c>
      <c r="R1137" t="s">
        <v>31</v>
      </c>
      <c r="S1137" t="s">
        <v>31</v>
      </c>
      <c r="T1137" t="s">
        <v>32</v>
      </c>
      <c r="V1137" s="1">
        <v>45685</v>
      </c>
      <c r="W1137" t="s">
        <v>1216</v>
      </c>
      <c r="X1137">
        <v>0</v>
      </c>
      <c r="Y1137">
        <v>0</v>
      </c>
      <c r="AA1137" t="str">
        <f t="shared" si="34"/>
        <v>update zamestnanci set nastup='69' where id='520';</v>
      </c>
      <c r="AB1137" t="str">
        <f t="shared" si="35"/>
        <v>update dochazka set zastavka = '69' where zamestnanec = '520';</v>
      </c>
    </row>
    <row r="1138" spans="1:28" x14ac:dyDescent="0.25">
      <c r="A1138" s="2">
        <v>584</v>
      </c>
      <c r="B1138" t="s">
        <v>1951</v>
      </c>
      <c r="D1138" t="s">
        <v>2464</v>
      </c>
      <c r="E1138" t="s">
        <v>2465</v>
      </c>
      <c r="F1138" t="s">
        <v>2466</v>
      </c>
      <c r="G1138" s="1">
        <v>44927</v>
      </c>
      <c r="H1138" s="1">
        <v>45225</v>
      </c>
      <c r="I1138" s="1" t="e">
        <v>#N/A</v>
      </c>
      <c r="J1138" s="2" t="s">
        <v>8446</v>
      </c>
      <c r="K1138" t="s">
        <v>2467</v>
      </c>
      <c r="M1138" s="16" t="s">
        <v>8447</v>
      </c>
      <c r="N1138" s="16" t="str">
        <f>VLOOKUP(M1138,Tab_Zast[[Zastávka]:[Sloupec1]],2,0)</f>
        <v>73</v>
      </c>
      <c r="O1138" t="s">
        <v>2468</v>
      </c>
      <c r="P1138">
        <v>3</v>
      </c>
      <c r="Q1138">
        <v>0</v>
      </c>
      <c r="R1138" t="s">
        <v>179</v>
      </c>
      <c r="S1138" t="s">
        <v>31</v>
      </c>
      <c r="T1138" t="s">
        <v>32</v>
      </c>
      <c r="V1138" s="1" t="e">
        <v>#N/A</v>
      </c>
      <c r="W1138" t="s">
        <v>493</v>
      </c>
      <c r="X1138">
        <v>0</v>
      </c>
      <c r="Y1138">
        <v>0</v>
      </c>
      <c r="Z1138" t="s">
        <v>54</v>
      </c>
      <c r="AA1138" t="str">
        <f t="shared" si="34"/>
        <v>update zamestnanci set nastup='73' where id='584';</v>
      </c>
      <c r="AB1138" t="str">
        <f t="shared" si="35"/>
        <v>update dochazka set zastavka = '73' where zamestnanec = '584';</v>
      </c>
    </row>
    <row r="1139" spans="1:28" x14ac:dyDescent="0.25">
      <c r="A1139" s="2">
        <v>595</v>
      </c>
      <c r="B1139" t="s">
        <v>2527</v>
      </c>
      <c r="C1139" t="s">
        <v>64</v>
      </c>
      <c r="D1139" t="s">
        <v>2528</v>
      </c>
      <c r="E1139" t="s">
        <v>2529</v>
      </c>
      <c r="F1139" t="s">
        <v>2530</v>
      </c>
      <c r="G1139" s="1">
        <v>45481</v>
      </c>
      <c r="H1139" s="1">
        <v>45537</v>
      </c>
      <c r="I1139" s="1">
        <v>73050</v>
      </c>
      <c r="J1139" s="2" t="s">
        <v>8426</v>
      </c>
      <c r="K1139" t="s">
        <v>2531</v>
      </c>
      <c r="M1139" s="16" t="s">
        <v>8427</v>
      </c>
      <c r="N1139" s="16" t="str">
        <f>VLOOKUP(M1139,Tab_Zast[[Zastávka]:[Sloupec1]],2,0)</f>
        <v>67</v>
      </c>
      <c r="O1139" t="s">
        <v>2532</v>
      </c>
      <c r="P1139">
        <v>3</v>
      </c>
      <c r="Q1139">
        <v>0</v>
      </c>
      <c r="R1139" t="s">
        <v>31</v>
      </c>
      <c r="S1139" t="s">
        <v>31</v>
      </c>
      <c r="T1139" t="s">
        <v>32</v>
      </c>
      <c r="V1139" s="1">
        <v>45517</v>
      </c>
      <c r="W1139" t="s">
        <v>493</v>
      </c>
      <c r="X1139">
        <v>0</v>
      </c>
      <c r="Y1139">
        <v>0</v>
      </c>
      <c r="Z1139" t="s">
        <v>54</v>
      </c>
      <c r="AA1139" t="str">
        <f t="shared" si="34"/>
        <v>update zamestnanci set nastup='67' where id='595';</v>
      </c>
      <c r="AB1139" t="str">
        <f t="shared" si="35"/>
        <v>update dochazka set zastavka = '67' where zamestnanec = '595';</v>
      </c>
    </row>
    <row r="1140" spans="1:28" x14ac:dyDescent="0.25">
      <c r="A1140" s="2">
        <v>600</v>
      </c>
      <c r="B1140" t="s">
        <v>2558</v>
      </c>
      <c r="D1140" t="s">
        <v>934</v>
      </c>
      <c r="E1140" t="s">
        <v>2559</v>
      </c>
      <c r="F1140" t="s">
        <v>2560</v>
      </c>
      <c r="G1140" s="1">
        <v>44844</v>
      </c>
      <c r="H1140" s="1">
        <v>45272</v>
      </c>
      <c r="I1140" s="1" t="e">
        <v>#N/A</v>
      </c>
      <c r="J1140" s="2" t="s">
        <v>8446</v>
      </c>
      <c r="K1140" t="s">
        <v>2561</v>
      </c>
      <c r="M1140" s="16" t="s">
        <v>8447</v>
      </c>
      <c r="N1140" s="16" t="str">
        <f>VLOOKUP(M1140,Tab_Zast[[Zastávka]:[Sloupec1]],2,0)</f>
        <v>73</v>
      </c>
      <c r="O1140" t="s">
        <v>2562</v>
      </c>
      <c r="P1140">
        <v>3</v>
      </c>
      <c r="Q1140">
        <v>0</v>
      </c>
      <c r="R1140" t="s">
        <v>31</v>
      </c>
      <c r="S1140" t="s">
        <v>31</v>
      </c>
      <c r="T1140" t="s">
        <v>32</v>
      </c>
      <c r="V1140" s="1" t="e">
        <v>#N/A</v>
      </c>
      <c r="W1140" t="s">
        <v>493</v>
      </c>
      <c r="X1140">
        <v>0</v>
      </c>
      <c r="Y1140">
        <v>0</v>
      </c>
      <c r="Z1140" t="s">
        <v>54</v>
      </c>
      <c r="AA1140" t="str">
        <f t="shared" si="34"/>
        <v>update zamestnanci set nastup='73' where id='600';</v>
      </c>
      <c r="AB1140" t="str">
        <f t="shared" si="35"/>
        <v>update dochazka set zastavka = '73' where zamestnanec = '600';</v>
      </c>
    </row>
    <row r="1141" spans="1:28" x14ac:dyDescent="0.25">
      <c r="A1141" s="2">
        <v>607</v>
      </c>
      <c r="B1141" t="s">
        <v>2599</v>
      </c>
      <c r="D1141" t="s">
        <v>2600</v>
      </c>
      <c r="E1141" t="s">
        <v>2601</v>
      </c>
      <c r="F1141" t="s">
        <v>2602</v>
      </c>
      <c r="G1141" s="1">
        <v>45064</v>
      </c>
      <c r="H1141" s="1">
        <v>45306</v>
      </c>
      <c r="I1141" s="1">
        <v>73050</v>
      </c>
      <c r="J1141" s="2" t="s">
        <v>642</v>
      </c>
      <c r="K1141" t="s">
        <v>2603</v>
      </c>
      <c r="M1141" s="16" t="s">
        <v>8457</v>
      </c>
      <c r="N1141" s="16" t="str">
        <f>VLOOKUP(M1141,Tab_Zast[[Zastávka]:[Sloupec1]],2,0)</f>
        <v>77</v>
      </c>
      <c r="O1141" t="s">
        <v>2604</v>
      </c>
      <c r="P1141">
        <v>3</v>
      </c>
      <c r="Q1141">
        <v>0</v>
      </c>
      <c r="R1141" t="s">
        <v>31</v>
      </c>
      <c r="S1141" t="s">
        <v>31</v>
      </c>
      <c r="T1141" t="s">
        <v>32</v>
      </c>
      <c r="V1141" s="1" t="e">
        <v>#N/A</v>
      </c>
      <c r="W1141" t="s">
        <v>493</v>
      </c>
      <c r="X1141">
        <v>0</v>
      </c>
      <c r="Y1141">
        <v>0</v>
      </c>
      <c r="AA1141" t="str">
        <f t="shared" si="34"/>
        <v>update zamestnanci set nastup='77' where id='607';</v>
      </c>
      <c r="AB1141" t="str">
        <f t="shared" si="35"/>
        <v>update dochazka set zastavka = '77' where zamestnanec = '607';</v>
      </c>
    </row>
    <row r="1142" spans="1:28" x14ac:dyDescent="0.25">
      <c r="A1142" s="2">
        <v>614</v>
      </c>
      <c r="B1142" t="s">
        <v>2639</v>
      </c>
      <c r="C1142" t="s">
        <v>2639</v>
      </c>
      <c r="D1142" t="s">
        <v>2640</v>
      </c>
      <c r="E1142" t="s">
        <v>2641</v>
      </c>
      <c r="F1142" t="s">
        <v>2642</v>
      </c>
      <c r="G1142" s="1">
        <v>44872</v>
      </c>
      <c r="H1142" s="1">
        <v>73050</v>
      </c>
      <c r="I1142" s="1" t="e">
        <v>#N/A</v>
      </c>
      <c r="J1142" s="2" t="s">
        <v>330</v>
      </c>
      <c r="K1142" t="s">
        <v>2643</v>
      </c>
      <c r="M1142" s="16" t="s">
        <v>8326</v>
      </c>
      <c r="N1142" s="16" t="str">
        <f>VLOOKUP(M1142,Tab_Zast[[Zastávka]:[Sloupec1]],2,0)</f>
        <v>27</v>
      </c>
      <c r="O1142" t="s">
        <v>2644</v>
      </c>
      <c r="P1142">
        <v>1</v>
      </c>
      <c r="Q1142">
        <v>0</v>
      </c>
      <c r="R1142" t="s">
        <v>129</v>
      </c>
      <c r="S1142" t="s">
        <v>31</v>
      </c>
      <c r="T1142" t="s">
        <v>32</v>
      </c>
      <c r="V1142" s="1" t="e">
        <v>#N/A</v>
      </c>
      <c r="W1142" t="s">
        <v>47</v>
      </c>
      <c r="X1142">
        <v>1</v>
      </c>
      <c r="Y1142">
        <v>0</v>
      </c>
      <c r="AA1142" t="str">
        <f t="shared" si="34"/>
        <v>update zamestnanci set nastup='27' where id='614';</v>
      </c>
      <c r="AB1142" t="str">
        <f t="shared" si="35"/>
        <v>update dochazka set zastavka = '27' where zamestnanec = '614';</v>
      </c>
    </row>
    <row r="1143" spans="1:28" x14ac:dyDescent="0.25">
      <c r="A1143" s="2">
        <v>618</v>
      </c>
      <c r="B1143" t="s">
        <v>2662</v>
      </c>
      <c r="C1143" t="s">
        <v>2245</v>
      </c>
      <c r="D1143" t="s">
        <v>225</v>
      </c>
      <c r="E1143" t="s">
        <v>2663</v>
      </c>
      <c r="F1143" t="s">
        <v>2664</v>
      </c>
      <c r="G1143" s="1">
        <v>45012</v>
      </c>
      <c r="H1143" s="1">
        <v>73050</v>
      </c>
      <c r="I1143" s="1" t="e">
        <v>#N/A</v>
      </c>
      <c r="J1143" s="2" t="s">
        <v>408</v>
      </c>
      <c r="K1143" t="s">
        <v>2665</v>
      </c>
      <c r="M1143" s="16" t="s">
        <v>8359</v>
      </c>
      <c r="N1143" s="16" t="str">
        <f>VLOOKUP(M1143,Tab_Zast[[Zastávka]:[Sloupec1]],2,0)</f>
        <v>40</v>
      </c>
      <c r="O1143" t="s">
        <v>2666</v>
      </c>
      <c r="P1143">
        <v>1</v>
      </c>
      <c r="Q1143">
        <v>0</v>
      </c>
      <c r="R1143" t="s">
        <v>129</v>
      </c>
      <c r="S1143" t="s">
        <v>31</v>
      </c>
      <c r="T1143" t="s">
        <v>32</v>
      </c>
      <c r="V1143" s="1" t="e">
        <v>#N/A</v>
      </c>
      <c r="W1143" t="s">
        <v>47</v>
      </c>
      <c r="X1143">
        <v>1</v>
      </c>
      <c r="Y1143">
        <v>0</v>
      </c>
      <c r="AA1143" t="str">
        <f t="shared" si="34"/>
        <v>update zamestnanci set nastup='40' where id='618';</v>
      </c>
      <c r="AB1143" t="str">
        <f t="shared" si="35"/>
        <v>update dochazka set zastavka = '40' where zamestnanec = '618';</v>
      </c>
    </row>
    <row r="1144" spans="1:28" x14ac:dyDescent="0.25">
      <c r="A1144" s="2">
        <v>622</v>
      </c>
      <c r="B1144" t="s">
        <v>2684</v>
      </c>
      <c r="D1144" t="s">
        <v>225</v>
      </c>
      <c r="E1144" t="s">
        <v>2685</v>
      </c>
      <c r="F1144" t="s">
        <v>452</v>
      </c>
      <c r="G1144" s="1">
        <v>45063</v>
      </c>
      <c r="H1144" s="1">
        <v>45280</v>
      </c>
      <c r="I1144" s="1" t="e">
        <v>#N/A</v>
      </c>
      <c r="J1144" s="2" t="s">
        <v>408</v>
      </c>
      <c r="K1144" t="s">
        <v>2686</v>
      </c>
      <c r="M1144" s="16" t="s">
        <v>8359</v>
      </c>
      <c r="N1144" s="16" t="str">
        <f>VLOOKUP(M1144,Tab_Zast[[Zastávka]:[Sloupec1]],2,0)</f>
        <v>40</v>
      </c>
      <c r="O1144" t="s">
        <v>2666</v>
      </c>
      <c r="P1144">
        <v>1</v>
      </c>
      <c r="Q1144">
        <v>0</v>
      </c>
      <c r="R1144" t="s">
        <v>31</v>
      </c>
      <c r="S1144" t="s">
        <v>31</v>
      </c>
      <c r="T1144" t="s">
        <v>32</v>
      </c>
      <c r="V1144" s="1" t="e">
        <v>#N/A</v>
      </c>
      <c r="W1144" t="s">
        <v>47</v>
      </c>
      <c r="X1144">
        <v>0</v>
      </c>
      <c r="Y1144">
        <v>0</v>
      </c>
      <c r="Z1144" t="s">
        <v>40</v>
      </c>
      <c r="AA1144" t="str">
        <f t="shared" si="34"/>
        <v>update zamestnanci set nastup='40' where id='622';</v>
      </c>
      <c r="AB1144" t="str">
        <f t="shared" si="35"/>
        <v>update dochazka set zastavka = '40' where zamestnanec = '622';</v>
      </c>
    </row>
    <row r="1145" spans="1:28" x14ac:dyDescent="0.25">
      <c r="A1145" s="2">
        <v>637</v>
      </c>
      <c r="B1145" t="s">
        <v>2754</v>
      </c>
      <c r="C1145" t="s">
        <v>2754</v>
      </c>
      <c r="D1145" t="s">
        <v>2755</v>
      </c>
      <c r="E1145" t="s">
        <v>2756</v>
      </c>
      <c r="F1145" t="s">
        <v>2757</v>
      </c>
      <c r="G1145" s="1">
        <v>45215</v>
      </c>
      <c r="H1145" s="1">
        <v>45471</v>
      </c>
      <c r="I1145" s="1">
        <v>73050</v>
      </c>
      <c r="J1145" s="2" t="s">
        <v>261</v>
      </c>
      <c r="K1145" t="s">
        <v>2758</v>
      </c>
      <c r="M1145" s="16" t="s">
        <v>8303</v>
      </c>
      <c r="N1145" s="16" t="str">
        <f>VLOOKUP(M1145,Tab_Zast[[Zastávka]:[Sloupec1]],2,0)</f>
        <v>17</v>
      </c>
      <c r="O1145" t="s">
        <v>2759</v>
      </c>
      <c r="P1145">
        <v>1</v>
      </c>
      <c r="Q1145">
        <v>0</v>
      </c>
      <c r="R1145" t="s">
        <v>31</v>
      </c>
      <c r="S1145" t="s">
        <v>31</v>
      </c>
      <c r="T1145" t="s">
        <v>32</v>
      </c>
      <c r="V1145" s="1" t="e">
        <v>#N/A</v>
      </c>
      <c r="W1145" t="s">
        <v>47</v>
      </c>
      <c r="X1145">
        <v>0</v>
      </c>
      <c r="Y1145">
        <v>0</v>
      </c>
      <c r="AA1145" t="str">
        <f t="shared" si="34"/>
        <v>update zamestnanci set nastup='17' where id='637';</v>
      </c>
      <c r="AB1145" t="str">
        <f t="shared" si="35"/>
        <v>update dochazka set zastavka = '17' where zamestnanec = '637';</v>
      </c>
    </row>
    <row r="1146" spans="1:28" x14ac:dyDescent="0.25">
      <c r="A1146" s="2">
        <v>701</v>
      </c>
      <c r="B1146" t="s">
        <v>3103</v>
      </c>
      <c r="D1146" t="s">
        <v>3104</v>
      </c>
      <c r="E1146" t="s">
        <v>3105</v>
      </c>
      <c r="F1146" t="s">
        <v>801</v>
      </c>
      <c r="G1146" s="1">
        <v>45261</v>
      </c>
      <c r="H1146" s="1">
        <v>45299</v>
      </c>
      <c r="I1146" s="1" t="e">
        <v>#N/A</v>
      </c>
      <c r="J1146" s="2" t="s">
        <v>357</v>
      </c>
      <c r="K1146" t="s">
        <v>3106</v>
      </c>
      <c r="M1146" s="16" t="s">
        <v>8551</v>
      </c>
      <c r="N1146" s="16" t="str">
        <f>VLOOKUP(M1146,Tab_Zast[[Zastávka]:[Sloupec1]],2,0)</f>
        <v>00</v>
      </c>
      <c r="O1146" t="s">
        <v>3107</v>
      </c>
      <c r="P1146">
        <v>4</v>
      </c>
      <c r="Q1146">
        <v>0</v>
      </c>
      <c r="R1146" t="s">
        <v>31</v>
      </c>
      <c r="S1146" t="s">
        <v>31</v>
      </c>
      <c r="T1146" t="s">
        <v>32</v>
      </c>
      <c r="V1146" s="1" t="e">
        <v>#N/A</v>
      </c>
      <c r="W1146" t="s">
        <v>62</v>
      </c>
      <c r="X1146">
        <v>0</v>
      </c>
      <c r="Y1146">
        <v>0</v>
      </c>
      <c r="Z1146" t="s">
        <v>40</v>
      </c>
      <c r="AA1146" t="str">
        <f t="shared" si="34"/>
        <v/>
      </c>
      <c r="AB1146" t="str">
        <f t="shared" si="35"/>
        <v/>
      </c>
    </row>
    <row r="1147" spans="1:28" x14ac:dyDescent="0.25">
      <c r="A1147" s="2">
        <v>703</v>
      </c>
      <c r="B1147" t="s">
        <v>3114</v>
      </c>
      <c r="C1147" t="s">
        <v>3115</v>
      </c>
      <c r="D1147" t="s">
        <v>3116</v>
      </c>
      <c r="E1147" t="s">
        <v>3117</v>
      </c>
      <c r="F1147" t="s">
        <v>911</v>
      </c>
      <c r="G1147" s="1">
        <v>45264</v>
      </c>
      <c r="H1147" s="1">
        <v>45457</v>
      </c>
      <c r="I1147" s="1">
        <v>73050</v>
      </c>
      <c r="J1147" s="2" t="s">
        <v>357</v>
      </c>
      <c r="K1147" t="s">
        <v>3118</v>
      </c>
      <c r="M1147" s="16" t="s">
        <v>8551</v>
      </c>
      <c r="N1147" s="16" t="str">
        <f>VLOOKUP(M1147,Tab_Zast[[Zastávka]:[Sloupec1]],2,0)</f>
        <v>00</v>
      </c>
      <c r="O1147" t="s">
        <v>3119</v>
      </c>
      <c r="P1147">
        <v>4</v>
      </c>
      <c r="Q1147">
        <v>0</v>
      </c>
      <c r="R1147" t="s">
        <v>31</v>
      </c>
      <c r="S1147" t="s">
        <v>31</v>
      </c>
      <c r="T1147" t="s">
        <v>32</v>
      </c>
      <c r="V1147" s="1" t="e">
        <v>#N/A</v>
      </c>
      <c r="W1147" t="s">
        <v>62</v>
      </c>
      <c r="X1147">
        <v>0</v>
      </c>
      <c r="Y1147">
        <v>0</v>
      </c>
      <c r="Z1147" t="s">
        <v>54</v>
      </c>
      <c r="AA1147" t="str">
        <f t="shared" si="34"/>
        <v/>
      </c>
      <c r="AB1147" t="str">
        <f t="shared" si="35"/>
        <v/>
      </c>
    </row>
    <row r="1148" spans="1:28" x14ac:dyDescent="0.25">
      <c r="A1148" s="2">
        <v>714</v>
      </c>
      <c r="B1148" t="s">
        <v>3167</v>
      </c>
      <c r="D1148" t="s">
        <v>3168</v>
      </c>
      <c r="E1148" t="s">
        <v>3122</v>
      </c>
      <c r="F1148" t="s">
        <v>3169</v>
      </c>
      <c r="G1148" s="1">
        <v>45274</v>
      </c>
      <c r="H1148" s="1">
        <v>45300</v>
      </c>
      <c r="I1148" s="1">
        <v>73050</v>
      </c>
      <c r="J1148" s="2" t="s">
        <v>437</v>
      </c>
      <c r="K1148" t="s">
        <v>3170</v>
      </c>
      <c r="M1148" s="16" t="s">
        <v>8371</v>
      </c>
      <c r="N1148" s="16" t="str">
        <f>VLOOKUP(M1148,Tab_Zast[[Zastávka]:[Sloupec1]],2,0)</f>
        <v>45</v>
      </c>
      <c r="O1148" t="s">
        <v>3171</v>
      </c>
      <c r="P1148">
        <v>6</v>
      </c>
      <c r="Q1148">
        <v>0</v>
      </c>
      <c r="R1148" t="s">
        <v>31</v>
      </c>
      <c r="S1148" t="s">
        <v>31</v>
      </c>
      <c r="T1148" t="s">
        <v>32</v>
      </c>
      <c r="V1148" s="1" t="e">
        <v>#N/A</v>
      </c>
      <c r="W1148" t="s">
        <v>1216</v>
      </c>
      <c r="X1148">
        <v>0</v>
      </c>
      <c r="Y1148">
        <v>0</v>
      </c>
      <c r="Z1148" t="s">
        <v>54</v>
      </c>
      <c r="AA1148" t="str">
        <f t="shared" si="34"/>
        <v>update zamestnanci set nastup='45' where id='714';</v>
      </c>
      <c r="AB1148" t="str">
        <f t="shared" si="35"/>
        <v>update dochazka set zastavka = '45' where zamestnanec = '714';</v>
      </c>
    </row>
    <row r="1149" spans="1:28" x14ac:dyDescent="0.25">
      <c r="A1149" s="2">
        <v>725</v>
      </c>
      <c r="B1149" t="s">
        <v>3218</v>
      </c>
      <c r="D1149" t="s">
        <v>3214</v>
      </c>
      <c r="E1149" t="s">
        <v>3219</v>
      </c>
      <c r="F1149" t="s">
        <v>170</v>
      </c>
      <c r="G1149" s="1">
        <v>45293</v>
      </c>
      <c r="H1149" s="1">
        <v>45334</v>
      </c>
      <c r="I1149" s="1">
        <v>73050</v>
      </c>
      <c r="J1149" s="2" t="s">
        <v>357</v>
      </c>
      <c r="K1149" t="s">
        <v>3220</v>
      </c>
      <c r="M1149" s="16" t="s">
        <v>8551</v>
      </c>
      <c r="N1149" s="16" t="str">
        <f>VLOOKUP(M1149,Tab_Zast[[Zastávka]:[Sloupec1]],2,0)</f>
        <v>00</v>
      </c>
      <c r="O1149" t="s">
        <v>3217</v>
      </c>
      <c r="P1149">
        <v>4</v>
      </c>
      <c r="Q1149">
        <v>0</v>
      </c>
      <c r="R1149" t="s">
        <v>31</v>
      </c>
      <c r="S1149" t="s">
        <v>31</v>
      </c>
      <c r="T1149" t="s">
        <v>32</v>
      </c>
      <c r="V1149" s="1" t="e">
        <v>#N/A</v>
      </c>
      <c r="W1149" t="s">
        <v>62</v>
      </c>
      <c r="X1149">
        <v>0</v>
      </c>
      <c r="Y1149">
        <v>0</v>
      </c>
      <c r="Z1149" t="s">
        <v>54</v>
      </c>
      <c r="AA1149" t="str">
        <f t="shared" si="34"/>
        <v/>
      </c>
      <c r="AB1149" t="str">
        <f t="shared" si="35"/>
        <v/>
      </c>
    </row>
    <row r="1150" spans="1:28" x14ac:dyDescent="0.25">
      <c r="A1150" s="2">
        <v>772</v>
      </c>
      <c r="B1150" t="s">
        <v>3445</v>
      </c>
      <c r="D1150" t="s">
        <v>3446</v>
      </c>
      <c r="E1150" t="s">
        <v>3152</v>
      </c>
      <c r="F1150" t="s">
        <v>3447</v>
      </c>
      <c r="G1150" s="1">
        <v>45321</v>
      </c>
      <c r="H1150" s="1">
        <v>45345</v>
      </c>
      <c r="I1150" s="1">
        <v>73050</v>
      </c>
      <c r="J1150" s="2" t="s">
        <v>8446</v>
      </c>
      <c r="K1150" t="s">
        <v>3448</v>
      </c>
      <c r="M1150" s="16" t="s">
        <v>8447</v>
      </c>
      <c r="N1150" s="16" t="str">
        <f>VLOOKUP(M1150,Tab_Zast[[Zastávka]:[Sloupec1]],2,0)</f>
        <v>73</v>
      </c>
      <c r="O1150" t="s">
        <v>3449</v>
      </c>
      <c r="P1150">
        <v>3</v>
      </c>
      <c r="Q1150">
        <v>0</v>
      </c>
      <c r="R1150" t="s">
        <v>31</v>
      </c>
      <c r="S1150" t="s">
        <v>31</v>
      </c>
      <c r="T1150" t="s">
        <v>32</v>
      </c>
      <c r="V1150" s="1" t="e">
        <v>#N/A</v>
      </c>
      <c r="W1150" t="s">
        <v>493</v>
      </c>
      <c r="X1150">
        <v>0</v>
      </c>
      <c r="Y1150">
        <v>0</v>
      </c>
      <c r="Z1150" t="s">
        <v>40</v>
      </c>
      <c r="AA1150" t="str">
        <f t="shared" si="34"/>
        <v>update zamestnanci set nastup='73' where id='772';</v>
      </c>
      <c r="AB1150" t="str">
        <f t="shared" si="35"/>
        <v>update dochazka set zastavka = '73' where zamestnanec = '772';</v>
      </c>
    </row>
    <row r="1151" spans="1:28" x14ac:dyDescent="0.25">
      <c r="A1151" s="2">
        <v>840</v>
      </c>
      <c r="B1151" t="s">
        <v>3796</v>
      </c>
      <c r="D1151" t="s">
        <v>3797</v>
      </c>
      <c r="E1151" t="s">
        <v>3798</v>
      </c>
      <c r="F1151" t="s">
        <v>3799</v>
      </c>
      <c r="G1151" s="1">
        <v>45355</v>
      </c>
      <c r="H1151" s="1">
        <v>45390</v>
      </c>
      <c r="I1151" s="1">
        <v>73050</v>
      </c>
      <c r="J1151" s="2" t="s">
        <v>357</v>
      </c>
      <c r="K1151" t="s">
        <v>3800</v>
      </c>
      <c r="M1151" s="16" t="s">
        <v>8551</v>
      </c>
      <c r="N1151" s="16" t="str">
        <f>VLOOKUP(M1151,Tab_Zast[[Zastávka]:[Sloupec1]],2,0)</f>
        <v>00</v>
      </c>
      <c r="O1151" t="s">
        <v>3801</v>
      </c>
      <c r="P1151">
        <v>4</v>
      </c>
      <c r="Q1151">
        <v>0</v>
      </c>
      <c r="R1151" t="s">
        <v>31</v>
      </c>
      <c r="S1151" t="s">
        <v>31</v>
      </c>
      <c r="T1151" t="s">
        <v>103</v>
      </c>
      <c r="V1151" s="1" t="e">
        <v>#N/A</v>
      </c>
      <c r="W1151" t="s">
        <v>62</v>
      </c>
      <c r="X1151">
        <v>0</v>
      </c>
      <c r="Y1151">
        <v>0</v>
      </c>
      <c r="Z1151" t="s">
        <v>54</v>
      </c>
      <c r="AA1151" t="str">
        <f t="shared" si="34"/>
        <v/>
      </c>
      <c r="AB1151" t="str">
        <f t="shared" si="35"/>
        <v/>
      </c>
    </row>
    <row r="1152" spans="1:28" x14ac:dyDescent="0.25">
      <c r="A1152" s="2">
        <v>841</v>
      </c>
      <c r="B1152" t="s">
        <v>3802</v>
      </c>
      <c r="C1152" t="s">
        <v>3803</v>
      </c>
      <c r="D1152" t="s">
        <v>2657</v>
      </c>
      <c r="E1152" t="s">
        <v>1744</v>
      </c>
      <c r="F1152" t="s">
        <v>3804</v>
      </c>
      <c r="G1152" s="1">
        <v>45355</v>
      </c>
      <c r="H1152" s="1">
        <v>45517</v>
      </c>
      <c r="I1152" s="1">
        <v>73050</v>
      </c>
      <c r="J1152" s="2" t="s">
        <v>230</v>
      </c>
      <c r="K1152" t="s">
        <v>3805</v>
      </c>
      <c r="M1152" s="16" t="s">
        <v>8287</v>
      </c>
      <c r="N1152" s="16" t="str">
        <f>VLOOKUP(M1152,Tab_Zast[[Zastávka]:[Sloupec1]],2,0)</f>
        <v>12</v>
      </c>
      <c r="O1152" t="s">
        <v>3806</v>
      </c>
      <c r="P1152">
        <v>3</v>
      </c>
      <c r="Q1152">
        <v>0</v>
      </c>
      <c r="R1152" t="s">
        <v>31</v>
      </c>
      <c r="S1152" t="s">
        <v>31</v>
      </c>
      <c r="T1152" t="s">
        <v>32</v>
      </c>
      <c r="V1152" s="1" t="e">
        <v>#N/A</v>
      </c>
      <c r="W1152" t="s">
        <v>3091</v>
      </c>
      <c r="X1152">
        <v>0</v>
      </c>
      <c r="Y1152">
        <v>0</v>
      </c>
      <c r="AA1152" t="str">
        <f t="shared" si="34"/>
        <v>update zamestnanci set nastup='12' where id='841';</v>
      </c>
      <c r="AB1152" t="str">
        <f t="shared" si="35"/>
        <v>update dochazka set zastavka = '12' where zamestnanec = '841';</v>
      </c>
    </row>
    <row r="1153" spans="1:28" x14ac:dyDescent="0.25">
      <c r="A1153" s="2">
        <v>879</v>
      </c>
      <c r="B1153" t="s">
        <v>3970</v>
      </c>
      <c r="D1153" t="s">
        <v>3971</v>
      </c>
      <c r="E1153" t="s">
        <v>3373</v>
      </c>
      <c r="F1153" t="s">
        <v>67</v>
      </c>
      <c r="G1153" s="1">
        <v>45384</v>
      </c>
      <c r="H1153" s="1">
        <v>45384</v>
      </c>
      <c r="I1153" s="1">
        <v>45384</v>
      </c>
      <c r="J1153" s="2" t="s">
        <v>642</v>
      </c>
      <c r="K1153" t="s">
        <v>3972</v>
      </c>
      <c r="M1153" s="16" t="s">
        <v>8457</v>
      </c>
      <c r="N1153" s="16" t="str">
        <f>VLOOKUP(M1153,Tab_Zast[[Zastávka]:[Sloupec1]],2,0)</f>
        <v>77</v>
      </c>
      <c r="O1153" t="s">
        <v>3973</v>
      </c>
      <c r="P1153">
        <v>3</v>
      </c>
      <c r="Q1153">
        <v>0</v>
      </c>
      <c r="R1153" t="s">
        <v>31</v>
      </c>
      <c r="S1153" t="s">
        <v>31</v>
      </c>
      <c r="T1153" t="s">
        <v>32</v>
      </c>
      <c r="V1153" s="1" t="e">
        <v>#N/A</v>
      </c>
      <c r="W1153" t="s">
        <v>493</v>
      </c>
      <c r="X1153">
        <v>0</v>
      </c>
      <c r="Y1153">
        <v>222</v>
      </c>
      <c r="AA1153" t="str">
        <f t="shared" si="34"/>
        <v>update zamestnanci set nastup='77' where id='879';</v>
      </c>
      <c r="AB1153" t="str">
        <f t="shared" si="35"/>
        <v>update dochazka set zastavka = '77' where zamestnanec = '879';</v>
      </c>
    </row>
    <row r="1154" spans="1:28" x14ac:dyDescent="0.25">
      <c r="A1154" s="2">
        <v>967</v>
      </c>
      <c r="B1154" t="s">
        <v>4377</v>
      </c>
      <c r="C1154" t="s">
        <v>1394</v>
      </c>
      <c r="D1154" t="s">
        <v>2321</v>
      </c>
      <c r="E1154" t="s">
        <v>4378</v>
      </c>
      <c r="F1154" t="s">
        <v>4379</v>
      </c>
      <c r="G1154" s="1">
        <v>45442</v>
      </c>
      <c r="H1154" s="1">
        <v>45517</v>
      </c>
      <c r="I1154" s="1">
        <v>73050</v>
      </c>
      <c r="J1154" s="2" t="s">
        <v>230</v>
      </c>
      <c r="K1154" t="s">
        <v>4380</v>
      </c>
      <c r="M1154" s="16" t="s">
        <v>8287</v>
      </c>
      <c r="N1154" s="16" t="str">
        <f>VLOOKUP(M1154,Tab_Zast[[Zastávka]:[Sloupec1]],2,0)</f>
        <v>12</v>
      </c>
      <c r="O1154" t="s">
        <v>4381</v>
      </c>
      <c r="P1154">
        <v>3</v>
      </c>
      <c r="Q1154">
        <v>0</v>
      </c>
      <c r="R1154" t="s">
        <v>31</v>
      </c>
      <c r="S1154" t="s">
        <v>31</v>
      </c>
      <c r="T1154" t="s">
        <v>32</v>
      </c>
      <c r="V1154" s="1" t="e">
        <v>#N/A</v>
      </c>
      <c r="W1154" t="s">
        <v>3091</v>
      </c>
      <c r="X1154">
        <v>0</v>
      </c>
      <c r="Y1154">
        <v>358</v>
      </c>
      <c r="AA1154" t="str">
        <f t="shared" si="34"/>
        <v>update zamestnanci set nastup='12' where id='967';</v>
      </c>
      <c r="AB1154" t="str">
        <f t="shared" si="35"/>
        <v>update dochazka set zastavka = '12' where zamestnanec = '967';</v>
      </c>
    </row>
    <row r="1155" spans="1:28" x14ac:dyDescent="0.25">
      <c r="A1155" s="2">
        <v>968</v>
      </c>
      <c r="B1155" t="s">
        <v>4382</v>
      </c>
      <c r="C1155" t="s">
        <v>1394</v>
      </c>
      <c r="D1155" t="s">
        <v>4383</v>
      </c>
      <c r="E1155" t="s">
        <v>2705</v>
      </c>
      <c r="F1155" t="s">
        <v>4384</v>
      </c>
      <c r="G1155" s="1">
        <v>45442</v>
      </c>
      <c r="H1155" s="1">
        <v>45517</v>
      </c>
      <c r="I1155" s="1">
        <v>73050</v>
      </c>
      <c r="J1155" s="2" t="s">
        <v>230</v>
      </c>
      <c r="K1155" t="s">
        <v>4385</v>
      </c>
      <c r="M1155" s="16" t="s">
        <v>8287</v>
      </c>
      <c r="N1155" s="16" t="str">
        <f>VLOOKUP(M1155,Tab_Zast[[Zastávka]:[Sloupec1]],2,0)</f>
        <v>12</v>
      </c>
      <c r="O1155" t="s">
        <v>4386</v>
      </c>
      <c r="P1155">
        <v>3</v>
      </c>
      <c r="Q1155">
        <v>0</v>
      </c>
      <c r="R1155" t="s">
        <v>31</v>
      </c>
      <c r="S1155" t="s">
        <v>31</v>
      </c>
      <c r="T1155" t="s">
        <v>32</v>
      </c>
      <c r="V1155" s="1" t="e">
        <v>#N/A</v>
      </c>
      <c r="W1155" t="s">
        <v>3091</v>
      </c>
      <c r="X1155">
        <v>0</v>
      </c>
      <c r="Y1155">
        <v>359</v>
      </c>
      <c r="AA1155" t="str">
        <f t="shared" si="34"/>
        <v>update zamestnanci set nastup='12' where id='968';</v>
      </c>
      <c r="AB1155" t="str">
        <f t="shared" si="35"/>
        <v>update dochazka set zastavka = '12' where zamestnanec = '968';</v>
      </c>
    </row>
    <row r="1156" spans="1:28" x14ac:dyDescent="0.25">
      <c r="A1156" s="2">
        <v>971</v>
      </c>
      <c r="B1156" t="s">
        <v>4397</v>
      </c>
      <c r="C1156" t="s">
        <v>4398</v>
      </c>
      <c r="D1156" t="s">
        <v>4399</v>
      </c>
      <c r="E1156" t="s">
        <v>4253</v>
      </c>
      <c r="F1156" t="s">
        <v>4400</v>
      </c>
      <c r="G1156" s="1">
        <v>45446</v>
      </c>
      <c r="H1156" s="1" t="e">
        <v>#N/A</v>
      </c>
      <c r="I1156" s="1" t="e">
        <v>#N/A</v>
      </c>
      <c r="J1156" s="2" t="s">
        <v>8430</v>
      </c>
      <c r="K1156" t="s">
        <v>4401</v>
      </c>
      <c r="M1156" s="16" t="s">
        <v>8431</v>
      </c>
      <c r="N1156" s="16" t="str">
        <f>VLOOKUP(M1156,Tab_Zast[[Zastávka]:[Sloupec1]],2,0)</f>
        <v>69</v>
      </c>
      <c r="O1156" t="s">
        <v>4402</v>
      </c>
      <c r="P1156">
        <v>6</v>
      </c>
      <c r="Q1156">
        <v>0</v>
      </c>
      <c r="R1156" t="s">
        <v>179</v>
      </c>
      <c r="S1156" t="s">
        <v>31</v>
      </c>
      <c r="T1156" t="s">
        <v>32</v>
      </c>
      <c r="V1156" s="1" t="e">
        <v>#N/A</v>
      </c>
      <c r="W1156" t="s">
        <v>1216</v>
      </c>
      <c r="X1156">
        <v>1</v>
      </c>
      <c r="Y1156">
        <v>366</v>
      </c>
      <c r="AA1156" t="str">
        <f t="shared" ref="AA1156:AA1219" si="36">IF(J1156&lt;&gt;"00","update zamestnanci set nastup='" &amp; J1156 &amp; "' where id='" &amp; A1156 &amp; "';","")</f>
        <v>update zamestnanci set nastup='69' where id='971';</v>
      </c>
      <c r="AB1156" t="str">
        <f t="shared" ref="AB1156:AB1219" si="37">IF(J1156&lt;&gt;"00","update dochazka set zastavka = '" &amp; J1156 &amp; "' where zamestnanec = '" &amp; A1156 &amp; "';","")</f>
        <v>update dochazka set zastavka = '69' where zamestnanec = '971';</v>
      </c>
    </row>
    <row r="1157" spans="1:28" x14ac:dyDescent="0.25">
      <c r="A1157" s="2">
        <v>974</v>
      </c>
      <c r="B1157" t="s">
        <v>4406</v>
      </c>
      <c r="C1157" t="s">
        <v>64</v>
      </c>
      <c r="D1157" t="s">
        <v>4407</v>
      </c>
      <c r="E1157" t="s">
        <v>755</v>
      </c>
      <c r="F1157" t="s">
        <v>64</v>
      </c>
      <c r="G1157" s="1">
        <v>45446</v>
      </c>
      <c r="H1157" s="1">
        <v>45770</v>
      </c>
      <c r="I1157" s="1">
        <v>73050</v>
      </c>
      <c r="J1157" s="2" t="s">
        <v>357</v>
      </c>
      <c r="K1157" t="s">
        <v>4408</v>
      </c>
      <c r="M1157" s="16" t="s">
        <v>8551</v>
      </c>
      <c r="N1157" s="16" t="str">
        <f>VLOOKUP(M1157,Tab_Zast[[Zastávka]:[Sloupec1]],2,0)</f>
        <v>00</v>
      </c>
      <c r="O1157" t="s">
        <v>4409</v>
      </c>
      <c r="P1157">
        <v>8</v>
      </c>
      <c r="Q1157">
        <v>0</v>
      </c>
      <c r="R1157" t="s">
        <v>31</v>
      </c>
      <c r="S1157" t="s">
        <v>31</v>
      </c>
      <c r="T1157" t="s">
        <v>32</v>
      </c>
      <c r="V1157" s="1" t="e">
        <v>#N/A</v>
      </c>
      <c r="W1157" t="s">
        <v>493</v>
      </c>
      <c r="X1157">
        <v>0</v>
      </c>
      <c r="Y1157">
        <v>365</v>
      </c>
      <c r="AA1157" t="str">
        <f t="shared" si="36"/>
        <v/>
      </c>
      <c r="AB1157" t="str">
        <f t="shared" si="37"/>
        <v/>
      </c>
    </row>
    <row r="1158" spans="1:28" x14ac:dyDescent="0.25">
      <c r="A1158" s="2">
        <v>980</v>
      </c>
      <c r="B1158" t="s">
        <v>4434</v>
      </c>
      <c r="C1158" t="s">
        <v>1394</v>
      </c>
      <c r="D1158" t="s">
        <v>4435</v>
      </c>
      <c r="E1158" t="s">
        <v>3341</v>
      </c>
      <c r="F1158" t="s">
        <v>4436</v>
      </c>
      <c r="G1158" s="1">
        <v>45447</v>
      </c>
      <c r="H1158" s="1">
        <v>45471</v>
      </c>
      <c r="I1158" s="1">
        <v>73050</v>
      </c>
      <c r="J1158" s="2" t="s">
        <v>1326</v>
      </c>
      <c r="K1158" t="s">
        <v>4437</v>
      </c>
      <c r="M1158" s="16" t="s">
        <v>8381</v>
      </c>
      <c r="N1158" s="16" t="str">
        <f>VLOOKUP(M1158,Tab_Zast[[Zastávka]:[Sloupec1]],2,0)</f>
        <v>49</v>
      </c>
      <c r="O1158" t="s">
        <v>4438</v>
      </c>
      <c r="P1158">
        <v>3</v>
      </c>
      <c r="Q1158">
        <v>0</v>
      </c>
      <c r="R1158" t="s">
        <v>31</v>
      </c>
      <c r="S1158" t="s">
        <v>31</v>
      </c>
      <c r="T1158" t="s">
        <v>32</v>
      </c>
      <c r="V1158" s="1" t="e">
        <v>#N/A</v>
      </c>
      <c r="W1158" t="s">
        <v>3091</v>
      </c>
      <c r="X1158">
        <v>0</v>
      </c>
      <c r="Y1158">
        <v>377</v>
      </c>
      <c r="AA1158" t="str">
        <f t="shared" si="36"/>
        <v>update zamestnanci set nastup='49' where id='980';</v>
      </c>
      <c r="AB1158" t="str">
        <f t="shared" si="37"/>
        <v>update dochazka set zastavka = '49' where zamestnanec = '980';</v>
      </c>
    </row>
    <row r="1159" spans="1:28" x14ac:dyDescent="0.25">
      <c r="A1159" s="2">
        <v>1000</v>
      </c>
      <c r="B1159" t="s">
        <v>4517</v>
      </c>
      <c r="C1159" t="s">
        <v>1394</v>
      </c>
      <c r="D1159" t="s">
        <v>2995</v>
      </c>
      <c r="E1159" t="s">
        <v>2613</v>
      </c>
      <c r="F1159" t="s">
        <v>4518</v>
      </c>
      <c r="G1159" s="1">
        <v>45453</v>
      </c>
      <c r="H1159" s="1">
        <v>45471</v>
      </c>
      <c r="I1159" s="1">
        <v>73050</v>
      </c>
      <c r="J1159" s="2" t="s">
        <v>8426</v>
      </c>
      <c r="K1159" t="s">
        <v>2997</v>
      </c>
      <c r="M1159" s="16" t="s">
        <v>8427</v>
      </c>
      <c r="N1159" s="16" t="str">
        <f>VLOOKUP(M1159,Tab_Zast[[Zastávka]:[Sloupec1]],2,0)</f>
        <v>67</v>
      </c>
      <c r="O1159" t="s">
        <v>4519</v>
      </c>
      <c r="P1159">
        <v>3</v>
      </c>
      <c r="Q1159">
        <v>0</v>
      </c>
      <c r="R1159" t="s">
        <v>31</v>
      </c>
      <c r="S1159" t="s">
        <v>31</v>
      </c>
      <c r="T1159" t="s">
        <v>32</v>
      </c>
      <c r="V1159" s="1" t="e">
        <v>#N/A</v>
      </c>
      <c r="W1159" t="s">
        <v>3091</v>
      </c>
      <c r="X1159">
        <v>0</v>
      </c>
      <c r="Y1159">
        <v>392</v>
      </c>
      <c r="AA1159" t="str">
        <f t="shared" si="36"/>
        <v>update zamestnanci set nastup='67' where id='1000';</v>
      </c>
      <c r="AB1159" t="str">
        <f t="shared" si="37"/>
        <v>update dochazka set zastavka = '67' where zamestnanec = '1000';</v>
      </c>
    </row>
    <row r="1160" spans="1:28" x14ac:dyDescent="0.25">
      <c r="A1160" s="2">
        <v>1019</v>
      </c>
      <c r="B1160" t="s">
        <v>4586</v>
      </c>
      <c r="C1160" t="s">
        <v>1394</v>
      </c>
      <c r="D1160" t="s">
        <v>4587</v>
      </c>
      <c r="E1160" t="s">
        <v>701</v>
      </c>
      <c r="F1160" t="s">
        <v>4588</v>
      </c>
      <c r="G1160" s="1">
        <v>45461</v>
      </c>
      <c r="H1160" s="1">
        <v>73050</v>
      </c>
      <c r="I1160" s="1" t="e">
        <v>#N/A</v>
      </c>
      <c r="J1160" s="2" t="s">
        <v>555</v>
      </c>
      <c r="K1160" t="s">
        <v>4589</v>
      </c>
      <c r="M1160" s="16" t="s">
        <v>8420</v>
      </c>
      <c r="N1160" s="16" t="str">
        <f>VLOOKUP(M1160,Tab_Zast[[Zastávka]:[Sloupec1]],2,0)</f>
        <v>62</v>
      </c>
      <c r="O1160" t="s">
        <v>4590</v>
      </c>
      <c r="P1160">
        <v>9</v>
      </c>
      <c r="Q1160">
        <v>0</v>
      </c>
      <c r="R1160" t="s">
        <v>129</v>
      </c>
      <c r="S1160" t="s">
        <v>31</v>
      </c>
      <c r="T1160" t="s">
        <v>32</v>
      </c>
      <c r="V1160" s="1" t="e">
        <v>#N/A</v>
      </c>
      <c r="W1160" t="s">
        <v>3091</v>
      </c>
      <c r="X1160">
        <v>1</v>
      </c>
      <c r="Y1160">
        <v>408</v>
      </c>
      <c r="AA1160" t="str">
        <f t="shared" si="36"/>
        <v>update zamestnanci set nastup='62' where id='1019';</v>
      </c>
      <c r="AB1160" t="str">
        <f t="shared" si="37"/>
        <v>update dochazka set zastavka = '62' where zamestnanec = '1019';</v>
      </c>
    </row>
    <row r="1161" spans="1:28" x14ac:dyDescent="0.25">
      <c r="A1161" s="2">
        <v>1035</v>
      </c>
      <c r="B1161" t="s">
        <v>4660</v>
      </c>
      <c r="C1161" t="s">
        <v>1394</v>
      </c>
      <c r="D1161" t="s">
        <v>4661</v>
      </c>
      <c r="E1161" t="s">
        <v>671</v>
      </c>
      <c r="F1161" t="s">
        <v>4662</v>
      </c>
      <c r="G1161" s="1">
        <v>45468</v>
      </c>
      <c r="H1161" s="1">
        <v>45535</v>
      </c>
      <c r="I1161" s="1">
        <v>73050</v>
      </c>
      <c r="J1161" s="2" t="s">
        <v>642</v>
      </c>
      <c r="K1161" t="s">
        <v>4663</v>
      </c>
      <c r="M1161" s="16" t="s">
        <v>8457</v>
      </c>
      <c r="N1161" s="16" t="str">
        <f>VLOOKUP(M1161,Tab_Zast[[Zastávka]:[Sloupec1]],2,0)</f>
        <v>77</v>
      </c>
      <c r="O1161" t="s">
        <v>4664</v>
      </c>
      <c r="P1161">
        <v>3</v>
      </c>
      <c r="Q1161">
        <v>0</v>
      </c>
      <c r="R1161" t="s">
        <v>31</v>
      </c>
      <c r="S1161" t="s">
        <v>31</v>
      </c>
      <c r="T1161" t="s">
        <v>32</v>
      </c>
      <c r="V1161" s="1" t="e">
        <v>#N/A</v>
      </c>
      <c r="W1161" t="s">
        <v>3091</v>
      </c>
      <c r="X1161">
        <v>0</v>
      </c>
      <c r="Y1161">
        <v>426</v>
      </c>
      <c r="AA1161" t="str">
        <f t="shared" si="36"/>
        <v>update zamestnanci set nastup='77' where id='1035';</v>
      </c>
      <c r="AB1161" t="str">
        <f t="shared" si="37"/>
        <v>update dochazka set zastavka = '77' where zamestnanec = '1035';</v>
      </c>
    </row>
    <row r="1162" spans="1:28" x14ac:dyDescent="0.25">
      <c r="A1162" s="2">
        <v>1042</v>
      </c>
      <c r="B1162" t="s">
        <v>4691</v>
      </c>
      <c r="C1162" t="s">
        <v>1394</v>
      </c>
      <c r="D1162" t="s">
        <v>3069</v>
      </c>
      <c r="E1162" t="s">
        <v>3070</v>
      </c>
      <c r="F1162" t="s">
        <v>4692</v>
      </c>
      <c r="G1162" s="1">
        <v>45468</v>
      </c>
      <c r="H1162" s="1">
        <v>45524</v>
      </c>
      <c r="I1162" s="1">
        <v>73050</v>
      </c>
      <c r="J1162" s="2" t="s">
        <v>8426</v>
      </c>
      <c r="K1162" t="s">
        <v>3072</v>
      </c>
      <c r="M1162" s="16" t="s">
        <v>8427</v>
      </c>
      <c r="N1162" s="16" t="str">
        <f>VLOOKUP(M1162,Tab_Zast[[Zastávka]:[Sloupec1]],2,0)</f>
        <v>67</v>
      </c>
      <c r="O1162" t="s">
        <v>4693</v>
      </c>
      <c r="P1162">
        <v>3</v>
      </c>
      <c r="Q1162">
        <v>0</v>
      </c>
      <c r="R1162" t="s">
        <v>31</v>
      </c>
      <c r="S1162" t="s">
        <v>31</v>
      </c>
      <c r="T1162" t="s">
        <v>32</v>
      </c>
      <c r="V1162" s="1" t="e">
        <v>#N/A</v>
      </c>
      <c r="W1162" t="s">
        <v>3091</v>
      </c>
      <c r="X1162">
        <v>0</v>
      </c>
      <c r="Y1162">
        <v>430</v>
      </c>
      <c r="AA1162" t="str">
        <f t="shared" si="36"/>
        <v>update zamestnanci set nastup='67' where id='1042';</v>
      </c>
      <c r="AB1162" t="str">
        <f t="shared" si="37"/>
        <v>update dochazka set zastavka = '67' where zamestnanec = '1042';</v>
      </c>
    </row>
    <row r="1163" spans="1:28" x14ac:dyDescent="0.25">
      <c r="A1163" s="2">
        <v>1067</v>
      </c>
      <c r="B1163" t="s">
        <v>167</v>
      </c>
      <c r="C1163" t="s">
        <v>64</v>
      </c>
      <c r="D1163" t="s">
        <v>4804</v>
      </c>
      <c r="E1163" t="s">
        <v>4805</v>
      </c>
      <c r="F1163" t="s">
        <v>64</v>
      </c>
      <c r="G1163" s="1">
        <v>45481</v>
      </c>
      <c r="H1163" s="1">
        <v>45481</v>
      </c>
      <c r="I1163" s="1">
        <v>45481</v>
      </c>
      <c r="J1163" s="2" t="s">
        <v>8426</v>
      </c>
      <c r="K1163" t="s">
        <v>167</v>
      </c>
      <c r="M1163" s="16" t="s">
        <v>8427</v>
      </c>
      <c r="N1163" s="16" t="str">
        <f>VLOOKUP(M1163,Tab_Zast[[Zastávka]:[Sloupec1]],2,0)</f>
        <v>67</v>
      </c>
      <c r="O1163" t="s">
        <v>4806</v>
      </c>
      <c r="P1163">
        <v>3</v>
      </c>
      <c r="Q1163">
        <v>0</v>
      </c>
      <c r="R1163" t="s">
        <v>31</v>
      </c>
      <c r="S1163" t="s">
        <v>31</v>
      </c>
      <c r="T1163" t="s">
        <v>32</v>
      </c>
      <c r="V1163" s="1" t="e">
        <v>#N/A</v>
      </c>
      <c r="W1163" t="s">
        <v>493</v>
      </c>
      <c r="X1163">
        <v>0</v>
      </c>
      <c r="Y1163">
        <v>0</v>
      </c>
      <c r="AA1163" t="str">
        <f t="shared" si="36"/>
        <v>update zamestnanci set nastup='67' where id='1067';</v>
      </c>
      <c r="AB1163" t="str">
        <f t="shared" si="37"/>
        <v>update dochazka set zastavka = '67' where zamestnanec = '1067';</v>
      </c>
    </row>
    <row r="1164" spans="1:28" x14ac:dyDescent="0.25">
      <c r="A1164" s="2">
        <v>1098</v>
      </c>
      <c r="B1164" t="s">
        <v>4936</v>
      </c>
      <c r="C1164" t="s">
        <v>151</v>
      </c>
      <c r="D1164" t="s">
        <v>4600</v>
      </c>
      <c r="E1164" t="s">
        <v>643</v>
      </c>
      <c r="F1164" t="s">
        <v>67</v>
      </c>
      <c r="G1164" s="1">
        <v>45496</v>
      </c>
      <c r="H1164" s="1">
        <v>45537</v>
      </c>
      <c r="I1164" s="1">
        <v>73050</v>
      </c>
      <c r="J1164" s="2" t="s">
        <v>642</v>
      </c>
      <c r="K1164" t="s">
        <v>4602</v>
      </c>
      <c r="M1164" s="16" t="s">
        <v>8457</v>
      </c>
      <c r="N1164" s="16" t="str">
        <f>VLOOKUP(M1164,Tab_Zast[[Zastávka]:[Sloupec1]],2,0)</f>
        <v>77</v>
      </c>
      <c r="O1164" t="s">
        <v>4603</v>
      </c>
      <c r="P1164">
        <v>3</v>
      </c>
      <c r="Q1164">
        <v>0</v>
      </c>
      <c r="R1164" t="s">
        <v>31</v>
      </c>
      <c r="S1164" t="s">
        <v>31</v>
      </c>
      <c r="T1164" t="s">
        <v>32</v>
      </c>
      <c r="V1164" s="1">
        <v>45523</v>
      </c>
      <c r="W1164" t="s">
        <v>493</v>
      </c>
      <c r="X1164">
        <v>0</v>
      </c>
      <c r="Y1164">
        <v>487</v>
      </c>
      <c r="AA1164" t="str">
        <f t="shared" si="36"/>
        <v>update zamestnanci set nastup='77' where id='1098';</v>
      </c>
      <c r="AB1164" t="str">
        <f t="shared" si="37"/>
        <v>update dochazka set zastavka = '77' where zamestnanec = '1098';</v>
      </c>
    </row>
    <row r="1165" spans="1:28" x14ac:dyDescent="0.25">
      <c r="A1165" s="2">
        <v>1099</v>
      </c>
      <c r="B1165" t="s">
        <v>4937</v>
      </c>
      <c r="C1165" t="s">
        <v>151</v>
      </c>
      <c r="D1165" t="s">
        <v>4938</v>
      </c>
      <c r="E1165" t="s">
        <v>3717</v>
      </c>
      <c r="F1165" t="s">
        <v>67</v>
      </c>
      <c r="G1165" s="1">
        <v>45496</v>
      </c>
      <c r="H1165" s="1">
        <v>45496</v>
      </c>
      <c r="I1165" s="1">
        <v>45496</v>
      </c>
      <c r="J1165" s="2" t="s">
        <v>8446</v>
      </c>
      <c r="K1165" t="s">
        <v>4939</v>
      </c>
      <c r="M1165" s="16" t="s">
        <v>8447</v>
      </c>
      <c r="N1165" s="16" t="str">
        <f>VLOOKUP(M1165,Tab_Zast[[Zastávka]:[Sloupec1]],2,0)</f>
        <v>73</v>
      </c>
      <c r="O1165" t="s">
        <v>4940</v>
      </c>
      <c r="P1165">
        <v>3</v>
      </c>
      <c r="Q1165">
        <v>0</v>
      </c>
      <c r="R1165" t="s">
        <v>31</v>
      </c>
      <c r="S1165" t="s">
        <v>31</v>
      </c>
      <c r="T1165" t="s">
        <v>32</v>
      </c>
      <c r="V1165" s="1" t="e">
        <v>#N/A</v>
      </c>
      <c r="X1165">
        <v>0</v>
      </c>
      <c r="Y1165">
        <v>488</v>
      </c>
      <c r="AA1165" t="str">
        <f t="shared" si="36"/>
        <v>update zamestnanci set nastup='73' where id='1099';</v>
      </c>
      <c r="AB1165" t="str">
        <f t="shared" si="37"/>
        <v>update dochazka set zastavka = '73' where zamestnanec = '1099';</v>
      </c>
    </row>
    <row r="1166" spans="1:28" x14ac:dyDescent="0.25">
      <c r="A1166" s="2">
        <v>1112</v>
      </c>
      <c r="B1166" t="s">
        <v>4987</v>
      </c>
      <c r="C1166" t="s">
        <v>151</v>
      </c>
      <c r="D1166" t="s">
        <v>4988</v>
      </c>
      <c r="E1166" t="s">
        <v>2940</v>
      </c>
      <c r="F1166" t="s">
        <v>940</v>
      </c>
      <c r="G1166" s="1">
        <v>45505</v>
      </c>
      <c r="H1166" s="1">
        <v>45566</v>
      </c>
      <c r="I1166" s="1">
        <v>73050</v>
      </c>
      <c r="J1166" s="2" t="s">
        <v>357</v>
      </c>
      <c r="K1166" t="s">
        <v>4989</v>
      </c>
      <c r="M1166" s="16" t="s">
        <v>8551</v>
      </c>
      <c r="N1166" s="16" t="str">
        <f>VLOOKUP(M1166,Tab_Zast[[Zastávka]:[Sloupec1]],2,0)</f>
        <v>00</v>
      </c>
      <c r="O1166" t="s">
        <v>4990</v>
      </c>
      <c r="P1166">
        <v>4</v>
      </c>
      <c r="Q1166">
        <v>0</v>
      </c>
      <c r="R1166" t="s">
        <v>31</v>
      </c>
      <c r="S1166" t="s">
        <v>31</v>
      </c>
      <c r="T1166" t="s">
        <v>32</v>
      </c>
      <c r="V1166" s="1" t="e">
        <v>#N/A</v>
      </c>
      <c r="W1166" t="s">
        <v>62</v>
      </c>
      <c r="X1166">
        <v>0</v>
      </c>
      <c r="Y1166">
        <v>501</v>
      </c>
      <c r="AA1166" t="str">
        <f t="shared" si="36"/>
        <v/>
      </c>
      <c r="AB1166" t="str">
        <f t="shared" si="37"/>
        <v/>
      </c>
    </row>
    <row r="1167" spans="1:28" x14ac:dyDescent="0.25">
      <c r="A1167" s="2">
        <v>1114</v>
      </c>
      <c r="B1167" t="s">
        <v>4968</v>
      </c>
      <c r="C1167" t="s">
        <v>151</v>
      </c>
      <c r="D1167" t="s">
        <v>3025</v>
      </c>
      <c r="E1167" t="s">
        <v>4305</v>
      </c>
      <c r="F1167" t="s">
        <v>4997</v>
      </c>
      <c r="G1167" s="1">
        <v>45505</v>
      </c>
      <c r="H1167" s="1">
        <v>45510</v>
      </c>
      <c r="I1167" s="1">
        <v>73050</v>
      </c>
      <c r="J1167" s="2" t="s">
        <v>357</v>
      </c>
      <c r="K1167" t="s">
        <v>4998</v>
      </c>
      <c r="M1167" s="16" t="s">
        <v>8551</v>
      </c>
      <c r="N1167" s="16" t="str">
        <f>VLOOKUP(M1167,Tab_Zast[[Zastávka]:[Sloupec1]],2,0)</f>
        <v>00</v>
      </c>
      <c r="O1167" t="s">
        <v>4999</v>
      </c>
      <c r="P1167">
        <v>4</v>
      </c>
      <c r="Q1167">
        <v>0</v>
      </c>
      <c r="R1167" t="s">
        <v>31</v>
      </c>
      <c r="S1167" t="s">
        <v>31</v>
      </c>
      <c r="T1167" t="s">
        <v>205</v>
      </c>
      <c r="V1167" s="1" t="e">
        <v>#N/A</v>
      </c>
      <c r="W1167" t="s">
        <v>62</v>
      </c>
      <c r="X1167">
        <v>0</v>
      </c>
      <c r="Y1167">
        <v>503</v>
      </c>
      <c r="AA1167" t="str">
        <f t="shared" si="36"/>
        <v/>
      </c>
      <c r="AB1167" t="str">
        <f t="shared" si="37"/>
        <v/>
      </c>
    </row>
    <row r="1168" spans="1:28" x14ac:dyDescent="0.25">
      <c r="A1168" s="2">
        <v>1195</v>
      </c>
      <c r="B1168" t="s">
        <v>5316</v>
      </c>
      <c r="C1168" t="s">
        <v>1394</v>
      </c>
      <c r="D1168" t="s">
        <v>5317</v>
      </c>
      <c r="E1168" t="s">
        <v>2451</v>
      </c>
      <c r="F1168" t="s">
        <v>569</v>
      </c>
      <c r="G1168" s="1">
        <v>45538</v>
      </c>
      <c r="H1168" s="1">
        <v>45688</v>
      </c>
      <c r="I1168" s="1">
        <v>73050</v>
      </c>
      <c r="J1168" s="2" t="s">
        <v>555</v>
      </c>
      <c r="K1168" t="s">
        <v>5318</v>
      </c>
      <c r="M1168" s="16" t="s">
        <v>8420</v>
      </c>
      <c r="N1168" s="16" t="str">
        <f>VLOOKUP(M1168,Tab_Zast[[Zastávka]:[Sloupec1]],2,0)</f>
        <v>62</v>
      </c>
      <c r="O1168" t="s">
        <v>5319</v>
      </c>
      <c r="P1168">
        <v>9</v>
      </c>
      <c r="Q1168">
        <v>0</v>
      </c>
      <c r="R1168" t="s">
        <v>31</v>
      </c>
      <c r="S1168" t="s">
        <v>31</v>
      </c>
      <c r="T1168" t="s">
        <v>32</v>
      </c>
      <c r="V1168" s="1" t="e">
        <v>#N/A</v>
      </c>
      <c r="W1168" t="s">
        <v>3091</v>
      </c>
      <c r="X1168">
        <v>0</v>
      </c>
      <c r="Y1168">
        <v>585</v>
      </c>
      <c r="AA1168" t="str">
        <f t="shared" si="36"/>
        <v>update zamestnanci set nastup='62' where id='1195';</v>
      </c>
      <c r="AB1168" t="str">
        <f t="shared" si="37"/>
        <v>update dochazka set zastavka = '62' where zamestnanec = '1195';</v>
      </c>
    </row>
    <row r="1169" spans="1:28" x14ac:dyDescent="0.25">
      <c r="A1169" s="2">
        <v>1270</v>
      </c>
      <c r="B1169" t="s">
        <v>5617</v>
      </c>
      <c r="C1169" t="s">
        <v>1394</v>
      </c>
      <c r="D1169" t="s">
        <v>5618</v>
      </c>
      <c r="E1169" t="s">
        <v>4253</v>
      </c>
      <c r="F1169" t="s">
        <v>5619</v>
      </c>
      <c r="G1169" s="1">
        <v>45565</v>
      </c>
      <c r="H1169" s="1">
        <v>45919</v>
      </c>
      <c r="I1169" s="1">
        <v>73050</v>
      </c>
      <c r="J1169" s="2" t="s">
        <v>330</v>
      </c>
      <c r="K1169" t="s">
        <v>5620</v>
      </c>
      <c r="M1169" s="16" t="s">
        <v>8326</v>
      </c>
      <c r="N1169" s="16" t="str">
        <f>VLOOKUP(M1169,Tab_Zast[[Zastávka]:[Sloupec1]],2,0)</f>
        <v>27</v>
      </c>
      <c r="O1169" t="s">
        <v>5621</v>
      </c>
      <c r="P1169">
        <v>1</v>
      </c>
      <c r="Q1169">
        <v>0</v>
      </c>
      <c r="R1169" t="s">
        <v>31</v>
      </c>
      <c r="S1169" t="s">
        <v>31</v>
      </c>
      <c r="T1169" t="s">
        <v>32</v>
      </c>
      <c r="V1169" s="1" t="e">
        <v>#N/A</v>
      </c>
      <c r="W1169" t="s">
        <v>47</v>
      </c>
      <c r="X1169">
        <v>0</v>
      </c>
      <c r="Y1169">
        <v>661</v>
      </c>
      <c r="AA1169" t="str">
        <f t="shared" si="36"/>
        <v>update zamestnanci set nastup='27' where id='1270';</v>
      </c>
      <c r="AB1169" t="str">
        <f t="shared" si="37"/>
        <v>update dochazka set zastavka = '27' where zamestnanec = '1270';</v>
      </c>
    </row>
    <row r="1170" spans="1:28" x14ac:dyDescent="0.25">
      <c r="A1170" s="2">
        <v>1286</v>
      </c>
      <c r="B1170" t="s">
        <v>5681</v>
      </c>
      <c r="C1170" t="s">
        <v>5610</v>
      </c>
      <c r="D1170" t="s">
        <v>5682</v>
      </c>
      <c r="E1170" t="s">
        <v>5683</v>
      </c>
      <c r="F1170" t="s">
        <v>5684</v>
      </c>
      <c r="G1170" s="1">
        <v>45572</v>
      </c>
      <c r="H1170" s="1">
        <v>45604</v>
      </c>
      <c r="I1170" s="1">
        <v>45604</v>
      </c>
      <c r="J1170" s="2" t="s">
        <v>357</v>
      </c>
      <c r="K1170" t="s">
        <v>5685</v>
      </c>
      <c r="M1170" s="16" t="s">
        <v>8551</v>
      </c>
      <c r="N1170" s="16" t="str">
        <f>VLOOKUP(M1170,Tab_Zast[[Zastávka]:[Sloupec1]],2,0)</f>
        <v>00</v>
      </c>
      <c r="O1170" t="s">
        <v>5686</v>
      </c>
      <c r="P1170">
        <v>1</v>
      </c>
      <c r="Q1170">
        <v>0</v>
      </c>
      <c r="R1170" t="s">
        <v>31</v>
      </c>
      <c r="S1170" t="s">
        <v>31</v>
      </c>
      <c r="T1170" t="s">
        <v>32</v>
      </c>
      <c r="V1170" s="1" t="e">
        <v>#N/A</v>
      </c>
      <c r="W1170" t="s">
        <v>47</v>
      </c>
      <c r="X1170">
        <v>0</v>
      </c>
      <c r="Y1170">
        <v>674</v>
      </c>
      <c r="AA1170" t="str">
        <f t="shared" si="36"/>
        <v/>
      </c>
      <c r="AB1170" t="str">
        <f t="shared" si="37"/>
        <v/>
      </c>
    </row>
    <row r="1171" spans="1:28" x14ac:dyDescent="0.25">
      <c r="A1171" s="2">
        <v>1287</v>
      </c>
      <c r="B1171" t="s">
        <v>5687</v>
      </c>
      <c r="C1171" t="s">
        <v>5610</v>
      </c>
      <c r="D1171" t="s">
        <v>5688</v>
      </c>
      <c r="E1171" t="s">
        <v>2705</v>
      </c>
      <c r="F1171" t="s">
        <v>5689</v>
      </c>
      <c r="G1171" s="1">
        <v>45572</v>
      </c>
      <c r="H1171" s="1">
        <v>45604</v>
      </c>
      <c r="I1171" s="1">
        <v>45604</v>
      </c>
      <c r="J1171" s="2" t="s">
        <v>357</v>
      </c>
      <c r="K1171" t="s">
        <v>5690</v>
      </c>
      <c r="M1171" s="16" t="s">
        <v>8551</v>
      </c>
      <c r="N1171" s="16" t="str">
        <f>VLOOKUP(M1171,Tab_Zast[[Zastávka]:[Sloupec1]],2,0)</f>
        <v>00</v>
      </c>
      <c r="O1171" t="s">
        <v>5691</v>
      </c>
      <c r="P1171">
        <v>1</v>
      </c>
      <c r="Q1171">
        <v>0</v>
      </c>
      <c r="R1171" t="s">
        <v>31</v>
      </c>
      <c r="S1171" t="s">
        <v>31</v>
      </c>
      <c r="T1171" t="s">
        <v>32</v>
      </c>
      <c r="V1171" s="1" t="e">
        <v>#N/A</v>
      </c>
      <c r="W1171" t="s">
        <v>47</v>
      </c>
      <c r="X1171">
        <v>0</v>
      </c>
      <c r="Y1171">
        <v>675</v>
      </c>
      <c r="AA1171" t="str">
        <f t="shared" si="36"/>
        <v/>
      </c>
      <c r="AB1171" t="str">
        <f t="shared" si="37"/>
        <v/>
      </c>
    </row>
    <row r="1172" spans="1:28" x14ac:dyDescent="0.25">
      <c r="A1172" s="2">
        <v>1288</v>
      </c>
      <c r="B1172" t="s">
        <v>5692</v>
      </c>
      <c r="C1172" t="s">
        <v>5610</v>
      </c>
      <c r="D1172" t="s">
        <v>5682</v>
      </c>
      <c r="E1172" t="s">
        <v>1947</v>
      </c>
      <c r="F1172" t="s">
        <v>5693</v>
      </c>
      <c r="G1172" s="1">
        <v>45572</v>
      </c>
      <c r="H1172" s="1">
        <v>45604</v>
      </c>
      <c r="I1172" s="1">
        <v>45604</v>
      </c>
      <c r="J1172" s="2" t="s">
        <v>357</v>
      </c>
      <c r="K1172" t="s">
        <v>5694</v>
      </c>
      <c r="M1172" s="16" t="s">
        <v>8551</v>
      </c>
      <c r="N1172" s="16" t="str">
        <f>VLOOKUP(M1172,Tab_Zast[[Zastávka]:[Sloupec1]],2,0)</f>
        <v>00</v>
      </c>
      <c r="O1172" t="s">
        <v>5686</v>
      </c>
      <c r="P1172">
        <v>1</v>
      </c>
      <c r="Q1172">
        <v>0</v>
      </c>
      <c r="R1172" t="s">
        <v>31</v>
      </c>
      <c r="S1172" t="s">
        <v>31</v>
      </c>
      <c r="T1172" t="s">
        <v>32</v>
      </c>
      <c r="V1172" s="1" t="e">
        <v>#N/A</v>
      </c>
      <c r="W1172" t="s">
        <v>47</v>
      </c>
      <c r="X1172">
        <v>0</v>
      </c>
      <c r="Y1172">
        <v>676</v>
      </c>
      <c r="AA1172" t="str">
        <f t="shared" si="36"/>
        <v/>
      </c>
      <c r="AB1172" t="str">
        <f t="shared" si="37"/>
        <v/>
      </c>
    </row>
    <row r="1173" spans="1:28" x14ac:dyDescent="0.25">
      <c r="A1173" s="2">
        <v>1292</v>
      </c>
      <c r="B1173" t="s">
        <v>5708</v>
      </c>
      <c r="C1173" t="s">
        <v>5610</v>
      </c>
      <c r="D1173" t="s">
        <v>5709</v>
      </c>
      <c r="E1173" t="s">
        <v>4016</v>
      </c>
      <c r="F1173" t="s">
        <v>5710</v>
      </c>
      <c r="G1173" s="1">
        <v>45572</v>
      </c>
      <c r="H1173" s="1">
        <v>45582</v>
      </c>
      <c r="I1173" s="1">
        <v>45582</v>
      </c>
      <c r="J1173" s="2" t="s">
        <v>357</v>
      </c>
      <c r="K1173" t="s">
        <v>5711</v>
      </c>
      <c r="M1173" s="16" t="s">
        <v>8551</v>
      </c>
      <c r="N1173" s="16" t="str">
        <f>VLOOKUP(M1173,Tab_Zast[[Zastávka]:[Sloupec1]],2,0)</f>
        <v>00</v>
      </c>
      <c r="O1173" t="s">
        <v>5712</v>
      </c>
      <c r="P1173">
        <v>1</v>
      </c>
      <c r="Q1173">
        <v>0</v>
      </c>
      <c r="R1173" t="s">
        <v>31</v>
      </c>
      <c r="S1173" t="s">
        <v>31</v>
      </c>
      <c r="T1173" t="s">
        <v>32</v>
      </c>
      <c r="V1173" s="1" t="e">
        <v>#N/A</v>
      </c>
      <c r="W1173" t="s">
        <v>47</v>
      </c>
      <c r="X1173">
        <v>0</v>
      </c>
      <c r="Y1173">
        <v>680</v>
      </c>
      <c r="AA1173" t="str">
        <f t="shared" si="36"/>
        <v/>
      </c>
      <c r="AB1173" t="str">
        <f t="shared" si="37"/>
        <v/>
      </c>
    </row>
    <row r="1174" spans="1:28" x14ac:dyDescent="0.25">
      <c r="A1174" s="2">
        <v>1308</v>
      </c>
      <c r="B1174" t="s">
        <v>5772</v>
      </c>
      <c r="C1174" t="s">
        <v>64</v>
      </c>
      <c r="D1174" t="s">
        <v>5773</v>
      </c>
      <c r="E1174" t="s">
        <v>2156</v>
      </c>
      <c r="F1174" t="s">
        <v>5774</v>
      </c>
      <c r="G1174" s="1">
        <v>45579</v>
      </c>
      <c r="H1174" s="1">
        <v>45582</v>
      </c>
      <c r="I1174" s="1">
        <v>72972</v>
      </c>
      <c r="J1174" s="2" t="s">
        <v>357</v>
      </c>
      <c r="K1174" t="s">
        <v>5775</v>
      </c>
      <c r="M1174" s="16" t="s">
        <v>8551</v>
      </c>
      <c r="N1174" s="16" t="str">
        <f>VLOOKUP(M1174,Tab_Zast[[Zastávka]:[Sloupec1]],2,0)</f>
        <v>00</v>
      </c>
      <c r="O1174" t="s">
        <v>5776</v>
      </c>
      <c r="P1174">
        <v>1</v>
      </c>
      <c r="Q1174">
        <v>0</v>
      </c>
      <c r="R1174" t="s">
        <v>31</v>
      </c>
      <c r="S1174" t="s">
        <v>31</v>
      </c>
      <c r="T1174" t="s">
        <v>32</v>
      </c>
      <c r="V1174" s="1" t="e">
        <v>#N/A</v>
      </c>
      <c r="W1174" t="s">
        <v>47</v>
      </c>
      <c r="X1174">
        <v>0</v>
      </c>
      <c r="Y1174">
        <v>693</v>
      </c>
      <c r="AA1174" t="str">
        <f t="shared" si="36"/>
        <v/>
      </c>
      <c r="AB1174" t="str">
        <f t="shared" si="37"/>
        <v/>
      </c>
    </row>
    <row r="1175" spans="1:28" x14ac:dyDescent="0.25">
      <c r="A1175" s="2">
        <v>1313</v>
      </c>
      <c r="B1175" t="s">
        <v>5791</v>
      </c>
      <c r="C1175" t="s">
        <v>1394</v>
      </c>
      <c r="D1175" t="s">
        <v>5792</v>
      </c>
      <c r="E1175" t="s">
        <v>2391</v>
      </c>
      <c r="F1175" t="s">
        <v>4357</v>
      </c>
      <c r="G1175" s="1">
        <v>45580</v>
      </c>
      <c r="H1175" s="1">
        <v>45601</v>
      </c>
      <c r="I1175" s="1">
        <v>73050</v>
      </c>
      <c r="J1175" s="2" t="s">
        <v>555</v>
      </c>
      <c r="K1175" t="s">
        <v>5793</v>
      </c>
      <c r="M1175" s="16" t="s">
        <v>8420</v>
      </c>
      <c r="N1175" s="16" t="str">
        <f>VLOOKUP(M1175,Tab_Zast[[Zastávka]:[Sloupec1]],2,0)</f>
        <v>62</v>
      </c>
      <c r="O1175" t="s">
        <v>5794</v>
      </c>
      <c r="P1175">
        <v>9</v>
      </c>
      <c r="Q1175">
        <v>0</v>
      </c>
      <c r="R1175" t="s">
        <v>31</v>
      </c>
      <c r="S1175" t="s">
        <v>31</v>
      </c>
      <c r="T1175" t="s">
        <v>32</v>
      </c>
      <c r="V1175" s="1" t="e">
        <v>#N/A</v>
      </c>
      <c r="W1175" t="s">
        <v>3091</v>
      </c>
      <c r="X1175">
        <v>0</v>
      </c>
      <c r="Y1175">
        <v>702</v>
      </c>
      <c r="Z1175" t="s">
        <v>54</v>
      </c>
      <c r="AA1175" t="str">
        <f t="shared" si="36"/>
        <v>update zamestnanci set nastup='62' where id='1313';</v>
      </c>
      <c r="AB1175" t="str">
        <f t="shared" si="37"/>
        <v>update dochazka set zastavka = '62' where zamestnanec = '1313';</v>
      </c>
    </row>
    <row r="1176" spans="1:28" x14ac:dyDescent="0.25">
      <c r="A1176" s="2">
        <v>1342</v>
      </c>
      <c r="B1176" t="s">
        <v>5902</v>
      </c>
      <c r="C1176" t="s">
        <v>64</v>
      </c>
      <c r="D1176" t="s">
        <v>5903</v>
      </c>
      <c r="E1176" t="s">
        <v>1509</v>
      </c>
      <c r="F1176" t="s">
        <v>5610</v>
      </c>
      <c r="G1176" s="1">
        <v>45600</v>
      </c>
      <c r="H1176" s="1">
        <v>45600</v>
      </c>
      <c r="I1176" s="1">
        <v>45600</v>
      </c>
      <c r="J1176" s="2" t="s">
        <v>357</v>
      </c>
      <c r="K1176" t="s">
        <v>5904</v>
      </c>
      <c r="M1176" s="16" t="s">
        <v>8551</v>
      </c>
      <c r="N1176" s="16" t="str">
        <f>VLOOKUP(M1176,Tab_Zast[[Zastávka]:[Sloupec1]],2,0)</f>
        <v>00</v>
      </c>
      <c r="O1176" t="s">
        <v>5905</v>
      </c>
      <c r="P1176">
        <v>1</v>
      </c>
      <c r="Q1176">
        <v>0</v>
      </c>
      <c r="R1176" t="s">
        <v>31</v>
      </c>
      <c r="S1176" t="s">
        <v>31</v>
      </c>
      <c r="T1176" t="s">
        <v>32</v>
      </c>
      <c r="V1176" s="1" t="e">
        <v>#N/A</v>
      </c>
      <c r="W1176" t="s">
        <v>47</v>
      </c>
      <c r="X1176">
        <v>0</v>
      </c>
      <c r="Y1176">
        <v>731</v>
      </c>
      <c r="AA1176" t="str">
        <f t="shared" si="36"/>
        <v/>
      </c>
      <c r="AB1176" t="str">
        <f t="shared" si="37"/>
        <v/>
      </c>
    </row>
    <row r="1177" spans="1:28" x14ac:dyDescent="0.25">
      <c r="A1177" s="2">
        <v>1348</v>
      </c>
      <c r="B1177" t="s">
        <v>5926</v>
      </c>
      <c r="C1177" t="s">
        <v>1394</v>
      </c>
      <c r="D1177" t="s">
        <v>2384</v>
      </c>
      <c r="E1177" t="s">
        <v>2607</v>
      </c>
      <c r="F1177" t="s">
        <v>569</v>
      </c>
      <c r="G1177" s="1">
        <v>45601</v>
      </c>
      <c r="H1177" s="1">
        <v>45775</v>
      </c>
      <c r="I1177" s="1">
        <v>73050</v>
      </c>
      <c r="J1177" s="2" t="s">
        <v>555</v>
      </c>
      <c r="K1177" t="s">
        <v>5927</v>
      </c>
      <c r="M1177" s="16" t="s">
        <v>8420</v>
      </c>
      <c r="N1177" s="16" t="str">
        <f>VLOOKUP(M1177,Tab_Zast[[Zastávka]:[Sloupec1]],2,0)</f>
        <v>62</v>
      </c>
      <c r="O1177" t="s">
        <v>5928</v>
      </c>
      <c r="P1177">
        <v>9</v>
      </c>
      <c r="Q1177">
        <v>0</v>
      </c>
      <c r="R1177" t="s">
        <v>31</v>
      </c>
      <c r="S1177" t="s">
        <v>31</v>
      </c>
      <c r="T1177" t="s">
        <v>32</v>
      </c>
      <c r="V1177" s="1">
        <v>45774</v>
      </c>
      <c r="W1177" t="s">
        <v>3091</v>
      </c>
      <c r="X1177">
        <v>0</v>
      </c>
      <c r="Y1177">
        <v>738</v>
      </c>
      <c r="AA1177" t="str">
        <f t="shared" si="36"/>
        <v>update zamestnanci set nastup='62' where id='1348';</v>
      </c>
      <c r="AB1177" t="str">
        <f t="shared" si="37"/>
        <v>update dochazka set zastavka = '62' where zamestnanec = '1348';</v>
      </c>
    </row>
    <row r="1178" spans="1:28" x14ac:dyDescent="0.25">
      <c r="A1178" s="2">
        <v>1382</v>
      </c>
      <c r="B1178" t="s">
        <v>6058</v>
      </c>
      <c r="C1178" t="s">
        <v>64</v>
      </c>
      <c r="D1178" t="s">
        <v>6059</v>
      </c>
      <c r="E1178" t="s">
        <v>6060</v>
      </c>
      <c r="F1178" t="s">
        <v>6061</v>
      </c>
      <c r="G1178" s="1">
        <v>45614</v>
      </c>
      <c r="H1178" s="1">
        <v>45625</v>
      </c>
      <c r="I1178" s="1">
        <v>45625</v>
      </c>
      <c r="J1178" s="2" t="s">
        <v>261</v>
      </c>
      <c r="K1178" t="s">
        <v>6062</v>
      </c>
      <c r="M1178" s="16" t="s">
        <v>8303</v>
      </c>
      <c r="N1178" s="16" t="str">
        <f>VLOOKUP(M1178,Tab_Zast[[Zastávka]:[Sloupec1]],2,0)</f>
        <v>17</v>
      </c>
      <c r="O1178" t="s">
        <v>6063</v>
      </c>
      <c r="P1178">
        <v>1</v>
      </c>
      <c r="Q1178">
        <v>0</v>
      </c>
      <c r="R1178" t="s">
        <v>31</v>
      </c>
      <c r="S1178" t="s">
        <v>31</v>
      </c>
      <c r="T1178" t="s">
        <v>32</v>
      </c>
      <c r="V1178" s="1" t="e">
        <v>#N/A</v>
      </c>
      <c r="W1178" t="s">
        <v>47</v>
      </c>
      <c r="X1178">
        <v>0</v>
      </c>
      <c r="Y1178">
        <v>771</v>
      </c>
      <c r="AA1178" t="str">
        <f t="shared" si="36"/>
        <v>update zamestnanci set nastup='17' where id='1382';</v>
      </c>
      <c r="AB1178" t="str">
        <f t="shared" si="37"/>
        <v>update dochazka set zastavka = '17' where zamestnanec = '1382';</v>
      </c>
    </row>
    <row r="1179" spans="1:28" x14ac:dyDescent="0.25">
      <c r="A1179" s="2">
        <v>1399</v>
      </c>
      <c r="B1179" t="s">
        <v>6127</v>
      </c>
      <c r="C1179" t="s">
        <v>64</v>
      </c>
      <c r="D1179" t="s">
        <v>3399</v>
      </c>
      <c r="E1179" t="s">
        <v>3400</v>
      </c>
      <c r="F1179" t="s">
        <v>5693</v>
      </c>
      <c r="G1179" s="1">
        <v>45621</v>
      </c>
      <c r="H1179" s="1">
        <v>45635</v>
      </c>
      <c r="I1179" s="1">
        <v>45635</v>
      </c>
      <c r="J1179" s="2" t="s">
        <v>2376</v>
      </c>
      <c r="K1179" t="s">
        <v>3402</v>
      </c>
      <c r="M1179" s="16" t="s">
        <v>8522</v>
      </c>
      <c r="N1179" s="16" t="str">
        <f>VLOOKUP(M1179,Tab_Zast[[Zastávka]:[Sloupec1]],2,0)</f>
        <v>98</v>
      </c>
      <c r="O1179" t="s">
        <v>3403</v>
      </c>
      <c r="P1179">
        <v>1</v>
      </c>
      <c r="Q1179">
        <v>0</v>
      </c>
      <c r="R1179" t="s">
        <v>31</v>
      </c>
      <c r="S1179" t="s">
        <v>31</v>
      </c>
      <c r="T1179" t="s">
        <v>32</v>
      </c>
      <c r="V1179" s="1">
        <v>45628</v>
      </c>
      <c r="W1179" t="s">
        <v>47</v>
      </c>
      <c r="X1179">
        <v>0</v>
      </c>
      <c r="Y1179">
        <v>788</v>
      </c>
      <c r="AA1179" t="str">
        <f t="shared" si="36"/>
        <v>update zamestnanci set nastup='98' where id='1399';</v>
      </c>
      <c r="AB1179" t="str">
        <f t="shared" si="37"/>
        <v>update dochazka set zastavka = '98' where zamestnanec = '1399';</v>
      </c>
    </row>
    <row r="1180" spans="1:28" x14ac:dyDescent="0.25">
      <c r="A1180" s="2">
        <v>1456</v>
      </c>
      <c r="B1180" t="s">
        <v>6344</v>
      </c>
      <c r="C1180" t="s">
        <v>64</v>
      </c>
      <c r="D1180" t="s">
        <v>6345</v>
      </c>
      <c r="E1180" t="s">
        <v>755</v>
      </c>
      <c r="F1180" t="s">
        <v>569</v>
      </c>
      <c r="G1180" s="1">
        <v>45685</v>
      </c>
      <c r="H1180" s="1">
        <v>45853</v>
      </c>
      <c r="I1180" s="1">
        <v>73050</v>
      </c>
      <c r="J1180" s="2" t="s">
        <v>357</v>
      </c>
      <c r="K1180" t="s">
        <v>6346</v>
      </c>
      <c r="M1180" s="16" t="s">
        <v>8551</v>
      </c>
      <c r="N1180" s="16" t="str">
        <f>VLOOKUP(M1180,Tab_Zast[[Zastávka]:[Sloupec1]],2,0)</f>
        <v>00</v>
      </c>
      <c r="O1180" t="s">
        <v>6347</v>
      </c>
      <c r="P1180">
        <v>8</v>
      </c>
      <c r="Q1180">
        <v>0</v>
      </c>
      <c r="R1180" t="s">
        <v>31</v>
      </c>
      <c r="S1180" t="s">
        <v>31</v>
      </c>
      <c r="T1180" t="s">
        <v>32</v>
      </c>
      <c r="V1180" s="1" t="e">
        <v>#N/A</v>
      </c>
      <c r="W1180" t="s">
        <v>493</v>
      </c>
      <c r="X1180">
        <v>0</v>
      </c>
      <c r="Y1180">
        <v>845</v>
      </c>
      <c r="AA1180" t="str">
        <f t="shared" si="36"/>
        <v/>
      </c>
      <c r="AB1180" t="str">
        <f t="shared" si="37"/>
        <v/>
      </c>
    </row>
    <row r="1181" spans="1:28" x14ac:dyDescent="0.25">
      <c r="A1181" s="2">
        <v>1463</v>
      </c>
      <c r="B1181" t="s">
        <v>6375</v>
      </c>
      <c r="C1181" t="s">
        <v>64</v>
      </c>
      <c r="D1181" t="s">
        <v>6376</v>
      </c>
      <c r="E1181" t="s">
        <v>3373</v>
      </c>
      <c r="F1181" t="s">
        <v>67</v>
      </c>
      <c r="G1181" s="1">
        <v>45698</v>
      </c>
      <c r="H1181" s="1">
        <v>45698</v>
      </c>
      <c r="I1181" s="1">
        <v>45698</v>
      </c>
      <c r="J1181" s="2" t="s">
        <v>261</v>
      </c>
      <c r="K1181" t="s">
        <v>6377</v>
      </c>
      <c r="M1181" s="16" t="s">
        <v>8303</v>
      </c>
      <c r="N1181" s="16" t="str">
        <f>VLOOKUP(M1181,Tab_Zast[[Zastávka]:[Sloupec1]],2,0)</f>
        <v>17</v>
      </c>
      <c r="O1181" t="s">
        <v>6378</v>
      </c>
      <c r="P1181">
        <v>8</v>
      </c>
      <c r="Q1181">
        <v>0</v>
      </c>
      <c r="R1181" t="s">
        <v>31</v>
      </c>
      <c r="S1181" t="s">
        <v>31</v>
      </c>
      <c r="T1181" t="s">
        <v>32</v>
      </c>
      <c r="V1181" s="1" t="e">
        <v>#N/A</v>
      </c>
      <c r="W1181" t="s">
        <v>493</v>
      </c>
      <c r="X1181">
        <v>0</v>
      </c>
      <c r="Y1181">
        <v>855</v>
      </c>
      <c r="AA1181" t="str">
        <f t="shared" si="36"/>
        <v>update zamestnanci set nastup='17' where id='1463';</v>
      </c>
      <c r="AB1181" t="str">
        <f t="shared" si="37"/>
        <v>update dochazka set zastavka = '17' where zamestnanec = '1463';</v>
      </c>
    </row>
    <row r="1182" spans="1:28" x14ac:dyDescent="0.25">
      <c r="A1182" s="2">
        <v>1480</v>
      </c>
      <c r="B1182" t="s">
        <v>6439</v>
      </c>
      <c r="C1182" t="s">
        <v>64</v>
      </c>
      <c r="D1182" t="s">
        <v>5576</v>
      </c>
      <c r="E1182" t="s">
        <v>5577</v>
      </c>
      <c r="F1182" t="s">
        <v>64</v>
      </c>
      <c r="G1182" s="1">
        <v>45706</v>
      </c>
      <c r="H1182" s="1">
        <v>45706</v>
      </c>
      <c r="I1182" s="1">
        <v>45706</v>
      </c>
      <c r="J1182" s="2" t="s">
        <v>261</v>
      </c>
      <c r="K1182" t="s">
        <v>5578</v>
      </c>
      <c r="M1182" s="16" t="s">
        <v>8303</v>
      </c>
      <c r="N1182" s="16" t="str">
        <f>VLOOKUP(M1182,Tab_Zast[[Zastávka]:[Sloupec1]],2,0)</f>
        <v>17</v>
      </c>
      <c r="O1182" t="s">
        <v>5579</v>
      </c>
      <c r="P1182">
        <v>8</v>
      </c>
      <c r="Q1182">
        <v>0</v>
      </c>
      <c r="R1182" t="s">
        <v>31</v>
      </c>
      <c r="S1182" t="s">
        <v>31</v>
      </c>
      <c r="T1182" t="s">
        <v>32</v>
      </c>
      <c r="V1182" s="1" t="e">
        <v>#N/A</v>
      </c>
      <c r="W1182" t="s">
        <v>3023</v>
      </c>
      <c r="X1182">
        <v>0</v>
      </c>
      <c r="Y1182">
        <v>871</v>
      </c>
      <c r="AA1182" t="str">
        <f t="shared" si="36"/>
        <v>update zamestnanci set nastup='17' where id='1480';</v>
      </c>
      <c r="AB1182" t="str">
        <f t="shared" si="37"/>
        <v>update dochazka set zastavka = '17' where zamestnanec = '1480';</v>
      </c>
    </row>
    <row r="1183" spans="1:28" x14ac:dyDescent="0.25">
      <c r="A1183" s="2">
        <v>1482</v>
      </c>
      <c r="B1183" t="s">
        <v>6445</v>
      </c>
      <c r="C1183" t="s">
        <v>64</v>
      </c>
      <c r="D1183" t="s">
        <v>6432</v>
      </c>
      <c r="E1183" t="s">
        <v>3550</v>
      </c>
      <c r="F1183" t="s">
        <v>67</v>
      </c>
      <c r="G1183" s="1">
        <v>45706</v>
      </c>
      <c r="H1183" s="1">
        <v>45706</v>
      </c>
      <c r="I1183" s="1">
        <v>45706</v>
      </c>
      <c r="J1183" s="2" t="s">
        <v>261</v>
      </c>
      <c r="K1183" t="s">
        <v>6433</v>
      </c>
      <c r="M1183" s="16" t="s">
        <v>8303</v>
      </c>
      <c r="N1183" s="16" t="str">
        <f>VLOOKUP(M1183,Tab_Zast[[Zastávka]:[Sloupec1]],2,0)</f>
        <v>17</v>
      </c>
      <c r="O1183" t="s">
        <v>6434</v>
      </c>
      <c r="P1183">
        <v>8</v>
      </c>
      <c r="Q1183">
        <v>0</v>
      </c>
      <c r="R1183" t="s">
        <v>31</v>
      </c>
      <c r="S1183" t="s">
        <v>31</v>
      </c>
      <c r="T1183" t="s">
        <v>32</v>
      </c>
      <c r="V1183" s="1" t="e">
        <v>#N/A</v>
      </c>
      <c r="W1183" t="s">
        <v>493</v>
      </c>
      <c r="X1183">
        <v>0</v>
      </c>
      <c r="Y1183">
        <v>873</v>
      </c>
      <c r="AA1183" t="str">
        <f t="shared" si="36"/>
        <v>update zamestnanci set nastup='17' where id='1482';</v>
      </c>
      <c r="AB1183" t="str">
        <f t="shared" si="37"/>
        <v>update dochazka set zastavka = '17' where zamestnanec = '1482';</v>
      </c>
    </row>
    <row r="1184" spans="1:28" x14ac:dyDescent="0.25">
      <c r="A1184" s="2">
        <v>1512</v>
      </c>
      <c r="B1184" t="s">
        <v>6557</v>
      </c>
      <c r="C1184" t="s">
        <v>64</v>
      </c>
      <c r="D1184" t="s">
        <v>6264</v>
      </c>
      <c r="E1184" t="s">
        <v>2613</v>
      </c>
      <c r="F1184" t="s">
        <v>6558</v>
      </c>
      <c r="G1184" s="1">
        <v>45726</v>
      </c>
      <c r="H1184" s="1">
        <v>45749</v>
      </c>
      <c r="I1184" s="1">
        <v>73050</v>
      </c>
      <c r="J1184" s="2" t="s">
        <v>357</v>
      </c>
      <c r="K1184" t="s">
        <v>6266</v>
      </c>
      <c r="M1184" s="16" t="s">
        <v>8551</v>
      </c>
      <c r="N1184" s="16" t="str">
        <f>VLOOKUP(M1184,Tab_Zast[[Zastávka]:[Sloupec1]],2,0)</f>
        <v>00</v>
      </c>
      <c r="O1184" t="s">
        <v>6559</v>
      </c>
      <c r="P1184">
        <v>8</v>
      </c>
      <c r="Q1184">
        <v>0</v>
      </c>
      <c r="R1184" t="s">
        <v>31</v>
      </c>
      <c r="S1184" t="s">
        <v>31</v>
      </c>
      <c r="T1184" t="s">
        <v>32</v>
      </c>
      <c r="V1184" s="1" t="e">
        <v>#N/A</v>
      </c>
      <c r="W1184" t="s">
        <v>3023</v>
      </c>
      <c r="X1184">
        <v>0</v>
      </c>
      <c r="Y1184">
        <v>899</v>
      </c>
      <c r="AA1184" t="str">
        <f t="shared" si="36"/>
        <v/>
      </c>
      <c r="AB1184" t="str">
        <f t="shared" si="37"/>
        <v/>
      </c>
    </row>
    <row r="1185" spans="1:28" x14ac:dyDescent="0.25">
      <c r="A1185" s="2">
        <v>1554</v>
      </c>
      <c r="B1185" t="s">
        <v>6712</v>
      </c>
      <c r="C1185" t="s">
        <v>64</v>
      </c>
      <c r="D1185" t="s">
        <v>6713</v>
      </c>
      <c r="E1185" t="s">
        <v>3384</v>
      </c>
      <c r="F1185" t="s">
        <v>569</v>
      </c>
      <c r="G1185" s="1">
        <v>45747</v>
      </c>
      <c r="H1185" s="1">
        <v>45764</v>
      </c>
      <c r="I1185" s="1">
        <v>73050</v>
      </c>
      <c r="J1185" s="2" t="s">
        <v>357</v>
      </c>
      <c r="K1185" t="s">
        <v>6714</v>
      </c>
      <c r="M1185" s="16" t="s">
        <v>8551</v>
      </c>
      <c r="N1185" s="16" t="str">
        <f>VLOOKUP(M1185,Tab_Zast[[Zastávka]:[Sloupec1]],2,0)</f>
        <v>00</v>
      </c>
      <c r="O1185" t="s">
        <v>6715</v>
      </c>
      <c r="P1185">
        <v>8</v>
      </c>
      <c r="Q1185">
        <v>0</v>
      </c>
      <c r="R1185" t="s">
        <v>31</v>
      </c>
      <c r="S1185" t="s">
        <v>31</v>
      </c>
      <c r="T1185" t="s">
        <v>32</v>
      </c>
      <c r="V1185" s="1" t="e">
        <v>#N/A</v>
      </c>
      <c r="W1185" t="s">
        <v>3023</v>
      </c>
      <c r="X1185">
        <v>0</v>
      </c>
      <c r="Y1185">
        <v>944</v>
      </c>
      <c r="AA1185" t="str">
        <f t="shared" si="36"/>
        <v/>
      </c>
      <c r="AB1185" t="str">
        <f t="shared" si="37"/>
        <v/>
      </c>
    </row>
    <row r="1186" spans="1:28" x14ac:dyDescent="0.25">
      <c r="A1186" s="2">
        <v>1630</v>
      </c>
      <c r="B1186" t="s">
        <v>6992</v>
      </c>
      <c r="C1186" t="s">
        <v>6993</v>
      </c>
      <c r="D1186" t="s">
        <v>5113</v>
      </c>
      <c r="E1186" t="s">
        <v>633</v>
      </c>
      <c r="F1186" t="s">
        <v>6994</v>
      </c>
      <c r="G1186" s="1">
        <v>45789</v>
      </c>
      <c r="H1186" s="1">
        <v>45849</v>
      </c>
      <c r="I1186" s="1">
        <v>73050</v>
      </c>
      <c r="J1186" s="2" t="s">
        <v>261</v>
      </c>
      <c r="K1186" t="s">
        <v>6995</v>
      </c>
      <c r="M1186" s="16" t="s">
        <v>8303</v>
      </c>
      <c r="N1186" s="16" t="str">
        <f>VLOOKUP(M1186,Tab_Zast[[Zastávka]:[Sloupec1]],2,0)</f>
        <v>17</v>
      </c>
      <c r="O1186" t="s">
        <v>6996</v>
      </c>
      <c r="P1186">
        <v>1</v>
      </c>
      <c r="Q1186">
        <v>0</v>
      </c>
      <c r="R1186" t="s">
        <v>31</v>
      </c>
      <c r="S1186" t="s">
        <v>31</v>
      </c>
      <c r="T1186" t="s">
        <v>32</v>
      </c>
      <c r="V1186" s="1" t="e">
        <v>#N/A</v>
      </c>
      <c r="W1186" t="s">
        <v>47</v>
      </c>
      <c r="X1186">
        <v>0</v>
      </c>
      <c r="Y1186">
        <v>1020</v>
      </c>
      <c r="AA1186" t="str">
        <f t="shared" si="36"/>
        <v>update zamestnanci set nastup='17' where id='1630';</v>
      </c>
      <c r="AB1186" t="str">
        <f t="shared" si="37"/>
        <v>update dochazka set zastavka = '17' where zamestnanec = '1630';</v>
      </c>
    </row>
    <row r="1187" spans="1:28" x14ac:dyDescent="0.25">
      <c r="A1187" s="2">
        <v>1636</v>
      </c>
      <c r="B1187" t="s">
        <v>7016</v>
      </c>
      <c r="C1187" t="s">
        <v>357</v>
      </c>
      <c r="D1187" t="s">
        <v>5379</v>
      </c>
      <c r="E1187" t="s">
        <v>701</v>
      </c>
      <c r="F1187" t="s">
        <v>357</v>
      </c>
      <c r="G1187" s="1">
        <v>45789</v>
      </c>
      <c r="H1187" s="1">
        <v>45789</v>
      </c>
      <c r="I1187" s="1">
        <v>73050</v>
      </c>
      <c r="J1187" s="2" t="s">
        <v>261</v>
      </c>
      <c r="K1187" t="s">
        <v>5455</v>
      </c>
      <c r="M1187" s="16" t="s">
        <v>8303</v>
      </c>
      <c r="N1187" s="16" t="str">
        <f>VLOOKUP(M1187,Tab_Zast[[Zastávka]:[Sloupec1]],2,0)</f>
        <v>17</v>
      </c>
      <c r="O1187" t="s">
        <v>5381</v>
      </c>
      <c r="P1187">
        <v>8</v>
      </c>
      <c r="Q1187">
        <v>0</v>
      </c>
      <c r="R1187" t="s">
        <v>31</v>
      </c>
      <c r="S1187" t="s">
        <v>31</v>
      </c>
      <c r="T1187" t="s">
        <v>32</v>
      </c>
      <c r="V1187" s="1" t="e">
        <v>#N/A</v>
      </c>
      <c r="W1187" t="s">
        <v>493</v>
      </c>
      <c r="X1187">
        <v>0</v>
      </c>
      <c r="Y1187">
        <v>1032</v>
      </c>
      <c r="AA1187" t="str">
        <f t="shared" si="36"/>
        <v>update zamestnanci set nastup='17' where id='1636';</v>
      </c>
      <c r="AB1187" t="str">
        <f t="shared" si="37"/>
        <v>update dochazka set zastavka = '17' where zamestnanec = '1636';</v>
      </c>
    </row>
    <row r="1188" spans="1:28" x14ac:dyDescent="0.25">
      <c r="A1188" s="2">
        <v>1653</v>
      </c>
      <c r="B1188" t="s">
        <v>357</v>
      </c>
      <c r="C1188" t="s">
        <v>357</v>
      </c>
      <c r="D1188" t="s">
        <v>3561</v>
      </c>
      <c r="E1188" t="s">
        <v>1509</v>
      </c>
      <c r="F1188" t="s">
        <v>1394</v>
      </c>
      <c r="G1188" s="1">
        <v>45796</v>
      </c>
      <c r="H1188" s="1">
        <v>45867</v>
      </c>
      <c r="I1188" s="1">
        <v>73050</v>
      </c>
      <c r="J1188" s="2" t="s">
        <v>2376</v>
      </c>
      <c r="K1188" t="s">
        <v>7067</v>
      </c>
      <c r="M1188" s="16" t="s">
        <v>8522</v>
      </c>
      <c r="N1188" s="16" t="str">
        <f>VLOOKUP(M1188,Tab_Zast[[Zastávka]:[Sloupec1]],2,0)</f>
        <v>98</v>
      </c>
      <c r="O1188" t="s">
        <v>7068</v>
      </c>
      <c r="P1188">
        <v>1</v>
      </c>
      <c r="Q1188">
        <v>0</v>
      </c>
      <c r="R1188" t="s">
        <v>179</v>
      </c>
      <c r="S1188" t="s">
        <v>31</v>
      </c>
      <c r="T1188" t="s">
        <v>32</v>
      </c>
      <c r="V1188" s="1" t="e">
        <v>#N/A</v>
      </c>
      <c r="W1188" t="s">
        <v>47</v>
      </c>
      <c r="X1188">
        <v>0</v>
      </c>
      <c r="Y1188">
        <v>1046</v>
      </c>
      <c r="AA1188" t="str">
        <f t="shared" si="36"/>
        <v>update zamestnanci set nastup='98' where id='1653';</v>
      </c>
      <c r="AB1188" t="str">
        <f t="shared" si="37"/>
        <v>update dochazka set zastavka = '98' where zamestnanec = '1653';</v>
      </c>
    </row>
    <row r="1189" spans="1:28" x14ac:dyDescent="0.25">
      <c r="A1189" s="2">
        <v>1669</v>
      </c>
      <c r="B1189" t="s">
        <v>7122</v>
      </c>
      <c r="C1189" t="s">
        <v>64</v>
      </c>
      <c r="D1189" t="s">
        <v>7123</v>
      </c>
      <c r="E1189" t="s">
        <v>3657</v>
      </c>
      <c r="F1189" t="s">
        <v>64</v>
      </c>
      <c r="G1189" s="1">
        <v>45813</v>
      </c>
      <c r="H1189" s="1">
        <v>45824</v>
      </c>
      <c r="I1189" s="1">
        <v>73050</v>
      </c>
      <c r="J1189" s="2" t="s">
        <v>437</v>
      </c>
      <c r="K1189" t="s">
        <v>7124</v>
      </c>
      <c r="M1189" s="16" t="s">
        <v>8371</v>
      </c>
      <c r="N1189" s="16" t="str">
        <f>VLOOKUP(M1189,Tab_Zast[[Zastávka]:[Sloupec1]],2,0)</f>
        <v>45</v>
      </c>
      <c r="O1189" t="s">
        <v>7125</v>
      </c>
      <c r="P1189">
        <v>6</v>
      </c>
      <c r="Q1189">
        <v>0</v>
      </c>
      <c r="R1189" t="s">
        <v>31</v>
      </c>
      <c r="S1189" t="s">
        <v>31</v>
      </c>
      <c r="T1189" t="s">
        <v>32</v>
      </c>
      <c r="V1189" s="1">
        <v>45824</v>
      </c>
      <c r="W1189" t="s">
        <v>1216</v>
      </c>
      <c r="X1189">
        <v>0</v>
      </c>
      <c r="Y1189">
        <v>1061</v>
      </c>
      <c r="AA1189" t="str">
        <f t="shared" si="36"/>
        <v>update zamestnanci set nastup='45' where id='1669';</v>
      </c>
      <c r="AB1189" t="str">
        <f t="shared" si="37"/>
        <v>update dochazka set zastavka = '45' where zamestnanec = '1669';</v>
      </c>
    </row>
    <row r="1190" spans="1:28" x14ac:dyDescent="0.25">
      <c r="A1190" s="2">
        <v>1695</v>
      </c>
      <c r="B1190" t="s">
        <v>7206</v>
      </c>
      <c r="C1190" t="s">
        <v>569</v>
      </c>
      <c r="D1190" t="s">
        <v>4680</v>
      </c>
      <c r="E1190" t="s">
        <v>4305</v>
      </c>
      <c r="F1190" t="s">
        <v>1394</v>
      </c>
      <c r="G1190" s="1">
        <v>45831</v>
      </c>
      <c r="H1190" s="1">
        <v>45852</v>
      </c>
      <c r="I1190" s="1">
        <v>73050</v>
      </c>
      <c r="J1190" s="2" t="s">
        <v>261</v>
      </c>
      <c r="K1190" t="s">
        <v>4681</v>
      </c>
      <c r="M1190" s="16" t="s">
        <v>8303</v>
      </c>
      <c r="N1190" s="16" t="str">
        <f>VLOOKUP(M1190,Tab_Zast[[Zastávka]:[Sloupec1]],2,0)</f>
        <v>17</v>
      </c>
      <c r="O1190" t="s">
        <v>7207</v>
      </c>
      <c r="P1190">
        <v>1</v>
      </c>
      <c r="Q1190">
        <v>0</v>
      </c>
      <c r="R1190" t="s">
        <v>31</v>
      </c>
      <c r="S1190" t="s">
        <v>31</v>
      </c>
      <c r="T1190" t="s">
        <v>32</v>
      </c>
      <c r="V1190" s="1" t="e">
        <v>#N/A</v>
      </c>
      <c r="W1190" t="s">
        <v>5988</v>
      </c>
      <c r="X1190">
        <v>0</v>
      </c>
      <c r="Y1190">
        <v>1092</v>
      </c>
      <c r="AA1190" t="str">
        <f t="shared" si="36"/>
        <v>update zamestnanci set nastup='17' where id='1695';</v>
      </c>
      <c r="AB1190" t="str">
        <f t="shared" si="37"/>
        <v>update dochazka set zastavka = '17' where zamestnanec = '1695';</v>
      </c>
    </row>
    <row r="1191" spans="1:28" x14ac:dyDescent="0.25">
      <c r="A1191" s="2">
        <v>1717</v>
      </c>
      <c r="B1191" t="s">
        <v>7284</v>
      </c>
      <c r="C1191" t="s">
        <v>64</v>
      </c>
      <c r="D1191" t="s">
        <v>3920</v>
      </c>
      <c r="E1191" t="s">
        <v>7285</v>
      </c>
      <c r="F1191" t="s">
        <v>357</v>
      </c>
      <c r="G1191" s="1">
        <v>45839</v>
      </c>
      <c r="H1191" s="1">
        <v>45882</v>
      </c>
      <c r="I1191" s="1">
        <v>73050</v>
      </c>
      <c r="J1191" s="2" t="s">
        <v>437</v>
      </c>
      <c r="K1191" t="s">
        <v>7286</v>
      </c>
      <c r="M1191" s="16" t="s">
        <v>8371</v>
      </c>
      <c r="N1191" s="16" t="str">
        <f>VLOOKUP(M1191,Tab_Zast[[Zastávka]:[Sloupec1]],2,0)</f>
        <v>45</v>
      </c>
      <c r="O1191" t="s">
        <v>7287</v>
      </c>
      <c r="P1191">
        <v>6</v>
      </c>
      <c r="Q1191">
        <v>0</v>
      </c>
      <c r="R1191" t="s">
        <v>31</v>
      </c>
      <c r="S1191" t="s">
        <v>31</v>
      </c>
      <c r="T1191" t="s">
        <v>32</v>
      </c>
      <c r="V1191" s="1" t="e">
        <v>#N/A</v>
      </c>
      <c r="W1191" t="s">
        <v>3052</v>
      </c>
      <c r="X1191">
        <v>0</v>
      </c>
      <c r="Y1191">
        <v>1110</v>
      </c>
      <c r="AA1191" t="str">
        <f t="shared" si="36"/>
        <v>update zamestnanci set nastup='45' where id='1717';</v>
      </c>
      <c r="AB1191" t="str">
        <f t="shared" si="37"/>
        <v>update dochazka set zastavka = '45' where zamestnanec = '1717';</v>
      </c>
    </row>
    <row r="1192" spans="1:28" x14ac:dyDescent="0.25">
      <c r="A1192" s="2">
        <v>1823</v>
      </c>
      <c r="B1192" t="s">
        <v>7685</v>
      </c>
      <c r="C1192" t="s">
        <v>357</v>
      </c>
      <c r="D1192" t="s">
        <v>7686</v>
      </c>
      <c r="E1192" t="s">
        <v>3164</v>
      </c>
      <c r="F1192" t="s">
        <v>357</v>
      </c>
      <c r="G1192" s="1">
        <v>45904</v>
      </c>
      <c r="H1192" s="1">
        <v>45904</v>
      </c>
      <c r="I1192" s="1">
        <v>45904</v>
      </c>
      <c r="J1192" s="2" t="s">
        <v>437</v>
      </c>
      <c r="K1192" t="s">
        <v>7687</v>
      </c>
      <c r="M1192" s="16" t="s">
        <v>8371</v>
      </c>
      <c r="N1192" s="16" t="str">
        <f>VLOOKUP(M1192,Tab_Zast[[Zastávka]:[Sloupec1]],2,0)</f>
        <v>45</v>
      </c>
      <c r="O1192" t="s">
        <v>7688</v>
      </c>
      <c r="P1192">
        <v>6</v>
      </c>
      <c r="Q1192">
        <v>0</v>
      </c>
      <c r="R1192" t="s">
        <v>31</v>
      </c>
      <c r="S1192" t="s">
        <v>31</v>
      </c>
      <c r="T1192" t="s">
        <v>32</v>
      </c>
      <c r="V1192" s="1" t="e">
        <v>#N/A</v>
      </c>
      <c r="W1192" t="s">
        <v>3052</v>
      </c>
      <c r="X1192">
        <v>0</v>
      </c>
      <c r="Y1192">
        <v>1218</v>
      </c>
      <c r="AA1192" t="str">
        <f t="shared" si="36"/>
        <v>update zamestnanci set nastup='45' where id='1823';</v>
      </c>
      <c r="AB1192" t="str">
        <f t="shared" si="37"/>
        <v>update dochazka set zastavka = '45' where zamestnanec = '1823';</v>
      </c>
    </row>
    <row r="1193" spans="1:28" x14ac:dyDescent="0.25">
      <c r="A1193" s="2">
        <v>1860</v>
      </c>
      <c r="B1193" t="s">
        <v>7828</v>
      </c>
      <c r="C1193" t="s">
        <v>569</v>
      </c>
      <c r="D1193" t="s">
        <v>7829</v>
      </c>
      <c r="E1193" t="s">
        <v>1402</v>
      </c>
      <c r="F1193" t="s">
        <v>7830</v>
      </c>
      <c r="G1193" s="1">
        <v>45931</v>
      </c>
      <c r="H1193" s="1" t="e">
        <v>#N/A</v>
      </c>
      <c r="I1193" s="1" t="e">
        <v>#N/A</v>
      </c>
      <c r="J1193" s="2" t="s">
        <v>1326</v>
      </c>
      <c r="K1193" t="s">
        <v>7831</v>
      </c>
      <c r="L1193" t="s">
        <v>7832</v>
      </c>
      <c r="M1193" s="16" t="s">
        <v>8381</v>
      </c>
      <c r="N1193" s="16" t="str">
        <f>VLOOKUP(M1193,Tab_Zast[[Zastávka]:[Sloupec1]],2,0)</f>
        <v>49</v>
      </c>
      <c r="O1193" t="s">
        <v>7833</v>
      </c>
      <c r="P1193">
        <v>8</v>
      </c>
      <c r="Q1193">
        <v>0</v>
      </c>
      <c r="R1193" t="s">
        <v>129</v>
      </c>
      <c r="S1193" t="s">
        <v>31</v>
      </c>
      <c r="T1193" t="s">
        <v>32</v>
      </c>
      <c r="V1193" s="1" t="e">
        <v>#N/A</v>
      </c>
      <c r="W1193" t="s">
        <v>493</v>
      </c>
      <c r="X1193">
        <v>1</v>
      </c>
      <c r="Y1193">
        <v>1256</v>
      </c>
      <c r="AA1193" t="str">
        <f t="shared" si="36"/>
        <v>update zamestnanci set nastup='49' where id='1860';</v>
      </c>
      <c r="AB1193" t="str">
        <f t="shared" si="37"/>
        <v>update dochazka set zastavka = '49' where zamestnanec = '1860';</v>
      </c>
    </row>
    <row r="1194" spans="1:28" x14ac:dyDescent="0.25">
      <c r="A1194" s="2">
        <v>1896</v>
      </c>
      <c r="B1194" t="s">
        <v>7977</v>
      </c>
      <c r="C1194" t="s">
        <v>569</v>
      </c>
      <c r="D1194" t="s">
        <v>7978</v>
      </c>
      <c r="E1194" t="s">
        <v>7979</v>
      </c>
      <c r="F1194" t="s">
        <v>7980</v>
      </c>
      <c r="G1194" s="1">
        <v>45960</v>
      </c>
      <c r="H1194" s="1" t="e">
        <v>#N/A</v>
      </c>
      <c r="I1194" s="1" t="e">
        <v>#N/A</v>
      </c>
      <c r="J1194" s="2" t="s">
        <v>1326</v>
      </c>
      <c r="K1194" t="s">
        <v>7981</v>
      </c>
      <c r="L1194" t="s">
        <v>7982</v>
      </c>
      <c r="M1194" s="16" t="s">
        <v>8381</v>
      </c>
      <c r="N1194" s="16" t="str">
        <f>VLOOKUP(M1194,Tab_Zast[[Zastávka]:[Sloupec1]],2,0)</f>
        <v>49</v>
      </c>
      <c r="O1194" t="s">
        <v>7983</v>
      </c>
      <c r="P1194">
        <v>8</v>
      </c>
      <c r="Q1194">
        <v>0</v>
      </c>
      <c r="R1194" t="s">
        <v>129</v>
      </c>
      <c r="S1194" t="s">
        <v>31</v>
      </c>
      <c r="T1194" t="s">
        <v>32</v>
      </c>
      <c r="V1194" s="1" t="e">
        <v>#N/A</v>
      </c>
      <c r="W1194" t="s">
        <v>3023</v>
      </c>
      <c r="X1194">
        <v>1</v>
      </c>
      <c r="Y1194">
        <v>1290</v>
      </c>
      <c r="AA1194" t="str">
        <f t="shared" si="36"/>
        <v>update zamestnanci set nastup='49' where id='1896';</v>
      </c>
      <c r="AB1194" t="str">
        <f t="shared" si="37"/>
        <v>update dochazka set zastavka = '49' where zamestnanec = '1896';</v>
      </c>
    </row>
    <row r="1195" spans="1:28" x14ac:dyDescent="0.25">
      <c r="A1195" s="2">
        <v>1900</v>
      </c>
      <c r="B1195" t="s">
        <v>8003</v>
      </c>
      <c r="C1195" t="s">
        <v>569</v>
      </c>
      <c r="D1195" t="s">
        <v>8004</v>
      </c>
      <c r="E1195" t="s">
        <v>2451</v>
      </c>
      <c r="F1195" t="s">
        <v>1394</v>
      </c>
      <c r="G1195" s="1">
        <v>45971</v>
      </c>
      <c r="H1195" s="1">
        <v>45971</v>
      </c>
      <c r="I1195" s="1" t="e">
        <v>#N/A</v>
      </c>
      <c r="J1195" s="2" t="s">
        <v>230</v>
      </c>
      <c r="K1195" t="s">
        <v>8005</v>
      </c>
      <c r="M1195" s="16" t="s">
        <v>8287</v>
      </c>
      <c r="N1195" s="16" t="str">
        <f>VLOOKUP(M1195,Tab_Zast[[Zastávka]:[Sloupec1]],2,0)</f>
        <v>12</v>
      </c>
      <c r="O1195" t="s">
        <v>8006</v>
      </c>
      <c r="P1195">
        <v>8</v>
      </c>
      <c r="Q1195">
        <v>0</v>
      </c>
      <c r="R1195" t="s">
        <v>130</v>
      </c>
      <c r="S1195" t="s">
        <v>31</v>
      </c>
      <c r="T1195" t="s">
        <v>32</v>
      </c>
      <c r="V1195" s="1" t="e">
        <v>#N/A</v>
      </c>
      <c r="W1195" t="s">
        <v>493</v>
      </c>
      <c r="X1195">
        <v>0</v>
      </c>
      <c r="Y1195">
        <v>1306</v>
      </c>
      <c r="AA1195" t="str">
        <f t="shared" si="36"/>
        <v>update zamestnanci set nastup='12' where id='1900';</v>
      </c>
      <c r="AB1195" t="str">
        <f t="shared" si="37"/>
        <v>update dochazka set zastavka = '12' where zamestnanec = '1900';</v>
      </c>
    </row>
    <row r="1196" spans="1:28" x14ac:dyDescent="0.25">
      <c r="A1196" s="2">
        <v>1923</v>
      </c>
      <c r="B1196" t="s">
        <v>7321</v>
      </c>
      <c r="C1196" t="s">
        <v>569</v>
      </c>
      <c r="D1196" t="s">
        <v>8098</v>
      </c>
      <c r="E1196" t="s">
        <v>3976</v>
      </c>
      <c r="F1196" t="s">
        <v>8099</v>
      </c>
      <c r="G1196" s="1">
        <v>45979</v>
      </c>
      <c r="H1196" s="1" t="e">
        <v>#N/A</v>
      </c>
      <c r="I1196" s="1" t="e">
        <v>#N/A</v>
      </c>
      <c r="J1196" s="2" t="s">
        <v>1326</v>
      </c>
      <c r="K1196" t="s">
        <v>8100</v>
      </c>
      <c r="L1196" t="s">
        <v>8101</v>
      </c>
      <c r="M1196" s="16" t="s">
        <v>8381</v>
      </c>
      <c r="N1196" s="16" t="str">
        <f>VLOOKUP(M1196,Tab_Zast[[Zastávka]:[Sloupec1]],2,0)</f>
        <v>49</v>
      </c>
      <c r="O1196" t="s">
        <v>8102</v>
      </c>
      <c r="P1196">
        <v>8</v>
      </c>
      <c r="Q1196">
        <v>0</v>
      </c>
      <c r="R1196" t="s">
        <v>129</v>
      </c>
      <c r="S1196" t="s">
        <v>31</v>
      </c>
      <c r="T1196" t="s">
        <v>32</v>
      </c>
      <c r="V1196" s="1" t="e">
        <v>#N/A</v>
      </c>
      <c r="W1196" t="s">
        <v>493</v>
      </c>
      <c r="X1196">
        <v>1</v>
      </c>
      <c r="Y1196">
        <v>1320</v>
      </c>
      <c r="AA1196" t="str">
        <f t="shared" si="36"/>
        <v>update zamestnanci set nastup='49' where id='1923';</v>
      </c>
      <c r="AB1196" t="str">
        <f t="shared" si="37"/>
        <v>update dochazka set zastavka = '49' where zamestnanec = '1923';</v>
      </c>
    </row>
    <row r="1197" spans="1:28" x14ac:dyDescent="0.25">
      <c r="A1197" s="2">
        <v>1936</v>
      </c>
      <c r="B1197" t="s">
        <v>8147</v>
      </c>
      <c r="C1197" t="s">
        <v>357</v>
      </c>
      <c r="D1197" t="s">
        <v>8148</v>
      </c>
      <c r="E1197" t="s">
        <v>8149</v>
      </c>
      <c r="F1197" t="s">
        <v>8147</v>
      </c>
      <c r="G1197" s="1">
        <v>45988</v>
      </c>
      <c r="H1197" s="1">
        <v>45989</v>
      </c>
      <c r="I1197" s="1" t="e">
        <v>#N/A</v>
      </c>
      <c r="J1197" s="2" t="s">
        <v>2376</v>
      </c>
      <c r="K1197" t="s">
        <v>8150</v>
      </c>
      <c r="M1197" s="16" t="s">
        <v>8522</v>
      </c>
      <c r="N1197" s="16" t="str">
        <f>VLOOKUP(M1197,Tab_Zast[[Zastávka]:[Sloupec1]],2,0)</f>
        <v>98</v>
      </c>
      <c r="O1197" t="s">
        <v>8151</v>
      </c>
      <c r="P1197">
        <v>1</v>
      </c>
      <c r="Q1197">
        <v>0</v>
      </c>
      <c r="R1197" t="s">
        <v>31</v>
      </c>
      <c r="S1197" t="s">
        <v>31</v>
      </c>
      <c r="T1197" t="s">
        <v>32</v>
      </c>
      <c r="V1197" s="1" t="e">
        <v>#N/A</v>
      </c>
      <c r="W1197" t="s">
        <v>5988</v>
      </c>
      <c r="X1197">
        <v>0</v>
      </c>
      <c r="Y1197">
        <v>1351</v>
      </c>
      <c r="AA1197" t="str">
        <f t="shared" si="36"/>
        <v>update zamestnanci set nastup='98' where id='1936';</v>
      </c>
      <c r="AB1197" t="str">
        <f t="shared" si="37"/>
        <v>update dochazka set zastavka = '98' where zamestnanec = '1936';</v>
      </c>
    </row>
    <row r="1198" spans="1:28" x14ac:dyDescent="0.25">
      <c r="A1198" s="2">
        <v>11</v>
      </c>
      <c r="B1198" t="s">
        <v>96</v>
      </c>
      <c r="C1198" t="s">
        <v>97</v>
      </c>
      <c r="D1198" t="s">
        <v>98</v>
      </c>
      <c r="E1198" t="s">
        <v>99</v>
      </c>
      <c r="F1198" t="s">
        <v>100</v>
      </c>
      <c r="G1198" s="1">
        <v>44228</v>
      </c>
      <c r="H1198" s="1">
        <v>45950</v>
      </c>
      <c r="I1198" s="1" t="e">
        <v>#N/A</v>
      </c>
      <c r="J1198" s="2" t="s">
        <v>8356</v>
      </c>
      <c r="K1198" t="s">
        <v>101</v>
      </c>
      <c r="M1198" s="16" t="s">
        <v>8357</v>
      </c>
      <c r="N1198" s="16" t="str">
        <f>VLOOKUP(M1198,Tab_Zast[[Zastávka]:[Sloupec1]],2,0)</f>
        <v>39</v>
      </c>
      <c r="O1198" t="s">
        <v>102</v>
      </c>
      <c r="P1198">
        <v>4</v>
      </c>
      <c r="Q1198">
        <v>0</v>
      </c>
      <c r="R1198" t="s">
        <v>31</v>
      </c>
      <c r="S1198" t="s">
        <v>31</v>
      </c>
      <c r="T1198" t="s">
        <v>103</v>
      </c>
      <c r="V1198" s="1" t="e">
        <v>#N/A</v>
      </c>
      <c r="W1198" t="s">
        <v>62</v>
      </c>
      <c r="X1198">
        <v>0</v>
      </c>
      <c r="Y1198">
        <v>0</v>
      </c>
      <c r="AA1198" t="str">
        <f t="shared" si="36"/>
        <v>update zamestnanci set nastup='39' where id='11';</v>
      </c>
      <c r="AB1198" t="str">
        <f t="shared" si="37"/>
        <v>update dochazka set zastavka = '39' where zamestnanec = '11';</v>
      </c>
    </row>
    <row r="1199" spans="1:28" x14ac:dyDescent="0.25">
      <c r="A1199" s="2">
        <v>36</v>
      </c>
      <c r="B1199" t="s">
        <v>255</v>
      </c>
      <c r="C1199" t="s">
        <v>255</v>
      </c>
      <c r="D1199" t="s">
        <v>256</v>
      </c>
      <c r="E1199" t="s">
        <v>257</v>
      </c>
      <c r="F1199" t="s">
        <v>258</v>
      </c>
      <c r="G1199" s="1">
        <v>44725</v>
      </c>
      <c r="H1199" s="1">
        <v>73050</v>
      </c>
      <c r="I1199" s="1" t="e">
        <v>#N/A</v>
      </c>
      <c r="J1199" s="2" t="s">
        <v>500</v>
      </c>
      <c r="K1199" t="s">
        <v>259</v>
      </c>
      <c r="M1199" s="16" t="s">
        <v>8395</v>
      </c>
      <c r="N1199" s="16" t="str">
        <f>VLOOKUP(M1199,Tab_Zast[[Zastávka]:[Sloupec1]],2,0)</f>
        <v>54</v>
      </c>
      <c r="O1199" t="s">
        <v>260</v>
      </c>
      <c r="P1199">
        <v>1</v>
      </c>
      <c r="Q1199">
        <v>0</v>
      </c>
      <c r="R1199" t="s">
        <v>179</v>
      </c>
      <c r="S1199" t="s">
        <v>31</v>
      </c>
      <c r="T1199" t="s">
        <v>32</v>
      </c>
      <c r="V1199" s="1" t="e">
        <v>#N/A</v>
      </c>
      <c r="W1199" t="s">
        <v>47</v>
      </c>
      <c r="X1199">
        <v>1</v>
      </c>
      <c r="Y1199">
        <v>0</v>
      </c>
      <c r="AA1199" t="str">
        <f t="shared" si="36"/>
        <v>update zamestnanci set nastup='54' where id='36';</v>
      </c>
      <c r="AB1199" t="str">
        <f t="shared" si="37"/>
        <v>update dochazka set zastavka = '54' where zamestnanec = '36';</v>
      </c>
    </row>
    <row r="1200" spans="1:28" x14ac:dyDescent="0.25">
      <c r="A1200" s="2">
        <v>51</v>
      </c>
      <c r="B1200" t="s">
        <v>342</v>
      </c>
      <c r="C1200" t="s">
        <v>342</v>
      </c>
      <c r="D1200" t="s">
        <v>343</v>
      </c>
      <c r="E1200" t="s">
        <v>344</v>
      </c>
      <c r="F1200" t="s">
        <v>345</v>
      </c>
      <c r="G1200" s="1">
        <v>44852</v>
      </c>
      <c r="H1200" s="1">
        <v>73050</v>
      </c>
      <c r="I1200" s="1" t="e">
        <v>#N/A</v>
      </c>
      <c r="J1200" s="2" t="s">
        <v>372</v>
      </c>
      <c r="K1200" t="s">
        <v>346</v>
      </c>
      <c r="M1200" s="16" t="s">
        <v>8343</v>
      </c>
      <c r="N1200" s="16" t="str">
        <f>VLOOKUP(M1200,Tab_Zast[[Zastávka]:[Sloupec1]],2,0)</f>
        <v>34</v>
      </c>
      <c r="O1200" t="s">
        <v>347</v>
      </c>
      <c r="P1200">
        <v>1</v>
      </c>
      <c r="Q1200">
        <v>0</v>
      </c>
      <c r="R1200" t="s">
        <v>130</v>
      </c>
      <c r="S1200" t="s">
        <v>31</v>
      </c>
      <c r="T1200" t="s">
        <v>32</v>
      </c>
      <c r="V1200" s="1" t="e">
        <v>#N/A</v>
      </c>
      <c r="W1200" t="s">
        <v>47</v>
      </c>
      <c r="X1200">
        <v>1</v>
      </c>
      <c r="Y1200">
        <v>0</v>
      </c>
      <c r="AA1200" t="str">
        <f t="shared" si="36"/>
        <v>update zamestnanci set nastup='34' where id='51';</v>
      </c>
      <c r="AB1200" t="str">
        <f t="shared" si="37"/>
        <v>update dochazka set zastavka = '34' where zamestnanec = '51';</v>
      </c>
    </row>
    <row r="1201" spans="1:28" x14ac:dyDescent="0.25">
      <c r="A1201" s="2">
        <v>74</v>
      </c>
      <c r="B1201" t="s">
        <v>476</v>
      </c>
      <c r="D1201" t="s">
        <v>477</v>
      </c>
      <c r="E1201" t="s">
        <v>478</v>
      </c>
      <c r="F1201" t="s">
        <v>479</v>
      </c>
      <c r="G1201" s="1">
        <v>45208</v>
      </c>
      <c r="H1201" s="1">
        <v>45230</v>
      </c>
      <c r="I1201" s="1">
        <v>73050</v>
      </c>
      <c r="J1201" s="2" t="s">
        <v>372</v>
      </c>
      <c r="K1201" t="s">
        <v>480</v>
      </c>
      <c r="M1201" s="16" t="s">
        <v>8343</v>
      </c>
      <c r="N1201" s="16" t="str">
        <f>VLOOKUP(M1201,Tab_Zast[[Zastávka]:[Sloupec1]],2,0)</f>
        <v>34</v>
      </c>
      <c r="O1201" t="s">
        <v>481</v>
      </c>
      <c r="P1201">
        <v>1</v>
      </c>
      <c r="Q1201">
        <v>0</v>
      </c>
      <c r="R1201" t="s">
        <v>31</v>
      </c>
      <c r="S1201" t="s">
        <v>31</v>
      </c>
      <c r="T1201" t="s">
        <v>32</v>
      </c>
      <c r="V1201" s="1" t="e">
        <v>#N/A</v>
      </c>
      <c r="W1201" t="s">
        <v>47</v>
      </c>
      <c r="X1201">
        <v>0</v>
      </c>
      <c r="Y1201">
        <v>0</v>
      </c>
      <c r="Z1201" t="s">
        <v>40</v>
      </c>
      <c r="AA1201" t="str">
        <f t="shared" si="36"/>
        <v>update zamestnanci set nastup='34' where id='74';</v>
      </c>
      <c r="AB1201" t="str">
        <f t="shared" si="37"/>
        <v>update dochazka set zastavka = '34' where zamestnanec = '74';</v>
      </c>
    </row>
    <row r="1202" spans="1:28" x14ac:dyDescent="0.25">
      <c r="A1202" s="2">
        <v>112</v>
      </c>
      <c r="B1202" t="s">
        <v>693</v>
      </c>
      <c r="C1202" t="s">
        <v>693</v>
      </c>
      <c r="D1202" t="s">
        <v>694</v>
      </c>
      <c r="E1202" t="s">
        <v>695</v>
      </c>
      <c r="F1202" t="s">
        <v>696</v>
      </c>
      <c r="G1202" s="1">
        <v>44944</v>
      </c>
      <c r="H1202" s="1">
        <v>73050</v>
      </c>
      <c r="I1202" s="1" t="e">
        <v>#N/A</v>
      </c>
      <c r="J1202" s="2" t="s">
        <v>372</v>
      </c>
      <c r="K1202" t="s">
        <v>697</v>
      </c>
      <c r="M1202" s="16" t="s">
        <v>8343</v>
      </c>
      <c r="N1202" s="16" t="str">
        <f>VLOOKUP(M1202,Tab_Zast[[Zastávka]:[Sloupec1]],2,0)</f>
        <v>34</v>
      </c>
      <c r="O1202" t="s">
        <v>698</v>
      </c>
      <c r="P1202">
        <v>1</v>
      </c>
      <c r="Q1202">
        <v>0</v>
      </c>
      <c r="R1202" t="s">
        <v>130</v>
      </c>
      <c r="S1202" t="s">
        <v>31</v>
      </c>
      <c r="T1202" t="s">
        <v>32</v>
      </c>
      <c r="V1202" s="1" t="e">
        <v>#N/A</v>
      </c>
      <c r="W1202" t="s">
        <v>47</v>
      </c>
      <c r="X1202">
        <v>1</v>
      </c>
      <c r="Y1202">
        <v>0</v>
      </c>
      <c r="AA1202" t="str">
        <f t="shared" si="36"/>
        <v>update zamestnanci set nastup='34' where id='112';</v>
      </c>
      <c r="AB1202" t="str">
        <f t="shared" si="37"/>
        <v>update dochazka set zastavka = '34' where zamestnanec = '112';</v>
      </c>
    </row>
    <row r="1203" spans="1:28" x14ac:dyDescent="0.25">
      <c r="A1203" s="2">
        <v>115</v>
      </c>
      <c r="B1203" t="s">
        <v>711</v>
      </c>
      <c r="C1203" t="s">
        <v>711</v>
      </c>
      <c r="D1203" t="s">
        <v>712</v>
      </c>
      <c r="E1203" t="s">
        <v>713</v>
      </c>
      <c r="F1203" t="s">
        <v>714</v>
      </c>
      <c r="G1203" s="1">
        <v>45061</v>
      </c>
      <c r="H1203" s="1">
        <v>73050</v>
      </c>
      <c r="I1203" s="1" t="e">
        <v>#N/A</v>
      </c>
      <c r="J1203" s="2" t="s">
        <v>8290</v>
      </c>
      <c r="K1203" t="s">
        <v>715</v>
      </c>
      <c r="M1203" s="16" t="s">
        <v>8291</v>
      </c>
      <c r="N1203" s="16" t="str">
        <f>VLOOKUP(M1203,Tab_Zast[[Zastávka]:[Sloupec1]],2,0)</f>
        <v>13</v>
      </c>
      <c r="O1203" t="s">
        <v>716</v>
      </c>
      <c r="P1203">
        <v>1</v>
      </c>
      <c r="Q1203">
        <v>0</v>
      </c>
      <c r="R1203" t="s">
        <v>130</v>
      </c>
      <c r="S1203" t="s">
        <v>31</v>
      </c>
      <c r="T1203" t="s">
        <v>32</v>
      </c>
      <c r="V1203" s="1" t="e">
        <v>#N/A</v>
      </c>
      <c r="W1203" t="s">
        <v>47</v>
      </c>
      <c r="X1203">
        <v>1</v>
      </c>
      <c r="Y1203">
        <v>0</v>
      </c>
      <c r="AA1203" t="str">
        <f t="shared" si="36"/>
        <v>update zamestnanci set nastup='13' where id='115';</v>
      </c>
      <c r="AB1203" t="str">
        <f t="shared" si="37"/>
        <v>update dochazka set zastavka = '13' where zamestnanec = '115';</v>
      </c>
    </row>
    <row r="1204" spans="1:28" x14ac:dyDescent="0.25">
      <c r="A1204" s="2">
        <v>116</v>
      </c>
      <c r="B1204" t="s">
        <v>717</v>
      </c>
      <c r="D1204" t="s">
        <v>718</v>
      </c>
      <c r="E1204" t="s">
        <v>719</v>
      </c>
      <c r="F1204" t="s">
        <v>720</v>
      </c>
      <c r="G1204" s="1">
        <v>45068</v>
      </c>
      <c r="H1204" s="1">
        <v>45362</v>
      </c>
      <c r="I1204" s="1">
        <v>73050</v>
      </c>
      <c r="J1204" s="2" t="s">
        <v>8290</v>
      </c>
      <c r="K1204" t="s">
        <v>721</v>
      </c>
      <c r="M1204" s="16" t="s">
        <v>8291</v>
      </c>
      <c r="N1204" s="16" t="str">
        <f>VLOOKUP(M1204,Tab_Zast[[Zastávka]:[Sloupec1]],2,0)</f>
        <v>13</v>
      </c>
      <c r="O1204" t="s">
        <v>722</v>
      </c>
      <c r="P1204">
        <v>1</v>
      </c>
      <c r="Q1204">
        <v>0</v>
      </c>
      <c r="R1204" t="s">
        <v>31</v>
      </c>
      <c r="S1204" t="s">
        <v>31</v>
      </c>
      <c r="T1204" t="s">
        <v>32</v>
      </c>
      <c r="V1204" s="1" t="e">
        <v>#N/A</v>
      </c>
      <c r="W1204" t="s">
        <v>47</v>
      </c>
      <c r="X1204">
        <v>0</v>
      </c>
      <c r="Y1204">
        <v>0</v>
      </c>
      <c r="Z1204" t="s">
        <v>54</v>
      </c>
      <c r="AA1204" t="str">
        <f t="shared" si="36"/>
        <v>update zamestnanci set nastup='13' where id='116';</v>
      </c>
      <c r="AB1204" t="str">
        <f t="shared" si="37"/>
        <v>update dochazka set zastavka = '13' where zamestnanec = '116';</v>
      </c>
    </row>
    <row r="1205" spans="1:28" x14ac:dyDescent="0.25">
      <c r="A1205" s="2">
        <v>127</v>
      </c>
      <c r="B1205" t="s">
        <v>780</v>
      </c>
      <c r="C1205" t="s">
        <v>781</v>
      </c>
      <c r="D1205" t="s">
        <v>782</v>
      </c>
      <c r="E1205" t="s">
        <v>783</v>
      </c>
      <c r="F1205" t="s">
        <v>784</v>
      </c>
      <c r="G1205" s="1">
        <v>45168</v>
      </c>
      <c r="H1205" s="1">
        <v>45443</v>
      </c>
      <c r="I1205" s="1">
        <v>73050</v>
      </c>
      <c r="J1205" s="2" t="s">
        <v>357</v>
      </c>
      <c r="K1205" t="s">
        <v>785</v>
      </c>
      <c r="M1205" s="16" t="s">
        <v>8551</v>
      </c>
      <c r="N1205" s="16" t="str">
        <f>VLOOKUP(M1205,Tab_Zast[[Zastávka]:[Sloupec1]],2,0)</f>
        <v>00</v>
      </c>
      <c r="O1205" t="s">
        <v>786</v>
      </c>
      <c r="P1205">
        <v>4</v>
      </c>
      <c r="Q1205">
        <v>0</v>
      </c>
      <c r="R1205" t="s">
        <v>31</v>
      </c>
      <c r="S1205" t="s">
        <v>31</v>
      </c>
      <c r="T1205" t="s">
        <v>32</v>
      </c>
      <c r="V1205" s="1" t="e">
        <v>#N/A</v>
      </c>
      <c r="W1205" t="s">
        <v>62</v>
      </c>
      <c r="X1205">
        <v>0</v>
      </c>
      <c r="Y1205">
        <v>0</v>
      </c>
      <c r="Z1205" t="s">
        <v>54</v>
      </c>
      <c r="AA1205" t="str">
        <f t="shared" si="36"/>
        <v/>
      </c>
      <c r="AB1205" t="str">
        <f t="shared" si="37"/>
        <v/>
      </c>
    </row>
    <row r="1206" spans="1:28" x14ac:dyDescent="0.25">
      <c r="A1206" s="2">
        <v>133</v>
      </c>
      <c r="B1206" t="s">
        <v>812</v>
      </c>
      <c r="C1206" t="s">
        <v>813</v>
      </c>
      <c r="D1206" t="s">
        <v>814</v>
      </c>
      <c r="E1206" t="s">
        <v>815</v>
      </c>
      <c r="F1206" t="s">
        <v>816</v>
      </c>
      <c r="G1206" s="1">
        <v>45145</v>
      </c>
      <c r="H1206" s="1">
        <v>73050</v>
      </c>
      <c r="I1206" s="1" t="e">
        <v>#N/A</v>
      </c>
      <c r="J1206" s="2" t="s">
        <v>8321</v>
      </c>
      <c r="K1206" t="s">
        <v>817</v>
      </c>
      <c r="M1206" s="16" t="s">
        <v>8322</v>
      </c>
      <c r="N1206" s="16" t="str">
        <f>VLOOKUP(M1206,Tab_Zast[[Zastávka]:[Sloupec1]],2,0)</f>
        <v>25</v>
      </c>
      <c r="O1206" t="s">
        <v>818</v>
      </c>
      <c r="P1206">
        <v>4</v>
      </c>
      <c r="Q1206">
        <v>0</v>
      </c>
      <c r="R1206" t="s">
        <v>179</v>
      </c>
      <c r="S1206" t="s">
        <v>31</v>
      </c>
      <c r="T1206" t="s">
        <v>32</v>
      </c>
      <c r="V1206" s="1" t="e">
        <v>#N/A</v>
      </c>
      <c r="W1206" t="s">
        <v>62</v>
      </c>
      <c r="X1206">
        <v>1</v>
      </c>
      <c r="Y1206">
        <v>0</v>
      </c>
      <c r="AA1206" t="str">
        <f t="shared" si="36"/>
        <v>update zamestnanci set nastup='25' where id='133';</v>
      </c>
      <c r="AB1206" t="str">
        <f t="shared" si="37"/>
        <v>update dochazka set zastavka = '25' where zamestnanec = '133';</v>
      </c>
    </row>
    <row r="1207" spans="1:28" x14ac:dyDescent="0.25">
      <c r="A1207" s="2">
        <v>140</v>
      </c>
      <c r="B1207" t="s">
        <v>856</v>
      </c>
      <c r="C1207" t="s">
        <v>857</v>
      </c>
      <c r="D1207" t="s">
        <v>858</v>
      </c>
      <c r="E1207" t="s">
        <v>859</v>
      </c>
      <c r="F1207" t="s">
        <v>860</v>
      </c>
      <c r="G1207" s="1">
        <v>44746</v>
      </c>
      <c r="H1207" s="1">
        <v>45826</v>
      </c>
      <c r="I1207" s="1">
        <v>73050</v>
      </c>
      <c r="J1207" s="2" t="s">
        <v>8321</v>
      </c>
      <c r="K1207" t="s">
        <v>861</v>
      </c>
      <c r="M1207" s="16" t="s">
        <v>8322</v>
      </c>
      <c r="N1207" s="16" t="str">
        <f>VLOOKUP(M1207,Tab_Zast[[Zastávka]:[Sloupec1]],2,0)</f>
        <v>25</v>
      </c>
      <c r="O1207" t="s">
        <v>862</v>
      </c>
      <c r="P1207">
        <v>4</v>
      </c>
      <c r="Q1207">
        <v>0</v>
      </c>
      <c r="R1207" t="s">
        <v>31</v>
      </c>
      <c r="S1207" t="s">
        <v>31</v>
      </c>
      <c r="T1207" t="s">
        <v>32</v>
      </c>
      <c r="V1207" s="1">
        <v>45812</v>
      </c>
      <c r="W1207" t="s">
        <v>62</v>
      </c>
      <c r="X1207">
        <v>0</v>
      </c>
      <c r="Y1207">
        <v>0</v>
      </c>
      <c r="AA1207" t="str">
        <f t="shared" si="36"/>
        <v>update zamestnanci set nastup='25' where id='140';</v>
      </c>
      <c r="AB1207" t="str">
        <f t="shared" si="37"/>
        <v>update dochazka set zastavka = '25' where zamestnanec = '140';</v>
      </c>
    </row>
    <row r="1208" spans="1:28" x14ac:dyDescent="0.25">
      <c r="A1208" s="2">
        <v>146</v>
      </c>
      <c r="B1208" t="s">
        <v>894</v>
      </c>
      <c r="C1208" t="s">
        <v>895</v>
      </c>
      <c r="D1208" t="s">
        <v>896</v>
      </c>
      <c r="E1208" t="s">
        <v>897</v>
      </c>
      <c r="F1208" t="s">
        <v>898</v>
      </c>
      <c r="G1208" s="1">
        <v>44816</v>
      </c>
      <c r="H1208" s="1">
        <v>45527</v>
      </c>
      <c r="I1208" s="1">
        <v>73050</v>
      </c>
      <c r="J1208" s="2" t="s">
        <v>357</v>
      </c>
      <c r="K1208" t="s">
        <v>899</v>
      </c>
      <c r="M1208" s="16" t="s">
        <v>8551</v>
      </c>
      <c r="N1208" s="16" t="str">
        <f>VLOOKUP(M1208,Tab_Zast[[Zastávka]:[Sloupec1]],2,0)</f>
        <v>00</v>
      </c>
      <c r="O1208" t="s">
        <v>900</v>
      </c>
      <c r="P1208">
        <v>4</v>
      </c>
      <c r="Q1208">
        <v>0</v>
      </c>
      <c r="R1208" t="s">
        <v>31</v>
      </c>
      <c r="S1208" t="s">
        <v>31</v>
      </c>
      <c r="T1208" t="s">
        <v>32</v>
      </c>
      <c r="V1208" s="1" t="e">
        <v>#N/A</v>
      </c>
      <c r="W1208" t="s">
        <v>62</v>
      </c>
      <c r="X1208">
        <v>0</v>
      </c>
      <c r="Y1208">
        <v>0</v>
      </c>
      <c r="AA1208" t="str">
        <f t="shared" si="36"/>
        <v/>
      </c>
      <c r="AB1208" t="str">
        <f t="shared" si="37"/>
        <v/>
      </c>
    </row>
    <row r="1209" spans="1:28" x14ac:dyDescent="0.25">
      <c r="A1209" s="2">
        <v>157</v>
      </c>
      <c r="B1209" t="s">
        <v>961</v>
      </c>
      <c r="D1209" t="s">
        <v>962</v>
      </c>
      <c r="E1209" t="s">
        <v>963</v>
      </c>
      <c r="F1209" t="s">
        <v>964</v>
      </c>
      <c r="G1209" s="1">
        <v>45145</v>
      </c>
      <c r="H1209" s="1">
        <v>45383</v>
      </c>
      <c r="I1209" s="1">
        <v>73050</v>
      </c>
      <c r="J1209" s="2" t="s">
        <v>357</v>
      </c>
      <c r="K1209" t="s">
        <v>965</v>
      </c>
      <c r="M1209" s="16" t="s">
        <v>8551</v>
      </c>
      <c r="N1209" s="16" t="str">
        <f>VLOOKUP(M1209,Tab_Zast[[Zastávka]:[Sloupec1]],2,0)</f>
        <v>00</v>
      </c>
      <c r="O1209" t="s">
        <v>966</v>
      </c>
      <c r="P1209">
        <v>4</v>
      </c>
      <c r="Q1209">
        <v>0</v>
      </c>
      <c r="R1209" t="s">
        <v>31</v>
      </c>
      <c r="S1209" t="s">
        <v>31</v>
      </c>
      <c r="T1209" t="s">
        <v>32</v>
      </c>
      <c r="V1209" s="1" t="e">
        <v>#N/A</v>
      </c>
      <c r="W1209" t="s">
        <v>62</v>
      </c>
      <c r="X1209">
        <v>0</v>
      </c>
      <c r="Y1209">
        <v>0</v>
      </c>
      <c r="Z1209" t="s">
        <v>54</v>
      </c>
      <c r="AA1209" t="str">
        <f t="shared" si="36"/>
        <v/>
      </c>
      <c r="AB1209" t="str">
        <f t="shared" si="37"/>
        <v/>
      </c>
    </row>
    <row r="1210" spans="1:28" x14ac:dyDescent="0.25">
      <c r="A1210" s="2">
        <v>160</v>
      </c>
      <c r="B1210" t="s">
        <v>980</v>
      </c>
      <c r="C1210" t="s">
        <v>981</v>
      </c>
      <c r="D1210" t="s">
        <v>982</v>
      </c>
      <c r="E1210" t="s">
        <v>983</v>
      </c>
      <c r="F1210" t="s">
        <v>67</v>
      </c>
      <c r="G1210" s="1">
        <v>45069</v>
      </c>
      <c r="H1210" s="1">
        <v>45445</v>
      </c>
      <c r="I1210" s="1">
        <v>73050</v>
      </c>
      <c r="J1210" s="2" t="s">
        <v>357</v>
      </c>
      <c r="K1210" t="s">
        <v>984</v>
      </c>
      <c r="M1210" s="16" t="s">
        <v>8551</v>
      </c>
      <c r="N1210" s="16" t="str">
        <f>VLOOKUP(M1210,Tab_Zast[[Zastávka]:[Sloupec1]],2,0)</f>
        <v>00</v>
      </c>
      <c r="O1210" t="s">
        <v>985</v>
      </c>
      <c r="P1210">
        <v>4</v>
      </c>
      <c r="Q1210">
        <v>0</v>
      </c>
      <c r="R1210" t="s">
        <v>31</v>
      </c>
      <c r="S1210" t="s">
        <v>31</v>
      </c>
      <c r="T1210" t="s">
        <v>205</v>
      </c>
      <c r="V1210" s="1" t="e">
        <v>#N/A</v>
      </c>
      <c r="W1210" t="s">
        <v>62</v>
      </c>
      <c r="X1210">
        <v>0</v>
      </c>
      <c r="Y1210">
        <v>0</v>
      </c>
      <c r="Z1210" t="s">
        <v>54</v>
      </c>
      <c r="AA1210" t="str">
        <f t="shared" si="36"/>
        <v/>
      </c>
      <c r="AB1210" t="str">
        <f t="shared" si="37"/>
        <v/>
      </c>
    </row>
    <row r="1211" spans="1:28" x14ac:dyDescent="0.25">
      <c r="A1211" s="2">
        <v>172</v>
      </c>
      <c r="B1211" t="s">
        <v>1055</v>
      </c>
      <c r="D1211" t="s">
        <v>1056</v>
      </c>
      <c r="E1211" t="s">
        <v>1057</v>
      </c>
      <c r="F1211" t="s">
        <v>1058</v>
      </c>
      <c r="G1211" s="1">
        <v>45190</v>
      </c>
      <c r="H1211" s="1">
        <v>45244</v>
      </c>
      <c r="I1211" s="1" t="e">
        <v>#N/A</v>
      </c>
      <c r="J1211" s="2" t="s">
        <v>357</v>
      </c>
      <c r="K1211" t="s">
        <v>1059</v>
      </c>
      <c r="M1211" s="16" t="s">
        <v>8551</v>
      </c>
      <c r="N1211" s="16" t="str">
        <f>VLOOKUP(M1211,Tab_Zast[[Zastávka]:[Sloupec1]],2,0)</f>
        <v>00</v>
      </c>
      <c r="O1211" t="s">
        <v>1060</v>
      </c>
      <c r="P1211">
        <v>6</v>
      </c>
      <c r="Q1211">
        <v>0</v>
      </c>
      <c r="R1211" t="s">
        <v>31</v>
      </c>
      <c r="S1211" t="s">
        <v>31</v>
      </c>
      <c r="T1211" t="s">
        <v>32</v>
      </c>
      <c r="V1211" s="1" t="e">
        <v>#N/A</v>
      </c>
      <c r="W1211" t="s">
        <v>1022</v>
      </c>
      <c r="X1211">
        <v>0</v>
      </c>
      <c r="Y1211">
        <v>0</v>
      </c>
      <c r="Z1211" t="s">
        <v>54</v>
      </c>
      <c r="AA1211" t="str">
        <f t="shared" si="36"/>
        <v/>
      </c>
      <c r="AB1211" t="str">
        <f t="shared" si="37"/>
        <v/>
      </c>
    </row>
    <row r="1212" spans="1:28" x14ac:dyDescent="0.25">
      <c r="A1212" s="2">
        <v>398</v>
      </c>
      <c r="B1212" t="s">
        <v>1301</v>
      </c>
      <c r="D1212" t="s">
        <v>1302</v>
      </c>
      <c r="E1212" t="s">
        <v>1303</v>
      </c>
      <c r="F1212" t="s">
        <v>1304</v>
      </c>
      <c r="G1212" s="1">
        <v>45033</v>
      </c>
      <c r="H1212" s="1">
        <v>45398</v>
      </c>
      <c r="I1212" s="1">
        <v>73050</v>
      </c>
      <c r="J1212" s="2" t="s">
        <v>357</v>
      </c>
      <c r="K1212" t="s">
        <v>1305</v>
      </c>
      <c r="M1212" s="16" t="s">
        <v>8551</v>
      </c>
      <c r="N1212" s="16" t="str">
        <f>VLOOKUP(M1212,Tab_Zast[[Zastávka]:[Sloupec1]],2,0)</f>
        <v>00</v>
      </c>
      <c r="O1212" t="s">
        <v>1306</v>
      </c>
      <c r="P1212">
        <v>6</v>
      </c>
      <c r="Q1212">
        <v>0</v>
      </c>
      <c r="R1212" t="s">
        <v>31</v>
      </c>
      <c r="S1212" t="s">
        <v>31</v>
      </c>
      <c r="T1212" t="s">
        <v>32</v>
      </c>
      <c r="V1212" s="1" t="e">
        <v>#N/A</v>
      </c>
      <c r="W1212" t="s">
        <v>1216</v>
      </c>
      <c r="X1212">
        <v>0</v>
      </c>
      <c r="Y1212">
        <v>0</v>
      </c>
      <c r="Z1212" t="s">
        <v>54</v>
      </c>
      <c r="AA1212" t="str">
        <f t="shared" si="36"/>
        <v/>
      </c>
      <c r="AB1212" t="str">
        <f t="shared" si="37"/>
        <v/>
      </c>
    </row>
    <row r="1213" spans="1:28" x14ac:dyDescent="0.25">
      <c r="A1213" s="2">
        <v>411</v>
      </c>
      <c r="B1213" t="s">
        <v>1381</v>
      </c>
      <c r="D1213" t="s">
        <v>1382</v>
      </c>
      <c r="E1213" t="s">
        <v>1383</v>
      </c>
      <c r="F1213" t="s">
        <v>1384</v>
      </c>
      <c r="G1213" s="1">
        <v>44593</v>
      </c>
      <c r="H1213" s="1">
        <v>45212</v>
      </c>
      <c r="I1213" s="1" t="e">
        <v>#N/A</v>
      </c>
      <c r="J1213" s="2" t="s">
        <v>357</v>
      </c>
      <c r="K1213" t="s">
        <v>1385</v>
      </c>
      <c r="M1213" s="16" t="s">
        <v>8551</v>
      </c>
      <c r="N1213" s="16" t="str">
        <f>VLOOKUP(M1213,Tab_Zast[[Zastávka]:[Sloupec1]],2,0)</f>
        <v>00</v>
      </c>
      <c r="O1213" t="s">
        <v>1386</v>
      </c>
      <c r="P1213">
        <v>6</v>
      </c>
      <c r="Q1213">
        <v>0</v>
      </c>
      <c r="R1213" t="s">
        <v>31</v>
      </c>
      <c r="S1213" t="s">
        <v>31</v>
      </c>
      <c r="T1213" t="s">
        <v>32</v>
      </c>
      <c r="V1213" s="1" t="e">
        <v>#N/A</v>
      </c>
      <c r="W1213" t="s">
        <v>1216</v>
      </c>
      <c r="X1213">
        <v>0</v>
      </c>
      <c r="Y1213">
        <v>0</v>
      </c>
      <c r="Z1213" t="s">
        <v>54</v>
      </c>
      <c r="AA1213" t="str">
        <f t="shared" si="36"/>
        <v/>
      </c>
      <c r="AB1213" t="str">
        <f t="shared" si="37"/>
        <v/>
      </c>
    </row>
    <row r="1214" spans="1:28" x14ac:dyDescent="0.25">
      <c r="A1214" s="2">
        <v>414</v>
      </c>
      <c r="B1214" t="s">
        <v>1400</v>
      </c>
      <c r="D1214" t="s">
        <v>1401</v>
      </c>
      <c r="E1214" t="s">
        <v>1402</v>
      </c>
      <c r="F1214" t="s">
        <v>1403</v>
      </c>
      <c r="G1214" s="1">
        <v>44690</v>
      </c>
      <c r="H1214" s="1">
        <v>45418</v>
      </c>
      <c r="I1214" s="1">
        <v>73050</v>
      </c>
      <c r="J1214" s="2" t="s">
        <v>357</v>
      </c>
      <c r="K1214" t="s">
        <v>1404</v>
      </c>
      <c r="M1214" s="16" t="s">
        <v>8551</v>
      </c>
      <c r="N1214" s="16" t="str">
        <f>VLOOKUP(M1214,Tab_Zast[[Zastávka]:[Sloupec1]],2,0)</f>
        <v>00</v>
      </c>
      <c r="O1214" t="s">
        <v>1405</v>
      </c>
      <c r="P1214">
        <v>6</v>
      </c>
      <c r="Q1214">
        <v>0</v>
      </c>
      <c r="R1214" t="s">
        <v>31</v>
      </c>
      <c r="S1214" t="s">
        <v>31</v>
      </c>
      <c r="T1214" t="s">
        <v>32</v>
      </c>
      <c r="V1214" s="1" t="e">
        <v>#N/A</v>
      </c>
      <c r="W1214" t="s">
        <v>1216</v>
      </c>
      <c r="X1214">
        <v>0</v>
      </c>
      <c r="Y1214">
        <v>0</v>
      </c>
      <c r="AA1214" t="str">
        <f t="shared" si="36"/>
        <v/>
      </c>
      <c r="AB1214" t="str">
        <f t="shared" si="37"/>
        <v/>
      </c>
    </row>
    <row r="1215" spans="1:28" x14ac:dyDescent="0.25">
      <c r="A1215" s="2">
        <v>450</v>
      </c>
      <c r="B1215" t="s">
        <v>1625</v>
      </c>
      <c r="D1215" t="s">
        <v>1626</v>
      </c>
      <c r="E1215" t="s">
        <v>1627</v>
      </c>
      <c r="F1215" t="s">
        <v>1628</v>
      </c>
      <c r="G1215" s="1">
        <v>45196</v>
      </c>
      <c r="H1215" s="1">
        <v>45364</v>
      </c>
      <c r="I1215" s="1">
        <v>73050</v>
      </c>
      <c r="J1215" s="2" t="s">
        <v>357</v>
      </c>
      <c r="K1215" t="s">
        <v>1629</v>
      </c>
      <c r="M1215" s="16" t="s">
        <v>8551</v>
      </c>
      <c r="N1215" s="16" t="str">
        <f>VLOOKUP(M1215,Tab_Zast[[Zastávka]:[Sloupec1]],2,0)</f>
        <v>00</v>
      </c>
      <c r="O1215" t="s">
        <v>1630</v>
      </c>
      <c r="P1215">
        <v>6</v>
      </c>
      <c r="Q1215">
        <v>0</v>
      </c>
      <c r="R1215" t="s">
        <v>31</v>
      </c>
      <c r="S1215" t="s">
        <v>31</v>
      </c>
      <c r="T1215" t="s">
        <v>32</v>
      </c>
      <c r="V1215" s="1" t="e">
        <v>#N/A</v>
      </c>
      <c r="W1215" t="s">
        <v>1216</v>
      </c>
      <c r="X1215">
        <v>0</v>
      </c>
      <c r="Y1215">
        <v>0</v>
      </c>
      <c r="Z1215" t="s">
        <v>54</v>
      </c>
      <c r="AA1215" t="str">
        <f t="shared" si="36"/>
        <v/>
      </c>
      <c r="AB1215" t="str">
        <f t="shared" si="37"/>
        <v/>
      </c>
    </row>
    <row r="1216" spans="1:28" x14ac:dyDescent="0.25">
      <c r="A1216" s="2">
        <v>494</v>
      </c>
      <c r="B1216" t="s">
        <v>1907</v>
      </c>
      <c r="D1216" t="s">
        <v>1902</v>
      </c>
      <c r="E1216" t="s">
        <v>1908</v>
      </c>
      <c r="F1216" t="s">
        <v>1909</v>
      </c>
      <c r="G1216" s="1">
        <v>45159</v>
      </c>
      <c r="H1216" s="1">
        <v>45243</v>
      </c>
      <c r="I1216" s="1" t="e">
        <v>#N/A</v>
      </c>
      <c r="J1216" s="2" t="s">
        <v>357</v>
      </c>
      <c r="K1216" t="s">
        <v>1910</v>
      </c>
      <c r="M1216" s="16" t="s">
        <v>8551</v>
      </c>
      <c r="N1216" s="16" t="str">
        <f>VLOOKUP(M1216,Tab_Zast[[Zastávka]:[Sloupec1]],2,0)</f>
        <v>00</v>
      </c>
      <c r="O1216" t="s">
        <v>1911</v>
      </c>
      <c r="P1216">
        <v>6</v>
      </c>
      <c r="Q1216">
        <v>0</v>
      </c>
      <c r="R1216" t="s">
        <v>31</v>
      </c>
      <c r="S1216" t="s">
        <v>31</v>
      </c>
      <c r="T1216" t="s">
        <v>32</v>
      </c>
      <c r="V1216" s="1" t="e">
        <v>#N/A</v>
      </c>
      <c r="W1216" t="s">
        <v>1216</v>
      </c>
      <c r="X1216">
        <v>0</v>
      </c>
      <c r="Y1216">
        <v>0</v>
      </c>
      <c r="Z1216" t="s">
        <v>54</v>
      </c>
      <c r="AA1216" t="str">
        <f t="shared" si="36"/>
        <v/>
      </c>
      <c r="AB1216" t="str">
        <f t="shared" si="37"/>
        <v/>
      </c>
    </row>
    <row r="1217" spans="1:28" x14ac:dyDescent="0.25">
      <c r="A1217" s="2">
        <v>504</v>
      </c>
      <c r="B1217" t="s">
        <v>1966</v>
      </c>
      <c r="D1217" t="s">
        <v>1967</v>
      </c>
      <c r="E1217" t="s">
        <v>1968</v>
      </c>
      <c r="F1217" t="s">
        <v>1969</v>
      </c>
      <c r="G1217" s="1">
        <v>45189</v>
      </c>
      <c r="H1217" s="1">
        <v>45233</v>
      </c>
      <c r="I1217" s="1" t="e">
        <v>#N/A</v>
      </c>
      <c r="J1217" s="2" t="s">
        <v>357</v>
      </c>
      <c r="K1217" t="s">
        <v>1970</v>
      </c>
      <c r="M1217" s="16" t="s">
        <v>8551</v>
      </c>
      <c r="N1217" s="16" t="str">
        <f>VLOOKUP(M1217,Tab_Zast[[Zastávka]:[Sloupec1]],2,0)</f>
        <v>00</v>
      </c>
      <c r="O1217" t="s">
        <v>1971</v>
      </c>
      <c r="P1217">
        <v>6</v>
      </c>
      <c r="Q1217">
        <v>0</v>
      </c>
      <c r="R1217" t="s">
        <v>31</v>
      </c>
      <c r="S1217" t="s">
        <v>31</v>
      </c>
      <c r="T1217" t="s">
        <v>32</v>
      </c>
      <c r="V1217" s="1" t="e">
        <v>#N/A</v>
      </c>
      <c r="W1217" t="s">
        <v>1216</v>
      </c>
      <c r="X1217">
        <v>0</v>
      </c>
      <c r="Y1217">
        <v>0</v>
      </c>
      <c r="Z1217" t="s">
        <v>54</v>
      </c>
      <c r="AA1217" t="str">
        <f t="shared" si="36"/>
        <v/>
      </c>
      <c r="AB1217" t="str">
        <f t="shared" si="37"/>
        <v/>
      </c>
    </row>
    <row r="1218" spans="1:28" x14ac:dyDescent="0.25">
      <c r="A1218" s="2">
        <v>508</v>
      </c>
      <c r="B1218" t="s">
        <v>1993</v>
      </c>
      <c r="D1218" t="s">
        <v>1994</v>
      </c>
      <c r="E1218" t="s">
        <v>1995</v>
      </c>
      <c r="F1218" t="s">
        <v>1996</v>
      </c>
      <c r="G1218" s="1">
        <v>45110</v>
      </c>
      <c r="H1218" s="1">
        <v>45257</v>
      </c>
      <c r="I1218" s="1" t="e">
        <v>#N/A</v>
      </c>
      <c r="J1218" s="2" t="s">
        <v>357</v>
      </c>
      <c r="K1218" t="s">
        <v>1997</v>
      </c>
      <c r="M1218" s="16" t="s">
        <v>8551</v>
      </c>
      <c r="N1218" s="16" t="str">
        <f>VLOOKUP(M1218,Tab_Zast[[Zastávka]:[Sloupec1]],2,0)</f>
        <v>00</v>
      </c>
      <c r="O1218" t="s">
        <v>1998</v>
      </c>
      <c r="P1218">
        <v>6</v>
      </c>
      <c r="Q1218">
        <v>0</v>
      </c>
      <c r="R1218" t="s">
        <v>31</v>
      </c>
      <c r="S1218" t="s">
        <v>31</v>
      </c>
      <c r="T1218" t="s">
        <v>32</v>
      </c>
      <c r="V1218" s="1" t="e">
        <v>#N/A</v>
      </c>
      <c r="W1218" t="s">
        <v>1216</v>
      </c>
      <c r="X1218">
        <v>0</v>
      </c>
      <c r="Y1218">
        <v>0</v>
      </c>
      <c r="Z1218" t="s">
        <v>54</v>
      </c>
      <c r="AA1218" t="str">
        <f t="shared" si="36"/>
        <v/>
      </c>
      <c r="AB1218" t="str">
        <f t="shared" si="37"/>
        <v/>
      </c>
    </row>
    <row r="1219" spans="1:28" x14ac:dyDescent="0.25">
      <c r="A1219" s="2">
        <v>512</v>
      </c>
      <c r="B1219" t="s">
        <v>2018</v>
      </c>
      <c r="C1219" t="s">
        <v>2019</v>
      </c>
      <c r="D1219" t="s">
        <v>2020</v>
      </c>
      <c r="E1219" t="s">
        <v>1261</v>
      </c>
      <c r="F1219" t="s">
        <v>2021</v>
      </c>
      <c r="G1219" s="1">
        <v>44830</v>
      </c>
      <c r="H1219" s="1">
        <v>73050</v>
      </c>
      <c r="I1219" s="1" t="e">
        <v>#N/A</v>
      </c>
      <c r="J1219" s="2" t="s">
        <v>8507</v>
      </c>
      <c r="K1219" t="s">
        <v>2022</v>
      </c>
      <c r="M1219" s="16" t="s">
        <v>8508</v>
      </c>
      <c r="N1219" s="16" t="str">
        <f>VLOOKUP(M1219,Tab_Zast[[Zastávka]:[Sloupec1]],2,0)</f>
        <v>92</v>
      </c>
      <c r="O1219" t="s">
        <v>2023</v>
      </c>
      <c r="P1219">
        <v>6</v>
      </c>
      <c r="Q1219">
        <v>0</v>
      </c>
      <c r="R1219" t="s">
        <v>130</v>
      </c>
      <c r="S1219" t="s">
        <v>31</v>
      </c>
      <c r="T1219" t="s">
        <v>32</v>
      </c>
      <c r="V1219" s="1" t="e">
        <v>#N/A</v>
      </c>
      <c r="W1219" t="s">
        <v>1216</v>
      </c>
      <c r="X1219">
        <v>1</v>
      </c>
      <c r="Y1219">
        <v>0</v>
      </c>
      <c r="AA1219" t="str">
        <f t="shared" si="36"/>
        <v>update zamestnanci set nastup='92' where id='512';</v>
      </c>
      <c r="AB1219" t="str">
        <f t="shared" si="37"/>
        <v>update dochazka set zastavka = '92' where zamestnanec = '512';</v>
      </c>
    </row>
    <row r="1220" spans="1:28" x14ac:dyDescent="0.25">
      <c r="A1220" s="2">
        <v>531</v>
      </c>
      <c r="B1220" t="s">
        <v>2135</v>
      </c>
      <c r="D1220" t="s">
        <v>2136</v>
      </c>
      <c r="E1220" t="s">
        <v>935</v>
      </c>
      <c r="F1220" t="s">
        <v>2137</v>
      </c>
      <c r="G1220" s="1">
        <v>45181</v>
      </c>
      <c r="H1220" s="1">
        <v>45342</v>
      </c>
      <c r="I1220" s="1">
        <v>73050</v>
      </c>
      <c r="J1220" s="2" t="s">
        <v>357</v>
      </c>
      <c r="K1220" t="s">
        <v>2138</v>
      </c>
      <c r="M1220" s="16" t="s">
        <v>8551</v>
      </c>
      <c r="N1220" s="16" t="str">
        <f>VLOOKUP(M1220,Tab_Zast[[Zastávka]:[Sloupec1]],2,0)</f>
        <v>00</v>
      </c>
      <c r="O1220" t="s">
        <v>2139</v>
      </c>
      <c r="P1220">
        <v>6</v>
      </c>
      <c r="Q1220">
        <v>0</v>
      </c>
      <c r="R1220" t="s">
        <v>31</v>
      </c>
      <c r="S1220" t="s">
        <v>31</v>
      </c>
      <c r="T1220" t="s">
        <v>32</v>
      </c>
      <c r="V1220" s="1" t="e">
        <v>#N/A</v>
      </c>
      <c r="W1220" t="s">
        <v>1216</v>
      </c>
      <c r="X1220">
        <v>0</v>
      </c>
      <c r="Y1220">
        <v>0</v>
      </c>
      <c r="Z1220" t="s">
        <v>54</v>
      </c>
      <c r="AA1220" t="str">
        <f t="shared" ref="AA1220:AA1283" si="38">IF(J1220&lt;&gt;"00","update zamestnanci set nastup='" &amp; J1220 &amp; "' where id='" &amp; A1220 &amp; "';","")</f>
        <v/>
      </c>
      <c r="AB1220" t="str">
        <f t="shared" ref="AB1220:AB1283" si="39">IF(J1220&lt;&gt;"00","update dochazka set zastavka = '" &amp; J1220 &amp; "' where zamestnanec = '" &amp; A1220 &amp; "';","")</f>
        <v/>
      </c>
    </row>
    <row r="1221" spans="1:28" x14ac:dyDescent="0.25">
      <c r="A1221" s="2">
        <v>566</v>
      </c>
      <c r="B1221" t="s">
        <v>2358</v>
      </c>
      <c r="D1221" t="s">
        <v>2359</v>
      </c>
      <c r="E1221" t="s">
        <v>2360</v>
      </c>
      <c r="F1221" t="s">
        <v>2361</v>
      </c>
      <c r="G1221" s="1">
        <v>44593</v>
      </c>
      <c r="H1221" s="1">
        <v>45237</v>
      </c>
      <c r="I1221" s="1" t="e">
        <v>#N/A</v>
      </c>
      <c r="J1221" s="2" t="s">
        <v>357</v>
      </c>
      <c r="K1221" t="s">
        <v>2362</v>
      </c>
      <c r="M1221" s="16" t="s">
        <v>8551</v>
      </c>
      <c r="N1221" s="16" t="str">
        <f>VLOOKUP(M1221,Tab_Zast[[Zastávka]:[Sloupec1]],2,0)</f>
        <v>00</v>
      </c>
      <c r="O1221" t="s">
        <v>2363</v>
      </c>
      <c r="P1221">
        <v>6</v>
      </c>
      <c r="Q1221">
        <v>0</v>
      </c>
      <c r="R1221" t="s">
        <v>31</v>
      </c>
      <c r="S1221" t="s">
        <v>31</v>
      </c>
      <c r="T1221" t="s">
        <v>32</v>
      </c>
      <c r="V1221" s="1" t="e">
        <v>#N/A</v>
      </c>
      <c r="W1221" t="s">
        <v>1216</v>
      </c>
      <c r="X1221">
        <v>0</v>
      </c>
      <c r="Y1221">
        <v>0</v>
      </c>
      <c r="Z1221" t="s">
        <v>54</v>
      </c>
      <c r="AA1221" t="str">
        <f t="shared" si="38"/>
        <v/>
      </c>
      <c r="AB1221" t="str">
        <f t="shared" si="39"/>
        <v/>
      </c>
    </row>
    <row r="1222" spans="1:28" x14ac:dyDescent="0.25">
      <c r="A1222" s="2">
        <v>588</v>
      </c>
      <c r="B1222" t="s">
        <v>2487</v>
      </c>
      <c r="C1222" t="s">
        <v>2488</v>
      </c>
      <c r="D1222" t="s">
        <v>2489</v>
      </c>
      <c r="E1222" t="s">
        <v>2490</v>
      </c>
      <c r="F1222" t="s">
        <v>2491</v>
      </c>
      <c r="G1222" s="1">
        <v>45119</v>
      </c>
      <c r="H1222" s="1" t="e">
        <v>#N/A</v>
      </c>
      <c r="I1222" s="1" t="e">
        <v>#N/A</v>
      </c>
      <c r="J1222" s="2" t="s">
        <v>8531</v>
      </c>
      <c r="K1222" t="s">
        <v>2492</v>
      </c>
      <c r="M1222" s="16" t="s">
        <v>8532</v>
      </c>
      <c r="N1222" s="16" t="str">
        <f>VLOOKUP(M1222,Tab_Zast[[Zastávka]:[Sloupec1]],2,0)</f>
        <v>101</v>
      </c>
      <c r="O1222" t="s">
        <v>2493</v>
      </c>
      <c r="P1222">
        <v>8</v>
      </c>
      <c r="Q1222">
        <v>0</v>
      </c>
      <c r="R1222" t="s">
        <v>179</v>
      </c>
      <c r="S1222" t="s">
        <v>31</v>
      </c>
      <c r="T1222" t="s">
        <v>32</v>
      </c>
      <c r="V1222" s="1" t="e">
        <v>#N/A</v>
      </c>
      <c r="W1222" t="s">
        <v>493</v>
      </c>
      <c r="X1222">
        <v>1</v>
      </c>
      <c r="Y1222">
        <v>0</v>
      </c>
      <c r="AA1222" t="str">
        <f t="shared" si="38"/>
        <v>update zamestnanci set nastup='101' where id='588';</v>
      </c>
      <c r="AB1222" t="str">
        <f t="shared" si="39"/>
        <v>update dochazka set zastavka = '101' where zamestnanec = '588';</v>
      </c>
    </row>
    <row r="1223" spans="1:28" x14ac:dyDescent="0.25">
      <c r="A1223" s="2">
        <v>597</v>
      </c>
      <c r="B1223" t="s">
        <v>2540</v>
      </c>
      <c r="C1223" t="s">
        <v>2541</v>
      </c>
      <c r="D1223" t="s">
        <v>2542</v>
      </c>
      <c r="E1223" t="s">
        <v>2543</v>
      </c>
      <c r="F1223" t="s">
        <v>2544</v>
      </c>
      <c r="G1223" s="1">
        <v>44836</v>
      </c>
      <c r="H1223" s="1" t="e">
        <v>#N/A</v>
      </c>
      <c r="I1223" s="1" t="e">
        <v>#N/A</v>
      </c>
      <c r="J1223" s="2" t="s">
        <v>1804</v>
      </c>
      <c r="K1223" t="s">
        <v>2545</v>
      </c>
      <c r="M1223" s="16" t="s">
        <v>8307</v>
      </c>
      <c r="N1223" s="16" t="str">
        <f>VLOOKUP(M1223,Tab_Zast[[Zastávka]:[Sloupec1]],2,0)</f>
        <v>19</v>
      </c>
      <c r="O1223" t="s">
        <v>2546</v>
      </c>
      <c r="P1223">
        <v>8</v>
      </c>
      <c r="Q1223">
        <v>0</v>
      </c>
      <c r="R1223" t="s">
        <v>179</v>
      </c>
      <c r="S1223" t="s">
        <v>31</v>
      </c>
      <c r="T1223" t="s">
        <v>32</v>
      </c>
      <c r="V1223" s="1" t="e">
        <v>#N/A</v>
      </c>
      <c r="W1223" t="s">
        <v>493</v>
      </c>
      <c r="X1223">
        <v>1</v>
      </c>
      <c r="Y1223">
        <v>0</v>
      </c>
      <c r="AA1223" t="str">
        <f t="shared" si="38"/>
        <v>update zamestnanci set nastup='19' where id='597';</v>
      </c>
      <c r="AB1223" t="str">
        <f t="shared" si="39"/>
        <v>update dochazka set zastavka = '19' where zamestnanec = '597';</v>
      </c>
    </row>
    <row r="1224" spans="1:28" x14ac:dyDescent="0.25">
      <c r="A1224" s="2">
        <v>599</v>
      </c>
      <c r="B1224" t="s">
        <v>2552</v>
      </c>
      <c r="C1224" t="s">
        <v>2553</v>
      </c>
      <c r="D1224" t="s">
        <v>2554</v>
      </c>
      <c r="E1224" t="s">
        <v>783</v>
      </c>
      <c r="F1224" t="s">
        <v>2555</v>
      </c>
      <c r="G1224" s="1">
        <v>44936</v>
      </c>
      <c r="H1224" s="1" t="e">
        <v>#N/A</v>
      </c>
      <c r="I1224" s="1" t="e">
        <v>#N/A</v>
      </c>
      <c r="J1224" s="2" t="s">
        <v>647</v>
      </c>
      <c r="K1224" t="s">
        <v>2556</v>
      </c>
      <c r="M1224" s="16" t="s">
        <v>8459</v>
      </c>
      <c r="N1224" s="16" t="str">
        <f>VLOOKUP(M1224,Tab_Zast[[Zastávka]:[Sloupec1]],2,0)</f>
        <v>78</v>
      </c>
      <c r="O1224" t="s">
        <v>2557</v>
      </c>
      <c r="P1224">
        <v>8</v>
      </c>
      <c r="Q1224">
        <v>0</v>
      </c>
      <c r="R1224" t="s">
        <v>179</v>
      </c>
      <c r="S1224" t="s">
        <v>31</v>
      </c>
      <c r="T1224" t="s">
        <v>32</v>
      </c>
      <c r="V1224" s="1" t="e">
        <v>#N/A</v>
      </c>
      <c r="W1224" t="s">
        <v>493</v>
      </c>
      <c r="X1224">
        <v>1</v>
      </c>
      <c r="Y1224">
        <v>0</v>
      </c>
      <c r="AA1224" t="str">
        <f t="shared" si="38"/>
        <v>update zamestnanci set nastup='78' where id='599';</v>
      </c>
      <c r="AB1224" t="str">
        <f t="shared" si="39"/>
        <v>update dochazka set zastavka = '78' where zamestnanec = '599';</v>
      </c>
    </row>
    <row r="1225" spans="1:28" x14ac:dyDescent="0.25">
      <c r="A1225" s="2">
        <v>603</v>
      </c>
      <c r="B1225" t="s">
        <v>2575</v>
      </c>
      <c r="C1225" t="s">
        <v>2576</v>
      </c>
      <c r="D1225" t="s">
        <v>2577</v>
      </c>
      <c r="E1225" t="s">
        <v>2578</v>
      </c>
      <c r="F1225" t="s">
        <v>2579</v>
      </c>
      <c r="G1225" s="1">
        <v>45069</v>
      </c>
      <c r="H1225" s="1" t="e">
        <v>#N/A</v>
      </c>
      <c r="I1225" s="1" t="e">
        <v>#N/A</v>
      </c>
      <c r="J1225" s="2" t="s">
        <v>360</v>
      </c>
      <c r="K1225" t="s">
        <v>2580</v>
      </c>
      <c r="M1225" s="16" t="s">
        <v>8339</v>
      </c>
      <c r="N1225" s="16" t="str">
        <f>VLOOKUP(M1225,Tab_Zast[[Zastávka]:[Sloupec1]],2,0)</f>
        <v>32</v>
      </c>
      <c r="O1225" t="s">
        <v>2581</v>
      </c>
      <c r="P1225">
        <v>8</v>
      </c>
      <c r="Q1225">
        <v>0</v>
      </c>
      <c r="R1225" t="s">
        <v>179</v>
      </c>
      <c r="S1225" t="s">
        <v>31</v>
      </c>
      <c r="T1225" t="s">
        <v>32</v>
      </c>
      <c r="V1225" s="1" t="e">
        <v>#N/A</v>
      </c>
      <c r="W1225" t="s">
        <v>493</v>
      </c>
      <c r="X1225">
        <v>1</v>
      </c>
      <c r="Y1225">
        <v>0</v>
      </c>
      <c r="AA1225" t="str">
        <f t="shared" si="38"/>
        <v>update zamestnanci set nastup='32' where id='603';</v>
      </c>
      <c r="AB1225" t="str">
        <f t="shared" si="39"/>
        <v>update dochazka set zastavka = '32' where zamestnanec = '603';</v>
      </c>
    </row>
    <row r="1226" spans="1:28" x14ac:dyDescent="0.25">
      <c r="A1226" s="2">
        <v>613</v>
      </c>
      <c r="B1226" t="s">
        <v>2632</v>
      </c>
      <c r="C1226" t="s">
        <v>2633</v>
      </c>
      <c r="D1226" t="s">
        <v>2634</v>
      </c>
      <c r="E1226" t="s">
        <v>2635</v>
      </c>
      <c r="F1226" t="s">
        <v>2636</v>
      </c>
      <c r="G1226" s="1">
        <v>45089</v>
      </c>
      <c r="H1226" s="1" t="e">
        <v>#N/A</v>
      </c>
      <c r="I1226" s="1" t="e">
        <v>#N/A</v>
      </c>
      <c r="J1226" s="2" t="s">
        <v>1804</v>
      </c>
      <c r="K1226" t="s">
        <v>2637</v>
      </c>
      <c r="M1226" s="16" t="s">
        <v>8307</v>
      </c>
      <c r="N1226" s="16" t="str">
        <f>VLOOKUP(M1226,Tab_Zast[[Zastávka]:[Sloupec1]],2,0)</f>
        <v>19</v>
      </c>
      <c r="O1226" t="s">
        <v>2638</v>
      </c>
      <c r="P1226">
        <v>8</v>
      </c>
      <c r="Q1226">
        <v>0</v>
      </c>
      <c r="R1226" t="s">
        <v>129</v>
      </c>
      <c r="S1226" t="s">
        <v>31</v>
      </c>
      <c r="T1226" t="s">
        <v>32</v>
      </c>
      <c r="V1226" s="1" t="e">
        <v>#N/A</v>
      </c>
      <c r="W1226" t="s">
        <v>493</v>
      </c>
      <c r="X1226">
        <v>1</v>
      </c>
      <c r="Y1226">
        <v>0</v>
      </c>
      <c r="AA1226" t="str">
        <f t="shared" si="38"/>
        <v>update zamestnanci set nastup='19' where id='613';</v>
      </c>
      <c r="AB1226" t="str">
        <f t="shared" si="39"/>
        <v>update dochazka set zastavka = '19' where zamestnanec = '613';</v>
      </c>
    </row>
    <row r="1227" spans="1:28" x14ac:dyDescent="0.25">
      <c r="A1227" s="2">
        <v>688</v>
      </c>
      <c r="B1227" t="s">
        <v>3029</v>
      </c>
      <c r="C1227" t="s">
        <v>3030</v>
      </c>
      <c r="D1227" t="s">
        <v>3031</v>
      </c>
      <c r="E1227" t="s">
        <v>3032</v>
      </c>
      <c r="F1227" t="s">
        <v>93</v>
      </c>
      <c r="G1227" s="1">
        <v>45244</v>
      </c>
      <c r="H1227" s="1">
        <v>45443</v>
      </c>
      <c r="I1227" s="1">
        <v>73050</v>
      </c>
      <c r="J1227" s="2" t="s">
        <v>357</v>
      </c>
      <c r="K1227" t="s">
        <v>3033</v>
      </c>
      <c r="M1227" s="16" t="s">
        <v>8551</v>
      </c>
      <c r="N1227" s="16" t="str">
        <f>VLOOKUP(M1227,Tab_Zast[[Zastávka]:[Sloupec1]],2,0)</f>
        <v>00</v>
      </c>
      <c r="O1227" t="s">
        <v>3034</v>
      </c>
      <c r="P1227">
        <v>4</v>
      </c>
      <c r="Q1227">
        <v>0</v>
      </c>
      <c r="R1227" t="s">
        <v>31</v>
      </c>
      <c r="S1227" t="s">
        <v>31</v>
      </c>
      <c r="T1227" t="s">
        <v>32</v>
      </c>
      <c r="V1227" s="1" t="e">
        <v>#N/A</v>
      </c>
      <c r="W1227" t="s">
        <v>62</v>
      </c>
      <c r="X1227">
        <v>0</v>
      </c>
      <c r="Y1227">
        <v>0</v>
      </c>
      <c r="Z1227" t="s">
        <v>54</v>
      </c>
      <c r="AA1227" t="str">
        <f t="shared" si="38"/>
        <v/>
      </c>
      <c r="AB1227" t="str">
        <f t="shared" si="39"/>
        <v/>
      </c>
    </row>
    <row r="1228" spans="1:28" x14ac:dyDescent="0.25">
      <c r="A1228" s="2">
        <v>723</v>
      </c>
      <c r="B1228" t="s">
        <v>3212</v>
      </c>
      <c r="C1228" t="s">
        <v>151</v>
      </c>
      <c r="D1228" t="s">
        <v>1382</v>
      </c>
      <c r="E1228" t="s">
        <v>1383</v>
      </c>
      <c r="F1228" t="s">
        <v>67</v>
      </c>
      <c r="G1228" s="1">
        <v>45293</v>
      </c>
      <c r="H1228" s="1">
        <v>45419</v>
      </c>
      <c r="I1228" s="1">
        <v>73050</v>
      </c>
      <c r="J1228" s="2" t="s">
        <v>357</v>
      </c>
      <c r="K1228" t="s">
        <v>1385</v>
      </c>
      <c r="M1228" s="16" t="s">
        <v>8551</v>
      </c>
      <c r="N1228" s="16" t="str">
        <f>VLOOKUP(M1228,Tab_Zast[[Zastávka]:[Sloupec1]],2,0)</f>
        <v>00</v>
      </c>
      <c r="O1228" t="s">
        <v>1386</v>
      </c>
      <c r="P1228">
        <v>4</v>
      </c>
      <c r="Q1228">
        <v>0</v>
      </c>
      <c r="R1228" t="s">
        <v>31</v>
      </c>
      <c r="S1228" t="s">
        <v>31</v>
      </c>
      <c r="T1228" t="s">
        <v>32</v>
      </c>
      <c r="V1228" s="1" t="e">
        <v>#N/A</v>
      </c>
      <c r="W1228" t="s">
        <v>62</v>
      </c>
      <c r="X1228">
        <v>0</v>
      </c>
      <c r="Y1228">
        <v>0</v>
      </c>
      <c r="Z1228" t="s">
        <v>54</v>
      </c>
      <c r="AA1228" t="str">
        <f t="shared" si="38"/>
        <v/>
      </c>
      <c r="AB1228" t="str">
        <f t="shared" si="39"/>
        <v/>
      </c>
    </row>
    <row r="1229" spans="1:28" x14ac:dyDescent="0.25">
      <c r="A1229" s="2">
        <v>756</v>
      </c>
      <c r="B1229" t="s">
        <v>3365</v>
      </c>
      <c r="C1229" t="s">
        <v>3366</v>
      </c>
      <c r="D1229" t="s">
        <v>3367</v>
      </c>
      <c r="E1229" t="s">
        <v>701</v>
      </c>
      <c r="F1229" t="s">
        <v>3368</v>
      </c>
      <c r="G1229" s="1">
        <v>45314</v>
      </c>
      <c r="H1229" s="1" t="e">
        <v>#N/A</v>
      </c>
      <c r="I1229" s="1" t="e">
        <v>#N/A</v>
      </c>
      <c r="J1229" s="2" t="s">
        <v>300</v>
      </c>
      <c r="K1229" t="s">
        <v>3369</v>
      </c>
      <c r="M1229" s="16" t="s">
        <v>8316</v>
      </c>
      <c r="N1229" s="16" t="str">
        <f>VLOOKUP(M1229,Tab_Zast[[Zastávka]:[Sloupec1]],2,0)</f>
        <v>23</v>
      </c>
      <c r="O1229" t="s">
        <v>3370</v>
      </c>
      <c r="P1229">
        <v>8</v>
      </c>
      <c r="Q1229">
        <v>0</v>
      </c>
      <c r="R1229" t="s">
        <v>129</v>
      </c>
      <c r="S1229" t="s">
        <v>31</v>
      </c>
      <c r="T1229" t="s">
        <v>32</v>
      </c>
      <c r="V1229" s="1" t="e">
        <v>#N/A</v>
      </c>
      <c r="W1229" t="s">
        <v>493</v>
      </c>
      <c r="X1229">
        <v>1</v>
      </c>
      <c r="Y1229">
        <v>0</v>
      </c>
      <c r="AA1229" t="str">
        <f t="shared" si="38"/>
        <v>update zamestnanci set nastup='23' where id='756';</v>
      </c>
      <c r="AB1229" t="str">
        <f t="shared" si="39"/>
        <v>update dochazka set zastavka = '23' where zamestnanec = '756';</v>
      </c>
    </row>
    <row r="1230" spans="1:28" x14ac:dyDescent="0.25">
      <c r="A1230" s="2">
        <v>768</v>
      </c>
      <c r="B1230" t="s">
        <v>3425</v>
      </c>
      <c r="D1230" t="s">
        <v>3426</v>
      </c>
      <c r="E1230" t="s">
        <v>3427</v>
      </c>
      <c r="F1230" t="s">
        <v>3428</v>
      </c>
      <c r="G1230" s="1">
        <v>45323</v>
      </c>
      <c r="H1230" s="1">
        <v>45372</v>
      </c>
      <c r="I1230" s="1">
        <v>73050</v>
      </c>
      <c r="J1230" s="2" t="s">
        <v>8290</v>
      </c>
      <c r="K1230" t="s">
        <v>3429</v>
      </c>
      <c r="M1230" s="16" t="s">
        <v>8291</v>
      </c>
      <c r="N1230" s="16" t="str">
        <f>VLOOKUP(M1230,Tab_Zast[[Zastávka]:[Sloupec1]],2,0)</f>
        <v>13</v>
      </c>
      <c r="O1230" t="s">
        <v>3430</v>
      </c>
      <c r="P1230">
        <v>1</v>
      </c>
      <c r="Q1230">
        <v>0</v>
      </c>
      <c r="R1230" t="s">
        <v>31</v>
      </c>
      <c r="S1230" t="s">
        <v>31</v>
      </c>
      <c r="T1230" t="s">
        <v>32</v>
      </c>
      <c r="V1230" s="1">
        <v>45373</v>
      </c>
      <c r="W1230" t="s">
        <v>2381</v>
      </c>
      <c r="X1230">
        <v>0</v>
      </c>
      <c r="Y1230">
        <v>0</v>
      </c>
      <c r="AA1230" t="str">
        <f t="shared" si="38"/>
        <v>update zamestnanci set nastup='13' where id='768';</v>
      </c>
      <c r="AB1230" t="str">
        <f t="shared" si="39"/>
        <v>update dochazka set zastavka = '13' where zamestnanec = '768';</v>
      </c>
    </row>
    <row r="1231" spans="1:28" x14ac:dyDescent="0.25">
      <c r="A1231" s="2">
        <v>839</v>
      </c>
      <c r="B1231" t="s">
        <v>3790</v>
      </c>
      <c r="C1231" t="s">
        <v>3791</v>
      </c>
      <c r="D1231" t="s">
        <v>3792</v>
      </c>
      <c r="E1231" t="s">
        <v>3793</v>
      </c>
      <c r="F1231" t="s">
        <v>67</v>
      </c>
      <c r="G1231" s="1">
        <v>45353</v>
      </c>
      <c r="H1231" s="1">
        <v>45504</v>
      </c>
      <c r="I1231" s="1">
        <v>73050</v>
      </c>
      <c r="J1231" s="2" t="s">
        <v>357</v>
      </c>
      <c r="K1231" t="s">
        <v>3794</v>
      </c>
      <c r="M1231" s="16" t="s">
        <v>8551</v>
      </c>
      <c r="N1231" s="16" t="str">
        <f>VLOOKUP(M1231,Tab_Zast[[Zastávka]:[Sloupec1]],2,0)</f>
        <v>00</v>
      </c>
      <c r="O1231" t="s">
        <v>3795</v>
      </c>
      <c r="P1231">
        <v>4</v>
      </c>
      <c r="Q1231">
        <v>0</v>
      </c>
      <c r="R1231" t="s">
        <v>31</v>
      </c>
      <c r="S1231" t="s">
        <v>31</v>
      </c>
      <c r="T1231" t="s">
        <v>32</v>
      </c>
      <c r="V1231" s="1">
        <v>45481</v>
      </c>
      <c r="W1231" t="s">
        <v>62</v>
      </c>
      <c r="X1231">
        <v>0</v>
      </c>
      <c r="Y1231">
        <v>0</v>
      </c>
      <c r="AA1231" t="str">
        <f t="shared" si="38"/>
        <v/>
      </c>
      <c r="AB1231" t="str">
        <f t="shared" si="39"/>
        <v/>
      </c>
    </row>
    <row r="1232" spans="1:28" x14ac:dyDescent="0.25">
      <c r="A1232" s="2">
        <v>907</v>
      </c>
      <c r="B1232" t="s">
        <v>4101</v>
      </c>
      <c r="C1232" t="s">
        <v>4102</v>
      </c>
      <c r="D1232" t="s">
        <v>4103</v>
      </c>
      <c r="E1232" t="s">
        <v>3550</v>
      </c>
      <c r="F1232" t="s">
        <v>4104</v>
      </c>
      <c r="G1232" s="1">
        <v>45397</v>
      </c>
      <c r="H1232" s="1">
        <v>45485</v>
      </c>
      <c r="I1232" s="1">
        <v>73050</v>
      </c>
      <c r="J1232" s="2" t="s">
        <v>357</v>
      </c>
      <c r="K1232" t="s">
        <v>4105</v>
      </c>
      <c r="M1232" s="16" t="s">
        <v>8551</v>
      </c>
      <c r="N1232" s="16" t="str">
        <f>VLOOKUP(M1232,Tab_Zast[[Zastávka]:[Sloupec1]],2,0)</f>
        <v>00</v>
      </c>
      <c r="O1232" t="s">
        <v>4106</v>
      </c>
      <c r="P1232">
        <v>3</v>
      </c>
      <c r="Q1232">
        <v>0</v>
      </c>
      <c r="R1232" t="s">
        <v>31</v>
      </c>
      <c r="S1232" t="s">
        <v>31</v>
      </c>
      <c r="T1232" t="s">
        <v>32</v>
      </c>
      <c r="V1232" s="1" t="e">
        <v>#N/A</v>
      </c>
      <c r="W1232" t="s">
        <v>493</v>
      </c>
      <c r="X1232">
        <v>0</v>
      </c>
      <c r="Y1232">
        <v>269</v>
      </c>
      <c r="AA1232" t="str">
        <f t="shared" si="38"/>
        <v/>
      </c>
      <c r="AB1232" t="str">
        <f t="shared" si="39"/>
        <v/>
      </c>
    </row>
    <row r="1233" spans="1:28" x14ac:dyDescent="0.25">
      <c r="A1233" s="2">
        <v>908</v>
      </c>
      <c r="B1233" t="s">
        <v>4107</v>
      </c>
      <c r="C1233" t="s">
        <v>4108</v>
      </c>
      <c r="D1233" t="s">
        <v>4109</v>
      </c>
      <c r="E1233" t="s">
        <v>707</v>
      </c>
      <c r="F1233" t="s">
        <v>4110</v>
      </c>
      <c r="G1233" s="1">
        <v>45397</v>
      </c>
      <c r="H1233" s="1" t="e">
        <v>#N/A</v>
      </c>
      <c r="I1233" s="1" t="e">
        <v>#N/A</v>
      </c>
      <c r="J1233" s="2" t="s">
        <v>8353</v>
      </c>
      <c r="K1233" t="s">
        <v>4111</v>
      </c>
      <c r="M1233" s="16" t="s">
        <v>8354</v>
      </c>
      <c r="N1233" s="16" t="str">
        <f>VLOOKUP(M1233,Tab_Zast[[Zastávka]:[Sloupec1]],2,0)</f>
        <v>38</v>
      </c>
      <c r="O1233" t="s">
        <v>4112</v>
      </c>
      <c r="P1233">
        <v>8</v>
      </c>
      <c r="Q1233">
        <v>0</v>
      </c>
      <c r="R1233" t="s">
        <v>129</v>
      </c>
      <c r="S1233" t="s">
        <v>31</v>
      </c>
      <c r="T1233" t="s">
        <v>32</v>
      </c>
      <c r="V1233" s="1" t="e">
        <v>#N/A</v>
      </c>
      <c r="W1233" t="s">
        <v>493</v>
      </c>
      <c r="X1233">
        <v>1</v>
      </c>
      <c r="Y1233">
        <v>260</v>
      </c>
      <c r="AA1233" t="str">
        <f t="shared" si="38"/>
        <v>update zamestnanci set nastup='38' where id='908';</v>
      </c>
      <c r="AB1233" t="str">
        <f t="shared" si="39"/>
        <v>update dochazka set zastavka = '38' where zamestnanec = '908';</v>
      </c>
    </row>
    <row r="1234" spans="1:28" x14ac:dyDescent="0.25">
      <c r="A1234" s="2">
        <v>965</v>
      </c>
      <c r="B1234" t="s">
        <v>4368</v>
      </c>
      <c r="C1234" t="s">
        <v>1394</v>
      </c>
      <c r="D1234" t="s">
        <v>4369</v>
      </c>
      <c r="E1234" t="s">
        <v>707</v>
      </c>
      <c r="F1234" t="s">
        <v>4370</v>
      </c>
      <c r="G1234" s="1">
        <v>45442</v>
      </c>
      <c r="H1234" s="1">
        <v>45534</v>
      </c>
      <c r="I1234" s="1">
        <v>73050</v>
      </c>
      <c r="J1234" s="2" t="s">
        <v>357</v>
      </c>
      <c r="K1234" t="s">
        <v>4371</v>
      </c>
      <c r="M1234" s="16" t="s">
        <v>8551</v>
      </c>
      <c r="N1234" s="16" t="str">
        <f>VLOOKUP(M1234,Tab_Zast[[Zastávka]:[Sloupec1]],2,0)</f>
        <v>00</v>
      </c>
      <c r="O1234" t="s">
        <v>4372</v>
      </c>
      <c r="P1234">
        <v>3</v>
      </c>
      <c r="Q1234">
        <v>0</v>
      </c>
      <c r="R1234" t="s">
        <v>31</v>
      </c>
      <c r="S1234" t="s">
        <v>31</v>
      </c>
      <c r="T1234" t="s">
        <v>32</v>
      </c>
      <c r="V1234" s="1">
        <v>45531</v>
      </c>
      <c r="W1234" t="s">
        <v>3091</v>
      </c>
      <c r="X1234">
        <v>0</v>
      </c>
      <c r="Y1234">
        <v>28</v>
      </c>
      <c r="AA1234" t="str">
        <f t="shared" si="38"/>
        <v/>
      </c>
      <c r="AB1234" t="str">
        <f t="shared" si="39"/>
        <v/>
      </c>
    </row>
    <row r="1235" spans="1:28" x14ac:dyDescent="0.25">
      <c r="A1235" s="2">
        <v>966</v>
      </c>
      <c r="B1235" t="s">
        <v>1394</v>
      </c>
      <c r="C1235" t="s">
        <v>1394</v>
      </c>
      <c r="D1235" t="s">
        <v>4373</v>
      </c>
      <c r="E1235" t="s">
        <v>4374</v>
      </c>
      <c r="F1235" t="s">
        <v>67</v>
      </c>
      <c r="G1235" s="1">
        <v>45442</v>
      </c>
      <c r="H1235" s="1">
        <v>45443</v>
      </c>
      <c r="I1235" s="1">
        <v>73050</v>
      </c>
      <c r="J1235" s="2" t="s">
        <v>357</v>
      </c>
      <c r="K1235" t="s">
        <v>4375</v>
      </c>
      <c r="M1235" s="16" t="s">
        <v>8551</v>
      </c>
      <c r="N1235" s="16" t="str">
        <f>VLOOKUP(M1235,Tab_Zast[[Zastávka]:[Sloupec1]],2,0)</f>
        <v>00</v>
      </c>
      <c r="O1235" t="s">
        <v>4376</v>
      </c>
      <c r="P1235">
        <v>3</v>
      </c>
      <c r="Q1235">
        <v>0</v>
      </c>
      <c r="R1235" t="s">
        <v>129</v>
      </c>
      <c r="S1235" t="s">
        <v>130</v>
      </c>
      <c r="T1235" t="s">
        <v>32</v>
      </c>
      <c r="V1235" s="1" t="e">
        <v>#N/A</v>
      </c>
      <c r="W1235" t="s">
        <v>3091</v>
      </c>
      <c r="X1235">
        <v>0</v>
      </c>
      <c r="Y1235">
        <v>334</v>
      </c>
      <c r="AA1235" t="str">
        <f t="shared" si="38"/>
        <v/>
      </c>
      <c r="AB1235" t="str">
        <f t="shared" si="39"/>
        <v/>
      </c>
    </row>
    <row r="1236" spans="1:28" x14ac:dyDescent="0.25">
      <c r="A1236" s="2">
        <v>978</v>
      </c>
      <c r="B1236" t="s">
        <v>4423</v>
      </c>
      <c r="C1236" t="s">
        <v>1394</v>
      </c>
      <c r="D1236" t="s">
        <v>4424</v>
      </c>
      <c r="E1236" t="s">
        <v>761</v>
      </c>
      <c r="F1236" t="s">
        <v>4425</v>
      </c>
      <c r="G1236" s="1">
        <v>45447</v>
      </c>
      <c r="H1236" s="1">
        <v>73050</v>
      </c>
      <c r="I1236" s="1" t="e">
        <v>#N/A</v>
      </c>
      <c r="J1236" s="2" t="s">
        <v>8264</v>
      </c>
      <c r="K1236" t="s">
        <v>4426</v>
      </c>
      <c r="M1236" s="16" t="s">
        <v>8265</v>
      </c>
      <c r="N1236" s="16" t="str">
        <f>VLOOKUP(M1236,Tab_Zast[[Zastávka]:[Sloupec1]],2,0)</f>
        <v>05</v>
      </c>
      <c r="O1236" t="s">
        <v>4427</v>
      </c>
      <c r="P1236">
        <v>9</v>
      </c>
      <c r="Q1236">
        <v>0</v>
      </c>
      <c r="R1236" t="s">
        <v>129</v>
      </c>
      <c r="S1236" t="s">
        <v>31</v>
      </c>
      <c r="T1236" t="s">
        <v>32</v>
      </c>
      <c r="V1236" s="1" t="e">
        <v>#N/A</v>
      </c>
      <c r="W1236" t="s">
        <v>3091</v>
      </c>
      <c r="X1236">
        <v>1</v>
      </c>
      <c r="Y1236">
        <v>375</v>
      </c>
      <c r="AA1236" t="str">
        <f t="shared" si="38"/>
        <v>update zamestnanci set nastup='05' where id='978';</v>
      </c>
      <c r="AB1236" t="str">
        <f t="shared" si="39"/>
        <v>update dochazka set zastavka = '05' where zamestnanec = '978';</v>
      </c>
    </row>
    <row r="1237" spans="1:28" x14ac:dyDescent="0.25">
      <c r="A1237" s="2">
        <v>988</v>
      </c>
      <c r="B1237" t="s">
        <v>4468</v>
      </c>
      <c r="C1237" t="s">
        <v>64</v>
      </c>
      <c r="D1237" t="s">
        <v>4469</v>
      </c>
      <c r="E1237" t="s">
        <v>707</v>
      </c>
      <c r="F1237" t="s">
        <v>4470</v>
      </c>
      <c r="G1237" s="1">
        <v>45453</v>
      </c>
      <c r="H1237" s="1">
        <v>45461</v>
      </c>
      <c r="I1237" s="1">
        <v>73050</v>
      </c>
      <c r="J1237" s="2" t="s">
        <v>357</v>
      </c>
      <c r="K1237" t="s">
        <v>4471</v>
      </c>
      <c r="M1237" s="16" t="s">
        <v>8551</v>
      </c>
      <c r="N1237" s="16" t="str">
        <f>VLOOKUP(M1237,Tab_Zast[[Zastávka]:[Sloupec1]],2,0)</f>
        <v>00</v>
      </c>
      <c r="O1237" t="s">
        <v>4472</v>
      </c>
      <c r="P1237">
        <v>3</v>
      </c>
      <c r="Q1237">
        <v>0</v>
      </c>
      <c r="R1237" t="s">
        <v>31</v>
      </c>
      <c r="S1237" t="s">
        <v>31</v>
      </c>
      <c r="T1237" t="s">
        <v>32</v>
      </c>
      <c r="V1237" s="1" t="e">
        <v>#N/A</v>
      </c>
      <c r="W1237" t="s">
        <v>493</v>
      </c>
      <c r="X1237">
        <v>0</v>
      </c>
      <c r="Y1237">
        <v>379</v>
      </c>
      <c r="Z1237" t="s">
        <v>40</v>
      </c>
      <c r="AA1237" t="str">
        <f t="shared" si="38"/>
        <v/>
      </c>
      <c r="AB1237" t="str">
        <f t="shared" si="39"/>
        <v/>
      </c>
    </row>
    <row r="1238" spans="1:28" x14ac:dyDescent="0.25">
      <c r="A1238" s="2">
        <v>992</v>
      </c>
      <c r="B1238" t="s">
        <v>4485</v>
      </c>
      <c r="C1238" t="s">
        <v>1394</v>
      </c>
      <c r="D1238" t="s">
        <v>3814</v>
      </c>
      <c r="E1238" t="s">
        <v>2613</v>
      </c>
      <c r="F1238" t="s">
        <v>4486</v>
      </c>
      <c r="G1238" s="1">
        <v>45453</v>
      </c>
      <c r="H1238" s="1">
        <v>73050</v>
      </c>
      <c r="I1238" s="1" t="e">
        <v>#N/A</v>
      </c>
      <c r="J1238" s="2" t="s">
        <v>8264</v>
      </c>
      <c r="K1238" t="s">
        <v>4487</v>
      </c>
      <c r="M1238" s="16" t="s">
        <v>8265</v>
      </c>
      <c r="N1238" s="16" t="str">
        <f>VLOOKUP(M1238,Tab_Zast[[Zastávka]:[Sloupec1]],2,0)</f>
        <v>05</v>
      </c>
      <c r="O1238" t="s">
        <v>4488</v>
      </c>
      <c r="P1238">
        <v>9</v>
      </c>
      <c r="Q1238">
        <v>0</v>
      </c>
      <c r="R1238" t="s">
        <v>129</v>
      </c>
      <c r="S1238" t="s">
        <v>31</v>
      </c>
      <c r="T1238" t="s">
        <v>32</v>
      </c>
      <c r="V1238" s="1" t="e">
        <v>#N/A</v>
      </c>
      <c r="W1238" t="s">
        <v>3091</v>
      </c>
      <c r="X1238">
        <v>1</v>
      </c>
      <c r="Y1238">
        <v>383</v>
      </c>
      <c r="AA1238" t="str">
        <f t="shared" si="38"/>
        <v>update zamestnanci set nastup='05' where id='992';</v>
      </c>
      <c r="AB1238" t="str">
        <f t="shared" si="39"/>
        <v>update dochazka set zastavka = '05' where zamestnanec = '992';</v>
      </c>
    </row>
    <row r="1239" spans="1:28" x14ac:dyDescent="0.25">
      <c r="A1239" s="2">
        <v>1016</v>
      </c>
      <c r="B1239" t="s">
        <v>4572</v>
      </c>
      <c r="C1239" t="s">
        <v>1394</v>
      </c>
      <c r="D1239" t="s">
        <v>4573</v>
      </c>
      <c r="E1239" t="s">
        <v>2705</v>
      </c>
      <c r="F1239" t="s">
        <v>4574</v>
      </c>
      <c r="G1239" s="1">
        <v>45461</v>
      </c>
      <c r="H1239" s="1">
        <v>45488</v>
      </c>
      <c r="I1239" s="1">
        <v>73050</v>
      </c>
      <c r="J1239" s="2" t="s">
        <v>357</v>
      </c>
      <c r="K1239" t="s">
        <v>4575</v>
      </c>
      <c r="M1239" s="16" t="s">
        <v>8551</v>
      </c>
      <c r="N1239" s="16" t="str">
        <f>VLOOKUP(M1239,Tab_Zast[[Zastávka]:[Sloupec1]],2,0)</f>
        <v>00</v>
      </c>
      <c r="O1239" t="s">
        <v>4576</v>
      </c>
      <c r="P1239">
        <v>3</v>
      </c>
      <c r="Q1239">
        <v>0</v>
      </c>
      <c r="R1239" t="s">
        <v>31</v>
      </c>
      <c r="S1239" t="s">
        <v>31</v>
      </c>
      <c r="T1239" t="s">
        <v>32</v>
      </c>
      <c r="V1239" s="1" t="e">
        <v>#N/A</v>
      </c>
      <c r="W1239" t="s">
        <v>3091</v>
      </c>
      <c r="X1239">
        <v>0</v>
      </c>
      <c r="Y1239">
        <v>405</v>
      </c>
      <c r="AA1239" t="str">
        <f t="shared" si="38"/>
        <v/>
      </c>
      <c r="AB1239" t="str">
        <f t="shared" si="39"/>
        <v/>
      </c>
    </row>
    <row r="1240" spans="1:28" x14ac:dyDescent="0.25">
      <c r="A1240" s="2">
        <v>1021</v>
      </c>
      <c r="B1240" t="s">
        <v>4595</v>
      </c>
      <c r="C1240" t="s">
        <v>1394</v>
      </c>
      <c r="D1240" t="s">
        <v>4596</v>
      </c>
      <c r="E1240" t="s">
        <v>707</v>
      </c>
      <c r="F1240" t="s">
        <v>4357</v>
      </c>
      <c r="G1240" s="1">
        <v>45461</v>
      </c>
      <c r="H1240" s="1">
        <v>45646</v>
      </c>
      <c r="I1240" s="1">
        <v>73050</v>
      </c>
      <c r="J1240" s="2" t="s">
        <v>8426</v>
      </c>
      <c r="K1240" t="s">
        <v>4597</v>
      </c>
      <c r="M1240" s="16" t="s">
        <v>8427</v>
      </c>
      <c r="N1240" s="16" t="str">
        <f>VLOOKUP(M1240,Tab_Zast[[Zastávka]:[Sloupec1]],2,0)</f>
        <v>67</v>
      </c>
      <c r="O1240" t="s">
        <v>4598</v>
      </c>
      <c r="P1240">
        <v>9</v>
      </c>
      <c r="Q1240">
        <v>0</v>
      </c>
      <c r="R1240" t="s">
        <v>31</v>
      </c>
      <c r="S1240" t="s">
        <v>31</v>
      </c>
      <c r="T1240" t="s">
        <v>32</v>
      </c>
      <c r="V1240" s="1" t="e">
        <v>#N/A</v>
      </c>
      <c r="W1240" t="s">
        <v>3091</v>
      </c>
      <c r="X1240">
        <v>0</v>
      </c>
      <c r="Y1240">
        <v>410</v>
      </c>
      <c r="Z1240" t="s">
        <v>54</v>
      </c>
      <c r="AA1240" t="str">
        <f t="shared" si="38"/>
        <v>update zamestnanci set nastup='67' where id='1021';</v>
      </c>
      <c r="AB1240" t="str">
        <f t="shared" si="39"/>
        <v>update dochazka set zastavka = '67' where zamestnanec = '1021';</v>
      </c>
    </row>
    <row r="1241" spans="1:28" x14ac:dyDescent="0.25">
      <c r="A1241" s="2">
        <v>1023</v>
      </c>
      <c r="B1241" t="s">
        <v>4604</v>
      </c>
      <c r="C1241" t="s">
        <v>1394</v>
      </c>
      <c r="D1241" t="s">
        <v>4605</v>
      </c>
      <c r="E1241" t="s">
        <v>2940</v>
      </c>
      <c r="F1241" t="s">
        <v>4606</v>
      </c>
      <c r="G1241" s="1">
        <v>45461</v>
      </c>
      <c r="H1241" s="1">
        <v>45470</v>
      </c>
      <c r="I1241" s="1">
        <v>73050</v>
      </c>
      <c r="J1241" s="2" t="s">
        <v>8531</v>
      </c>
      <c r="K1241" t="s">
        <v>4607</v>
      </c>
      <c r="M1241" s="16" t="s">
        <v>8532</v>
      </c>
      <c r="N1241" s="16" t="str">
        <f>VLOOKUP(M1241,Tab_Zast[[Zastávka]:[Sloupec1]],2,0)</f>
        <v>101</v>
      </c>
      <c r="O1241" t="s">
        <v>4608</v>
      </c>
      <c r="P1241">
        <v>3</v>
      </c>
      <c r="Q1241">
        <v>0</v>
      </c>
      <c r="R1241" t="s">
        <v>31</v>
      </c>
      <c r="S1241" t="s">
        <v>31</v>
      </c>
      <c r="T1241" t="s">
        <v>32</v>
      </c>
      <c r="V1241" s="1" t="e">
        <v>#N/A</v>
      </c>
      <c r="W1241" t="s">
        <v>3091</v>
      </c>
      <c r="X1241">
        <v>0</v>
      </c>
      <c r="Y1241">
        <v>412</v>
      </c>
      <c r="AA1241" t="str">
        <f t="shared" si="38"/>
        <v>update zamestnanci set nastup='101' where id='1023';</v>
      </c>
      <c r="AB1241" t="str">
        <f t="shared" si="39"/>
        <v>update dochazka set zastavka = '101' where zamestnanec = '1023';</v>
      </c>
    </row>
    <row r="1242" spans="1:28" x14ac:dyDescent="0.25">
      <c r="A1242" s="2">
        <v>1028</v>
      </c>
      <c r="B1242" t="s">
        <v>4629</v>
      </c>
      <c r="C1242" t="s">
        <v>64</v>
      </c>
      <c r="D1242" t="s">
        <v>4630</v>
      </c>
      <c r="E1242" t="s">
        <v>1744</v>
      </c>
      <c r="F1242" t="s">
        <v>4631</v>
      </c>
      <c r="G1242" s="1">
        <v>45464</v>
      </c>
      <c r="H1242" s="1">
        <v>45532</v>
      </c>
      <c r="I1242" s="1">
        <v>73050</v>
      </c>
      <c r="J1242" s="2" t="s">
        <v>357</v>
      </c>
      <c r="K1242" t="s">
        <v>4632</v>
      </c>
      <c r="M1242" s="16" t="s">
        <v>8551</v>
      </c>
      <c r="N1242" s="16" t="str">
        <f>VLOOKUP(M1242,Tab_Zast[[Zastávka]:[Sloupec1]],2,0)</f>
        <v>00</v>
      </c>
      <c r="O1242" t="s">
        <v>4633</v>
      </c>
      <c r="P1242">
        <v>3</v>
      </c>
      <c r="Q1242">
        <v>0</v>
      </c>
      <c r="R1242" t="s">
        <v>31</v>
      </c>
      <c r="S1242" t="s">
        <v>31</v>
      </c>
      <c r="T1242" t="s">
        <v>32</v>
      </c>
      <c r="V1242" s="1" t="e">
        <v>#N/A</v>
      </c>
      <c r="W1242" t="s">
        <v>493</v>
      </c>
      <c r="X1242">
        <v>0</v>
      </c>
      <c r="Y1242">
        <v>416</v>
      </c>
      <c r="AA1242" t="str">
        <f t="shared" si="38"/>
        <v/>
      </c>
      <c r="AB1242" t="str">
        <f t="shared" si="39"/>
        <v/>
      </c>
    </row>
    <row r="1243" spans="1:28" x14ac:dyDescent="0.25">
      <c r="A1243" s="2">
        <v>1039</v>
      </c>
      <c r="B1243" t="s">
        <v>4679</v>
      </c>
      <c r="C1243" t="s">
        <v>1394</v>
      </c>
      <c r="D1243" t="s">
        <v>4680</v>
      </c>
      <c r="E1243" t="s">
        <v>4305</v>
      </c>
      <c r="F1243" t="s">
        <v>67</v>
      </c>
      <c r="G1243" s="1">
        <v>45468</v>
      </c>
      <c r="H1243" s="1">
        <v>45468</v>
      </c>
      <c r="I1243" s="1">
        <v>45468</v>
      </c>
      <c r="J1243" s="2" t="s">
        <v>357</v>
      </c>
      <c r="K1243" t="s">
        <v>4681</v>
      </c>
      <c r="M1243" s="16" t="s">
        <v>8551</v>
      </c>
      <c r="N1243" s="16" t="str">
        <f>VLOOKUP(M1243,Tab_Zast[[Zastávka]:[Sloupec1]],2,0)</f>
        <v>00</v>
      </c>
      <c r="O1243" t="s">
        <v>4682</v>
      </c>
      <c r="P1243">
        <v>3</v>
      </c>
      <c r="Q1243">
        <v>0</v>
      </c>
      <c r="R1243" t="s">
        <v>31</v>
      </c>
      <c r="S1243" t="s">
        <v>31</v>
      </c>
      <c r="T1243" t="s">
        <v>32</v>
      </c>
      <c r="V1243" s="1" t="e">
        <v>#N/A</v>
      </c>
      <c r="W1243" t="s">
        <v>3091</v>
      </c>
      <c r="X1243">
        <v>0</v>
      </c>
      <c r="Y1243">
        <v>423</v>
      </c>
      <c r="AA1243" t="str">
        <f t="shared" si="38"/>
        <v/>
      </c>
      <c r="AB1243" t="str">
        <f t="shared" si="39"/>
        <v/>
      </c>
    </row>
    <row r="1244" spans="1:28" x14ac:dyDescent="0.25">
      <c r="A1244" s="2">
        <v>1040</v>
      </c>
      <c r="B1244" t="s">
        <v>4683</v>
      </c>
      <c r="C1244" t="s">
        <v>1394</v>
      </c>
      <c r="D1244" t="s">
        <v>4684</v>
      </c>
      <c r="E1244" t="s">
        <v>3373</v>
      </c>
      <c r="F1244" t="s">
        <v>357</v>
      </c>
      <c r="G1244" s="1">
        <v>45468</v>
      </c>
      <c r="H1244" s="1">
        <v>45716</v>
      </c>
      <c r="I1244" s="1">
        <v>73050</v>
      </c>
      <c r="J1244" s="2" t="s">
        <v>8378</v>
      </c>
      <c r="K1244" t="s">
        <v>4685</v>
      </c>
      <c r="M1244" s="16" t="s">
        <v>8379</v>
      </c>
      <c r="N1244" s="16" t="str">
        <f>VLOOKUP(M1244,Tab_Zast[[Zastávka]:[Sloupec1]],2,0)</f>
        <v>48</v>
      </c>
      <c r="O1244" t="s">
        <v>4686</v>
      </c>
      <c r="P1244">
        <v>9</v>
      </c>
      <c r="Q1244">
        <v>0</v>
      </c>
      <c r="R1244" t="s">
        <v>31</v>
      </c>
      <c r="S1244" t="s">
        <v>31</v>
      </c>
      <c r="T1244" t="s">
        <v>32</v>
      </c>
      <c r="V1244" s="1" t="e">
        <v>#N/A</v>
      </c>
      <c r="W1244" t="s">
        <v>3091</v>
      </c>
      <c r="X1244">
        <v>0</v>
      </c>
      <c r="Y1244">
        <v>424</v>
      </c>
      <c r="AA1244" t="str">
        <f t="shared" si="38"/>
        <v>update zamestnanci set nastup='48' where id='1040';</v>
      </c>
      <c r="AB1244" t="str">
        <f t="shared" si="39"/>
        <v>update dochazka set zastavka = '48' where zamestnanec = '1040';</v>
      </c>
    </row>
    <row r="1245" spans="1:28" x14ac:dyDescent="0.25">
      <c r="A1245" s="2">
        <v>1049</v>
      </c>
      <c r="B1245" t="s">
        <v>4719</v>
      </c>
      <c r="C1245" t="s">
        <v>1394</v>
      </c>
      <c r="D1245" t="s">
        <v>4720</v>
      </c>
      <c r="E1245" t="s">
        <v>731</v>
      </c>
      <c r="F1245" t="s">
        <v>4721</v>
      </c>
      <c r="G1245" s="1">
        <v>45474</v>
      </c>
      <c r="H1245" s="1">
        <v>73050</v>
      </c>
      <c r="I1245" s="1" t="e">
        <v>#N/A</v>
      </c>
      <c r="J1245" s="2" t="s">
        <v>8378</v>
      </c>
      <c r="K1245" t="s">
        <v>4722</v>
      </c>
      <c r="M1245" s="16" t="s">
        <v>8379</v>
      </c>
      <c r="N1245" s="16" t="str">
        <f>VLOOKUP(M1245,Tab_Zast[[Zastávka]:[Sloupec1]],2,0)</f>
        <v>48</v>
      </c>
      <c r="O1245" t="s">
        <v>4723</v>
      </c>
      <c r="P1245">
        <v>9</v>
      </c>
      <c r="Q1245">
        <v>0</v>
      </c>
      <c r="R1245" t="s">
        <v>129</v>
      </c>
      <c r="S1245" t="s">
        <v>31</v>
      </c>
      <c r="T1245" t="s">
        <v>32</v>
      </c>
      <c r="V1245" s="1" t="e">
        <v>#N/A</v>
      </c>
      <c r="W1245" t="s">
        <v>3091</v>
      </c>
      <c r="X1245">
        <v>1</v>
      </c>
      <c r="Y1245">
        <v>437</v>
      </c>
      <c r="AA1245" t="str">
        <f t="shared" si="38"/>
        <v>update zamestnanci set nastup='48' where id='1049';</v>
      </c>
      <c r="AB1245" t="str">
        <f t="shared" si="39"/>
        <v>update dochazka set zastavka = '48' where zamestnanec = '1049';</v>
      </c>
    </row>
    <row r="1246" spans="1:28" x14ac:dyDescent="0.25">
      <c r="A1246" s="2">
        <v>1051</v>
      </c>
      <c r="B1246" t="s">
        <v>4727</v>
      </c>
      <c r="C1246" t="s">
        <v>64</v>
      </c>
      <c r="D1246" t="s">
        <v>4728</v>
      </c>
      <c r="E1246" t="s">
        <v>1402</v>
      </c>
      <c r="F1246" t="s">
        <v>4729</v>
      </c>
      <c r="G1246" s="1">
        <v>45476</v>
      </c>
      <c r="H1246" s="1">
        <v>45518</v>
      </c>
      <c r="I1246" s="1">
        <v>73050</v>
      </c>
      <c r="J1246" s="2" t="s">
        <v>357</v>
      </c>
      <c r="K1246" t="s">
        <v>4730</v>
      </c>
      <c r="M1246" s="16" t="s">
        <v>8551</v>
      </c>
      <c r="N1246" s="16" t="str">
        <f>VLOOKUP(M1246,Tab_Zast[[Zastávka]:[Sloupec1]],2,0)</f>
        <v>00</v>
      </c>
      <c r="O1246" t="s">
        <v>4731</v>
      </c>
      <c r="P1246">
        <v>3</v>
      </c>
      <c r="Q1246">
        <v>0</v>
      </c>
      <c r="R1246" t="s">
        <v>31</v>
      </c>
      <c r="S1246" t="s">
        <v>31</v>
      </c>
      <c r="T1246" t="s">
        <v>32</v>
      </c>
      <c r="V1246" s="1" t="e">
        <v>#N/A</v>
      </c>
      <c r="W1246" t="s">
        <v>493</v>
      </c>
      <c r="X1246">
        <v>0</v>
      </c>
      <c r="Y1246">
        <v>0</v>
      </c>
      <c r="AA1246" t="str">
        <f t="shared" si="38"/>
        <v/>
      </c>
      <c r="AB1246" t="str">
        <f t="shared" si="39"/>
        <v/>
      </c>
    </row>
    <row r="1247" spans="1:28" x14ac:dyDescent="0.25">
      <c r="A1247" s="2">
        <v>1064</v>
      </c>
      <c r="B1247" t="s">
        <v>4792</v>
      </c>
      <c r="C1247" t="s">
        <v>64</v>
      </c>
      <c r="D1247" t="s">
        <v>193</v>
      </c>
      <c r="E1247" t="s">
        <v>3539</v>
      </c>
      <c r="F1247" t="s">
        <v>4793</v>
      </c>
      <c r="G1247" s="1">
        <v>45481</v>
      </c>
      <c r="H1247" s="1">
        <v>45483</v>
      </c>
      <c r="I1247" s="1">
        <v>73050</v>
      </c>
      <c r="J1247" s="2" t="s">
        <v>357</v>
      </c>
      <c r="K1247" t="s">
        <v>4794</v>
      </c>
      <c r="M1247" s="16" t="s">
        <v>8551</v>
      </c>
      <c r="N1247" s="16" t="str">
        <f>VLOOKUP(M1247,Tab_Zast[[Zastávka]:[Sloupec1]],2,0)</f>
        <v>00</v>
      </c>
      <c r="O1247" t="s">
        <v>4058</v>
      </c>
      <c r="P1247">
        <v>3</v>
      </c>
      <c r="Q1247">
        <v>0</v>
      </c>
      <c r="R1247" t="s">
        <v>31</v>
      </c>
      <c r="S1247" t="s">
        <v>31</v>
      </c>
      <c r="T1247" t="s">
        <v>32</v>
      </c>
      <c r="V1247" s="1" t="e">
        <v>#N/A</v>
      </c>
      <c r="W1247" t="s">
        <v>493</v>
      </c>
      <c r="X1247">
        <v>0</v>
      </c>
      <c r="Y1247">
        <v>456</v>
      </c>
      <c r="AA1247" t="str">
        <f t="shared" si="38"/>
        <v/>
      </c>
      <c r="AB1247" t="str">
        <f t="shared" si="39"/>
        <v/>
      </c>
    </row>
    <row r="1248" spans="1:28" x14ac:dyDescent="0.25">
      <c r="A1248" s="2">
        <v>1071</v>
      </c>
      <c r="B1248" t="s">
        <v>4822</v>
      </c>
      <c r="C1248" t="s">
        <v>1394</v>
      </c>
      <c r="D1248" t="s">
        <v>4823</v>
      </c>
      <c r="E1248" t="s">
        <v>2613</v>
      </c>
      <c r="F1248" t="s">
        <v>67</v>
      </c>
      <c r="G1248" s="1">
        <v>45481</v>
      </c>
      <c r="H1248" s="1">
        <v>45481</v>
      </c>
      <c r="I1248" s="1">
        <v>45481</v>
      </c>
      <c r="J1248" s="2" t="s">
        <v>357</v>
      </c>
      <c r="K1248" t="s">
        <v>4824</v>
      </c>
      <c r="M1248" s="16" t="s">
        <v>8551</v>
      </c>
      <c r="N1248" s="16" t="str">
        <f>VLOOKUP(M1248,Tab_Zast[[Zastávka]:[Sloupec1]],2,0)</f>
        <v>00</v>
      </c>
      <c r="O1248" t="s">
        <v>4825</v>
      </c>
      <c r="P1248">
        <v>3</v>
      </c>
      <c r="Q1248">
        <v>0</v>
      </c>
      <c r="R1248" t="s">
        <v>31</v>
      </c>
      <c r="S1248" t="s">
        <v>31</v>
      </c>
      <c r="T1248" t="s">
        <v>32</v>
      </c>
      <c r="V1248" s="1" t="e">
        <v>#N/A</v>
      </c>
      <c r="W1248" t="s">
        <v>3091</v>
      </c>
      <c r="X1248">
        <v>0</v>
      </c>
      <c r="Y1248">
        <v>453</v>
      </c>
      <c r="AA1248" t="str">
        <f t="shared" si="38"/>
        <v/>
      </c>
      <c r="AB1248" t="str">
        <f t="shared" si="39"/>
        <v/>
      </c>
    </row>
    <row r="1249" spans="1:28" x14ac:dyDescent="0.25">
      <c r="A1249" s="2">
        <v>1097</v>
      </c>
      <c r="B1249" t="s">
        <v>4931</v>
      </c>
      <c r="C1249" t="s">
        <v>64</v>
      </c>
      <c r="D1249" t="s">
        <v>4932</v>
      </c>
      <c r="E1249" t="s">
        <v>617</v>
      </c>
      <c r="F1249" t="s">
        <v>4933</v>
      </c>
      <c r="G1249" s="1">
        <v>45496</v>
      </c>
      <c r="H1249" s="1">
        <v>45546</v>
      </c>
      <c r="I1249" s="1">
        <v>73050</v>
      </c>
      <c r="J1249" s="2" t="s">
        <v>357</v>
      </c>
      <c r="K1249" t="s">
        <v>4934</v>
      </c>
      <c r="M1249" s="16" t="s">
        <v>8551</v>
      </c>
      <c r="N1249" s="16" t="str">
        <f>VLOOKUP(M1249,Tab_Zast[[Zastávka]:[Sloupec1]],2,0)</f>
        <v>00</v>
      </c>
      <c r="O1249" t="s">
        <v>4935</v>
      </c>
      <c r="P1249">
        <v>3</v>
      </c>
      <c r="Q1249">
        <v>0</v>
      </c>
      <c r="R1249" t="s">
        <v>31</v>
      </c>
      <c r="S1249" t="s">
        <v>31</v>
      </c>
      <c r="T1249" t="s">
        <v>32</v>
      </c>
      <c r="V1249" s="1" t="e">
        <v>#N/A</v>
      </c>
      <c r="W1249" t="s">
        <v>493</v>
      </c>
      <c r="X1249">
        <v>0</v>
      </c>
      <c r="Y1249">
        <v>486</v>
      </c>
      <c r="AA1249" t="str">
        <f t="shared" si="38"/>
        <v/>
      </c>
      <c r="AB1249" t="str">
        <f t="shared" si="39"/>
        <v/>
      </c>
    </row>
    <row r="1250" spans="1:28" x14ac:dyDescent="0.25">
      <c r="A1250" s="2">
        <v>1110</v>
      </c>
      <c r="B1250" t="s">
        <v>4978</v>
      </c>
      <c r="C1250" t="s">
        <v>151</v>
      </c>
      <c r="D1250" t="s">
        <v>4979</v>
      </c>
      <c r="E1250" t="s">
        <v>2391</v>
      </c>
      <c r="F1250" t="s">
        <v>4980</v>
      </c>
      <c r="G1250" s="1">
        <v>45505</v>
      </c>
      <c r="H1250" s="1">
        <v>45555</v>
      </c>
      <c r="I1250" s="1">
        <v>73050</v>
      </c>
      <c r="J1250" s="2" t="s">
        <v>357</v>
      </c>
      <c r="K1250" t="s">
        <v>4981</v>
      </c>
      <c r="M1250" s="16" t="s">
        <v>8551</v>
      </c>
      <c r="N1250" s="16" t="str">
        <f>VLOOKUP(M1250,Tab_Zast[[Zastávka]:[Sloupec1]],2,0)</f>
        <v>00</v>
      </c>
      <c r="O1250" t="s">
        <v>4982</v>
      </c>
      <c r="P1250">
        <v>4</v>
      </c>
      <c r="Q1250">
        <v>0</v>
      </c>
      <c r="R1250" t="s">
        <v>31</v>
      </c>
      <c r="S1250" t="s">
        <v>31</v>
      </c>
      <c r="T1250" t="s">
        <v>32</v>
      </c>
      <c r="V1250" s="1" t="e">
        <v>#N/A</v>
      </c>
      <c r="W1250" t="s">
        <v>62</v>
      </c>
      <c r="X1250">
        <v>0</v>
      </c>
      <c r="Y1250">
        <v>499</v>
      </c>
      <c r="AA1250" t="str">
        <f t="shared" si="38"/>
        <v/>
      </c>
      <c r="AB1250" t="str">
        <f t="shared" si="39"/>
        <v/>
      </c>
    </row>
    <row r="1251" spans="1:28" x14ac:dyDescent="0.25">
      <c r="A1251" s="2">
        <v>1111</v>
      </c>
      <c r="B1251" t="s">
        <v>4983</v>
      </c>
      <c r="C1251" t="s">
        <v>151</v>
      </c>
      <c r="D1251" t="s">
        <v>4984</v>
      </c>
      <c r="E1251" t="s">
        <v>671</v>
      </c>
      <c r="F1251" t="s">
        <v>2967</v>
      </c>
      <c r="G1251" s="1">
        <v>45506</v>
      </c>
      <c r="H1251" s="1">
        <v>45677</v>
      </c>
      <c r="I1251" s="1">
        <v>73050</v>
      </c>
      <c r="J1251" s="2" t="s">
        <v>8321</v>
      </c>
      <c r="K1251" t="s">
        <v>4985</v>
      </c>
      <c r="M1251" s="16" t="s">
        <v>8322</v>
      </c>
      <c r="N1251" s="16" t="str">
        <f>VLOOKUP(M1251,Tab_Zast[[Zastávka]:[Sloupec1]],2,0)</f>
        <v>25</v>
      </c>
      <c r="O1251" t="s">
        <v>4986</v>
      </c>
      <c r="P1251">
        <v>4</v>
      </c>
      <c r="Q1251">
        <v>0</v>
      </c>
      <c r="R1251" t="s">
        <v>31</v>
      </c>
      <c r="S1251" t="s">
        <v>31</v>
      </c>
      <c r="T1251" t="s">
        <v>103</v>
      </c>
      <c r="V1251" s="1" t="e">
        <v>#N/A</v>
      </c>
      <c r="W1251" t="s">
        <v>62</v>
      </c>
      <c r="X1251">
        <v>0</v>
      </c>
      <c r="Y1251">
        <v>500</v>
      </c>
      <c r="AA1251" t="str">
        <f t="shared" si="38"/>
        <v>update zamestnanci set nastup='25' where id='1111';</v>
      </c>
      <c r="AB1251" t="str">
        <f t="shared" si="39"/>
        <v>update dochazka set zastavka = '25' where zamestnanec = '1111';</v>
      </c>
    </row>
    <row r="1252" spans="1:28" x14ac:dyDescent="0.25">
      <c r="A1252" s="2">
        <v>1164</v>
      </c>
      <c r="B1252" t="s">
        <v>5196</v>
      </c>
      <c r="C1252" t="s">
        <v>1394</v>
      </c>
      <c r="D1252" t="s">
        <v>1129</v>
      </c>
      <c r="E1252" t="s">
        <v>3048</v>
      </c>
      <c r="F1252" t="s">
        <v>5197</v>
      </c>
      <c r="G1252" s="1">
        <v>45524</v>
      </c>
      <c r="H1252" s="1">
        <v>45783</v>
      </c>
      <c r="I1252" s="1">
        <v>73050</v>
      </c>
      <c r="J1252" s="2" t="s">
        <v>8426</v>
      </c>
      <c r="K1252" t="s">
        <v>5198</v>
      </c>
      <c r="M1252" s="16" t="s">
        <v>8427</v>
      </c>
      <c r="N1252" s="16" t="str">
        <f>VLOOKUP(M1252,Tab_Zast[[Zastávka]:[Sloupec1]],2,0)</f>
        <v>67</v>
      </c>
      <c r="O1252" t="s">
        <v>5199</v>
      </c>
      <c r="P1252">
        <v>9</v>
      </c>
      <c r="Q1252">
        <v>0</v>
      </c>
      <c r="R1252" t="s">
        <v>31</v>
      </c>
      <c r="S1252" t="s">
        <v>31</v>
      </c>
      <c r="T1252" t="s">
        <v>32</v>
      </c>
      <c r="V1252" s="1" t="e">
        <v>#N/A</v>
      </c>
      <c r="W1252" t="s">
        <v>3091</v>
      </c>
      <c r="X1252">
        <v>0</v>
      </c>
      <c r="Y1252">
        <v>553</v>
      </c>
      <c r="AA1252" t="str">
        <f t="shared" si="38"/>
        <v>update zamestnanci set nastup='67' where id='1164';</v>
      </c>
      <c r="AB1252" t="str">
        <f t="shared" si="39"/>
        <v>update dochazka set zastavka = '67' where zamestnanec = '1164';</v>
      </c>
    </row>
    <row r="1253" spans="1:28" x14ac:dyDescent="0.25">
      <c r="A1253" s="2">
        <v>1169</v>
      </c>
      <c r="B1253" t="s">
        <v>5216</v>
      </c>
      <c r="C1253" t="s">
        <v>1394</v>
      </c>
      <c r="D1253" t="s">
        <v>5217</v>
      </c>
      <c r="E1253" t="s">
        <v>737</v>
      </c>
      <c r="F1253" t="s">
        <v>5218</v>
      </c>
      <c r="G1253" s="1">
        <v>45525</v>
      </c>
      <c r="H1253" s="1">
        <v>73050</v>
      </c>
      <c r="I1253" s="1" t="e">
        <v>#N/A</v>
      </c>
      <c r="J1253" s="2" t="s">
        <v>8507</v>
      </c>
      <c r="K1253" t="s">
        <v>5219</v>
      </c>
      <c r="M1253" s="16" t="s">
        <v>8508</v>
      </c>
      <c r="N1253" s="16" t="str">
        <f>VLOOKUP(M1253,Tab_Zast[[Zastávka]:[Sloupec1]],2,0)</f>
        <v>92</v>
      </c>
      <c r="O1253" t="s">
        <v>5220</v>
      </c>
      <c r="P1253">
        <v>6</v>
      </c>
      <c r="Q1253">
        <v>0</v>
      </c>
      <c r="R1253" t="s">
        <v>129</v>
      </c>
      <c r="S1253" t="s">
        <v>31</v>
      </c>
      <c r="T1253" t="s">
        <v>32</v>
      </c>
      <c r="V1253" s="1" t="e">
        <v>#N/A</v>
      </c>
      <c r="W1253" t="s">
        <v>1216</v>
      </c>
      <c r="X1253">
        <v>1</v>
      </c>
      <c r="Y1253">
        <v>558</v>
      </c>
      <c r="AA1253" t="str">
        <f t="shared" si="38"/>
        <v>update zamestnanci set nastup='92' where id='1169';</v>
      </c>
      <c r="AB1253" t="str">
        <f t="shared" si="39"/>
        <v>update dochazka set zastavka = '92' where zamestnanec = '1169';</v>
      </c>
    </row>
    <row r="1254" spans="1:28" x14ac:dyDescent="0.25">
      <c r="A1254" s="2">
        <v>1170</v>
      </c>
      <c r="B1254" t="s">
        <v>5221</v>
      </c>
      <c r="C1254" t="s">
        <v>1394</v>
      </c>
      <c r="D1254" t="s">
        <v>2657</v>
      </c>
      <c r="E1254" t="s">
        <v>770</v>
      </c>
      <c r="F1254" t="s">
        <v>5222</v>
      </c>
      <c r="G1254" s="1">
        <v>45527</v>
      </c>
      <c r="H1254" s="1">
        <v>45586</v>
      </c>
      <c r="I1254" s="1">
        <v>73050</v>
      </c>
      <c r="J1254" s="2" t="s">
        <v>357</v>
      </c>
      <c r="K1254" t="s">
        <v>5223</v>
      </c>
      <c r="M1254" s="16" t="s">
        <v>8551</v>
      </c>
      <c r="N1254" s="16" t="str">
        <f>VLOOKUP(M1254,Tab_Zast[[Zastávka]:[Sloupec1]],2,0)</f>
        <v>00</v>
      </c>
      <c r="O1254" t="s">
        <v>5224</v>
      </c>
      <c r="P1254">
        <v>6</v>
      </c>
      <c r="Q1254">
        <v>0</v>
      </c>
      <c r="R1254" t="s">
        <v>31</v>
      </c>
      <c r="S1254" t="s">
        <v>31</v>
      </c>
      <c r="T1254" t="s">
        <v>32</v>
      </c>
      <c r="V1254" s="1" t="e">
        <v>#N/A</v>
      </c>
      <c r="W1254" t="s">
        <v>1216</v>
      </c>
      <c r="X1254">
        <v>0</v>
      </c>
      <c r="Y1254">
        <v>562</v>
      </c>
      <c r="AA1254" t="str">
        <f t="shared" si="38"/>
        <v/>
      </c>
      <c r="AB1254" t="str">
        <f t="shared" si="39"/>
        <v/>
      </c>
    </row>
    <row r="1255" spans="1:28" x14ac:dyDescent="0.25">
      <c r="A1255" s="2">
        <v>1181</v>
      </c>
      <c r="B1255" t="s">
        <v>5261</v>
      </c>
      <c r="C1255" t="s">
        <v>1394</v>
      </c>
      <c r="D1255" t="s">
        <v>5262</v>
      </c>
      <c r="E1255" t="s">
        <v>800</v>
      </c>
      <c r="F1255" t="s">
        <v>151</v>
      </c>
      <c r="G1255" s="1">
        <v>45530</v>
      </c>
      <c r="H1255" s="1">
        <v>45548</v>
      </c>
      <c r="I1255" s="1">
        <v>73050</v>
      </c>
      <c r="J1255" s="2" t="s">
        <v>357</v>
      </c>
      <c r="K1255" t="s">
        <v>5263</v>
      </c>
      <c r="M1255" s="16" t="s">
        <v>8551</v>
      </c>
      <c r="N1255" s="16" t="str">
        <f>VLOOKUP(M1255,Tab_Zast[[Zastávka]:[Sloupec1]],2,0)</f>
        <v>00</v>
      </c>
      <c r="O1255" t="s">
        <v>5264</v>
      </c>
      <c r="P1255">
        <v>3</v>
      </c>
      <c r="Q1255">
        <v>0</v>
      </c>
      <c r="R1255" t="s">
        <v>31</v>
      </c>
      <c r="S1255" t="s">
        <v>31</v>
      </c>
      <c r="T1255" t="s">
        <v>32</v>
      </c>
      <c r="V1255" s="1" t="e">
        <v>#N/A</v>
      </c>
      <c r="W1255" t="s">
        <v>3091</v>
      </c>
      <c r="X1255">
        <v>0</v>
      </c>
      <c r="Y1255">
        <v>570</v>
      </c>
      <c r="AA1255" t="str">
        <f t="shared" si="38"/>
        <v/>
      </c>
      <c r="AB1255" t="str">
        <f t="shared" si="39"/>
        <v/>
      </c>
    </row>
    <row r="1256" spans="1:28" x14ac:dyDescent="0.25">
      <c r="A1256" s="2">
        <v>1187</v>
      </c>
      <c r="B1256" t="s">
        <v>5285</v>
      </c>
      <c r="C1256" t="s">
        <v>64</v>
      </c>
      <c r="D1256" t="s">
        <v>5286</v>
      </c>
      <c r="E1256" t="s">
        <v>1947</v>
      </c>
      <c r="F1256" t="s">
        <v>5287</v>
      </c>
      <c r="G1256" s="1">
        <v>45537</v>
      </c>
      <c r="H1256" s="1">
        <v>45545</v>
      </c>
      <c r="I1256" s="1">
        <v>73050</v>
      </c>
      <c r="J1256" s="2" t="s">
        <v>357</v>
      </c>
      <c r="K1256" t="s">
        <v>5288</v>
      </c>
      <c r="M1256" s="16" t="s">
        <v>8551</v>
      </c>
      <c r="N1256" s="16" t="str">
        <f>VLOOKUP(M1256,Tab_Zast[[Zastávka]:[Sloupec1]],2,0)</f>
        <v>00</v>
      </c>
      <c r="O1256" t="s">
        <v>5289</v>
      </c>
      <c r="P1256">
        <v>3</v>
      </c>
      <c r="Q1256">
        <v>0</v>
      </c>
      <c r="R1256" t="s">
        <v>31</v>
      </c>
      <c r="S1256" t="s">
        <v>31</v>
      </c>
      <c r="T1256" t="s">
        <v>32</v>
      </c>
      <c r="V1256" s="1" t="e">
        <v>#N/A</v>
      </c>
      <c r="W1256" t="s">
        <v>493</v>
      </c>
      <c r="X1256">
        <v>0</v>
      </c>
      <c r="Y1256">
        <v>580</v>
      </c>
      <c r="AA1256" t="str">
        <f t="shared" si="38"/>
        <v/>
      </c>
      <c r="AB1256" t="str">
        <f t="shared" si="39"/>
        <v/>
      </c>
    </row>
    <row r="1257" spans="1:28" x14ac:dyDescent="0.25">
      <c r="A1257" s="2">
        <v>1198</v>
      </c>
      <c r="B1257" t="s">
        <v>5328</v>
      </c>
      <c r="C1257" t="s">
        <v>151</v>
      </c>
      <c r="D1257" t="s">
        <v>5166</v>
      </c>
      <c r="E1257" t="s">
        <v>2883</v>
      </c>
      <c r="F1257" t="s">
        <v>5329</v>
      </c>
      <c r="G1257" s="1">
        <v>45538</v>
      </c>
      <c r="H1257" s="1">
        <v>45747</v>
      </c>
      <c r="I1257" s="1">
        <v>73050</v>
      </c>
      <c r="J1257" s="2" t="s">
        <v>357</v>
      </c>
      <c r="K1257" t="s">
        <v>5167</v>
      </c>
      <c r="M1257" s="16" t="s">
        <v>8551</v>
      </c>
      <c r="N1257" s="16" t="str">
        <f>VLOOKUP(M1257,Tab_Zast[[Zastávka]:[Sloupec1]],2,0)</f>
        <v>00</v>
      </c>
      <c r="O1257" t="s">
        <v>5330</v>
      </c>
      <c r="P1257">
        <v>8</v>
      </c>
      <c r="Q1257">
        <v>0</v>
      </c>
      <c r="R1257" t="s">
        <v>31</v>
      </c>
      <c r="S1257" t="s">
        <v>31</v>
      </c>
      <c r="T1257" t="s">
        <v>32</v>
      </c>
      <c r="V1257" s="1">
        <v>45730</v>
      </c>
      <c r="W1257" t="s">
        <v>493</v>
      </c>
      <c r="X1257">
        <v>0</v>
      </c>
      <c r="Y1257">
        <v>588</v>
      </c>
      <c r="AA1257" t="str">
        <f t="shared" si="38"/>
        <v/>
      </c>
      <c r="AB1257" t="str">
        <f t="shared" si="39"/>
        <v/>
      </c>
    </row>
    <row r="1258" spans="1:28" x14ac:dyDescent="0.25">
      <c r="A1258" s="2">
        <v>1200</v>
      </c>
      <c r="B1258" t="s">
        <v>5335</v>
      </c>
      <c r="C1258" t="s">
        <v>151</v>
      </c>
      <c r="D1258" t="s">
        <v>5336</v>
      </c>
      <c r="E1258" t="s">
        <v>5337</v>
      </c>
      <c r="F1258" t="s">
        <v>5338</v>
      </c>
      <c r="G1258" s="1">
        <v>45538</v>
      </c>
      <c r="H1258" s="1">
        <v>45561</v>
      </c>
      <c r="I1258" s="1">
        <v>73050</v>
      </c>
      <c r="J1258" s="2" t="s">
        <v>500</v>
      </c>
      <c r="K1258" t="s">
        <v>5339</v>
      </c>
      <c r="M1258" s="16" t="s">
        <v>8395</v>
      </c>
      <c r="N1258" s="16" t="str">
        <f>VLOOKUP(M1258,Tab_Zast[[Zastávka]:[Sloupec1]],2,0)</f>
        <v>54</v>
      </c>
      <c r="O1258" t="s">
        <v>5340</v>
      </c>
      <c r="P1258">
        <v>1</v>
      </c>
      <c r="Q1258">
        <v>0</v>
      </c>
      <c r="R1258" t="s">
        <v>31</v>
      </c>
      <c r="S1258" t="s">
        <v>31</v>
      </c>
      <c r="T1258" t="s">
        <v>32</v>
      </c>
      <c r="V1258" s="1" t="e">
        <v>#N/A</v>
      </c>
      <c r="W1258" t="s">
        <v>47</v>
      </c>
      <c r="X1258">
        <v>0</v>
      </c>
      <c r="Y1258">
        <v>590</v>
      </c>
      <c r="AA1258" t="str">
        <f t="shared" si="38"/>
        <v>update zamestnanci set nastup='54' where id='1200';</v>
      </c>
      <c r="AB1258" t="str">
        <f t="shared" si="39"/>
        <v>update dochazka set zastavka = '54' where zamestnanec = '1200';</v>
      </c>
    </row>
    <row r="1259" spans="1:28" x14ac:dyDescent="0.25">
      <c r="A1259" s="2">
        <v>1201</v>
      </c>
      <c r="B1259" t="s">
        <v>5341</v>
      </c>
      <c r="C1259" t="s">
        <v>151</v>
      </c>
      <c r="D1259" t="s">
        <v>5342</v>
      </c>
      <c r="E1259" t="s">
        <v>5343</v>
      </c>
      <c r="F1259" t="s">
        <v>5344</v>
      </c>
      <c r="G1259" s="1">
        <v>45538</v>
      </c>
      <c r="H1259" s="1">
        <v>45561</v>
      </c>
      <c r="I1259" s="1">
        <v>73050</v>
      </c>
      <c r="J1259" s="2" t="s">
        <v>500</v>
      </c>
      <c r="K1259" t="s">
        <v>5345</v>
      </c>
      <c r="M1259" s="16" t="s">
        <v>8395</v>
      </c>
      <c r="N1259" s="16" t="str">
        <f>VLOOKUP(M1259,Tab_Zast[[Zastávka]:[Sloupec1]],2,0)</f>
        <v>54</v>
      </c>
      <c r="O1259" t="s">
        <v>5346</v>
      </c>
      <c r="P1259">
        <v>1</v>
      </c>
      <c r="Q1259">
        <v>0</v>
      </c>
      <c r="R1259" t="s">
        <v>31</v>
      </c>
      <c r="S1259" t="s">
        <v>31</v>
      </c>
      <c r="T1259" t="s">
        <v>32</v>
      </c>
      <c r="V1259" s="1" t="e">
        <v>#N/A</v>
      </c>
      <c r="W1259" t="s">
        <v>47</v>
      </c>
      <c r="X1259">
        <v>0</v>
      </c>
      <c r="Y1259">
        <v>591</v>
      </c>
      <c r="AA1259" t="str">
        <f t="shared" si="38"/>
        <v>update zamestnanci set nastup='54' where id='1201';</v>
      </c>
      <c r="AB1259" t="str">
        <f t="shared" si="39"/>
        <v>update dochazka set zastavka = '54' where zamestnanec = '1201';</v>
      </c>
    </row>
    <row r="1260" spans="1:28" x14ac:dyDescent="0.25">
      <c r="A1260" s="2">
        <v>1217</v>
      </c>
      <c r="B1260" t="s">
        <v>5411</v>
      </c>
      <c r="C1260" t="s">
        <v>151</v>
      </c>
      <c r="D1260" t="s">
        <v>5412</v>
      </c>
      <c r="E1260" t="s">
        <v>743</v>
      </c>
      <c r="F1260" t="s">
        <v>5029</v>
      </c>
      <c r="G1260" s="1">
        <v>45545</v>
      </c>
      <c r="H1260" s="1">
        <v>45572</v>
      </c>
      <c r="I1260" s="1">
        <v>73050</v>
      </c>
      <c r="J1260" s="2" t="s">
        <v>357</v>
      </c>
      <c r="K1260" t="s">
        <v>5413</v>
      </c>
      <c r="M1260" s="16" t="s">
        <v>8551</v>
      </c>
      <c r="N1260" s="16" t="str">
        <f>VLOOKUP(M1260,Tab_Zast[[Zastávka]:[Sloupec1]],2,0)</f>
        <v>00</v>
      </c>
      <c r="O1260" t="s">
        <v>5414</v>
      </c>
      <c r="P1260">
        <v>4</v>
      </c>
      <c r="Q1260">
        <v>0</v>
      </c>
      <c r="R1260" t="s">
        <v>31</v>
      </c>
      <c r="S1260" t="s">
        <v>31</v>
      </c>
      <c r="T1260" t="s">
        <v>103</v>
      </c>
      <c r="V1260" s="1" t="e">
        <v>#N/A</v>
      </c>
      <c r="W1260" t="s">
        <v>62</v>
      </c>
      <c r="X1260">
        <v>0</v>
      </c>
      <c r="Y1260">
        <v>608</v>
      </c>
      <c r="AA1260" t="str">
        <f t="shared" si="38"/>
        <v/>
      </c>
      <c r="AB1260" t="str">
        <f t="shared" si="39"/>
        <v/>
      </c>
    </row>
    <row r="1261" spans="1:28" x14ac:dyDescent="0.25">
      <c r="A1261" s="2">
        <v>1221</v>
      </c>
      <c r="B1261" t="s">
        <v>5427</v>
      </c>
      <c r="C1261" t="s">
        <v>151</v>
      </c>
      <c r="D1261" t="s">
        <v>5428</v>
      </c>
      <c r="E1261" t="s">
        <v>2960</v>
      </c>
      <c r="F1261" t="s">
        <v>5429</v>
      </c>
      <c r="G1261" s="1">
        <v>45546</v>
      </c>
      <c r="H1261" s="1">
        <v>45686</v>
      </c>
      <c r="I1261" s="1">
        <v>73050</v>
      </c>
      <c r="J1261" s="2" t="s">
        <v>357</v>
      </c>
      <c r="K1261" t="s">
        <v>5430</v>
      </c>
      <c r="M1261" s="16" t="s">
        <v>8551</v>
      </c>
      <c r="N1261" s="16" t="str">
        <f>VLOOKUP(M1261,Tab_Zast[[Zastávka]:[Sloupec1]],2,0)</f>
        <v>00</v>
      </c>
      <c r="O1261" t="s">
        <v>5431</v>
      </c>
      <c r="P1261">
        <v>8</v>
      </c>
      <c r="Q1261">
        <v>0</v>
      </c>
      <c r="R1261" t="s">
        <v>31</v>
      </c>
      <c r="S1261" t="s">
        <v>31</v>
      </c>
      <c r="T1261" t="s">
        <v>32</v>
      </c>
      <c r="V1261" s="1" t="e">
        <v>#N/A</v>
      </c>
      <c r="W1261" t="s">
        <v>493</v>
      </c>
      <c r="X1261">
        <v>0</v>
      </c>
      <c r="Y1261">
        <v>611</v>
      </c>
      <c r="AA1261" t="str">
        <f t="shared" si="38"/>
        <v/>
      </c>
      <c r="AB1261" t="str">
        <f t="shared" si="39"/>
        <v/>
      </c>
    </row>
    <row r="1262" spans="1:28" x14ac:dyDescent="0.25">
      <c r="A1262" s="2">
        <v>1222</v>
      </c>
      <c r="B1262" t="s">
        <v>5432</v>
      </c>
      <c r="C1262" t="s">
        <v>151</v>
      </c>
      <c r="D1262" t="s">
        <v>5412</v>
      </c>
      <c r="E1262" t="s">
        <v>3138</v>
      </c>
      <c r="F1262" t="s">
        <v>67</v>
      </c>
      <c r="G1262" s="1">
        <v>45546</v>
      </c>
      <c r="H1262" s="1">
        <v>45546</v>
      </c>
      <c r="I1262" s="1">
        <v>45546</v>
      </c>
      <c r="J1262" s="2" t="s">
        <v>357</v>
      </c>
      <c r="K1262" t="s">
        <v>5433</v>
      </c>
      <c r="M1262" s="16" t="s">
        <v>8551</v>
      </c>
      <c r="N1262" s="16" t="str">
        <f>VLOOKUP(M1262,Tab_Zast[[Zastávka]:[Sloupec1]],2,0)</f>
        <v>00</v>
      </c>
      <c r="O1262" t="s">
        <v>5434</v>
      </c>
      <c r="P1262">
        <v>3</v>
      </c>
      <c r="Q1262">
        <v>0</v>
      </c>
      <c r="R1262" t="s">
        <v>129</v>
      </c>
      <c r="S1262" t="s">
        <v>129</v>
      </c>
      <c r="T1262" t="s">
        <v>32</v>
      </c>
      <c r="V1262" s="1" t="e">
        <v>#N/A</v>
      </c>
      <c r="X1262">
        <v>0</v>
      </c>
      <c r="Y1262">
        <v>612</v>
      </c>
      <c r="AA1262" t="str">
        <f t="shared" si="38"/>
        <v/>
      </c>
      <c r="AB1262" t="str">
        <f t="shared" si="39"/>
        <v/>
      </c>
    </row>
    <row r="1263" spans="1:28" x14ac:dyDescent="0.25">
      <c r="A1263" s="2">
        <v>1224</v>
      </c>
      <c r="B1263" t="s">
        <v>5440</v>
      </c>
      <c r="C1263" t="s">
        <v>1394</v>
      </c>
      <c r="D1263" t="s">
        <v>5441</v>
      </c>
      <c r="E1263" t="s">
        <v>731</v>
      </c>
      <c r="F1263" t="s">
        <v>4357</v>
      </c>
      <c r="G1263" s="1">
        <v>45547</v>
      </c>
      <c r="H1263" s="1">
        <v>45623</v>
      </c>
      <c r="I1263" s="1">
        <v>73050</v>
      </c>
      <c r="J1263" s="2" t="s">
        <v>357</v>
      </c>
      <c r="K1263" t="s">
        <v>5442</v>
      </c>
      <c r="M1263" s="16" t="s">
        <v>8551</v>
      </c>
      <c r="N1263" s="16" t="str">
        <f>VLOOKUP(M1263,Tab_Zast[[Zastávka]:[Sloupec1]],2,0)</f>
        <v>00</v>
      </c>
      <c r="O1263" t="s">
        <v>5443</v>
      </c>
      <c r="P1263">
        <v>9</v>
      </c>
      <c r="Q1263">
        <v>0</v>
      </c>
      <c r="R1263" t="s">
        <v>31</v>
      </c>
      <c r="S1263" t="s">
        <v>31</v>
      </c>
      <c r="T1263" t="s">
        <v>32</v>
      </c>
      <c r="V1263" s="1" t="e">
        <v>#N/A</v>
      </c>
      <c r="W1263" t="s">
        <v>3091</v>
      </c>
      <c r="X1263">
        <v>0</v>
      </c>
      <c r="Y1263">
        <v>614</v>
      </c>
      <c r="Z1263" t="s">
        <v>54</v>
      </c>
      <c r="AA1263" t="str">
        <f t="shared" si="38"/>
        <v/>
      </c>
      <c r="AB1263" t="str">
        <f t="shared" si="39"/>
        <v/>
      </c>
    </row>
    <row r="1264" spans="1:28" x14ac:dyDescent="0.25">
      <c r="A1264" s="2">
        <v>1227</v>
      </c>
      <c r="B1264" t="s">
        <v>5449</v>
      </c>
      <c r="C1264" t="s">
        <v>1394</v>
      </c>
      <c r="D1264" t="s">
        <v>5450</v>
      </c>
      <c r="E1264" t="s">
        <v>743</v>
      </c>
      <c r="F1264" t="s">
        <v>5451</v>
      </c>
      <c r="G1264" s="1">
        <v>45547</v>
      </c>
      <c r="H1264" s="1">
        <v>45838</v>
      </c>
      <c r="I1264" s="1">
        <v>73050</v>
      </c>
      <c r="J1264" s="2" t="s">
        <v>357</v>
      </c>
      <c r="K1264" t="s">
        <v>5452</v>
      </c>
      <c r="M1264" s="16" t="s">
        <v>8551</v>
      </c>
      <c r="N1264" s="16" t="str">
        <f>VLOOKUP(M1264,Tab_Zast[[Zastávka]:[Sloupec1]],2,0)</f>
        <v>00</v>
      </c>
      <c r="O1264" t="s">
        <v>5453</v>
      </c>
      <c r="P1264">
        <v>9</v>
      </c>
      <c r="Q1264">
        <v>0</v>
      </c>
      <c r="R1264" t="s">
        <v>31</v>
      </c>
      <c r="S1264" t="s">
        <v>31</v>
      </c>
      <c r="T1264" t="s">
        <v>32</v>
      </c>
      <c r="V1264" s="1" t="e">
        <v>#N/A</v>
      </c>
      <c r="W1264" t="s">
        <v>3091</v>
      </c>
      <c r="X1264">
        <v>0</v>
      </c>
      <c r="Y1264">
        <v>618</v>
      </c>
      <c r="AA1264" t="str">
        <f t="shared" si="38"/>
        <v/>
      </c>
      <c r="AB1264" t="str">
        <f t="shared" si="39"/>
        <v/>
      </c>
    </row>
    <row r="1265" spans="1:28" x14ac:dyDescent="0.25">
      <c r="A1265" s="2">
        <v>1229</v>
      </c>
      <c r="B1265" t="s">
        <v>5454</v>
      </c>
      <c r="C1265" t="s">
        <v>1394</v>
      </c>
      <c r="D1265" t="s">
        <v>5379</v>
      </c>
      <c r="E1265" t="s">
        <v>701</v>
      </c>
      <c r="F1265" t="s">
        <v>5214</v>
      </c>
      <c r="G1265" s="1">
        <v>45547</v>
      </c>
      <c r="H1265" s="1">
        <v>45553</v>
      </c>
      <c r="I1265" s="1">
        <v>73050</v>
      </c>
      <c r="J1265" s="2" t="s">
        <v>357</v>
      </c>
      <c r="K1265" t="s">
        <v>5455</v>
      </c>
      <c r="M1265" s="16" t="s">
        <v>8551</v>
      </c>
      <c r="N1265" s="16" t="str">
        <f>VLOOKUP(M1265,Tab_Zast[[Zastávka]:[Sloupec1]],2,0)</f>
        <v>00</v>
      </c>
      <c r="O1265" t="s">
        <v>5381</v>
      </c>
      <c r="P1265">
        <v>3</v>
      </c>
      <c r="Q1265">
        <v>0</v>
      </c>
      <c r="R1265" t="s">
        <v>31</v>
      </c>
      <c r="S1265" t="s">
        <v>31</v>
      </c>
      <c r="T1265" t="s">
        <v>32</v>
      </c>
      <c r="V1265" s="1" t="e">
        <v>#N/A</v>
      </c>
      <c r="W1265" t="s">
        <v>3091</v>
      </c>
      <c r="X1265">
        <v>0</v>
      </c>
      <c r="Y1265">
        <v>620</v>
      </c>
      <c r="AA1265" t="str">
        <f t="shared" si="38"/>
        <v/>
      </c>
      <c r="AB1265" t="str">
        <f t="shared" si="39"/>
        <v/>
      </c>
    </row>
    <row r="1266" spans="1:28" x14ac:dyDescent="0.25">
      <c r="A1266" s="2">
        <v>1240</v>
      </c>
      <c r="B1266" t="s">
        <v>5494</v>
      </c>
      <c r="C1266" t="s">
        <v>1394</v>
      </c>
      <c r="D1266" t="s">
        <v>5495</v>
      </c>
      <c r="E1266" t="s">
        <v>5408</v>
      </c>
      <c r="F1266" t="s">
        <v>5496</v>
      </c>
      <c r="G1266" s="1">
        <v>45552</v>
      </c>
      <c r="H1266" s="1">
        <v>73050</v>
      </c>
      <c r="I1266" s="1" t="e">
        <v>#N/A</v>
      </c>
      <c r="J1266" s="2" t="s">
        <v>413</v>
      </c>
      <c r="K1266" t="s">
        <v>5497</v>
      </c>
      <c r="M1266" s="16" t="s">
        <v>8361</v>
      </c>
      <c r="N1266" s="16" t="str">
        <f>VLOOKUP(M1266,Tab_Zast[[Zastávka]:[Sloupec1]],2,0)</f>
        <v>41</v>
      </c>
      <c r="O1266" t="s">
        <v>5498</v>
      </c>
      <c r="P1266">
        <v>9</v>
      </c>
      <c r="Q1266">
        <v>0</v>
      </c>
      <c r="R1266" t="s">
        <v>129</v>
      </c>
      <c r="S1266" t="s">
        <v>31</v>
      </c>
      <c r="T1266" t="s">
        <v>32</v>
      </c>
      <c r="V1266" s="1" t="e">
        <v>#N/A</v>
      </c>
      <c r="W1266" t="s">
        <v>3091</v>
      </c>
      <c r="X1266">
        <v>1</v>
      </c>
      <c r="Y1266">
        <v>631</v>
      </c>
      <c r="AA1266" t="str">
        <f t="shared" si="38"/>
        <v>update zamestnanci set nastup='41' where id='1240';</v>
      </c>
      <c r="AB1266" t="str">
        <f t="shared" si="39"/>
        <v>update dochazka set zastavka = '41' where zamestnanec = '1240';</v>
      </c>
    </row>
    <row r="1267" spans="1:28" x14ac:dyDescent="0.25">
      <c r="A1267" s="2">
        <v>1242</v>
      </c>
      <c r="B1267" t="s">
        <v>5504</v>
      </c>
      <c r="C1267" t="s">
        <v>1394</v>
      </c>
      <c r="D1267" t="s">
        <v>5505</v>
      </c>
      <c r="E1267" t="s">
        <v>1402</v>
      </c>
      <c r="F1267" t="s">
        <v>5214</v>
      </c>
      <c r="G1267" s="1">
        <v>45552</v>
      </c>
      <c r="H1267" s="1">
        <v>45555</v>
      </c>
      <c r="I1267" s="1">
        <v>73050</v>
      </c>
      <c r="J1267" s="2" t="s">
        <v>357</v>
      </c>
      <c r="K1267" t="s">
        <v>5506</v>
      </c>
      <c r="M1267" s="16" t="s">
        <v>8551</v>
      </c>
      <c r="N1267" s="16" t="str">
        <f>VLOOKUP(M1267,Tab_Zast[[Zastávka]:[Sloupec1]],2,0)</f>
        <v>00</v>
      </c>
      <c r="O1267" t="s">
        <v>5507</v>
      </c>
      <c r="P1267">
        <v>3</v>
      </c>
      <c r="Q1267">
        <v>0</v>
      </c>
      <c r="R1267" t="s">
        <v>31</v>
      </c>
      <c r="S1267" t="s">
        <v>31</v>
      </c>
      <c r="T1267" t="s">
        <v>32</v>
      </c>
      <c r="V1267" s="1" t="e">
        <v>#N/A</v>
      </c>
      <c r="W1267" t="s">
        <v>3091</v>
      </c>
      <c r="X1267">
        <v>0</v>
      </c>
      <c r="Y1267">
        <v>633</v>
      </c>
      <c r="AA1267" t="str">
        <f t="shared" si="38"/>
        <v/>
      </c>
      <c r="AB1267" t="str">
        <f t="shared" si="39"/>
        <v/>
      </c>
    </row>
    <row r="1268" spans="1:28" x14ac:dyDescent="0.25">
      <c r="A1268" s="2">
        <v>1259</v>
      </c>
      <c r="B1268" t="s">
        <v>5572</v>
      </c>
      <c r="C1268" t="s">
        <v>1394</v>
      </c>
      <c r="D1268" t="s">
        <v>909</v>
      </c>
      <c r="E1268" t="s">
        <v>2451</v>
      </c>
      <c r="F1268" t="s">
        <v>4357</v>
      </c>
      <c r="G1268" s="1">
        <v>45559</v>
      </c>
      <c r="H1268" s="1">
        <v>45624</v>
      </c>
      <c r="I1268" s="1">
        <v>73050</v>
      </c>
      <c r="J1268" s="2" t="s">
        <v>357</v>
      </c>
      <c r="K1268" t="s">
        <v>5573</v>
      </c>
      <c r="M1268" s="16" t="s">
        <v>8551</v>
      </c>
      <c r="N1268" s="16" t="str">
        <f>VLOOKUP(M1268,Tab_Zast[[Zastávka]:[Sloupec1]],2,0)</f>
        <v>00</v>
      </c>
      <c r="O1268" t="s">
        <v>5574</v>
      </c>
      <c r="P1268">
        <v>9</v>
      </c>
      <c r="Q1268">
        <v>0</v>
      </c>
      <c r="R1268" t="s">
        <v>31</v>
      </c>
      <c r="S1268" t="s">
        <v>31</v>
      </c>
      <c r="T1268" t="s">
        <v>32</v>
      </c>
      <c r="V1268" s="1" t="e">
        <v>#N/A</v>
      </c>
      <c r="W1268" t="s">
        <v>3091</v>
      </c>
      <c r="X1268">
        <v>0</v>
      </c>
      <c r="Y1268">
        <v>650</v>
      </c>
      <c r="Z1268" t="s">
        <v>54</v>
      </c>
      <c r="AA1268" t="str">
        <f t="shared" si="38"/>
        <v/>
      </c>
      <c r="AB1268" t="str">
        <f t="shared" si="39"/>
        <v/>
      </c>
    </row>
    <row r="1269" spans="1:28" x14ac:dyDescent="0.25">
      <c r="A1269" s="2">
        <v>1314</v>
      </c>
      <c r="B1269" t="s">
        <v>5795</v>
      </c>
      <c r="C1269" t="s">
        <v>1394</v>
      </c>
      <c r="D1269" t="s">
        <v>1553</v>
      </c>
      <c r="E1269" t="s">
        <v>605</v>
      </c>
      <c r="F1269" t="s">
        <v>569</v>
      </c>
      <c r="G1269" s="1">
        <v>45580</v>
      </c>
      <c r="H1269" s="1">
        <v>45684</v>
      </c>
      <c r="I1269" s="1">
        <v>73050</v>
      </c>
      <c r="J1269" s="2" t="s">
        <v>8426</v>
      </c>
      <c r="K1269" t="s">
        <v>5796</v>
      </c>
      <c r="M1269" s="16" t="s">
        <v>8427</v>
      </c>
      <c r="N1269" s="16" t="str">
        <f>VLOOKUP(M1269,Tab_Zast[[Zastávka]:[Sloupec1]],2,0)</f>
        <v>67</v>
      </c>
      <c r="O1269" t="s">
        <v>5797</v>
      </c>
      <c r="P1269">
        <v>9</v>
      </c>
      <c r="Q1269">
        <v>0</v>
      </c>
      <c r="R1269" t="s">
        <v>31</v>
      </c>
      <c r="S1269" t="s">
        <v>31</v>
      </c>
      <c r="T1269" t="s">
        <v>32</v>
      </c>
      <c r="V1269" s="1">
        <v>45681</v>
      </c>
      <c r="W1269" t="s">
        <v>3091</v>
      </c>
      <c r="X1269">
        <v>0</v>
      </c>
      <c r="Y1269">
        <v>703</v>
      </c>
      <c r="AA1269" t="str">
        <f t="shared" si="38"/>
        <v>update zamestnanci set nastup='67' where id='1314';</v>
      </c>
      <c r="AB1269" t="str">
        <f t="shared" si="39"/>
        <v>update dochazka set zastavka = '67' where zamestnanec = '1314';</v>
      </c>
    </row>
    <row r="1270" spans="1:28" x14ac:dyDescent="0.25">
      <c r="A1270" s="2">
        <v>1352</v>
      </c>
      <c r="B1270" t="s">
        <v>5942</v>
      </c>
      <c r="C1270" t="s">
        <v>1394</v>
      </c>
      <c r="D1270" t="s">
        <v>3549</v>
      </c>
      <c r="E1270" t="s">
        <v>3550</v>
      </c>
      <c r="F1270" t="s">
        <v>5943</v>
      </c>
      <c r="G1270" s="1">
        <v>45601</v>
      </c>
      <c r="H1270" s="1">
        <v>45985</v>
      </c>
      <c r="I1270" s="1" t="e">
        <v>#N/A</v>
      </c>
      <c r="J1270" s="2" t="s">
        <v>8378</v>
      </c>
      <c r="K1270" t="s">
        <v>3552</v>
      </c>
      <c r="M1270" s="16" t="s">
        <v>8379</v>
      </c>
      <c r="N1270" s="16" t="str">
        <f>VLOOKUP(M1270,Tab_Zast[[Zastávka]:[Sloupec1]],2,0)</f>
        <v>48</v>
      </c>
      <c r="O1270" t="s">
        <v>5944</v>
      </c>
      <c r="P1270">
        <v>9</v>
      </c>
      <c r="Q1270">
        <v>0</v>
      </c>
      <c r="R1270" t="s">
        <v>31</v>
      </c>
      <c r="S1270" t="s">
        <v>31</v>
      </c>
      <c r="T1270" t="s">
        <v>32</v>
      </c>
      <c r="V1270" s="1" t="e">
        <v>#N/A</v>
      </c>
      <c r="W1270" t="s">
        <v>3091</v>
      </c>
      <c r="X1270">
        <v>0</v>
      </c>
      <c r="Y1270">
        <v>742</v>
      </c>
      <c r="AA1270" t="str">
        <f t="shared" si="38"/>
        <v>update zamestnanci set nastup='48' where id='1352';</v>
      </c>
      <c r="AB1270" t="str">
        <f t="shared" si="39"/>
        <v>update dochazka set zastavka = '48' where zamestnanec = '1352';</v>
      </c>
    </row>
    <row r="1271" spans="1:28" x14ac:dyDescent="0.25">
      <c r="A1271" s="2">
        <v>1373</v>
      </c>
      <c r="B1271" t="s">
        <v>6018</v>
      </c>
      <c r="C1271" t="s">
        <v>1394</v>
      </c>
      <c r="D1271" t="s">
        <v>6019</v>
      </c>
      <c r="E1271" t="s">
        <v>3533</v>
      </c>
      <c r="F1271" t="s">
        <v>6020</v>
      </c>
      <c r="G1271" s="1">
        <v>45610</v>
      </c>
      <c r="H1271" s="1">
        <v>45663</v>
      </c>
      <c r="I1271" s="1">
        <v>73050</v>
      </c>
      <c r="J1271" s="2" t="s">
        <v>357</v>
      </c>
      <c r="K1271" t="s">
        <v>6021</v>
      </c>
      <c r="M1271" s="16" t="s">
        <v>8551</v>
      </c>
      <c r="N1271" s="16" t="str">
        <f>VLOOKUP(M1271,Tab_Zast[[Zastávka]:[Sloupec1]],2,0)</f>
        <v>00</v>
      </c>
      <c r="O1271" t="s">
        <v>6022</v>
      </c>
      <c r="P1271">
        <v>9</v>
      </c>
      <c r="Q1271">
        <v>0</v>
      </c>
      <c r="R1271" t="s">
        <v>31</v>
      </c>
      <c r="S1271" t="s">
        <v>31</v>
      </c>
      <c r="T1271" t="s">
        <v>32</v>
      </c>
      <c r="V1271" s="1" t="e">
        <v>#N/A</v>
      </c>
      <c r="W1271" t="s">
        <v>3091</v>
      </c>
      <c r="X1271">
        <v>0</v>
      </c>
      <c r="Y1271">
        <v>766</v>
      </c>
      <c r="Z1271" t="s">
        <v>40</v>
      </c>
      <c r="AA1271" t="str">
        <f t="shared" si="38"/>
        <v/>
      </c>
      <c r="AB1271" t="str">
        <f t="shared" si="39"/>
        <v/>
      </c>
    </row>
    <row r="1272" spans="1:28" x14ac:dyDescent="0.25">
      <c r="A1272" s="2">
        <v>1374</v>
      </c>
      <c r="B1272" t="s">
        <v>6023</v>
      </c>
      <c r="C1272" t="s">
        <v>1394</v>
      </c>
      <c r="D1272" t="s">
        <v>6024</v>
      </c>
      <c r="E1272" t="s">
        <v>800</v>
      </c>
      <c r="F1272" t="s">
        <v>6025</v>
      </c>
      <c r="G1272" s="1">
        <v>45610</v>
      </c>
      <c r="H1272" s="1">
        <v>73050</v>
      </c>
      <c r="I1272" s="1" t="e">
        <v>#N/A</v>
      </c>
      <c r="J1272" s="2" t="s">
        <v>413</v>
      </c>
      <c r="K1272" t="s">
        <v>6026</v>
      </c>
      <c r="M1272" s="16" t="s">
        <v>8361</v>
      </c>
      <c r="N1272" s="16" t="str">
        <f>VLOOKUP(M1272,Tab_Zast[[Zastávka]:[Sloupec1]],2,0)</f>
        <v>41</v>
      </c>
      <c r="O1272" t="s">
        <v>6027</v>
      </c>
      <c r="P1272">
        <v>9</v>
      </c>
      <c r="Q1272">
        <v>0</v>
      </c>
      <c r="R1272" t="s">
        <v>129</v>
      </c>
      <c r="S1272" t="s">
        <v>31</v>
      </c>
      <c r="T1272" t="s">
        <v>32</v>
      </c>
      <c r="V1272" s="1" t="e">
        <v>#N/A</v>
      </c>
      <c r="W1272" t="s">
        <v>3091</v>
      </c>
      <c r="X1272">
        <v>1</v>
      </c>
      <c r="Y1272">
        <v>767</v>
      </c>
      <c r="AA1272" t="str">
        <f t="shared" si="38"/>
        <v>update zamestnanci set nastup='41' where id='1374';</v>
      </c>
      <c r="AB1272" t="str">
        <f t="shared" si="39"/>
        <v>update dochazka set zastavka = '41' where zamestnanec = '1374';</v>
      </c>
    </row>
    <row r="1273" spans="1:28" x14ac:dyDescent="0.25">
      <c r="A1273" s="2">
        <v>1376</v>
      </c>
      <c r="B1273" t="s">
        <v>6032</v>
      </c>
      <c r="C1273" t="s">
        <v>1394</v>
      </c>
      <c r="D1273" t="s">
        <v>573</v>
      </c>
      <c r="E1273" t="s">
        <v>761</v>
      </c>
      <c r="F1273" t="s">
        <v>569</v>
      </c>
      <c r="G1273" s="1">
        <v>45610</v>
      </c>
      <c r="H1273" s="1">
        <v>45791</v>
      </c>
      <c r="I1273" s="1">
        <v>73050</v>
      </c>
      <c r="J1273" s="2" t="s">
        <v>357</v>
      </c>
      <c r="K1273" t="s">
        <v>6033</v>
      </c>
      <c r="M1273" s="16" t="s">
        <v>8551</v>
      </c>
      <c r="N1273" s="16" t="str">
        <f>VLOOKUP(M1273,Tab_Zast[[Zastávka]:[Sloupec1]],2,0)</f>
        <v>00</v>
      </c>
      <c r="O1273" t="s">
        <v>6034</v>
      </c>
      <c r="P1273">
        <v>9</v>
      </c>
      <c r="Q1273">
        <v>0</v>
      </c>
      <c r="R1273" t="s">
        <v>31</v>
      </c>
      <c r="S1273" t="s">
        <v>31</v>
      </c>
      <c r="T1273" t="s">
        <v>32</v>
      </c>
      <c r="V1273" s="1" t="e">
        <v>#N/A</v>
      </c>
      <c r="W1273" t="s">
        <v>3091</v>
      </c>
      <c r="X1273">
        <v>0</v>
      </c>
      <c r="Y1273">
        <v>758</v>
      </c>
      <c r="AA1273" t="str">
        <f t="shared" si="38"/>
        <v/>
      </c>
      <c r="AB1273" t="str">
        <f t="shared" si="39"/>
        <v/>
      </c>
    </row>
    <row r="1274" spans="1:28" x14ac:dyDescent="0.25">
      <c r="A1274" s="2">
        <v>1408</v>
      </c>
      <c r="B1274" t="s">
        <v>6154</v>
      </c>
      <c r="C1274" t="s">
        <v>64</v>
      </c>
      <c r="D1274" t="s">
        <v>6155</v>
      </c>
      <c r="E1274" t="s">
        <v>2391</v>
      </c>
      <c r="F1274" t="s">
        <v>6156</v>
      </c>
      <c r="G1274" s="1">
        <v>45622</v>
      </c>
      <c r="H1274" s="1" t="e">
        <v>#N/A</v>
      </c>
      <c r="I1274" s="1" t="e">
        <v>#N/A</v>
      </c>
      <c r="J1274" s="2" t="s">
        <v>360</v>
      </c>
      <c r="K1274" t="s">
        <v>6157</v>
      </c>
      <c r="M1274" s="16" t="s">
        <v>8339</v>
      </c>
      <c r="N1274" s="16" t="str">
        <f>VLOOKUP(M1274,Tab_Zast[[Zastávka]:[Sloupec1]],2,0)</f>
        <v>32</v>
      </c>
      <c r="O1274" t="s">
        <v>6158</v>
      </c>
      <c r="P1274">
        <v>8</v>
      </c>
      <c r="Q1274">
        <v>0</v>
      </c>
      <c r="R1274" t="s">
        <v>129</v>
      </c>
      <c r="S1274" t="s">
        <v>31</v>
      </c>
      <c r="T1274" t="s">
        <v>32</v>
      </c>
      <c r="V1274" s="1" t="e">
        <v>#N/A</v>
      </c>
      <c r="W1274" t="s">
        <v>493</v>
      </c>
      <c r="X1274">
        <v>1</v>
      </c>
      <c r="Y1274">
        <v>797</v>
      </c>
      <c r="AA1274" t="str">
        <f t="shared" si="38"/>
        <v>update zamestnanci set nastup='32' where id='1408';</v>
      </c>
      <c r="AB1274" t="str">
        <f t="shared" si="39"/>
        <v>update dochazka set zastavka = '32' where zamestnanec = '1408';</v>
      </c>
    </row>
    <row r="1275" spans="1:28" x14ac:dyDescent="0.25">
      <c r="A1275" s="2">
        <v>1485</v>
      </c>
      <c r="B1275" t="s">
        <v>6454</v>
      </c>
      <c r="C1275" t="s">
        <v>357</v>
      </c>
      <c r="D1275" t="s">
        <v>6455</v>
      </c>
      <c r="E1275" t="s">
        <v>3717</v>
      </c>
      <c r="F1275" t="s">
        <v>569</v>
      </c>
      <c r="G1275" s="1">
        <v>45712</v>
      </c>
      <c r="H1275" s="1">
        <v>45900</v>
      </c>
      <c r="I1275" s="1">
        <v>73050</v>
      </c>
      <c r="J1275" s="2" t="s">
        <v>413</v>
      </c>
      <c r="K1275" t="s">
        <v>6456</v>
      </c>
      <c r="M1275" s="16" t="s">
        <v>8361</v>
      </c>
      <c r="N1275" s="16" t="str">
        <f>VLOOKUP(M1275,Tab_Zast[[Zastávka]:[Sloupec1]],2,0)</f>
        <v>41</v>
      </c>
      <c r="O1275" t="s">
        <v>6457</v>
      </c>
      <c r="P1275">
        <v>9</v>
      </c>
      <c r="Q1275">
        <v>0</v>
      </c>
      <c r="R1275" t="s">
        <v>31</v>
      </c>
      <c r="S1275" t="s">
        <v>31</v>
      </c>
      <c r="T1275" t="s">
        <v>32</v>
      </c>
      <c r="V1275" s="1" t="e">
        <v>#N/A</v>
      </c>
      <c r="W1275" t="s">
        <v>3091</v>
      </c>
      <c r="X1275">
        <v>0</v>
      </c>
      <c r="Y1275">
        <v>876</v>
      </c>
      <c r="AA1275" t="str">
        <f t="shared" si="38"/>
        <v>update zamestnanci set nastup='41' where id='1485';</v>
      </c>
      <c r="AB1275" t="str">
        <f t="shared" si="39"/>
        <v>update dochazka set zastavka = '41' where zamestnanec = '1485';</v>
      </c>
    </row>
    <row r="1276" spans="1:28" x14ac:dyDescent="0.25">
      <c r="A1276" s="2">
        <v>1486</v>
      </c>
      <c r="B1276" t="s">
        <v>6458</v>
      </c>
      <c r="C1276" t="s">
        <v>569</v>
      </c>
      <c r="D1276" t="s">
        <v>6459</v>
      </c>
      <c r="E1276" t="s">
        <v>2536</v>
      </c>
      <c r="F1276" t="s">
        <v>6460</v>
      </c>
      <c r="G1276" s="1">
        <v>45712</v>
      </c>
      <c r="H1276" s="1">
        <v>45714</v>
      </c>
      <c r="I1276" s="1">
        <v>73050</v>
      </c>
      <c r="J1276" s="2" t="s">
        <v>357</v>
      </c>
      <c r="K1276" t="s">
        <v>6461</v>
      </c>
      <c r="M1276" s="16" t="s">
        <v>8551</v>
      </c>
      <c r="N1276" s="16" t="str">
        <f>VLOOKUP(M1276,Tab_Zast[[Zastávka]:[Sloupec1]],2,0)</f>
        <v>00</v>
      </c>
      <c r="O1276" t="s">
        <v>6462</v>
      </c>
      <c r="P1276">
        <v>9</v>
      </c>
      <c r="Q1276">
        <v>0</v>
      </c>
      <c r="R1276" t="s">
        <v>31</v>
      </c>
      <c r="S1276" t="s">
        <v>31</v>
      </c>
      <c r="T1276" t="s">
        <v>32</v>
      </c>
      <c r="V1276" s="1" t="e">
        <v>#N/A</v>
      </c>
      <c r="W1276" t="s">
        <v>3091</v>
      </c>
      <c r="X1276">
        <v>0</v>
      </c>
      <c r="Y1276">
        <v>877</v>
      </c>
      <c r="AA1276" t="str">
        <f t="shared" si="38"/>
        <v/>
      </c>
      <c r="AB1276" t="str">
        <f t="shared" si="39"/>
        <v/>
      </c>
    </row>
    <row r="1277" spans="1:28" x14ac:dyDescent="0.25">
      <c r="A1277" s="2">
        <v>1488</v>
      </c>
      <c r="B1277" t="s">
        <v>6465</v>
      </c>
      <c r="C1277" t="s">
        <v>569</v>
      </c>
      <c r="D1277" t="s">
        <v>6330</v>
      </c>
      <c r="E1277" t="s">
        <v>1947</v>
      </c>
      <c r="F1277" t="s">
        <v>6466</v>
      </c>
      <c r="G1277" s="1">
        <v>45712</v>
      </c>
      <c r="H1277" s="1" t="e">
        <v>#N/A</v>
      </c>
      <c r="I1277" s="1" t="e">
        <v>#N/A</v>
      </c>
      <c r="J1277" s="2" t="s">
        <v>8267</v>
      </c>
      <c r="K1277" t="s">
        <v>6467</v>
      </c>
      <c r="M1277" s="16" t="s">
        <v>8268</v>
      </c>
      <c r="N1277" s="16" t="str">
        <f>VLOOKUP(M1277,Tab_Zast[[Zastávka]:[Sloupec1]],2,0)</f>
        <v>06</v>
      </c>
      <c r="O1277" t="s">
        <v>6468</v>
      </c>
      <c r="P1277">
        <v>9</v>
      </c>
      <c r="Q1277">
        <v>0</v>
      </c>
      <c r="R1277" t="s">
        <v>129</v>
      </c>
      <c r="S1277" t="s">
        <v>129</v>
      </c>
      <c r="T1277" t="s">
        <v>32</v>
      </c>
      <c r="V1277" s="1" t="e">
        <v>#N/A</v>
      </c>
      <c r="W1277" t="s">
        <v>3091</v>
      </c>
      <c r="X1277">
        <v>1</v>
      </c>
      <c r="Y1277">
        <v>879</v>
      </c>
      <c r="AA1277" t="str">
        <f t="shared" si="38"/>
        <v>update zamestnanci set nastup='06' where id='1488';</v>
      </c>
      <c r="AB1277" t="str">
        <f t="shared" si="39"/>
        <v>update dochazka set zastavka = '06' where zamestnanec = '1488';</v>
      </c>
    </row>
    <row r="1278" spans="1:28" x14ac:dyDescent="0.25">
      <c r="A1278" s="2">
        <v>1495</v>
      </c>
      <c r="B1278" t="s">
        <v>6495</v>
      </c>
      <c r="C1278" t="s">
        <v>64</v>
      </c>
      <c r="D1278" t="s">
        <v>6496</v>
      </c>
      <c r="E1278" t="s">
        <v>2613</v>
      </c>
      <c r="F1278" t="s">
        <v>140</v>
      </c>
      <c r="G1278" s="1">
        <v>45717</v>
      </c>
      <c r="H1278" s="1">
        <v>45776</v>
      </c>
      <c r="I1278" s="1">
        <v>73050</v>
      </c>
      <c r="J1278" s="2" t="s">
        <v>8356</v>
      </c>
      <c r="K1278" t="s">
        <v>6497</v>
      </c>
      <c r="M1278" s="16" t="s">
        <v>8357</v>
      </c>
      <c r="N1278" s="16" t="str">
        <f>VLOOKUP(M1278,Tab_Zast[[Zastávka]:[Sloupec1]],2,0)</f>
        <v>39</v>
      </c>
      <c r="O1278" t="s">
        <v>6498</v>
      </c>
      <c r="P1278">
        <v>4</v>
      </c>
      <c r="Q1278">
        <v>0</v>
      </c>
      <c r="R1278" t="s">
        <v>31</v>
      </c>
      <c r="S1278" t="s">
        <v>31</v>
      </c>
      <c r="T1278" t="s">
        <v>103</v>
      </c>
      <c r="V1278" s="1">
        <v>45769</v>
      </c>
      <c r="W1278" t="s">
        <v>62</v>
      </c>
      <c r="X1278">
        <v>0</v>
      </c>
      <c r="Y1278">
        <v>883</v>
      </c>
      <c r="AA1278" t="str">
        <f t="shared" si="38"/>
        <v>update zamestnanci set nastup='39' where id='1495';</v>
      </c>
      <c r="AB1278" t="str">
        <f t="shared" si="39"/>
        <v>update dochazka set zastavka = '39' where zamestnanec = '1495';</v>
      </c>
    </row>
    <row r="1279" spans="1:28" x14ac:dyDescent="0.25">
      <c r="A1279" s="2">
        <v>1497</v>
      </c>
      <c r="B1279" t="s">
        <v>6503</v>
      </c>
      <c r="C1279" t="s">
        <v>64</v>
      </c>
      <c r="D1279" t="s">
        <v>268</v>
      </c>
      <c r="E1279" t="s">
        <v>1007</v>
      </c>
      <c r="F1279" t="s">
        <v>6504</v>
      </c>
      <c r="G1279" s="1">
        <v>45719</v>
      </c>
      <c r="H1279" s="1" t="e">
        <v>#N/A</v>
      </c>
      <c r="I1279" s="1" t="e">
        <v>#N/A</v>
      </c>
      <c r="J1279" s="2" t="s">
        <v>8356</v>
      </c>
      <c r="K1279" t="s">
        <v>6505</v>
      </c>
      <c r="M1279" s="16" t="s">
        <v>8357</v>
      </c>
      <c r="N1279" s="16" t="str">
        <f>VLOOKUP(M1279,Tab_Zast[[Zastávka]:[Sloupec1]],2,0)</f>
        <v>39</v>
      </c>
      <c r="O1279" t="s">
        <v>6506</v>
      </c>
      <c r="P1279">
        <v>4</v>
      </c>
      <c r="Q1279">
        <v>0</v>
      </c>
      <c r="R1279" t="s">
        <v>130</v>
      </c>
      <c r="S1279" t="s">
        <v>31</v>
      </c>
      <c r="T1279" t="s">
        <v>32</v>
      </c>
      <c r="U1279" t="s">
        <v>254</v>
      </c>
      <c r="V1279" s="1" t="e">
        <v>#N/A</v>
      </c>
      <c r="W1279" t="s">
        <v>62</v>
      </c>
      <c r="X1279">
        <v>1</v>
      </c>
      <c r="Y1279">
        <v>887</v>
      </c>
      <c r="AA1279" t="str">
        <f t="shared" si="38"/>
        <v>update zamestnanci set nastup='39' where id='1497';</v>
      </c>
      <c r="AB1279" t="str">
        <f t="shared" si="39"/>
        <v>update dochazka set zastavka = '39' where zamestnanec = '1497';</v>
      </c>
    </row>
    <row r="1280" spans="1:28" x14ac:dyDescent="0.25">
      <c r="A1280" s="2">
        <v>1503</v>
      </c>
      <c r="B1280" t="s">
        <v>6524</v>
      </c>
      <c r="C1280" t="s">
        <v>64</v>
      </c>
      <c r="D1280" t="s">
        <v>4364</v>
      </c>
      <c r="E1280" t="s">
        <v>3373</v>
      </c>
      <c r="F1280" t="s">
        <v>6525</v>
      </c>
      <c r="G1280" s="1">
        <v>45723</v>
      </c>
      <c r="H1280" s="1">
        <v>45832</v>
      </c>
      <c r="I1280" s="1">
        <v>73050</v>
      </c>
      <c r="J1280" s="2" t="s">
        <v>357</v>
      </c>
      <c r="K1280" t="s">
        <v>6526</v>
      </c>
      <c r="M1280" s="16" t="s">
        <v>8551</v>
      </c>
      <c r="N1280" s="16" t="str">
        <f>VLOOKUP(M1280,Tab_Zast[[Zastávka]:[Sloupec1]],2,0)</f>
        <v>00</v>
      </c>
      <c r="O1280" t="s">
        <v>6527</v>
      </c>
      <c r="P1280">
        <v>6</v>
      </c>
      <c r="Q1280">
        <v>0</v>
      </c>
      <c r="R1280" t="s">
        <v>31</v>
      </c>
      <c r="S1280" t="s">
        <v>31</v>
      </c>
      <c r="T1280" t="s">
        <v>32</v>
      </c>
      <c r="V1280" s="1">
        <v>45832</v>
      </c>
      <c r="W1280" t="s">
        <v>1216</v>
      </c>
      <c r="X1280">
        <v>0</v>
      </c>
      <c r="Y1280">
        <v>895</v>
      </c>
      <c r="AA1280" t="str">
        <f t="shared" si="38"/>
        <v/>
      </c>
      <c r="AB1280" t="str">
        <f t="shared" si="39"/>
        <v/>
      </c>
    </row>
    <row r="1281" spans="1:28" x14ac:dyDescent="0.25">
      <c r="A1281" s="2">
        <v>1540</v>
      </c>
      <c r="B1281" t="s">
        <v>6660</v>
      </c>
      <c r="C1281" t="s">
        <v>64</v>
      </c>
      <c r="D1281" t="s">
        <v>6661</v>
      </c>
      <c r="E1281" t="s">
        <v>755</v>
      </c>
      <c r="F1281" t="s">
        <v>64</v>
      </c>
      <c r="G1281" s="1">
        <v>45740</v>
      </c>
      <c r="H1281" s="1">
        <v>45740</v>
      </c>
      <c r="I1281" s="1">
        <v>73050</v>
      </c>
      <c r="J1281" s="2" t="s">
        <v>357</v>
      </c>
      <c r="K1281" t="s">
        <v>6662</v>
      </c>
      <c r="M1281" s="16" t="s">
        <v>8551</v>
      </c>
      <c r="N1281" s="16" t="str">
        <f>VLOOKUP(M1281,Tab_Zast[[Zastávka]:[Sloupec1]],2,0)</f>
        <v>00</v>
      </c>
      <c r="O1281" t="s">
        <v>6663</v>
      </c>
      <c r="P1281">
        <v>8</v>
      </c>
      <c r="Q1281">
        <v>0</v>
      </c>
      <c r="R1281" t="s">
        <v>31</v>
      </c>
      <c r="S1281" t="s">
        <v>31</v>
      </c>
      <c r="T1281" t="s">
        <v>32</v>
      </c>
      <c r="V1281" s="1">
        <v>45740</v>
      </c>
      <c r="W1281" t="s">
        <v>3023</v>
      </c>
      <c r="X1281">
        <v>0</v>
      </c>
      <c r="Y1281">
        <v>929</v>
      </c>
      <c r="AA1281" t="str">
        <f t="shared" si="38"/>
        <v/>
      </c>
      <c r="AB1281" t="str">
        <f t="shared" si="39"/>
        <v/>
      </c>
    </row>
    <row r="1282" spans="1:28" x14ac:dyDescent="0.25">
      <c r="A1282" s="2">
        <v>1542</v>
      </c>
      <c r="B1282" t="s">
        <v>6667</v>
      </c>
      <c r="C1282" t="s">
        <v>64</v>
      </c>
      <c r="D1282" t="s">
        <v>6668</v>
      </c>
      <c r="E1282" t="s">
        <v>1402</v>
      </c>
      <c r="F1282" t="s">
        <v>6669</v>
      </c>
      <c r="G1282" s="1">
        <v>45740</v>
      </c>
      <c r="H1282" s="1" t="e">
        <v>#N/A</v>
      </c>
      <c r="I1282" s="1" t="e">
        <v>#N/A</v>
      </c>
      <c r="J1282" s="2" t="s">
        <v>8353</v>
      </c>
      <c r="K1282" t="s">
        <v>6670</v>
      </c>
      <c r="M1282" s="16" t="s">
        <v>8354</v>
      </c>
      <c r="N1282" s="16" t="str">
        <f>VLOOKUP(M1282,Tab_Zast[[Zastávka]:[Sloupec1]],2,0)</f>
        <v>38</v>
      </c>
      <c r="O1282" t="s">
        <v>6671</v>
      </c>
      <c r="P1282">
        <v>8</v>
      </c>
      <c r="Q1282">
        <v>0</v>
      </c>
      <c r="R1282" t="s">
        <v>129</v>
      </c>
      <c r="S1282" t="s">
        <v>31</v>
      </c>
      <c r="T1282" t="s">
        <v>32</v>
      </c>
      <c r="V1282" s="1" t="e">
        <v>#N/A</v>
      </c>
      <c r="W1282" t="s">
        <v>3023</v>
      </c>
      <c r="X1282">
        <v>1</v>
      </c>
      <c r="Y1282">
        <v>931</v>
      </c>
      <c r="AA1282" t="str">
        <f t="shared" si="38"/>
        <v>update zamestnanci set nastup='38' where id='1542';</v>
      </c>
      <c r="AB1282" t="str">
        <f t="shared" si="39"/>
        <v>update dochazka set zastavka = '38' where zamestnanec = '1542';</v>
      </c>
    </row>
    <row r="1283" spans="1:28" x14ac:dyDescent="0.25">
      <c r="A1283" s="2">
        <v>1607</v>
      </c>
      <c r="B1283" t="s">
        <v>6906</v>
      </c>
      <c r="C1283" t="s">
        <v>357</v>
      </c>
      <c r="D1283" t="s">
        <v>6907</v>
      </c>
      <c r="E1283" t="s">
        <v>3533</v>
      </c>
      <c r="F1283" t="s">
        <v>6908</v>
      </c>
      <c r="G1283" s="1">
        <v>45775</v>
      </c>
      <c r="H1283" s="1" t="e">
        <v>#N/A</v>
      </c>
      <c r="I1283" s="1" t="e">
        <v>#N/A</v>
      </c>
      <c r="J1283" s="2" t="s">
        <v>8531</v>
      </c>
      <c r="K1283" t="s">
        <v>6909</v>
      </c>
      <c r="M1283" s="16" t="s">
        <v>8532</v>
      </c>
      <c r="N1283" s="16" t="str">
        <f>VLOOKUP(M1283,Tab_Zast[[Zastávka]:[Sloupec1]],2,0)</f>
        <v>101</v>
      </c>
      <c r="O1283" t="s">
        <v>6910</v>
      </c>
      <c r="P1283">
        <v>8</v>
      </c>
      <c r="Q1283">
        <v>0</v>
      </c>
      <c r="R1283" t="s">
        <v>129</v>
      </c>
      <c r="S1283" t="s">
        <v>31</v>
      </c>
      <c r="T1283" t="s">
        <v>32</v>
      </c>
      <c r="V1283" s="1" t="e">
        <v>#N/A</v>
      </c>
      <c r="W1283" t="s">
        <v>493</v>
      </c>
      <c r="X1283">
        <v>1</v>
      </c>
      <c r="Y1283">
        <v>1001</v>
      </c>
      <c r="AA1283" t="str">
        <f t="shared" si="38"/>
        <v>update zamestnanci set nastup='101' where id='1607';</v>
      </c>
      <c r="AB1283" t="str">
        <f t="shared" si="39"/>
        <v>update dochazka set zastavka = '101' where zamestnanec = '1607';</v>
      </c>
    </row>
    <row r="1284" spans="1:28" x14ac:dyDescent="0.25">
      <c r="A1284" s="2">
        <v>1608</v>
      </c>
      <c r="B1284" t="s">
        <v>6911</v>
      </c>
      <c r="C1284" t="s">
        <v>357</v>
      </c>
      <c r="D1284" t="s">
        <v>3527</v>
      </c>
      <c r="E1284" t="s">
        <v>2960</v>
      </c>
      <c r="F1284" t="s">
        <v>6912</v>
      </c>
      <c r="G1284" s="1">
        <v>45775</v>
      </c>
      <c r="H1284" s="1" t="e">
        <v>#N/A</v>
      </c>
      <c r="I1284" s="1" t="e">
        <v>#N/A</v>
      </c>
      <c r="J1284" s="2" t="s">
        <v>647</v>
      </c>
      <c r="K1284" t="s">
        <v>6913</v>
      </c>
      <c r="M1284" s="16" t="s">
        <v>8459</v>
      </c>
      <c r="N1284" s="16" t="str">
        <f>VLOOKUP(M1284,Tab_Zast[[Zastávka]:[Sloupec1]],2,0)</f>
        <v>78</v>
      </c>
      <c r="O1284" t="s">
        <v>3530</v>
      </c>
      <c r="P1284">
        <v>8</v>
      </c>
      <c r="Q1284">
        <v>0</v>
      </c>
      <c r="R1284" t="s">
        <v>179</v>
      </c>
      <c r="S1284" t="s">
        <v>31</v>
      </c>
      <c r="T1284" t="s">
        <v>32</v>
      </c>
      <c r="V1284" s="1" t="e">
        <v>#N/A</v>
      </c>
      <c r="W1284" t="s">
        <v>493</v>
      </c>
      <c r="X1284">
        <v>1</v>
      </c>
      <c r="Y1284">
        <v>1004</v>
      </c>
      <c r="AA1284" t="str">
        <f t="shared" ref="AA1284:AA1347" si="40">IF(J1284&lt;&gt;"00","update zamestnanci set nastup='" &amp; J1284 &amp; "' where id='" &amp; A1284 &amp; "';","")</f>
        <v>update zamestnanci set nastup='78' where id='1608';</v>
      </c>
      <c r="AB1284" t="str">
        <f t="shared" ref="AB1284:AB1347" si="41">IF(J1284&lt;&gt;"00","update dochazka set zastavka = '" &amp; J1284 &amp; "' where zamestnanec = '" &amp; A1284 &amp; "';","")</f>
        <v>update dochazka set zastavka = '78' where zamestnanec = '1608';</v>
      </c>
    </row>
    <row r="1285" spans="1:28" x14ac:dyDescent="0.25">
      <c r="A1285" s="2">
        <v>1634</v>
      </c>
      <c r="B1285" t="s">
        <v>7008</v>
      </c>
      <c r="C1285" t="s">
        <v>569</v>
      </c>
      <c r="D1285" t="s">
        <v>7009</v>
      </c>
      <c r="E1285" t="s">
        <v>743</v>
      </c>
      <c r="F1285" t="s">
        <v>7010</v>
      </c>
      <c r="G1285" s="1">
        <v>45789</v>
      </c>
      <c r="H1285" s="1" t="e">
        <v>#N/A</v>
      </c>
      <c r="I1285" s="1" t="e">
        <v>#N/A</v>
      </c>
      <c r="J1285" s="2" t="s">
        <v>647</v>
      </c>
      <c r="K1285" t="s">
        <v>7011</v>
      </c>
      <c r="M1285" s="16" t="s">
        <v>8459</v>
      </c>
      <c r="N1285" s="16" t="str">
        <f>VLOOKUP(M1285,Tab_Zast[[Zastávka]:[Sloupec1]],2,0)</f>
        <v>78</v>
      </c>
      <c r="O1285" t="s">
        <v>7012</v>
      </c>
      <c r="P1285">
        <v>8</v>
      </c>
      <c r="Q1285">
        <v>0</v>
      </c>
      <c r="R1285" t="s">
        <v>129</v>
      </c>
      <c r="S1285" t="s">
        <v>31</v>
      </c>
      <c r="T1285" t="s">
        <v>32</v>
      </c>
      <c r="V1285" s="1" t="e">
        <v>#N/A</v>
      </c>
      <c r="W1285" t="s">
        <v>493</v>
      </c>
      <c r="X1285">
        <v>1</v>
      </c>
      <c r="Y1285">
        <v>1025</v>
      </c>
      <c r="AA1285" t="str">
        <f t="shared" si="40"/>
        <v>update zamestnanci set nastup='78' where id='1634';</v>
      </c>
      <c r="AB1285" t="str">
        <f t="shared" si="41"/>
        <v>update dochazka set zastavka = '78' where zamestnanec = '1634';</v>
      </c>
    </row>
    <row r="1286" spans="1:28" x14ac:dyDescent="0.25">
      <c r="A1286" s="2">
        <v>1681</v>
      </c>
      <c r="B1286" t="s">
        <v>64</v>
      </c>
      <c r="C1286" t="s">
        <v>64</v>
      </c>
      <c r="D1286" t="s">
        <v>7163</v>
      </c>
      <c r="E1286" t="s">
        <v>7164</v>
      </c>
      <c r="F1286" t="s">
        <v>7165</v>
      </c>
      <c r="G1286" s="1">
        <v>45824</v>
      </c>
      <c r="H1286" s="1">
        <v>45890</v>
      </c>
      <c r="I1286" s="1">
        <v>73050</v>
      </c>
      <c r="J1286" s="2" t="s">
        <v>8531</v>
      </c>
      <c r="K1286" t="s">
        <v>7166</v>
      </c>
      <c r="M1286" s="16" t="s">
        <v>8532</v>
      </c>
      <c r="N1286" s="16" t="str">
        <f>VLOOKUP(M1286,Tab_Zast[[Zastávka]:[Sloupec1]],2,0)</f>
        <v>101</v>
      </c>
      <c r="O1286" t="s">
        <v>7167</v>
      </c>
      <c r="P1286">
        <v>8</v>
      </c>
      <c r="Q1286">
        <v>0</v>
      </c>
      <c r="R1286" t="s">
        <v>129</v>
      </c>
      <c r="S1286" t="s">
        <v>179</v>
      </c>
      <c r="T1286" t="s">
        <v>32</v>
      </c>
      <c r="V1286" s="1" t="e">
        <v>#N/A</v>
      </c>
      <c r="W1286" t="s">
        <v>3023</v>
      </c>
      <c r="X1286">
        <v>0</v>
      </c>
      <c r="Y1286">
        <v>1073</v>
      </c>
      <c r="AA1286" t="str">
        <f t="shared" si="40"/>
        <v>update zamestnanci set nastup='101' where id='1681';</v>
      </c>
      <c r="AB1286" t="str">
        <f t="shared" si="41"/>
        <v>update dochazka set zastavka = '101' where zamestnanec = '1681';</v>
      </c>
    </row>
    <row r="1287" spans="1:28" x14ac:dyDescent="0.25">
      <c r="A1287" s="2">
        <v>1685</v>
      </c>
      <c r="B1287" t="s">
        <v>64</v>
      </c>
      <c r="C1287" t="s">
        <v>64</v>
      </c>
      <c r="D1287" t="s">
        <v>301</v>
      </c>
      <c r="E1287" t="s">
        <v>302</v>
      </c>
      <c r="F1287" t="s">
        <v>7178</v>
      </c>
      <c r="G1287" s="1">
        <v>45824</v>
      </c>
      <c r="H1287" s="1">
        <v>45924</v>
      </c>
      <c r="I1287" s="1">
        <v>73050</v>
      </c>
      <c r="J1287" s="2" t="s">
        <v>357</v>
      </c>
      <c r="K1287" t="s">
        <v>7179</v>
      </c>
      <c r="M1287" s="16" t="s">
        <v>8551</v>
      </c>
      <c r="N1287" s="16" t="str">
        <f>VLOOKUP(M1287,Tab_Zast[[Zastávka]:[Sloupec1]],2,0)</f>
        <v>00</v>
      </c>
      <c r="O1287" t="s">
        <v>1505</v>
      </c>
      <c r="P1287">
        <v>8</v>
      </c>
      <c r="Q1287">
        <v>0</v>
      </c>
      <c r="R1287" t="s">
        <v>129</v>
      </c>
      <c r="S1287" t="s">
        <v>179</v>
      </c>
      <c r="T1287" t="s">
        <v>32</v>
      </c>
      <c r="V1287" s="1" t="e">
        <v>#N/A</v>
      </c>
      <c r="W1287" t="s">
        <v>3023</v>
      </c>
      <c r="X1287">
        <v>0</v>
      </c>
      <c r="Y1287">
        <v>1077</v>
      </c>
      <c r="AA1287" t="str">
        <f t="shared" si="40"/>
        <v/>
      </c>
      <c r="AB1287" t="str">
        <f t="shared" si="41"/>
        <v/>
      </c>
    </row>
    <row r="1288" spans="1:28" x14ac:dyDescent="0.25">
      <c r="A1288" s="2">
        <v>1692</v>
      </c>
      <c r="B1288" t="s">
        <v>7194</v>
      </c>
      <c r="C1288" t="s">
        <v>357</v>
      </c>
      <c r="D1288" t="s">
        <v>7195</v>
      </c>
      <c r="E1288" t="s">
        <v>643</v>
      </c>
      <c r="F1288" t="s">
        <v>569</v>
      </c>
      <c r="G1288" s="1">
        <v>45832</v>
      </c>
      <c r="H1288" s="1">
        <v>45950</v>
      </c>
      <c r="I1288" s="1">
        <v>73050</v>
      </c>
      <c r="J1288" s="2" t="s">
        <v>8531</v>
      </c>
      <c r="K1288" t="s">
        <v>7196</v>
      </c>
      <c r="M1288" s="16" t="s">
        <v>8532</v>
      </c>
      <c r="N1288" s="16" t="str">
        <f>VLOOKUP(M1288,Tab_Zast[[Zastávka]:[Sloupec1]],2,0)</f>
        <v>101</v>
      </c>
      <c r="O1288" t="s">
        <v>7197</v>
      </c>
      <c r="P1288">
        <v>8</v>
      </c>
      <c r="Q1288">
        <v>0</v>
      </c>
      <c r="R1288" t="s">
        <v>31</v>
      </c>
      <c r="S1288" t="s">
        <v>31</v>
      </c>
      <c r="T1288" t="s">
        <v>32</v>
      </c>
      <c r="V1288" s="1" t="e">
        <v>#N/A</v>
      </c>
      <c r="W1288" t="s">
        <v>493</v>
      </c>
      <c r="X1288">
        <v>0</v>
      </c>
      <c r="Y1288">
        <v>1087</v>
      </c>
      <c r="AA1288" t="str">
        <f t="shared" si="40"/>
        <v>update zamestnanci set nastup='101' where id='1692';</v>
      </c>
      <c r="AB1288" t="str">
        <f t="shared" si="41"/>
        <v>update dochazka set zastavka = '101' where zamestnanec = '1692';</v>
      </c>
    </row>
    <row r="1289" spans="1:28" x14ac:dyDescent="0.25">
      <c r="A1289" s="2">
        <v>1727</v>
      </c>
      <c r="B1289" t="s">
        <v>7324</v>
      </c>
      <c r="C1289" t="s">
        <v>357</v>
      </c>
      <c r="D1289" t="s">
        <v>7325</v>
      </c>
      <c r="E1289" t="s">
        <v>1402</v>
      </c>
      <c r="F1289" t="s">
        <v>7326</v>
      </c>
      <c r="G1289" s="1">
        <v>45846</v>
      </c>
      <c r="H1289" s="1" t="e">
        <v>#N/A</v>
      </c>
      <c r="I1289" s="1" t="e">
        <v>#N/A</v>
      </c>
      <c r="J1289" s="2" t="s">
        <v>8531</v>
      </c>
      <c r="K1289" t="s">
        <v>7327</v>
      </c>
      <c r="M1289" s="16" t="s">
        <v>8532</v>
      </c>
      <c r="N1289" s="16" t="str">
        <f>VLOOKUP(M1289,Tab_Zast[[Zastávka]:[Sloupec1]],2,0)</f>
        <v>101</v>
      </c>
      <c r="O1289" t="s">
        <v>7328</v>
      </c>
      <c r="P1289">
        <v>8</v>
      </c>
      <c r="Q1289">
        <v>0</v>
      </c>
      <c r="R1289" t="s">
        <v>129</v>
      </c>
      <c r="S1289" t="s">
        <v>31</v>
      </c>
      <c r="T1289" t="s">
        <v>32</v>
      </c>
      <c r="V1289" s="1" t="e">
        <v>#N/A</v>
      </c>
      <c r="W1289" t="s">
        <v>493</v>
      </c>
      <c r="X1289">
        <v>1</v>
      </c>
      <c r="Y1289">
        <v>1119</v>
      </c>
      <c r="AA1289" t="str">
        <f t="shared" si="40"/>
        <v>update zamestnanci set nastup='101' where id='1727';</v>
      </c>
      <c r="AB1289" t="str">
        <f t="shared" si="41"/>
        <v>update dochazka set zastavka = '101' where zamestnanec = '1727';</v>
      </c>
    </row>
    <row r="1290" spans="1:28" x14ac:dyDescent="0.25">
      <c r="A1290" s="2">
        <v>1730</v>
      </c>
      <c r="B1290" t="s">
        <v>7337</v>
      </c>
      <c r="C1290" t="s">
        <v>357</v>
      </c>
      <c r="D1290" t="s">
        <v>7338</v>
      </c>
      <c r="E1290" t="s">
        <v>1509</v>
      </c>
      <c r="F1290" t="s">
        <v>7339</v>
      </c>
      <c r="G1290" s="1">
        <v>45846</v>
      </c>
      <c r="H1290" s="1">
        <v>45964</v>
      </c>
      <c r="I1290" s="1" t="e">
        <v>#N/A</v>
      </c>
      <c r="J1290" s="2" t="s">
        <v>357</v>
      </c>
      <c r="K1290" t="s">
        <v>7340</v>
      </c>
      <c r="M1290" s="16" t="s">
        <v>8551</v>
      </c>
      <c r="N1290" s="16" t="str">
        <f>VLOOKUP(M1290,Tab_Zast[[Zastávka]:[Sloupec1]],2,0)</f>
        <v>00</v>
      </c>
      <c r="O1290" t="s">
        <v>7341</v>
      </c>
      <c r="P1290">
        <v>8</v>
      </c>
      <c r="Q1290">
        <v>0</v>
      </c>
      <c r="R1290" t="s">
        <v>31</v>
      </c>
      <c r="S1290" t="s">
        <v>31</v>
      </c>
      <c r="T1290" t="s">
        <v>32</v>
      </c>
      <c r="V1290" s="1" t="e">
        <v>#N/A</v>
      </c>
      <c r="W1290" t="s">
        <v>493</v>
      </c>
      <c r="X1290">
        <v>0</v>
      </c>
      <c r="Y1290">
        <v>1122</v>
      </c>
      <c r="AA1290" t="str">
        <f t="shared" si="40"/>
        <v/>
      </c>
      <c r="AB1290" t="str">
        <f t="shared" si="41"/>
        <v/>
      </c>
    </row>
    <row r="1291" spans="1:28" x14ac:dyDescent="0.25">
      <c r="A1291" s="2">
        <v>1744</v>
      </c>
      <c r="B1291" t="s">
        <v>357</v>
      </c>
      <c r="C1291" t="s">
        <v>357</v>
      </c>
      <c r="D1291" t="s">
        <v>2321</v>
      </c>
      <c r="E1291" t="s">
        <v>4378</v>
      </c>
      <c r="F1291" t="s">
        <v>569</v>
      </c>
      <c r="G1291" s="1">
        <v>45852</v>
      </c>
      <c r="H1291" s="1">
        <v>45852</v>
      </c>
      <c r="I1291" s="1">
        <v>45852</v>
      </c>
      <c r="J1291" s="2" t="s">
        <v>8507</v>
      </c>
      <c r="K1291" t="s">
        <v>4380</v>
      </c>
      <c r="M1291" s="16" t="s">
        <v>8508</v>
      </c>
      <c r="N1291" s="16" t="str">
        <f>VLOOKUP(M1291,Tab_Zast[[Zastávka]:[Sloupec1]],2,0)</f>
        <v>92</v>
      </c>
      <c r="O1291" t="s">
        <v>7395</v>
      </c>
      <c r="P1291">
        <v>6</v>
      </c>
      <c r="Q1291">
        <v>0</v>
      </c>
      <c r="R1291" t="s">
        <v>179</v>
      </c>
      <c r="S1291" t="s">
        <v>31</v>
      </c>
      <c r="T1291" t="s">
        <v>32</v>
      </c>
      <c r="V1291" s="1" t="e">
        <v>#N/A</v>
      </c>
      <c r="W1291" t="s">
        <v>3052</v>
      </c>
      <c r="X1291">
        <v>0</v>
      </c>
      <c r="Y1291">
        <v>1131</v>
      </c>
      <c r="AA1291" t="str">
        <f t="shared" si="40"/>
        <v>update zamestnanci set nastup='92' where id='1744';</v>
      </c>
      <c r="AB1291" t="str">
        <f t="shared" si="41"/>
        <v>update dochazka set zastavka = '92' where zamestnanec = '1744';</v>
      </c>
    </row>
    <row r="1292" spans="1:28" x14ac:dyDescent="0.25">
      <c r="A1292" s="2">
        <v>1750</v>
      </c>
      <c r="B1292" t="s">
        <v>7417</v>
      </c>
      <c r="C1292" t="s">
        <v>64</v>
      </c>
      <c r="D1292" t="s">
        <v>754</v>
      </c>
      <c r="E1292" t="s">
        <v>755</v>
      </c>
      <c r="F1292" t="s">
        <v>569</v>
      </c>
      <c r="G1292" s="1">
        <v>45861</v>
      </c>
      <c r="H1292" s="1">
        <v>45868</v>
      </c>
      <c r="I1292" s="1">
        <v>73050</v>
      </c>
      <c r="J1292" s="2" t="s">
        <v>357</v>
      </c>
      <c r="K1292" t="s">
        <v>7418</v>
      </c>
      <c r="M1292" s="16" t="s">
        <v>8551</v>
      </c>
      <c r="N1292" s="16" t="str">
        <f>VLOOKUP(M1292,Tab_Zast[[Zastávka]:[Sloupec1]],2,0)</f>
        <v>00</v>
      </c>
      <c r="O1292" t="s">
        <v>7419</v>
      </c>
      <c r="P1292">
        <v>10</v>
      </c>
      <c r="Q1292">
        <v>0</v>
      </c>
      <c r="R1292" t="s">
        <v>31</v>
      </c>
      <c r="S1292" t="s">
        <v>31</v>
      </c>
      <c r="T1292" t="s">
        <v>32</v>
      </c>
      <c r="V1292" s="1" t="e">
        <v>#N/A</v>
      </c>
      <c r="W1292" t="s">
        <v>7412</v>
      </c>
      <c r="X1292">
        <v>0</v>
      </c>
      <c r="Y1292">
        <v>1142</v>
      </c>
      <c r="AA1292" t="str">
        <f t="shared" si="40"/>
        <v/>
      </c>
      <c r="AB1292" t="str">
        <f t="shared" si="41"/>
        <v/>
      </c>
    </row>
    <row r="1293" spans="1:28" x14ac:dyDescent="0.25">
      <c r="A1293" s="2">
        <v>1754</v>
      </c>
      <c r="B1293" t="s">
        <v>7434</v>
      </c>
      <c r="C1293" t="s">
        <v>64</v>
      </c>
      <c r="D1293" t="s">
        <v>7435</v>
      </c>
      <c r="E1293" t="s">
        <v>3373</v>
      </c>
      <c r="F1293" t="s">
        <v>7436</v>
      </c>
      <c r="G1293" s="1">
        <v>45861</v>
      </c>
      <c r="H1293" s="1" t="e">
        <v>#N/A</v>
      </c>
      <c r="I1293" s="1" t="e">
        <v>#N/A</v>
      </c>
      <c r="J1293" s="2" t="s">
        <v>729</v>
      </c>
      <c r="K1293" t="s">
        <v>7437</v>
      </c>
      <c r="M1293" s="16" t="s">
        <v>8505</v>
      </c>
      <c r="N1293" s="16" t="str">
        <f>VLOOKUP(M1293,Tab_Zast[[Zastávka]:[Sloupec1]],2,0)</f>
        <v>91</v>
      </c>
      <c r="O1293" t="s">
        <v>7438</v>
      </c>
      <c r="P1293">
        <v>10</v>
      </c>
      <c r="Q1293">
        <v>0</v>
      </c>
      <c r="R1293" t="s">
        <v>130</v>
      </c>
      <c r="S1293" t="s">
        <v>31</v>
      </c>
      <c r="T1293" t="s">
        <v>32</v>
      </c>
      <c r="V1293" s="1" t="e">
        <v>#N/A</v>
      </c>
      <c r="W1293" t="s">
        <v>7412</v>
      </c>
      <c r="X1293">
        <v>1</v>
      </c>
      <c r="Y1293">
        <v>1147</v>
      </c>
      <c r="AA1293" t="str">
        <f t="shared" si="40"/>
        <v>update zamestnanci set nastup='91' where id='1754';</v>
      </c>
      <c r="AB1293" t="str">
        <f t="shared" si="41"/>
        <v>update dochazka set zastavka = '91' where zamestnanec = '1754';</v>
      </c>
    </row>
    <row r="1294" spans="1:28" x14ac:dyDescent="0.25">
      <c r="A1294" s="2">
        <v>1764</v>
      </c>
      <c r="B1294" t="s">
        <v>7475</v>
      </c>
      <c r="C1294" t="s">
        <v>64</v>
      </c>
      <c r="D1294" t="s">
        <v>7476</v>
      </c>
      <c r="E1294" t="s">
        <v>4016</v>
      </c>
      <c r="F1294" t="s">
        <v>7477</v>
      </c>
      <c r="G1294" s="1">
        <v>45867</v>
      </c>
      <c r="H1294" s="1">
        <v>45868</v>
      </c>
      <c r="I1294" s="1">
        <v>73050</v>
      </c>
      <c r="J1294" s="2" t="s">
        <v>357</v>
      </c>
      <c r="K1294" t="s">
        <v>7478</v>
      </c>
      <c r="M1294" s="16" t="s">
        <v>8551</v>
      </c>
      <c r="N1294" s="16" t="str">
        <f>VLOOKUP(M1294,Tab_Zast[[Zastávka]:[Sloupec1]],2,0)</f>
        <v>00</v>
      </c>
      <c r="O1294" t="s">
        <v>7479</v>
      </c>
      <c r="P1294">
        <v>10</v>
      </c>
      <c r="Q1294">
        <v>0</v>
      </c>
      <c r="R1294" t="s">
        <v>31</v>
      </c>
      <c r="S1294" t="s">
        <v>31</v>
      </c>
      <c r="T1294" t="s">
        <v>32</v>
      </c>
      <c r="V1294" s="1" t="e">
        <v>#N/A</v>
      </c>
      <c r="X1294">
        <v>0</v>
      </c>
      <c r="Y1294">
        <v>1156</v>
      </c>
      <c r="Z1294" t="s">
        <v>40</v>
      </c>
      <c r="AA1294" t="str">
        <f t="shared" si="40"/>
        <v/>
      </c>
      <c r="AB1294" t="str">
        <f t="shared" si="41"/>
        <v/>
      </c>
    </row>
    <row r="1295" spans="1:28" x14ac:dyDescent="0.25">
      <c r="A1295" s="2">
        <v>1772</v>
      </c>
      <c r="B1295" t="s">
        <v>7507</v>
      </c>
      <c r="C1295" t="s">
        <v>569</v>
      </c>
      <c r="D1295" t="s">
        <v>7508</v>
      </c>
      <c r="E1295" t="s">
        <v>4899</v>
      </c>
      <c r="F1295" t="s">
        <v>4186</v>
      </c>
      <c r="G1295" s="1">
        <v>45873</v>
      </c>
      <c r="H1295" s="1" t="e">
        <v>#N/A</v>
      </c>
      <c r="I1295" s="1" t="e">
        <v>#N/A</v>
      </c>
      <c r="J1295" s="2" t="s">
        <v>218</v>
      </c>
      <c r="K1295" t="s">
        <v>7509</v>
      </c>
      <c r="M1295" s="16" t="s">
        <v>8280</v>
      </c>
      <c r="N1295" s="16" t="str">
        <f>VLOOKUP(M1295,Tab_Zast[[Zastávka]:[Sloupec1]],2,0)</f>
        <v>10</v>
      </c>
      <c r="O1295" t="s">
        <v>7510</v>
      </c>
      <c r="P1295">
        <v>6</v>
      </c>
      <c r="Q1295">
        <v>0</v>
      </c>
      <c r="R1295" t="s">
        <v>179</v>
      </c>
      <c r="S1295" t="s">
        <v>31</v>
      </c>
      <c r="T1295" t="s">
        <v>32</v>
      </c>
      <c r="V1295" s="1" t="e">
        <v>#N/A</v>
      </c>
      <c r="W1295" t="s">
        <v>1216</v>
      </c>
      <c r="X1295">
        <v>1</v>
      </c>
      <c r="Y1295">
        <v>1165</v>
      </c>
      <c r="AA1295" t="str">
        <f t="shared" si="40"/>
        <v>update zamestnanci set nastup='10' where id='1772';</v>
      </c>
      <c r="AB1295" t="str">
        <f t="shared" si="41"/>
        <v>update dochazka set zastavka = '10' where zamestnanec = '1772';</v>
      </c>
    </row>
    <row r="1296" spans="1:28" x14ac:dyDescent="0.25">
      <c r="A1296" s="2">
        <v>1774</v>
      </c>
      <c r="B1296" t="s">
        <v>7514</v>
      </c>
      <c r="C1296" t="s">
        <v>569</v>
      </c>
      <c r="D1296" t="s">
        <v>7515</v>
      </c>
      <c r="E1296" t="s">
        <v>2641</v>
      </c>
      <c r="F1296" t="s">
        <v>7469</v>
      </c>
      <c r="G1296" s="1">
        <v>45873</v>
      </c>
      <c r="H1296" s="1">
        <v>45904</v>
      </c>
      <c r="I1296" s="1">
        <v>73050</v>
      </c>
      <c r="J1296" s="2" t="s">
        <v>357</v>
      </c>
      <c r="K1296" t="s">
        <v>7516</v>
      </c>
      <c r="M1296" s="16" t="s">
        <v>8551</v>
      </c>
      <c r="N1296" s="16" t="str">
        <f>VLOOKUP(M1296,Tab_Zast[[Zastávka]:[Sloupec1]],2,0)</f>
        <v>00</v>
      </c>
      <c r="O1296" t="s">
        <v>7517</v>
      </c>
      <c r="P1296">
        <v>6</v>
      </c>
      <c r="Q1296">
        <v>0</v>
      </c>
      <c r="R1296" t="s">
        <v>31</v>
      </c>
      <c r="S1296" t="s">
        <v>31</v>
      </c>
      <c r="T1296" t="s">
        <v>32</v>
      </c>
      <c r="V1296" s="1" t="e">
        <v>#N/A</v>
      </c>
      <c r="W1296" t="s">
        <v>1216</v>
      </c>
      <c r="X1296">
        <v>0</v>
      </c>
      <c r="Y1296">
        <v>1167</v>
      </c>
      <c r="AA1296" t="str">
        <f t="shared" si="40"/>
        <v/>
      </c>
      <c r="AB1296" t="str">
        <f t="shared" si="41"/>
        <v/>
      </c>
    </row>
    <row r="1297" spans="1:28" x14ac:dyDescent="0.25">
      <c r="A1297" s="2">
        <v>1787</v>
      </c>
      <c r="B1297" t="s">
        <v>7560</v>
      </c>
      <c r="C1297" t="s">
        <v>357</v>
      </c>
      <c r="D1297" t="s">
        <v>7561</v>
      </c>
      <c r="E1297" t="s">
        <v>617</v>
      </c>
      <c r="F1297" t="s">
        <v>357</v>
      </c>
      <c r="G1297" s="1">
        <v>45882</v>
      </c>
      <c r="H1297" s="1">
        <v>45882</v>
      </c>
      <c r="I1297" s="1">
        <v>73050</v>
      </c>
      <c r="J1297" s="2" t="s">
        <v>357</v>
      </c>
      <c r="K1297" t="s">
        <v>7562</v>
      </c>
      <c r="M1297" s="16" t="s">
        <v>8551</v>
      </c>
      <c r="N1297" s="16" t="str">
        <f>VLOOKUP(M1297,Tab_Zast[[Zastávka]:[Sloupec1]],2,0)</f>
        <v>00</v>
      </c>
      <c r="O1297" t="s">
        <v>7563</v>
      </c>
      <c r="P1297">
        <v>10</v>
      </c>
      <c r="Q1297">
        <v>0</v>
      </c>
      <c r="R1297" t="s">
        <v>31</v>
      </c>
      <c r="S1297" t="s">
        <v>31</v>
      </c>
      <c r="T1297" t="s">
        <v>32</v>
      </c>
      <c r="V1297" s="1" t="e">
        <v>#N/A</v>
      </c>
      <c r="W1297" t="s">
        <v>7412</v>
      </c>
      <c r="X1297">
        <v>0</v>
      </c>
      <c r="Y1297">
        <v>1180</v>
      </c>
      <c r="AA1297" t="str">
        <f t="shared" si="40"/>
        <v/>
      </c>
      <c r="AB1297" t="str">
        <f t="shared" si="41"/>
        <v/>
      </c>
    </row>
    <row r="1298" spans="1:28" x14ac:dyDescent="0.25">
      <c r="A1298" s="2">
        <v>1840</v>
      </c>
      <c r="B1298" t="s">
        <v>7746</v>
      </c>
      <c r="C1298" t="s">
        <v>569</v>
      </c>
      <c r="D1298" t="s">
        <v>7747</v>
      </c>
      <c r="E1298" t="s">
        <v>743</v>
      </c>
      <c r="F1298" t="s">
        <v>569</v>
      </c>
      <c r="G1298" s="1">
        <v>45915</v>
      </c>
      <c r="H1298" s="1">
        <v>45930</v>
      </c>
      <c r="I1298" s="1">
        <v>73050</v>
      </c>
      <c r="J1298" s="2" t="s">
        <v>729</v>
      </c>
      <c r="K1298" t="s">
        <v>7748</v>
      </c>
      <c r="M1298" s="16" t="s">
        <v>8505</v>
      </c>
      <c r="N1298" s="16" t="str">
        <f>VLOOKUP(M1298,Tab_Zast[[Zastávka]:[Sloupec1]],2,0)</f>
        <v>91</v>
      </c>
      <c r="O1298" t="s">
        <v>7749</v>
      </c>
      <c r="P1298">
        <v>10</v>
      </c>
      <c r="Q1298">
        <v>0</v>
      </c>
      <c r="R1298" t="s">
        <v>31</v>
      </c>
      <c r="S1298" t="s">
        <v>31</v>
      </c>
      <c r="T1298" t="s">
        <v>32</v>
      </c>
      <c r="V1298" s="1" t="e">
        <v>#N/A</v>
      </c>
      <c r="W1298" t="s">
        <v>7412</v>
      </c>
      <c r="X1298">
        <v>0</v>
      </c>
      <c r="Y1298">
        <v>1236</v>
      </c>
      <c r="AA1298" t="str">
        <f t="shared" si="40"/>
        <v>update zamestnanci set nastup='91' where id='1840';</v>
      </c>
      <c r="AB1298" t="str">
        <f t="shared" si="41"/>
        <v>update dochazka set zastavka = '91' where zamestnanec = '1840';</v>
      </c>
    </row>
    <row r="1299" spans="1:28" x14ac:dyDescent="0.25">
      <c r="A1299" s="2">
        <v>1841</v>
      </c>
      <c r="B1299" t="s">
        <v>7750</v>
      </c>
      <c r="C1299" t="s">
        <v>357</v>
      </c>
      <c r="D1299" t="s">
        <v>7751</v>
      </c>
      <c r="E1299" t="s">
        <v>2628</v>
      </c>
      <c r="F1299" t="s">
        <v>569</v>
      </c>
      <c r="G1299" s="1">
        <v>45915</v>
      </c>
      <c r="H1299" s="1">
        <v>45915</v>
      </c>
      <c r="I1299" s="1">
        <v>45915</v>
      </c>
      <c r="J1299" s="2" t="s">
        <v>729</v>
      </c>
      <c r="K1299" t="s">
        <v>7752</v>
      </c>
      <c r="M1299" s="16" t="s">
        <v>8505</v>
      </c>
      <c r="N1299" s="16" t="str">
        <f>VLOOKUP(M1299,Tab_Zast[[Zastávka]:[Sloupec1]],2,0)</f>
        <v>91</v>
      </c>
      <c r="O1299" t="s">
        <v>7753</v>
      </c>
      <c r="P1299">
        <v>10</v>
      </c>
      <c r="Q1299">
        <v>0</v>
      </c>
      <c r="R1299" t="s">
        <v>31</v>
      </c>
      <c r="S1299" t="s">
        <v>31</v>
      </c>
      <c r="T1299" t="s">
        <v>32</v>
      </c>
      <c r="V1299" s="1" t="e">
        <v>#N/A</v>
      </c>
      <c r="W1299" t="s">
        <v>7412</v>
      </c>
      <c r="X1299">
        <v>0</v>
      </c>
      <c r="Y1299">
        <v>1237</v>
      </c>
      <c r="AA1299" t="str">
        <f t="shared" si="40"/>
        <v>update zamestnanci set nastup='91' where id='1841';</v>
      </c>
      <c r="AB1299" t="str">
        <f t="shared" si="41"/>
        <v>update dochazka set zastavka = '91' where zamestnanec = '1841';</v>
      </c>
    </row>
    <row r="1300" spans="1:28" x14ac:dyDescent="0.25">
      <c r="A1300" s="2">
        <v>1857</v>
      </c>
      <c r="B1300" t="s">
        <v>7818</v>
      </c>
      <c r="C1300" t="s">
        <v>569</v>
      </c>
      <c r="D1300" t="s">
        <v>7819</v>
      </c>
      <c r="E1300" t="s">
        <v>3070</v>
      </c>
      <c r="F1300" t="s">
        <v>7818</v>
      </c>
      <c r="G1300" s="1">
        <v>45929</v>
      </c>
      <c r="H1300" s="1">
        <v>46001</v>
      </c>
      <c r="I1300" s="1" t="e">
        <v>#N/A</v>
      </c>
      <c r="J1300" s="2" t="s">
        <v>357</v>
      </c>
      <c r="K1300" t="s">
        <v>7820</v>
      </c>
      <c r="M1300" s="16" t="s">
        <v>8551</v>
      </c>
      <c r="N1300" s="16" t="str">
        <f>VLOOKUP(M1300,Tab_Zast[[Zastávka]:[Sloupec1]],2,0)</f>
        <v>00</v>
      </c>
      <c r="O1300" t="s">
        <v>7821</v>
      </c>
      <c r="P1300">
        <v>6</v>
      </c>
      <c r="Q1300">
        <v>0</v>
      </c>
      <c r="R1300" t="s">
        <v>31</v>
      </c>
      <c r="S1300" t="s">
        <v>31</v>
      </c>
      <c r="T1300" t="s">
        <v>32</v>
      </c>
      <c r="V1300" s="1" t="e">
        <v>#N/A</v>
      </c>
      <c r="W1300" t="s">
        <v>1216</v>
      </c>
      <c r="X1300">
        <v>0</v>
      </c>
      <c r="Y1300">
        <v>1255</v>
      </c>
      <c r="AA1300" t="str">
        <f t="shared" si="40"/>
        <v/>
      </c>
      <c r="AB1300" t="str">
        <f t="shared" si="41"/>
        <v/>
      </c>
    </row>
    <row r="1301" spans="1:28" x14ac:dyDescent="0.25">
      <c r="A1301" s="2">
        <v>1867</v>
      </c>
      <c r="B1301" t="s">
        <v>7861</v>
      </c>
      <c r="C1301" t="s">
        <v>569</v>
      </c>
      <c r="D1301" t="s">
        <v>7862</v>
      </c>
      <c r="E1301" t="s">
        <v>2607</v>
      </c>
      <c r="F1301" t="s">
        <v>7861</v>
      </c>
      <c r="G1301" s="1">
        <v>45931</v>
      </c>
      <c r="H1301" s="1" t="e">
        <v>#N/A</v>
      </c>
      <c r="I1301" s="1" t="e">
        <v>#N/A</v>
      </c>
      <c r="J1301" s="2" t="s">
        <v>300</v>
      </c>
      <c r="K1301" t="s">
        <v>7863</v>
      </c>
      <c r="M1301" s="16" t="s">
        <v>8316</v>
      </c>
      <c r="N1301" s="16" t="str">
        <f>VLOOKUP(M1301,Tab_Zast[[Zastávka]:[Sloupec1]],2,0)</f>
        <v>23</v>
      </c>
      <c r="O1301" t="s">
        <v>7864</v>
      </c>
      <c r="P1301">
        <v>8</v>
      </c>
      <c r="Q1301">
        <v>0</v>
      </c>
      <c r="R1301" t="s">
        <v>179</v>
      </c>
      <c r="S1301" t="s">
        <v>31</v>
      </c>
      <c r="T1301" t="s">
        <v>32</v>
      </c>
      <c r="V1301" s="1" t="e">
        <v>#N/A</v>
      </c>
      <c r="W1301" t="s">
        <v>3023</v>
      </c>
      <c r="X1301">
        <v>1</v>
      </c>
      <c r="Y1301">
        <v>1263</v>
      </c>
      <c r="AA1301" t="str">
        <f t="shared" si="40"/>
        <v>update zamestnanci set nastup='23' where id='1867';</v>
      </c>
      <c r="AB1301" t="str">
        <f t="shared" si="41"/>
        <v>update dochazka set zastavka = '23' where zamestnanec = '1867';</v>
      </c>
    </row>
    <row r="1302" spans="1:28" x14ac:dyDescent="0.25">
      <c r="A1302" s="2">
        <v>1893</v>
      </c>
      <c r="B1302" t="s">
        <v>7959</v>
      </c>
      <c r="C1302" t="s">
        <v>569</v>
      </c>
      <c r="D1302" t="s">
        <v>7960</v>
      </c>
      <c r="E1302" t="s">
        <v>7961</v>
      </c>
      <c r="F1302" t="s">
        <v>7962</v>
      </c>
      <c r="G1302" s="1">
        <v>45960</v>
      </c>
      <c r="H1302" s="1" t="e">
        <v>#N/A</v>
      </c>
      <c r="I1302" s="1" t="e">
        <v>#N/A</v>
      </c>
      <c r="J1302" s="2" t="s">
        <v>300</v>
      </c>
      <c r="K1302" t="s">
        <v>7963</v>
      </c>
      <c r="M1302" s="16" t="s">
        <v>8316</v>
      </c>
      <c r="N1302" s="16" t="str">
        <f>VLOOKUP(M1302,Tab_Zast[[Zastávka]:[Sloupec1]],2,0)</f>
        <v>23</v>
      </c>
      <c r="O1302" t="s">
        <v>7964</v>
      </c>
      <c r="P1302">
        <v>8</v>
      </c>
      <c r="Q1302">
        <v>0</v>
      </c>
      <c r="R1302" t="s">
        <v>129</v>
      </c>
      <c r="S1302" t="s">
        <v>31</v>
      </c>
      <c r="T1302" t="s">
        <v>32</v>
      </c>
      <c r="V1302" s="1" t="e">
        <v>#N/A</v>
      </c>
      <c r="W1302" t="s">
        <v>3023</v>
      </c>
      <c r="X1302">
        <v>1</v>
      </c>
      <c r="Y1302">
        <v>1293</v>
      </c>
      <c r="AA1302" t="str">
        <f t="shared" si="40"/>
        <v>update zamestnanci set nastup='23' where id='1893';</v>
      </c>
      <c r="AB1302" t="str">
        <f t="shared" si="41"/>
        <v>update dochazka set zastavka = '23' where zamestnanec = '1893';</v>
      </c>
    </row>
    <row r="1303" spans="1:28" x14ac:dyDescent="0.25">
      <c r="A1303" s="2">
        <v>1926</v>
      </c>
      <c r="B1303" t="s">
        <v>8111</v>
      </c>
      <c r="C1303" t="s">
        <v>569</v>
      </c>
      <c r="D1303" t="s">
        <v>523</v>
      </c>
      <c r="E1303" t="s">
        <v>5966</v>
      </c>
      <c r="F1303" t="s">
        <v>8111</v>
      </c>
      <c r="G1303" s="1">
        <v>45985</v>
      </c>
      <c r="H1303" s="1" t="e">
        <v>#N/A</v>
      </c>
      <c r="I1303" s="1" t="e">
        <v>#N/A</v>
      </c>
      <c r="J1303" s="2" t="s">
        <v>8353</v>
      </c>
      <c r="K1303" t="s">
        <v>8112</v>
      </c>
      <c r="L1303" t="s">
        <v>8113</v>
      </c>
      <c r="M1303" s="16" t="s">
        <v>8354</v>
      </c>
      <c r="N1303" s="16" t="str">
        <f>VLOOKUP(M1303,Tab_Zast[[Zastávka]:[Sloupec1]],2,0)</f>
        <v>38</v>
      </c>
      <c r="O1303" t="s">
        <v>8114</v>
      </c>
      <c r="P1303">
        <v>8</v>
      </c>
      <c r="Q1303">
        <v>0</v>
      </c>
      <c r="R1303" t="s">
        <v>129</v>
      </c>
      <c r="S1303" t="s">
        <v>31</v>
      </c>
      <c r="T1303" t="s">
        <v>32</v>
      </c>
      <c r="V1303" s="1" t="e">
        <v>#N/A</v>
      </c>
      <c r="W1303" t="s">
        <v>493</v>
      </c>
      <c r="X1303">
        <v>1</v>
      </c>
      <c r="Y1303">
        <v>1332</v>
      </c>
      <c r="AA1303" t="str">
        <f t="shared" si="40"/>
        <v>update zamestnanci set nastup='38' where id='1926';</v>
      </c>
      <c r="AB1303" t="str">
        <f t="shared" si="41"/>
        <v>update dochazka set zastavka = '38' where zamestnanec = '1926';</v>
      </c>
    </row>
    <row r="1304" spans="1:28" x14ac:dyDescent="0.25">
      <c r="A1304" s="2">
        <v>1930</v>
      </c>
      <c r="B1304" t="s">
        <v>8127</v>
      </c>
      <c r="C1304" t="s">
        <v>357</v>
      </c>
      <c r="D1304" t="s">
        <v>7866</v>
      </c>
      <c r="E1304" t="s">
        <v>3048</v>
      </c>
      <c r="F1304" t="s">
        <v>8127</v>
      </c>
      <c r="G1304" s="1">
        <v>45985</v>
      </c>
      <c r="H1304" s="1" t="e">
        <v>#N/A</v>
      </c>
      <c r="I1304" s="1" t="e">
        <v>#N/A</v>
      </c>
      <c r="J1304" s="2" t="s">
        <v>1804</v>
      </c>
      <c r="K1304" t="s">
        <v>8128</v>
      </c>
      <c r="M1304" s="16" t="s">
        <v>8307</v>
      </c>
      <c r="N1304" s="16" t="str">
        <f>VLOOKUP(M1304,Tab_Zast[[Zastávka]:[Sloupec1]],2,0)</f>
        <v>19</v>
      </c>
      <c r="O1304" t="s">
        <v>8129</v>
      </c>
      <c r="P1304">
        <v>8</v>
      </c>
      <c r="Q1304">
        <v>0</v>
      </c>
      <c r="R1304" t="s">
        <v>129</v>
      </c>
      <c r="S1304" t="s">
        <v>31</v>
      </c>
      <c r="T1304" t="s">
        <v>32</v>
      </c>
      <c r="V1304" s="1" t="e">
        <v>#N/A</v>
      </c>
      <c r="W1304" t="s">
        <v>493</v>
      </c>
      <c r="X1304">
        <v>1</v>
      </c>
      <c r="Y1304">
        <v>1337</v>
      </c>
      <c r="AA1304" t="str">
        <f t="shared" si="40"/>
        <v>update zamestnanci set nastup='19' where id='1930';</v>
      </c>
      <c r="AB1304" t="str">
        <f t="shared" si="41"/>
        <v>update dochazka set zastavka = '19' where zamestnanec = '1930';</v>
      </c>
    </row>
    <row r="1305" spans="1:28" x14ac:dyDescent="0.25">
      <c r="A1305" s="2">
        <v>1948</v>
      </c>
      <c r="B1305" t="s">
        <v>8189</v>
      </c>
      <c r="C1305" t="s">
        <v>569</v>
      </c>
      <c r="D1305" t="s">
        <v>8190</v>
      </c>
      <c r="E1305" t="s">
        <v>1509</v>
      </c>
      <c r="F1305" t="s">
        <v>8189</v>
      </c>
      <c r="G1305" s="1">
        <v>45992</v>
      </c>
      <c r="H1305" s="1" t="e">
        <v>#N/A</v>
      </c>
      <c r="I1305" s="1" t="e">
        <v>#N/A</v>
      </c>
      <c r="J1305" s="2" t="s">
        <v>360</v>
      </c>
      <c r="K1305" t="s">
        <v>8191</v>
      </c>
      <c r="M1305" s="16" t="s">
        <v>8339</v>
      </c>
      <c r="N1305" s="16" t="str">
        <f>VLOOKUP(M1305,Tab_Zast[[Zastávka]:[Sloupec1]],2,0)</f>
        <v>32</v>
      </c>
      <c r="O1305" t="s">
        <v>8192</v>
      </c>
      <c r="P1305">
        <v>8</v>
      </c>
      <c r="Q1305">
        <v>0</v>
      </c>
      <c r="R1305" t="s">
        <v>129</v>
      </c>
      <c r="S1305" t="s">
        <v>31</v>
      </c>
      <c r="T1305" t="s">
        <v>32</v>
      </c>
      <c r="V1305" s="1" t="e">
        <v>#N/A</v>
      </c>
      <c r="W1305" t="s">
        <v>493</v>
      </c>
      <c r="X1305">
        <v>1</v>
      </c>
      <c r="Y1305">
        <v>1357</v>
      </c>
      <c r="AA1305" t="str">
        <f t="shared" si="40"/>
        <v>update zamestnanci set nastup='32' where id='1948';</v>
      </c>
      <c r="AB1305" t="str">
        <f t="shared" si="41"/>
        <v>update dochazka set zastavka = '32' where zamestnanec = '1948';</v>
      </c>
    </row>
    <row r="1306" spans="1:28" x14ac:dyDescent="0.25">
      <c r="A1306" s="2">
        <v>13</v>
      </c>
      <c r="B1306" t="s">
        <v>111</v>
      </c>
      <c r="D1306" t="s">
        <v>112</v>
      </c>
      <c r="E1306" t="s">
        <v>113</v>
      </c>
      <c r="F1306" t="s">
        <v>114</v>
      </c>
      <c r="G1306" s="1">
        <v>44731</v>
      </c>
      <c r="H1306" s="1">
        <v>45322</v>
      </c>
      <c r="I1306" s="1">
        <v>73050</v>
      </c>
      <c r="J1306" s="2" t="s">
        <v>357</v>
      </c>
      <c r="K1306" t="s">
        <v>115</v>
      </c>
      <c r="M1306" s="16" t="s">
        <v>8551</v>
      </c>
      <c r="N1306" s="16" t="str">
        <f>VLOOKUP(M1306,Tab_Zast[[Zastávka]:[Sloupec1]],2,0)</f>
        <v>00</v>
      </c>
      <c r="O1306" t="s">
        <v>116</v>
      </c>
      <c r="P1306">
        <v>2</v>
      </c>
      <c r="Q1306">
        <v>0</v>
      </c>
      <c r="R1306" t="s">
        <v>31</v>
      </c>
      <c r="S1306" t="s">
        <v>31</v>
      </c>
      <c r="T1306" t="s">
        <v>32</v>
      </c>
      <c r="V1306" s="1" t="e">
        <v>#N/A</v>
      </c>
      <c r="W1306" t="s">
        <v>90</v>
      </c>
      <c r="X1306">
        <v>0</v>
      </c>
      <c r="Y1306">
        <v>0</v>
      </c>
      <c r="Z1306" t="s">
        <v>54</v>
      </c>
      <c r="AA1306" t="str">
        <f t="shared" si="40"/>
        <v/>
      </c>
      <c r="AB1306" t="str">
        <f t="shared" si="41"/>
        <v/>
      </c>
    </row>
    <row r="1307" spans="1:28" x14ac:dyDescent="0.25">
      <c r="A1307" s="2">
        <v>23</v>
      </c>
      <c r="B1307" t="s">
        <v>173</v>
      </c>
      <c r="D1307" t="s">
        <v>174</v>
      </c>
      <c r="E1307" t="s">
        <v>175</v>
      </c>
      <c r="F1307" t="s">
        <v>176</v>
      </c>
      <c r="G1307" s="1">
        <v>44753</v>
      </c>
      <c r="H1307" s="1">
        <v>45412</v>
      </c>
      <c r="I1307" s="1">
        <v>73050</v>
      </c>
      <c r="J1307" s="2" t="s">
        <v>357</v>
      </c>
      <c r="K1307" t="s">
        <v>177</v>
      </c>
      <c r="M1307" s="16" t="s">
        <v>8551</v>
      </c>
      <c r="N1307" s="16" t="str">
        <f>VLOOKUP(M1307,Tab_Zast[[Zastávka]:[Sloupec1]],2,0)</f>
        <v>00</v>
      </c>
      <c r="O1307" t="s">
        <v>178</v>
      </c>
      <c r="P1307">
        <v>2</v>
      </c>
      <c r="Q1307">
        <v>0</v>
      </c>
      <c r="R1307" t="s">
        <v>179</v>
      </c>
      <c r="S1307" t="s">
        <v>31</v>
      </c>
      <c r="T1307" t="s">
        <v>32</v>
      </c>
      <c r="V1307" s="1">
        <v>45403</v>
      </c>
      <c r="W1307" t="s">
        <v>90</v>
      </c>
      <c r="X1307">
        <v>0</v>
      </c>
      <c r="Y1307">
        <v>0</v>
      </c>
      <c r="Z1307" t="s">
        <v>54</v>
      </c>
      <c r="AA1307" t="str">
        <f t="shared" si="40"/>
        <v/>
      </c>
      <c r="AB1307" t="str">
        <f t="shared" si="41"/>
        <v/>
      </c>
    </row>
    <row r="1308" spans="1:28" x14ac:dyDescent="0.25">
      <c r="A1308" s="2">
        <v>24</v>
      </c>
      <c r="B1308" t="s">
        <v>180</v>
      </c>
      <c r="D1308" t="s">
        <v>181</v>
      </c>
      <c r="E1308" t="s">
        <v>182</v>
      </c>
      <c r="F1308" t="s">
        <v>183</v>
      </c>
      <c r="G1308" s="1">
        <v>44956</v>
      </c>
      <c r="H1308" s="1">
        <v>45322</v>
      </c>
      <c r="I1308" s="1">
        <v>73050</v>
      </c>
      <c r="J1308" s="2" t="s">
        <v>357</v>
      </c>
      <c r="K1308" t="s">
        <v>184</v>
      </c>
      <c r="M1308" s="16" t="s">
        <v>8551</v>
      </c>
      <c r="N1308" s="16" t="str">
        <f>VLOOKUP(M1308,Tab_Zast[[Zastávka]:[Sloupec1]],2,0)</f>
        <v>00</v>
      </c>
      <c r="O1308" t="s">
        <v>185</v>
      </c>
      <c r="P1308">
        <v>2</v>
      </c>
      <c r="Q1308">
        <v>0</v>
      </c>
      <c r="R1308" t="s">
        <v>31</v>
      </c>
      <c r="S1308" t="s">
        <v>31</v>
      </c>
      <c r="T1308" t="s">
        <v>32</v>
      </c>
      <c r="V1308" s="1" t="e">
        <v>#N/A</v>
      </c>
      <c r="W1308" t="s">
        <v>90</v>
      </c>
      <c r="X1308">
        <v>0</v>
      </c>
      <c r="Y1308">
        <v>0</v>
      </c>
      <c r="Z1308" t="s">
        <v>54</v>
      </c>
      <c r="AA1308" t="str">
        <f t="shared" si="40"/>
        <v/>
      </c>
      <c r="AB1308" t="str">
        <f t="shared" si="41"/>
        <v/>
      </c>
    </row>
    <row r="1309" spans="1:28" x14ac:dyDescent="0.25">
      <c r="A1309" s="2">
        <v>96</v>
      </c>
      <c r="B1309" t="s">
        <v>603</v>
      </c>
      <c r="C1309" t="s">
        <v>604</v>
      </c>
      <c r="D1309" t="s">
        <v>373</v>
      </c>
      <c r="E1309" t="s">
        <v>605</v>
      </c>
      <c r="F1309" t="s">
        <v>606</v>
      </c>
      <c r="G1309" s="1">
        <v>45313</v>
      </c>
      <c r="H1309" s="1">
        <v>45679</v>
      </c>
      <c r="I1309" s="1">
        <v>73050</v>
      </c>
      <c r="J1309" s="2" t="s">
        <v>357</v>
      </c>
      <c r="K1309" t="s">
        <v>607</v>
      </c>
      <c r="M1309" s="16" t="s">
        <v>8551</v>
      </c>
      <c r="N1309" s="16" t="str">
        <f>VLOOKUP(M1309,Tab_Zast[[Zastávka]:[Sloupec1]],2,0)</f>
        <v>00</v>
      </c>
      <c r="O1309" t="s">
        <v>608</v>
      </c>
      <c r="P1309">
        <v>4</v>
      </c>
      <c r="Q1309">
        <v>0</v>
      </c>
      <c r="R1309" t="s">
        <v>31</v>
      </c>
      <c r="S1309" t="s">
        <v>31</v>
      </c>
      <c r="T1309" t="s">
        <v>103</v>
      </c>
      <c r="V1309" s="1" t="e">
        <v>#N/A</v>
      </c>
      <c r="W1309" t="s">
        <v>62</v>
      </c>
      <c r="X1309">
        <v>0</v>
      </c>
      <c r="Y1309">
        <v>0</v>
      </c>
      <c r="AA1309" t="str">
        <f t="shared" si="40"/>
        <v/>
      </c>
      <c r="AB1309" t="str">
        <f t="shared" si="41"/>
        <v/>
      </c>
    </row>
    <row r="1310" spans="1:28" x14ac:dyDescent="0.25">
      <c r="A1310" s="2">
        <v>126</v>
      </c>
      <c r="B1310" t="s">
        <v>774</v>
      </c>
      <c r="C1310" t="s">
        <v>775</v>
      </c>
      <c r="D1310" t="s">
        <v>776</v>
      </c>
      <c r="E1310" t="s">
        <v>777</v>
      </c>
      <c r="F1310" t="s">
        <v>64</v>
      </c>
      <c r="G1310" s="1">
        <v>44746</v>
      </c>
      <c r="H1310" s="1">
        <v>45723</v>
      </c>
      <c r="I1310" s="1">
        <v>73050</v>
      </c>
      <c r="J1310" s="2" t="s">
        <v>357</v>
      </c>
      <c r="K1310" t="s">
        <v>778</v>
      </c>
      <c r="M1310" s="16" t="s">
        <v>8551</v>
      </c>
      <c r="N1310" s="16" t="str">
        <f>VLOOKUP(M1310,Tab_Zast[[Zastávka]:[Sloupec1]],2,0)</f>
        <v>00</v>
      </c>
      <c r="O1310" t="s">
        <v>779</v>
      </c>
      <c r="P1310">
        <v>4</v>
      </c>
      <c r="Q1310">
        <v>0</v>
      </c>
      <c r="R1310" t="s">
        <v>31</v>
      </c>
      <c r="S1310" t="s">
        <v>31</v>
      </c>
      <c r="T1310" t="s">
        <v>32</v>
      </c>
      <c r="V1310" s="1">
        <v>45720</v>
      </c>
      <c r="W1310" t="s">
        <v>62</v>
      </c>
      <c r="X1310">
        <v>0</v>
      </c>
      <c r="Y1310">
        <v>0</v>
      </c>
      <c r="AA1310" t="str">
        <f t="shared" si="40"/>
        <v/>
      </c>
      <c r="AB1310" t="str">
        <f t="shared" si="41"/>
        <v/>
      </c>
    </row>
    <row r="1311" spans="1:28" x14ac:dyDescent="0.25">
      <c r="A1311" s="2">
        <v>128</v>
      </c>
      <c r="B1311" t="s">
        <v>787</v>
      </c>
      <c r="D1311" t="s">
        <v>788</v>
      </c>
      <c r="E1311" t="s">
        <v>789</v>
      </c>
      <c r="F1311" t="s">
        <v>790</v>
      </c>
      <c r="G1311" s="1">
        <v>45175</v>
      </c>
      <c r="H1311" s="1">
        <v>45267</v>
      </c>
      <c r="I1311" s="1" t="e">
        <v>#N/A</v>
      </c>
      <c r="J1311" s="2" t="s">
        <v>357</v>
      </c>
      <c r="K1311" t="s">
        <v>791</v>
      </c>
      <c r="M1311" s="16" t="s">
        <v>8551</v>
      </c>
      <c r="N1311" s="16" t="str">
        <f>VLOOKUP(M1311,Tab_Zast[[Zastávka]:[Sloupec1]],2,0)</f>
        <v>00</v>
      </c>
      <c r="O1311" t="s">
        <v>792</v>
      </c>
      <c r="P1311">
        <v>4</v>
      </c>
      <c r="Q1311">
        <v>0</v>
      </c>
      <c r="R1311" t="s">
        <v>31</v>
      </c>
      <c r="S1311" t="s">
        <v>31</v>
      </c>
      <c r="T1311" t="s">
        <v>32</v>
      </c>
      <c r="V1311" s="1" t="e">
        <v>#N/A</v>
      </c>
      <c r="W1311" t="s">
        <v>62</v>
      </c>
      <c r="X1311">
        <v>0</v>
      </c>
      <c r="Y1311">
        <v>0</v>
      </c>
      <c r="Z1311" t="s">
        <v>54</v>
      </c>
      <c r="AA1311" t="str">
        <f t="shared" si="40"/>
        <v/>
      </c>
      <c r="AB1311" t="str">
        <f t="shared" si="41"/>
        <v/>
      </c>
    </row>
    <row r="1312" spans="1:28" x14ac:dyDescent="0.25">
      <c r="A1312" s="2">
        <v>130</v>
      </c>
      <c r="B1312" t="s">
        <v>798</v>
      </c>
      <c r="D1312" t="s">
        <v>799</v>
      </c>
      <c r="E1312" t="s">
        <v>800</v>
      </c>
      <c r="F1312" t="s">
        <v>801</v>
      </c>
      <c r="G1312" s="1">
        <v>45168</v>
      </c>
      <c r="H1312" s="1">
        <v>45254</v>
      </c>
      <c r="I1312" s="1" t="e">
        <v>#N/A</v>
      </c>
      <c r="J1312" s="2" t="s">
        <v>357</v>
      </c>
      <c r="K1312" t="s">
        <v>802</v>
      </c>
      <c r="M1312" s="16" t="s">
        <v>8551</v>
      </c>
      <c r="N1312" s="16" t="str">
        <f>VLOOKUP(M1312,Tab_Zast[[Zastávka]:[Sloupec1]],2,0)</f>
        <v>00</v>
      </c>
      <c r="O1312" t="s">
        <v>803</v>
      </c>
      <c r="P1312">
        <v>4</v>
      </c>
      <c r="Q1312">
        <v>0</v>
      </c>
      <c r="R1312" t="s">
        <v>31</v>
      </c>
      <c r="S1312" t="s">
        <v>31</v>
      </c>
      <c r="T1312" t="s">
        <v>32</v>
      </c>
      <c r="V1312" s="1" t="e">
        <v>#N/A</v>
      </c>
      <c r="W1312" t="s">
        <v>62</v>
      </c>
      <c r="X1312">
        <v>0</v>
      </c>
      <c r="Y1312">
        <v>0</v>
      </c>
      <c r="Z1312" t="s">
        <v>54</v>
      </c>
      <c r="AA1312" t="str">
        <f t="shared" si="40"/>
        <v/>
      </c>
      <c r="AB1312" t="str">
        <f t="shared" si="41"/>
        <v/>
      </c>
    </row>
    <row r="1313" spans="1:28" x14ac:dyDescent="0.25">
      <c r="A1313" s="2">
        <v>131</v>
      </c>
      <c r="B1313" t="s">
        <v>804</v>
      </c>
      <c r="D1313" t="s">
        <v>799</v>
      </c>
      <c r="E1313" t="s">
        <v>737</v>
      </c>
      <c r="F1313" t="s">
        <v>805</v>
      </c>
      <c r="G1313" s="1">
        <v>45168</v>
      </c>
      <c r="H1313" s="1">
        <v>45254</v>
      </c>
      <c r="I1313" s="1" t="e">
        <v>#N/A</v>
      </c>
      <c r="J1313" s="2" t="s">
        <v>357</v>
      </c>
      <c r="K1313" t="s">
        <v>806</v>
      </c>
      <c r="M1313" s="16" t="s">
        <v>8551</v>
      </c>
      <c r="N1313" s="16" t="str">
        <f>VLOOKUP(M1313,Tab_Zast[[Zastávka]:[Sloupec1]],2,0)</f>
        <v>00</v>
      </c>
      <c r="O1313" t="s">
        <v>803</v>
      </c>
      <c r="P1313">
        <v>4</v>
      </c>
      <c r="Q1313">
        <v>0</v>
      </c>
      <c r="R1313" t="s">
        <v>129</v>
      </c>
      <c r="S1313" t="s">
        <v>31</v>
      </c>
      <c r="T1313" t="s">
        <v>32</v>
      </c>
      <c r="V1313" s="1" t="e">
        <v>#N/A</v>
      </c>
      <c r="W1313" t="s">
        <v>62</v>
      </c>
      <c r="X1313">
        <v>0</v>
      </c>
      <c r="Y1313">
        <v>0</v>
      </c>
      <c r="Z1313" t="s">
        <v>54</v>
      </c>
      <c r="AA1313" t="str">
        <f t="shared" si="40"/>
        <v/>
      </c>
      <c r="AB1313" t="str">
        <f t="shared" si="41"/>
        <v/>
      </c>
    </row>
    <row r="1314" spans="1:28" x14ac:dyDescent="0.25">
      <c r="A1314" s="2">
        <v>137</v>
      </c>
      <c r="B1314" t="s">
        <v>838</v>
      </c>
      <c r="D1314" t="s">
        <v>839</v>
      </c>
      <c r="E1314" t="s">
        <v>840</v>
      </c>
      <c r="F1314" t="s">
        <v>841</v>
      </c>
      <c r="G1314" s="1">
        <v>45168</v>
      </c>
      <c r="H1314" s="1">
        <v>45390</v>
      </c>
      <c r="I1314" s="1">
        <v>73050</v>
      </c>
      <c r="J1314" s="2" t="s">
        <v>357</v>
      </c>
      <c r="K1314" t="s">
        <v>842</v>
      </c>
      <c r="M1314" s="16" t="s">
        <v>8551</v>
      </c>
      <c r="N1314" s="16" t="str">
        <f>VLOOKUP(M1314,Tab_Zast[[Zastávka]:[Sloupec1]],2,0)</f>
        <v>00</v>
      </c>
      <c r="O1314" t="s">
        <v>843</v>
      </c>
      <c r="P1314">
        <v>4</v>
      </c>
      <c r="Q1314">
        <v>0</v>
      </c>
      <c r="R1314" t="s">
        <v>31</v>
      </c>
      <c r="S1314" t="s">
        <v>31</v>
      </c>
      <c r="T1314" t="s">
        <v>103</v>
      </c>
      <c r="V1314" s="1" t="e">
        <v>#N/A</v>
      </c>
      <c r="W1314" t="s">
        <v>62</v>
      </c>
      <c r="X1314">
        <v>0</v>
      </c>
      <c r="Y1314">
        <v>0</v>
      </c>
      <c r="Z1314" t="s">
        <v>54</v>
      </c>
      <c r="AA1314" t="str">
        <f t="shared" si="40"/>
        <v/>
      </c>
      <c r="AB1314" t="str">
        <f t="shared" si="41"/>
        <v/>
      </c>
    </row>
    <row r="1315" spans="1:28" x14ac:dyDescent="0.25">
      <c r="A1315" s="2">
        <v>150</v>
      </c>
      <c r="B1315" t="s">
        <v>920</v>
      </c>
      <c r="C1315" t="s">
        <v>921</v>
      </c>
      <c r="D1315" t="s">
        <v>922</v>
      </c>
      <c r="E1315" t="s">
        <v>923</v>
      </c>
      <c r="F1315" t="s">
        <v>924</v>
      </c>
      <c r="G1315" s="1">
        <v>45145</v>
      </c>
      <c r="H1315" s="1">
        <v>45688</v>
      </c>
      <c r="I1315" s="1">
        <v>73050</v>
      </c>
      <c r="J1315" s="2" t="s">
        <v>8528</v>
      </c>
      <c r="K1315" t="s">
        <v>925</v>
      </c>
      <c r="M1315" s="16" t="s">
        <v>8529</v>
      </c>
      <c r="N1315" s="16" t="str">
        <f>VLOOKUP(M1315,Tab_Zast[[Zastávka]:[Sloupec1]],2,0)</f>
        <v>100</v>
      </c>
      <c r="O1315" t="s">
        <v>926</v>
      </c>
      <c r="P1315">
        <v>4</v>
      </c>
      <c r="Q1315">
        <v>0</v>
      </c>
      <c r="R1315" t="s">
        <v>31</v>
      </c>
      <c r="S1315" t="s">
        <v>31</v>
      </c>
      <c r="T1315" t="s">
        <v>32</v>
      </c>
      <c r="V1315" s="1" t="e">
        <v>#N/A</v>
      </c>
      <c r="W1315" t="s">
        <v>62</v>
      </c>
      <c r="X1315">
        <v>0</v>
      </c>
      <c r="Y1315">
        <v>0</v>
      </c>
      <c r="AA1315" t="str">
        <f t="shared" si="40"/>
        <v>update zamestnanci set nastup='100' where id='150';</v>
      </c>
      <c r="AB1315" t="str">
        <f t="shared" si="41"/>
        <v>update dochazka set zastavka = '100' where zamestnanec = '150';</v>
      </c>
    </row>
    <row r="1316" spans="1:28" x14ac:dyDescent="0.25">
      <c r="A1316" s="2">
        <v>152</v>
      </c>
      <c r="B1316" t="s">
        <v>933</v>
      </c>
      <c r="C1316" t="s">
        <v>64</v>
      </c>
      <c r="D1316" t="s">
        <v>934</v>
      </c>
      <c r="E1316" t="s">
        <v>935</v>
      </c>
      <c r="F1316" t="s">
        <v>67</v>
      </c>
      <c r="G1316" s="1">
        <v>45036</v>
      </c>
      <c r="H1316" s="1">
        <v>45384</v>
      </c>
      <c r="I1316" s="1">
        <v>73050</v>
      </c>
      <c r="J1316" s="2" t="s">
        <v>357</v>
      </c>
      <c r="K1316" t="s">
        <v>936</v>
      </c>
      <c r="M1316" s="16" t="s">
        <v>8551</v>
      </c>
      <c r="N1316" s="16" t="str">
        <f>VLOOKUP(M1316,Tab_Zast[[Zastávka]:[Sloupec1]],2,0)</f>
        <v>00</v>
      </c>
      <c r="O1316" t="s">
        <v>937</v>
      </c>
      <c r="P1316">
        <v>4</v>
      </c>
      <c r="Q1316">
        <v>0</v>
      </c>
      <c r="R1316" t="s">
        <v>31</v>
      </c>
      <c r="S1316" t="s">
        <v>31</v>
      </c>
      <c r="T1316" t="s">
        <v>32</v>
      </c>
      <c r="V1316" s="1" t="e">
        <v>#N/A</v>
      </c>
      <c r="W1316" t="s">
        <v>62</v>
      </c>
      <c r="X1316">
        <v>0</v>
      </c>
      <c r="Y1316">
        <v>0</v>
      </c>
      <c r="Z1316" t="s">
        <v>54</v>
      </c>
      <c r="AA1316" t="str">
        <f t="shared" si="40"/>
        <v/>
      </c>
      <c r="AB1316" t="str">
        <f t="shared" si="41"/>
        <v/>
      </c>
    </row>
    <row r="1317" spans="1:28" x14ac:dyDescent="0.25">
      <c r="A1317" s="2">
        <v>153</v>
      </c>
      <c r="B1317" t="s">
        <v>938</v>
      </c>
      <c r="D1317" t="s">
        <v>939</v>
      </c>
      <c r="E1317" t="s">
        <v>695</v>
      </c>
      <c r="F1317" t="s">
        <v>940</v>
      </c>
      <c r="G1317" s="1">
        <v>45071</v>
      </c>
      <c r="H1317" s="1">
        <v>45230</v>
      </c>
      <c r="I1317" s="1" t="e">
        <v>#N/A</v>
      </c>
      <c r="J1317" s="2" t="s">
        <v>357</v>
      </c>
      <c r="K1317" t="s">
        <v>941</v>
      </c>
      <c r="M1317" s="16" t="s">
        <v>8551</v>
      </c>
      <c r="N1317" s="16" t="str">
        <f>VLOOKUP(M1317,Tab_Zast[[Zastávka]:[Sloupec1]],2,0)</f>
        <v>00</v>
      </c>
      <c r="O1317" t="s">
        <v>942</v>
      </c>
      <c r="P1317">
        <v>4</v>
      </c>
      <c r="Q1317">
        <v>0</v>
      </c>
      <c r="R1317" t="s">
        <v>31</v>
      </c>
      <c r="S1317" t="s">
        <v>31</v>
      </c>
      <c r="T1317" t="s">
        <v>32</v>
      </c>
      <c r="V1317" s="1" t="e">
        <v>#N/A</v>
      </c>
      <c r="W1317" t="s">
        <v>62</v>
      </c>
      <c r="X1317">
        <v>0</v>
      </c>
      <c r="Y1317">
        <v>0</v>
      </c>
      <c r="Z1317" t="s">
        <v>54</v>
      </c>
      <c r="AA1317" t="str">
        <f t="shared" si="40"/>
        <v/>
      </c>
      <c r="AB1317" t="str">
        <f t="shared" si="41"/>
        <v/>
      </c>
    </row>
    <row r="1318" spans="1:28" x14ac:dyDescent="0.25">
      <c r="A1318" s="2">
        <v>159</v>
      </c>
      <c r="B1318" t="s">
        <v>974</v>
      </c>
      <c r="D1318" t="s">
        <v>975</v>
      </c>
      <c r="E1318" t="s">
        <v>976</v>
      </c>
      <c r="F1318" t="s">
        <v>977</v>
      </c>
      <c r="G1318" s="1">
        <v>45030</v>
      </c>
      <c r="H1318" s="1">
        <v>45230</v>
      </c>
      <c r="I1318" s="1" t="e">
        <v>#N/A</v>
      </c>
      <c r="J1318" s="2" t="s">
        <v>357</v>
      </c>
      <c r="K1318" t="s">
        <v>978</v>
      </c>
      <c r="M1318" s="16" t="s">
        <v>8551</v>
      </c>
      <c r="N1318" s="16" t="str">
        <f>VLOOKUP(M1318,Tab_Zast[[Zastávka]:[Sloupec1]],2,0)</f>
        <v>00</v>
      </c>
      <c r="O1318" t="s">
        <v>979</v>
      </c>
      <c r="P1318">
        <v>4</v>
      </c>
      <c r="Q1318">
        <v>0</v>
      </c>
      <c r="R1318" t="s">
        <v>31</v>
      </c>
      <c r="S1318" t="s">
        <v>31</v>
      </c>
      <c r="T1318" t="s">
        <v>32</v>
      </c>
      <c r="V1318" s="1" t="e">
        <v>#N/A</v>
      </c>
      <c r="W1318" t="s">
        <v>62</v>
      </c>
      <c r="X1318">
        <v>0</v>
      </c>
      <c r="Y1318">
        <v>0</v>
      </c>
      <c r="Z1318" t="s">
        <v>54</v>
      </c>
      <c r="AA1318" t="str">
        <f t="shared" si="40"/>
        <v/>
      </c>
      <c r="AB1318" t="str">
        <f t="shared" si="41"/>
        <v/>
      </c>
    </row>
    <row r="1319" spans="1:28" x14ac:dyDescent="0.25">
      <c r="A1319" s="2">
        <v>161</v>
      </c>
      <c r="B1319" t="s">
        <v>986</v>
      </c>
      <c r="C1319" t="s">
        <v>987</v>
      </c>
      <c r="D1319" t="s">
        <v>988</v>
      </c>
      <c r="E1319" t="s">
        <v>989</v>
      </c>
      <c r="F1319" t="s">
        <v>64</v>
      </c>
      <c r="G1319" s="1">
        <v>44825</v>
      </c>
      <c r="H1319" s="1">
        <v>45723</v>
      </c>
      <c r="I1319" s="1">
        <v>73050</v>
      </c>
      <c r="J1319" s="2" t="s">
        <v>357</v>
      </c>
      <c r="K1319" t="s">
        <v>990</v>
      </c>
      <c r="M1319" s="16" t="s">
        <v>8551</v>
      </c>
      <c r="N1319" s="16" t="str">
        <f>VLOOKUP(M1319,Tab_Zast[[Zastávka]:[Sloupec1]],2,0)</f>
        <v>00</v>
      </c>
      <c r="O1319" t="s">
        <v>991</v>
      </c>
      <c r="P1319">
        <v>4</v>
      </c>
      <c r="Q1319">
        <v>0</v>
      </c>
      <c r="R1319" t="s">
        <v>31</v>
      </c>
      <c r="S1319" t="s">
        <v>31</v>
      </c>
      <c r="T1319" t="s">
        <v>32</v>
      </c>
      <c r="V1319" s="1">
        <v>45720</v>
      </c>
      <c r="W1319" t="s">
        <v>62</v>
      </c>
      <c r="X1319">
        <v>0</v>
      </c>
      <c r="Y1319">
        <v>0</v>
      </c>
      <c r="AA1319" t="str">
        <f t="shared" si="40"/>
        <v/>
      </c>
      <c r="AB1319" t="str">
        <f t="shared" si="41"/>
        <v/>
      </c>
    </row>
    <row r="1320" spans="1:28" x14ac:dyDescent="0.25">
      <c r="A1320" s="2">
        <v>165</v>
      </c>
      <c r="B1320" t="s">
        <v>1011</v>
      </c>
      <c r="D1320" t="s">
        <v>1012</v>
      </c>
      <c r="E1320" t="s">
        <v>568</v>
      </c>
      <c r="F1320" t="s">
        <v>1013</v>
      </c>
      <c r="G1320" s="1">
        <v>45159</v>
      </c>
      <c r="H1320" s="1">
        <v>45230</v>
      </c>
      <c r="I1320" s="1" t="e">
        <v>#N/A</v>
      </c>
      <c r="J1320" s="2" t="s">
        <v>357</v>
      </c>
      <c r="K1320" t="s">
        <v>1014</v>
      </c>
      <c r="M1320" s="16" t="s">
        <v>8551</v>
      </c>
      <c r="N1320" s="16" t="str">
        <f>VLOOKUP(M1320,Tab_Zast[[Zastávka]:[Sloupec1]],2,0)</f>
        <v>00</v>
      </c>
      <c r="O1320" t="s">
        <v>1015</v>
      </c>
      <c r="P1320">
        <v>4</v>
      </c>
      <c r="Q1320">
        <v>0</v>
      </c>
      <c r="R1320" t="s">
        <v>31</v>
      </c>
      <c r="S1320" t="s">
        <v>31</v>
      </c>
      <c r="T1320" t="s">
        <v>32</v>
      </c>
      <c r="V1320" s="1" t="e">
        <v>#N/A</v>
      </c>
      <c r="W1320" t="s">
        <v>62</v>
      </c>
      <c r="X1320">
        <v>0</v>
      </c>
      <c r="Y1320">
        <v>0</v>
      </c>
      <c r="Z1320" t="s">
        <v>54</v>
      </c>
      <c r="AA1320" t="str">
        <f t="shared" si="40"/>
        <v/>
      </c>
      <c r="AB1320" t="str">
        <f t="shared" si="41"/>
        <v/>
      </c>
    </row>
    <row r="1321" spans="1:28" x14ac:dyDescent="0.25">
      <c r="A1321" s="2">
        <v>394</v>
      </c>
      <c r="B1321" t="s">
        <v>1278</v>
      </c>
      <c r="D1321" t="s">
        <v>1279</v>
      </c>
      <c r="E1321" t="s">
        <v>1280</v>
      </c>
      <c r="F1321" t="s">
        <v>1281</v>
      </c>
      <c r="G1321" s="1">
        <v>45162</v>
      </c>
      <c r="H1321" s="1">
        <v>45246</v>
      </c>
      <c r="I1321" s="1" t="e">
        <v>#N/A</v>
      </c>
      <c r="J1321" s="2" t="s">
        <v>357</v>
      </c>
      <c r="K1321" t="s">
        <v>1282</v>
      </c>
      <c r="M1321" s="16" t="s">
        <v>8551</v>
      </c>
      <c r="N1321" s="16" t="str">
        <f>VLOOKUP(M1321,Tab_Zast[[Zastávka]:[Sloupec1]],2,0)</f>
        <v>00</v>
      </c>
      <c r="O1321" t="s">
        <v>1283</v>
      </c>
      <c r="P1321">
        <v>6</v>
      </c>
      <c r="Q1321">
        <v>0</v>
      </c>
      <c r="R1321" t="s">
        <v>31</v>
      </c>
      <c r="S1321" t="s">
        <v>31</v>
      </c>
      <c r="T1321" t="s">
        <v>32</v>
      </c>
      <c r="V1321" s="1" t="e">
        <v>#N/A</v>
      </c>
      <c r="W1321" t="s">
        <v>1216</v>
      </c>
      <c r="X1321">
        <v>0</v>
      </c>
      <c r="Y1321">
        <v>0</v>
      </c>
      <c r="Z1321" t="s">
        <v>54</v>
      </c>
      <c r="AA1321" t="str">
        <f t="shared" si="40"/>
        <v/>
      </c>
      <c r="AB1321" t="str">
        <f t="shared" si="41"/>
        <v/>
      </c>
    </row>
    <row r="1322" spans="1:28" x14ac:dyDescent="0.25">
      <c r="A1322" s="2">
        <v>436</v>
      </c>
      <c r="B1322" t="s">
        <v>1539</v>
      </c>
      <c r="D1322" t="s">
        <v>1540</v>
      </c>
      <c r="E1322" t="s">
        <v>1541</v>
      </c>
      <c r="F1322" t="s">
        <v>1542</v>
      </c>
      <c r="G1322" s="1">
        <v>45071</v>
      </c>
      <c r="H1322" s="1">
        <v>45231</v>
      </c>
      <c r="I1322" s="1" t="e">
        <v>#N/A</v>
      </c>
      <c r="J1322" s="2" t="s">
        <v>357</v>
      </c>
      <c r="K1322" t="s">
        <v>1543</v>
      </c>
      <c r="M1322" s="16" t="s">
        <v>8551</v>
      </c>
      <c r="N1322" s="16" t="str">
        <f>VLOOKUP(M1322,Tab_Zast[[Zastávka]:[Sloupec1]],2,0)</f>
        <v>00</v>
      </c>
      <c r="O1322" t="s">
        <v>1544</v>
      </c>
      <c r="P1322">
        <v>6</v>
      </c>
      <c r="Q1322">
        <v>0</v>
      </c>
      <c r="R1322" t="s">
        <v>31</v>
      </c>
      <c r="S1322" t="s">
        <v>31</v>
      </c>
      <c r="T1322" t="s">
        <v>32</v>
      </c>
      <c r="V1322" s="1" t="e">
        <v>#N/A</v>
      </c>
      <c r="W1322" t="s">
        <v>1216</v>
      </c>
      <c r="X1322">
        <v>0</v>
      </c>
      <c r="Y1322">
        <v>0</v>
      </c>
      <c r="Z1322" t="s">
        <v>54</v>
      </c>
      <c r="AA1322" t="str">
        <f t="shared" si="40"/>
        <v/>
      </c>
      <c r="AB1322" t="str">
        <f t="shared" si="41"/>
        <v/>
      </c>
    </row>
    <row r="1323" spans="1:28" x14ac:dyDescent="0.25">
      <c r="A1323" s="2">
        <v>490</v>
      </c>
      <c r="B1323" t="s">
        <v>1880</v>
      </c>
      <c r="D1323" t="s">
        <v>1881</v>
      </c>
      <c r="E1323" t="s">
        <v>1882</v>
      </c>
      <c r="F1323" t="s">
        <v>1883</v>
      </c>
      <c r="G1323" s="1">
        <v>45062</v>
      </c>
      <c r="H1323" s="1">
        <v>45225</v>
      </c>
      <c r="I1323" s="1" t="e">
        <v>#N/A</v>
      </c>
      <c r="J1323" s="2" t="s">
        <v>357</v>
      </c>
      <c r="K1323" t="s">
        <v>1884</v>
      </c>
      <c r="M1323" s="16" t="s">
        <v>8551</v>
      </c>
      <c r="N1323" s="16" t="str">
        <f>VLOOKUP(M1323,Tab_Zast[[Zastávka]:[Sloupec1]],2,0)</f>
        <v>00</v>
      </c>
      <c r="O1323" t="s">
        <v>1885</v>
      </c>
      <c r="P1323">
        <v>6</v>
      </c>
      <c r="Q1323">
        <v>0</v>
      </c>
      <c r="R1323" t="s">
        <v>31</v>
      </c>
      <c r="S1323" t="s">
        <v>31</v>
      </c>
      <c r="T1323" t="s">
        <v>32</v>
      </c>
      <c r="V1323" s="1" t="e">
        <v>#N/A</v>
      </c>
      <c r="W1323" t="s">
        <v>1216</v>
      </c>
      <c r="X1323">
        <v>0</v>
      </c>
      <c r="Y1323">
        <v>0</v>
      </c>
      <c r="Z1323" t="s">
        <v>54</v>
      </c>
      <c r="AA1323" t="str">
        <f t="shared" si="40"/>
        <v/>
      </c>
      <c r="AB1323" t="str">
        <f t="shared" si="41"/>
        <v/>
      </c>
    </row>
    <row r="1324" spans="1:28" x14ac:dyDescent="0.25">
      <c r="A1324" s="2">
        <v>519</v>
      </c>
      <c r="B1324" t="s">
        <v>2062</v>
      </c>
      <c r="D1324" t="s">
        <v>2063</v>
      </c>
      <c r="E1324" t="s">
        <v>2064</v>
      </c>
      <c r="F1324" t="s">
        <v>2065</v>
      </c>
      <c r="G1324" s="1">
        <v>45187</v>
      </c>
      <c r="H1324" s="1">
        <v>45247</v>
      </c>
      <c r="I1324" s="1" t="e">
        <v>#N/A</v>
      </c>
      <c r="J1324" s="2" t="s">
        <v>357</v>
      </c>
      <c r="K1324" t="s">
        <v>2066</v>
      </c>
      <c r="M1324" s="16" t="s">
        <v>8551</v>
      </c>
      <c r="N1324" s="16" t="str">
        <f>VLOOKUP(M1324,Tab_Zast[[Zastávka]:[Sloupec1]],2,0)</f>
        <v>00</v>
      </c>
      <c r="O1324" t="s">
        <v>2067</v>
      </c>
      <c r="P1324">
        <v>6</v>
      </c>
      <c r="Q1324">
        <v>0</v>
      </c>
      <c r="R1324" t="s">
        <v>31</v>
      </c>
      <c r="S1324" t="s">
        <v>31</v>
      </c>
      <c r="T1324" t="s">
        <v>32</v>
      </c>
      <c r="V1324" s="1" t="e">
        <v>#N/A</v>
      </c>
      <c r="W1324" t="s">
        <v>1216</v>
      </c>
      <c r="X1324">
        <v>0</v>
      </c>
      <c r="Y1324">
        <v>0</v>
      </c>
      <c r="Z1324" t="s">
        <v>54</v>
      </c>
      <c r="AA1324" t="str">
        <f t="shared" si="40"/>
        <v/>
      </c>
      <c r="AB1324" t="str">
        <f t="shared" si="41"/>
        <v/>
      </c>
    </row>
    <row r="1325" spans="1:28" x14ac:dyDescent="0.25">
      <c r="A1325" s="2">
        <v>538</v>
      </c>
      <c r="B1325" t="s">
        <v>2179</v>
      </c>
      <c r="D1325" t="s">
        <v>2180</v>
      </c>
      <c r="E1325" t="s">
        <v>2181</v>
      </c>
      <c r="F1325" t="s">
        <v>2182</v>
      </c>
      <c r="G1325" s="1">
        <v>45016</v>
      </c>
      <c r="H1325" s="1">
        <v>45199</v>
      </c>
      <c r="I1325" s="1" t="e">
        <v>#N/A</v>
      </c>
      <c r="J1325" s="2" t="s">
        <v>357</v>
      </c>
      <c r="K1325" t="s">
        <v>2183</v>
      </c>
      <c r="M1325" s="16" t="s">
        <v>8551</v>
      </c>
      <c r="N1325" s="16" t="str">
        <f>VLOOKUP(M1325,Tab_Zast[[Zastávka]:[Sloupec1]],2,0)</f>
        <v>00</v>
      </c>
      <c r="O1325" t="s">
        <v>2184</v>
      </c>
      <c r="P1325">
        <v>6</v>
      </c>
      <c r="Q1325">
        <v>0</v>
      </c>
      <c r="R1325" t="s">
        <v>31</v>
      </c>
      <c r="S1325" t="s">
        <v>31</v>
      </c>
      <c r="T1325" t="s">
        <v>32</v>
      </c>
      <c r="V1325" s="1" t="e">
        <v>#N/A</v>
      </c>
      <c r="W1325" t="s">
        <v>1216</v>
      </c>
      <c r="X1325">
        <v>0</v>
      </c>
      <c r="Y1325">
        <v>0</v>
      </c>
      <c r="Z1325" t="s">
        <v>54</v>
      </c>
      <c r="AA1325" t="str">
        <f t="shared" si="40"/>
        <v/>
      </c>
      <c r="AB1325" t="str">
        <f t="shared" si="41"/>
        <v/>
      </c>
    </row>
    <row r="1326" spans="1:28" x14ac:dyDescent="0.25">
      <c r="A1326" s="2">
        <v>553</v>
      </c>
      <c r="B1326" t="s">
        <v>2278</v>
      </c>
      <c r="D1326" t="s">
        <v>2279</v>
      </c>
      <c r="E1326" t="s">
        <v>2120</v>
      </c>
      <c r="F1326" t="s">
        <v>2280</v>
      </c>
      <c r="G1326" s="1">
        <v>45209</v>
      </c>
      <c r="H1326" s="1">
        <v>45229</v>
      </c>
      <c r="I1326" s="1" t="e">
        <v>#N/A</v>
      </c>
      <c r="J1326" s="2" t="s">
        <v>357</v>
      </c>
      <c r="K1326" t="s">
        <v>2281</v>
      </c>
      <c r="M1326" s="16" t="s">
        <v>8551</v>
      </c>
      <c r="N1326" s="16" t="str">
        <f>VLOOKUP(M1326,Tab_Zast[[Zastávka]:[Sloupec1]],2,0)</f>
        <v>00</v>
      </c>
      <c r="O1326" t="s">
        <v>2282</v>
      </c>
      <c r="P1326">
        <v>6</v>
      </c>
      <c r="Q1326">
        <v>0</v>
      </c>
      <c r="R1326" t="s">
        <v>31</v>
      </c>
      <c r="S1326" t="s">
        <v>31</v>
      </c>
      <c r="T1326" t="s">
        <v>32</v>
      </c>
      <c r="V1326" s="1" t="e">
        <v>#N/A</v>
      </c>
      <c r="W1326" t="s">
        <v>1216</v>
      </c>
      <c r="X1326">
        <v>0</v>
      </c>
      <c r="Y1326">
        <v>0</v>
      </c>
      <c r="Z1326" t="s">
        <v>54</v>
      </c>
      <c r="AA1326" t="str">
        <f t="shared" si="40"/>
        <v/>
      </c>
      <c r="AB1326" t="str">
        <f t="shared" si="41"/>
        <v/>
      </c>
    </row>
    <row r="1327" spans="1:28" x14ac:dyDescent="0.25">
      <c r="A1327" s="2">
        <v>579</v>
      </c>
      <c r="B1327" t="s">
        <v>2436</v>
      </c>
      <c r="D1327" t="s">
        <v>2437</v>
      </c>
      <c r="E1327" t="s">
        <v>2438</v>
      </c>
      <c r="F1327" t="s">
        <v>2439</v>
      </c>
      <c r="G1327" s="1">
        <v>45049</v>
      </c>
      <c r="H1327" s="1">
        <v>45373</v>
      </c>
      <c r="I1327" s="1">
        <v>73050</v>
      </c>
      <c r="J1327" s="2" t="s">
        <v>357</v>
      </c>
      <c r="K1327" t="s">
        <v>2440</v>
      </c>
      <c r="M1327" s="16" t="s">
        <v>8551</v>
      </c>
      <c r="N1327" s="16" t="str">
        <f>VLOOKUP(M1327,Tab_Zast[[Zastávka]:[Sloupec1]],2,0)</f>
        <v>00</v>
      </c>
      <c r="O1327" t="s">
        <v>2441</v>
      </c>
      <c r="P1327">
        <v>3</v>
      </c>
      <c r="Q1327">
        <v>0</v>
      </c>
      <c r="R1327" t="s">
        <v>31</v>
      </c>
      <c r="S1327" t="s">
        <v>31</v>
      </c>
      <c r="T1327" t="s">
        <v>32</v>
      </c>
      <c r="V1327" s="1" t="e">
        <v>#N/A</v>
      </c>
      <c r="W1327" t="s">
        <v>493</v>
      </c>
      <c r="X1327">
        <v>0</v>
      </c>
      <c r="Y1327">
        <v>0</v>
      </c>
      <c r="AA1327" t="str">
        <f t="shared" si="40"/>
        <v/>
      </c>
      <c r="AB1327" t="str">
        <f t="shared" si="41"/>
        <v/>
      </c>
    </row>
    <row r="1328" spans="1:28" x14ac:dyDescent="0.25">
      <c r="A1328" s="2">
        <v>606</v>
      </c>
      <c r="B1328" t="s">
        <v>2594</v>
      </c>
      <c r="D1328" t="s">
        <v>2595</v>
      </c>
      <c r="E1328" t="s">
        <v>489</v>
      </c>
      <c r="F1328" t="s">
        <v>2596</v>
      </c>
      <c r="G1328" s="1">
        <v>45089</v>
      </c>
      <c r="H1328" s="1">
        <v>45251</v>
      </c>
      <c r="I1328" s="1" t="e">
        <v>#N/A</v>
      </c>
      <c r="J1328" s="2" t="s">
        <v>357</v>
      </c>
      <c r="K1328" t="s">
        <v>2597</v>
      </c>
      <c r="M1328" s="16" t="s">
        <v>8551</v>
      </c>
      <c r="N1328" s="16" t="str">
        <f>VLOOKUP(M1328,Tab_Zast[[Zastávka]:[Sloupec1]],2,0)</f>
        <v>00</v>
      </c>
      <c r="O1328" t="s">
        <v>2598</v>
      </c>
      <c r="P1328">
        <v>3</v>
      </c>
      <c r="Q1328">
        <v>0</v>
      </c>
      <c r="R1328" t="s">
        <v>31</v>
      </c>
      <c r="S1328" t="s">
        <v>31</v>
      </c>
      <c r="T1328" t="s">
        <v>32</v>
      </c>
      <c r="V1328" s="1" t="e">
        <v>#N/A</v>
      </c>
      <c r="W1328" t="s">
        <v>493</v>
      </c>
      <c r="X1328">
        <v>0</v>
      </c>
      <c r="Y1328">
        <v>0</v>
      </c>
      <c r="Z1328" t="s">
        <v>54</v>
      </c>
      <c r="AA1328" t="str">
        <f t="shared" si="40"/>
        <v/>
      </c>
      <c r="AB1328" t="str">
        <f t="shared" si="41"/>
        <v/>
      </c>
    </row>
    <row r="1329" spans="1:28" x14ac:dyDescent="0.25">
      <c r="A1329" s="2">
        <v>683</v>
      </c>
      <c r="B1329" t="s">
        <v>2999</v>
      </c>
      <c r="C1329" t="s">
        <v>3000</v>
      </c>
      <c r="D1329" t="s">
        <v>3001</v>
      </c>
      <c r="E1329" t="s">
        <v>3002</v>
      </c>
      <c r="F1329" t="s">
        <v>315</v>
      </c>
      <c r="G1329" s="1">
        <v>45238</v>
      </c>
      <c r="H1329" s="1">
        <v>45534</v>
      </c>
      <c r="I1329" s="1">
        <v>73050</v>
      </c>
      <c r="J1329" s="2" t="s">
        <v>357</v>
      </c>
      <c r="K1329" t="s">
        <v>3003</v>
      </c>
      <c r="M1329" s="16" t="s">
        <v>8551</v>
      </c>
      <c r="N1329" s="16" t="str">
        <f>VLOOKUP(M1329,Tab_Zast[[Zastávka]:[Sloupec1]],2,0)</f>
        <v>00</v>
      </c>
      <c r="O1329" t="s">
        <v>3004</v>
      </c>
      <c r="P1329">
        <v>2</v>
      </c>
      <c r="Q1329">
        <v>0</v>
      </c>
      <c r="R1329" t="s">
        <v>31</v>
      </c>
      <c r="S1329" t="s">
        <v>31</v>
      </c>
      <c r="T1329" t="s">
        <v>32</v>
      </c>
      <c r="V1329" s="1" t="e">
        <v>#N/A</v>
      </c>
      <c r="W1329" t="s">
        <v>90</v>
      </c>
      <c r="X1329">
        <v>0</v>
      </c>
      <c r="Y1329">
        <v>0</v>
      </c>
      <c r="AA1329" t="str">
        <f t="shared" si="40"/>
        <v/>
      </c>
      <c r="AB1329" t="str">
        <f t="shared" si="41"/>
        <v/>
      </c>
    </row>
    <row r="1330" spans="1:28" x14ac:dyDescent="0.25">
      <c r="A1330" s="2">
        <v>704</v>
      </c>
      <c r="B1330" t="s">
        <v>3120</v>
      </c>
      <c r="C1330" t="s">
        <v>3121</v>
      </c>
      <c r="D1330" t="s">
        <v>2640</v>
      </c>
      <c r="E1330" t="s">
        <v>3122</v>
      </c>
      <c r="F1330" t="s">
        <v>183</v>
      </c>
      <c r="G1330" s="1">
        <v>45320</v>
      </c>
      <c r="H1330" s="1">
        <v>45565</v>
      </c>
      <c r="I1330" s="1">
        <v>73050</v>
      </c>
      <c r="J1330" s="2" t="s">
        <v>357</v>
      </c>
      <c r="K1330" t="s">
        <v>3123</v>
      </c>
      <c r="M1330" s="16" t="s">
        <v>8551</v>
      </c>
      <c r="N1330" s="16" t="str">
        <f>VLOOKUP(M1330,Tab_Zast[[Zastávka]:[Sloupec1]],2,0)</f>
        <v>00</v>
      </c>
      <c r="O1330" t="s">
        <v>3124</v>
      </c>
      <c r="P1330">
        <v>4</v>
      </c>
      <c r="Q1330">
        <v>0</v>
      </c>
      <c r="R1330" t="s">
        <v>31</v>
      </c>
      <c r="S1330" t="s">
        <v>31</v>
      </c>
      <c r="T1330" t="s">
        <v>32</v>
      </c>
      <c r="V1330" s="1" t="e">
        <v>#N/A</v>
      </c>
      <c r="W1330" t="s">
        <v>62</v>
      </c>
      <c r="X1330">
        <v>0</v>
      </c>
      <c r="Y1330">
        <v>0</v>
      </c>
      <c r="AA1330" t="str">
        <f t="shared" si="40"/>
        <v/>
      </c>
      <c r="AB1330" t="str">
        <f t="shared" si="41"/>
        <v/>
      </c>
    </row>
    <row r="1331" spans="1:28" x14ac:dyDescent="0.25">
      <c r="A1331" s="2">
        <v>749</v>
      </c>
      <c r="B1331" t="s">
        <v>3334</v>
      </c>
      <c r="D1331" t="s">
        <v>3335</v>
      </c>
      <c r="E1331" t="s">
        <v>2883</v>
      </c>
      <c r="F1331" t="s">
        <v>3336</v>
      </c>
      <c r="G1331" s="1">
        <v>45308</v>
      </c>
      <c r="H1331" s="1">
        <v>45336</v>
      </c>
      <c r="I1331" s="1">
        <v>73050</v>
      </c>
      <c r="J1331" s="2" t="s">
        <v>357</v>
      </c>
      <c r="K1331" t="s">
        <v>3337</v>
      </c>
      <c r="M1331" s="16" t="s">
        <v>8551</v>
      </c>
      <c r="N1331" s="16" t="str">
        <f>VLOOKUP(M1331,Tab_Zast[[Zastávka]:[Sloupec1]],2,0)</f>
        <v>00</v>
      </c>
      <c r="O1331" t="s">
        <v>3338</v>
      </c>
      <c r="P1331">
        <v>3</v>
      </c>
      <c r="Q1331">
        <v>0</v>
      </c>
      <c r="R1331" t="s">
        <v>31</v>
      </c>
      <c r="S1331" t="s">
        <v>31</v>
      </c>
      <c r="T1331" t="s">
        <v>32</v>
      </c>
      <c r="V1331" s="1" t="e">
        <v>#N/A</v>
      </c>
      <c r="W1331" t="s">
        <v>493</v>
      </c>
      <c r="X1331">
        <v>0</v>
      </c>
      <c r="Y1331">
        <v>0</v>
      </c>
      <c r="AA1331" t="str">
        <f t="shared" si="40"/>
        <v/>
      </c>
      <c r="AB1331" t="str">
        <f t="shared" si="41"/>
        <v/>
      </c>
    </row>
    <row r="1332" spans="1:28" x14ac:dyDescent="0.25">
      <c r="A1332" s="2">
        <v>758</v>
      </c>
      <c r="B1332" t="s">
        <v>3377</v>
      </c>
      <c r="D1332" t="s">
        <v>3335</v>
      </c>
      <c r="E1332" t="s">
        <v>3378</v>
      </c>
      <c r="F1332" t="s">
        <v>3379</v>
      </c>
      <c r="G1332" s="1">
        <v>45314</v>
      </c>
      <c r="H1332" s="1">
        <v>45345</v>
      </c>
      <c r="I1332" s="1">
        <v>73050</v>
      </c>
      <c r="J1332" s="2" t="s">
        <v>357</v>
      </c>
      <c r="K1332" t="s">
        <v>3380</v>
      </c>
      <c r="M1332" s="16" t="s">
        <v>8551</v>
      </c>
      <c r="N1332" s="16" t="str">
        <f>VLOOKUP(M1332,Tab_Zast[[Zastávka]:[Sloupec1]],2,0)</f>
        <v>00</v>
      </c>
      <c r="O1332" t="s">
        <v>3381</v>
      </c>
      <c r="P1332">
        <v>3</v>
      </c>
      <c r="Q1332">
        <v>0</v>
      </c>
      <c r="R1332" t="s">
        <v>31</v>
      </c>
      <c r="S1332" t="s">
        <v>31</v>
      </c>
      <c r="T1332" t="s">
        <v>32</v>
      </c>
      <c r="V1332" s="1" t="e">
        <v>#N/A</v>
      </c>
      <c r="W1332" t="s">
        <v>493</v>
      </c>
      <c r="X1332">
        <v>0</v>
      </c>
      <c r="Y1332">
        <v>0</v>
      </c>
      <c r="AA1332" t="str">
        <f t="shared" si="40"/>
        <v/>
      </c>
      <c r="AB1332" t="str">
        <f t="shared" si="41"/>
        <v/>
      </c>
    </row>
    <row r="1333" spans="1:28" x14ac:dyDescent="0.25">
      <c r="A1333" s="2">
        <v>857</v>
      </c>
      <c r="B1333" t="s">
        <v>3868</v>
      </c>
      <c r="C1333" t="s">
        <v>3869</v>
      </c>
      <c r="D1333" t="s">
        <v>632</v>
      </c>
      <c r="E1333" t="s">
        <v>633</v>
      </c>
      <c r="F1333" t="s">
        <v>67</v>
      </c>
      <c r="G1333" s="1">
        <v>45369</v>
      </c>
      <c r="H1333" s="1">
        <v>45457</v>
      </c>
      <c r="I1333" s="1">
        <v>73050</v>
      </c>
      <c r="J1333" s="2" t="s">
        <v>357</v>
      </c>
      <c r="K1333" t="s">
        <v>3870</v>
      </c>
      <c r="M1333" s="16" t="s">
        <v>8551</v>
      </c>
      <c r="N1333" s="16" t="str">
        <f>VLOOKUP(M1333,Tab_Zast[[Zastávka]:[Sloupec1]],2,0)</f>
        <v>00</v>
      </c>
      <c r="O1333" t="s">
        <v>3871</v>
      </c>
      <c r="P1333">
        <v>4</v>
      </c>
      <c r="Q1333">
        <v>0</v>
      </c>
      <c r="R1333" t="s">
        <v>31</v>
      </c>
      <c r="S1333" t="s">
        <v>31</v>
      </c>
      <c r="T1333" t="s">
        <v>32</v>
      </c>
      <c r="V1333" s="1" t="e">
        <v>#N/A</v>
      </c>
      <c r="W1333" t="s">
        <v>62</v>
      </c>
      <c r="X1333">
        <v>0</v>
      </c>
      <c r="Y1333">
        <v>192</v>
      </c>
      <c r="Z1333" t="s">
        <v>54</v>
      </c>
      <c r="AA1333" t="str">
        <f t="shared" si="40"/>
        <v/>
      </c>
      <c r="AB1333" t="str">
        <f t="shared" si="41"/>
        <v/>
      </c>
    </row>
    <row r="1334" spans="1:28" x14ac:dyDescent="0.25">
      <c r="A1334" s="2">
        <v>963</v>
      </c>
      <c r="B1334" t="s">
        <v>1394</v>
      </c>
      <c r="C1334" t="s">
        <v>1394</v>
      </c>
      <c r="D1334" t="s">
        <v>4360</v>
      </c>
      <c r="E1334" t="s">
        <v>2613</v>
      </c>
      <c r="F1334" t="s">
        <v>67</v>
      </c>
      <c r="G1334" s="1">
        <v>45442</v>
      </c>
      <c r="H1334" s="1">
        <v>45443</v>
      </c>
      <c r="I1334" s="1">
        <v>73050</v>
      </c>
      <c r="J1334" s="2" t="s">
        <v>357</v>
      </c>
      <c r="K1334" t="s">
        <v>4361</v>
      </c>
      <c r="M1334" s="16" t="s">
        <v>8551</v>
      </c>
      <c r="N1334" s="16" t="str">
        <f>VLOOKUP(M1334,Tab_Zast[[Zastávka]:[Sloupec1]],2,0)</f>
        <v>00</v>
      </c>
      <c r="O1334" t="s">
        <v>4362</v>
      </c>
      <c r="P1334">
        <v>3</v>
      </c>
      <c r="Q1334">
        <v>0</v>
      </c>
      <c r="R1334" t="s">
        <v>129</v>
      </c>
      <c r="S1334" t="s">
        <v>130</v>
      </c>
      <c r="T1334" t="s">
        <v>32</v>
      </c>
      <c r="V1334" s="1" t="e">
        <v>#N/A</v>
      </c>
      <c r="W1334" t="s">
        <v>3091</v>
      </c>
      <c r="X1334">
        <v>0</v>
      </c>
      <c r="Y1334">
        <v>356</v>
      </c>
      <c r="AA1334" t="str">
        <f t="shared" si="40"/>
        <v/>
      </c>
      <c r="AB1334" t="str">
        <f t="shared" si="41"/>
        <v/>
      </c>
    </row>
    <row r="1335" spans="1:28" x14ac:dyDescent="0.25">
      <c r="A1335" s="2">
        <v>981</v>
      </c>
      <c r="B1335" t="s">
        <v>4439</v>
      </c>
      <c r="C1335" t="s">
        <v>1394</v>
      </c>
      <c r="D1335" t="s">
        <v>4440</v>
      </c>
      <c r="E1335" t="s">
        <v>2607</v>
      </c>
      <c r="F1335" t="s">
        <v>357</v>
      </c>
      <c r="G1335" s="1">
        <v>45447</v>
      </c>
      <c r="H1335" s="1">
        <v>45845</v>
      </c>
      <c r="I1335" s="1">
        <v>73050</v>
      </c>
      <c r="J1335" s="2" t="s">
        <v>8336</v>
      </c>
      <c r="K1335" t="s">
        <v>4441</v>
      </c>
      <c r="M1335" s="16" t="s">
        <v>8337</v>
      </c>
      <c r="N1335" s="16" t="str">
        <f>VLOOKUP(M1335,Tab_Zast[[Zastávka]:[Sloupec1]],2,0)</f>
        <v>31</v>
      </c>
      <c r="O1335" t="s">
        <v>4442</v>
      </c>
      <c r="P1335">
        <v>9</v>
      </c>
      <c r="Q1335">
        <v>0</v>
      </c>
      <c r="R1335" t="s">
        <v>31</v>
      </c>
      <c r="S1335" t="s">
        <v>31</v>
      </c>
      <c r="T1335" t="s">
        <v>32</v>
      </c>
      <c r="V1335" s="1" t="e">
        <v>#N/A</v>
      </c>
      <c r="W1335" t="s">
        <v>3091</v>
      </c>
      <c r="X1335">
        <v>0</v>
      </c>
      <c r="Y1335">
        <v>378</v>
      </c>
      <c r="AA1335" t="str">
        <f t="shared" si="40"/>
        <v>update zamestnanci set nastup='31' where id='981';</v>
      </c>
      <c r="AB1335" t="str">
        <f t="shared" si="41"/>
        <v>update dochazka set zastavka = '31' where zamestnanec = '981';</v>
      </c>
    </row>
    <row r="1336" spans="1:28" x14ac:dyDescent="0.25">
      <c r="A1336" s="2">
        <v>983</v>
      </c>
      <c r="B1336" t="s">
        <v>4448</v>
      </c>
      <c r="C1336" t="s">
        <v>1394</v>
      </c>
      <c r="D1336" t="s">
        <v>4449</v>
      </c>
      <c r="E1336" t="s">
        <v>917</v>
      </c>
      <c r="F1336" t="s">
        <v>4450</v>
      </c>
      <c r="G1336" s="1">
        <v>45447</v>
      </c>
      <c r="H1336" s="1">
        <v>73050</v>
      </c>
      <c r="I1336" s="1" t="e">
        <v>#N/A</v>
      </c>
      <c r="J1336" s="2" t="s">
        <v>8481</v>
      </c>
      <c r="K1336" t="s">
        <v>4451</v>
      </c>
      <c r="M1336" s="16" t="s">
        <v>8482</v>
      </c>
      <c r="N1336" s="16" t="str">
        <f>VLOOKUP(M1336,Tab_Zast[[Zastávka]:[Sloupec1]],2,0)</f>
        <v>82</v>
      </c>
      <c r="O1336" t="s">
        <v>4452</v>
      </c>
      <c r="P1336">
        <v>9</v>
      </c>
      <c r="Q1336">
        <v>0</v>
      </c>
      <c r="R1336" t="s">
        <v>129</v>
      </c>
      <c r="S1336" t="s">
        <v>31</v>
      </c>
      <c r="T1336" t="s">
        <v>32</v>
      </c>
      <c r="V1336" s="1" t="e">
        <v>#N/A</v>
      </c>
      <c r="W1336" t="s">
        <v>3091</v>
      </c>
      <c r="X1336">
        <v>1</v>
      </c>
      <c r="Y1336">
        <v>368</v>
      </c>
      <c r="AA1336" t="str">
        <f t="shared" si="40"/>
        <v>update zamestnanci set nastup='82' where id='983';</v>
      </c>
      <c r="AB1336" t="str">
        <f t="shared" si="41"/>
        <v>update dochazka set zastavka = '82' where zamestnanec = '983';</v>
      </c>
    </row>
    <row r="1337" spans="1:28" x14ac:dyDescent="0.25">
      <c r="A1337" s="2">
        <v>993</v>
      </c>
      <c r="B1337" t="s">
        <v>4489</v>
      </c>
      <c r="C1337" t="s">
        <v>1394</v>
      </c>
      <c r="D1337" t="s">
        <v>4490</v>
      </c>
      <c r="E1337" t="s">
        <v>1402</v>
      </c>
      <c r="F1337" t="s">
        <v>4357</v>
      </c>
      <c r="G1337" s="1">
        <v>45453</v>
      </c>
      <c r="H1337" s="1">
        <v>45558</v>
      </c>
      <c r="I1337" s="1">
        <v>73050</v>
      </c>
      <c r="J1337" s="2" t="s">
        <v>357</v>
      </c>
      <c r="K1337" t="s">
        <v>3889</v>
      </c>
      <c r="M1337" s="16" t="s">
        <v>8551</v>
      </c>
      <c r="N1337" s="16" t="str">
        <f>VLOOKUP(M1337,Tab_Zast[[Zastávka]:[Sloupec1]],2,0)</f>
        <v>00</v>
      </c>
      <c r="O1337" t="s">
        <v>3890</v>
      </c>
      <c r="P1337">
        <v>9</v>
      </c>
      <c r="Q1337">
        <v>0</v>
      </c>
      <c r="R1337" t="s">
        <v>31</v>
      </c>
      <c r="S1337" t="s">
        <v>31</v>
      </c>
      <c r="T1337" t="s">
        <v>32</v>
      </c>
      <c r="V1337" s="1" t="e">
        <v>#N/A</v>
      </c>
      <c r="W1337" t="s">
        <v>3091</v>
      </c>
      <c r="X1337">
        <v>0</v>
      </c>
      <c r="Y1337">
        <v>384</v>
      </c>
      <c r="Z1337" t="s">
        <v>54</v>
      </c>
      <c r="AA1337" t="str">
        <f t="shared" si="40"/>
        <v/>
      </c>
      <c r="AB1337" t="str">
        <f t="shared" si="41"/>
        <v/>
      </c>
    </row>
    <row r="1338" spans="1:28" x14ac:dyDescent="0.25">
      <c r="A1338" s="2">
        <v>997</v>
      </c>
      <c r="B1338" t="s">
        <v>4505</v>
      </c>
      <c r="C1338" t="s">
        <v>1394</v>
      </c>
      <c r="D1338" t="s">
        <v>4506</v>
      </c>
      <c r="E1338" t="s">
        <v>731</v>
      </c>
      <c r="F1338" t="s">
        <v>4507</v>
      </c>
      <c r="G1338" s="1">
        <v>45453</v>
      </c>
      <c r="H1338" s="1" t="e">
        <v>#N/A</v>
      </c>
      <c r="I1338" s="1" t="e">
        <v>#N/A</v>
      </c>
      <c r="J1338" s="2" t="s">
        <v>8336</v>
      </c>
      <c r="K1338" t="s">
        <v>4508</v>
      </c>
      <c r="M1338" s="16" t="s">
        <v>8337</v>
      </c>
      <c r="N1338" s="16" t="str">
        <f>VLOOKUP(M1338,Tab_Zast[[Zastávka]:[Sloupec1]],2,0)</f>
        <v>31</v>
      </c>
      <c r="O1338" t="s">
        <v>4509</v>
      </c>
      <c r="P1338">
        <v>9</v>
      </c>
      <c r="Q1338">
        <v>0</v>
      </c>
      <c r="R1338" t="s">
        <v>31</v>
      </c>
      <c r="S1338" t="s">
        <v>31</v>
      </c>
      <c r="T1338" t="s">
        <v>32</v>
      </c>
      <c r="V1338" s="1" t="e">
        <v>#N/A</v>
      </c>
      <c r="W1338" t="s">
        <v>3091</v>
      </c>
      <c r="X1338">
        <v>1</v>
      </c>
      <c r="Y1338">
        <v>388</v>
      </c>
      <c r="AA1338" t="str">
        <f t="shared" si="40"/>
        <v>update zamestnanci set nastup='31' where id='997';</v>
      </c>
      <c r="AB1338" t="str">
        <f t="shared" si="41"/>
        <v>update dochazka set zastavka = '31' where zamestnanec = '997';</v>
      </c>
    </row>
    <row r="1339" spans="1:28" x14ac:dyDescent="0.25">
      <c r="A1339" s="2">
        <v>998</v>
      </c>
      <c r="B1339" t="s">
        <v>4510</v>
      </c>
      <c r="C1339" t="s">
        <v>1394</v>
      </c>
      <c r="D1339" t="s">
        <v>4511</v>
      </c>
      <c r="E1339" t="s">
        <v>1947</v>
      </c>
      <c r="F1339" t="s">
        <v>4512</v>
      </c>
      <c r="G1339" s="1">
        <v>45453</v>
      </c>
      <c r="H1339" s="1">
        <v>73050</v>
      </c>
      <c r="I1339" s="1" t="e">
        <v>#N/A</v>
      </c>
      <c r="J1339" s="2" t="s">
        <v>8318</v>
      </c>
      <c r="K1339" t="s">
        <v>4513</v>
      </c>
      <c r="M1339" s="16" t="s">
        <v>8319</v>
      </c>
      <c r="N1339" s="16" t="str">
        <f>VLOOKUP(M1339,Tab_Zast[[Zastávka]:[Sloupec1]],2,0)</f>
        <v>24</v>
      </c>
      <c r="O1339" t="s">
        <v>4514</v>
      </c>
      <c r="P1339">
        <v>9</v>
      </c>
      <c r="Q1339">
        <v>0</v>
      </c>
      <c r="R1339" t="s">
        <v>129</v>
      </c>
      <c r="S1339" t="s">
        <v>31</v>
      </c>
      <c r="T1339" t="s">
        <v>32</v>
      </c>
      <c r="V1339" s="1" t="e">
        <v>#N/A</v>
      </c>
      <c r="W1339" t="s">
        <v>3091</v>
      </c>
      <c r="X1339">
        <v>1</v>
      </c>
      <c r="Y1339">
        <v>389</v>
      </c>
      <c r="AA1339" t="str">
        <f t="shared" si="40"/>
        <v>update zamestnanci set nastup='24' where id='998';</v>
      </c>
      <c r="AB1339" t="str">
        <f t="shared" si="41"/>
        <v>update dochazka set zastavka = '24' where zamestnanec = '998';</v>
      </c>
    </row>
    <row r="1340" spans="1:28" x14ac:dyDescent="0.25">
      <c r="A1340" s="2">
        <v>1017</v>
      </c>
      <c r="B1340" t="s">
        <v>4577</v>
      </c>
      <c r="C1340" t="s">
        <v>1394</v>
      </c>
      <c r="D1340" t="s">
        <v>4578</v>
      </c>
      <c r="E1340" t="s">
        <v>3657</v>
      </c>
      <c r="F1340" t="s">
        <v>357</v>
      </c>
      <c r="G1340" s="1">
        <v>45461</v>
      </c>
      <c r="H1340" s="1">
        <v>45688</v>
      </c>
      <c r="I1340" s="1">
        <v>73050</v>
      </c>
      <c r="J1340" s="2" t="s">
        <v>357</v>
      </c>
      <c r="K1340" t="s">
        <v>4579</v>
      </c>
      <c r="M1340" s="16" t="s">
        <v>8551</v>
      </c>
      <c r="N1340" s="16" t="str">
        <f>VLOOKUP(M1340,Tab_Zast[[Zastávka]:[Sloupec1]],2,0)</f>
        <v>00</v>
      </c>
      <c r="O1340" t="s">
        <v>4580</v>
      </c>
      <c r="P1340">
        <v>9</v>
      </c>
      <c r="Q1340">
        <v>0</v>
      </c>
      <c r="R1340" t="s">
        <v>31</v>
      </c>
      <c r="S1340" t="s">
        <v>31</v>
      </c>
      <c r="T1340" t="s">
        <v>32</v>
      </c>
      <c r="V1340" s="1" t="e">
        <v>#N/A</v>
      </c>
      <c r="W1340" t="s">
        <v>3091</v>
      </c>
      <c r="X1340">
        <v>0</v>
      </c>
      <c r="Y1340">
        <v>406</v>
      </c>
      <c r="AA1340" t="str">
        <f t="shared" si="40"/>
        <v/>
      </c>
      <c r="AB1340" t="str">
        <f t="shared" si="41"/>
        <v/>
      </c>
    </row>
    <row r="1341" spans="1:28" x14ac:dyDescent="0.25">
      <c r="A1341" s="2">
        <v>1018</v>
      </c>
      <c r="B1341" t="s">
        <v>4581</v>
      </c>
      <c r="C1341" t="s">
        <v>1394</v>
      </c>
      <c r="D1341" t="s">
        <v>4582</v>
      </c>
      <c r="E1341" t="s">
        <v>743</v>
      </c>
      <c r="F1341" t="s">
        <v>4583</v>
      </c>
      <c r="G1341" s="1">
        <v>45461</v>
      </c>
      <c r="H1341" s="1">
        <v>45674</v>
      </c>
      <c r="I1341" s="1">
        <v>73050</v>
      </c>
      <c r="J1341" s="2" t="s">
        <v>357</v>
      </c>
      <c r="K1341" t="s">
        <v>4584</v>
      </c>
      <c r="M1341" s="16" t="s">
        <v>8551</v>
      </c>
      <c r="N1341" s="16" t="str">
        <f>VLOOKUP(M1341,Tab_Zast[[Zastávka]:[Sloupec1]],2,0)</f>
        <v>00</v>
      </c>
      <c r="O1341" t="s">
        <v>4585</v>
      </c>
      <c r="P1341">
        <v>9</v>
      </c>
      <c r="Q1341">
        <v>0</v>
      </c>
      <c r="R1341" t="s">
        <v>31</v>
      </c>
      <c r="S1341" t="s">
        <v>31</v>
      </c>
      <c r="T1341" t="s">
        <v>32</v>
      </c>
      <c r="V1341" s="1" t="e">
        <v>#N/A</v>
      </c>
      <c r="W1341" t="s">
        <v>3091</v>
      </c>
      <c r="X1341">
        <v>0</v>
      </c>
      <c r="Y1341">
        <v>407</v>
      </c>
      <c r="AA1341" t="str">
        <f t="shared" si="40"/>
        <v/>
      </c>
      <c r="AB1341" t="str">
        <f t="shared" si="41"/>
        <v/>
      </c>
    </row>
    <row r="1342" spans="1:28" x14ac:dyDescent="0.25">
      <c r="A1342" s="2">
        <v>1037</v>
      </c>
      <c r="B1342" t="s">
        <v>4669</v>
      </c>
      <c r="C1342" t="s">
        <v>1394</v>
      </c>
      <c r="D1342" t="s">
        <v>4670</v>
      </c>
      <c r="E1342" t="s">
        <v>4671</v>
      </c>
      <c r="F1342" t="s">
        <v>1394</v>
      </c>
      <c r="G1342" s="1">
        <v>45468</v>
      </c>
      <c r="H1342" s="1">
        <v>45555</v>
      </c>
      <c r="I1342" s="1">
        <v>73050</v>
      </c>
      <c r="J1342" s="2" t="s">
        <v>357</v>
      </c>
      <c r="K1342" t="s">
        <v>4672</v>
      </c>
      <c r="M1342" s="16" t="s">
        <v>8551</v>
      </c>
      <c r="N1342" s="16" t="str">
        <f>VLOOKUP(M1342,Tab_Zast[[Zastávka]:[Sloupec1]],2,0)</f>
        <v>00</v>
      </c>
      <c r="O1342" t="s">
        <v>4673</v>
      </c>
      <c r="P1342">
        <v>3</v>
      </c>
      <c r="Q1342">
        <v>0</v>
      </c>
      <c r="R1342" t="s">
        <v>31</v>
      </c>
      <c r="S1342" t="s">
        <v>31</v>
      </c>
      <c r="T1342" t="s">
        <v>32</v>
      </c>
      <c r="V1342" s="1" t="e">
        <v>#N/A</v>
      </c>
      <c r="W1342" t="s">
        <v>3091</v>
      </c>
      <c r="X1342">
        <v>0</v>
      </c>
      <c r="Y1342">
        <v>428</v>
      </c>
      <c r="AA1342" t="str">
        <f t="shared" si="40"/>
        <v/>
      </c>
      <c r="AB1342" t="str">
        <f t="shared" si="41"/>
        <v/>
      </c>
    </row>
    <row r="1343" spans="1:28" x14ac:dyDescent="0.25">
      <c r="A1343" s="2">
        <v>1073</v>
      </c>
      <c r="B1343" t="s">
        <v>4830</v>
      </c>
      <c r="C1343" t="s">
        <v>1394</v>
      </c>
      <c r="D1343" t="s">
        <v>4831</v>
      </c>
      <c r="E1343" t="s">
        <v>3384</v>
      </c>
      <c r="F1343" t="s">
        <v>4832</v>
      </c>
      <c r="G1343" s="1">
        <v>45481</v>
      </c>
      <c r="H1343" s="1">
        <v>73050</v>
      </c>
      <c r="I1343" s="1" t="e">
        <v>#N/A</v>
      </c>
      <c r="J1343" s="2" t="s">
        <v>8290</v>
      </c>
      <c r="K1343" t="s">
        <v>4833</v>
      </c>
      <c r="M1343" s="16" t="s">
        <v>8291</v>
      </c>
      <c r="N1343" s="16" t="str">
        <f>VLOOKUP(M1343,Tab_Zast[[Zastávka]:[Sloupec1]],2,0)</f>
        <v>13</v>
      </c>
      <c r="O1343" t="s">
        <v>4834</v>
      </c>
      <c r="P1343">
        <v>9</v>
      </c>
      <c r="Q1343">
        <v>0</v>
      </c>
      <c r="R1343" t="s">
        <v>129</v>
      </c>
      <c r="S1343" t="s">
        <v>31</v>
      </c>
      <c r="T1343" t="s">
        <v>32</v>
      </c>
      <c r="V1343" s="1" t="e">
        <v>#N/A</v>
      </c>
      <c r="W1343" t="s">
        <v>3091</v>
      </c>
      <c r="X1343">
        <v>1</v>
      </c>
      <c r="Y1343">
        <v>459</v>
      </c>
      <c r="AA1343" t="str">
        <f t="shared" si="40"/>
        <v>update zamestnanci set nastup='13' where id='1073';</v>
      </c>
      <c r="AB1343" t="str">
        <f t="shared" si="41"/>
        <v>update dochazka set zastavka = '13' where zamestnanec = '1073';</v>
      </c>
    </row>
    <row r="1344" spans="1:28" x14ac:dyDescent="0.25">
      <c r="A1344" s="2">
        <v>1074</v>
      </c>
      <c r="B1344" t="s">
        <v>4835</v>
      </c>
      <c r="C1344" t="s">
        <v>1394</v>
      </c>
      <c r="D1344" t="s">
        <v>4831</v>
      </c>
      <c r="E1344" t="s">
        <v>3048</v>
      </c>
      <c r="F1344" t="s">
        <v>4836</v>
      </c>
      <c r="G1344" s="1">
        <v>45481</v>
      </c>
      <c r="H1344" s="1">
        <v>73050</v>
      </c>
      <c r="I1344" s="1" t="e">
        <v>#N/A</v>
      </c>
      <c r="J1344" s="2" t="s">
        <v>8258</v>
      </c>
      <c r="K1344" t="s">
        <v>4837</v>
      </c>
      <c r="M1344" s="16" t="s">
        <v>8259</v>
      </c>
      <c r="N1344" s="16" t="str">
        <f>VLOOKUP(M1344,Tab_Zast[[Zastávka]:[Sloupec1]],2,0)</f>
        <v>03</v>
      </c>
      <c r="O1344" t="s">
        <v>4834</v>
      </c>
      <c r="P1344">
        <v>9</v>
      </c>
      <c r="Q1344">
        <v>0</v>
      </c>
      <c r="R1344" t="s">
        <v>129</v>
      </c>
      <c r="S1344" t="s">
        <v>31</v>
      </c>
      <c r="T1344" t="s">
        <v>32</v>
      </c>
      <c r="V1344" s="1" t="e">
        <v>#N/A</v>
      </c>
      <c r="W1344" t="s">
        <v>3091</v>
      </c>
      <c r="X1344">
        <v>1</v>
      </c>
      <c r="Y1344">
        <v>460</v>
      </c>
      <c r="AA1344" t="str">
        <f t="shared" si="40"/>
        <v>update zamestnanci set nastup='03' where id='1074';</v>
      </c>
      <c r="AB1344" t="str">
        <f t="shared" si="41"/>
        <v>update dochazka set zastavka = '03' where zamestnanec = '1074';</v>
      </c>
    </row>
    <row r="1345" spans="1:28" x14ac:dyDescent="0.25">
      <c r="A1345" s="2">
        <v>1075</v>
      </c>
      <c r="B1345" t="s">
        <v>4838</v>
      </c>
      <c r="C1345" t="s">
        <v>1394</v>
      </c>
      <c r="D1345" t="s">
        <v>4666</v>
      </c>
      <c r="E1345" t="s">
        <v>2960</v>
      </c>
      <c r="F1345" t="s">
        <v>4839</v>
      </c>
      <c r="G1345" s="1">
        <v>45481</v>
      </c>
      <c r="H1345" s="1">
        <v>73050</v>
      </c>
      <c r="I1345" s="1" t="e">
        <v>#N/A</v>
      </c>
      <c r="J1345" s="2" t="s">
        <v>8258</v>
      </c>
      <c r="K1345" t="s">
        <v>4840</v>
      </c>
      <c r="M1345" s="16" t="s">
        <v>8259</v>
      </c>
      <c r="N1345" s="16" t="str">
        <f>VLOOKUP(M1345,Tab_Zast[[Zastávka]:[Sloupec1]],2,0)</f>
        <v>03</v>
      </c>
      <c r="O1345" t="s">
        <v>4841</v>
      </c>
      <c r="P1345">
        <v>9</v>
      </c>
      <c r="Q1345">
        <v>0</v>
      </c>
      <c r="R1345" t="s">
        <v>129</v>
      </c>
      <c r="S1345" t="s">
        <v>31</v>
      </c>
      <c r="T1345" t="s">
        <v>32</v>
      </c>
      <c r="V1345" s="1" t="e">
        <v>#N/A</v>
      </c>
      <c r="W1345" t="s">
        <v>3091</v>
      </c>
      <c r="X1345">
        <v>1</v>
      </c>
      <c r="Y1345">
        <v>461</v>
      </c>
      <c r="AA1345" t="str">
        <f t="shared" si="40"/>
        <v>update zamestnanci set nastup='03' where id='1075';</v>
      </c>
      <c r="AB1345" t="str">
        <f t="shared" si="41"/>
        <v>update dochazka set zastavka = '03' where zamestnanec = '1075';</v>
      </c>
    </row>
    <row r="1346" spans="1:28" x14ac:dyDescent="0.25">
      <c r="A1346" s="2">
        <v>1096</v>
      </c>
      <c r="B1346" t="s">
        <v>4926</v>
      </c>
      <c r="C1346" t="s">
        <v>151</v>
      </c>
      <c r="D1346" t="s">
        <v>4927</v>
      </c>
      <c r="E1346" t="s">
        <v>3048</v>
      </c>
      <c r="F1346" t="s">
        <v>4928</v>
      </c>
      <c r="G1346" s="1">
        <v>45496</v>
      </c>
      <c r="H1346" s="1">
        <v>45546</v>
      </c>
      <c r="I1346" s="1">
        <v>73050</v>
      </c>
      <c r="J1346" s="2" t="s">
        <v>357</v>
      </c>
      <c r="K1346" t="s">
        <v>4929</v>
      </c>
      <c r="M1346" s="16" t="s">
        <v>8551</v>
      </c>
      <c r="N1346" s="16" t="str">
        <f>VLOOKUP(M1346,Tab_Zast[[Zastávka]:[Sloupec1]],2,0)</f>
        <v>00</v>
      </c>
      <c r="O1346" t="s">
        <v>4930</v>
      </c>
      <c r="P1346">
        <v>3</v>
      </c>
      <c r="Q1346">
        <v>0</v>
      </c>
      <c r="R1346" t="s">
        <v>31</v>
      </c>
      <c r="S1346" t="s">
        <v>31</v>
      </c>
      <c r="T1346" t="s">
        <v>32</v>
      </c>
      <c r="V1346" s="1" t="e">
        <v>#N/A</v>
      </c>
      <c r="W1346" t="s">
        <v>493</v>
      </c>
      <c r="X1346">
        <v>0</v>
      </c>
      <c r="Y1346">
        <v>485</v>
      </c>
      <c r="AA1346" t="str">
        <f t="shared" si="40"/>
        <v/>
      </c>
      <c r="AB1346" t="str">
        <f t="shared" si="41"/>
        <v/>
      </c>
    </row>
    <row r="1347" spans="1:28" x14ac:dyDescent="0.25">
      <c r="A1347" s="2">
        <v>1123</v>
      </c>
      <c r="B1347" t="s">
        <v>5027</v>
      </c>
      <c r="C1347" t="s">
        <v>151</v>
      </c>
      <c r="D1347" t="s">
        <v>5028</v>
      </c>
      <c r="E1347" t="s">
        <v>3076</v>
      </c>
      <c r="F1347" t="s">
        <v>5029</v>
      </c>
      <c r="G1347" s="1">
        <v>45509</v>
      </c>
      <c r="H1347" s="1">
        <v>45527</v>
      </c>
      <c r="I1347" s="1">
        <v>73050</v>
      </c>
      <c r="J1347" s="2" t="s">
        <v>357</v>
      </c>
      <c r="K1347" t="s">
        <v>5030</v>
      </c>
      <c r="M1347" s="16" t="s">
        <v>8551</v>
      </c>
      <c r="N1347" s="16" t="str">
        <f>VLOOKUP(M1347,Tab_Zast[[Zastávka]:[Sloupec1]],2,0)</f>
        <v>00</v>
      </c>
      <c r="O1347" t="s">
        <v>5031</v>
      </c>
      <c r="P1347">
        <v>4</v>
      </c>
      <c r="Q1347">
        <v>0</v>
      </c>
      <c r="R1347" t="s">
        <v>31</v>
      </c>
      <c r="S1347" t="s">
        <v>31</v>
      </c>
      <c r="T1347" t="s">
        <v>318</v>
      </c>
      <c r="V1347" s="1" t="e">
        <v>#N/A</v>
      </c>
      <c r="W1347" t="s">
        <v>62</v>
      </c>
      <c r="X1347">
        <v>0</v>
      </c>
      <c r="Y1347">
        <v>512</v>
      </c>
      <c r="AA1347" t="str">
        <f t="shared" si="40"/>
        <v/>
      </c>
      <c r="AB1347" t="str">
        <f t="shared" si="41"/>
        <v/>
      </c>
    </row>
    <row r="1348" spans="1:28" x14ac:dyDescent="0.25">
      <c r="A1348" s="2">
        <v>1124</v>
      </c>
      <c r="B1348" t="s">
        <v>5032</v>
      </c>
      <c r="C1348" t="s">
        <v>151</v>
      </c>
      <c r="D1348" t="s">
        <v>5033</v>
      </c>
      <c r="E1348" t="s">
        <v>3138</v>
      </c>
      <c r="F1348" t="s">
        <v>1008</v>
      </c>
      <c r="G1348" s="1">
        <v>45509</v>
      </c>
      <c r="H1348" s="1">
        <v>45565</v>
      </c>
      <c r="I1348" s="1">
        <v>73050</v>
      </c>
      <c r="J1348" s="2" t="s">
        <v>357</v>
      </c>
      <c r="K1348" t="s">
        <v>5034</v>
      </c>
      <c r="M1348" s="16" t="s">
        <v>8551</v>
      </c>
      <c r="N1348" s="16" t="str">
        <f>VLOOKUP(M1348,Tab_Zast[[Zastávka]:[Sloupec1]],2,0)</f>
        <v>00</v>
      </c>
      <c r="O1348" t="s">
        <v>5035</v>
      </c>
      <c r="P1348">
        <v>4</v>
      </c>
      <c r="Q1348">
        <v>0</v>
      </c>
      <c r="R1348" t="s">
        <v>31</v>
      </c>
      <c r="S1348" t="s">
        <v>31</v>
      </c>
      <c r="T1348" t="s">
        <v>870</v>
      </c>
      <c r="V1348" s="1" t="e">
        <v>#N/A</v>
      </c>
      <c r="W1348" t="s">
        <v>62</v>
      </c>
      <c r="X1348">
        <v>0</v>
      </c>
      <c r="Y1348">
        <v>513</v>
      </c>
      <c r="AA1348" t="str">
        <f t="shared" ref="AA1348:AA1411" si="42">IF(J1348&lt;&gt;"00","update zamestnanci set nastup='" &amp; J1348 &amp; "' where id='" &amp; A1348 &amp; "';","")</f>
        <v/>
      </c>
      <c r="AB1348" t="str">
        <f t="shared" ref="AB1348:AB1411" si="43">IF(J1348&lt;&gt;"00","update dochazka set zastavka = '" &amp; J1348 &amp; "' where zamestnanec = '" &amp; A1348 &amp; "';","")</f>
        <v/>
      </c>
    </row>
    <row r="1349" spans="1:28" x14ac:dyDescent="0.25">
      <c r="A1349" s="2">
        <v>1149</v>
      </c>
      <c r="B1349" t="s">
        <v>5138</v>
      </c>
      <c r="C1349" t="s">
        <v>64</v>
      </c>
      <c r="D1349" t="s">
        <v>3160</v>
      </c>
      <c r="E1349" t="s">
        <v>755</v>
      </c>
      <c r="F1349" t="s">
        <v>5139</v>
      </c>
      <c r="G1349" s="1">
        <v>45519</v>
      </c>
      <c r="H1349" s="1">
        <v>45616</v>
      </c>
      <c r="I1349" s="1">
        <v>73050</v>
      </c>
      <c r="J1349" s="2" t="s">
        <v>357</v>
      </c>
      <c r="K1349" t="s">
        <v>5140</v>
      </c>
      <c r="M1349" s="16" t="s">
        <v>8551</v>
      </c>
      <c r="N1349" s="16" t="str">
        <f>VLOOKUP(M1349,Tab_Zast[[Zastávka]:[Sloupec1]],2,0)</f>
        <v>00</v>
      </c>
      <c r="O1349" t="s">
        <v>5141</v>
      </c>
      <c r="P1349">
        <v>8</v>
      </c>
      <c r="Q1349">
        <v>0</v>
      </c>
      <c r="R1349" t="s">
        <v>31</v>
      </c>
      <c r="S1349" t="s">
        <v>31</v>
      </c>
      <c r="T1349" t="s">
        <v>32</v>
      </c>
      <c r="V1349" s="1" t="e">
        <v>#N/A</v>
      </c>
      <c r="W1349" t="s">
        <v>493</v>
      </c>
      <c r="X1349">
        <v>0</v>
      </c>
      <c r="Y1349">
        <v>537</v>
      </c>
      <c r="AA1349" t="str">
        <f t="shared" si="42"/>
        <v/>
      </c>
      <c r="AB1349" t="str">
        <f t="shared" si="43"/>
        <v/>
      </c>
    </row>
    <row r="1350" spans="1:28" x14ac:dyDescent="0.25">
      <c r="A1350" s="2">
        <v>1150</v>
      </c>
      <c r="B1350" t="s">
        <v>5142</v>
      </c>
      <c r="C1350" t="s">
        <v>64</v>
      </c>
      <c r="D1350" t="s">
        <v>2954</v>
      </c>
      <c r="E1350" t="s">
        <v>2705</v>
      </c>
      <c r="F1350" t="s">
        <v>5143</v>
      </c>
      <c r="G1350" s="1">
        <v>45523</v>
      </c>
      <c r="H1350" s="1">
        <v>45532</v>
      </c>
      <c r="I1350" s="1">
        <v>73050</v>
      </c>
      <c r="J1350" s="2" t="s">
        <v>357</v>
      </c>
      <c r="K1350" t="s">
        <v>5144</v>
      </c>
      <c r="M1350" s="16" t="s">
        <v>8551</v>
      </c>
      <c r="N1350" s="16" t="str">
        <f>VLOOKUP(M1350,Tab_Zast[[Zastávka]:[Sloupec1]],2,0)</f>
        <v>00</v>
      </c>
      <c r="O1350" t="s">
        <v>5145</v>
      </c>
      <c r="P1350">
        <v>3</v>
      </c>
      <c r="Q1350">
        <v>0</v>
      </c>
      <c r="R1350" t="s">
        <v>31</v>
      </c>
      <c r="S1350" t="s">
        <v>31</v>
      </c>
      <c r="T1350" t="s">
        <v>32</v>
      </c>
      <c r="V1350" s="1" t="e">
        <v>#N/A</v>
      </c>
      <c r="W1350" t="s">
        <v>493</v>
      </c>
      <c r="X1350">
        <v>0</v>
      </c>
      <c r="Y1350">
        <v>539</v>
      </c>
      <c r="AA1350" t="str">
        <f t="shared" si="42"/>
        <v/>
      </c>
      <c r="AB1350" t="str">
        <f t="shared" si="43"/>
        <v/>
      </c>
    </row>
    <row r="1351" spans="1:28" x14ac:dyDescent="0.25">
      <c r="A1351" s="2">
        <v>1153</v>
      </c>
      <c r="B1351" t="s">
        <v>5153</v>
      </c>
      <c r="C1351" t="s">
        <v>64</v>
      </c>
      <c r="D1351" t="s">
        <v>5154</v>
      </c>
      <c r="E1351" t="s">
        <v>5155</v>
      </c>
      <c r="F1351" t="s">
        <v>784</v>
      </c>
      <c r="G1351" s="1">
        <v>45523</v>
      </c>
      <c r="H1351" s="1">
        <v>45671</v>
      </c>
      <c r="I1351" s="1">
        <v>73050</v>
      </c>
      <c r="J1351" s="2" t="s">
        <v>357</v>
      </c>
      <c r="K1351" t="s">
        <v>5156</v>
      </c>
      <c r="M1351" s="16" t="s">
        <v>8551</v>
      </c>
      <c r="N1351" s="16" t="str">
        <f>VLOOKUP(M1351,Tab_Zast[[Zastávka]:[Sloupec1]],2,0)</f>
        <v>00</v>
      </c>
      <c r="O1351" t="s">
        <v>5157</v>
      </c>
      <c r="P1351">
        <v>4</v>
      </c>
      <c r="Q1351">
        <v>0</v>
      </c>
      <c r="R1351" t="s">
        <v>31</v>
      </c>
      <c r="S1351" t="s">
        <v>31</v>
      </c>
      <c r="T1351" t="s">
        <v>32</v>
      </c>
      <c r="V1351" s="1" t="e">
        <v>#N/A</v>
      </c>
      <c r="W1351" t="s">
        <v>62</v>
      </c>
      <c r="X1351">
        <v>0</v>
      </c>
      <c r="Y1351">
        <v>542</v>
      </c>
      <c r="AA1351" t="str">
        <f t="shared" si="42"/>
        <v/>
      </c>
      <c r="AB1351" t="str">
        <f t="shared" si="43"/>
        <v/>
      </c>
    </row>
    <row r="1352" spans="1:28" x14ac:dyDescent="0.25">
      <c r="A1352" s="2">
        <v>1154</v>
      </c>
      <c r="B1352" t="s">
        <v>5158</v>
      </c>
      <c r="C1352" t="s">
        <v>64</v>
      </c>
      <c r="D1352" t="s">
        <v>5154</v>
      </c>
      <c r="E1352" t="s">
        <v>737</v>
      </c>
      <c r="F1352" t="s">
        <v>176</v>
      </c>
      <c r="G1352" s="1">
        <v>45523</v>
      </c>
      <c r="H1352" s="1">
        <v>45671</v>
      </c>
      <c r="I1352" s="1">
        <v>73050</v>
      </c>
      <c r="J1352" s="2" t="s">
        <v>357</v>
      </c>
      <c r="K1352" t="s">
        <v>5159</v>
      </c>
      <c r="M1352" s="16" t="s">
        <v>8551</v>
      </c>
      <c r="N1352" s="16" t="str">
        <f>VLOOKUP(M1352,Tab_Zast[[Zastávka]:[Sloupec1]],2,0)</f>
        <v>00</v>
      </c>
      <c r="O1352" t="s">
        <v>5157</v>
      </c>
      <c r="P1352">
        <v>4</v>
      </c>
      <c r="Q1352">
        <v>0</v>
      </c>
      <c r="R1352" t="s">
        <v>31</v>
      </c>
      <c r="S1352" t="s">
        <v>31</v>
      </c>
      <c r="T1352" t="s">
        <v>32</v>
      </c>
      <c r="V1352" s="1" t="e">
        <v>#N/A</v>
      </c>
      <c r="W1352" t="s">
        <v>62</v>
      </c>
      <c r="X1352">
        <v>0</v>
      </c>
      <c r="Y1352">
        <v>543</v>
      </c>
      <c r="AA1352" t="str">
        <f t="shared" si="42"/>
        <v/>
      </c>
      <c r="AB1352" t="str">
        <f t="shared" si="43"/>
        <v/>
      </c>
    </row>
    <row r="1353" spans="1:28" x14ac:dyDescent="0.25">
      <c r="A1353" s="2">
        <v>1165</v>
      </c>
      <c r="B1353" t="s">
        <v>5200</v>
      </c>
      <c r="C1353" t="s">
        <v>1394</v>
      </c>
      <c r="D1353" t="s">
        <v>26</v>
      </c>
      <c r="E1353" t="s">
        <v>800</v>
      </c>
      <c r="F1353" t="s">
        <v>5201</v>
      </c>
      <c r="G1353" s="1">
        <v>45524</v>
      </c>
      <c r="H1353" s="1">
        <v>73050</v>
      </c>
      <c r="I1353" s="1" t="e">
        <v>#N/A</v>
      </c>
      <c r="J1353" s="2" t="s">
        <v>8481</v>
      </c>
      <c r="K1353" t="s">
        <v>5202</v>
      </c>
      <c r="M1353" s="16" t="s">
        <v>8482</v>
      </c>
      <c r="N1353" s="16" t="str">
        <f>VLOOKUP(M1353,Tab_Zast[[Zastávka]:[Sloupec1]],2,0)</f>
        <v>82</v>
      </c>
      <c r="O1353" t="s">
        <v>5203</v>
      </c>
      <c r="P1353">
        <v>9</v>
      </c>
      <c r="Q1353">
        <v>0</v>
      </c>
      <c r="R1353" t="s">
        <v>129</v>
      </c>
      <c r="S1353" t="s">
        <v>31</v>
      </c>
      <c r="T1353" t="s">
        <v>32</v>
      </c>
      <c r="V1353" s="1" t="e">
        <v>#N/A</v>
      </c>
      <c r="W1353" t="s">
        <v>3091</v>
      </c>
      <c r="X1353">
        <v>1</v>
      </c>
      <c r="Y1353">
        <v>554</v>
      </c>
      <c r="AA1353" t="str">
        <f t="shared" si="42"/>
        <v>update zamestnanci set nastup='82' where id='1165';</v>
      </c>
      <c r="AB1353" t="str">
        <f t="shared" si="43"/>
        <v>update dochazka set zastavka = '82' where zamestnanec = '1165';</v>
      </c>
    </row>
    <row r="1354" spans="1:28" x14ac:dyDescent="0.25">
      <c r="A1354" s="2">
        <v>1167</v>
      </c>
      <c r="B1354" t="s">
        <v>5208</v>
      </c>
      <c r="C1354" t="s">
        <v>1394</v>
      </c>
      <c r="D1354" t="s">
        <v>1123</v>
      </c>
      <c r="E1354" t="s">
        <v>3048</v>
      </c>
      <c r="F1354" t="s">
        <v>5209</v>
      </c>
      <c r="G1354" s="1">
        <v>45524</v>
      </c>
      <c r="H1354" s="1">
        <v>45562</v>
      </c>
      <c r="I1354" s="1">
        <v>73050</v>
      </c>
      <c r="J1354" s="2" t="s">
        <v>357</v>
      </c>
      <c r="K1354" t="s">
        <v>5210</v>
      </c>
      <c r="M1354" s="16" t="s">
        <v>8551</v>
      </c>
      <c r="N1354" s="16" t="str">
        <f>VLOOKUP(M1354,Tab_Zast[[Zastávka]:[Sloupec1]],2,0)</f>
        <v>00</v>
      </c>
      <c r="O1354" t="s">
        <v>5211</v>
      </c>
      <c r="P1354">
        <v>9</v>
      </c>
      <c r="Q1354">
        <v>0</v>
      </c>
      <c r="R1354" t="s">
        <v>31</v>
      </c>
      <c r="S1354" t="s">
        <v>31</v>
      </c>
      <c r="T1354" t="s">
        <v>32</v>
      </c>
      <c r="V1354" s="1" t="e">
        <v>#N/A</v>
      </c>
      <c r="W1354" t="s">
        <v>3091</v>
      </c>
      <c r="X1354">
        <v>0</v>
      </c>
      <c r="Y1354">
        <v>556</v>
      </c>
      <c r="Z1354" t="s">
        <v>54</v>
      </c>
      <c r="AA1354" t="str">
        <f t="shared" si="42"/>
        <v/>
      </c>
      <c r="AB1354" t="str">
        <f t="shared" si="43"/>
        <v/>
      </c>
    </row>
    <row r="1355" spans="1:28" x14ac:dyDescent="0.25">
      <c r="A1355" s="2">
        <v>1194</v>
      </c>
      <c r="B1355" t="s">
        <v>5312</v>
      </c>
      <c r="C1355" t="s">
        <v>1394</v>
      </c>
      <c r="D1355" t="s">
        <v>5313</v>
      </c>
      <c r="E1355" t="s">
        <v>2705</v>
      </c>
      <c r="F1355" t="s">
        <v>5209</v>
      </c>
      <c r="G1355" s="1">
        <v>45538</v>
      </c>
      <c r="H1355" s="1">
        <v>45625</v>
      </c>
      <c r="I1355" s="1">
        <v>73050</v>
      </c>
      <c r="J1355" s="2" t="s">
        <v>357</v>
      </c>
      <c r="K1355" t="s">
        <v>5314</v>
      </c>
      <c r="M1355" s="16" t="s">
        <v>8551</v>
      </c>
      <c r="N1355" s="16" t="str">
        <f>VLOOKUP(M1355,Tab_Zast[[Zastávka]:[Sloupec1]],2,0)</f>
        <v>00</v>
      </c>
      <c r="O1355" t="s">
        <v>5315</v>
      </c>
      <c r="P1355">
        <v>9</v>
      </c>
      <c r="Q1355">
        <v>0</v>
      </c>
      <c r="R1355" t="s">
        <v>31</v>
      </c>
      <c r="S1355" t="s">
        <v>31</v>
      </c>
      <c r="T1355" t="s">
        <v>32</v>
      </c>
      <c r="V1355" s="1" t="e">
        <v>#N/A</v>
      </c>
      <c r="W1355" t="s">
        <v>3091</v>
      </c>
      <c r="X1355">
        <v>0</v>
      </c>
      <c r="Y1355">
        <v>584</v>
      </c>
      <c r="Z1355" t="s">
        <v>54</v>
      </c>
      <c r="AA1355" t="str">
        <f t="shared" si="42"/>
        <v/>
      </c>
      <c r="AB1355" t="str">
        <f t="shared" si="43"/>
        <v/>
      </c>
    </row>
    <row r="1356" spans="1:28" x14ac:dyDescent="0.25">
      <c r="A1356" s="2">
        <v>1225</v>
      </c>
      <c r="B1356" t="s">
        <v>5444</v>
      </c>
      <c r="C1356" t="s">
        <v>1394</v>
      </c>
      <c r="D1356" t="s">
        <v>5445</v>
      </c>
      <c r="E1356" t="s">
        <v>701</v>
      </c>
      <c r="F1356" t="s">
        <v>4357</v>
      </c>
      <c r="G1356" s="1">
        <v>45547</v>
      </c>
      <c r="H1356" s="1">
        <v>45594</v>
      </c>
      <c r="I1356" s="1">
        <v>73050</v>
      </c>
      <c r="J1356" s="2" t="s">
        <v>357</v>
      </c>
      <c r="K1356" t="s">
        <v>5446</v>
      </c>
      <c r="M1356" s="16" t="s">
        <v>8551</v>
      </c>
      <c r="N1356" s="16" t="str">
        <f>VLOOKUP(M1356,Tab_Zast[[Zastávka]:[Sloupec1]],2,0)</f>
        <v>00</v>
      </c>
      <c r="O1356" t="s">
        <v>5447</v>
      </c>
      <c r="P1356">
        <v>9</v>
      </c>
      <c r="Q1356">
        <v>0</v>
      </c>
      <c r="R1356" t="s">
        <v>31</v>
      </c>
      <c r="S1356" t="s">
        <v>31</v>
      </c>
      <c r="T1356" t="s">
        <v>32</v>
      </c>
      <c r="V1356" s="1" t="e">
        <v>#N/A</v>
      </c>
      <c r="W1356" t="s">
        <v>3091</v>
      </c>
      <c r="X1356">
        <v>0</v>
      </c>
      <c r="Y1356">
        <v>616</v>
      </c>
      <c r="Z1356" t="s">
        <v>54</v>
      </c>
      <c r="AA1356" t="str">
        <f t="shared" si="42"/>
        <v/>
      </c>
      <c r="AB1356" t="str">
        <f t="shared" si="43"/>
        <v/>
      </c>
    </row>
    <row r="1357" spans="1:28" x14ac:dyDescent="0.25">
      <c r="A1357" s="2">
        <v>1239</v>
      </c>
      <c r="B1357" t="s">
        <v>5490</v>
      </c>
      <c r="C1357" t="s">
        <v>1394</v>
      </c>
      <c r="D1357" t="s">
        <v>5491</v>
      </c>
      <c r="E1357" t="s">
        <v>3533</v>
      </c>
      <c r="F1357" t="s">
        <v>569</v>
      </c>
      <c r="G1357" s="1">
        <v>45552</v>
      </c>
      <c r="H1357" s="1">
        <v>45747</v>
      </c>
      <c r="I1357" s="1">
        <v>73050</v>
      </c>
      <c r="J1357" s="2" t="s">
        <v>8318</v>
      </c>
      <c r="K1357" t="s">
        <v>5492</v>
      </c>
      <c r="M1357" s="16" t="s">
        <v>8319</v>
      </c>
      <c r="N1357" s="16" t="str">
        <f>VLOOKUP(M1357,Tab_Zast[[Zastávka]:[Sloupec1]],2,0)</f>
        <v>24</v>
      </c>
      <c r="O1357" t="s">
        <v>5493</v>
      </c>
      <c r="P1357">
        <v>9</v>
      </c>
      <c r="Q1357">
        <v>0</v>
      </c>
      <c r="R1357" t="s">
        <v>31</v>
      </c>
      <c r="S1357" t="s">
        <v>31</v>
      </c>
      <c r="T1357" t="s">
        <v>32</v>
      </c>
      <c r="V1357" s="1" t="e">
        <v>#N/A</v>
      </c>
      <c r="W1357" t="s">
        <v>3091</v>
      </c>
      <c r="X1357">
        <v>0</v>
      </c>
      <c r="Y1357">
        <v>630</v>
      </c>
      <c r="AA1357" t="str">
        <f t="shared" si="42"/>
        <v>update zamestnanci set nastup='24' where id='1239';</v>
      </c>
      <c r="AB1357" t="str">
        <f t="shared" si="43"/>
        <v>update dochazka set zastavka = '24' where zamestnanec = '1239';</v>
      </c>
    </row>
    <row r="1358" spans="1:28" x14ac:dyDescent="0.25">
      <c r="A1358" s="2">
        <v>1260</v>
      </c>
      <c r="B1358" t="s">
        <v>5575</v>
      </c>
      <c r="C1358" t="s">
        <v>1394</v>
      </c>
      <c r="D1358" t="s">
        <v>5576</v>
      </c>
      <c r="E1358" t="s">
        <v>5577</v>
      </c>
      <c r="F1358" t="s">
        <v>5209</v>
      </c>
      <c r="G1358" s="1">
        <v>45559</v>
      </c>
      <c r="H1358" s="1">
        <v>45559</v>
      </c>
      <c r="I1358" s="1">
        <v>45559</v>
      </c>
      <c r="J1358" s="2" t="s">
        <v>357</v>
      </c>
      <c r="K1358" t="s">
        <v>5578</v>
      </c>
      <c r="M1358" s="16" t="s">
        <v>8551</v>
      </c>
      <c r="N1358" s="16" t="str">
        <f>VLOOKUP(M1358,Tab_Zast[[Zastávka]:[Sloupec1]],2,0)</f>
        <v>00</v>
      </c>
      <c r="O1358" t="s">
        <v>5579</v>
      </c>
      <c r="P1358">
        <v>9</v>
      </c>
      <c r="Q1358">
        <v>0</v>
      </c>
      <c r="R1358" t="s">
        <v>31</v>
      </c>
      <c r="S1358" t="s">
        <v>31</v>
      </c>
      <c r="T1358" t="s">
        <v>32</v>
      </c>
      <c r="V1358" s="1" t="e">
        <v>#N/A</v>
      </c>
      <c r="W1358" t="s">
        <v>3091</v>
      </c>
      <c r="X1358">
        <v>0</v>
      </c>
      <c r="Y1358">
        <v>651</v>
      </c>
      <c r="Z1358" t="s">
        <v>54</v>
      </c>
      <c r="AA1358" t="str">
        <f t="shared" si="42"/>
        <v/>
      </c>
      <c r="AB1358" t="str">
        <f t="shared" si="43"/>
        <v/>
      </c>
    </row>
    <row r="1359" spans="1:28" x14ac:dyDescent="0.25">
      <c r="A1359" s="2">
        <v>1261</v>
      </c>
      <c r="B1359" t="s">
        <v>5580</v>
      </c>
      <c r="C1359" t="s">
        <v>1394</v>
      </c>
      <c r="D1359" t="s">
        <v>2226</v>
      </c>
      <c r="E1359" t="s">
        <v>643</v>
      </c>
      <c r="F1359" t="s">
        <v>5581</v>
      </c>
      <c r="G1359" s="1">
        <v>45559</v>
      </c>
      <c r="H1359" s="1" t="e">
        <v>#N/A</v>
      </c>
      <c r="I1359" s="1" t="e">
        <v>#N/A</v>
      </c>
      <c r="J1359" s="2" t="s">
        <v>8290</v>
      </c>
      <c r="K1359" t="s">
        <v>5582</v>
      </c>
      <c r="M1359" s="16" t="s">
        <v>8291</v>
      </c>
      <c r="N1359" s="16" t="str">
        <f>VLOOKUP(M1359,Tab_Zast[[Zastávka]:[Sloupec1]],2,0)</f>
        <v>13</v>
      </c>
      <c r="O1359" t="s">
        <v>5583</v>
      </c>
      <c r="P1359">
        <v>9</v>
      </c>
      <c r="Q1359">
        <v>0</v>
      </c>
      <c r="R1359" t="s">
        <v>129</v>
      </c>
      <c r="S1359" t="s">
        <v>31</v>
      </c>
      <c r="T1359" t="s">
        <v>32</v>
      </c>
      <c r="V1359" s="1" t="e">
        <v>#N/A</v>
      </c>
      <c r="W1359" t="s">
        <v>3091</v>
      </c>
      <c r="X1359">
        <v>1</v>
      </c>
      <c r="Y1359">
        <v>652</v>
      </c>
      <c r="AA1359" t="str">
        <f t="shared" si="42"/>
        <v>update zamestnanci set nastup='13' where id='1261';</v>
      </c>
      <c r="AB1359" t="str">
        <f t="shared" si="43"/>
        <v>update dochazka set zastavka = '13' where zamestnanec = '1261';</v>
      </c>
    </row>
    <row r="1360" spans="1:28" x14ac:dyDescent="0.25">
      <c r="A1360" s="2">
        <v>1316</v>
      </c>
      <c r="B1360" t="s">
        <v>5802</v>
      </c>
      <c r="C1360" t="s">
        <v>1394</v>
      </c>
      <c r="D1360" t="s">
        <v>5803</v>
      </c>
      <c r="E1360" t="s">
        <v>2705</v>
      </c>
      <c r="F1360" t="s">
        <v>5214</v>
      </c>
      <c r="G1360" s="1">
        <v>45580</v>
      </c>
      <c r="H1360" s="1">
        <v>45595</v>
      </c>
      <c r="I1360" s="1">
        <v>73050</v>
      </c>
      <c r="J1360" s="2" t="s">
        <v>357</v>
      </c>
      <c r="K1360" t="s">
        <v>5804</v>
      </c>
      <c r="M1360" s="16" t="s">
        <v>8551</v>
      </c>
      <c r="N1360" s="16" t="str">
        <f>VLOOKUP(M1360,Tab_Zast[[Zastávka]:[Sloupec1]],2,0)</f>
        <v>00</v>
      </c>
      <c r="O1360" t="s">
        <v>5805</v>
      </c>
      <c r="P1360">
        <v>9</v>
      </c>
      <c r="Q1360">
        <v>0</v>
      </c>
      <c r="R1360" t="s">
        <v>31</v>
      </c>
      <c r="S1360" t="s">
        <v>31</v>
      </c>
      <c r="T1360" t="s">
        <v>32</v>
      </c>
      <c r="V1360" s="1" t="e">
        <v>#N/A</v>
      </c>
      <c r="W1360" t="s">
        <v>3091</v>
      </c>
      <c r="X1360">
        <v>0</v>
      </c>
      <c r="Y1360">
        <v>706</v>
      </c>
      <c r="Z1360" t="s">
        <v>54</v>
      </c>
      <c r="AA1360" t="str">
        <f t="shared" si="42"/>
        <v/>
      </c>
      <c r="AB1360" t="str">
        <f t="shared" si="43"/>
        <v/>
      </c>
    </row>
    <row r="1361" spans="1:28" x14ac:dyDescent="0.25">
      <c r="A1361" s="2">
        <v>1351</v>
      </c>
      <c r="B1361" t="s">
        <v>5938</v>
      </c>
      <c r="C1361" t="s">
        <v>1394</v>
      </c>
      <c r="D1361" t="s">
        <v>5939</v>
      </c>
      <c r="E1361" t="s">
        <v>2705</v>
      </c>
      <c r="F1361" t="s">
        <v>1394</v>
      </c>
      <c r="G1361" s="1">
        <v>45601</v>
      </c>
      <c r="H1361" s="1">
        <v>45601</v>
      </c>
      <c r="I1361" s="1">
        <v>45601</v>
      </c>
      <c r="J1361" s="2" t="s">
        <v>357</v>
      </c>
      <c r="K1361" t="s">
        <v>5940</v>
      </c>
      <c r="M1361" s="16" t="s">
        <v>8551</v>
      </c>
      <c r="N1361" s="16" t="str">
        <f>VLOOKUP(M1361,Tab_Zast[[Zastávka]:[Sloupec1]],2,0)</f>
        <v>00</v>
      </c>
      <c r="O1361" t="s">
        <v>5941</v>
      </c>
      <c r="P1361">
        <v>9</v>
      </c>
      <c r="Q1361">
        <v>0</v>
      </c>
      <c r="R1361" t="s">
        <v>31</v>
      </c>
      <c r="S1361" t="s">
        <v>31</v>
      </c>
      <c r="T1361" t="s">
        <v>32</v>
      </c>
      <c r="V1361" s="1" t="e">
        <v>#N/A</v>
      </c>
      <c r="W1361" t="s">
        <v>3091</v>
      </c>
      <c r="X1361">
        <v>0</v>
      </c>
      <c r="Y1361">
        <v>741</v>
      </c>
      <c r="Z1361" t="s">
        <v>54</v>
      </c>
      <c r="AA1361" t="str">
        <f t="shared" si="42"/>
        <v/>
      </c>
      <c r="AB1361" t="str">
        <f t="shared" si="43"/>
        <v/>
      </c>
    </row>
    <row r="1362" spans="1:28" x14ac:dyDescent="0.25">
      <c r="A1362" s="2">
        <v>1371</v>
      </c>
      <c r="B1362" t="s">
        <v>6010</v>
      </c>
      <c r="C1362" t="s">
        <v>1394</v>
      </c>
      <c r="D1362" t="s">
        <v>6011</v>
      </c>
      <c r="E1362" t="s">
        <v>731</v>
      </c>
      <c r="F1362" t="s">
        <v>6012</v>
      </c>
      <c r="G1362" s="1">
        <v>45610</v>
      </c>
      <c r="H1362" s="1">
        <v>73050</v>
      </c>
      <c r="I1362" s="1" t="e">
        <v>#N/A</v>
      </c>
      <c r="J1362" s="2" t="s">
        <v>267</v>
      </c>
      <c r="K1362" t="s">
        <v>6013</v>
      </c>
      <c r="M1362" s="16" t="s">
        <v>8305</v>
      </c>
      <c r="N1362" s="16" t="str">
        <f>VLOOKUP(M1362,Tab_Zast[[Zastávka]:[Sloupec1]],2,0)</f>
        <v>18</v>
      </c>
      <c r="O1362" t="s">
        <v>6014</v>
      </c>
      <c r="P1362">
        <v>9</v>
      </c>
      <c r="Q1362">
        <v>0</v>
      </c>
      <c r="R1362" t="s">
        <v>129</v>
      </c>
      <c r="S1362" t="s">
        <v>31</v>
      </c>
      <c r="T1362" t="s">
        <v>32</v>
      </c>
      <c r="V1362" s="1" t="e">
        <v>#N/A</v>
      </c>
      <c r="W1362" t="s">
        <v>3091</v>
      </c>
      <c r="X1362">
        <v>1</v>
      </c>
      <c r="Y1362">
        <v>764</v>
      </c>
      <c r="AA1362" t="str">
        <f t="shared" si="42"/>
        <v>update zamestnanci set nastup='18' where id='1371';</v>
      </c>
      <c r="AB1362" t="str">
        <f t="shared" si="43"/>
        <v>update dochazka set zastavka = '18' where zamestnanec = '1371';</v>
      </c>
    </row>
    <row r="1363" spans="1:28" x14ac:dyDescent="0.25">
      <c r="A1363" s="2">
        <v>1372</v>
      </c>
      <c r="B1363" t="s">
        <v>6015</v>
      </c>
      <c r="C1363" t="s">
        <v>1394</v>
      </c>
      <c r="D1363" t="s">
        <v>909</v>
      </c>
      <c r="E1363" t="s">
        <v>3533</v>
      </c>
      <c r="F1363" t="s">
        <v>569</v>
      </c>
      <c r="G1363" s="1">
        <v>45610</v>
      </c>
      <c r="H1363" s="1">
        <v>45790</v>
      </c>
      <c r="I1363" s="1">
        <v>73050</v>
      </c>
      <c r="J1363" s="2" t="s">
        <v>267</v>
      </c>
      <c r="K1363" t="s">
        <v>6016</v>
      </c>
      <c r="M1363" s="16" t="s">
        <v>8305</v>
      </c>
      <c r="N1363" s="16" t="str">
        <f>VLOOKUP(M1363,Tab_Zast[[Zastávka]:[Sloupec1]],2,0)</f>
        <v>18</v>
      </c>
      <c r="O1363" t="s">
        <v>6017</v>
      </c>
      <c r="P1363">
        <v>9</v>
      </c>
      <c r="Q1363">
        <v>0</v>
      </c>
      <c r="R1363" t="s">
        <v>31</v>
      </c>
      <c r="S1363" t="s">
        <v>31</v>
      </c>
      <c r="T1363" t="s">
        <v>32</v>
      </c>
      <c r="V1363" s="1" t="e">
        <v>#N/A</v>
      </c>
      <c r="W1363" t="s">
        <v>3091</v>
      </c>
      <c r="X1363">
        <v>0</v>
      </c>
      <c r="Y1363">
        <v>765</v>
      </c>
      <c r="AA1363" t="str">
        <f t="shared" si="42"/>
        <v>update zamestnanci set nastup='18' where id='1372';</v>
      </c>
      <c r="AB1363" t="str">
        <f t="shared" si="43"/>
        <v>update dochazka set zastavka = '18' where zamestnanec = '1372';</v>
      </c>
    </row>
    <row r="1364" spans="1:28" x14ac:dyDescent="0.25">
      <c r="A1364" s="2">
        <v>1375</v>
      </c>
      <c r="B1364" t="s">
        <v>6028</v>
      </c>
      <c r="C1364" t="s">
        <v>1394</v>
      </c>
      <c r="D1364" t="s">
        <v>6029</v>
      </c>
      <c r="E1364" t="s">
        <v>3432</v>
      </c>
      <c r="F1364" t="s">
        <v>5214</v>
      </c>
      <c r="G1364" s="1">
        <v>45610</v>
      </c>
      <c r="H1364" s="1">
        <v>45621</v>
      </c>
      <c r="I1364" s="1">
        <v>73050</v>
      </c>
      <c r="J1364" s="2" t="s">
        <v>357</v>
      </c>
      <c r="K1364" t="s">
        <v>6030</v>
      </c>
      <c r="M1364" s="16" t="s">
        <v>8551</v>
      </c>
      <c r="N1364" s="16" t="str">
        <f>VLOOKUP(M1364,Tab_Zast[[Zastávka]:[Sloupec1]],2,0)</f>
        <v>00</v>
      </c>
      <c r="O1364" t="s">
        <v>6031</v>
      </c>
      <c r="P1364">
        <v>9</v>
      </c>
      <c r="Q1364">
        <v>0</v>
      </c>
      <c r="R1364" t="s">
        <v>31</v>
      </c>
      <c r="S1364" t="s">
        <v>31</v>
      </c>
      <c r="T1364" t="s">
        <v>32</v>
      </c>
      <c r="V1364" s="1" t="e">
        <v>#N/A</v>
      </c>
      <c r="W1364" t="s">
        <v>3091</v>
      </c>
      <c r="X1364">
        <v>0</v>
      </c>
      <c r="Y1364">
        <v>757</v>
      </c>
      <c r="Z1364" t="s">
        <v>54</v>
      </c>
      <c r="AA1364" t="str">
        <f t="shared" si="42"/>
        <v/>
      </c>
      <c r="AB1364" t="str">
        <f t="shared" si="43"/>
        <v/>
      </c>
    </row>
    <row r="1365" spans="1:28" x14ac:dyDescent="0.25">
      <c r="A1365" s="2">
        <v>1508</v>
      </c>
      <c r="B1365" t="s">
        <v>6543</v>
      </c>
      <c r="C1365" t="s">
        <v>64</v>
      </c>
      <c r="D1365" t="s">
        <v>6544</v>
      </c>
      <c r="E1365" t="s">
        <v>3152</v>
      </c>
      <c r="F1365" t="s">
        <v>6545</v>
      </c>
      <c r="G1365" s="1">
        <v>45726</v>
      </c>
      <c r="H1365" s="1">
        <v>45742</v>
      </c>
      <c r="I1365" s="1">
        <v>73050</v>
      </c>
      <c r="J1365" s="2" t="s">
        <v>357</v>
      </c>
      <c r="K1365" t="s">
        <v>6546</v>
      </c>
      <c r="M1365" s="16" t="s">
        <v>8551</v>
      </c>
      <c r="N1365" s="16" t="str">
        <f>VLOOKUP(M1365,Tab_Zast[[Zastávka]:[Sloupec1]],2,0)</f>
        <v>00</v>
      </c>
      <c r="O1365" t="s">
        <v>6547</v>
      </c>
      <c r="P1365">
        <v>8</v>
      </c>
      <c r="Q1365">
        <v>0</v>
      </c>
      <c r="R1365" t="s">
        <v>31</v>
      </c>
      <c r="S1365" t="s">
        <v>31</v>
      </c>
      <c r="T1365" t="s">
        <v>32</v>
      </c>
      <c r="V1365" s="1">
        <v>45742</v>
      </c>
      <c r="W1365" t="s">
        <v>3023</v>
      </c>
      <c r="X1365">
        <v>0</v>
      </c>
      <c r="Y1365">
        <v>902</v>
      </c>
      <c r="AA1365" t="str">
        <f t="shared" si="42"/>
        <v/>
      </c>
      <c r="AB1365" t="str">
        <f t="shared" si="43"/>
        <v/>
      </c>
    </row>
    <row r="1366" spans="1:28" x14ac:dyDescent="0.25">
      <c r="A1366" s="2">
        <v>1526</v>
      </c>
      <c r="B1366" t="s">
        <v>6603</v>
      </c>
      <c r="C1366" t="s">
        <v>64</v>
      </c>
      <c r="D1366" t="s">
        <v>6604</v>
      </c>
      <c r="E1366" t="s">
        <v>4899</v>
      </c>
      <c r="F1366" t="s">
        <v>6605</v>
      </c>
      <c r="G1366" s="1">
        <v>45730</v>
      </c>
      <c r="H1366" s="1">
        <v>45758</v>
      </c>
      <c r="I1366" s="1">
        <v>73050</v>
      </c>
      <c r="J1366" s="2" t="s">
        <v>2410</v>
      </c>
      <c r="K1366" t="s">
        <v>6606</v>
      </c>
      <c r="M1366" s="16" t="s">
        <v>8539</v>
      </c>
      <c r="N1366" s="16" t="str">
        <f>VLOOKUP(M1366,Tab_Zast[[Zastávka]:[Sloupec1]],2,0)</f>
        <v>104</v>
      </c>
      <c r="O1366" t="s">
        <v>6607</v>
      </c>
      <c r="P1366">
        <v>4</v>
      </c>
      <c r="Q1366">
        <v>0</v>
      </c>
      <c r="R1366" t="s">
        <v>31</v>
      </c>
      <c r="S1366" t="s">
        <v>31</v>
      </c>
      <c r="T1366" t="s">
        <v>32</v>
      </c>
      <c r="V1366" s="1" t="e">
        <v>#N/A</v>
      </c>
      <c r="W1366" t="s">
        <v>2729</v>
      </c>
      <c r="X1366">
        <v>0</v>
      </c>
      <c r="Y1366">
        <v>920</v>
      </c>
      <c r="AA1366" t="str">
        <f t="shared" si="42"/>
        <v>update zamestnanci set nastup='104' where id='1526';</v>
      </c>
      <c r="AB1366" t="str">
        <f t="shared" si="43"/>
        <v>update dochazka set zastavka = '104' where zamestnanec = '1526';</v>
      </c>
    </row>
    <row r="1367" spans="1:28" x14ac:dyDescent="0.25">
      <c r="A1367" s="2">
        <v>1556</v>
      </c>
      <c r="B1367" t="s">
        <v>6720</v>
      </c>
      <c r="C1367" t="s">
        <v>64</v>
      </c>
      <c r="D1367" t="s">
        <v>6721</v>
      </c>
      <c r="E1367" t="s">
        <v>2973</v>
      </c>
      <c r="F1367" t="s">
        <v>569</v>
      </c>
      <c r="G1367" s="1">
        <v>45748</v>
      </c>
      <c r="H1367" s="1">
        <v>45748</v>
      </c>
      <c r="I1367" s="1">
        <v>45748</v>
      </c>
      <c r="J1367" s="2" t="s">
        <v>357</v>
      </c>
      <c r="K1367" t="s">
        <v>6722</v>
      </c>
      <c r="M1367" s="16" t="s">
        <v>8551</v>
      </c>
      <c r="N1367" s="16" t="str">
        <f>VLOOKUP(M1367,Tab_Zast[[Zastávka]:[Sloupec1]],2,0)</f>
        <v>00</v>
      </c>
      <c r="O1367" t="s">
        <v>6723</v>
      </c>
      <c r="P1367">
        <v>6</v>
      </c>
      <c r="Q1367">
        <v>0</v>
      </c>
      <c r="R1367" t="s">
        <v>31</v>
      </c>
      <c r="S1367" t="s">
        <v>31</v>
      </c>
      <c r="T1367" t="s">
        <v>32</v>
      </c>
      <c r="V1367" s="1" t="e">
        <v>#N/A</v>
      </c>
      <c r="W1367" t="s">
        <v>1216</v>
      </c>
      <c r="X1367">
        <v>0</v>
      </c>
      <c r="Y1367">
        <v>949</v>
      </c>
      <c r="AA1367" t="str">
        <f t="shared" si="42"/>
        <v/>
      </c>
      <c r="AB1367" t="str">
        <f t="shared" si="43"/>
        <v/>
      </c>
    </row>
    <row r="1368" spans="1:28" x14ac:dyDescent="0.25">
      <c r="A1368" s="2">
        <v>1557</v>
      </c>
      <c r="B1368" t="s">
        <v>6724</v>
      </c>
      <c r="C1368" t="s">
        <v>64</v>
      </c>
      <c r="D1368" t="s">
        <v>6721</v>
      </c>
      <c r="E1368" t="s">
        <v>2096</v>
      </c>
      <c r="F1368" t="s">
        <v>64</v>
      </c>
      <c r="G1368" s="1">
        <v>45748</v>
      </c>
      <c r="H1368" s="1">
        <v>45748</v>
      </c>
      <c r="I1368" s="1">
        <v>45748</v>
      </c>
      <c r="J1368" s="2" t="s">
        <v>357</v>
      </c>
      <c r="K1368" t="s">
        <v>6722</v>
      </c>
      <c r="M1368" s="16" t="s">
        <v>8551</v>
      </c>
      <c r="N1368" s="16" t="str">
        <f>VLOOKUP(M1368,Tab_Zast[[Zastávka]:[Sloupec1]],2,0)</f>
        <v>00</v>
      </c>
      <c r="O1368" t="s">
        <v>6723</v>
      </c>
      <c r="P1368">
        <v>6</v>
      </c>
      <c r="Q1368">
        <v>0</v>
      </c>
      <c r="R1368" t="s">
        <v>31</v>
      </c>
      <c r="S1368" t="s">
        <v>31</v>
      </c>
      <c r="T1368" t="s">
        <v>32</v>
      </c>
      <c r="V1368" s="1" t="e">
        <v>#N/A</v>
      </c>
      <c r="W1368" t="s">
        <v>1216</v>
      </c>
      <c r="X1368">
        <v>0</v>
      </c>
      <c r="Y1368">
        <v>950</v>
      </c>
      <c r="AA1368" t="str">
        <f t="shared" si="42"/>
        <v/>
      </c>
      <c r="AB1368" t="str">
        <f t="shared" si="43"/>
        <v/>
      </c>
    </row>
    <row r="1369" spans="1:28" x14ac:dyDescent="0.25">
      <c r="A1369" s="2">
        <v>1612</v>
      </c>
      <c r="B1369" t="s">
        <v>6925</v>
      </c>
      <c r="C1369" t="s">
        <v>64</v>
      </c>
      <c r="D1369" t="s">
        <v>2657</v>
      </c>
      <c r="E1369" t="s">
        <v>2960</v>
      </c>
      <c r="F1369" t="s">
        <v>6926</v>
      </c>
      <c r="G1369" s="1">
        <v>45775</v>
      </c>
      <c r="H1369" s="1">
        <v>45779</v>
      </c>
      <c r="I1369" s="1">
        <v>73050</v>
      </c>
      <c r="J1369" s="2" t="s">
        <v>2410</v>
      </c>
      <c r="K1369" t="s">
        <v>6927</v>
      </c>
      <c r="M1369" s="16" t="s">
        <v>8539</v>
      </c>
      <c r="N1369" s="16" t="str">
        <f>VLOOKUP(M1369,Tab_Zast[[Zastávka]:[Sloupec1]],2,0)</f>
        <v>104</v>
      </c>
      <c r="O1369" t="s">
        <v>6928</v>
      </c>
      <c r="P1369">
        <v>4</v>
      </c>
      <c r="Q1369">
        <v>0</v>
      </c>
      <c r="R1369" t="s">
        <v>31</v>
      </c>
      <c r="S1369" t="s">
        <v>31</v>
      </c>
      <c r="T1369" t="s">
        <v>32</v>
      </c>
      <c r="V1369" s="1">
        <v>45782</v>
      </c>
      <c r="W1369" t="s">
        <v>2729</v>
      </c>
      <c r="X1369">
        <v>0</v>
      </c>
      <c r="Y1369">
        <v>999</v>
      </c>
      <c r="AA1369" t="str">
        <f t="shared" si="42"/>
        <v>update zamestnanci set nastup='104' where id='1612';</v>
      </c>
      <c r="AB1369" t="str">
        <f t="shared" si="43"/>
        <v>update dochazka set zastavka = '104' where zamestnanec = '1612';</v>
      </c>
    </row>
    <row r="1370" spans="1:28" x14ac:dyDescent="0.25">
      <c r="A1370" s="2">
        <v>1658</v>
      </c>
      <c r="B1370" t="s">
        <v>7085</v>
      </c>
      <c r="C1370" t="s">
        <v>7085</v>
      </c>
      <c r="D1370" t="s">
        <v>7082</v>
      </c>
      <c r="E1370" t="s">
        <v>86</v>
      </c>
      <c r="F1370" t="s">
        <v>7086</v>
      </c>
      <c r="G1370" s="1">
        <v>45803</v>
      </c>
      <c r="H1370" s="1" t="e">
        <v>#N/A</v>
      </c>
      <c r="I1370" s="1" t="e">
        <v>#N/A</v>
      </c>
      <c r="J1370" s="2" t="s">
        <v>8413</v>
      </c>
      <c r="K1370" t="s">
        <v>7083</v>
      </c>
      <c r="M1370" s="16" t="s">
        <v>8414</v>
      </c>
      <c r="N1370" s="16" t="str">
        <f>VLOOKUP(M1370,Tab_Zast[[Zastávka]:[Sloupec1]],2,0)</f>
        <v>60</v>
      </c>
      <c r="O1370" t="s">
        <v>7084</v>
      </c>
      <c r="P1370">
        <v>8</v>
      </c>
      <c r="Q1370">
        <v>0</v>
      </c>
      <c r="R1370" t="s">
        <v>129</v>
      </c>
      <c r="S1370" t="s">
        <v>31</v>
      </c>
      <c r="T1370" t="s">
        <v>32</v>
      </c>
      <c r="V1370" s="1" t="e">
        <v>#N/A</v>
      </c>
      <c r="W1370" t="s">
        <v>493</v>
      </c>
      <c r="X1370">
        <v>1</v>
      </c>
      <c r="Y1370">
        <v>0</v>
      </c>
      <c r="AA1370" t="str">
        <f t="shared" si="42"/>
        <v>update zamestnanci set nastup='60' where id='1658';</v>
      </c>
      <c r="AB1370" t="str">
        <f t="shared" si="43"/>
        <v>update dochazka set zastavka = '60' where zamestnanec = '1658';</v>
      </c>
    </row>
    <row r="1371" spans="1:28" x14ac:dyDescent="0.25">
      <c r="A1371" s="2">
        <v>1684</v>
      </c>
      <c r="B1371" t="s">
        <v>64</v>
      </c>
      <c r="C1371" t="s">
        <v>569</v>
      </c>
      <c r="D1371" t="s">
        <v>7175</v>
      </c>
      <c r="E1371" t="s">
        <v>755</v>
      </c>
      <c r="F1371" t="s">
        <v>7160</v>
      </c>
      <c r="G1371" s="1">
        <v>45824</v>
      </c>
      <c r="H1371" s="1" t="e">
        <v>#N/A</v>
      </c>
      <c r="I1371" s="1" t="e">
        <v>#N/A</v>
      </c>
      <c r="J1371" s="2" t="s">
        <v>8426</v>
      </c>
      <c r="K1371" t="s">
        <v>7176</v>
      </c>
      <c r="M1371" s="16" t="s">
        <v>8427</v>
      </c>
      <c r="N1371" s="16" t="str">
        <f>VLOOKUP(M1371,Tab_Zast[[Zastávka]:[Sloupec1]],2,0)</f>
        <v>67</v>
      </c>
      <c r="O1371" t="s">
        <v>7177</v>
      </c>
      <c r="P1371">
        <v>8</v>
      </c>
      <c r="Q1371">
        <v>0</v>
      </c>
      <c r="R1371" t="s">
        <v>129</v>
      </c>
      <c r="S1371" t="s">
        <v>179</v>
      </c>
      <c r="T1371" t="s">
        <v>32</v>
      </c>
      <c r="V1371" s="1" t="e">
        <v>#N/A</v>
      </c>
      <c r="W1371" t="s">
        <v>3023</v>
      </c>
      <c r="X1371">
        <v>1</v>
      </c>
      <c r="Y1371">
        <v>1076</v>
      </c>
      <c r="AA1371" t="str">
        <f t="shared" si="42"/>
        <v>update zamestnanci set nastup='67' where id='1684';</v>
      </c>
      <c r="AB1371" t="str">
        <f t="shared" si="43"/>
        <v>update dochazka set zastavka = '67' where zamestnanec = '1684';</v>
      </c>
    </row>
    <row r="1372" spans="1:28" x14ac:dyDescent="0.25">
      <c r="A1372" s="2">
        <v>1748</v>
      </c>
      <c r="B1372" t="s">
        <v>7407</v>
      </c>
      <c r="C1372" t="s">
        <v>64</v>
      </c>
      <c r="D1372" t="s">
        <v>7408</v>
      </c>
      <c r="E1372" t="s">
        <v>5189</v>
      </c>
      <c r="F1372" t="s">
        <v>7409</v>
      </c>
      <c r="G1372" s="1">
        <v>45861</v>
      </c>
      <c r="H1372" s="1">
        <v>45894</v>
      </c>
      <c r="I1372" s="1">
        <v>73050</v>
      </c>
      <c r="J1372" s="2" t="s">
        <v>357</v>
      </c>
      <c r="K1372" t="s">
        <v>7410</v>
      </c>
      <c r="M1372" s="16" t="s">
        <v>8551</v>
      </c>
      <c r="N1372" s="16" t="str">
        <f>VLOOKUP(M1372,Tab_Zast[[Zastávka]:[Sloupec1]],2,0)</f>
        <v>00</v>
      </c>
      <c r="O1372" t="s">
        <v>7411</v>
      </c>
      <c r="P1372">
        <v>10</v>
      </c>
      <c r="Q1372">
        <v>0</v>
      </c>
      <c r="R1372" t="s">
        <v>31</v>
      </c>
      <c r="S1372" t="s">
        <v>31</v>
      </c>
      <c r="T1372" t="s">
        <v>32</v>
      </c>
      <c r="V1372" s="1" t="e">
        <v>#N/A</v>
      </c>
      <c r="W1372" t="s">
        <v>7412</v>
      </c>
      <c r="X1372">
        <v>0</v>
      </c>
      <c r="Y1372">
        <v>1146</v>
      </c>
      <c r="AA1372" t="str">
        <f t="shared" si="42"/>
        <v/>
      </c>
      <c r="AB1372" t="str">
        <f t="shared" si="43"/>
        <v/>
      </c>
    </row>
    <row r="1373" spans="1:28" x14ac:dyDescent="0.25">
      <c r="A1373" s="2">
        <v>1753</v>
      </c>
      <c r="B1373" t="s">
        <v>7430</v>
      </c>
      <c r="C1373" t="s">
        <v>64</v>
      </c>
      <c r="D1373" t="s">
        <v>1633</v>
      </c>
      <c r="E1373" t="s">
        <v>3204</v>
      </c>
      <c r="F1373" t="s">
        <v>7431</v>
      </c>
      <c r="G1373" s="1">
        <v>45861</v>
      </c>
      <c r="H1373" s="1">
        <v>45866</v>
      </c>
      <c r="I1373" s="1">
        <v>73050</v>
      </c>
      <c r="J1373" s="2" t="s">
        <v>8531</v>
      </c>
      <c r="K1373" t="s">
        <v>7432</v>
      </c>
      <c r="M1373" s="16" t="s">
        <v>8532</v>
      </c>
      <c r="N1373" s="16" t="str">
        <f>VLOOKUP(M1373,Tab_Zast[[Zastávka]:[Sloupec1]],2,0)</f>
        <v>101</v>
      </c>
      <c r="O1373" t="s">
        <v>7433</v>
      </c>
      <c r="P1373">
        <v>10</v>
      </c>
      <c r="Q1373">
        <v>0</v>
      </c>
      <c r="R1373" t="s">
        <v>31</v>
      </c>
      <c r="S1373" t="s">
        <v>31</v>
      </c>
      <c r="T1373" t="s">
        <v>32</v>
      </c>
      <c r="V1373" s="1" t="e">
        <v>#N/A</v>
      </c>
      <c r="X1373">
        <v>0</v>
      </c>
      <c r="Y1373">
        <v>1145</v>
      </c>
      <c r="AA1373" t="str">
        <f t="shared" si="42"/>
        <v>update zamestnanci set nastup='101' where id='1753';</v>
      </c>
      <c r="AB1373" t="str">
        <f t="shared" si="43"/>
        <v>update dochazka set zastavka = '101' where zamestnanec = '1753';</v>
      </c>
    </row>
    <row r="1374" spans="1:28" x14ac:dyDescent="0.25">
      <c r="A1374" s="2">
        <v>1761</v>
      </c>
      <c r="B1374" t="s">
        <v>7464</v>
      </c>
      <c r="C1374" t="s">
        <v>64</v>
      </c>
      <c r="D1374" t="s">
        <v>7465</v>
      </c>
      <c r="E1374" t="s">
        <v>4461</v>
      </c>
      <c r="F1374" t="s">
        <v>7271</v>
      </c>
      <c r="G1374" s="1">
        <v>45861</v>
      </c>
      <c r="H1374" s="1">
        <v>45937</v>
      </c>
      <c r="I1374" s="1">
        <v>73050</v>
      </c>
      <c r="J1374" s="2" t="s">
        <v>357</v>
      </c>
      <c r="K1374" t="s">
        <v>7466</v>
      </c>
      <c r="M1374" s="16" t="s">
        <v>8551</v>
      </c>
      <c r="N1374" s="16" t="str">
        <f>VLOOKUP(M1374,Tab_Zast[[Zastávka]:[Sloupec1]],2,0)</f>
        <v>00</v>
      </c>
      <c r="O1374" t="s">
        <v>7467</v>
      </c>
      <c r="P1374">
        <v>10</v>
      </c>
      <c r="Q1374">
        <v>0</v>
      </c>
      <c r="R1374" t="s">
        <v>31</v>
      </c>
      <c r="S1374" t="s">
        <v>31</v>
      </c>
      <c r="T1374" t="s">
        <v>32</v>
      </c>
      <c r="V1374" s="1" t="e">
        <v>#N/A</v>
      </c>
      <c r="W1374" t="s">
        <v>7412</v>
      </c>
      <c r="X1374">
        <v>0</v>
      </c>
      <c r="Y1374">
        <v>1154</v>
      </c>
      <c r="AA1374" t="str">
        <f t="shared" si="42"/>
        <v/>
      </c>
      <c r="AB1374" t="str">
        <f t="shared" si="43"/>
        <v/>
      </c>
    </row>
    <row r="1375" spans="1:28" x14ac:dyDescent="0.25">
      <c r="A1375" s="2">
        <v>1763</v>
      </c>
      <c r="B1375" t="s">
        <v>7472</v>
      </c>
      <c r="C1375" t="s">
        <v>64</v>
      </c>
      <c r="D1375" t="s">
        <v>4364</v>
      </c>
      <c r="E1375" t="s">
        <v>3378</v>
      </c>
      <c r="F1375" t="s">
        <v>569</v>
      </c>
      <c r="G1375" s="1">
        <v>45867</v>
      </c>
      <c r="H1375" s="1">
        <v>45869</v>
      </c>
      <c r="I1375" s="1">
        <v>73050</v>
      </c>
      <c r="J1375" s="2" t="s">
        <v>357</v>
      </c>
      <c r="K1375" t="s">
        <v>7473</v>
      </c>
      <c r="M1375" s="16" t="s">
        <v>8551</v>
      </c>
      <c r="N1375" s="16" t="str">
        <f>VLOOKUP(M1375,Tab_Zast[[Zastávka]:[Sloupec1]],2,0)</f>
        <v>00</v>
      </c>
      <c r="O1375" t="s">
        <v>7474</v>
      </c>
      <c r="P1375">
        <v>10</v>
      </c>
      <c r="Q1375">
        <v>0</v>
      </c>
      <c r="R1375" t="s">
        <v>31</v>
      </c>
      <c r="S1375" t="s">
        <v>31</v>
      </c>
      <c r="T1375" t="s">
        <v>32</v>
      </c>
      <c r="V1375" s="1" t="e">
        <v>#N/A</v>
      </c>
      <c r="W1375" t="s">
        <v>7412</v>
      </c>
      <c r="X1375">
        <v>0</v>
      </c>
      <c r="Y1375">
        <v>1157</v>
      </c>
      <c r="AA1375" t="str">
        <f t="shared" si="42"/>
        <v/>
      </c>
      <c r="AB1375" t="str">
        <f t="shared" si="43"/>
        <v/>
      </c>
    </row>
    <row r="1376" spans="1:28" x14ac:dyDescent="0.25">
      <c r="A1376" s="2">
        <v>1785</v>
      </c>
      <c r="B1376" t="s">
        <v>7552</v>
      </c>
      <c r="C1376" t="s">
        <v>569</v>
      </c>
      <c r="D1376" t="s">
        <v>7553</v>
      </c>
      <c r="E1376" t="s">
        <v>761</v>
      </c>
      <c r="F1376" t="s">
        <v>357</v>
      </c>
      <c r="G1376" s="1">
        <v>45882</v>
      </c>
      <c r="H1376" s="1">
        <v>45898</v>
      </c>
      <c r="I1376" s="1">
        <v>73050</v>
      </c>
      <c r="J1376" s="2" t="s">
        <v>357</v>
      </c>
      <c r="K1376" t="s">
        <v>7554</v>
      </c>
      <c r="M1376" s="16" t="s">
        <v>8551</v>
      </c>
      <c r="N1376" s="16" t="str">
        <f>VLOOKUP(M1376,Tab_Zast[[Zastávka]:[Sloupec1]],2,0)</f>
        <v>00</v>
      </c>
      <c r="O1376" t="s">
        <v>7555</v>
      </c>
      <c r="P1376">
        <v>10</v>
      </c>
      <c r="Q1376">
        <v>0</v>
      </c>
      <c r="R1376" t="s">
        <v>31</v>
      </c>
      <c r="S1376" t="s">
        <v>31</v>
      </c>
      <c r="T1376" t="s">
        <v>32</v>
      </c>
      <c r="V1376" s="1" t="e">
        <v>#N/A</v>
      </c>
      <c r="W1376" t="s">
        <v>7412</v>
      </c>
      <c r="X1376">
        <v>0</v>
      </c>
      <c r="Y1376">
        <v>1178</v>
      </c>
      <c r="AA1376" t="str">
        <f t="shared" si="42"/>
        <v/>
      </c>
      <c r="AB1376" t="str">
        <f t="shared" si="43"/>
        <v/>
      </c>
    </row>
    <row r="1377" spans="1:28" x14ac:dyDescent="0.25">
      <c r="A1377" s="2">
        <v>1819</v>
      </c>
      <c r="B1377" t="s">
        <v>7673</v>
      </c>
      <c r="C1377" t="s">
        <v>569</v>
      </c>
      <c r="D1377" t="s">
        <v>7619</v>
      </c>
      <c r="E1377" t="s">
        <v>2607</v>
      </c>
      <c r="F1377" t="s">
        <v>1394</v>
      </c>
      <c r="G1377" s="1">
        <v>45903</v>
      </c>
      <c r="H1377" s="1">
        <v>45909</v>
      </c>
      <c r="I1377" s="1">
        <v>73050</v>
      </c>
      <c r="J1377" s="2" t="s">
        <v>8531</v>
      </c>
      <c r="K1377" t="s">
        <v>7620</v>
      </c>
      <c r="M1377" s="16" t="s">
        <v>8532</v>
      </c>
      <c r="N1377" s="16" t="str">
        <f>VLOOKUP(M1377,Tab_Zast[[Zastávka]:[Sloupec1]],2,0)</f>
        <v>101</v>
      </c>
      <c r="O1377" t="s">
        <v>7621</v>
      </c>
      <c r="P1377">
        <v>10</v>
      </c>
      <c r="Q1377">
        <v>0</v>
      </c>
      <c r="R1377" t="s">
        <v>31</v>
      </c>
      <c r="S1377" t="s">
        <v>31</v>
      </c>
      <c r="T1377" t="s">
        <v>32</v>
      </c>
      <c r="V1377" s="1" t="e">
        <v>#N/A</v>
      </c>
      <c r="W1377" t="s">
        <v>7629</v>
      </c>
      <c r="X1377">
        <v>0</v>
      </c>
      <c r="Y1377">
        <v>1214</v>
      </c>
      <c r="AA1377" t="str">
        <f t="shared" si="42"/>
        <v>update zamestnanci set nastup='101' where id='1819';</v>
      </c>
      <c r="AB1377" t="str">
        <f t="shared" si="43"/>
        <v>update dochazka set zastavka = '101' where zamestnanec = '1819';</v>
      </c>
    </row>
    <row r="1378" spans="1:28" x14ac:dyDescent="0.25">
      <c r="A1378" s="2">
        <v>1862</v>
      </c>
      <c r="B1378" t="s">
        <v>7838</v>
      </c>
      <c r="C1378" t="s">
        <v>569</v>
      </c>
      <c r="D1378" t="s">
        <v>7839</v>
      </c>
      <c r="E1378" t="s">
        <v>7840</v>
      </c>
      <c r="F1378" t="s">
        <v>1394</v>
      </c>
      <c r="G1378" s="1">
        <v>45931</v>
      </c>
      <c r="H1378" s="1">
        <v>45961</v>
      </c>
      <c r="I1378" s="1" t="e">
        <v>#N/A</v>
      </c>
      <c r="J1378" s="2" t="s">
        <v>357</v>
      </c>
      <c r="K1378" t="s">
        <v>7841</v>
      </c>
      <c r="M1378" s="16" t="s">
        <v>8551</v>
      </c>
      <c r="N1378" s="16" t="str">
        <f>VLOOKUP(M1378,Tab_Zast[[Zastávka]:[Sloupec1]],2,0)</f>
        <v>00</v>
      </c>
      <c r="O1378" t="s">
        <v>7842</v>
      </c>
      <c r="P1378">
        <v>4</v>
      </c>
      <c r="Q1378">
        <v>0</v>
      </c>
      <c r="R1378" t="s">
        <v>31</v>
      </c>
      <c r="S1378" t="s">
        <v>31</v>
      </c>
      <c r="T1378" t="s">
        <v>32</v>
      </c>
      <c r="V1378" s="1" t="e">
        <v>#N/A</v>
      </c>
      <c r="W1378" t="s">
        <v>2729</v>
      </c>
      <c r="X1378">
        <v>0</v>
      </c>
      <c r="Y1378">
        <v>1258</v>
      </c>
      <c r="AA1378" t="str">
        <f t="shared" si="42"/>
        <v/>
      </c>
      <c r="AB1378" t="str">
        <f t="shared" si="43"/>
        <v/>
      </c>
    </row>
    <row r="1379" spans="1:28" x14ac:dyDescent="0.25">
      <c r="A1379" s="2">
        <v>1875</v>
      </c>
      <c r="B1379" t="s">
        <v>7894</v>
      </c>
      <c r="C1379" t="s">
        <v>569</v>
      </c>
      <c r="D1379" t="s">
        <v>7890</v>
      </c>
      <c r="E1379" t="s">
        <v>7891</v>
      </c>
      <c r="F1379" t="s">
        <v>7894</v>
      </c>
      <c r="G1379" s="1">
        <v>45992</v>
      </c>
      <c r="H1379" s="1" t="e">
        <v>#N/A</v>
      </c>
      <c r="I1379" s="1" t="e">
        <v>#N/A</v>
      </c>
      <c r="J1379" s="2" t="s">
        <v>8413</v>
      </c>
      <c r="K1379" t="s">
        <v>7892</v>
      </c>
      <c r="M1379" s="16" t="s">
        <v>8414</v>
      </c>
      <c r="N1379" s="16" t="str">
        <f>VLOOKUP(M1379,Tab_Zast[[Zastávka]:[Sloupec1]],2,0)</f>
        <v>60</v>
      </c>
      <c r="O1379" t="s">
        <v>7893</v>
      </c>
      <c r="P1379">
        <v>8</v>
      </c>
      <c r="Q1379">
        <v>0</v>
      </c>
      <c r="R1379" t="s">
        <v>31</v>
      </c>
      <c r="S1379" t="s">
        <v>31</v>
      </c>
      <c r="T1379" t="s">
        <v>32</v>
      </c>
      <c r="V1379" s="1" t="e">
        <v>#N/A</v>
      </c>
      <c r="W1379" t="s">
        <v>493</v>
      </c>
      <c r="X1379">
        <v>1</v>
      </c>
      <c r="Y1379">
        <v>1270</v>
      </c>
      <c r="AA1379" t="str">
        <f t="shared" si="42"/>
        <v>update zamestnanci set nastup='60' where id='1875';</v>
      </c>
      <c r="AB1379" t="str">
        <f t="shared" si="43"/>
        <v>update dochazka set zastavka = '60' where zamestnanec = '1875';</v>
      </c>
    </row>
    <row r="1380" spans="1:28" x14ac:dyDescent="0.25">
      <c r="A1380" s="2">
        <v>1882</v>
      </c>
      <c r="B1380" t="s">
        <v>7922</v>
      </c>
      <c r="C1380" t="s">
        <v>569</v>
      </c>
      <c r="D1380" t="s">
        <v>7923</v>
      </c>
      <c r="E1380" t="s">
        <v>574</v>
      </c>
      <c r="F1380" t="s">
        <v>7924</v>
      </c>
      <c r="G1380" s="1">
        <v>45945</v>
      </c>
      <c r="H1380" s="1" t="e">
        <v>#N/A</v>
      </c>
      <c r="I1380" s="1" t="e">
        <v>#N/A</v>
      </c>
      <c r="J1380" s="2" t="s">
        <v>8528</v>
      </c>
      <c r="K1380" t="s">
        <v>7925</v>
      </c>
      <c r="M1380" s="16" t="s">
        <v>8529</v>
      </c>
      <c r="N1380" s="16" t="str">
        <f>VLOOKUP(M1380,Tab_Zast[[Zastávka]:[Sloupec1]],2,0)</f>
        <v>100</v>
      </c>
      <c r="O1380" t="s">
        <v>5797</v>
      </c>
      <c r="P1380">
        <v>4</v>
      </c>
      <c r="Q1380">
        <v>0</v>
      </c>
      <c r="R1380" t="s">
        <v>130</v>
      </c>
      <c r="S1380" t="s">
        <v>31</v>
      </c>
      <c r="T1380" t="s">
        <v>32</v>
      </c>
      <c r="V1380" s="1" t="e">
        <v>#N/A</v>
      </c>
      <c r="W1380" t="s">
        <v>62</v>
      </c>
      <c r="X1380">
        <v>1</v>
      </c>
      <c r="Y1380">
        <v>1278</v>
      </c>
      <c r="AA1380" t="str">
        <f t="shared" si="42"/>
        <v>update zamestnanci set nastup='100' where id='1882';</v>
      </c>
      <c r="AB1380" t="str">
        <f t="shared" si="43"/>
        <v>update dochazka set zastavka = '100' where zamestnanec = '1882';</v>
      </c>
    </row>
    <row r="1381" spans="1:28" x14ac:dyDescent="0.25">
      <c r="A1381" s="2">
        <v>1892</v>
      </c>
      <c r="B1381" t="s">
        <v>7954</v>
      </c>
      <c r="C1381" t="s">
        <v>569</v>
      </c>
      <c r="D1381" t="s">
        <v>7955</v>
      </c>
      <c r="E1381" t="s">
        <v>7956</v>
      </c>
      <c r="F1381" t="s">
        <v>569</v>
      </c>
      <c r="G1381" s="1">
        <v>45960</v>
      </c>
      <c r="H1381" s="1">
        <v>45960</v>
      </c>
      <c r="I1381" s="1" t="e">
        <v>#N/A</v>
      </c>
      <c r="J1381" s="2" t="s">
        <v>357</v>
      </c>
      <c r="K1381" t="s">
        <v>7957</v>
      </c>
      <c r="M1381" s="16" t="s">
        <v>8551</v>
      </c>
      <c r="N1381" s="16" t="str">
        <f>VLOOKUP(M1381,Tab_Zast[[Zastávka]:[Sloupec1]],2,0)</f>
        <v>00</v>
      </c>
      <c r="O1381" t="s">
        <v>7958</v>
      </c>
      <c r="P1381">
        <v>8</v>
      </c>
      <c r="Q1381">
        <v>0</v>
      </c>
      <c r="R1381" t="s">
        <v>31</v>
      </c>
      <c r="S1381" t="s">
        <v>31</v>
      </c>
      <c r="T1381" t="s">
        <v>32</v>
      </c>
      <c r="V1381" s="1" t="e">
        <v>#N/A</v>
      </c>
      <c r="X1381">
        <v>0</v>
      </c>
      <c r="Y1381">
        <v>1289</v>
      </c>
      <c r="AA1381" t="str">
        <f t="shared" si="42"/>
        <v/>
      </c>
      <c r="AB1381" t="str">
        <f t="shared" si="43"/>
        <v/>
      </c>
    </row>
    <row r="1382" spans="1:28" x14ac:dyDescent="0.25">
      <c r="A1382" s="2">
        <v>1910</v>
      </c>
      <c r="B1382" t="s">
        <v>8044</v>
      </c>
      <c r="C1382" t="s">
        <v>569</v>
      </c>
      <c r="D1382" t="s">
        <v>8045</v>
      </c>
      <c r="E1382" t="s">
        <v>2705</v>
      </c>
      <c r="F1382" t="s">
        <v>1394</v>
      </c>
      <c r="G1382" s="1">
        <v>45971</v>
      </c>
      <c r="H1382" s="1">
        <v>45971</v>
      </c>
      <c r="I1382" s="1" t="e">
        <v>#N/A</v>
      </c>
      <c r="J1382" s="2" t="s">
        <v>357</v>
      </c>
      <c r="K1382" t="s">
        <v>8046</v>
      </c>
      <c r="M1382" s="16" t="s">
        <v>8551</v>
      </c>
      <c r="N1382" s="16" t="str">
        <f>VLOOKUP(M1382,Tab_Zast[[Zastávka]:[Sloupec1]],2,0)</f>
        <v>00</v>
      </c>
      <c r="O1382" t="s">
        <v>8047</v>
      </c>
      <c r="P1382">
        <v>8</v>
      </c>
      <c r="Q1382">
        <v>0</v>
      </c>
      <c r="R1382" t="s">
        <v>31</v>
      </c>
      <c r="S1382" t="s">
        <v>31</v>
      </c>
      <c r="T1382" t="s">
        <v>32</v>
      </c>
      <c r="V1382" s="1" t="e">
        <v>#N/A</v>
      </c>
      <c r="W1382" t="s">
        <v>493</v>
      </c>
      <c r="X1382">
        <v>0</v>
      </c>
      <c r="Y1382">
        <v>1298</v>
      </c>
      <c r="AA1382" t="str">
        <f t="shared" si="42"/>
        <v/>
      </c>
      <c r="AB1382" t="str">
        <f t="shared" si="43"/>
        <v/>
      </c>
    </row>
    <row r="1383" spans="1:28" x14ac:dyDescent="0.25">
      <c r="A1383" s="2">
        <v>1927</v>
      </c>
      <c r="B1383" t="s">
        <v>8115</v>
      </c>
      <c r="C1383" t="s">
        <v>357</v>
      </c>
      <c r="D1383" t="s">
        <v>8116</v>
      </c>
      <c r="E1383" t="s">
        <v>1402</v>
      </c>
      <c r="F1383" t="s">
        <v>8115</v>
      </c>
      <c r="G1383" s="1">
        <v>45985</v>
      </c>
      <c r="H1383" s="1" t="e">
        <v>#N/A</v>
      </c>
      <c r="I1383" s="1" t="e">
        <v>#N/A</v>
      </c>
      <c r="J1383" s="2" t="s">
        <v>8426</v>
      </c>
      <c r="K1383" t="s">
        <v>8117</v>
      </c>
      <c r="M1383" s="16" t="s">
        <v>8427</v>
      </c>
      <c r="N1383" s="16" t="str">
        <f>VLOOKUP(M1383,Tab_Zast[[Zastávka]:[Sloupec1]],2,0)</f>
        <v>67</v>
      </c>
      <c r="O1383" t="s">
        <v>8118</v>
      </c>
      <c r="P1383">
        <v>8</v>
      </c>
      <c r="Q1383">
        <v>0</v>
      </c>
      <c r="R1383" t="s">
        <v>129</v>
      </c>
      <c r="S1383" t="s">
        <v>31</v>
      </c>
      <c r="T1383" t="s">
        <v>32</v>
      </c>
      <c r="V1383" s="1" t="e">
        <v>#N/A</v>
      </c>
      <c r="W1383" t="s">
        <v>493</v>
      </c>
      <c r="X1383">
        <v>1</v>
      </c>
      <c r="Y1383">
        <v>1335</v>
      </c>
      <c r="AA1383" t="str">
        <f t="shared" si="42"/>
        <v>update zamestnanci set nastup='67' where id='1927';</v>
      </c>
      <c r="AB1383" t="str">
        <f t="shared" si="43"/>
        <v>update dochazka set zastavka = '67' where zamestnanec = '1927';</v>
      </c>
    </row>
    <row r="1384" spans="1:28" x14ac:dyDescent="0.25">
      <c r="A1384" s="2">
        <v>10</v>
      </c>
      <c r="B1384" t="s">
        <v>84</v>
      </c>
      <c r="D1384" t="s">
        <v>91</v>
      </c>
      <c r="E1384" t="s">
        <v>92</v>
      </c>
      <c r="F1384" t="s">
        <v>93</v>
      </c>
      <c r="G1384" s="1">
        <v>45193</v>
      </c>
      <c r="H1384" s="1">
        <v>45251</v>
      </c>
      <c r="I1384" s="1" t="e">
        <v>#N/A</v>
      </c>
      <c r="J1384" s="2" t="s">
        <v>357</v>
      </c>
      <c r="K1384" t="s">
        <v>94</v>
      </c>
      <c r="M1384" s="16" t="s">
        <v>8551</v>
      </c>
      <c r="N1384" s="16" t="str">
        <f>VLOOKUP(M1384,Tab_Zast[[Zastávka]:[Sloupec1]],2,0)</f>
        <v>00</v>
      </c>
      <c r="O1384" t="s">
        <v>95</v>
      </c>
      <c r="P1384">
        <v>2</v>
      </c>
      <c r="Q1384">
        <v>0</v>
      </c>
      <c r="R1384" t="s">
        <v>31</v>
      </c>
      <c r="S1384" t="s">
        <v>31</v>
      </c>
      <c r="T1384" t="s">
        <v>32</v>
      </c>
      <c r="V1384" s="1" t="e">
        <v>#N/A</v>
      </c>
      <c r="W1384" t="s">
        <v>90</v>
      </c>
      <c r="X1384">
        <v>0</v>
      </c>
      <c r="Y1384">
        <v>0</v>
      </c>
      <c r="Z1384" t="s">
        <v>54</v>
      </c>
      <c r="AA1384" t="str">
        <f t="shared" si="42"/>
        <v/>
      </c>
      <c r="AB1384" t="str">
        <f t="shared" si="43"/>
        <v/>
      </c>
    </row>
    <row r="1385" spans="1:28" x14ac:dyDescent="0.25">
      <c r="A1385" s="2">
        <v>15</v>
      </c>
      <c r="B1385" t="s">
        <v>124</v>
      </c>
      <c r="D1385" t="s">
        <v>125</v>
      </c>
      <c r="E1385" t="s">
        <v>126</v>
      </c>
      <c r="F1385" t="s">
        <v>74</v>
      </c>
      <c r="G1385" s="1">
        <v>45067</v>
      </c>
      <c r="H1385" s="1">
        <v>45322</v>
      </c>
      <c r="I1385" s="1">
        <v>73050</v>
      </c>
      <c r="J1385" s="2" t="s">
        <v>357</v>
      </c>
      <c r="K1385" t="s">
        <v>127</v>
      </c>
      <c r="M1385" s="16" t="s">
        <v>8551</v>
      </c>
      <c r="N1385" s="16" t="str">
        <f>VLOOKUP(M1385,Tab_Zast[[Zastávka]:[Sloupec1]],2,0)</f>
        <v>00</v>
      </c>
      <c r="O1385" t="s">
        <v>128</v>
      </c>
      <c r="P1385">
        <v>2</v>
      </c>
      <c r="Q1385">
        <v>0</v>
      </c>
      <c r="R1385" t="s">
        <v>129</v>
      </c>
      <c r="S1385" t="s">
        <v>130</v>
      </c>
      <c r="T1385" t="s">
        <v>32</v>
      </c>
      <c r="V1385" s="1" t="e">
        <v>#N/A</v>
      </c>
      <c r="W1385" t="s">
        <v>90</v>
      </c>
      <c r="X1385">
        <v>0</v>
      </c>
      <c r="Y1385">
        <v>0</v>
      </c>
      <c r="Z1385" t="s">
        <v>54</v>
      </c>
      <c r="AA1385" t="str">
        <f t="shared" si="42"/>
        <v/>
      </c>
      <c r="AB1385" t="str">
        <f t="shared" si="43"/>
        <v/>
      </c>
    </row>
    <row r="1386" spans="1:28" x14ac:dyDescent="0.25">
      <c r="A1386" s="2">
        <v>18</v>
      </c>
      <c r="B1386" t="s">
        <v>143</v>
      </c>
      <c r="C1386" t="s">
        <v>144</v>
      </c>
      <c r="D1386" t="s">
        <v>145</v>
      </c>
      <c r="E1386" t="s">
        <v>146</v>
      </c>
      <c r="F1386" t="s">
        <v>147</v>
      </c>
      <c r="G1386" s="1">
        <v>45089</v>
      </c>
      <c r="H1386" s="1">
        <v>45454</v>
      </c>
      <c r="I1386" s="1">
        <v>73050</v>
      </c>
      <c r="J1386" s="2" t="s">
        <v>357</v>
      </c>
      <c r="K1386" t="s">
        <v>148</v>
      </c>
      <c r="M1386" s="16" t="s">
        <v>8551</v>
      </c>
      <c r="N1386" s="16" t="str">
        <f>VLOOKUP(M1386,Tab_Zast[[Zastávka]:[Sloupec1]],2,0)</f>
        <v>00</v>
      </c>
      <c r="O1386" t="s">
        <v>149</v>
      </c>
      <c r="P1386">
        <v>2</v>
      </c>
      <c r="Q1386">
        <v>0</v>
      </c>
      <c r="R1386" t="s">
        <v>31</v>
      </c>
      <c r="S1386" t="s">
        <v>31</v>
      </c>
      <c r="T1386" t="s">
        <v>32</v>
      </c>
      <c r="V1386" s="1">
        <v>45432</v>
      </c>
      <c r="W1386" t="s">
        <v>90</v>
      </c>
      <c r="X1386">
        <v>0</v>
      </c>
      <c r="Y1386">
        <v>0</v>
      </c>
      <c r="Z1386" t="s">
        <v>54</v>
      </c>
      <c r="AA1386" t="str">
        <f t="shared" si="42"/>
        <v/>
      </c>
      <c r="AB1386" t="str">
        <f t="shared" si="43"/>
        <v/>
      </c>
    </row>
    <row r="1387" spans="1:28" x14ac:dyDescent="0.25">
      <c r="A1387" s="2">
        <v>20</v>
      </c>
      <c r="B1387" t="s">
        <v>156</v>
      </c>
      <c r="D1387" t="s">
        <v>157</v>
      </c>
      <c r="E1387" t="s">
        <v>158</v>
      </c>
      <c r="F1387" t="s">
        <v>159</v>
      </c>
      <c r="G1387" s="1">
        <v>45089</v>
      </c>
      <c r="H1387" s="1">
        <v>45322</v>
      </c>
      <c r="I1387" s="1">
        <v>73050</v>
      </c>
      <c r="J1387" s="2" t="s">
        <v>357</v>
      </c>
      <c r="K1387" t="s">
        <v>160</v>
      </c>
      <c r="M1387" s="16" t="s">
        <v>8551</v>
      </c>
      <c r="N1387" s="16" t="str">
        <f>VLOOKUP(M1387,Tab_Zast[[Zastávka]:[Sloupec1]],2,0)</f>
        <v>00</v>
      </c>
      <c r="O1387" t="s">
        <v>161</v>
      </c>
      <c r="P1387">
        <v>2</v>
      </c>
      <c r="Q1387">
        <v>0</v>
      </c>
      <c r="R1387" t="s">
        <v>31</v>
      </c>
      <c r="S1387" t="s">
        <v>31</v>
      </c>
      <c r="T1387" t="s">
        <v>32</v>
      </c>
      <c r="V1387" s="1" t="e">
        <v>#N/A</v>
      </c>
      <c r="W1387" t="s">
        <v>90</v>
      </c>
      <c r="X1387">
        <v>0</v>
      </c>
      <c r="Y1387">
        <v>0</v>
      </c>
      <c r="Z1387" t="s">
        <v>54</v>
      </c>
      <c r="AA1387" t="str">
        <f t="shared" si="42"/>
        <v/>
      </c>
      <c r="AB1387" t="str">
        <f t="shared" si="43"/>
        <v/>
      </c>
    </row>
    <row r="1388" spans="1:28" x14ac:dyDescent="0.25">
      <c r="A1388" s="2">
        <v>21</v>
      </c>
      <c r="B1388" t="s">
        <v>162</v>
      </c>
      <c r="C1388" t="s">
        <v>64</v>
      </c>
      <c r="D1388" t="s">
        <v>163</v>
      </c>
      <c r="E1388" t="s">
        <v>164</v>
      </c>
      <c r="F1388" t="s">
        <v>67</v>
      </c>
      <c r="G1388" s="1">
        <v>44942</v>
      </c>
      <c r="H1388" s="1">
        <v>45322</v>
      </c>
      <c r="I1388" s="1">
        <v>73050</v>
      </c>
      <c r="J1388" s="2" t="s">
        <v>357</v>
      </c>
      <c r="K1388" t="s">
        <v>165</v>
      </c>
      <c r="M1388" s="16" t="s">
        <v>8551</v>
      </c>
      <c r="N1388" s="16" t="str">
        <f>VLOOKUP(M1388,Tab_Zast[[Zastávka]:[Sloupec1]],2,0)</f>
        <v>00</v>
      </c>
      <c r="O1388" t="s">
        <v>166</v>
      </c>
      <c r="P1388">
        <v>2</v>
      </c>
      <c r="Q1388">
        <v>0</v>
      </c>
      <c r="R1388" t="s">
        <v>31</v>
      </c>
      <c r="S1388" t="s">
        <v>31</v>
      </c>
      <c r="T1388" t="s">
        <v>32</v>
      </c>
      <c r="V1388" s="1" t="e">
        <v>#N/A</v>
      </c>
      <c r="W1388" t="s">
        <v>90</v>
      </c>
      <c r="X1388">
        <v>0</v>
      </c>
      <c r="Y1388">
        <v>0</v>
      </c>
      <c r="Z1388" t="s">
        <v>54</v>
      </c>
      <c r="AA1388" t="str">
        <f t="shared" si="42"/>
        <v/>
      </c>
      <c r="AB1388" t="str">
        <f t="shared" si="43"/>
        <v/>
      </c>
    </row>
    <row r="1389" spans="1:28" x14ac:dyDescent="0.25">
      <c r="A1389" s="2">
        <v>26</v>
      </c>
      <c r="B1389" t="s">
        <v>192</v>
      </c>
      <c r="C1389" t="s">
        <v>180</v>
      </c>
      <c r="D1389" t="s">
        <v>193</v>
      </c>
      <c r="E1389" t="s">
        <v>194</v>
      </c>
      <c r="F1389" t="s">
        <v>195</v>
      </c>
      <c r="G1389" s="1">
        <v>45193</v>
      </c>
      <c r="H1389" s="1">
        <v>45492</v>
      </c>
      <c r="I1389" s="1">
        <v>73050</v>
      </c>
      <c r="J1389" s="2" t="s">
        <v>357</v>
      </c>
      <c r="K1389" t="s">
        <v>196</v>
      </c>
      <c r="M1389" s="16" t="s">
        <v>8551</v>
      </c>
      <c r="N1389" s="16" t="str">
        <f>VLOOKUP(M1389,Tab_Zast[[Zastávka]:[Sloupec1]],2,0)</f>
        <v>00</v>
      </c>
      <c r="O1389" t="s">
        <v>197</v>
      </c>
      <c r="P1389">
        <v>2</v>
      </c>
      <c r="Q1389">
        <v>0</v>
      </c>
      <c r="R1389" t="s">
        <v>31</v>
      </c>
      <c r="S1389" t="s">
        <v>31</v>
      </c>
      <c r="T1389" t="s">
        <v>32</v>
      </c>
      <c r="V1389" s="1" t="e">
        <v>#N/A</v>
      </c>
      <c r="W1389" t="s">
        <v>90</v>
      </c>
      <c r="X1389">
        <v>0</v>
      </c>
      <c r="Y1389">
        <v>0</v>
      </c>
      <c r="AA1389" t="str">
        <f t="shared" si="42"/>
        <v/>
      </c>
      <c r="AB1389" t="str">
        <f t="shared" si="43"/>
        <v/>
      </c>
    </row>
    <row r="1390" spans="1:28" x14ac:dyDescent="0.25">
      <c r="A1390" s="2">
        <v>102</v>
      </c>
      <c r="B1390" t="s">
        <v>637</v>
      </c>
      <c r="C1390" t="s">
        <v>637</v>
      </c>
      <c r="D1390" t="s">
        <v>638</v>
      </c>
      <c r="E1390" t="s">
        <v>639</v>
      </c>
      <c r="F1390" t="s">
        <v>569</v>
      </c>
      <c r="G1390" s="1">
        <v>44606</v>
      </c>
      <c r="H1390" s="1">
        <v>45701</v>
      </c>
      <c r="I1390" s="1">
        <v>73050</v>
      </c>
      <c r="J1390" s="2" t="s">
        <v>357</v>
      </c>
      <c r="K1390" t="s">
        <v>640</v>
      </c>
      <c r="M1390" s="16" t="s">
        <v>8551</v>
      </c>
      <c r="N1390" s="16" t="str">
        <f>VLOOKUP(M1390,Tab_Zast[[Zastávka]:[Sloupec1]],2,0)</f>
        <v>00</v>
      </c>
      <c r="O1390" t="s">
        <v>641</v>
      </c>
      <c r="P1390">
        <v>1</v>
      </c>
      <c r="Q1390">
        <v>0</v>
      </c>
      <c r="R1390" t="s">
        <v>31</v>
      </c>
      <c r="S1390" t="s">
        <v>31</v>
      </c>
      <c r="T1390" t="s">
        <v>32</v>
      </c>
      <c r="V1390" s="1">
        <v>45553</v>
      </c>
      <c r="W1390" t="s">
        <v>47</v>
      </c>
      <c r="X1390">
        <v>0</v>
      </c>
      <c r="Y1390">
        <v>0</v>
      </c>
      <c r="AA1390" t="str">
        <f t="shared" si="42"/>
        <v/>
      </c>
      <c r="AB1390" t="str">
        <f t="shared" si="43"/>
        <v/>
      </c>
    </row>
    <row r="1391" spans="1:28" x14ac:dyDescent="0.25">
      <c r="A1391" s="2">
        <v>138</v>
      </c>
      <c r="B1391" t="s">
        <v>844</v>
      </c>
      <c r="D1391" t="s">
        <v>845</v>
      </c>
      <c r="E1391" t="s">
        <v>846</v>
      </c>
      <c r="F1391" t="s">
        <v>847</v>
      </c>
      <c r="G1391" s="1">
        <v>44825</v>
      </c>
      <c r="H1391" s="1">
        <v>45291</v>
      </c>
      <c r="I1391" s="1" t="e">
        <v>#N/A</v>
      </c>
      <c r="J1391" s="2" t="s">
        <v>357</v>
      </c>
      <c r="K1391" t="s">
        <v>848</v>
      </c>
      <c r="M1391" s="16" t="s">
        <v>8551</v>
      </c>
      <c r="N1391" s="16" t="str">
        <f>VLOOKUP(M1391,Tab_Zast[[Zastávka]:[Sloupec1]],2,0)</f>
        <v>00</v>
      </c>
      <c r="O1391" t="s">
        <v>849</v>
      </c>
      <c r="P1391">
        <v>4</v>
      </c>
      <c r="Q1391">
        <v>0</v>
      </c>
      <c r="R1391" t="s">
        <v>129</v>
      </c>
      <c r="S1391" t="s">
        <v>31</v>
      </c>
      <c r="T1391" t="s">
        <v>32</v>
      </c>
      <c r="V1391" s="1" t="e">
        <v>#N/A</v>
      </c>
      <c r="W1391" t="s">
        <v>62</v>
      </c>
      <c r="X1391">
        <v>0</v>
      </c>
      <c r="Y1391">
        <v>0</v>
      </c>
      <c r="Z1391" t="s">
        <v>54</v>
      </c>
      <c r="AA1391" t="str">
        <f t="shared" si="42"/>
        <v/>
      </c>
      <c r="AB1391" t="str">
        <f t="shared" si="43"/>
        <v/>
      </c>
    </row>
    <row r="1392" spans="1:28" x14ac:dyDescent="0.25">
      <c r="A1392" s="2">
        <v>141</v>
      </c>
      <c r="B1392" t="s">
        <v>863</v>
      </c>
      <c r="C1392" t="s">
        <v>864</v>
      </c>
      <c r="D1392" t="s">
        <v>865</v>
      </c>
      <c r="E1392" t="s">
        <v>866</v>
      </c>
      <c r="F1392" t="s">
        <v>867</v>
      </c>
      <c r="G1392" s="1">
        <v>44795</v>
      </c>
      <c r="H1392" s="1">
        <v>73050</v>
      </c>
      <c r="I1392" s="1" t="e">
        <v>#N/A</v>
      </c>
      <c r="J1392" s="2" t="s">
        <v>261</v>
      </c>
      <c r="K1392" t="s">
        <v>868</v>
      </c>
      <c r="M1392" s="16" t="s">
        <v>8303</v>
      </c>
      <c r="N1392" s="16" t="str">
        <f>VLOOKUP(M1392,Tab_Zast[[Zastávka]:[Sloupec1]],2,0)</f>
        <v>17</v>
      </c>
      <c r="O1392" t="s">
        <v>869</v>
      </c>
      <c r="P1392">
        <v>4</v>
      </c>
      <c r="Q1392">
        <v>0</v>
      </c>
      <c r="R1392" t="s">
        <v>129</v>
      </c>
      <c r="S1392" t="s">
        <v>31</v>
      </c>
      <c r="T1392" t="s">
        <v>870</v>
      </c>
      <c r="V1392" s="1" t="e">
        <v>#N/A</v>
      </c>
      <c r="W1392" t="s">
        <v>62</v>
      </c>
      <c r="X1392">
        <v>1</v>
      </c>
      <c r="Y1392">
        <v>0</v>
      </c>
      <c r="AA1392" t="str">
        <f t="shared" si="42"/>
        <v>update zamestnanci set nastup='17' where id='141';</v>
      </c>
      <c r="AB1392" t="str">
        <f t="shared" si="43"/>
        <v>update dochazka set zastavka = '17' where zamestnanec = '141';</v>
      </c>
    </row>
    <row r="1393" spans="1:28" x14ac:dyDescent="0.25">
      <c r="A1393" s="2">
        <v>147</v>
      </c>
      <c r="B1393" t="s">
        <v>901</v>
      </c>
      <c r="C1393" t="s">
        <v>902</v>
      </c>
      <c r="D1393" t="s">
        <v>903</v>
      </c>
      <c r="E1393" t="s">
        <v>904</v>
      </c>
      <c r="F1393" t="s">
        <v>905</v>
      </c>
      <c r="G1393" s="1">
        <v>45167</v>
      </c>
      <c r="H1393" s="1">
        <v>45532</v>
      </c>
      <c r="I1393" s="1">
        <v>73050</v>
      </c>
      <c r="J1393" s="2" t="s">
        <v>357</v>
      </c>
      <c r="K1393" t="s">
        <v>906</v>
      </c>
      <c r="M1393" s="16" t="s">
        <v>8551</v>
      </c>
      <c r="N1393" s="16" t="str">
        <f>VLOOKUP(M1393,Tab_Zast[[Zastávka]:[Sloupec1]],2,0)</f>
        <v>00</v>
      </c>
      <c r="O1393" t="s">
        <v>907</v>
      </c>
      <c r="P1393">
        <v>4</v>
      </c>
      <c r="Q1393">
        <v>0</v>
      </c>
      <c r="R1393" t="s">
        <v>31</v>
      </c>
      <c r="S1393" t="s">
        <v>31</v>
      </c>
      <c r="T1393" t="s">
        <v>870</v>
      </c>
      <c r="V1393" s="1" t="e">
        <v>#N/A</v>
      </c>
      <c r="W1393" t="s">
        <v>62</v>
      </c>
      <c r="X1393">
        <v>0</v>
      </c>
      <c r="Y1393">
        <v>0</v>
      </c>
      <c r="AA1393" t="str">
        <f t="shared" si="42"/>
        <v/>
      </c>
      <c r="AB1393" t="str">
        <f t="shared" si="43"/>
        <v/>
      </c>
    </row>
    <row r="1394" spans="1:28" x14ac:dyDescent="0.25">
      <c r="A1394" s="2">
        <v>148</v>
      </c>
      <c r="B1394" t="s">
        <v>908</v>
      </c>
      <c r="D1394" t="s">
        <v>909</v>
      </c>
      <c r="E1394" t="s">
        <v>910</v>
      </c>
      <c r="F1394" t="s">
        <v>911</v>
      </c>
      <c r="G1394" s="1">
        <v>45169</v>
      </c>
      <c r="H1394" s="1">
        <v>45247</v>
      </c>
      <c r="I1394" s="1" t="e">
        <v>#N/A</v>
      </c>
      <c r="J1394" s="2" t="s">
        <v>357</v>
      </c>
      <c r="K1394" t="s">
        <v>912</v>
      </c>
      <c r="M1394" s="16" t="s">
        <v>8551</v>
      </c>
      <c r="N1394" s="16" t="str">
        <f>VLOOKUP(M1394,Tab_Zast[[Zastávka]:[Sloupec1]],2,0)</f>
        <v>00</v>
      </c>
      <c r="O1394" t="s">
        <v>913</v>
      </c>
      <c r="P1394">
        <v>4</v>
      </c>
      <c r="Q1394">
        <v>0</v>
      </c>
      <c r="R1394" t="s">
        <v>31</v>
      </c>
      <c r="S1394" t="s">
        <v>31</v>
      </c>
      <c r="T1394" t="s">
        <v>32</v>
      </c>
      <c r="V1394" s="1" t="e">
        <v>#N/A</v>
      </c>
      <c r="W1394" t="s">
        <v>62</v>
      </c>
      <c r="X1394">
        <v>0</v>
      </c>
      <c r="Y1394">
        <v>0</v>
      </c>
      <c r="Z1394" t="s">
        <v>54</v>
      </c>
      <c r="AA1394" t="str">
        <f t="shared" si="42"/>
        <v/>
      </c>
      <c r="AB1394" t="str">
        <f t="shared" si="43"/>
        <v/>
      </c>
    </row>
    <row r="1395" spans="1:28" x14ac:dyDescent="0.25">
      <c r="A1395" s="2">
        <v>151</v>
      </c>
      <c r="B1395" t="s">
        <v>927</v>
      </c>
      <c r="D1395" t="s">
        <v>928</v>
      </c>
      <c r="E1395" t="s">
        <v>929</v>
      </c>
      <c r="F1395" t="s">
        <v>930</v>
      </c>
      <c r="G1395" s="1">
        <v>45145</v>
      </c>
      <c r="H1395" s="1">
        <v>45260</v>
      </c>
      <c r="I1395" s="1" t="e">
        <v>#N/A</v>
      </c>
      <c r="J1395" s="2" t="s">
        <v>357</v>
      </c>
      <c r="K1395" t="s">
        <v>931</v>
      </c>
      <c r="M1395" s="16" t="s">
        <v>8551</v>
      </c>
      <c r="N1395" s="16" t="str">
        <f>VLOOKUP(M1395,Tab_Zast[[Zastávka]:[Sloupec1]],2,0)</f>
        <v>00</v>
      </c>
      <c r="O1395" t="s">
        <v>932</v>
      </c>
      <c r="P1395">
        <v>4</v>
      </c>
      <c r="Q1395">
        <v>0</v>
      </c>
      <c r="R1395" t="s">
        <v>31</v>
      </c>
      <c r="S1395" t="s">
        <v>31</v>
      </c>
      <c r="T1395" t="s">
        <v>32</v>
      </c>
      <c r="V1395" s="1" t="e">
        <v>#N/A</v>
      </c>
      <c r="W1395" t="s">
        <v>62</v>
      </c>
      <c r="X1395">
        <v>0</v>
      </c>
      <c r="Y1395">
        <v>0</v>
      </c>
      <c r="Z1395" t="s">
        <v>54</v>
      </c>
      <c r="AA1395" t="str">
        <f t="shared" si="42"/>
        <v/>
      </c>
      <c r="AB1395" t="str">
        <f t="shared" si="43"/>
        <v/>
      </c>
    </row>
    <row r="1396" spans="1:28" x14ac:dyDescent="0.25">
      <c r="A1396" s="2">
        <v>154</v>
      </c>
      <c r="B1396" t="s">
        <v>943</v>
      </c>
      <c r="C1396" t="s">
        <v>944</v>
      </c>
      <c r="D1396" t="s">
        <v>573</v>
      </c>
      <c r="E1396" t="s">
        <v>945</v>
      </c>
      <c r="F1396" t="s">
        <v>946</v>
      </c>
      <c r="G1396" s="1">
        <v>45079</v>
      </c>
      <c r="H1396" s="1">
        <v>45716</v>
      </c>
      <c r="I1396" s="1">
        <v>73050</v>
      </c>
      <c r="J1396" s="2" t="s">
        <v>357</v>
      </c>
      <c r="K1396" t="s">
        <v>947</v>
      </c>
      <c r="M1396" s="16" t="s">
        <v>8551</v>
      </c>
      <c r="N1396" s="16" t="str">
        <f>VLOOKUP(M1396,Tab_Zast[[Zastávka]:[Sloupec1]],2,0)</f>
        <v>00</v>
      </c>
      <c r="O1396" t="s">
        <v>948</v>
      </c>
      <c r="P1396">
        <v>4</v>
      </c>
      <c r="Q1396">
        <v>0</v>
      </c>
      <c r="R1396" t="s">
        <v>31</v>
      </c>
      <c r="S1396" t="s">
        <v>31</v>
      </c>
      <c r="T1396" t="s">
        <v>103</v>
      </c>
      <c r="V1396" s="1" t="e">
        <v>#N/A</v>
      </c>
      <c r="W1396" t="s">
        <v>62</v>
      </c>
      <c r="X1396">
        <v>0</v>
      </c>
      <c r="Y1396">
        <v>0</v>
      </c>
      <c r="AA1396" t="str">
        <f t="shared" si="42"/>
        <v/>
      </c>
      <c r="AB1396" t="str">
        <f t="shared" si="43"/>
        <v/>
      </c>
    </row>
    <row r="1397" spans="1:28" x14ac:dyDescent="0.25">
      <c r="A1397" s="2">
        <v>164</v>
      </c>
      <c r="B1397" t="s">
        <v>1005</v>
      </c>
      <c r="D1397" t="s">
        <v>1006</v>
      </c>
      <c r="E1397" t="s">
        <v>1007</v>
      </c>
      <c r="F1397" t="s">
        <v>1008</v>
      </c>
      <c r="G1397" s="1">
        <v>45027</v>
      </c>
      <c r="H1397" s="1">
        <v>45230</v>
      </c>
      <c r="I1397" s="1" t="e">
        <v>#N/A</v>
      </c>
      <c r="J1397" s="2" t="s">
        <v>357</v>
      </c>
      <c r="K1397" t="s">
        <v>1009</v>
      </c>
      <c r="M1397" s="16" t="s">
        <v>8551</v>
      </c>
      <c r="N1397" s="16" t="str">
        <f>VLOOKUP(M1397,Tab_Zast[[Zastávka]:[Sloupec1]],2,0)</f>
        <v>00</v>
      </c>
      <c r="O1397" t="s">
        <v>1010</v>
      </c>
      <c r="P1397">
        <v>4</v>
      </c>
      <c r="Q1397">
        <v>0</v>
      </c>
      <c r="R1397" t="s">
        <v>31</v>
      </c>
      <c r="S1397" t="s">
        <v>31</v>
      </c>
      <c r="T1397" t="s">
        <v>32</v>
      </c>
      <c r="V1397" s="1" t="e">
        <v>#N/A</v>
      </c>
      <c r="W1397" t="s">
        <v>62</v>
      </c>
      <c r="X1397">
        <v>0</v>
      </c>
      <c r="Y1397">
        <v>0</v>
      </c>
      <c r="Z1397" t="s">
        <v>54</v>
      </c>
      <c r="AA1397" t="str">
        <f t="shared" si="42"/>
        <v/>
      </c>
      <c r="AB1397" t="str">
        <f t="shared" si="43"/>
        <v/>
      </c>
    </row>
    <row r="1398" spans="1:28" x14ac:dyDescent="0.25">
      <c r="A1398" s="2">
        <v>179</v>
      </c>
      <c r="B1398" t="s">
        <v>1096</v>
      </c>
      <c r="D1398" t="s">
        <v>1097</v>
      </c>
      <c r="E1398" t="s">
        <v>1098</v>
      </c>
      <c r="F1398" t="s">
        <v>1099</v>
      </c>
      <c r="G1398" s="1">
        <v>45190</v>
      </c>
      <c r="H1398" s="1">
        <v>45225</v>
      </c>
      <c r="I1398" s="1" t="e">
        <v>#N/A</v>
      </c>
      <c r="J1398" s="2" t="s">
        <v>357</v>
      </c>
      <c r="K1398" t="s">
        <v>1100</v>
      </c>
      <c r="M1398" s="16" t="s">
        <v>8551</v>
      </c>
      <c r="N1398" s="16" t="str">
        <f>VLOOKUP(M1398,Tab_Zast[[Zastávka]:[Sloupec1]],2,0)</f>
        <v>00</v>
      </c>
      <c r="O1398" t="s">
        <v>1101</v>
      </c>
      <c r="P1398">
        <v>6</v>
      </c>
      <c r="Q1398">
        <v>0</v>
      </c>
      <c r="R1398" t="s">
        <v>31</v>
      </c>
      <c r="S1398" t="s">
        <v>31</v>
      </c>
      <c r="T1398" t="s">
        <v>32</v>
      </c>
      <c r="V1398" s="1" t="e">
        <v>#N/A</v>
      </c>
      <c r="W1398" t="s">
        <v>1022</v>
      </c>
      <c r="X1398">
        <v>0</v>
      </c>
      <c r="Y1398">
        <v>0</v>
      </c>
      <c r="Z1398" t="s">
        <v>54</v>
      </c>
      <c r="AA1398" t="str">
        <f t="shared" si="42"/>
        <v/>
      </c>
      <c r="AB1398" t="str">
        <f t="shared" si="43"/>
        <v/>
      </c>
    </row>
    <row r="1399" spans="1:28" x14ac:dyDescent="0.25">
      <c r="A1399" s="2">
        <v>182</v>
      </c>
      <c r="B1399" t="s">
        <v>1116</v>
      </c>
      <c r="D1399" t="s">
        <v>1117</v>
      </c>
      <c r="E1399" t="s">
        <v>1118</v>
      </c>
      <c r="F1399" t="s">
        <v>1119</v>
      </c>
      <c r="G1399" s="1">
        <v>45190</v>
      </c>
      <c r="H1399" s="1">
        <v>45240</v>
      </c>
      <c r="I1399" s="1" t="e">
        <v>#N/A</v>
      </c>
      <c r="J1399" s="2" t="s">
        <v>357</v>
      </c>
      <c r="K1399" t="s">
        <v>1120</v>
      </c>
      <c r="M1399" s="16" t="s">
        <v>8551</v>
      </c>
      <c r="N1399" s="16" t="str">
        <f>VLOOKUP(M1399,Tab_Zast[[Zastávka]:[Sloupec1]],2,0)</f>
        <v>00</v>
      </c>
      <c r="O1399" t="s">
        <v>1121</v>
      </c>
      <c r="P1399">
        <v>6</v>
      </c>
      <c r="Q1399">
        <v>0</v>
      </c>
      <c r="R1399" t="s">
        <v>31</v>
      </c>
      <c r="S1399" t="s">
        <v>31</v>
      </c>
      <c r="T1399" t="s">
        <v>32</v>
      </c>
      <c r="V1399" s="1" t="e">
        <v>#N/A</v>
      </c>
      <c r="W1399" t="s">
        <v>1022</v>
      </c>
      <c r="X1399">
        <v>0</v>
      </c>
      <c r="Y1399">
        <v>0</v>
      </c>
      <c r="Z1399" t="s">
        <v>54</v>
      </c>
      <c r="AA1399" t="str">
        <f t="shared" si="42"/>
        <v/>
      </c>
      <c r="AB1399" t="str">
        <f t="shared" si="43"/>
        <v/>
      </c>
    </row>
    <row r="1400" spans="1:28" x14ac:dyDescent="0.25">
      <c r="A1400" s="2">
        <v>193</v>
      </c>
      <c r="B1400" t="s">
        <v>1185</v>
      </c>
      <c r="D1400" t="s">
        <v>1186</v>
      </c>
      <c r="E1400" t="s">
        <v>1187</v>
      </c>
      <c r="F1400" t="s">
        <v>1188</v>
      </c>
      <c r="G1400" s="1">
        <v>45203</v>
      </c>
      <c r="H1400" s="1">
        <v>45271</v>
      </c>
      <c r="I1400" s="1" t="e">
        <v>#N/A</v>
      </c>
      <c r="J1400" s="2" t="s">
        <v>357</v>
      </c>
      <c r="K1400" t="s">
        <v>1189</v>
      </c>
      <c r="M1400" s="16" t="s">
        <v>8551</v>
      </c>
      <c r="N1400" s="16" t="str">
        <f>VLOOKUP(M1400,Tab_Zast[[Zastávka]:[Sloupec1]],2,0)</f>
        <v>00</v>
      </c>
      <c r="O1400" t="s">
        <v>1190</v>
      </c>
      <c r="P1400">
        <v>6</v>
      </c>
      <c r="Q1400">
        <v>0</v>
      </c>
      <c r="R1400" t="s">
        <v>31</v>
      </c>
      <c r="S1400" t="s">
        <v>31</v>
      </c>
      <c r="T1400" t="s">
        <v>32</v>
      </c>
      <c r="V1400" s="1" t="e">
        <v>#N/A</v>
      </c>
      <c r="W1400" t="s">
        <v>1022</v>
      </c>
      <c r="X1400">
        <v>0</v>
      </c>
      <c r="Y1400">
        <v>0</v>
      </c>
      <c r="Z1400" t="s">
        <v>54</v>
      </c>
      <c r="AA1400" t="str">
        <f t="shared" si="42"/>
        <v/>
      </c>
      <c r="AB1400" t="str">
        <f t="shared" si="43"/>
        <v/>
      </c>
    </row>
    <row r="1401" spans="1:28" x14ac:dyDescent="0.25">
      <c r="A1401" s="2">
        <v>194</v>
      </c>
      <c r="B1401" t="s">
        <v>1191</v>
      </c>
      <c r="D1401" t="s">
        <v>1192</v>
      </c>
      <c r="E1401" t="s">
        <v>1193</v>
      </c>
      <c r="F1401" t="s">
        <v>1194</v>
      </c>
      <c r="G1401" s="1">
        <v>44908</v>
      </c>
      <c r="H1401" s="1">
        <v>45246</v>
      </c>
      <c r="I1401" s="1" t="e">
        <v>#N/A</v>
      </c>
      <c r="J1401" s="2" t="s">
        <v>357</v>
      </c>
      <c r="K1401" t="s">
        <v>1195</v>
      </c>
      <c r="M1401" s="16" t="s">
        <v>8551</v>
      </c>
      <c r="N1401" s="16" t="str">
        <f>VLOOKUP(M1401,Tab_Zast[[Zastávka]:[Sloupec1]],2,0)</f>
        <v>00</v>
      </c>
      <c r="O1401" t="s">
        <v>1196</v>
      </c>
      <c r="P1401">
        <v>6</v>
      </c>
      <c r="Q1401">
        <v>0</v>
      </c>
      <c r="R1401" t="s">
        <v>31</v>
      </c>
      <c r="S1401" t="s">
        <v>31</v>
      </c>
      <c r="T1401" t="s">
        <v>32</v>
      </c>
      <c r="V1401" s="1" t="e">
        <v>#N/A</v>
      </c>
      <c r="W1401" t="s">
        <v>1022</v>
      </c>
      <c r="X1401">
        <v>0</v>
      </c>
      <c r="Y1401">
        <v>0</v>
      </c>
      <c r="Z1401" t="s">
        <v>54</v>
      </c>
      <c r="AA1401" t="str">
        <f t="shared" si="42"/>
        <v/>
      </c>
      <c r="AB1401" t="str">
        <f t="shared" si="43"/>
        <v/>
      </c>
    </row>
    <row r="1402" spans="1:28" x14ac:dyDescent="0.25">
      <c r="A1402" s="2">
        <v>196</v>
      </c>
      <c r="B1402" t="s">
        <v>1204</v>
      </c>
      <c r="D1402" t="s">
        <v>1205</v>
      </c>
      <c r="E1402" t="s">
        <v>1206</v>
      </c>
      <c r="F1402" t="s">
        <v>1207</v>
      </c>
      <c r="G1402" s="1">
        <v>45181</v>
      </c>
      <c r="H1402" s="1">
        <v>45251</v>
      </c>
      <c r="I1402" s="1" t="e">
        <v>#N/A</v>
      </c>
      <c r="J1402" s="2" t="s">
        <v>357</v>
      </c>
      <c r="K1402" t="s">
        <v>1208</v>
      </c>
      <c r="M1402" s="16" t="s">
        <v>8551</v>
      </c>
      <c r="N1402" s="16" t="str">
        <f>VLOOKUP(M1402,Tab_Zast[[Zastávka]:[Sloupec1]],2,0)</f>
        <v>00</v>
      </c>
      <c r="O1402" t="s">
        <v>1209</v>
      </c>
      <c r="P1402">
        <v>6</v>
      </c>
      <c r="Q1402">
        <v>0</v>
      </c>
      <c r="R1402" t="s">
        <v>31</v>
      </c>
      <c r="S1402" t="s">
        <v>31</v>
      </c>
      <c r="T1402" t="s">
        <v>32</v>
      </c>
      <c r="V1402" s="1" t="e">
        <v>#N/A</v>
      </c>
      <c r="W1402" t="s">
        <v>1022</v>
      </c>
      <c r="X1402">
        <v>0</v>
      </c>
      <c r="Y1402">
        <v>0</v>
      </c>
      <c r="Z1402" t="s">
        <v>54</v>
      </c>
      <c r="AA1402" t="str">
        <f t="shared" si="42"/>
        <v/>
      </c>
      <c r="AB1402" t="str">
        <f t="shared" si="43"/>
        <v/>
      </c>
    </row>
    <row r="1403" spans="1:28" x14ac:dyDescent="0.25">
      <c r="A1403" s="2">
        <v>466</v>
      </c>
      <c r="B1403" t="s">
        <v>1729</v>
      </c>
      <c r="D1403" t="s">
        <v>1730</v>
      </c>
      <c r="E1403" t="s">
        <v>1731</v>
      </c>
      <c r="F1403" t="s">
        <v>1732</v>
      </c>
      <c r="G1403" s="1">
        <v>45029</v>
      </c>
      <c r="H1403" s="1">
        <v>45230</v>
      </c>
      <c r="I1403" s="1" t="e">
        <v>#N/A</v>
      </c>
      <c r="J1403" s="2" t="s">
        <v>357</v>
      </c>
      <c r="K1403" t="s">
        <v>1733</v>
      </c>
      <c r="M1403" s="16" t="s">
        <v>8551</v>
      </c>
      <c r="N1403" s="16" t="str">
        <f>VLOOKUP(M1403,Tab_Zast[[Zastávka]:[Sloupec1]],2,0)</f>
        <v>00</v>
      </c>
      <c r="O1403" t="s">
        <v>1734</v>
      </c>
      <c r="P1403">
        <v>6</v>
      </c>
      <c r="Q1403">
        <v>0</v>
      </c>
      <c r="R1403" t="s">
        <v>31</v>
      </c>
      <c r="S1403" t="s">
        <v>31</v>
      </c>
      <c r="T1403" t="s">
        <v>32</v>
      </c>
      <c r="V1403" s="1" t="e">
        <v>#N/A</v>
      </c>
      <c r="W1403" t="s">
        <v>1216</v>
      </c>
      <c r="X1403">
        <v>0</v>
      </c>
      <c r="Y1403">
        <v>0</v>
      </c>
      <c r="Z1403" t="s">
        <v>54</v>
      </c>
      <c r="AA1403" t="str">
        <f t="shared" si="42"/>
        <v/>
      </c>
      <c r="AB1403" t="str">
        <f t="shared" si="43"/>
        <v/>
      </c>
    </row>
    <row r="1404" spans="1:28" x14ac:dyDescent="0.25">
      <c r="A1404" s="2">
        <v>502</v>
      </c>
      <c r="B1404" t="s">
        <v>1956</v>
      </c>
      <c r="D1404" t="s">
        <v>1149</v>
      </c>
      <c r="E1404" t="s">
        <v>743</v>
      </c>
      <c r="F1404" t="s">
        <v>1957</v>
      </c>
      <c r="G1404" s="1">
        <v>44897</v>
      </c>
      <c r="H1404" s="1">
        <v>45261</v>
      </c>
      <c r="I1404" s="1" t="e">
        <v>#N/A</v>
      </c>
      <c r="J1404" s="2" t="s">
        <v>8353</v>
      </c>
      <c r="K1404" t="s">
        <v>1958</v>
      </c>
      <c r="M1404" s="16" t="s">
        <v>8354</v>
      </c>
      <c r="N1404" s="16" t="str">
        <f>VLOOKUP(M1404,Tab_Zast[[Zastávka]:[Sloupec1]],2,0)</f>
        <v>38</v>
      </c>
      <c r="O1404" t="s">
        <v>1959</v>
      </c>
      <c r="P1404">
        <v>6</v>
      </c>
      <c r="Q1404">
        <v>0</v>
      </c>
      <c r="R1404" t="s">
        <v>31</v>
      </c>
      <c r="S1404" t="s">
        <v>31</v>
      </c>
      <c r="T1404" t="s">
        <v>32</v>
      </c>
      <c r="V1404" s="1" t="e">
        <v>#N/A</v>
      </c>
      <c r="W1404" t="s">
        <v>1216</v>
      </c>
      <c r="X1404">
        <v>0</v>
      </c>
      <c r="Y1404">
        <v>0</v>
      </c>
      <c r="Z1404" t="s">
        <v>54</v>
      </c>
      <c r="AA1404" t="str">
        <f t="shared" si="42"/>
        <v>update zamestnanci set nastup='38' where id='502';</v>
      </c>
      <c r="AB1404" t="str">
        <f t="shared" si="43"/>
        <v>update dochazka set zastavka = '38' where zamestnanec = '502';</v>
      </c>
    </row>
    <row r="1405" spans="1:28" x14ac:dyDescent="0.25">
      <c r="A1405" s="2">
        <v>543</v>
      </c>
      <c r="B1405" t="s">
        <v>2212</v>
      </c>
      <c r="D1405" t="s">
        <v>2213</v>
      </c>
      <c r="E1405" t="s">
        <v>2214</v>
      </c>
      <c r="F1405" t="s">
        <v>2215</v>
      </c>
      <c r="G1405" s="1">
        <v>45061</v>
      </c>
      <c r="H1405" s="1">
        <v>45229</v>
      </c>
      <c r="I1405" s="1" t="e">
        <v>#N/A</v>
      </c>
      <c r="J1405" s="2" t="s">
        <v>357</v>
      </c>
      <c r="K1405" t="s">
        <v>2216</v>
      </c>
      <c r="M1405" s="16" t="s">
        <v>8551</v>
      </c>
      <c r="N1405" s="16" t="str">
        <f>VLOOKUP(M1405,Tab_Zast[[Zastávka]:[Sloupec1]],2,0)</f>
        <v>00</v>
      </c>
      <c r="O1405" t="s">
        <v>2217</v>
      </c>
      <c r="P1405">
        <v>6</v>
      </c>
      <c r="Q1405">
        <v>0</v>
      </c>
      <c r="R1405" t="s">
        <v>31</v>
      </c>
      <c r="S1405" t="s">
        <v>31</v>
      </c>
      <c r="T1405" t="s">
        <v>32</v>
      </c>
      <c r="V1405" s="1" t="e">
        <v>#N/A</v>
      </c>
      <c r="W1405" t="s">
        <v>1216</v>
      </c>
      <c r="X1405">
        <v>0</v>
      </c>
      <c r="Y1405">
        <v>0</v>
      </c>
      <c r="Z1405" t="s">
        <v>54</v>
      </c>
      <c r="AA1405" t="str">
        <f t="shared" si="42"/>
        <v/>
      </c>
      <c r="AB1405" t="str">
        <f t="shared" si="43"/>
        <v/>
      </c>
    </row>
    <row r="1406" spans="1:28" x14ac:dyDescent="0.25">
      <c r="A1406" s="2">
        <v>555</v>
      </c>
      <c r="B1406" t="s">
        <v>2289</v>
      </c>
      <c r="C1406" t="s">
        <v>2290</v>
      </c>
      <c r="D1406" t="s">
        <v>2291</v>
      </c>
      <c r="E1406" t="s">
        <v>2292</v>
      </c>
      <c r="F1406" t="s">
        <v>2293</v>
      </c>
      <c r="G1406" s="1">
        <v>44593</v>
      </c>
      <c r="H1406" s="1">
        <v>73050</v>
      </c>
      <c r="I1406" s="1" t="e">
        <v>#N/A</v>
      </c>
      <c r="J1406" s="2" t="s">
        <v>717</v>
      </c>
      <c r="K1406" t="s">
        <v>2294</v>
      </c>
      <c r="M1406" s="16" t="s">
        <v>8501</v>
      </c>
      <c r="N1406" s="16" t="str">
        <f>VLOOKUP(M1406,Tab_Zast[[Zastávka]:[Sloupec1]],2,0)</f>
        <v>89</v>
      </c>
      <c r="O1406" t="s">
        <v>2295</v>
      </c>
      <c r="P1406">
        <v>6</v>
      </c>
      <c r="Q1406">
        <v>0</v>
      </c>
      <c r="R1406" t="s">
        <v>129</v>
      </c>
      <c r="S1406" t="s">
        <v>31</v>
      </c>
      <c r="T1406" t="s">
        <v>32</v>
      </c>
      <c r="V1406" s="1" t="e">
        <v>#N/A</v>
      </c>
      <c r="W1406" t="s">
        <v>1216</v>
      </c>
      <c r="X1406">
        <v>1</v>
      </c>
      <c r="Y1406">
        <v>0</v>
      </c>
      <c r="AA1406" t="str">
        <f t="shared" si="42"/>
        <v>update zamestnanci set nastup='89' where id='555';</v>
      </c>
      <c r="AB1406" t="str">
        <f t="shared" si="43"/>
        <v>update dochazka set zastavka = '89' where zamestnanec = '555';</v>
      </c>
    </row>
    <row r="1407" spans="1:28" x14ac:dyDescent="0.25">
      <c r="A1407" s="2">
        <v>582</v>
      </c>
      <c r="B1407" t="s">
        <v>1861</v>
      </c>
      <c r="D1407" t="s">
        <v>2455</v>
      </c>
      <c r="E1407" t="s">
        <v>755</v>
      </c>
      <c r="F1407" t="s">
        <v>2456</v>
      </c>
      <c r="G1407" s="1">
        <v>45061</v>
      </c>
      <c r="H1407" s="1">
        <v>45273</v>
      </c>
      <c r="I1407" s="1" t="e">
        <v>#N/A</v>
      </c>
      <c r="J1407" s="2" t="s">
        <v>357</v>
      </c>
      <c r="K1407" t="s">
        <v>2457</v>
      </c>
      <c r="M1407" s="16" t="s">
        <v>8551</v>
      </c>
      <c r="N1407" s="16" t="str">
        <f>VLOOKUP(M1407,Tab_Zast[[Zastávka]:[Sloupec1]],2,0)</f>
        <v>00</v>
      </c>
      <c r="O1407" t="s">
        <v>2458</v>
      </c>
      <c r="P1407">
        <v>3</v>
      </c>
      <c r="Q1407">
        <v>0</v>
      </c>
      <c r="R1407" t="s">
        <v>179</v>
      </c>
      <c r="S1407" t="s">
        <v>130</v>
      </c>
      <c r="T1407" t="s">
        <v>32</v>
      </c>
      <c r="V1407" s="1" t="e">
        <v>#N/A</v>
      </c>
      <c r="W1407" t="s">
        <v>493</v>
      </c>
      <c r="X1407">
        <v>0</v>
      </c>
      <c r="Y1407">
        <v>0</v>
      </c>
      <c r="Z1407" t="s">
        <v>54</v>
      </c>
      <c r="AA1407" t="str">
        <f t="shared" si="42"/>
        <v/>
      </c>
      <c r="AB1407" t="str">
        <f t="shared" si="43"/>
        <v/>
      </c>
    </row>
    <row r="1408" spans="1:28" x14ac:dyDescent="0.25">
      <c r="A1408" s="2">
        <v>583</v>
      </c>
      <c r="B1408" t="s">
        <v>1837</v>
      </c>
      <c r="D1408" t="s">
        <v>2459</v>
      </c>
      <c r="E1408" t="s">
        <v>2460</v>
      </c>
      <c r="F1408" t="s">
        <v>2461</v>
      </c>
      <c r="G1408" s="1">
        <v>45174</v>
      </c>
      <c r="H1408" s="1">
        <v>45293</v>
      </c>
      <c r="I1408" s="1" t="e">
        <v>#N/A</v>
      </c>
      <c r="J1408" s="2" t="s">
        <v>357</v>
      </c>
      <c r="K1408" t="s">
        <v>2462</v>
      </c>
      <c r="M1408" s="16" t="s">
        <v>8551</v>
      </c>
      <c r="N1408" s="16" t="str">
        <f>VLOOKUP(M1408,Tab_Zast[[Zastávka]:[Sloupec1]],2,0)</f>
        <v>00</v>
      </c>
      <c r="O1408" t="s">
        <v>2463</v>
      </c>
      <c r="P1408">
        <v>3</v>
      </c>
      <c r="Q1408">
        <v>0</v>
      </c>
      <c r="R1408" t="s">
        <v>129</v>
      </c>
      <c r="S1408" t="s">
        <v>129</v>
      </c>
      <c r="T1408" t="s">
        <v>32</v>
      </c>
      <c r="V1408" s="1" t="e">
        <v>#N/A</v>
      </c>
      <c r="W1408" t="s">
        <v>493</v>
      </c>
      <c r="X1408">
        <v>0</v>
      </c>
      <c r="Y1408">
        <v>0</v>
      </c>
      <c r="Z1408" t="s">
        <v>54</v>
      </c>
      <c r="AA1408" t="str">
        <f t="shared" si="42"/>
        <v/>
      </c>
      <c r="AB1408" t="str">
        <f t="shared" si="43"/>
        <v/>
      </c>
    </row>
    <row r="1409" spans="1:28" x14ac:dyDescent="0.25">
      <c r="A1409" s="2">
        <v>609</v>
      </c>
      <c r="B1409" t="s">
        <v>2611</v>
      </c>
      <c r="D1409" t="s">
        <v>2612</v>
      </c>
      <c r="E1409" t="s">
        <v>2613</v>
      </c>
      <c r="F1409" t="s">
        <v>2614</v>
      </c>
      <c r="G1409" s="1">
        <v>45119</v>
      </c>
      <c r="H1409" s="1">
        <v>45226</v>
      </c>
      <c r="I1409" s="1" t="e">
        <v>#N/A</v>
      </c>
      <c r="J1409" s="2" t="s">
        <v>357</v>
      </c>
      <c r="K1409" t="s">
        <v>2615</v>
      </c>
      <c r="M1409" s="16" t="s">
        <v>8551</v>
      </c>
      <c r="N1409" s="16" t="str">
        <f>VLOOKUP(M1409,Tab_Zast[[Zastávka]:[Sloupec1]],2,0)</f>
        <v>00</v>
      </c>
      <c r="O1409" t="s">
        <v>2616</v>
      </c>
      <c r="P1409">
        <v>3</v>
      </c>
      <c r="Q1409">
        <v>0</v>
      </c>
      <c r="R1409" t="s">
        <v>31</v>
      </c>
      <c r="S1409" t="s">
        <v>31</v>
      </c>
      <c r="T1409" t="s">
        <v>32</v>
      </c>
      <c r="V1409" s="1" t="e">
        <v>#N/A</v>
      </c>
      <c r="W1409" t="s">
        <v>493</v>
      </c>
      <c r="X1409">
        <v>0</v>
      </c>
      <c r="Y1409">
        <v>0</v>
      </c>
      <c r="Z1409" t="s">
        <v>54</v>
      </c>
      <c r="AA1409" t="str">
        <f t="shared" si="42"/>
        <v/>
      </c>
      <c r="AB1409" t="str">
        <f t="shared" si="43"/>
        <v/>
      </c>
    </row>
    <row r="1410" spans="1:28" x14ac:dyDescent="0.25">
      <c r="A1410" s="2">
        <v>612</v>
      </c>
      <c r="B1410" t="s">
        <v>2147</v>
      </c>
      <c r="D1410" t="s">
        <v>2627</v>
      </c>
      <c r="E1410" t="s">
        <v>2628</v>
      </c>
      <c r="F1410" t="s">
        <v>2629</v>
      </c>
      <c r="G1410" s="1">
        <v>44725</v>
      </c>
      <c r="H1410" s="1">
        <v>45231</v>
      </c>
      <c r="I1410" s="1" t="e">
        <v>#N/A</v>
      </c>
      <c r="J1410" s="2" t="s">
        <v>357</v>
      </c>
      <c r="K1410" t="s">
        <v>2630</v>
      </c>
      <c r="M1410" s="16" t="s">
        <v>8551</v>
      </c>
      <c r="N1410" s="16" t="str">
        <f>VLOOKUP(M1410,Tab_Zast[[Zastávka]:[Sloupec1]],2,0)</f>
        <v>00</v>
      </c>
      <c r="O1410" t="s">
        <v>2631</v>
      </c>
      <c r="P1410">
        <v>3</v>
      </c>
      <c r="Q1410">
        <v>0</v>
      </c>
      <c r="R1410" t="s">
        <v>130</v>
      </c>
      <c r="S1410" t="s">
        <v>129</v>
      </c>
      <c r="T1410" t="s">
        <v>32</v>
      </c>
      <c r="V1410" s="1" t="e">
        <v>#N/A</v>
      </c>
      <c r="W1410" t="s">
        <v>493</v>
      </c>
      <c r="X1410">
        <v>0</v>
      </c>
      <c r="Y1410">
        <v>0</v>
      </c>
      <c r="Z1410" t="s">
        <v>40</v>
      </c>
      <c r="AA1410" t="str">
        <f t="shared" si="42"/>
        <v/>
      </c>
      <c r="AB1410" t="str">
        <f t="shared" si="43"/>
        <v/>
      </c>
    </row>
    <row r="1411" spans="1:28" x14ac:dyDescent="0.25">
      <c r="A1411" s="2">
        <v>626</v>
      </c>
      <c r="B1411" t="s">
        <v>1406</v>
      </c>
      <c r="D1411" t="s">
        <v>1799</v>
      </c>
      <c r="E1411" t="s">
        <v>2705</v>
      </c>
      <c r="F1411" t="s">
        <v>2706</v>
      </c>
      <c r="G1411" s="1">
        <v>45145</v>
      </c>
      <c r="H1411" s="1">
        <v>45280</v>
      </c>
      <c r="I1411" s="1" t="e">
        <v>#N/A</v>
      </c>
      <c r="J1411" s="2" t="s">
        <v>357</v>
      </c>
      <c r="K1411" t="s">
        <v>2707</v>
      </c>
      <c r="M1411" s="16" t="s">
        <v>8551</v>
      </c>
      <c r="N1411" s="16" t="str">
        <f>VLOOKUP(M1411,Tab_Zast[[Zastávka]:[Sloupec1]],2,0)</f>
        <v>00</v>
      </c>
      <c r="O1411" t="s">
        <v>2708</v>
      </c>
      <c r="P1411">
        <v>1</v>
      </c>
      <c r="Q1411">
        <v>0</v>
      </c>
      <c r="R1411" t="s">
        <v>130</v>
      </c>
      <c r="S1411" t="s">
        <v>31</v>
      </c>
      <c r="T1411" t="s">
        <v>32</v>
      </c>
      <c r="V1411" s="1" t="e">
        <v>#N/A</v>
      </c>
      <c r="W1411" t="s">
        <v>47</v>
      </c>
      <c r="X1411">
        <v>0</v>
      </c>
      <c r="Y1411">
        <v>0</v>
      </c>
      <c r="AA1411" t="str">
        <f t="shared" si="42"/>
        <v/>
      </c>
      <c r="AB1411" t="str">
        <f t="shared" si="43"/>
        <v/>
      </c>
    </row>
    <row r="1412" spans="1:28" x14ac:dyDescent="0.25">
      <c r="A1412" s="2">
        <v>675</v>
      </c>
      <c r="B1412" t="s">
        <v>2953</v>
      </c>
      <c r="D1412" t="s">
        <v>2954</v>
      </c>
      <c r="E1412" t="s">
        <v>2955</v>
      </c>
      <c r="F1412" t="s">
        <v>2956</v>
      </c>
      <c r="G1412" s="1">
        <v>45232</v>
      </c>
      <c r="H1412" s="1">
        <v>45280</v>
      </c>
      <c r="I1412" s="1" t="e">
        <v>#N/A</v>
      </c>
      <c r="J1412" s="2" t="s">
        <v>357</v>
      </c>
      <c r="K1412" t="s">
        <v>2957</v>
      </c>
      <c r="M1412" s="16" t="s">
        <v>8551</v>
      </c>
      <c r="N1412" s="16" t="str">
        <f>VLOOKUP(M1412,Tab_Zast[[Zastávka]:[Sloupec1]],2,0)</f>
        <v>00</v>
      </c>
      <c r="O1412" t="s">
        <v>2958</v>
      </c>
      <c r="P1412">
        <v>2</v>
      </c>
      <c r="Q1412">
        <v>0</v>
      </c>
      <c r="R1412" t="s">
        <v>31</v>
      </c>
      <c r="S1412" t="s">
        <v>31</v>
      </c>
      <c r="T1412" t="s">
        <v>32</v>
      </c>
      <c r="V1412" s="1" t="e">
        <v>#N/A</v>
      </c>
      <c r="W1412" t="s">
        <v>90</v>
      </c>
      <c r="X1412">
        <v>0</v>
      </c>
      <c r="Y1412">
        <v>0</v>
      </c>
      <c r="Z1412" t="s">
        <v>40</v>
      </c>
      <c r="AA1412" t="str">
        <f t="shared" ref="AA1412:AA1475" si="44">IF(J1412&lt;&gt;"00","update zamestnanci set nastup='" &amp; J1412 &amp; "' where id='" &amp; A1412 &amp; "';","")</f>
        <v/>
      </c>
      <c r="AB1412" t="str">
        <f t="shared" ref="AB1412:AB1475" si="45">IF(J1412&lt;&gt;"00","update dochazka set zastavka = '" &amp; J1412 &amp; "' where zamestnanec = '" &amp; A1412 &amp; "';","")</f>
        <v/>
      </c>
    </row>
    <row r="1413" spans="1:28" x14ac:dyDescent="0.25">
      <c r="A1413" s="2">
        <v>677</v>
      </c>
      <c r="B1413" t="s">
        <v>2964</v>
      </c>
      <c r="D1413" t="s">
        <v>2965</v>
      </c>
      <c r="E1413" t="s">
        <v>2966</v>
      </c>
      <c r="F1413" t="s">
        <v>2967</v>
      </c>
      <c r="G1413" s="1">
        <v>45235</v>
      </c>
      <c r="H1413" s="1">
        <v>45366</v>
      </c>
      <c r="I1413" s="1">
        <v>73050</v>
      </c>
      <c r="J1413" s="2" t="s">
        <v>357</v>
      </c>
      <c r="K1413" t="s">
        <v>2968</v>
      </c>
      <c r="M1413" s="16" t="s">
        <v>8551</v>
      </c>
      <c r="N1413" s="16" t="str">
        <f>VLOOKUP(M1413,Tab_Zast[[Zastávka]:[Sloupec1]],2,0)</f>
        <v>00</v>
      </c>
      <c r="O1413" t="s">
        <v>2969</v>
      </c>
      <c r="P1413">
        <v>2</v>
      </c>
      <c r="Q1413">
        <v>0</v>
      </c>
      <c r="R1413" t="s">
        <v>31</v>
      </c>
      <c r="S1413" t="s">
        <v>31</v>
      </c>
      <c r="T1413" t="s">
        <v>32</v>
      </c>
      <c r="V1413" s="1" t="e">
        <v>#N/A</v>
      </c>
      <c r="W1413" t="s">
        <v>90</v>
      </c>
      <c r="X1413">
        <v>0</v>
      </c>
      <c r="Y1413">
        <v>0</v>
      </c>
      <c r="Z1413" t="s">
        <v>54</v>
      </c>
      <c r="AA1413" t="str">
        <f t="shared" si="44"/>
        <v/>
      </c>
      <c r="AB1413" t="str">
        <f t="shared" si="45"/>
        <v/>
      </c>
    </row>
    <row r="1414" spans="1:28" x14ac:dyDescent="0.25">
      <c r="A1414" s="2">
        <v>679</v>
      </c>
      <c r="B1414" t="s">
        <v>2977</v>
      </c>
      <c r="C1414" t="s">
        <v>2978</v>
      </c>
      <c r="D1414" t="s">
        <v>2979</v>
      </c>
      <c r="E1414" t="s">
        <v>182</v>
      </c>
      <c r="F1414" t="s">
        <v>2980</v>
      </c>
      <c r="G1414" s="1">
        <v>45236</v>
      </c>
      <c r="H1414" s="1">
        <v>45943</v>
      </c>
      <c r="I1414" s="1">
        <v>73050</v>
      </c>
      <c r="J1414" s="2" t="s">
        <v>357</v>
      </c>
      <c r="K1414" t="s">
        <v>2981</v>
      </c>
      <c r="M1414" s="16" t="s">
        <v>8551</v>
      </c>
      <c r="N1414" s="16" t="str">
        <f>VLOOKUP(M1414,Tab_Zast[[Zastávka]:[Sloupec1]],2,0)</f>
        <v>00</v>
      </c>
      <c r="O1414" t="s">
        <v>2982</v>
      </c>
      <c r="P1414">
        <v>4</v>
      </c>
      <c r="Q1414">
        <v>0</v>
      </c>
      <c r="R1414" t="s">
        <v>31</v>
      </c>
      <c r="S1414" t="s">
        <v>31</v>
      </c>
      <c r="T1414" t="s">
        <v>870</v>
      </c>
      <c r="V1414" s="1" t="e">
        <v>#N/A</v>
      </c>
      <c r="W1414" t="s">
        <v>62</v>
      </c>
      <c r="X1414">
        <v>0</v>
      </c>
      <c r="Y1414">
        <v>0</v>
      </c>
      <c r="AA1414" t="str">
        <f t="shared" si="44"/>
        <v/>
      </c>
      <c r="AB1414" t="str">
        <f t="shared" si="45"/>
        <v/>
      </c>
    </row>
    <row r="1415" spans="1:28" x14ac:dyDescent="0.25">
      <c r="A1415" s="2">
        <v>698</v>
      </c>
      <c r="B1415" t="s">
        <v>3084</v>
      </c>
      <c r="C1415" t="s">
        <v>3085</v>
      </c>
      <c r="D1415" t="s">
        <v>3086</v>
      </c>
      <c r="E1415" t="s">
        <v>3087</v>
      </c>
      <c r="F1415" t="s">
        <v>3088</v>
      </c>
      <c r="G1415" s="1">
        <v>45257</v>
      </c>
      <c r="H1415" s="1" t="e">
        <v>#N/A</v>
      </c>
      <c r="I1415" s="1" t="e">
        <v>#N/A</v>
      </c>
      <c r="J1415" s="2" t="s">
        <v>8348</v>
      </c>
      <c r="K1415" t="s">
        <v>3089</v>
      </c>
      <c r="M1415" s="16" t="s">
        <v>8349</v>
      </c>
      <c r="N1415" s="16" t="str">
        <f>VLOOKUP(M1415,Tab_Zast[[Zastávka]:[Sloupec1]],2,0)</f>
        <v>36</v>
      </c>
      <c r="O1415" t="s">
        <v>3090</v>
      </c>
      <c r="P1415">
        <v>9</v>
      </c>
      <c r="Q1415">
        <v>0</v>
      </c>
      <c r="R1415" t="s">
        <v>129</v>
      </c>
      <c r="S1415" t="s">
        <v>31</v>
      </c>
      <c r="T1415" t="s">
        <v>32</v>
      </c>
      <c r="V1415" s="1" t="e">
        <v>#N/A</v>
      </c>
      <c r="W1415" t="s">
        <v>3091</v>
      </c>
      <c r="X1415">
        <v>1</v>
      </c>
      <c r="Y1415">
        <v>0</v>
      </c>
      <c r="AA1415" t="str">
        <f t="shared" si="44"/>
        <v>update zamestnanci set nastup='36' where id='698';</v>
      </c>
      <c r="AB1415" t="str">
        <f t="shared" si="45"/>
        <v>update dochazka set zastavka = '36' where zamestnanec = '698';</v>
      </c>
    </row>
    <row r="1416" spans="1:28" x14ac:dyDescent="0.25">
      <c r="A1416" s="2">
        <v>728</v>
      </c>
      <c r="B1416" t="s">
        <v>3231</v>
      </c>
      <c r="D1416" t="s">
        <v>3232</v>
      </c>
      <c r="E1416" t="s">
        <v>970</v>
      </c>
      <c r="F1416" t="s">
        <v>67</v>
      </c>
      <c r="G1416" s="1">
        <v>45293</v>
      </c>
      <c r="H1416" s="1">
        <v>45387</v>
      </c>
      <c r="I1416" s="1">
        <v>73050</v>
      </c>
      <c r="J1416" s="2" t="s">
        <v>357</v>
      </c>
      <c r="K1416" t="s">
        <v>3233</v>
      </c>
      <c r="M1416" s="16" t="s">
        <v>8551</v>
      </c>
      <c r="N1416" s="16" t="str">
        <f>VLOOKUP(M1416,Tab_Zast[[Zastávka]:[Sloupec1]],2,0)</f>
        <v>00</v>
      </c>
      <c r="O1416" t="s">
        <v>3234</v>
      </c>
      <c r="P1416">
        <v>2</v>
      </c>
      <c r="Q1416">
        <v>0</v>
      </c>
      <c r="R1416" t="s">
        <v>31</v>
      </c>
      <c r="S1416" t="s">
        <v>31</v>
      </c>
      <c r="T1416" t="s">
        <v>32</v>
      </c>
      <c r="V1416" s="1">
        <v>45385</v>
      </c>
      <c r="W1416" t="s">
        <v>90</v>
      </c>
      <c r="X1416">
        <v>0</v>
      </c>
      <c r="Y1416">
        <v>0</v>
      </c>
      <c r="Z1416" t="s">
        <v>54</v>
      </c>
      <c r="AA1416" t="str">
        <f t="shared" si="44"/>
        <v/>
      </c>
      <c r="AB1416" t="str">
        <f t="shared" si="45"/>
        <v/>
      </c>
    </row>
    <row r="1417" spans="1:28" x14ac:dyDescent="0.25">
      <c r="A1417" s="2">
        <v>744</v>
      </c>
      <c r="B1417" t="s">
        <v>3312</v>
      </c>
      <c r="D1417" t="s">
        <v>1267</v>
      </c>
      <c r="E1417" t="s">
        <v>2451</v>
      </c>
      <c r="F1417" t="s">
        <v>3313</v>
      </c>
      <c r="G1417" s="1">
        <v>45307</v>
      </c>
      <c r="H1417" s="1">
        <v>45373</v>
      </c>
      <c r="I1417" s="1">
        <v>73050</v>
      </c>
      <c r="J1417" s="2" t="s">
        <v>357</v>
      </c>
      <c r="K1417" t="s">
        <v>3246</v>
      </c>
      <c r="M1417" s="16" t="s">
        <v>8551</v>
      </c>
      <c r="N1417" s="16" t="str">
        <f>VLOOKUP(M1417,Tab_Zast[[Zastávka]:[Sloupec1]],2,0)</f>
        <v>00</v>
      </c>
      <c r="O1417" t="s">
        <v>3247</v>
      </c>
      <c r="P1417">
        <v>3</v>
      </c>
      <c r="Q1417">
        <v>0</v>
      </c>
      <c r="R1417" t="s">
        <v>31</v>
      </c>
      <c r="S1417" t="s">
        <v>31</v>
      </c>
      <c r="T1417" t="s">
        <v>32</v>
      </c>
      <c r="V1417" s="1">
        <v>45370</v>
      </c>
      <c r="W1417" t="s">
        <v>493</v>
      </c>
      <c r="X1417">
        <v>0</v>
      </c>
      <c r="Y1417">
        <v>0</v>
      </c>
      <c r="Z1417" t="s">
        <v>40</v>
      </c>
      <c r="AA1417" t="str">
        <f t="shared" si="44"/>
        <v/>
      </c>
      <c r="AB1417" t="str">
        <f t="shared" si="45"/>
        <v/>
      </c>
    </row>
    <row r="1418" spans="1:28" x14ac:dyDescent="0.25">
      <c r="A1418" s="2">
        <v>767</v>
      </c>
      <c r="B1418" t="s">
        <v>3421</v>
      </c>
      <c r="D1418" t="s">
        <v>3422</v>
      </c>
      <c r="E1418" t="s">
        <v>2391</v>
      </c>
      <c r="F1418" t="s">
        <v>67</v>
      </c>
      <c r="G1418" s="1">
        <v>45348</v>
      </c>
      <c r="H1418" s="1">
        <v>45713</v>
      </c>
      <c r="I1418" s="1">
        <v>73050</v>
      </c>
      <c r="J1418" s="2" t="s">
        <v>357</v>
      </c>
      <c r="K1418" t="s">
        <v>3423</v>
      </c>
      <c r="M1418" s="16" t="s">
        <v>8551</v>
      </c>
      <c r="N1418" s="16" t="str">
        <f>VLOOKUP(M1418,Tab_Zast[[Zastávka]:[Sloupec1]],2,0)</f>
        <v>00</v>
      </c>
      <c r="O1418" t="s">
        <v>3424</v>
      </c>
      <c r="P1418">
        <v>4</v>
      </c>
      <c r="Q1418">
        <v>0</v>
      </c>
      <c r="R1418" t="s">
        <v>31</v>
      </c>
      <c r="S1418" t="s">
        <v>31</v>
      </c>
      <c r="T1418" t="s">
        <v>32</v>
      </c>
      <c r="V1418" s="1" t="e">
        <v>#N/A</v>
      </c>
      <c r="W1418" t="s">
        <v>62</v>
      </c>
      <c r="X1418">
        <v>0</v>
      </c>
      <c r="Y1418">
        <v>0</v>
      </c>
      <c r="Z1418" t="s">
        <v>40</v>
      </c>
      <c r="AA1418" t="str">
        <f t="shared" si="44"/>
        <v/>
      </c>
      <c r="AB1418" t="str">
        <f t="shared" si="45"/>
        <v/>
      </c>
    </row>
    <row r="1419" spans="1:28" x14ac:dyDescent="0.25">
      <c r="A1419" s="2">
        <v>773</v>
      </c>
      <c r="B1419" t="s">
        <v>3450</v>
      </c>
      <c r="C1419" t="s">
        <v>3451</v>
      </c>
      <c r="D1419" t="s">
        <v>3452</v>
      </c>
      <c r="E1419" t="s">
        <v>3453</v>
      </c>
      <c r="F1419" t="s">
        <v>3454</v>
      </c>
      <c r="G1419" s="1">
        <v>45321</v>
      </c>
      <c r="H1419" s="1">
        <v>45491</v>
      </c>
      <c r="I1419" s="1">
        <v>73050</v>
      </c>
      <c r="J1419" s="2" t="s">
        <v>357</v>
      </c>
      <c r="K1419" t="s">
        <v>3455</v>
      </c>
      <c r="M1419" s="16" t="s">
        <v>8551</v>
      </c>
      <c r="N1419" s="16" t="str">
        <f>VLOOKUP(M1419,Tab_Zast[[Zastávka]:[Sloupec1]],2,0)</f>
        <v>00</v>
      </c>
      <c r="O1419" t="s">
        <v>3456</v>
      </c>
      <c r="P1419">
        <v>3</v>
      </c>
      <c r="Q1419">
        <v>0</v>
      </c>
      <c r="R1419" t="s">
        <v>31</v>
      </c>
      <c r="S1419" t="s">
        <v>31</v>
      </c>
      <c r="T1419" t="s">
        <v>32</v>
      </c>
      <c r="V1419" s="1">
        <v>45418</v>
      </c>
      <c r="W1419" t="s">
        <v>493</v>
      </c>
      <c r="X1419">
        <v>0</v>
      </c>
      <c r="Y1419">
        <v>0</v>
      </c>
      <c r="AA1419" t="str">
        <f t="shared" si="44"/>
        <v/>
      </c>
      <c r="AB1419" t="str">
        <f t="shared" si="45"/>
        <v/>
      </c>
    </row>
    <row r="1420" spans="1:28" x14ac:dyDescent="0.25">
      <c r="A1420" s="2">
        <v>774</v>
      </c>
      <c r="B1420" t="s">
        <v>3457</v>
      </c>
      <c r="C1420" t="s">
        <v>3458</v>
      </c>
      <c r="D1420" t="s">
        <v>3459</v>
      </c>
      <c r="E1420" t="s">
        <v>2607</v>
      </c>
      <c r="F1420" t="s">
        <v>3460</v>
      </c>
      <c r="G1420" s="1">
        <v>45321</v>
      </c>
      <c r="H1420" s="1" t="e">
        <v>#N/A</v>
      </c>
      <c r="I1420" s="1" t="e">
        <v>#N/A</v>
      </c>
      <c r="J1420" s="2" t="s">
        <v>747</v>
      </c>
      <c r="K1420" t="s">
        <v>3461</v>
      </c>
      <c r="M1420" s="16" t="s">
        <v>8513</v>
      </c>
      <c r="N1420" s="16" t="str">
        <f>VLOOKUP(M1420,Tab_Zast[[Zastávka]:[Sloupec1]],2,0)</f>
        <v>94</v>
      </c>
      <c r="O1420" t="s">
        <v>3462</v>
      </c>
      <c r="P1420">
        <v>8</v>
      </c>
      <c r="Q1420">
        <v>0</v>
      </c>
      <c r="R1420" t="s">
        <v>179</v>
      </c>
      <c r="S1420" t="s">
        <v>31</v>
      </c>
      <c r="T1420" t="s">
        <v>32</v>
      </c>
      <c r="V1420" s="1" t="e">
        <v>#N/A</v>
      </c>
      <c r="W1420" t="s">
        <v>493</v>
      </c>
      <c r="X1420">
        <v>1</v>
      </c>
      <c r="Y1420">
        <v>0</v>
      </c>
      <c r="AA1420" t="str">
        <f t="shared" si="44"/>
        <v>update zamestnanci set nastup='94' where id='774';</v>
      </c>
      <c r="AB1420" t="str">
        <f t="shared" si="45"/>
        <v>update dochazka set zastavka = '94' where zamestnanec = '774';</v>
      </c>
    </row>
    <row r="1421" spans="1:28" x14ac:dyDescent="0.25">
      <c r="A1421" s="2">
        <v>826</v>
      </c>
      <c r="B1421" t="s">
        <v>3715</v>
      </c>
      <c r="D1421" t="s">
        <v>3716</v>
      </c>
      <c r="E1421" t="s">
        <v>3717</v>
      </c>
      <c r="F1421" t="s">
        <v>67</v>
      </c>
      <c r="G1421" s="1">
        <v>45350</v>
      </c>
      <c r="H1421" s="1">
        <v>45350</v>
      </c>
      <c r="I1421" s="1">
        <v>45350</v>
      </c>
      <c r="J1421" s="2" t="s">
        <v>357</v>
      </c>
      <c r="K1421" t="s">
        <v>3718</v>
      </c>
      <c r="M1421" s="16" t="s">
        <v>8551</v>
      </c>
      <c r="N1421" s="16" t="str">
        <f>VLOOKUP(M1421,Tab_Zast[[Zastávka]:[Sloupec1]],2,0)</f>
        <v>00</v>
      </c>
      <c r="O1421" t="s">
        <v>3719</v>
      </c>
      <c r="P1421">
        <v>6</v>
      </c>
      <c r="Q1421">
        <v>0</v>
      </c>
      <c r="R1421" t="s">
        <v>31</v>
      </c>
      <c r="S1421" t="s">
        <v>31</v>
      </c>
      <c r="T1421" t="s">
        <v>32</v>
      </c>
      <c r="V1421" s="1" t="e">
        <v>#N/A</v>
      </c>
      <c r="W1421" t="s">
        <v>1216</v>
      </c>
      <c r="X1421">
        <v>0</v>
      </c>
      <c r="Y1421">
        <v>0</v>
      </c>
      <c r="Z1421" t="s">
        <v>54</v>
      </c>
      <c r="AA1421" t="str">
        <f t="shared" si="44"/>
        <v/>
      </c>
      <c r="AB1421" t="str">
        <f t="shared" si="45"/>
        <v/>
      </c>
    </row>
    <row r="1422" spans="1:28" x14ac:dyDescent="0.25">
      <c r="A1422" s="2">
        <v>953</v>
      </c>
      <c r="B1422" t="s">
        <v>4309</v>
      </c>
      <c r="C1422" t="s">
        <v>64</v>
      </c>
      <c r="D1422" t="s">
        <v>4310</v>
      </c>
      <c r="E1422" t="s">
        <v>1509</v>
      </c>
      <c r="F1422" t="s">
        <v>4311</v>
      </c>
      <c r="G1422" s="1">
        <v>45438</v>
      </c>
      <c r="H1422" s="1">
        <v>45443</v>
      </c>
      <c r="I1422" s="1">
        <v>73050</v>
      </c>
      <c r="J1422" s="2" t="s">
        <v>357</v>
      </c>
      <c r="K1422" t="s">
        <v>4312</v>
      </c>
      <c r="M1422" s="16" t="s">
        <v>8551</v>
      </c>
      <c r="N1422" s="16" t="str">
        <f>VLOOKUP(M1422,Tab_Zast[[Zastávka]:[Sloupec1]],2,0)</f>
        <v>00</v>
      </c>
      <c r="O1422" t="s">
        <v>4313</v>
      </c>
      <c r="P1422">
        <v>2</v>
      </c>
      <c r="Q1422">
        <v>0</v>
      </c>
      <c r="R1422" t="s">
        <v>31</v>
      </c>
      <c r="S1422" t="s">
        <v>31</v>
      </c>
      <c r="T1422" t="s">
        <v>32</v>
      </c>
      <c r="V1422" s="1" t="e">
        <v>#N/A</v>
      </c>
      <c r="W1422" t="s">
        <v>90</v>
      </c>
      <c r="X1422">
        <v>0</v>
      </c>
      <c r="Y1422">
        <v>333</v>
      </c>
      <c r="Z1422" t="s">
        <v>40</v>
      </c>
      <c r="AA1422" t="str">
        <f t="shared" si="44"/>
        <v/>
      </c>
      <c r="AB1422" t="str">
        <f t="shared" si="45"/>
        <v/>
      </c>
    </row>
    <row r="1423" spans="1:28" x14ac:dyDescent="0.25">
      <c r="A1423" s="2">
        <v>962</v>
      </c>
      <c r="B1423" t="s">
        <v>4355</v>
      </c>
      <c r="C1423" t="s">
        <v>1394</v>
      </c>
      <c r="D1423" t="s">
        <v>4356</v>
      </c>
      <c r="E1423" t="s">
        <v>3048</v>
      </c>
      <c r="F1423" t="s">
        <v>4357</v>
      </c>
      <c r="G1423" s="1">
        <v>45442</v>
      </c>
      <c r="H1423" s="1">
        <v>45626</v>
      </c>
      <c r="I1423" s="1">
        <v>73050</v>
      </c>
      <c r="J1423" s="2" t="s">
        <v>357</v>
      </c>
      <c r="K1423" t="s">
        <v>4358</v>
      </c>
      <c r="M1423" s="16" t="s">
        <v>8551</v>
      </c>
      <c r="N1423" s="16" t="str">
        <f>VLOOKUP(M1423,Tab_Zast[[Zastávka]:[Sloupec1]],2,0)</f>
        <v>00</v>
      </c>
      <c r="O1423" t="s">
        <v>4359</v>
      </c>
      <c r="P1423">
        <v>9</v>
      </c>
      <c r="Q1423">
        <v>0</v>
      </c>
      <c r="R1423" t="s">
        <v>31</v>
      </c>
      <c r="S1423" t="s">
        <v>31</v>
      </c>
      <c r="T1423" t="s">
        <v>32</v>
      </c>
      <c r="V1423" s="1" t="e">
        <v>#N/A</v>
      </c>
      <c r="W1423" t="s">
        <v>3091</v>
      </c>
      <c r="X1423">
        <v>0</v>
      </c>
      <c r="Y1423">
        <v>355</v>
      </c>
      <c r="Z1423" t="s">
        <v>54</v>
      </c>
      <c r="AA1423" t="str">
        <f t="shared" si="44"/>
        <v/>
      </c>
      <c r="AB1423" t="str">
        <f t="shared" si="45"/>
        <v/>
      </c>
    </row>
    <row r="1424" spans="1:28" x14ac:dyDescent="0.25">
      <c r="A1424" s="2">
        <v>969</v>
      </c>
      <c r="B1424" t="s">
        <v>1394</v>
      </c>
      <c r="C1424" t="s">
        <v>1394</v>
      </c>
      <c r="D1424" t="s">
        <v>4387</v>
      </c>
      <c r="E1424" t="s">
        <v>4388</v>
      </c>
      <c r="F1424" t="s">
        <v>67</v>
      </c>
      <c r="G1424" s="1">
        <v>45442</v>
      </c>
      <c r="H1424" s="1">
        <v>45442</v>
      </c>
      <c r="I1424" s="1">
        <v>45442</v>
      </c>
      <c r="J1424" s="2" t="s">
        <v>357</v>
      </c>
      <c r="K1424" t="s">
        <v>4389</v>
      </c>
      <c r="M1424" s="16" t="s">
        <v>8551</v>
      </c>
      <c r="N1424" s="16" t="str">
        <f>VLOOKUP(M1424,Tab_Zast[[Zastávka]:[Sloupec1]],2,0)</f>
        <v>00</v>
      </c>
      <c r="O1424" t="s">
        <v>4390</v>
      </c>
      <c r="P1424">
        <v>3</v>
      </c>
      <c r="Q1424">
        <v>0</v>
      </c>
      <c r="R1424" t="s">
        <v>129</v>
      </c>
      <c r="S1424" t="s">
        <v>130</v>
      </c>
      <c r="T1424" t="s">
        <v>32</v>
      </c>
      <c r="V1424" s="1" t="e">
        <v>#N/A</v>
      </c>
      <c r="W1424" t="s">
        <v>3091</v>
      </c>
      <c r="X1424">
        <v>0</v>
      </c>
      <c r="Y1424">
        <v>360</v>
      </c>
      <c r="AA1424" t="str">
        <f t="shared" si="44"/>
        <v/>
      </c>
      <c r="AB1424" t="str">
        <f t="shared" si="45"/>
        <v/>
      </c>
    </row>
    <row r="1425" spans="1:28" x14ac:dyDescent="0.25">
      <c r="A1425" s="2">
        <v>979</v>
      </c>
      <c r="B1425" t="s">
        <v>4428</v>
      </c>
      <c r="C1425" t="s">
        <v>1394</v>
      </c>
      <c r="D1425" t="s">
        <v>4429</v>
      </c>
      <c r="E1425" t="s">
        <v>4430</v>
      </c>
      <c r="F1425" t="s">
        <v>4431</v>
      </c>
      <c r="G1425" s="1">
        <v>45447</v>
      </c>
      <c r="H1425" s="1">
        <v>45541</v>
      </c>
      <c r="I1425" s="1">
        <v>73050</v>
      </c>
      <c r="J1425" s="2" t="s">
        <v>357</v>
      </c>
      <c r="K1425" t="s">
        <v>4432</v>
      </c>
      <c r="M1425" s="16" t="s">
        <v>8551</v>
      </c>
      <c r="N1425" s="16" t="str">
        <f>VLOOKUP(M1425,Tab_Zast[[Zastávka]:[Sloupec1]],2,0)</f>
        <v>00</v>
      </c>
      <c r="O1425" t="s">
        <v>4433</v>
      </c>
      <c r="P1425">
        <v>3</v>
      </c>
      <c r="Q1425">
        <v>0</v>
      </c>
      <c r="R1425" t="s">
        <v>31</v>
      </c>
      <c r="S1425" t="s">
        <v>31</v>
      </c>
      <c r="T1425" t="s">
        <v>32</v>
      </c>
      <c r="V1425" s="1" t="e">
        <v>#N/A</v>
      </c>
      <c r="W1425" t="s">
        <v>3091</v>
      </c>
      <c r="X1425">
        <v>0</v>
      </c>
      <c r="Y1425">
        <v>376</v>
      </c>
      <c r="AA1425" t="str">
        <f t="shared" si="44"/>
        <v/>
      </c>
      <c r="AB1425" t="str">
        <f t="shared" si="45"/>
        <v/>
      </c>
    </row>
    <row r="1426" spans="1:28" x14ac:dyDescent="0.25">
      <c r="A1426" s="2">
        <v>994</v>
      </c>
      <c r="B1426" t="s">
        <v>4491</v>
      </c>
      <c r="C1426" t="s">
        <v>1394</v>
      </c>
      <c r="D1426" t="s">
        <v>4492</v>
      </c>
      <c r="E1426" t="s">
        <v>2391</v>
      </c>
      <c r="F1426" t="s">
        <v>1394</v>
      </c>
      <c r="G1426" s="1">
        <v>45453</v>
      </c>
      <c r="H1426" s="1">
        <v>45588</v>
      </c>
      <c r="I1426" s="1">
        <v>73050</v>
      </c>
      <c r="J1426" s="2" t="s">
        <v>357</v>
      </c>
      <c r="K1426" t="s">
        <v>4493</v>
      </c>
      <c r="M1426" s="16" t="s">
        <v>8551</v>
      </c>
      <c r="N1426" s="16" t="str">
        <f>VLOOKUP(M1426,Tab_Zast[[Zastávka]:[Sloupec1]],2,0)</f>
        <v>00</v>
      </c>
      <c r="O1426" t="s">
        <v>4494</v>
      </c>
      <c r="P1426">
        <v>9</v>
      </c>
      <c r="Q1426">
        <v>0</v>
      </c>
      <c r="R1426" t="s">
        <v>31</v>
      </c>
      <c r="S1426" t="s">
        <v>31</v>
      </c>
      <c r="T1426" t="s">
        <v>32</v>
      </c>
      <c r="V1426" s="1" t="e">
        <v>#N/A</v>
      </c>
      <c r="W1426" t="s">
        <v>3091</v>
      </c>
      <c r="X1426">
        <v>0</v>
      </c>
      <c r="Y1426">
        <v>385</v>
      </c>
      <c r="Z1426" t="s">
        <v>54</v>
      </c>
      <c r="AA1426" t="str">
        <f t="shared" si="44"/>
        <v/>
      </c>
      <c r="AB1426" t="str">
        <f t="shared" si="45"/>
        <v/>
      </c>
    </row>
    <row r="1427" spans="1:28" x14ac:dyDescent="0.25">
      <c r="A1427" s="2">
        <v>1010</v>
      </c>
      <c r="B1427" t="s">
        <v>4551</v>
      </c>
      <c r="C1427" t="s">
        <v>1394</v>
      </c>
      <c r="D1427" t="s">
        <v>4552</v>
      </c>
      <c r="E1427" t="s">
        <v>2607</v>
      </c>
      <c r="F1427" t="s">
        <v>4553</v>
      </c>
      <c r="G1427" s="1">
        <v>45457</v>
      </c>
      <c r="H1427" s="1">
        <v>45537</v>
      </c>
      <c r="I1427" s="1">
        <v>73050</v>
      </c>
      <c r="J1427" s="2" t="s">
        <v>357</v>
      </c>
      <c r="K1427" t="s">
        <v>4554</v>
      </c>
      <c r="M1427" s="16" t="s">
        <v>8551</v>
      </c>
      <c r="N1427" s="16" t="str">
        <f>VLOOKUP(M1427,Tab_Zast[[Zastávka]:[Sloupec1]],2,0)</f>
        <v>00</v>
      </c>
      <c r="O1427" t="s">
        <v>4255</v>
      </c>
      <c r="P1427">
        <v>3</v>
      </c>
      <c r="Q1427">
        <v>0</v>
      </c>
      <c r="R1427" t="s">
        <v>31</v>
      </c>
      <c r="S1427" t="s">
        <v>31</v>
      </c>
      <c r="T1427" t="s">
        <v>32</v>
      </c>
      <c r="V1427" s="1">
        <v>45517</v>
      </c>
      <c r="W1427" t="s">
        <v>493</v>
      </c>
      <c r="X1427">
        <v>0</v>
      </c>
      <c r="Y1427">
        <v>400</v>
      </c>
      <c r="AA1427" t="str">
        <f t="shared" si="44"/>
        <v/>
      </c>
      <c r="AB1427" t="str">
        <f t="shared" si="45"/>
        <v/>
      </c>
    </row>
    <row r="1428" spans="1:28" x14ac:dyDescent="0.25">
      <c r="A1428" s="2">
        <v>1109</v>
      </c>
      <c r="B1428" t="s">
        <v>4977</v>
      </c>
      <c r="C1428" t="s">
        <v>151</v>
      </c>
      <c r="D1428" t="s">
        <v>4387</v>
      </c>
      <c r="E1428" t="s">
        <v>4388</v>
      </c>
      <c r="F1428" t="s">
        <v>847</v>
      </c>
      <c r="G1428" s="1">
        <v>45505</v>
      </c>
      <c r="H1428" s="1">
        <v>45506</v>
      </c>
      <c r="I1428" s="1">
        <v>73050</v>
      </c>
      <c r="J1428" s="2" t="s">
        <v>357</v>
      </c>
      <c r="K1428" t="s">
        <v>4389</v>
      </c>
      <c r="M1428" s="16" t="s">
        <v>8551</v>
      </c>
      <c r="N1428" s="16" t="str">
        <f>VLOOKUP(M1428,Tab_Zast[[Zastávka]:[Sloupec1]],2,0)</f>
        <v>00</v>
      </c>
      <c r="O1428" t="s">
        <v>4390</v>
      </c>
      <c r="P1428">
        <v>4</v>
      </c>
      <c r="Q1428">
        <v>0</v>
      </c>
      <c r="R1428" t="s">
        <v>31</v>
      </c>
      <c r="S1428" t="s">
        <v>31</v>
      </c>
      <c r="T1428" t="s">
        <v>32</v>
      </c>
      <c r="V1428" s="1" t="e">
        <v>#N/A</v>
      </c>
      <c r="W1428" t="s">
        <v>62</v>
      </c>
      <c r="X1428">
        <v>0</v>
      </c>
      <c r="Y1428">
        <v>498</v>
      </c>
      <c r="AA1428" t="str">
        <f t="shared" si="44"/>
        <v/>
      </c>
      <c r="AB1428" t="str">
        <f t="shared" si="45"/>
        <v/>
      </c>
    </row>
    <row r="1429" spans="1:28" x14ac:dyDescent="0.25">
      <c r="A1429" s="2">
        <v>1113</v>
      </c>
      <c r="B1429" t="s">
        <v>4991</v>
      </c>
      <c r="C1429" t="s">
        <v>151</v>
      </c>
      <c r="D1429" t="s">
        <v>4992</v>
      </c>
      <c r="E1429" t="s">
        <v>4993</v>
      </c>
      <c r="F1429" t="s">
        <v>4994</v>
      </c>
      <c r="G1429" s="1">
        <v>45505</v>
      </c>
      <c r="H1429" s="1" t="e">
        <v>#N/A</v>
      </c>
      <c r="I1429" s="1" t="e">
        <v>#N/A</v>
      </c>
      <c r="J1429" s="2" t="s">
        <v>8531</v>
      </c>
      <c r="K1429" t="s">
        <v>4995</v>
      </c>
      <c r="M1429" s="16" t="s">
        <v>8532</v>
      </c>
      <c r="N1429" s="16" t="str">
        <f>VLOOKUP(M1429,Tab_Zast[[Zastávka]:[Sloupec1]],2,0)</f>
        <v>101</v>
      </c>
      <c r="O1429" t="s">
        <v>4996</v>
      </c>
      <c r="P1429">
        <v>4</v>
      </c>
      <c r="Q1429">
        <v>0</v>
      </c>
      <c r="R1429" t="s">
        <v>129</v>
      </c>
      <c r="S1429" t="s">
        <v>31</v>
      </c>
      <c r="T1429" t="s">
        <v>205</v>
      </c>
      <c r="V1429" s="1" t="e">
        <v>#N/A</v>
      </c>
      <c r="W1429" t="s">
        <v>62</v>
      </c>
      <c r="X1429">
        <v>1</v>
      </c>
      <c r="Y1429">
        <v>502</v>
      </c>
      <c r="AA1429" t="str">
        <f t="shared" si="44"/>
        <v>update zamestnanci set nastup='101' where id='1113';</v>
      </c>
      <c r="AB1429" t="str">
        <f t="shared" si="45"/>
        <v>update dochazka set zastavka = '101' where zamestnanec = '1113';</v>
      </c>
    </row>
    <row r="1430" spans="1:28" x14ac:dyDescent="0.25">
      <c r="A1430" s="2">
        <v>1146</v>
      </c>
      <c r="B1430" t="s">
        <v>5124</v>
      </c>
      <c r="C1430" t="s">
        <v>1394</v>
      </c>
      <c r="D1430" t="s">
        <v>5125</v>
      </c>
      <c r="E1430" t="s">
        <v>2966</v>
      </c>
      <c r="F1430" t="s">
        <v>5126</v>
      </c>
      <c r="G1430" s="1">
        <v>45519</v>
      </c>
      <c r="H1430" s="1">
        <v>45596</v>
      </c>
      <c r="I1430" s="1">
        <v>73050</v>
      </c>
      <c r="J1430" s="2" t="s">
        <v>357</v>
      </c>
      <c r="K1430" t="s">
        <v>5127</v>
      </c>
      <c r="M1430" s="16" t="s">
        <v>8551</v>
      </c>
      <c r="N1430" s="16" t="str">
        <f>VLOOKUP(M1430,Tab_Zast[[Zastávka]:[Sloupec1]],2,0)</f>
        <v>00</v>
      </c>
      <c r="O1430" t="s">
        <v>5128</v>
      </c>
      <c r="P1430">
        <v>9</v>
      </c>
      <c r="Q1430">
        <v>0</v>
      </c>
      <c r="R1430" t="s">
        <v>31</v>
      </c>
      <c r="S1430" t="s">
        <v>31</v>
      </c>
      <c r="T1430" t="s">
        <v>32</v>
      </c>
      <c r="V1430" s="1" t="e">
        <v>#N/A</v>
      </c>
      <c r="W1430" t="s">
        <v>3091</v>
      </c>
      <c r="X1430">
        <v>0</v>
      </c>
      <c r="Y1430">
        <v>538</v>
      </c>
      <c r="Z1430" t="s">
        <v>54</v>
      </c>
      <c r="AA1430" t="str">
        <f t="shared" si="44"/>
        <v/>
      </c>
      <c r="AB1430" t="str">
        <f t="shared" si="45"/>
        <v/>
      </c>
    </row>
    <row r="1431" spans="1:28" x14ac:dyDescent="0.25">
      <c r="A1431" s="2">
        <v>1166</v>
      </c>
      <c r="B1431" t="s">
        <v>5204</v>
      </c>
      <c r="C1431" t="s">
        <v>1394</v>
      </c>
      <c r="D1431" t="s">
        <v>5205</v>
      </c>
      <c r="E1431" t="s">
        <v>731</v>
      </c>
      <c r="F1431" t="s">
        <v>569</v>
      </c>
      <c r="G1431" s="1">
        <v>45524</v>
      </c>
      <c r="H1431" s="1">
        <v>45709</v>
      </c>
      <c r="I1431" s="1">
        <v>73050</v>
      </c>
      <c r="J1431" s="2" t="s">
        <v>357</v>
      </c>
      <c r="K1431" t="s">
        <v>5206</v>
      </c>
      <c r="M1431" s="16" t="s">
        <v>8551</v>
      </c>
      <c r="N1431" s="16" t="str">
        <f>VLOOKUP(M1431,Tab_Zast[[Zastávka]:[Sloupec1]],2,0)</f>
        <v>00</v>
      </c>
      <c r="O1431" t="s">
        <v>5207</v>
      </c>
      <c r="P1431">
        <v>9</v>
      </c>
      <c r="Q1431">
        <v>0</v>
      </c>
      <c r="R1431" t="s">
        <v>31</v>
      </c>
      <c r="S1431" t="s">
        <v>31</v>
      </c>
      <c r="T1431" t="s">
        <v>32</v>
      </c>
      <c r="V1431" s="1">
        <v>45707</v>
      </c>
      <c r="W1431" t="s">
        <v>3091</v>
      </c>
      <c r="X1431">
        <v>0</v>
      </c>
      <c r="Y1431">
        <v>555</v>
      </c>
      <c r="AA1431" t="str">
        <f t="shared" si="44"/>
        <v/>
      </c>
      <c r="AB1431" t="str">
        <f t="shared" si="45"/>
        <v/>
      </c>
    </row>
    <row r="1432" spans="1:28" x14ac:dyDescent="0.25">
      <c r="A1432" s="2">
        <v>1186</v>
      </c>
      <c r="B1432" t="s">
        <v>5280</v>
      </c>
      <c r="C1432" t="s">
        <v>151</v>
      </c>
      <c r="D1432" t="s">
        <v>5281</v>
      </c>
      <c r="E1432" t="s">
        <v>5282</v>
      </c>
      <c r="F1432" t="s">
        <v>977</v>
      </c>
      <c r="G1432" s="1">
        <v>45537</v>
      </c>
      <c r="H1432" s="1">
        <v>73050</v>
      </c>
      <c r="I1432" s="1" t="e">
        <v>#N/A</v>
      </c>
      <c r="J1432" s="2" t="s">
        <v>288</v>
      </c>
      <c r="K1432" t="s">
        <v>5283</v>
      </c>
      <c r="M1432" s="16" t="s">
        <v>8312</v>
      </c>
      <c r="N1432" s="16" t="str">
        <f>VLOOKUP(M1432,Tab_Zast[[Zastávka]:[Sloupec1]],2,0)</f>
        <v>21</v>
      </c>
      <c r="O1432" t="s">
        <v>5284</v>
      </c>
      <c r="P1432">
        <v>4</v>
      </c>
      <c r="Q1432">
        <v>0</v>
      </c>
      <c r="R1432" t="s">
        <v>129</v>
      </c>
      <c r="S1432" t="s">
        <v>31</v>
      </c>
      <c r="T1432" t="s">
        <v>32</v>
      </c>
      <c r="V1432" s="1" t="e">
        <v>#N/A</v>
      </c>
      <c r="W1432" t="s">
        <v>62</v>
      </c>
      <c r="X1432">
        <v>1</v>
      </c>
      <c r="Y1432">
        <v>573</v>
      </c>
      <c r="AA1432" t="str">
        <f t="shared" si="44"/>
        <v>update zamestnanci set nastup='21' where id='1186';</v>
      </c>
      <c r="AB1432" t="str">
        <f t="shared" si="45"/>
        <v>update dochazka set zastavka = '21' where zamestnanec = '1186';</v>
      </c>
    </row>
    <row r="1433" spans="1:28" x14ac:dyDescent="0.25">
      <c r="A1433" s="2">
        <v>1241</v>
      </c>
      <c r="B1433" t="s">
        <v>5499</v>
      </c>
      <c r="C1433" t="s">
        <v>1394</v>
      </c>
      <c r="D1433" t="s">
        <v>5500</v>
      </c>
      <c r="E1433" t="s">
        <v>2156</v>
      </c>
      <c r="F1433" t="s">
        <v>5501</v>
      </c>
      <c r="G1433" s="1">
        <v>44927</v>
      </c>
      <c r="H1433" s="1">
        <v>73050</v>
      </c>
      <c r="I1433" s="1" t="e">
        <v>#N/A</v>
      </c>
      <c r="J1433" s="2" t="s">
        <v>8531</v>
      </c>
      <c r="K1433" t="s">
        <v>5502</v>
      </c>
      <c r="M1433" s="16" t="s">
        <v>8532</v>
      </c>
      <c r="N1433" s="16" t="str">
        <f>VLOOKUP(M1433,Tab_Zast[[Zastávka]:[Sloupec1]],2,0)</f>
        <v>101</v>
      </c>
      <c r="O1433" t="s">
        <v>5503</v>
      </c>
      <c r="P1433">
        <v>9</v>
      </c>
      <c r="Q1433">
        <v>0</v>
      </c>
      <c r="R1433" t="s">
        <v>129</v>
      </c>
      <c r="S1433" t="s">
        <v>31</v>
      </c>
      <c r="T1433" t="s">
        <v>32</v>
      </c>
      <c r="V1433" s="1" t="e">
        <v>#N/A</v>
      </c>
      <c r="W1433" t="s">
        <v>3091</v>
      </c>
      <c r="X1433">
        <v>1</v>
      </c>
      <c r="Y1433">
        <v>634</v>
      </c>
      <c r="AA1433" t="str">
        <f t="shared" si="44"/>
        <v>update zamestnanci set nastup='101' where id='1241';</v>
      </c>
      <c r="AB1433" t="str">
        <f t="shared" si="45"/>
        <v>update dochazka set zastavka = '101' where zamestnanec = '1241';</v>
      </c>
    </row>
    <row r="1434" spans="1:28" x14ac:dyDescent="0.25">
      <c r="A1434" s="2">
        <v>1311</v>
      </c>
      <c r="B1434" t="s">
        <v>5783</v>
      </c>
      <c r="C1434" t="s">
        <v>64</v>
      </c>
      <c r="D1434" t="s">
        <v>5784</v>
      </c>
      <c r="E1434" t="s">
        <v>3373</v>
      </c>
      <c r="F1434" t="s">
        <v>5785</v>
      </c>
      <c r="G1434" s="1">
        <v>45580</v>
      </c>
      <c r="H1434" s="1">
        <v>45678</v>
      </c>
      <c r="I1434" s="1">
        <v>73050</v>
      </c>
      <c r="J1434" s="2" t="s">
        <v>357</v>
      </c>
      <c r="K1434" t="s">
        <v>5786</v>
      </c>
      <c r="M1434" s="16" t="s">
        <v>8551</v>
      </c>
      <c r="N1434" s="16" t="str">
        <f>VLOOKUP(M1434,Tab_Zast[[Zastávka]:[Sloupec1]],2,0)</f>
        <v>00</v>
      </c>
      <c r="O1434" t="s">
        <v>5211</v>
      </c>
      <c r="P1434">
        <v>4</v>
      </c>
      <c r="Q1434">
        <v>0</v>
      </c>
      <c r="R1434" t="s">
        <v>31</v>
      </c>
      <c r="S1434" t="s">
        <v>31</v>
      </c>
      <c r="T1434" t="s">
        <v>205</v>
      </c>
      <c r="V1434" s="1" t="e">
        <v>#N/A</v>
      </c>
      <c r="W1434" t="s">
        <v>62</v>
      </c>
      <c r="X1434">
        <v>0</v>
      </c>
      <c r="Y1434">
        <v>701</v>
      </c>
      <c r="AA1434" t="str">
        <f t="shared" si="44"/>
        <v/>
      </c>
      <c r="AB1434" t="str">
        <f t="shared" si="45"/>
        <v/>
      </c>
    </row>
    <row r="1435" spans="1:28" x14ac:dyDescent="0.25">
      <c r="A1435" s="2">
        <v>1315</v>
      </c>
      <c r="B1435" t="s">
        <v>5798</v>
      </c>
      <c r="C1435" t="s">
        <v>1394</v>
      </c>
      <c r="D1435" t="s">
        <v>5799</v>
      </c>
      <c r="E1435" t="s">
        <v>2451</v>
      </c>
      <c r="F1435" t="s">
        <v>1394</v>
      </c>
      <c r="G1435" s="1">
        <v>45580</v>
      </c>
      <c r="H1435" s="1">
        <v>45582</v>
      </c>
      <c r="I1435" s="1">
        <v>73050</v>
      </c>
      <c r="J1435" s="2" t="s">
        <v>357</v>
      </c>
      <c r="K1435" t="s">
        <v>5800</v>
      </c>
      <c r="M1435" s="16" t="s">
        <v>8551</v>
      </c>
      <c r="N1435" s="16" t="str">
        <f>VLOOKUP(M1435,Tab_Zast[[Zastávka]:[Sloupec1]],2,0)</f>
        <v>00</v>
      </c>
      <c r="O1435" t="s">
        <v>5801</v>
      </c>
      <c r="P1435">
        <v>9</v>
      </c>
      <c r="Q1435">
        <v>0</v>
      </c>
      <c r="R1435" t="s">
        <v>31</v>
      </c>
      <c r="S1435" t="s">
        <v>31</v>
      </c>
      <c r="T1435" t="s">
        <v>32</v>
      </c>
      <c r="V1435" s="1" t="e">
        <v>#N/A</v>
      </c>
      <c r="W1435" t="s">
        <v>3091</v>
      </c>
      <c r="X1435">
        <v>0</v>
      </c>
      <c r="Y1435">
        <v>705</v>
      </c>
      <c r="Z1435" t="s">
        <v>54</v>
      </c>
      <c r="AA1435" t="str">
        <f t="shared" si="44"/>
        <v/>
      </c>
      <c r="AB1435" t="str">
        <f t="shared" si="45"/>
        <v/>
      </c>
    </row>
    <row r="1436" spans="1:28" x14ac:dyDescent="0.25">
      <c r="A1436" s="2">
        <v>1331</v>
      </c>
      <c r="B1436" t="s">
        <v>5862</v>
      </c>
      <c r="C1436" t="s">
        <v>64</v>
      </c>
      <c r="D1436" t="s">
        <v>4521</v>
      </c>
      <c r="E1436" t="s">
        <v>2120</v>
      </c>
      <c r="F1436" t="s">
        <v>569</v>
      </c>
      <c r="G1436" s="1">
        <v>45586</v>
      </c>
      <c r="H1436" s="1">
        <v>45741</v>
      </c>
      <c r="I1436" s="1">
        <v>73050</v>
      </c>
      <c r="J1436" s="2" t="s">
        <v>357</v>
      </c>
      <c r="K1436" t="s">
        <v>5863</v>
      </c>
      <c r="M1436" s="16" t="s">
        <v>8551</v>
      </c>
      <c r="N1436" s="16" t="str">
        <f>VLOOKUP(M1436,Tab_Zast[[Zastávka]:[Sloupec1]],2,0)</f>
        <v>00</v>
      </c>
      <c r="O1436" t="s">
        <v>5864</v>
      </c>
      <c r="P1436">
        <v>1</v>
      </c>
      <c r="Q1436">
        <v>0</v>
      </c>
      <c r="R1436" t="s">
        <v>31</v>
      </c>
      <c r="S1436" t="s">
        <v>31</v>
      </c>
      <c r="T1436" t="s">
        <v>32</v>
      </c>
      <c r="V1436" s="1" t="e">
        <v>#N/A</v>
      </c>
      <c r="W1436" t="s">
        <v>47</v>
      </c>
      <c r="X1436">
        <v>0</v>
      </c>
      <c r="Y1436">
        <v>718</v>
      </c>
      <c r="AA1436" t="str">
        <f t="shared" si="44"/>
        <v/>
      </c>
      <c r="AB1436" t="str">
        <f t="shared" si="45"/>
        <v/>
      </c>
    </row>
    <row r="1437" spans="1:28" x14ac:dyDescent="0.25">
      <c r="A1437" s="2">
        <v>1349</v>
      </c>
      <c r="B1437" t="s">
        <v>5929</v>
      </c>
      <c r="C1437" t="s">
        <v>1394</v>
      </c>
      <c r="D1437" t="s">
        <v>5930</v>
      </c>
      <c r="E1437" t="s">
        <v>2883</v>
      </c>
      <c r="F1437" t="s">
        <v>5931</v>
      </c>
      <c r="G1437" s="1">
        <v>45601</v>
      </c>
      <c r="H1437" s="1">
        <v>45674</v>
      </c>
      <c r="I1437" s="1">
        <v>73050</v>
      </c>
      <c r="J1437" s="2" t="s">
        <v>357</v>
      </c>
      <c r="K1437" t="s">
        <v>5932</v>
      </c>
      <c r="M1437" s="16" t="s">
        <v>8551</v>
      </c>
      <c r="N1437" s="16" t="str">
        <f>VLOOKUP(M1437,Tab_Zast[[Zastávka]:[Sloupec1]],2,0)</f>
        <v>00</v>
      </c>
      <c r="O1437" t="s">
        <v>5933</v>
      </c>
      <c r="P1437">
        <v>9</v>
      </c>
      <c r="Q1437">
        <v>0</v>
      </c>
      <c r="R1437" t="s">
        <v>31</v>
      </c>
      <c r="S1437" t="s">
        <v>31</v>
      </c>
      <c r="T1437" t="s">
        <v>32</v>
      </c>
      <c r="V1437" s="1" t="e">
        <v>#N/A</v>
      </c>
      <c r="W1437" t="s">
        <v>3091</v>
      </c>
      <c r="X1437">
        <v>0</v>
      </c>
      <c r="Y1437">
        <v>739</v>
      </c>
      <c r="AA1437" t="str">
        <f t="shared" si="44"/>
        <v/>
      </c>
      <c r="AB1437" t="str">
        <f t="shared" si="45"/>
        <v/>
      </c>
    </row>
    <row r="1438" spans="1:28" x14ac:dyDescent="0.25">
      <c r="A1438" s="2">
        <v>1350</v>
      </c>
      <c r="B1438" t="s">
        <v>5934</v>
      </c>
      <c r="C1438" t="s">
        <v>1394</v>
      </c>
      <c r="D1438" t="s">
        <v>5935</v>
      </c>
      <c r="E1438" t="s">
        <v>643</v>
      </c>
      <c r="F1438" t="s">
        <v>4357</v>
      </c>
      <c r="G1438" s="1">
        <v>45601</v>
      </c>
      <c r="H1438" s="1">
        <v>45614</v>
      </c>
      <c r="I1438" s="1">
        <v>73050</v>
      </c>
      <c r="J1438" s="2" t="s">
        <v>357</v>
      </c>
      <c r="K1438" t="s">
        <v>5936</v>
      </c>
      <c r="M1438" s="16" t="s">
        <v>8551</v>
      </c>
      <c r="N1438" s="16" t="str">
        <f>VLOOKUP(M1438,Tab_Zast[[Zastávka]:[Sloupec1]],2,0)</f>
        <v>00</v>
      </c>
      <c r="O1438" t="s">
        <v>5937</v>
      </c>
      <c r="P1438">
        <v>9</v>
      </c>
      <c r="Q1438">
        <v>0</v>
      </c>
      <c r="R1438" t="s">
        <v>31</v>
      </c>
      <c r="S1438" t="s">
        <v>31</v>
      </c>
      <c r="T1438" t="s">
        <v>32</v>
      </c>
      <c r="V1438" s="1" t="e">
        <v>#N/A</v>
      </c>
      <c r="W1438" t="s">
        <v>3091</v>
      </c>
      <c r="X1438">
        <v>0</v>
      </c>
      <c r="Y1438">
        <v>740</v>
      </c>
      <c r="Z1438" t="s">
        <v>54</v>
      </c>
      <c r="AA1438" t="str">
        <f t="shared" si="44"/>
        <v/>
      </c>
      <c r="AB1438" t="str">
        <f t="shared" si="45"/>
        <v/>
      </c>
    </row>
    <row r="1439" spans="1:28" x14ac:dyDescent="0.25">
      <c r="A1439" s="2">
        <v>1356</v>
      </c>
      <c r="B1439" t="s">
        <v>5956</v>
      </c>
      <c r="C1439" t="s">
        <v>64</v>
      </c>
      <c r="D1439" t="s">
        <v>5913</v>
      </c>
      <c r="E1439" t="s">
        <v>2096</v>
      </c>
      <c r="F1439" t="s">
        <v>64</v>
      </c>
      <c r="G1439" s="1">
        <v>45607</v>
      </c>
      <c r="H1439" s="1">
        <v>45747</v>
      </c>
      <c r="I1439" s="1">
        <v>73050</v>
      </c>
      <c r="J1439" s="2" t="s">
        <v>357</v>
      </c>
      <c r="K1439" t="s">
        <v>5914</v>
      </c>
      <c r="M1439" s="16" t="s">
        <v>8551</v>
      </c>
      <c r="N1439" s="16" t="str">
        <f>VLOOKUP(M1439,Tab_Zast[[Zastávka]:[Sloupec1]],2,0)</f>
        <v>00</v>
      </c>
      <c r="O1439" t="s">
        <v>5915</v>
      </c>
      <c r="P1439">
        <v>1</v>
      </c>
      <c r="Q1439">
        <v>0</v>
      </c>
      <c r="R1439" t="s">
        <v>31</v>
      </c>
      <c r="S1439" t="s">
        <v>31</v>
      </c>
      <c r="T1439" t="s">
        <v>32</v>
      </c>
      <c r="V1439" s="1">
        <v>45740</v>
      </c>
      <c r="W1439" t="s">
        <v>47</v>
      </c>
      <c r="X1439">
        <v>0</v>
      </c>
      <c r="Y1439">
        <v>746</v>
      </c>
      <c r="AA1439" t="str">
        <f t="shared" si="44"/>
        <v/>
      </c>
      <c r="AB1439" t="str">
        <f t="shared" si="45"/>
        <v/>
      </c>
    </row>
    <row r="1440" spans="1:28" x14ac:dyDescent="0.25">
      <c r="A1440" s="2">
        <v>1414</v>
      </c>
      <c r="B1440" t="s">
        <v>6184</v>
      </c>
      <c r="C1440" t="s">
        <v>64</v>
      </c>
      <c r="D1440" t="s">
        <v>6185</v>
      </c>
      <c r="E1440" t="s">
        <v>4305</v>
      </c>
      <c r="F1440" t="s">
        <v>569</v>
      </c>
      <c r="G1440" s="1">
        <v>45628</v>
      </c>
      <c r="H1440" s="1">
        <v>45740</v>
      </c>
      <c r="I1440" s="1">
        <v>73050</v>
      </c>
      <c r="J1440" s="2" t="s">
        <v>357</v>
      </c>
      <c r="K1440" t="s">
        <v>6186</v>
      </c>
      <c r="M1440" s="16" t="s">
        <v>8551</v>
      </c>
      <c r="N1440" s="16" t="str">
        <f>VLOOKUP(M1440,Tab_Zast[[Zastávka]:[Sloupec1]],2,0)</f>
        <v>00</v>
      </c>
      <c r="O1440" t="s">
        <v>6187</v>
      </c>
      <c r="P1440">
        <v>1</v>
      </c>
      <c r="Q1440">
        <v>0</v>
      </c>
      <c r="R1440" t="s">
        <v>31</v>
      </c>
      <c r="S1440" t="s">
        <v>31</v>
      </c>
      <c r="T1440" t="s">
        <v>32</v>
      </c>
      <c r="V1440" s="1" t="e">
        <v>#N/A</v>
      </c>
      <c r="W1440" t="s">
        <v>47</v>
      </c>
      <c r="X1440">
        <v>0</v>
      </c>
      <c r="Y1440">
        <v>803</v>
      </c>
      <c r="AA1440" t="str">
        <f t="shared" si="44"/>
        <v/>
      </c>
      <c r="AB1440" t="str">
        <f t="shared" si="45"/>
        <v/>
      </c>
    </row>
    <row r="1441" spans="1:28" x14ac:dyDescent="0.25">
      <c r="A1441" s="2">
        <v>1454</v>
      </c>
      <c r="B1441" t="s">
        <v>6336</v>
      </c>
      <c r="C1441" t="s">
        <v>64</v>
      </c>
      <c r="D1441" t="s">
        <v>6316</v>
      </c>
      <c r="E1441" t="s">
        <v>2391</v>
      </c>
      <c r="F1441" t="s">
        <v>3594</v>
      </c>
      <c r="G1441" s="1">
        <v>45681</v>
      </c>
      <c r="H1441" s="1">
        <v>45716</v>
      </c>
      <c r="I1441" s="1">
        <v>73050</v>
      </c>
      <c r="J1441" s="2" t="s">
        <v>357</v>
      </c>
      <c r="K1441" t="s">
        <v>6337</v>
      </c>
      <c r="M1441" s="16" t="s">
        <v>8551</v>
      </c>
      <c r="N1441" s="16" t="str">
        <f>VLOOKUP(M1441,Tab_Zast[[Zastávka]:[Sloupec1]],2,0)</f>
        <v>00</v>
      </c>
      <c r="O1441" t="s">
        <v>6338</v>
      </c>
      <c r="P1441">
        <v>4</v>
      </c>
      <c r="Q1441">
        <v>0</v>
      </c>
      <c r="R1441" t="s">
        <v>31</v>
      </c>
      <c r="S1441" t="s">
        <v>31</v>
      </c>
      <c r="T1441" t="s">
        <v>32</v>
      </c>
      <c r="V1441" s="1" t="e">
        <v>#N/A</v>
      </c>
      <c r="W1441" t="s">
        <v>62</v>
      </c>
      <c r="X1441">
        <v>0</v>
      </c>
      <c r="Y1441">
        <v>843</v>
      </c>
      <c r="AA1441" t="str">
        <f t="shared" si="44"/>
        <v/>
      </c>
      <c r="AB1441" t="str">
        <f t="shared" si="45"/>
        <v/>
      </c>
    </row>
    <row r="1442" spans="1:28" x14ac:dyDescent="0.25">
      <c r="A1442" s="2">
        <v>1459</v>
      </c>
      <c r="B1442" t="s">
        <v>6357</v>
      </c>
      <c r="C1442" t="s">
        <v>64</v>
      </c>
      <c r="D1442" t="s">
        <v>6358</v>
      </c>
      <c r="E1442" t="s">
        <v>617</v>
      </c>
      <c r="F1442" t="s">
        <v>6359</v>
      </c>
      <c r="G1442" s="1">
        <v>45685</v>
      </c>
      <c r="H1442" s="1">
        <v>45765</v>
      </c>
      <c r="I1442" s="1">
        <v>73050</v>
      </c>
      <c r="J1442" s="2" t="s">
        <v>357</v>
      </c>
      <c r="K1442" t="s">
        <v>6360</v>
      </c>
      <c r="M1442" s="16" t="s">
        <v>8551</v>
      </c>
      <c r="N1442" s="16" t="str">
        <f>VLOOKUP(M1442,Tab_Zast[[Zastávka]:[Sloupec1]],2,0)</f>
        <v>00</v>
      </c>
      <c r="O1442" t="s">
        <v>6361</v>
      </c>
      <c r="P1442">
        <v>8</v>
      </c>
      <c r="Q1442">
        <v>0</v>
      </c>
      <c r="R1442" t="s">
        <v>31</v>
      </c>
      <c r="S1442" t="s">
        <v>31</v>
      </c>
      <c r="T1442" t="s">
        <v>32</v>
      </c>
      <c r="V1442" s="1">
        <v>45743</v>
      </c>
      <c r="W1442" t="s">
        <v>493</v>
      </c>
      <c r="X1442">
        <v>0</v>
      </c>
      <c r="Y1442">
        <v>848</v>
      </c>
      <c r="AA1442" t="str">
        <f t="shared" si="44"/>
        <v/>
      </c>
      <c r="AB1442" t="str">
        <f t="shared" si="45"/>
        <v/>
      </c>
    </row>
    <row r="1443" spans="1:28" x14ac:dyDescent="0.25">
      <c r="A1443" s="2">
        <v>1484</v>
      </c>
      <c r="B1443" t="s">
        <v>6450</v>
      </c>
      <c r="C1443" t="s">
        <v>569</v>
      </c>
      <c r="D1443" t="s">
        <v>6451</v>
      </c>
      <c r="E1443" t="s">
        <v>4305</v>
      </c>
      <c r="F1443" t="s">
        <v>569</v>
      </c>
      <c r="G1443" s="1">
        <v>45712</v>
      </c>
      <c r="H1443" s="1">
        <v>45714</v>
      </c>
      <c r="I1443" s="1">
        <v>73050</v>
      </c>
      <c r="J1443" s="2" t="s">
        <v>357</v>
      </c>
      <c r="K1443" t="s">
        <v>6452</v>
      </c>
      <c r="M1443" s="16" t="s">
        <v>8551</v>
      </c>
      <c r="N1443" s="16" t="str">
        <f>VLOOKUP(M1443,Tab_Zast[[Zastávka]:[Sloupec1]],2,0)</f>
        <v>00</v>
      </c>
      <c r="O1443" t="s">
        <v>6453</v>
      </c>
      <c r="P1443">
        <v>9</v>
      </c>
      <c r="Q1443">
        <v>0</v>
      </c>
      <c r="R1443" t="s">
        <v>31</v>
      </c>
      <c r="S1443" t="s">
        <v>31</v>
      </c>
      <c r="T1443" t="s">
        <v>32</v>
      </c>
      <c r="V1443" s="1" t="e">
        <v>#N/A</v>
      </c>
      <c r="W1443" t="s">
        <v>3091</v>
      </c>
      <c r="X1443">
        <v>0</v>
      </c>
      <c r="Y1443">
        <v>875</v>
      </c>
      <c r="AA1443" t="str">
        <f t="shared" si="44"/>
        <v/>
      </c>
      <c r="AB1443" t="str">
        <f t="shared" si="45"/>
        <v/>
      </c>
    </row>
    <row r="1444" spans="1:28" x14ac:dyDescent="0.25">
      <c r="A1444" s="2">
        <v>1487</v>
      </c>
      <c r="B1444" t="s">
        <v>6463</v>
      </c>
      <c r="C1444" t="s">
        <v>569</v>
      </c>
      <c r="D1444" t="s">
        <v>4733</v>
      </c>
      <c r="E1444" t="s">
        <v>1509</v>
      </c>
      <c r="F1444" t="s">
        <v>357</v>
      </c>
      <c r="G1444" s="1">
        <v>45712</v>
      </c>
      <c r="H1444" s="1">
        <v>45527</v>
      </c>
      <c r="I1444" s="1">
        <v>73050</v>
      </c>
      <c r="J1444" s="2" t="s">
        <v>357</v>
      </c>
      <c r="K1444" t="s">
        <v>6464</v>
      </c>
      <c r="M1444" s="16" t="s">
        <v>8551</v>
      </c>
      <c r="N1444" s="16" t="str">
        <f>VLOOKUP(M1444,Tab_Zast[[Zastávka]:[Sloupec1]],2,0)</f>
        <v>00</v>
      </c>
      <c r="O1444" t="s">
        <v>4736</v>
      </c>
      <c r="P1444">
        <v>9</v>
      </c>
      <c r="Q1444">
        <v>0</v>
      </c>
      <c r="R1444" t="s">
        <v>31</v>
      </c>
      <c r="S1444" t="s">
        <v>31</v>
      </c>
      <c r="T1444" t="s">
        <v>32</v>
      </c>
      <c r="V1444" s="1" t="e">
        <v>#N/A</v>
      </c>
      <c r="W1444" t="s">
        <v>3091</v>
      </c>
      <c r="X1444">
        <v>0</v>
      </c>
      <c r="Y1444">
        <v>878</v>
      </c>
      <c r="AA1444" t="str">
        <f t="shared" si="44"/>
        <v/>
      </c>
      <c r="AB1444" t="str">
        <f t="shared" si="45"/>
        <v/>
      </c>
    </row>
    <row r="1445" spans="1:28" x14ac:dyDescent="0.25">
      <c r="A1445" s="2">
        <v>1680</v>
      </c>
      <c r="B1445" t="s">
        <v>64</v>
      </c>
      <c r="C1445" t="s">
        <v>64</v>
      </c>
      <c r="D1445" t="s">
        <v>7158</v>
      </c>
      <c r="E1445" t="s">
        <v>7159</v>
      </c>
      <c r="F1445" t="s">
        <v>7160</v>
      </c>
      <c r="G1445" s="1">
        <v>45824</v>
      </c>
      <c r="H1445" s="1">
        <v>45825</v>
      </c>
      <c r="I1445" s="1">
        <v>73050</v>
      </c>
      <c r="J1445" s="2" t="s">
        <v>357</v>
      </c>
      <c r="K1445" t="s">
        <v>7161</v>
      </c>
      <c r="M1445" s="16" t="s">
        <v>8551</v>
      </c>
      <c r="N1445" s="16" t="str">
        <f>VLOOKUP(M1445,Tab_Zast[[Zastávka]:[Sloupec1]],2,0)</f>
        <v>00</v>
      </c>
      <c r="O1445" t="s">
        <v>7162</v>
      </c>
      <c r="P1445">
        <v>8</v>
      </c>
      <c r="Q1445">
        <v>0</v>
      </c>
      <c r="R1445" t="s">
        <v>129</v>
      </c>
      <c r="S1445" t="s">
        <v>179</v>
      </c>
      <c r="T1445" t="s">
        <v>32</v>
      </c>
      <c r="V1445" s="1" t="e">
        <v>#N/A</v>
      </c>
      <c r="W1445" t="s">
        <v>3023</v>
      </c>
      <c r="X1445">
        <v>0</v>
      </c>
      <c r="Y1445">
        <v>1078</v>
      </c>
      <c r="AA1445" t="str">
        <f t="shared" si="44"/>
        <v/>
      </c>
      <c r="AB1445" t="str">
        <f t="shared" si="45"/>
        <v/>
      </c>
    </row>
    <row r="1446" spans="1:28" x14ac:dyDescent="0.25">
      <c r="A1446" s="2">
        <v>1703</v>
      </c>
      <c r="B1446" t="s">
        <v>7226</v>
      </c>
      <c r="C1446" t="s">
        <v>569</v>
      </c>
      <c r="D1446" t="s">
        <v>7227</v>
      </c>
      <c r="E1446" t="s">
        <v>2607</v>
      </c>
      <c r="F1446" t="s">
        <v>7228</v>
      </c>
      <c r="G1446" s="1">
        <v>45832</v>
      </c>
      <c r="H1446" s="1" t="e">
        <v>#N/A</v>
      </c>
      <c r="I1446" s="1" t="e">
        <v>#N/A</v>
      </c>
      <c r="J1446" s="2" t="s">
        <v>1326</v>
      </c>
      <c r="K1446" t="s">
        <v>7229</v>
      </c>
      <c r="M1446" s="16" t="s">
        <v>8381</v>
      </c>
      <c r="N1446" s="16" t="str">
        <f>VLOOKUP(M1446,Tab_Zast[[Zastávka]:[Sloupec1]],2,0)</f>
        <v>49</v>
      </c>
      <c r="O1446" t="s">
        <v>7230</v>
      </c>
      <c r="P1446">
        <v>8</v>
      </c>
      <c r="Q1446">
        <v>0</v>
      </c>
      <c r="R1446" t="s">
        <v>130</v>
      </c>
      <c r="S1446" t="s">
        <v>31</v>
      </c>
      <c r="T1446" t="s">
        <v>32</v>
      </c>
      <c r="V1446" s="1" t="e">
        <v>#N/A</v>
      </c>
      <c r="W1446" t="s">
        <v>493</v>
      </c>
      <c r="X1446">
        <v>1</v>
      </c>
      <c r="Y1446">
        <v>1095</v>
      </c>
      <c r="AA1446" t="str">
        <f t="shared" si="44"/>
        <v>update zamestnanci set nastup='49' where id='1703';</v>
      </c>
      <c r="AB1446" t="str">
        <f t="shared" si="45"/>
        <v>update dochazka set zastavka = '49' where zamestnanec = '1703';</v>
      </c>
    </row>
    <row r="1447" spans="1:28" x14ac:dyDescent="0.25">
      <c r="A1447" s="2">
        <v>1724</v>
      </c>
      <c r="B1447" t="s">
        <v>7311</v>
      </c>
      <c r="C1447" t="s">
        <v>569</v>
      </c>
      <c r="D1447" t="s">
        <v>7312</v>
      </c>
      <c r="E1447" t="s">
        <v>7313</v>
      </c>
      <c r="F1447" t="s">
        <v>7314</v>
      </c>
      <c r="G1447" s="1">
        <v>45839</v>
      </c>
      <c r="H1447" s="1" t="e">
        <v>#N/A</v>
      </c>
      <c r="I1447" s="1" t="e">
        <v>#N/A</v>
      </c>
      <c r="J1447" s="2" t="s">
        <v>555</v>
      </c>
      <c r="K1447" t="s">
        <v>7315</v>
      </c>
      <c r="M1447" s="16" t="s">
        <v>8420</v>
      </c>
      <c r="N1447" s="16" t="str">
        <f>VLOOKUP(M1447,Tab_Zast[[Zastávka]:[Sloupec1]],2,0)</f>
        <v>62</v>
      </c>
      <c r="O1447" t="s">
        <v>7316</v>
      </c>
      <c r="P1447">
        <v>8</v>
      </c>
      <c r="Q1447">
        <v>0</v>
      </c>
      <c r="R1447" t="s">
        <v>129</v>
      </c>
      <c r="S1447" t="s">
        <v>31</v>
      </c>
      <c r="T1447" t="s">
        <v>32</v>
      </c>
      <c r="V1447" s="1" t="e">
        <v>#N/A</v>
      </c>
      <c r="W1447" t="s">
        <v>493</v>
      </c>
      <c r="X1447">
        <v>1</v>
      </c>
      <c r="Y1447">
        <v>1116</v>
      </c>
      <c r="AA1447" t="str">
        <f t="shared" si="44"/>
        <v>update zamestnanci set nastup='62' where id='1724';</v>
      </c>
      <c r="AB1447" t="str">
        <f t="shared" si="45"/>
        <v>update dochazka set zastavka = '62' where zamestnanec = '1724';</v>
      </c>
    </row>
    <row r="1448" spans="1:28" x14ac:dyDescent="0.25">
      <c r="A1448" s="2">
        <v>1741</v>
      </c>
      <c r="B1448" t="s">
        <v>7381</v>
      </c>
      <c r="C1448" t="s">
        <v>569</v>
      </c>
      <c r="D1448" t="s">
        <v>2761</v>
      </c>
      <c r="E1448" t="s">
        <v>2156</v>
      </c>
      <c r="F1448" t="s">
        <v>7382</v>
      </c>
      <c r="G1448" s="1">
        <v>45852</v>
      </c>
      <c r="H1448" s="1">
        <v>45926</v>
      </c>
      <c r="I1448" s="1">
        <v>73050</v>
      </c>
      <c r="J1448" s="2" t="s">
        <v>357</v>
      </c>
      <c r="K1448" t="s">
        <v>7383</v>
      </c>
      <c r="M1448" s="16" t="s">
        <v>8551</v>
      </c>
      <c r="N1448" s="16" t="str">
        <f>VLOOKUP(M1448,Tab_Zast[[Zastávka]:[Sloupec1]],2,0)</f>
        <v>00</v>
      </c>
      <c r="O1448" t="s">
        <v>7384</v>
      </c>
      <c r="P1448">
        <v>6</v>
      </c>
      <c r="Q1448">
        <v>0</v>
      </c>
      <c r="R1448" t="s">
        <v>31</v>
      </c>
      <c r="S1448" t="s">
        <v>31</v>
      </c>
      <c r="T1448" t="s">
        <v>32</v>
      </c>
      <c r="V1448" s="1" t="e">
        <v>#N/A</v>
      </c>
      <c r="W1448" t="s">
        <v>3052</v>
      </c>
      <c r="X1448">
        <v>0</v>
      </c>
      <c r="Y1448">
        <v>1127</v>
      </c>
      <c r="AA1448" t="str">
        <f t="shared" si="44"/>
        <v/>
      </c>
      <c r="AB1448" t="str">
        <f t="shared" si="45"/>
        <v/>
      </c>
    </row>
    <row r="1449" spans="1:28" x14ac:dyDescent="0.25">
      <c r="A1449" s="2">
        <v>1881</v>
      </c>
      <c r="B1449" t="s">
        <v>7918</v>
      </c>
      <c r="C1449" t="s">
        <v>569</v>
      </c>
      <c r="D1449" t="s">
        <v>6175</v>
      </c>
      <c r="E1449" t="s">
        <v>4016</v>
      </c>
      <c r="F1449" t="s">
        <v>7919</v>
      </c>
      <c r="G1449" s="1">
        <v>45945</v>
      </c>
      <c r="H1449" s="1" t="e">
        <v>#N/A</v>
      </c>
      <c r="I1449" s="1" t="e">
        <v>#N/A</v>
      </c>
      <c r="J1449" s="2" t="s">
        <v>8258</v>
      </c>
      <c r="K1449" t="s">
        <v>7920</v>
      </c>
      <c r="L1449" t="s">
        <v>7921</v>
      </c>
      <c r="M1449" s="16" t="s">
        <v>8259</v>
      </c>
      <c r="N1449" s="16" t="str">
        <f>VLOOKUP(M1449,Tab_Zast[[Zastávka]:[Sloupec1]],2,0)</f>
        <v>03</v>
      </c>
      <c r="O1449" t="s">
        <v>7917</v>
      </c>
      <c r="P1449">
        <v>8</v>
      </c>
      <c r="Q1449">
        <v>0</v>
      </c>
      <c r="R1449" t="s">
        <v>129</v>
      </c>
      <c r="S1449" t="s">
        <v>31</v>
      </c>
      <c r="T1449" t="s">
        <v>32</v>
      </c>
      <c r="V1449" s="1" t="e">
        <v>#N/A</v>
      </c>
      <c r="W1449" t="s">
        <v>3023</v>
      </c>
      <c r="X1449">
        <v>1</v>
      </c>
      <c r="Y1449">
        <v>1280</v>
      </c>
      <c r="AA1449" t="str">
        <f t="shared" si="44"/>
        <v>update zamestnanci set nastup='03' where id='1881';</v>
      </c>
      <c r="AB1449" t="str">
        <f t="shared" si="45"/>
        <v>update dochazka set zastavka = '03' where zamestnanec = '1881';</v>
      </c>
    </row>
    <row r="1450" spans="1:28" x14ac:dyDescent="0.25">
      <c r="A1450" s="2">
        <v>1887</v>
      </c>
      <c r="B1450" t="s">
        <v>7939</v>
      </c>
      <c r="C1450" t="s">
        <v>569</v>
      </c>
      <c r="D1450" t="s">
        <v>2327</v>
      </c>
      <c r="E1450" t="s">
        <v>755</v>
      </c>
      <c r="F1450" t="s">
        <v>7940</v>
      </c>
      <c r="G1450" s="1">
        <v>45950</v>
      </c>
      <c r="H1450" s="1" t="e">
        <v>#N/A</v>
      </c>
      <c r="I1450" s="1" t="e">
        <v>#N/A</v>
      </c>
      <c r="J1450" s="2" t="s">
        <v>8309</v>
      </c>
      <c r="K1450" t="s">
        <v>6327</v>
      </c>
      <c r="L1450" t="s">
        <v>7941</v>
      </c>
      <c r="M1450" s="16" t="s">
        <v>8310</v>
      </c>
      <c r="N1450" s="16" t="str">
        <f>VLOOKUP(M1450,Tab_Zast[[Zastávka]:[Sloupec1]],2,0)</f>
        <v>20</v>
      </c>
      <c r="O1450" t="s">
        <v>7942</v>
      </c>
      <c r="P1450">
        <v>8</v>
      </c>
      <c r="Q1450">
        <v>0</v>
      </c>
      <c r="R1450" t="s">
        <v>129</v>
      </c>
      <c r="S1450" t="s">
        <v>31</v>
      </c>
      <c r="T1450" t="s">
        <v>32</v>
      </c>
      <c r="V1450" s="1" t="e">
        <v>#N/A</v>
      </c>
      <c r="W1450" t="s">
        <v>3023</v>
      </c>
      <c r="X1450">
        <v>1</v>
      </c>
      <c r="Y1450">
        <v>1281</v>
      </c>
      <c r="AA1450" t="str">
        <f t="shared" si="44"/>
        <v>update zamestnanci set nastup='20' where id='1887';</v>
      </c>
      <c r="AB1450" t="str">
        <f t="shared" si="45"/>
        <v>update dochazka set zastavka = '20' where zamestnanec = '1887';</v>
      </c>
    </row>
    <row r="1451" spans="1:28" x14ac:dyDescent="0.25">
      <c r="A1451" s="2">
        <v>1888</v>
      </c>
      <c r="B1451" t="s">
        <v>7943</v>
      </c>
      <c r="C1451" t="s">
        <v>569</v>
      </c>
      <c r="D1451" t="s">
        <v>7944</v>
      </c>
      <c r="E1451" t="s">
        <v>2613</v>
      </c>
      <c r="F1451" t="s">
        <v>7945</v>
      </c>
      <c r="G1451" s="1">
        <v>45950</v>
      </c>
      <c r="H1451" s="1" t="e">
        <v>#N/A</v>
      </c>
      <c r="I1451" s="1" t="e">
        <v>#N/A</v>
      </c>
      <c r="J1451" s="2" t="s">
        <v>2376</v>
      </c>
      <c r="K1451" t="s">
        <v>7946</v>
      </c>
      <c r="M1451" s="16" t="s">
        <v>8522</v>
      </c>
      <c r="N1451" s="16" t="str">
        <f>VLOOKUP(M1451,Tab_Zast[[Zastávka]:[Sloupec1]],2,0)</f>
        <v>98</v>
      </c>
      <c r="O1451" t="s">
        <v>7947</v>
      </c>
      <c r="P1451">
        <v>8</v>
      </c>
      <c r="Q1451">
        <v>0</v>
      </c>
      <c r="R1451" t="s">
        <v>129</v>
      </c>
      <c r="S1451" t="s">
        <v>31</v>
      </c>
      <c r="T1451" t="s">
        <v>32</v>
      </c>
      <c r="V1451" s="1" t="e">
        <v>#N/A</v>
      </c>
      <c r="W1451" t="s">
        <v>3023</v>
      </c>
      <c r="X1451">
        <v>1</v>
      </c>
      <c r="Y1451">
        <v>1282</v>
      </c>
      <c r="AA1451" t="str">
        <f t="shared" si="44"/>
        <v>update zamestnanci set nastup='98' where id='1888';</v>
      </c>
      <c r="AB1451" t="str">
        <f t="shared" si="45"/>
        <v>update dochazka set zastavka = '98' where zamestnanec = '1888';</v>
      </c>
    </row>
    <row r="1452" spans="1:28" x14ac:dyDescent="0.25">
      <c r="A1452" s="2">
        <v>1920</v>
      </c>
      <c r="B1452" t="s">
        <v>8081</v>
      </c>
      <c r="C1452" t="s">
        <v>569</v>
      </c>
      <c r="D1452" t="s">
        <v>8082</v>
      </c>
      <c r="E1452" t="s">
        <v>1947</v>
      </c>
      <c r="F1452" t="s">
        <v>8083</v>
      </c>
      <c r="G1452" s="1">
        <v>45979</v>
      </c>
      <c r="H1452" s="1" t="e">
        <v>#N/A</v>
      </c>
      <c r="I1452" s="1" t="e">
        <v>#N/A</v>
      </c>
      <c r="J1452" s="2" t="s">
        <v>642</v>
      </c>
      <c r="K1452" t="s">
        <v>8084</v>
      </c>
      <c r="L1452" t="s">
        <v>8085</v>
      </c>
      <c r="M1452" s="16" t="s">
        <v>8457</v>
      </c>
      <c r="N1452" s="16" t="str">
        <f>VLOOKUP(M1452,Tab_Zast[[Zastávka]:[Sloupec1]],2,0)</f>
        <v>77</v>
      </c>
      <c r="O1452" t="s">
        <v>8086</v>
      </c>
      <c r="P1452">
        <v>8</v>
      </c>
      <c r="Q1452">
        <v>0</v>
      </c>
      <c r="R1452" t="s">
        <v>129</v>
      </c>
      <c r="S1452" t="s">
        <v>31</v>
      </c>
      <c r="T1452" t="s">
        <v>32</v>
      </c>
      <c r="V1452" s="1" t="e">
        <v>#N/A</v>
      </c>
      <c r="W1452" t="s">
        <v>3023</v>
      </c>
      <c r="X1452">
        <v>1</v>
      </c>
      <c r="Y1452">
        <v>1321</v>
      </c>
      <c r="AA1452" t="str">
        <f t="shared" si="44"/>
        <v>update zamestnanci set nastup='77' where id='1920';</v>
      </c>
      <c r="AB1452" t="str">
        <f t="shared" si="45"/>
        <v>update dochazka set zastavka = '77' where zamestnanec = '1920';</v>
      </c>
    </row>
    <row r="1453" spans="1:28" x14ac:dyDescent="0.25">
      <c r="A1453" s="2">
        <v>1928</v>
      </c>
      <c r="B1453" t="s">
        <v>8119</v>
      </c>
      <c r="C1453" t="s">
        <v>569</v>
      </c>
      <c r="D1453" t="s">
        <v>8120</v>
      </c>
      <c r="E1453" t="s">
        <v>755</v>
      </c>
      <c r="F1453" t="s">
        <v>1394</v>
      </c>
      <c r="G1453" s="1">
        <v>45985</v>
      </c>
      <c r="H1453" s="1">
        <v>45989</v>
      </c>
      <c r="I1453" s="1" t="e">
        <v>#N/A</v>
      </c>
      <c r="J1453" s="2" t="s">
        <v>357</v>
      </c>
      <c r="K1453" t="s">
        <v>8121</v>
      </c>
      <c r="M1453" s="16" t="s">
        <v>8551</v>
      </c>
      <c r="N1453" s="16" t="str">
        <f>VLOOKUP(M1453,Tab_Zast[[Zastávka]:[Sloupec1]],2,0)</f>
        <v>00</v>
      </c>
      <c r="O1453" t="s">
        <v>8122</v>
      </c>
      <c r="P1453">
        <v>8</v>
      </c>
      <c r="Q1453">
        <v>0</v>
      </c>
      <c r="R1453" t="s">
        <v>31</v>
      </c>
      <c r="S1453" t="s">
        <v>31</v>
      </c>
      <c r="T1453" t="s">
        <v>32</v>
      </c>
      <c r="V1453" s="1" t="e">
        <v>#N/A</v>
      </c>
      <c r="W1453" t="s">
        <v>3023</v>
      </c>
      <c r="X1453">
        <v>0</v>
      </c>
      <c r="Y1453">
        <v>1333</v>
      </c>
      <c r="AA1453" t="str">
        <f t="shared" si="44"/>
        <v/>
      </c>
      <c r="AB1453" t="str">
        <f t="shared" si="45"/>
        <v/>
      </c>
    </row>
    <row r="1454" spans="1:28" x14ac:dyDescent="0.25">
      <c r="A1454" s="2">
        <v>1951</v>
      </c>
      <c r="B1454" t="s">
        <v>64</v>
      </c>
      <c r="C1454" t="s">
        <v>569</v>
      </c>
      <c r="D1454" t="s">
        <v>934</v>
      </c>
      <c r="E1454" t="s">
        <v>1396</v>
      </c>
      <c r="F1454" t="s">
        <v>1394</v>
      </c>
      <c r="G1454" s="1">
        <v>45992</v>
      </c>
      <c r="H1454" s="1" t="e">
        <v>#N/A</v>
      </c>
      <c r="I1454" s="1" t="e">
        <v>#N/A</v>
      </c>
      <c r="J1454" s="2" t="s">
        <v>8328</v>
      </c>
      <c r="K1454" t="s">
        <v>8201</v>
      </c>
      <c r="M1454" s="16" t="s">
        <v>8329</v>
      </c>
      <c r="N1454" s="16" t="str">
        <f>VLOOKUP(M1454,Tab_Zast[[Zastávka]:[Sloupec1]],2,0)</f>
        <v>28</v>
      </c>
      <c r="O1454" t="s">
        <v>8202</v>
      </c>
      <c r="P1454">
        <v>4</v>
      </c>
      <c r="Q1454">
        <v>0</v>
      </c>
      <c r="R1454" t="s">
        <v>179</v>
      </c>
      <c r="S1454" t="s">
        <v>31</v>
      </c>
      <c r="T1454" t="s">
        <v>32</v>
      </c>
      <c r="V1454" s="1" t="e">
        <v>#N/A</v>
      </c>
      <c r="W1454" t="s">
        <v>62</v>
      </c>
      <c r="X1454">
        <v>1</v>
      </c>
      <c r="Y1454">
        <v>1366</v>
      </c>
      <c r="AA1454" t="str">
        <f t="shared" si="44"/>
        <v>update zamestnanci set nastup='28' where id='1951';</v>
      </c>
      <c r="AB1454" t="str">
        <f t="shared" si="45"/>
        <v>update dochazka set zastavka = '28' where zamestnanec = '1951';</v>
      </c>
    </row>
    <row r="1455" spans="1:28" x14ac:dyDescent="0.25">
      <c r="A1455" s="2">
        <v>1</v>
      </c>
      <c r="B1455" t="s">
        <v>24</v>
      </c>
      <c r="C1455" t="s">
        <v>25</v>
      </c>
      <c r="D1455" t="s">
        <v>26</v>
      </c>
      <c r="E1455" t="s">
        <v>27</v>
      </c>
      <c r="F1455" t="s">
        <v>28</v>
      </c>
      <c r="G1455" s="1">
        <v>45096</v>
      </c>
      <c r="H1455" s="1">
        <v>45504</v>
      </c>
      <c r="I1455" s="1">
        <v>73050</v>
      </c>
      <c r="J1455" s="2" t="s">
        <v>8493</v>
      </c>
      <c r="K1455" t="s">
        <v>29</v>
      </c>
      <c r="M1455" s="16" t="s">
        <v>8494</v>
      </c>
      <c r="N1455" s="16" t="str">
        <f>VLOOKUP(M1455,Tab_Zast[[Zastávka]:[Sloupec1]],2,0)</f>
        <v>86</v>
      </c>
      <c r="O1455" t="s">
        <v>30</v>
      </c>
      <c r="P1455">
        <v>1</v>
      </c>
      <c r="Q1455">
        <v>0</v>
      </c>
      <c r="R1455" t="s">
        <v>31</v>
      </c>
      <c r="S1455" t="s">
        <v>31</v>
      </c>
      <c r="T1455" t="s">
        <v>32</v>
      </c>
      <c r="V1455" s="1" t="e">
        <v>#N/A</v>
      </c>
      <c r="W1455" t="s">
        <v>33</v>
      </c>
      <c r="X1455">
        <v>0</v>
      </c>
      <c r="Y1455">
        <v>0</v>
      </c>
      <c r="AA1455" t="str">
        <f t="shared" si="44"/>
        <v>update zamestnanci set nastup='86' where id='1';</v>
      </c>
      <c r="AB1455" t="str">
        <f t="shared" si="45"/>
        <v>update dochazka set zastavka = '86' where zamestnanec = '1';</v>
      </c>
    </row>
    <row r="1456" spans="1:28" x14ac:dyDescent="0.25">
      <c r="A1456" s="2">
        <v>2</v>
      </c>
      <c r="B1456" t="s">
        <v>34</v>
      </c>
      <c r="D1456" t="s">
        <v>35</v>
      </c>
      <c r="E1456" t="s">
        <v>36</v>
      </c>
      <c r="F1456" t="s">
        <v>37</v>
      </c>
      <c r="G1456" s="1">
        <v>44984</v>
      </c>
      <c r="H1456" s="1">
        <v>45260</v>
      </c>
      <c r="I1456" s="1" t="e">
        <v>#N/A</v>
      </c>
      <c r="J1456" s="2" t="s">
        <v>8498</v>
      </c>
      <c r="K1456" t="s">
        <v>38</v>
      </c>
      <c r="M1456" s="16" t="s">
        <v>8499</v>
      </c>
      <c r="N1456" s="16" t="str">
        <f>VLOOKUP(M1456,Tab_Zast[[Zastávka]:[Sloupec1]],2,0)</f>
        <v>88</v>
      </c>
      <c r="O1456" t="s">
        <v>39</v>
      </c>
      <c r="P1456">
        <v>1</v>
      </c>
      <c r="Q1456">
        <v>0</v>
      </c>
      <c r="R1456" t="s">
        <v>31</v>
      </c>
      <c r="S1456" t="s">
        <v>31</v>
      </c>
      <c r="T1456" t="s">
        <v>32</v>
      </c>
      <c r="V1456" s="1" t="e">
        <v>#N/A</v>
      </c>
      <c r="W1456" t="s">
        <v>33</v>
      </c>
      <c r="X1456">
        <v>0</v>
      </c>
      <c r="Y1456">
        <v>0</v>
      </c>
      <c r="Z1456" t="s">
        <v>40</v>
      </c>
      <c r="AA1456" t="str">
        <f t="shared" si="44"/>
        <v>update zamestnanci set nastup='88' where id='2';</v>
      </c>
      <c r="AB1456" t="str">
        <f t="shared" si="45"/>
        <v>update dochazka set zastavka = '88' where zamestnanec = '2';</v>
      </c>
    </row>
    <row r="1457" spans="1:28" x14ac:dyDescent="0.25">
      <c r="A1457" s="2">
        <v>3</v>
      </c>
      <c r="B1457" t="s">
        <v>41</v>
      </c>
      <c r="D1457" t="s">
        <v>42</v>
      </c>
      <c r="E1457" t="s">
        <v>43</v>
      </c>
      <c r="F1457" t="s">
        <v>44</v>
      </c>
      <c r="G1457" s="1" t="e">
        <v>#N/A</v>
      </c>
      <c r="H1457" s="1">
        <v>45567</v>
      </c>
      <c r="I1457" s="1" t="e">
        <v>#N/A</v>
      </c>
      <c r="J1457" s="2" t="s">
        <v>8493</v>
      </c>
      <c r="K1457" t="s">
        <v>45</v>
      </c>
      <c r="M1457" s="16" t="s">
        <v>8494</v>
      </c>
      <c r="N1457" s="16" t="str">
        <f>VLOOKUP(M1457,Tab_Zast[[Zastávka]:[Sloupec1]],2,0)</f>
        <v>86</v>
      </c>
      <c r="O1457" t="s">
        <v>46</v>
      </c>
      <c r="P1457">
        <v>1</v>
      </c>
      <c r="Q1457">
        <v>0</v>
      </c>
      <c r="R1457" t="s">
        <v>31</v>
      </c>
      <c r="S1457" t="s">
        <v>31</v>
      </c>
      <c r="T1457" t="s">
        <v>32</v>
      </c>
      <c r="V1457" s="1" t="e">
        <v>#N/A</v>
      </c>
      <c r="W1457" t="s">
        <v>47</v>
      </c>
      <c r="X1457">
        <v>0</v>
      </c>
      <c r="Y1457">
        <v>0</v>
      </c>
      <c r="Z1457" t="s">
        <v>40</v>
      </c>
      <c r="AA1457" t="str">
        <f t="shared" si="44"/>
        <v>update zamestnanci set nastup='86' where id='3';</v>
      </c>
      <c r="AB1457" t="str">
        <f t="shared" si="45"/>
        <v>update dochazka set zastavka = '86' where zamestnanec = '3';</v>
      </c>
    </row>
    <row r="1458" spans="1:28" x14ac:dyDescent="0.25">
      <c r="A1458" s="2">
        <v>4</v>
      </c>
      <c r="B1458" t="s">
        <v>48</v>
      </c>
      <c r="D1458" t="s">
        <v>49</v>
      </c>
      <c r="E1458" t="s">
        <v>50</v>
      </c>
      <c r="F1458" t="s">
        <v>51</v>
      </c>
      <c r="G1458" s="1">
        <v>44978</v>
      </c>
      <c r="H1458" s="1">
        <v>45401</v>
      </c>
      <c r="I1458" s="1">
        <v>73050</v>
      </c>
      <c r="J1458" s="2" t="s">
        <v>230</v>
      </c>
      <c r="K1458" t="s">
        <v>52</v>
      </c>
      <c r="M1458" s="16" t="s">
        <v>8287</v>
      </c>
      <c r="N1458" s="16" t="str">
        <f>VLOOKUP(M1458,Tab_Zast[[Zastávka]:[Sloupec1]],2,0)</f>
        <v>12</v>
      </c>
      <c r="O1458" t="s">
        <v>53</v>
      </c>
      <c r="P1458">
        <v>1</v>
      </c>
      <c r="Q1458">
        <v>0</v>
      </c>
      <c r="R1458" t="s">
        <v>31</v>
      </c>
      <c r="S1458" t="s">
        <v>31</v>
      </c>
      <c r="T1458" t="s">
        <v>32</v>
      </c>
      <c r="V1458" s="1" t="e">
        <v>#N/A</v>
      </c>
      <c r="W1458" t="s">
        <v>33</v>
      </c>
      <c r="X1458">
        <v>0</v>
      </c>
      <c r="Y1458">
        <v>0</v>
      </c>
      <c r="Z1458" t="s">
        <v>54</v>
      </c>
      <c r="AA1458" t="str">
        <f t="shared" si="44"/>
        <v>update zamestnanci set nastup='12' where id='4';</v>
      </c>
      <c r="AB1458" t="str">
        <f t="shared" si="45"/>
        <v>update dochazka set zastavka = '12' where zamestnanec = '4';</v>
      </c>
    </row>
    <row r="1459" spans="1:28" x14ac:dyDescent="0.25">
      <c r="A1459" s="2">
        <v>5</v>
      </c>
      <c r="B1459" t="s">
        <v>55</v>
      </c>
      <c r="C1459" t="s">
        <v>56</v>
      </c>
      <c r="D1459" t="s">
        <v>57</v>
      </c>
      <c r="E1459" t="s">
        <v>58</v>
      </c>
      <c r="F1459" t="s">
        <v>59</v>
      </c>
      <c r="G1459" s="1">
        <v>45323</v>
      </c>
      <c r="H1459" s="1">
        <v>45504</v>
      </c>
      <c r="I1459" s="1">
        <v>73050</v>
      </c>
      <c r="J1459" s="2" t="s">
        <v>2656</v>
      </c>
      <c r="K1459" t="s">
        <v>60</v>
      </c>
      <c r="M1459" s="16" t="s">
        <v>8548</v>
      </c>
      <c r="N1459" s="16" t="str">
        <f>VLOOKUP(M1459,Tab_Zast[[Zastávka]:[Sloupec1]],2,0)</f>
        <v>108</v>
      </c>
      <c r="O1459" t="s">
        <v>61</v>
      </c>
      <c r="P1459">
        <v>4</v>
      </c>
      <c r="Q1459">
        <v>0</v>
      </c>
      <c r="R1459" t="s">
        <v>31</v>
      </c>
      <c r="S1459" t="s">
        <v>31</v>
      </c>
      <c r="T1459" t="s">
        <v>32</v>
      </c>
      <c r="V1459" s="1">
        <v>45497</v>
      </c>
      <c r="W1459" t="s">
        <v>62</v>
      </c>
      <c r="X1459">
        <v>0</v>
      </c>
      <c r="Y1459">
        <v>0</v>
      </c>
      <c r="AA1459" t="str">
        <f t="shared" si="44"/>
        <v>update zamestnanci set nastup='108' where id='5';</v>
      </c>
      <c r="AB1459" t="str">
        <f t="shared" si="45"/>
        <v>update dochazka set zastavka = '108' where zamestnanec = '5';</v>
      </c>
    </row>
    <row r="1460" spans="1:28" x14ac:dyDescent="0.25">
      <c r="A1460" s="2">
        <v>8</v>
      </c>
      <c r="B1460" t="s">
        <v>77</v>
      </c>
      <c r="C1460" t="s">
        <v>78</v>
      </c>
      <c r="D1460" t="s">
        <v>79</v>
      </c>
      <c r="E1460" t="s">
        <v>80</v>
      </c>
      <c r="F1460" t="s">
        <v>81</v>
      </c>
      <c r="G1460" s="1">
        <v>44977</v>
      </c>
      <c r="H1460" s="1">
        <v>45513</v>
      </c>
      <c r="I1460" s="1">
        <v>73050</v>
      </c>
      <c r="J1460" s="2" t="s">
        <v>2656</v>
      </c>
      <c r="K1460" t="s">
        <v>82</v>
      </c>
      <c r="M1460" s="16" t="s">
        <v>8548</v>
      </c>
      <c r="N1460" s="16" t="str">
        <f>VLOOKUP(M1460,Tab_Zast[[Zastávka]:[Sloupec1]],2,0)</f>
        <v>108</v>
      </c>
      <c r="O1460" t="s">
        <v>46</v>
      </c>
      <c r="P1460">
        <v>1</v>
      </c>
      <c r="Q1460">
        <v>0</v>
      </c>
      <c r="R1460" t="s">
        <v>31</v>
      </c>
      <c r="S1460" t="s">
        <v>31</v>
      </c>
      <c r="T1460" t="s">
        <v>32</v>
      </c>
      <c r="V1460" s="1" t="e">
        <v>#N/A</v>
      </c>
      <c r="W1460" t="s">
        <v>33</v>
      </c>
      <c r="X1460">
        <v>0</v>
      </c>
      <c r="Y1460">
        <v>0</v>
      </c>
      <c r="AA1460" t="str">
        <f t="shared" si="44"/>
        <v>update zamestnanci set nastup='108' where id='8';</v>
      </c>
      <c r="AB1460" t="str">
        <f t="shared" si="45"/>
        <v>update dochazka set zastavka = '108' where zamestnanec = '8';</v>
      </c>
    </row>
    <row r="1461" spans="1:28" x14ac:dyDescent="0.25">
      <c r="A1461" s="2">
        <v>9</v>
      </c>
      <c r="B1461" t="s">
        <v>83</v>
      </c>
      <c r="C1461" t="s">
        <v>84</v>
      </c>
      <c r="D1461" t="s">
        <v>85</v>
      </c>
      <c r="E1461" t="s">
        <v>86</v>
      </c>
      <c r="F1461" t="s">
        <v>87</v>
      </c>
      <c r="G1461" s="1">
        <v>45166</v>
      </c>
      <c r="H1461" s="1">
        <v>45488</v>
      </c>
      <c r="I1461" s="1">
        <v>73050</v>
      </c>
      <c r="J1461" s="2" t="s">
        <v>2656</v>
      </c>
      <c r="K1461" t="s">
        <v>88</v>
      </c>
      <c r="M1461" s="16" t="s">
        <v>8548</v>
      </c>
      <c r="N1461" s="16" t="str">
        <f>VLOOKUP(M1461,Tab_Zast[[Zastávka]:[Sloupec1]],2,0)</f>
        <v>108</v>
      </c>
      <c r="O1461" t="s">
        <v>89</v>
      </c>
      <c r="P1461">
        <v>2</v>
      </c>
      <c r="Q1461">
        <v>0</v>
      </c>
      <c r="R1461" t="s">
        <v>31</v>
      </c>
      <c r="S1461" t="s">
        <v>31</v>
      </c>
      <c r="T1461" t="s">
        <v>32</v>
      </c>
      <c r="V1461" s="1" t="e">
        <v>#N/A</v>
      </c>
      <c r="W1461" t="s">
        <v>90</v>
      </c>
      <c r="X1461">
        <v>0</v>
      </c>
      <c r="Y1461">
        <v>0</v>
      </c>
      <c r="Z1461" t="s">
        <v>54</v>
      </c>
      <c r="AA1461" t="str">
        <f t="shared" si="44"/>
        <v>update zamestnanci set nastup='108' where id='9';</v>
      </c>
      <c r="AB1461" t="str">
        <f t="shared" si="45"/>
        <v>update dochazka set zastavka = '108' where zamestnanec = '9';</v>
      </c>
    </row>
    <row r="1462" spans="1:28" x14ac:dyDescent="0.25">
      <c r="A1462" s="2">
        <v>12</v>
      </c>
      <c r="B1462" t="s">
        <v>104</v>
      </c>
      <c r="C1462" t="s">
        <v>105</v>
      </c>
      <c r="D1462" t="s">
        <v>106</v>
      </c>
      <c r="E1462" t="s">
        <v>107</v>
      </c>
      <c r="F1462" t="s">
        <v>108</v>
      </c>
      <c r="G1462" s="1">
        <v>44927</v>
      </c>
      <c r="H1462" s="1">
        <v>45565</v>
      </c>
      <c r="I1462" s="1">
        <v>73050</v>
      </c>
      <c r="J1462" s="2" t="s">
        <v>2656</v>
      </c>
      <c r="K1462" t="s">
        <v>109</v>
      </c>
      <c r="M1462" s="16" t="s">
        <v>8548</v>
      </c>
      <c r="N1462" s="16" t="str">
        <f>VLOOKUP(M1462,Tab_Zast[[Zastávka]:[Sloupec1]],2,0)</f>
        <v>108</v>
      </c>
      <c r="O1462" t="s">
        <v>110</v>
      </c>
      <c r="P1462">
        <v>2</v>
      </c>
      <c r="Q1462">
        <v>0</v>
      </c>
      <c r="R1462" t="s">
        <v>31</v>
      </c>
      <c r="S1462" t="s">
        <v>31</v>
      </c>
      <c r="T1462" t="s">
        <v>32</v>
      </c>
      <c r="V1462" s="1" t="e">
        <v>#N/A</v>
      </c>
      <c r="W1462" t="s">
        <v>90</v>
      </c>
      <c r="X1462">
        <v>0</v>
      </c>
      <c r="Y1462">
        <v>0</v>
      </c>
      <c r="AA1462" t="str">
        <f t="shared" si="44"/>
        <v>update zamestnanci set nastup='108' where id='12';</v>
      </c>
      <c r="AB1462" t="str">
        <f t="shared" si="45"/>
        <v>update dochazka set zastavka = '108' where zamestnanec = '12';</v>
      </c>
    </row>
    <row r="1463" spans="1:28" x14ac:dyDescent="0.25">
      <c r="A1463" s="2">
        <v>19</v>
      </c>
      <c r="B1463" t="s">
        <v>150</v>
      </c>
      <c r="C1463" t="s">
        <v>151</v>
      </c>
      <c r="D1463" t="s">
        <v>152</v>
      </c>
      <c r="E1463" t="s">
        <v>153</v>
      </c>
      <c r="F1463" t="s">
        <v>67</v>
      </c>
      <c r="G1463" s="1">
        <v>44837</v>
      </c>
      <c r="H1463" s="1">
        <v>45364</v>
      </c>
      <c r="I1463" s="1">
        <v>73050</v>
      </c>
      <c r="J1463" s="2" t="s">
        <v>2656</v>
      </c>
      <c r="K1463" t="s">
        <v>154</v>
      </c>
      <c r="M1463" s="16" t="s">
        <v>8548</v>
      </c>
      <c r="N1463" s="16" t="str">
        <f>VLOOKUP(M1463,Tab_Zast[[Zastávka]:[Sloupec1]],2,0)</f>
        <v>108</v>
      </c>
      <c r="O1463" t="s">
        <v>155</v>
      </c>
      <c r="P1463">
        <v>2</v>
      </c>
      <c r="Q1463">
        <v>0</v>
      </c>
      <c r="R1463" t="s">
        <v>129</v>
      </c>
      <c r="S1463" t="s">
        <v>130</v>
      </c>
      <c r="T1463" t="s">
        <v>32</v>
      </c>
      <c r="V1463" s="1">
        <v>45362</v>
      </c>
      <c r="W1463" t="s">
        <v>90</v>
      </c>
      <c r="X1463">
        <v>0</v>
      </c>
      <c r="Y1463">
        <v>0</v>
      </c>
      <c r="Z1463" t="s">
        <v>54</v>
      </c>
      <c r="AA1463" t="str">
        <f t="shared" si="44"/>
        <v>update zamestnanci set nastup='108' where id='19';</v>
      </c>
      <c r="AB1463" t="str">
        <f t="shared" si="45"/>
        <v>update dochazka set zastavka = '108' where zamestnanec = '19';</v>
      </c>
    </row>
    <row r="1464" spans="1:28" x14ac:dyDescent="0.25">
      <c r="A1464" s="2">
        <v>25</v>
      </c>
      <c r="B1464" t="s">
        <v>186</v>
      </c>
      <c r="D1464" t="s">
        <v>187</v>
      </c>
      <c r="E1464" t="s">
        <v>188</v>
      </c>
      <c r="F1464" t="s">
        <v>189</v>
      </c>
      <c r="G1464" s="1">
        <v>45089</v>
      </c>
      <c r="H1464" s="1">
        <v>45243</v>
      </c>
      <c r="I1464" s="1" t="e">
        <v>#N/A</v>
      </c>
      <c r="J1464" s="2" t="s">
        <v>2656</v>
      </c>
      <c r="K1464" t="s">
        <v>190</v>
      </c>
      <c r="M1464" s="16" t="s">
        <v>8548</v>
      </c>
      <c r="N1464" s="16" t="str">
        <f>VLOOKUP(M1464,Tab_Zast[[Zastávka]:[Sloupec1]],2,0)</f>
        <v>108</v>
      </c>
      <c r="O1464" t="s">
        <v>191</v>
      </c>
      <c r="P1464">
        <v>2</v>
      </c>
      <c r="Q1464">
        <v>0</v>
      </c>
      <c r="R1464" t="s">
        <v>129</v>
      </c>
      <c r="S1464" t="s">
        <v>130</v>
      </c>
      <c r="T1464" t="s">
        <v>32</v>
      </c>
      <c r="V1464" s="1" t="e">
        <v>#N/A</v>
      </c>
      <c r="W1464" t="s">
        <v>90</v>
      </c>
      <c r="X1464">
        <v>0</v>
      </c>
      <c r="Y1464">
        <v>0</v>
      </c>
      <c r="Z1464" t="s">
        <v>54</v>
      </c>
      <c r="AA1464" t="str">
        <f t="shared" si="44"/>
        <v>update zamestnanci set nastup='108' where id='25';</v>
      </c>
      <c r="AB1464" t="str">
        <f t="shared" si="45"/>
        <v>update dochazka set zastavka = '108' where zamestnanec = '25';</v>
      </c>
    </row>
    <row r="1465" spans="1:28" x14ac:dyDescent="0.25">
      <c r="A1465" s="2">
        <v>28</v>
      </c>
      <c r="B1465" t="s">
        <v>206</v>
      </c>
      <c r="C1465" t="s">
        <v>64</v>
      </c>
      <c r="D1465" t="s">
        <v>207</v>
      </c>
      <c r="E1465" t="s">
        <v>208</v>
      </c>
      <c r="F1465" t="s">
        <v>209</v>
      </c>
      <c r="G1465" s="1">
        <v>45067</v>
      </c>
      <c r="H1465" s="1">
        <v>45432</v>
      </c>
      <c r="I1465" s="1">
        <v>73050</v>
      </c>
      <c r="J1465" s="2" t="s">
        <v>2656</v>
      </c>
      <c r="K1465" t="s">
        <v>210</v>
      </c>
      <c r="M1465" s="16" t="s">
        <v>8548</v>
      </c>
      <c r="N1465" s="16" t="str">
        <f>VLOOKUP(M1465,Tab_Zast[[Zastávka]:[Sloupec1]],2,0)</f>
        <v>108</v>
      </c>
      <c r="O1465" t="s">
        <v>211</v>
      </c>
      <c r="P1465">
        <v>2</v>
      </c>
      <c r="Q1465">
        <v>0</v>
      </c>
      <c r="R1465" t="s">
        <v>31</v>
      </c>
      <c r="S1465" t="s">
        <v>31</v>
      </c>
      <c r="T1465" t="s">
        <v>32</v>
      </c>
      <c r="V1465" s="1">
        <v>45426</v>
      </c>
      <c r="W1465" t="s">
        <v>90</v>
      </c>
      <c r="X1465">
        <v>0</v>
      </c>
      <c r="Y1465">
        <v>0</v>
      </c>
      <c r="Z1465" t="s">
        <v>54</v>
      </c>
      <c r="AA1465" t="str">
        <f t="shared" si="44"/>
        <v>update zamestnanci set nastup='108' where id='28';</v>
      </c>
      <c r="AB1465" t="str">
        <f t="shared" si="45"/>
        <v>update dochazka set zastavka = '108' where zamestnanec = '28';</v>
      </c>
    </row>
    <row r="1466" spans="1:28" x14ac:dyDescent="0.25">
      <c r="A1466" s="2">
        <v>29</v>
      </c>
      <c r="B1466" t="s">
        <v>212</v>
      </c>
      <c r="C1466" t="s">
        <v>212</v>
      </c>
      <c r="D1466" t="s">
        <v>213</v>
      </c>
      <c r="E1466" t="s">
        <v>214</v>
      </c>
      <c r="F1466" t="s">
        <v>215</v>
      </c>
      <c r="G1466" s="1">
        <v>44802</v>
      </c>
      <c r="H1466" s="1">
        <v>45596</v>
      </c>
      <c r="I1466" s="1">
        <v>45596</v>
      </c>
      <c r="J1466" s="2" t="s">
        <v>8493</v>
      </c>
      <c r="K1466" t="s">
        <v>216</v>
      </c>
      <c r="M1466" s="16" t="s">
        <v>8494</v>
      </c>
      <c r="N1466" s="16" t="str">
        <f>VLOOKUP(M1466,Tab_Zast[[Zastávka]:[Sloupec1]],2,0)</f>
        <v>86</v>
      </c>
      <c r="O1466" t="s">
        <v>217</v>
      </c>
      <c r="P1466">
        <v>1</v>
      </c>
      <c r="Q1466">
        <v>0</v>
      </c>
      <c r="R1466" t="s">
        <v>31</v>
      </c>
      <c r="S1466" t="s">
        <v>31</v>
      </c>
      <c r="T1466" t="s">
        <v>32</v>
      </c>
      <c r="V1466" s="1" t="e">
        <v>#N/A</v>
      </c>
      <c r="W1466" t="s">
        <v>47</v>
      </c>
      <c r="X1466">
        <v>0</v>
      </c>
      <c r="Y1466">
        <v>0</v>
      </c>
      <c r="AA1466" t="str">
        <f t="shared" si="44"/>
        <v>update zamestnanci set nastup='86' where id='29';</v>
      </c>
      <c r="AB1466" t="str">
        <f t="shared" si="45"/>
        <v>update dochazka set zastavka = '86' where zamestnanec = '29';</v>
      </c>
    </row>
    <row r="1467" spans="1:28" x14ac:dyDescent="0.25">
      <c r="A1467" s="2">
        <v>32</v>
      </c>
      <c r="B1467" t="s">
        <v>230</v>
      </c>
      <c r="D1467" t="s">
        <v>231</v>
      </c>
      <c r="E1467" t="s">
        <v>232</v>
      </c>
      <c r="F1467" t="s">
        <v>233</v>
      </c>
      <c r="G1467" s="1">
        <v>45208</v>
      </c>
      <c r="H1467" s="1">
        <v>45355</v>
      </c>
      <c r="I1467" s="1">
        <v>73050</v>
      </c>
      <c r="J1467" s="2" t="s">
        <v>8493</v>
      </c>
      <c r="K1467" t="s">
        <v>234</v>
      </c>
      <c r="M1467" s="16" t="s">
        <v>8494</v>
      </c>
      <c r="N1467" s="16" t="str">
        <f>VLOOKUP(M1467,Tab_Zast[[Zastávka]:[Sloupec1]],2,0)</f>
        <v>86</v>
      </c>
      <c r="O1467" t="s">
        <v>235</v>
      </c>
      <c r="P1467">
        <v>1</v>
      </c>
      <c r="Q1467">
        <v>0</v>
      </c>
      <c r="R1467" t="s">
        <v>31</v>
      </c>
      <c r="S1467" t="s">
        <v>31</v>
      </c>
      <c r="T1467" t="s">
        <v>32</v>
      </c>
      <c r="V1467" s="1" t="e">
        <v>#N/A</v>
      </c>
      <c r="W1467" t="s">
        <v>47</v>
      </c>
      <c r="X1467">
        <v>0</v>
      </c>
      <c r="Y1467">
        <v>0</v>
      </c>
      <c r="AA1467" t="str">
        <f t="shared" si="44"/>
        <v>update zamestnanci set nastup='86' where id='32';</v>
      </c>
      <c r="AB1467" t="str">
        <f t="shared" si="45"/>
        <v>update dochazka set zastavka = '86' where zamestnanec = '32';</v>
      </c>
    </row>
    <row r="1468" spans="1:28" x14ac:dyDescent="0.25">
      <c r="A1468" s="2">
        <v>35</v>
      </c>
      <c r="B1468" t="s">
        <v>248</v>
      </c>
      <c r="C1468" t="s">
        <v>248</v>
      </c>
      <c r="D1468" t="s">
        <v>249</v>
      </c>
      <c r="E1468" t="s">
        <v>250</v>
      </c>
      <c r="F1468" t="s">
        <v>251</v>
      </c>
      <c r="G1468" s="1">
        <v>44697</v>
      </c>
      <c r="H1468" s="1" t="e">
        <v>#N/A</v>
      </c>
      <c r="I1468" s="1" t="e">
        <v>#N/A</v>
      </c>
      <c r="J1468" s="2" t="s">
        <v>8493</v>
      </c>
      <c r="K1468" t="s">
        <v>252</v>
      </c>
      <c r="M1468" s="16" t="s">
        <v>8494</v>
      </c>
      <c r="N1468" s="16" t="str">
        <f>VLOOKUP(M1468,Tab_Zast[[Zastávka]:[Sloupec1]],2,0)</f>
        <v>86</v>
      </c>
      <c r="O1468" t="s">
        <v>253</v>
      </c>
      <c r="P1468">
        <v>1</v>
      </c>
      <c r="Q1468">
        <v>0</v>
      </c>
      <c r="R1468" t="s">
        <v>31</v>
      </c>
      <c r="S1468" t="s">
        <v>31</v>
      </c>
      <c r="T1468" t="s">
        <v>32</v>
      </c>
      <c r="U1468" t="s">
        <v>254</v>
      </c>
      <c r="V1468" s="1" t="e">
        <v>#N/A</v>
      </c>
      <c r="W1468" t="s">
        <v>47</v>
      </c>
      <c r="X1468">
        <v>1</v>
      </c>
      <c r="Y1468">
        <v>0</v>
      </c>
      <c r="AA1468" t="str">
        <f t="shared" si="44"/>
        <v>update zamestnanci set nastup='86' where id='35';</v>
      </c>
      <c r="AB1468" t="str">
        <f t="shared" si="45"/>
        <v>update dochazka set zastavka = '86' where zamestnanec = '35';</v>
      </c>
    </row>
    <row r="1469" spans="1:28" x14ac:dyDescent="0.25">
      <c r="A1469" s="2">
        <v>39</v>
      </c>
      <c r="B1469" t="s">
        <v>273</v>
      </c>
      <c r="C1469" t="s">
        <v>273</v>
      </c>
      <c r="D1469" t="s">
        <v>42</v>
      </c>
      <c r="E1469" t="s">
        <v>274</v>
      </c>
      <c r="F1469" t="s">
        <v>64</v>
      </c>
      <c r="G1469" s="1">
        <v>44508</v>
      </c>
      <c r="H1469" s="1">
        <v>45737</v>
      </c>
      <c r="I1469" s="1">
        <v>73050</v>
      </c>
      <c r="J1469" s="2" t="s">
        <v>8493</v>
      </c>
      <c r="K1469" t="s">
        <v>275</v>
      </c>
      <c r="M1469" s="16" t="s">
        <v>8494</v>
      </c>
      <c r="N1469" s="16" t="str">
        <f>VLOOKUP(M1469,Tab_Zast[[Zastávka]:[Sloupec1]],2,0)</f>
        <v>86</v>
      </c>
      <c r="O1469" t="s">
        <v>276</v>
      </c>
      <c r="P1469">
        <v>1</v>
      </c>
      <c r="Q1469">
        <v>0</v>
      </c>
      <c r="R1469" t="s">
        <v>31</v>
      </c>
      <c r="S1469" t="s">
        <v>31</v>
      </c>
      <c r="T1469" t="s">
        <v>32</v>
      </c>
      <c r="V1469" s="1" t="e">
        <v>#N/A</v>
      </c>
      <c r="W1469" t="s">
        <v>47</v>
      </c>
      <c r="X1469">
        <v>0</v>
      </c>
      <c r="Y1469">
        <v>0</v>
      </c>
      <c r="AA1469" t="str">
        <f t="shared" si="44"/>
        <v>update zamestnanci set nastup='86' where id='39';</v>
      </c>
      <c r="AB1469" t="str">
        <f t="shared" si="45"/>
        <v>update dochazka set zastavka = '86' where zamestnanec = '39';</v>
      </c>
    </row>
    <row r="1470" spans="1:28" x14ac:dyDescent="0.25">
      <c r="A1470" s="2">
        <v>43</v>
      </c>
      <c r="B1470" t="s">
        <v>294</v>
      </c>
      <c r="D1470" t="s">
        <v>295</v>
      </c>
      <c r="E1470" t="s">
        <v>296</v>
      </c>
      <c r="F1470" t="s">
        <v>297</v>
      </c>
      <c r="G1470" s="1">
        <v>45201</v>
      </c>
      <c r="H1470" s="1">
        <v>45307</v>
      </c>
      <c r="I1470" s="1">
        <v>73050</v>
      </c>
      <c r="J1470" s="2" t="s">
        <v>8493</v>
      </c>
      <c r="K1470" t="s">
        <v>298</v>
      </c>
      <c r="M1470" s="16" t="s">
        <v>8494</v>
      </c>
      <c r="N1470" s="16" t="str">
        <f>VLOOKUP(M1470,Tab_Zast[[Zastávka]:[Sloupec1]],2,0)</f>
        <v>86</v>
      </c>
      <c r="O1470" t="s">
        <v>299</v>
      </c>
      <c r="P1470">
        <v>1</v>
      </c>
      <c r="Q1470">
        <v>0</v>
      </c>
      <c r="R1470" t="s">
        <v>31</v>
      </c>
      <c r="S1470" t="s">
        <v>31</v>
      </c>
      <c r="T1470" t="s">
        <v>32</v>
      </c>
      <c r="V1470" s="1" t="e">
        <v>#N/A</v>
      </c>
      <c r="W1470" t="s">
        <v>47</v>
      </c>
      <c r="X1470">
        <v>0</v>
      </c>
      <c r="Y1470">
        <v>0</v>
      </c>
      <c r="AA1470" t="str">
        <f t="shared" si="44"/>
        <v>update zamestnanci set nastup='86' where id='43';</v>
      </c>
      <c r="AB1470" t="str">
        <f t="shared" si="45"/>
        <v>update dochazka set zastavka = '86' where zamestnanec = '43';</v>
      </c>
    </row>
    <row r="1471" spans="1:28" x14ac:dyDescent="0.25">
      <c r="A1471" s="2">
        <v>45</v>
      </c>
      <c r="B1471" t="s">
        <v>306</v>
      </c>
      <c r="C1471" t="s">
        <v>306</v>
      </c>
      <c r="D1471" t="s">
        <v>307</v>
      </c>
      <c r="E1471" t="s">
        <v>308</v>
      </c>
      <c r="F1471" t="s">
        <v>309</v>
      </c>
      <c r="G1471" s="1">
        <v>45033</v>
      </c>
      <c r="H1471" s="1">
        <v>73050</v>
      </c>
      <c r="I1471" s="1" t="e">
        <v>#N/A</v>
      </c>
      <c r="J1471" s="2" t="s">
        <v>8493</v>
      </c>
      <c r="K1471" t="s">
        <v>310</v>
      </c>
      <c r="M1471" s="16" t="s">
        <v>8494</v>
      </c>
      <c r="N1471" s="16" t="str">
        <f>VLOOKUP(M1471,Tab_Zast[[Zastávka]:[Sloupec1]],2,0)</f>
        <v>86</v>
      </c>
      <c r="O1471" t="s">
        <v>311</v>
      </c>
      <c r="P1471">
        <v>1</v>
      </c>
      <c r="Q1471">
        <v>0</v>
      </c>
      <c r="R1471" t="s">
        <v>179</v>
      </c>
      <c r="S1471" t="s">
        <v>31</v>
      </c>
      <c r="T1471" t="s">
        <v>32</v>
      </c>
      <c r="V1471" s="1" t="e">
        <v>#N/A</v>
      </c>
      <c r="W1471" t="s">
        <v>47</v>
      </c>
      <c r="X1471">
        <v>1</v>
      </c>
      <c r="Y1471">
        <v>0</v>
      </c>
      <c r="AA1471" t="str">
        <f t="shared" si="44"/>
        <v>update zamestnanci set nastup='86' where id='45';</v>
      </c>
      <c r="AB1471" t="str">
        <f t="shared" si="45"/>
        <v>update dochazka set zastavka = '86' where zamestnanec = '45';</v>
      </c>
    </row>
    <row r="1472" spans="1:28" x14ac:dyDescent="0.25">
      <c r="A1472" s="2">
        <v>49</v>
      </c>
      <c r="B1472" t="s">
        <v>330</v>
      </c>
      <c r="D1472" t="s">
        <v>331</v>
      </c>
      <c r="E1472" t="s">
        <v>332</v>
      </c>
      <c r="F1472" t="s">
        <v>333</v>
      </c>
      <c r="G1472" s="1">
        <v>45055</v>
      </c>
      <c r="H1472" s="1">
        <v>45219</v>
      </c>
      <c r="I1472" s="1" t="e">
        <v>#N/A</v>
      </c>
      <c r="J1472" s="2" t="s">
        <v>8493</v>
      </c>
      <c r="K1472" t="s">
        <v>334</v>
      </c>
      <c r="M1472" s="16" t="s">
        <v>8494</v>
      </c>
      <c r="N1472" s="16" t="str">
        <f>VLOOKUP(M1472,Tab_Zast[[Zastávka]:[Sloupec1]],2,0)</f>
        <v>86</v>
      </c>
      <c r="O1472" t="s">
        <v>335</v>
      </c>
      <c r="P1472">
        <v>1</v>
      </c>
      <c r="Q1472">
        <v>0</v>
      </c>
      <c r="R1472" t="s">
        <v>31</v>
      </c>
      <c r="S1472" t="s">
        <v>31</v>
      </c>
      <c r="T1472" t="s">
        <v>32</v>
      </c>
      <c r="V1472" s="1" t="e">
        <v>#N/A</v>
      </c>
      <c r="W1472" t="s">
        <v>47</v>
      </c>
      <c r="X1472">
        <v>0</v>
      </c>
      <c r="Y1472">
        <v>0</v>
      </c>
      <c r="Z1472" t="s">
        <v>54</v>
      </c>
      <c r="AA1472" t="str">
        <f t="shared" si="44"/>
        <v>update zamestnanci set nastup='86' where id='49';</v>
      </c>
      <c r="AB1472" t="str">
        <f t="shared" si="45"/>
        <v>update dochazka set zastavka = '86' where zamestnanec = '49';</v>
      </c>
    </row>
    <row r="1473" spans="1:28" x14ac:dyDescent="0.25">
      <c r="A1473" s="2">
        <v>52</v>
      </c>
      <c r="B1473" t="s">
        <v>348</v>
      </c>
      <c r="C1473" t="s">
        <v>64</v>
      </c>
      <c r="D1473" t="s">
        <v>349</v>
      </c>
      <c r="E1473" t="s">
        <v>350</v>
      </c>
      <c r="F1473" t="s">
        <v>351</v>
      </c>
      <c r="G1473" s="1">
        <v>45055</v>
      </c>
      <c r="H1473" s="1">
        <v>45420</v>
      </c>
      <c r="I1473" s="1">
        <v>73050</v>
      </c>
      <c r="J1473" s="2" t="s">
        <v>8493</v>
      </c>
      <c r="K1473" t="s">
        <v>352</v>
      </c>
      <c r="M1473" s="16" t="s">
        <v>8494</v>
      </c>
      <c r="N1473" s="16" t="str">
        <f>VLOOKUP(M1473,Tab_Zast[[Zastávka]:[Sloupec1]],2,0)</f>
        <v>86</v>
      </c>
      <c r="O1473" t="s">
        <v>353</v>
      </c>
      <c r="P1473">
        <v>1</v>
      </c>
      <c r="Q1473">
        <v>0</v>
      </c>
      <c r="R1473" t="s">
        <v>31</v>
      </c>
      <c r="S1473" t="s">
        <v>31</v>
      </c>
      <c r="T1473" t="s">
        <v>32</v>
      </c>
      <c r="V1473" s="1">
        <v>45400</v>
      </c>
      <c r="W1473" t="s">
        <v>47</v>
      </c>
      <c r="X1473">
        <v>0</v>
      </c>
      <c r="Y1473">
        <v>0</v>
      </c>
      <c r="AA1473" t="str">
        <f t="shared" si="44"/>
        <v>update zamestnanci set nastup='86' where id='52';</v>
      </c>
      <c r="AB1473" t="str">
        <f t="shared" si="45"/>
        <v>update dochazka set zastavka = '86' where zamestnanec = '52';</v>
      </c>
    </row>
    <row r="1474" spans="1:28" x14ac:dyDescent="0.25">
      <c r="A1474" s="2">
        <v>62</v>
      </c>
      <c r="B1474" t="s">
        <v>408</v>
      </c>
      <c r="D1474" t="s">
        <v>409</v>
      </c>
      <c r="E1474" t="s">
        <v>410</v>
      </c>
      <c r="F1474" t="s">
        <v>67</v>
      </c>
      <c r="G1474" s="1">
        <v>44495</v>
      </c>
      <c r="H1474" s="1">
        <v>45379</v>
      </c>
      <c r="I1474" s="1">
        <v>73050</v>
      </c>
      <c r="J1474" s="2" t="s">
        <v>230</v>
      </c>
      <c r="K1474" t="s">
        <v>411</v>
      </c>
      <c r="M1474" s="16" t="s">
        <v>8287</v>
      </c>
      <c r="N1474" s="16" t="str">
        <f>VLOOKUP(M1474,Tab_Zast[[Zastávka]:[Sloupec1]],2,0)</f>
        <v>12</v>
      </c>
      <c r="O1474" t="s">
        <v>412</v>
      </c>
      <c r="P1474">
        <v>1</v>
      </c>
      <c r="Q1474">
        <v>0</v>
      </c>
      <c r="R1474" t="s">
        <v>31</v>
      </c>
      <c r="S1474" t="s">
        <v>31</v>
      </c>
      <c r="T1474" t="s">
        <v>32</v>
      </c>
      <c r="V1474" s="1" t="e">
        <v>#N/A</v>
      </c>
      <c r="W1474" t="s">
        <v>47</v>
      </c>
      <c r="X1474">
        <v>0</v>
      </c>
      <c r="Y1474">
        <v>0</v>
      </c>
      <c r="Z1474" t="s">
        <v>54</v>
      </c>
      <c r="AA1474" t="str">
        <f t="shared" si="44"/>
        <v>update zamestnanci set nastup='12' where id='62';</v>
      </c>
      <c r="AB1474" t="str">
        <f t="shared" si="45"/>
        <v>update dochazka set zastavka = '12' where zamestnanec = '62';</v>
      </c>
    </row>
    <row r="1475" spans="1:28" x14ac:dyDescent="0.25">
      <c r="A1475" s="2">
        <v>71</v>
      </c>
      <c r="B1475" t="s">
        <v>461</v>
      </c>
      <c r="C1475" t="s">
        <v>461</v>
      </c>
      <c r="D1475" t="s">
        <v>456</v>
      </c>
      <c r="E1475" t="s">
        <v>462</v>
      </c>
      <c r="F1475" t="s">
        <v>463</v>
      </c>
      <c r="G1475" s="1">
        <v>44725</v>
      </c>
      <c r="H1475" s="1">
        <v>45455</v>
      </c>
      <c r="I1475" s="1">
        <v>73050</v>
      </c>
      <c r="J1475" s="2" t="s">
        <v>8493</v>
      </c>
      <c r="K1475" t="s">
        <v>464</v>
      </c>
      <c r="M1475" s="16" t="s">
        <v>8494</v>
      </c>
      <c r="N1475" s="16" t="str">
        <f>VLOOKUP(M1475,Tab_Zast[[Zastávka]:[Sloupec1]],2,0)</f>
        <v>86</v>
      </c>
      <c r="O1475" t="s">
        <v>465</v>
      </c>
      <c r="P1475">
        <v>1</v>
      </c>
      <c r="Q1475">
        <v>0</v>
      </c>
      <c r="R1475" t="s">
        <v>31</v>
      </c>
      <c r="S1475" t="s">
        <v>31</v>
      </c>
      <c r="T1475" t="s">
        <v>32</v>
      </c>
      <c r="V1475" s="1" t="e">
        <v>#N/A</v>
      </c>
      <c r="W1475" t="s">
        <v>47</v>
      </c>
      <c r="X1475">
        <v>0</v>
      </c>
      <c r="Y1475">
        <v>0</v>
      </c>
      <c r="AA1475" t="str">
        <f t="shared" si="44"/>
        <v>update zamestnanci set nastup='86' where id='71';</v>
      </c>
      <c r="AB1475" t="str">
        <f t="shared" si="45"/>
        <v>update dochazka set zastavka = '86' where zamestnanec = '71';</v>
      </c>
    </row>
    <row r="1476" spans="1:28" x14ac:dyDescent="0.25">
      <c r="A1476" s="2">
        <v>72</v>
      </c>
      <c r="B1476" t="s">
        <v>466</v>
      </c>
      <c r="C1476" t="s">
        <v>467</v>
      </c>
      <c r="D1476" t="s">
        <v>42</v>
      </c>
      <c r="E1476" t="s">
        <v>43</v>
      </c>
      <c r="F1476" t="s">
        <v>468</v>
      </c>
      <c r="G1476" s="1">
        <v>44942</v>
      </c>
      <c r="H1476" s="1">
        <v>45567</v>
      </c>
      <c r="I1476" s="1">
        <v>73050</v>
      </c>
      <c r="J1476" s="2" t="s">
        <v>8493</v>
      </c>
      <c r="K1476" t="s">
        <v>469</v>
      </c>
      <c r="M1476" s="16" t="s">
        <v>8494</v>
      </c>
      <c r="N1476" s="16" t="str">
        <f>VLOOKUP(M1476,Tab_Zast[[Zastávka]:[Sloupec1]],2,0)</f>
        <v>86</v>
      </c>
      <c r="O1476" t="s">
        <v>470</v>
      </c>
      <c r="P1476">
        <v>1</v>
      </c>
      <c r="Q1476">
        <v>0</v>
      </c>
      <c r="R1476" t="s">
        <v>31</v>
      </c>
      <c r="S1476" t="s">
        <v>31</v>
      </c>
      <c r="T1476" t="s">
        <v>32</v>
      </c>
      <c r="V1476" s="1" t="e">
        <v>#N/A</v>
      </c>
      <c r="W1476" t="s">
        <v>47</v>
      </c>
      <c r="X1476">
        <v>0</v>
      </c>
      <c r="Y1476">
        <v>0</v>
      </c>
      <c r="AA1476" t="str">
        <f t="shared" ref="AA1476:AA1539" si="46">IF(J1476&lt;&gt;"00","update zamestnanci set nastup='" &amp; J1476 &amp; "' where id='" &amp; A1476 &amp; "';","")</f>
        <v>update zamestnanci set nastup='86' where id='72';</v>
      </c>
      <c r="AB1476" t="str">
        <f t="shared" ref="AB1476:AB1539" si="47">IF(J1476&lt;&gt;"00","update dochazka set zastavka = '" &amp; J1476 &amp; "' where zamestnanec = '" &amp; A1476 &amp; "';","")</f>
        <v>update dochazka set zastavka = '86' where zamestnanec = '72';</v>
      </c>
    </row>
    <row r="1477" spans="1:28" x14ac:dyDescent="0.25">
      <c r="A1477" s="2">
        <v>78</v>
      </c>
      <c r="B1477" t="s">
        <v>500</v>
      </c>
      <c r="D1477" t="s">
        <v>501</v>
      </c>
      <c r="E1477" t="s">
        <v>502</v>
      </c>
      <c r="F1477" t="s">
        <v>503</v>
      </c>
      <c r="G1477" s="1">
        <v>45180</v>
      </c>
      <c r="H1477" s="1">
        <v>45238</v>
      </c>
      <c r="I1477" s="1" t="e">
        <v>#N/A</v>
      </c>
      <c r="J1477" s="2" t="s">
        <v>8493</v>
      </c>
      <c r="K1477" t="s">
        <v>504</v>
      </c>
      <c r="M1477" s="16" t="s">
        <v>8494</v>
      </c>
      <c r="N1477" s="16" t="str">
        <f>VLOOKUP(M1477,Tab_Zast[[Zastávka]:[Sloupec1]],2,0)</f>
        <v>86</v>
      </c>
      <c r="O1477" t="s">
        <v>505</v>
      </c>
      <c r="P1477">
        <v>1</v>
      </c>
      <c r="Q1477">
        <v>0</v>
      </c>
      <c r="R1477" t="s">
        <v>31</v>
      </c>
      <c r="S1477" t="s">
        <v>31</v>
      </c>
      <c r="T1477" t="s">
        <v>32</v>
      </c>
      <c r="V1477" s="1" t="e">
        <v>#N/A</v>
      </c>
      <c r="W1477" t="s">
        <v>47</v>
      </c>
      <c r="X1477">
        <v>0</v>
      </c>
      <c r="Y1477">
        <v>0</v>
      </c>
      <c r="Z1477" t="s">
        <v>54</v>
      </c>
      <c r="AA1477" t="str">
        <f t="shared" si="46"/>
        <v>update zamestnanci set nastup='86' where id='78';</v>
      </c>
      <c r="AB1477" t="str">
        <f t="shared" si="47"/>
        <v>update dochazka set zastavka = '86' where zamestnanec = '78';</v>
      </c>
    </row>
    <row r="1478" spans="1:28" x14ac:dyDescent="0.25">
      <c r="A1478" s="2">
        <v>79</v>
      </c>
      <c r="B1478" t="s">
        <v>506</v>
      </c>
      <c r="D1478" t="s">
        <v>231</v>
      </c>
      <c r="E1478" t="s">
        <v>507</v>
      </c>
      <c r="F1478" t="s">
        <v>508</v>
      </c>
      <c r="G1478" s="1">
        <v>45208</v>
      </c>
      <c r="H1478" s="1">
        <v>45355</v>
      </c>
      <c r="I1478" s="1">
        <v>73050</v>
      </c>
      <c r="J1478" s="2" t="s">
        <v>8493</v>
      </c>
      <c r="K1478" t="s">
        <v>509</v>
      </c>
      <c r="M1478" s="16" t="s">
        <v>8494</v>
      </c>
      <c r="N1478" s="16" t="str">
        <f>VLOOKUP(M1478,Tab_Zast[[Zastávka]:[Sloupec1]],2,0)</f>
        <v>86</v>
      </c>
      <c r="O1478" t="s">
        <v>235</v>
      </c>
      <c r="P1478">
        <v>1</v>
      </c>
      <c r="Q1478">
        <v>0</v>
      </c>
      <c r="R1478" t="s">
        <v>31</v>
      </c>
      <c r="S1478" t="s">
        <v>31</v>
      </c>
      <c r="T1478" t="s">
        <v>32</v>
      </c>
      <c r="V1478" s="1" t="e">
        <v>#N/A</v>
      </c>
      <c r="W1478" t="s">
        <v>47</v>
      </c>
      <c r="X1478">
        <v>0</v>
      </c>
      <c r="Y1478">
        <v>0</v>
      </c>
      <c r="Z1478" t="s">
        <v>54</v>
      </c>
      <c r="AA1478" t="str">
        <f t="shared" si="46"/>
        <v>update zamestnanci set nastup='86' where id='79';</v>
      </c>
      <c r="AB1478" t="str">
        <f t="shared" si="47"/>
        <v>update dochazka set zastavka = '86' where zamestnanec = '79';</v>
      </c>
    </row>
    <row r="1479" spans="1:28" x14ac:dyDescent="0.25">
      <c r="A1479" s="2">
        <v>83</v>
      </c>
      <c r="B1479" t="s">
        <v>528</v>
      </c>
      <c r="C1479" t="s">
        <v>528</v>
      </c>
      <c r="D1479" t="s">
        <v>529</v>
      </c>
      <c r="E1479" t="s">
        <v>530</v>
      </c>
      <c r="F1479" t="s">
        <v>531</v>
      </c>
      <c r="G1479" s="1">
        <v>44725</v>
      </c>
      <c r="H1479" s="1">
        <v>45455</v>
      </c>
      <c r="I1479" s="1">
        <v>73050</v>
      </c>
      <c r="J1479" s="2" t="s">
        <v>8493</v>
      </c>
      <c r="K1479" t="s">
        <v>532</v>
      </c>
      <c r="M1479" s="16" t="s">
        <v>8494</v>
      </c>
      <c r="N1479" s="16" t="str">
        <f>VLOOKUP(M1479,Tab_Zast[[Zastávka]:[Sloupec1]],2,0)</f>
        <v>86</v>
      </c>
      <c r="O1479" t="s">
        <v>253</v>
      </c>
      <c r="P1479">
        <v>1</v>
      </c>
      <c r="Q1479">
        <v>0</v>
      </c>
      <c r="R1479" t="s">
        <v>31</v>
      </c>
      <c r="S1479" t="s">
        <v>31</v>
      </c>
      <c r="T1479" t="s">
        <v>32</v>
      </c>
      <c r="V1479" s="1">
        <v>45377</v>
      </c>
      <c r="W1479" t="s">
        <v>47</v>
      </c>
      <c r="X1479">
        <v>0</v>
      </c>
      <c r="Y1479">
        <v>0</v>
      </c>
      <c r="AA1479" t="str">
        <f t="shared" si="46"/>
        <v>update zamestnanci set nastup='86' where id='83';</v>
      </c>
      <c r="AB1479" t="str">
        <f t="shared" si="47"/>
        <v>update dochazka set zastavka = '86' where zamestnanec = '83';</v>
      </c>
    </row>
    <row r="1480" spans="1:28" x14ac:dyDescent="0.25">
      <c r="A1480" s="2">
        <v>106</v>
      </c>
      <c r="B1480" t="s">
        <v>659</v>
      </c>
      <c r="D1480" t="s">
        <v>660</v>
      </c>
      <c r="E1480" t="s">
        <v>661</v>
      </c>
      <c r="F1480" t="s">
        <v>662</v>
      </c>
      <c r="G1480" s="1">
        <v>44802</v>
      </c>
      <c r="H1480" s="1">
        <v>45336</v>
      </c>
      <c r="I1480" s="1">
        <v>73050</v>
      </c>
      <c r="J1480" s="2" t="s">
        <v>8493</v>
      </c>
      <c r="K1480" t="s">
        <v>663</v>
      </c>
      <c r="M1480" s="16" t="s">
        <v>8494</v>
      </c>
      <c r="N1480" s="16" t="str">
        <f>VLOOKUP(M1480,Tab_Zast[[Zastávka]:[Sloupec1]],2,0)</f>
        <v>86</v>
      </c>
      <c r="O1480" t="s">
        <v>664</v>
      </c>
      <c r="P1480">
        <v>1</v>
      </c>
      <c r="Q1480">
        <v>0</v>
      </c>
      <c r="R1480" t="s">
        <v>31</v>
      </c>
      <c r="S1480" t="s">
        <v>31</v>
      </c>
      <c r="T1480" t="s">
        <v>32</v>
      </c>
      <c r="V1480" s="1" t="e">
        <v>#N/A</v>
      </c>
      <c r="W1480" t="s">
        <v>47</v>
      </c>
      <c r="X1480">
        <v>0</v>
      </c>
      <c r="Y1480">
        <v>0</v>
      </c>
      <c r="AA1480" t="str">
        <f t="shared" si="46"/>
        <v>update zamestnanci set nastup='86' where id='106';</v>
      </c>
      <c r="AB1480" t="str">
        <f t="shared" si="47"/>
        <v>update dochazka set zastavka = '86' where zamestnanec = '106';</v>
      </c>
    </row>
    <row r="1481" spans="1:28" x14ac:dyDescent="0.25">
      <c r="A1481" s="2">
        <v>109</v>
      </c>
      <c r="B1481" t="s">
        <v>675</v>
      </c>
      <c r="C1481" t="s">
        <v>675</v>
      </c>
      <c r="D1481" t="s">
        <v>676</v>
      </c>
      <c r="E1481" t="s">
        <v>677</v>
      </c>
      <c r="F1481" t="s">
        <v>678</v>
      </c>
      <c r="G1481" s="1">
        <v>45078</v>
      </c>
      <c r="H1481" s="1">
        <v>73050</v>
      </c>
      <c r="I1481" s="1" t="e">
        <v>#N/A</v>
      </c>
      <c r="J1481" s="2" t="s">
        <v>2656</v>
      </c>
      <c r="K1481" t="s">
        <v>679</v>
      </c>
      <c r="M1481" s="16" t="s">
        <v>8548</v>
      </c>
      <c r="N1481" s="16" t="str">
        <f>VLOOKUP(M1481,Tab_Zast[[Zastávka]:[Sloupec1]],2,0)</f>
        <v>108</v>
      </c>
      <c r="O1481" t="s">
        <v>680</v>
      </c>
      <c r="P1481">
        <v>1</v>
      </c>
      <c r="Q1481">
        <v>0</v>
      </c>
      <c r="R1481" t="s">
        <v>130</v>
      </c>
      <c r="S1481" t="s">
        <v>31</v>
      </c>
      <c r="T1481" t="s">
        <v>32</v>
      </c>
      <c r="V1481" s="1" t="e">
        <v>#N/A</v>
      </c>
      <c r="W1481" t="s">
        <v>47</v>
      </c>
      <c r="X1481">
        <v>1</v>
      </c>
      <c r="Y1481">
        <v>0</v>
      </c>
      <c r="AA1481" t="str">
        <f t="shared" si="46"/>
        <v>update zamestnanci set nastup='108' where id='109';</v>
      </c>
      <c r="AB1481" t="str">
        <f t="shared" si="47"/>
        <v>update dochazka set zastavka = '108' where zamestnanec = '109';</v>
      </c>
    </row>
    <row r="1482" spans="1:28" x14ac:dyDescent="0.25">
      <c r="A1482" s="2">
        <v>114</v>
      </c>
      <c r="B1482" t="s">
        <v>705</v>
      </c>
      <c r="D1482" t="s">
        <v>706</v>
      </c>
      <c r="E1482" t="s">
        <v>707</v>
      </c>
      <c r="F1482" t="s">
        <v>708</v>
      </c>
      <c r="G1482" s="1">
        <v>45042</v>
      </c>
      <c r="H1482" s="1">
        <v>45336</v>
      </c>
      <c r="I1482" s="1">
        <v>73050</v>
      </c>
      <c r="J1482" s="2" t="s">
        <v>230</v>
      </c>
      <c r="K1482" t="s">
        <v>709</v>
      </c>
      <c r="M1482" s="16" t="s">
        <v>8287</v>
      </c>
      <c r="N1482" s="16" t="str">
        <f>VLOOKUP(M1482,Tab_Zast[[Zastávka]:[Sloupec1]],2,0)</f>
        <v>12</v>
      </c>
      <c r="O1482" t="s">
        <v>710</v>
      </c>
      <c r="P1482">
        <v>1</v>
      </c>
      <c r="Q1482">
        <v>0</v>
      </c>
      <c r="R1482" t="s">
        <v>31</v>
      </c>
      <c r="S1482" t="s">
        <v>31</v>
      </c>
      <c r="T1482" t="s">
        <v>32</v>
      </c>
      <c r="V1482" s="1" t="e">
        <v>#N/A</v>
      </c>
      <c r="W1482" t="s">
        <v>47</v>
      </c>
      <c r="X1482">
        <v>0</v>
      </c>
      <c r="Y1482">
        <v>0</v>
      </c>
      <c r="AA1482" t="str">
        <f t="shared" si="46"/>
        <v>update zamestnanci set nastup='12' where id='114';</v>
      </c>
      <c r="AB1482" t="str">
        <f t="shared" si="47"/>
        <v>update dochazka set zastavka = '12' where zamestnanec = '114';</v>
      </c>
    </row>
    <row r="1483" spans="1:28" x14ac:dyDescent="0.25">
      <c r="A1483" s="2">
        <v>120</v>
      </c>
      <c r="B1483" t="s">
        <v>741</v>
      </c>
      <c r="C1483" t="s">
        <v>741</v>
      </c>
      <c r="D1483" t="s">
        <v>742</v>
      </c>
      <c r="E1483" t="s">
        <v>743</v>
      </c>
      <c r="F1483" t="s">
        <v>744</v>
      </c>
      <c r="G1483" s="1">
        <v>45166</v>
      </c>
      <c r="H1483" s="1">
        <v>73050</v>
      </c>
      <c r="I1483" s="1" t="e">
        <v>#N/A</v>
      </c>
      <c r="J1483" s="2" t="s">
        <v>8493</v>
      </c>
      <c r="K1483" t="s">
        <v>745</v>
      </c>
      <c r="M1483" s="16" t="s">
        <v>8494</v>
      </c>
      <c r="N1483" s="16" t="str">
        <f>VLOOKUP(M1483,Tab_Zast[[Zastávka]:[Sloupec1]],2,0)</f>
        <v>86</v>
      </c>
      <c r="O1483" t="s">
        <v>746</v>
      </c>
      <c r="P1483">
        <v>1</v>
      </c>
      <c r="Q1483">
        <v>0</v>
      </c>
      <c r="R1483" t="s">
        <v>179</v>
      </c>
      <c r="S1483" t="s">
        <v>31</v>
      </c>
      <c r="T1483" t="s">
        <v>32</v>
      </c>
      <c r="V1483" s="1" t="e">
        <v>#N/A</v>
      </c>
      <c r="W1483" t="s">
        <v>47</v>
      </c>
      <c r="X1483">
        <v>1</v>
      </c>
      <c r="Y1483">
        <v>0</v>
      </c>
      <c r="AA1483" t="str">
        <f t="shared" si="46"/>
        <v>update zamestnanci set nastup='86' where id='120';</v>
      </c>
      <c r="AB1483" t="str">
        <f t="shared" si="47"/>
        <v>update dochazka set zastavka = '86' where zamestnanec = '120';</v>
      </c>
    </row>
    <row r="1484" spans="1:28" x14ac:dyDescent="0.25">
      <c r="A1484" s="2">
        <v>121</v>
      </c>
      <c r="B1484" t="s">
        <v>747</v>
      </c>
      <c r="D1484" t="s">
        <v>748</v>
      </c>
      <c r="E1484" t="s">
        <v>749</v>
      </c>
      <c r="F1484" t="s">
        <v>750</v>
      </c>
      <c r="G1484" s="1">
        <v>45166</v>
      </c>
      <c r="H1484" s="1">
        <v>45295</v>
      </c>
      <c r="I1484" s="1" t="e">
        <v>#N/A</v>
      </c>
      <c r="J1484" s="2" t="s">
        <v>8493</v>
      </c>
      <c r="K1484" t="s">
        <v>751</v>
      </c>
      <c r="M1484" s="16" t="s">
        <v>8494</v>
      </c>
      <c r="N1484" s="16" t="str">
        <f>VLOOKUP(M1484,Tab_Zast[[Zastávka]:[Sloupec1]],2,0)</f>
        <v>86</v>
      </c>
      <c r="O1484" t="s">
        <v>752</v>
      </c>
      <c r="P1484">
        <v>1</v>
      </c>
      <c r="Q1484">
        <v>0</v>
      </c>
      <c r="R1484" t="s">
        <v>31</v>
      </c>
      <c r="S1484" t="s">
        <v>31</v>
      </c>
      <c r="T1484" t="s">
        <v>32</v>
      </c>
      <c r="V1484" s="1" t="e">
        <v>#N/A</v>
      </c>
      <c r="W1484" t="s">
        <v>47</v>
      </c>
      <c r="X1484">
        <v>0</v>
      </c>
      <c r="Y1484">
        <v>0</v>
      </c>
      <c r="AA1484" t="str">
        <f t="shared" si="46"/>
        <v>update zamestnanci set nastup='86' where id='121';</v>
      </c>
      <c r="AB1484" t="str">
        <f t="shared" si="47"/>
        <v>update dochazka set zastavka = '86' where zamestnanec = '121';</v>
      </c>
    </row>
    <row r="1485" spans="1:28" x14ac:dyDescent="0.25">
      <c r="A1485" s="2">
        <v>123</v>
      </c>
      <c r="B1485" t="s">
        <v>759</v>
      </c>
      <c r="D1485" t="s">
        <v>760</v>
      </c>
      <c r="E1485" t="s">
        <v>761</v>
      </c>
      <c r="F1485" t="s">
        <v>762</v>
      </c>
      <c r="G1485" s="1">
        <v>45180</v>
      </c>
      <c r="H1485" s="1">
        <v>45291</v>
      </c>
      <c r="I1485" s="1" t="e">
        <v>#N/A</v>
      </c>
      <c r="J1485" s="2" t="s">
        <v>8493</v>
      </c>
      <c r="K1485" t="s">
        <v>763</v>
      </c>
      <c r="M1485" s="16" t="s">
        <v>8494</v>
      </c>
      <c r="N1485" s="16" t="str">
        <f>VLOOKUP(M1485,Tab_Zast[[Zastávka]:[Sloupec1]],2,0)</f>
        <v>86</v>
      </c>
      <c r="O1485" t="s">
        <v>764</v>
      </c>
      <c r="P1485">
        <v>1</v>
      </c>
      <c r="Q1485">
        <v>0</v>
      </c>
      <c r="R1485" t="s">
        <v>31</v>
      </c>
      <c r="S1485" t="s">
        <v>31</v>
      </c>
      <c r="T1485" t="s">
        <v>32</v>
      </c>
      <c r="V1485" s="1" t="e">
        <v>#N/A</v>
      </c>
      <c r="W1485" t="s">
        <v>47</v>
      </c>
      <c r="X1485">
        <v>0</v>
      </c>
      <c r="Y1485">
        <v>0</v>
      </c>
      <c r="Z1485" t="s">
        <v>54</v>
      </c>
      <c r="AA1485" t="str">
        <f t="shared" si="46"/>
        <v>update zamestnanci set nastup='86' where id='123';</v>
      </c>
      <c r="AB1485" t="str">
        <f t="shared" si="47"/>
        <v>update dochazka set zastavka = '86' where zamestnanec = '123';</v>
      </c>
    </row>
    <row r="1486" spans="1:28" x14ac:dyDescent="0.25">
      <c r="A1486" s="2">
        <v>124</v>
      </c>
      <c r="B1486" t="s">
        <v>765</v>
      </c>
      <c r="C1486" t="s">
        <v>765</v>
      </c>
      <c r="D1486" t="s">
        <v>444</v>
      </c>
      <c r="E1486" t="s">
        <v>689</v>
      </c>
      <c r="F1486" t="s">
        <v>569</v>
      </c>
      <c r="G1486" s="1">
        <v>45180</v>
      </c>
      <c r="H1486" s="1">
        <v>45930</v>
      </c>
      <c r="I1486" s="1">
        <v>73050</v>
      </c>
      <c r="J1486" s="2" t="s">
        <v>8493</v>
      </c>
      <c r="K1486" t="s">
        <v>766</v>
      </c>
      <c r="M1486" s="16" t="s">
        <v>8494</v>
      </c>
      <c r="N1486" s="16" t="str">
        <f>VLOOKUP(M1486,Tab_Zast[[Zastávka]:[Sloupec1]],2,0)</f>
        <v>86</v>
      </c>
      <c r="O1486" t="s">
        <v>767</v>
      </c>
      <c r="P1486">
        <v>1</v>
      </c>
      <c r="Q1486">
        <v>0</v>
      </c>
      <c r="R1486" t="s">
        <v>31</v>
      </c>
      <c r="S1486" t="s">
        <v>31</v>
      </c>
      <c r="T1486" t="s">
        <v>32</v>
      </c>
      <c r="V1486" s="1" t="e">
        <v>#N/A</v>
      </c>
      <c r="W1486" t="s">
        <v>47</v>
      </c>
      <c r="X1486">
        <v>0</v>
      </c>
      <c r="Y1486">
        <v>0</v>
      </c>
      <c r="AA1486" t="str">
        <f t="shared" si="46"/>
        <v>update zamestnanci set nastup='86' where id='124';</v>
      </c>
      <c r="AB1486" t="str">
        <f t="shared" si="47"/>
        <v>update dochazka set zastavka = '86' where zamestnanec = '124';</v>
      </c>
    </row>
    <row r="1487" spans="1:28" x14ac:dyDescent="0.25">
      <c r="A1487" s="2">
        <v>139</v>
      </c>
      <c r="B1487" t="s">
        <v>850</v>
      </c>
      <c r="D1487" t="s">
        <v>851</v>
      </c>
      <c r="E1487" t="s">
        <v>852</v>
      </c>
      <c r="F1487" t="s">
        <v>853</v>
      </c>
      <c r="G1487" s="1">
        <v>44746</v>
      </c>
      <c r="H1487" s="1">
        <v>45309</v>
      </c>
      <c r="I1487" s="1">
        <v>73050</v>
      </c>
      <c r="J1487" s="2" t="s">
        <v>2656</v>
      </c>
      <c r="K1487" t="s">
        <v>854</v>
      </c>
      <c r="M1487" s="16" t="s">
        <v>8548</v>
      </c>
      <c r="N1487" s="16" t="str">
        <f>VLOOKUP(M1487,Tab_Zast[[Zastávka]:[Sloupec1]],2,0)</f>
        <v>108</v>
      </c>
      <c r="O1487" t="s">
        <v>855</v>
      </c>
      <c r="P1487">
        <v>4</v>
      </c>
      <c r="Q1487">
        <v>0</v>
      </c>
      <c r="R1487" t="s">
        <v>31</v>
      </c>
      <c r="S1487" t="s">
        <v>31</v>
      </c>
      <c r="T1487" t="s">
        <v>32</v>
      </c>
      <c r="V1487" s="1" t="e">
        <v>#N/A</v>
      </c>
      <c r="W1487" t="s">
        <v>62</v>
      </c>
      <c r="X1487">
        <v>0</v>
      </c>
      <c r="Y1487">
        <v>0</v>
      </c>
      <c r="Z1487" t="s">
        <v>54</v>
      </c>
      <c r="AA1487" t="str">
        <f t="shared" si="46"/>
        <v>update zamestnanci set nastup='108' where id='139';</v>
      </c>
      <c r="AB1487" t="str">
        <f t="shared" si="47"/>
        <v>update dochazka set zastavka = '108' where zamestnanec = '139';</v>
      </c>
    </row>
    <row r="1488" spans="1:28" x14ac:dyDescent="0.25">
      <c r="A1488" s="2">
        <v>143</v>
      </c>
      <c r="B1488" t="s">
        <v>878</v>
      </c>
      <c r="D1488" t="s">
        <v>879</v>
      </c>
      <c r="E1488" t="s">
        <v>880</v>
      </c>
      <c r="F1488" t="s">
        <v>606</v>
      </c>
      <c r="G1488" s="1">
        <v>45145</v>
      </c>
      <c r="H1488" s="1">
        <v>45303</v>
      </c>
      <c r="I1488" s="1" t="e">
        <v>#N/A</v>
      </c>
      <c r="J1488" s="2" t="s">
        <v>2656</v>
      </c>
      <c r="K1488" t="s">
        <v>881</v>
      </c>
      <c r="M1488" s="16" t="s">
        <v>8548</v>
      </c>
      <c r="N1488" s="16" t="str">
        <f>VLOOKUP(M1488,Tab_Zast[[Zastávka]:[Sloupec1]],2,0)</f>
        <v>108</v>
      </c>
      <c r="O1488" t="s">
        <v>882</v>
      </c>
      <c r="P1488">
        <v>4</v>
      </c>
      <c r="Q1488">
        <v>0</v>
      </c>
      <c r="R1488" t="s">
        <v>31</v>
      </c>
      <c r="S1488" t="s">
        <v>31</v>
      </c>
      <c r="T1488" t="s">
        <v>32</v>
      </c>
      <c r="V1488" s="1" t="e">
        <v>#N/A</v>
      </c>
      <c r="W1488" t="s">
        <v>62</v>
      </c>
      <c r="X1488">
        <v>0</v>
      </c>
      <c r="Y1488">
        <v>0</v>
      </c>
      <c r="Z1488" t="s">
        <v>40</v>
      </c>
      <c r="AA1488" t="str">
        <f t="shared" si="46"/>
        <v>update zamestnanci set nastup='108' where id='143';</v>
      </c>
      <c r="AB1488" t="str">
        <f t="shared" si="47"/>
        <v>update dochazka set zastavka = '108' where zamestnanec = '143';</v>
      </c>
    </row>
    <row r="1489" spans="1:28" x14ac:dyDescent="0.25">
      <c r="A1489" s="2">
        <v>149</v>
      </c>
      <c r="B1489" t="s">
        <v>914</v>
      </c>
      <c r="C1489" t="s">
        <v>915</v>
      </c>
      <c r="D1489" t="s">
        <v>916</v>
      </c>
      <c r="E1489" t="s">
        <v>917</v>
      </c>
      <c r="F1489" t="s">
        <v>64</v>
      </c>
      <c r="G1489" s="1">
        <v>44634</v>
      </c>
      <c r="H1489" s="1">
        <v>45930</v>
      </c>
      <c r="I1489" s="1">
        <v>45932</v>
      </c>
      <c r="J1489" s="2" t="s">
        <v>2656</v>
      </c>
      <c r="K1489" t="s">
        <v>918</v>
      </c>
      <c r="M1489" s="16" t="s">
        <v>8548</v>
      </c>
      <c r="N1489" s="16" t="str">
        <f>VLOOKUP(M1489,Tab_Zast[[Zastávka]:[Sloupec1]],2,0)</f>
        <v>108</v>
      </c>
      <c r="O1489" t="s">
        <v>919</v>
      </c>
      <c r="P1489">
        <v>4</v>
      </c>
      <c r="Q1489">
        <v>0</v>
      </c>
      <c r="R1489" t="s">
        <v>31</v>
      </c>
      <c r="S1489" t="s">
        <v>31</v>
      </c>
      <c r="T1489" t="s">
        <v>318</v>
      </c>
      <c r="V1489" s="1" t="e">
        <v>#N/A</v>
      </c>
      <c r="W1489" t="s">
        <v>62</v>
      </c>
      <c r="X1489">
        <v>0</v>
      </c>
      <c r="Y1489">
        <v>0</v>
      </c>
      <c r="AA1489" t="str">
        <f t="shared" si="46"/>
        <v>update zamestnanci set nastup='108' where id='149';</v>
      </c>
      <c r="AB1489" t="str">
        <f t="shared" si="47"/>
        <v>update dochazka set zastavka = '108' where zamestnanec = '149';</v>
      </c>
    </row>
    <row r="1490" spans="1:28" x14ac:dyDescent="0.25">
      <c r="A1490" s="2">
        <v>155</v>
      </c>
      <c r="B1490" t="s">
        <v>949</v>
      </c>
      <c r="C1490" t="s">
        <v>950</v>
      </c>
      <c r="D1490" t="s">
        <v>951</v>
      </c>
      <c r="E1490" t="s">
        <v>952</v>
      </c>
      <c r="F1490" t="s">
        <v>953</v>
      </c>
      <c r="G1490" s="1">
        <v>45145</v>
      </c>
      <c r="H1490" s="1">
        <v>45698</v>
      </c>
      <c r="I1490" s="1">
        <v>73050</v>
      </c>
      <c r="J1490" s="2" t="s">
        <v>2656</v>
      </c>
      <c r="K1490" t="s">
        <v>954</v>
      </c>
      <c r="M1490" s="16" t="s">
        <v>8548</v>
      </c>
      <c r="N1490" s="16" t="str">
        <f>VLOOKUP(M1490,Tab_Zast[[Zastávka]:[Sloupec1]],2,0)</f>
        <v>108</v>
      </c>
      <c r="O1490" t="s">
        <v>955</v>
      </c>
      <c r="P1490">
        <v>4</v>
      </c>
      <c r="Q1490">
        <v>0</v>
      </c>
      <c r="R1490" t="s">
        <v>31</v>
      </c>
      <c r="S1490" t="s">
        <v>31</v>
      </c>
      <c r="T1490" t="s">
        <v>32</v>
      </c>
      <c r="V1490" s="1" t="e">
        <v>#N/A</v>
      </c>
      <c r="W1490" t="s">
        <v>62</v>
      </c>
      <c r="X1490">
        <v>0</v>
      </c>
      <c r="Y1490">
        <v>0</v>
      </c>
      <c r="AA1490" t="str">
        <f t="shared" si="46"/>
        <v>update zamestnanci set nastup='108' where id='155';</v>
      </c>
      <c r="AB1490" t="str">
        <f t="shared" si="47"/>
        <v>update dochazka set zastavka = '108' where zamestnanec = '155';</v>
      </c>
    </row>
    <row r="1491" spans="1:28" x14ac:dyDescent="0.25">
      <c r="A1491" s="2">
        <v>156</v>
      </c>
      <c r="B1491" t="s">
        <v>956</v>
      </c>
      <c r="C1491" t="s">
        <v>64</v>
      </c>
      <c r="D1491" t="s">
        <v>957</v>
      </c>
      <c r="E1491" t="s">
        <v>958</v>
      </c>
      <c r="F1491" t="s">
        <v>67</v>
      </c>
      <c r="G1491" s="1">
        <v>45169</v>
      </c>
      <c r="H1491" s="1">
        <v>45383</v>
      </c>
      <c r="I1491" s="1">
        <v>73050</v>
      </c>
      <c r="J1491" s="2" t="s">
        <v>2656</v>
      </c>
      <c r="K1491" t="s">
        <v>959</v>
      </c>
      <c r="M1491" s="16" t="s">
        <v>8548</v>
      </c>
      <c r="N1491" s="16" t="str">
        <f>VLOOKUP(M1491,Tab_Zast[[Zastávka]:[Sloupec1]],2,0)</f>
        <v>108</v>
      </c>
      <c r="O1491" t="s">
        <v>960</v>
      </c>
      <c r="P1491">
        <v>4</v>
      </c>
      <c r="Q1491">
        <v>0</v>
      </c>
      <c r="R1491" t="s">
        <v>31</v>
      </c>
      <c r="S1491" t="s">
        <v>31</v>
      </c>
      <c r="T1491" t="s">
        <v>32</v>
      </c>
      <c r="V1491" s="1" t="e">
        <v>#N/A</v>
      </c>
      <c r="W1491" t="s">
        <v>62</v>
      </c>
      <c r="X1491">
        <v>0</v>
      </c>
      <c r="Y1491">
        <v>0</v>
      </c>
      <c r="Z1491" t="s">
        <v>54</v>
      </c>
      <c r="AA1491" t="str">
        <f t="shared" si="46"/>
        <v>update zamestnanci set nastup='108' where id='156';</v>
      </c>
      <c r="AB1491" t="str">
        <f t="shared" si="47"/>
        <v>update dochazka set zastavka = '108' where zamestnanec = '156';</v>
      </c>
    </row>
    <row r="1492" spans="1:28" x14ac:dyDescent="0.25">
      <c r="A1492" s="2">
        <v>162</v>
      </c>
      <c r="B1492" t="s">
        <v>992</v>
      </c>
      <c r="D1492" t="s">
        <v>993</v>
      </c>
      <c r="E1492" t="s">
        <v>994</v>
      </c>
      <c r="F1492" t="s">
        <v>995</v>
      </c>
      <c r="G1492" s="1">
        <v>45108</v>
      </c>
      <c r="H1492" s="1">
        <v>45383</v>
      </c>
      <c r="I1492" s="1">
        <v>73050</v>
      </c>
      <c r="J1492" s="2" t="s">
        <v>2656</v>
      </c>
      <c r="K1492" t="s">
        <v>996</v>
      </c>
      <c r="M1492" s="16" t="s">
        <v>8548</v>
      </c>
      <c r="N1492" s="16" t="str">
        <f>VLOOKUP(M1492,Tab_Zast[[Zastávka]:[Sloupec1]],2,0)</f>
        <v>108</v>
      </c>
      <c r="O1492" t="s">
        <v>997</v>
      </c>
      <c r="P1492">
        <v>4</v>
      </c>
      <c r="Q1492">
        <v>0</v>
      </c>
      <c r="R1492" t="s">
        <v>31</v>
      </c>
      <c r="S1492" t="s">
        <v>31</v>
      </c>
      <c r="T1492" t="s">
        <v>32</v>
      </c>
      <c r="V1492" s="1" t="e">
        <v>#N/A</v>
      </c>
      <c r="W1492" t="s">
        <v>62</v>
      </c>
      <c r="X1492">
        <v>0</v>
      </c>
      <c r="Y1492">
        <v>0</v>
      </c>
      <c r="Z1492" t="s">
        <v>54</v>
      </c>
      <c r="AA1492" t="str">
        <f t="shared" si="46"/>
        <v>update zamestnanci set nastup='108' where id='162';</v>
      </c>
      <c r="AB1492" t="str">
        <f t="shared" si="47"/>
        <v>update dochazka set zastavka = '108' where zamestnanec = '162';</v>
      </c>
    </row>
    <row r="1493" spans="1:28" x14ac:dyDescent="0.25">
      <c r="A1493" s="2">
        <v>168</v>
      </c>
      <c r="B1493" t="s">
        <v>1029</v>
      </c>
      <c r="C1493" t="s">
        <v>1030</v>
      </c>
      <c r="D1493" t="s">
        <v>1031</v>
      </c>
      <c r="E1493" t="s">
        <v>1032</v>
      </c>
      <c r="F1493" t="s">
        <v>1033</v>
      </c>
      <c r="G1493" s="1">
        <v>44825</v>
      </c>
      <c r="H1493" s="1" t="e">
        <v>#N/A</v>
      </c>
      <c r="I1493" s="1" t="e">
        <v>#N/A</v>
      </c>
      <c r="J1493" s="2" t="s">
        <v>2656</v>
      </c>
      <c r="K1493" t="s">
        <v>1034</v>
      </c>
      <c r="M1493" s="16" t="s">
        <v>8548</v>
      </c>
      <c r="N1493" s="16" t="str">
        <f>VLOOKUP(M1493,Tab_Zast[[Zastávka]:[Sloupec1]],2,0)</f>
        <v>108</v>
      </c>
      <c r="O1493" t="s">
        <v>1035</v>
      </c>
      <c r="P1493">
        <v>6</v>
      </c>
      <c r="Q1493">
        <v>0</v>
      </c>
      <c r="R1493" t="s">
        <v>129</v>
      </c>
      <c r="S1493" t="s">
        <v>130</v>
      </c>
      <c r="T1493" t="s">
        <v>32</v>
      </c>
      <c r="V1493" s="1" t="e">
        <v>#N/A</v>
      </c>
      <c r="W1493" t="s">
        <v>1022</v>
      </c>
      <c r="X1493">
        <v>1</v>
      </c>
      <c r="Y1493">
        <v>0</v>
      </c>
      <c r="AA1493" t="str">
        <f t="shared" si="46"/>
        <v>update zamestnanci set nastup='108' where id='168';</v>
      </c>
      <c r="AB1493" t="str">
        <f t="shared" si="47"/>
        <v>update dochazka set zastavka = '108' where zamestnanec = '168';</v>
      </c>
    </row>
    <row r="1494" spans="1:28" x14ac:dyDescent="0.25">
      <c r="A1494" s="2">
        <v>169</v>
      </c>
      <c r="B1494" t="s">
        <v>1036</v>
      </c>
      <c r="C1494" t="s">
        <v>1037</v>
      </c>
      <c r="D1494" t="s">
        <v>1038</v>
      </c>
      <c r="E1494" t="s">
        <v>1039</v>
      </c>
      <c r="F1494" t="s">
        <v>1040</v>
      </c>
      <c r="G1494" s="1">
        <v>44986</v>
      </c>
      <c r="H1494" s="1" t="e">
        <v>#N/A</v>
      </c>
      <c r="I1494" s="1" t="e">
        <v>#N/A</v>
      </c>
      <c r="J1494" s="2" t="s">
        <v>2656</v>
      </c>
      <c r="K1494" t="s">
        <v>1041</v>
      </c>
      <c r="M1494" s="16" t="s">
        <v>8548</v>
      </c>
      <c r="N1494" s="16" t="str">
        <f>VLOOKUP(M1494,Tab_Zast[[Zastávka]:[Sloupec1]],2,0)</f>
        <v>108</v>
      </c>
      <c r="O1494" t="s">
        <v>1042</v>
      </c>
      <c r="P1494">
        <v>6</v>
      </c>
      <c r="Q1494">
        <v>0</v>
      </c>
      <c r="R1494" t="s">
        <v>129</v>
      </c>
      <c r="S1494" t="s">
        <v>179</v>
      </c>
      <c r="T1494" t="s">
        <v>32</v>
      </c>
      <c r="V1494" s="1" t="e">
        <v>#N/A</v>
      </c>
      <c r="W1494" t="s">
        <v>1022</v>
      </c>
      <c r="X1494">
        <v>1</v>
      </c>
      <c r="Y1494">
        <v>0</v>
      </c>
      <c r="AA1494" t="str">
        <f t="shared" si="46"/>
        <v>update zamestnanci set nastup='108' where id='169';</v>
      </c>
      <c r="AB1494" t="str">
        <f t="shared" si="47"/>
        <v>update dochazka set zastavka = '108' where zamestnanec = '169';</v>
      </c>
    </row>
    <row r="1495" spans="1:28" x14ac:dyDescent="0.25">
      <c r="A1495" s="2">
        <v>175</v>
      </c>
      <c r="B1495" t="s">
        <v>1071</v>
      </c>
      <c r="D1495" t="s">
        <v>1072</v>
      </c>
      <c r="E1495" t="s">
        <v>1073</v>
      </c>
      <c r="F1495" t="s">
        <v>1074</v>
      </c>
      <c r="G1495" s="1">
        <v>45154</v>
      </c>
      <c r="H1495" s="1">
        <v>45300</v>
      </c>
      <c r="I1495" s="1">
        <v>73050</v>
      </c>
      <c r="J1495" s="2" t="s">
        <v>2656</v>
      </c>
      <c r="K1495" t="s">
        <v>1075</v>
      </c>
      <c r="M1495" s="16" t="s">
        <v>8548</v>
      </c>
      <c r="N1495" s="16" t="str">
        <f>VLOOKUP(M1495,Tab_Zast[[Zastávka]:[Sloupec1]],2,0)</f>
        <v>108</v>
      </c>
      <c r="O1495" t="s">
        <v>1076</v>
      </c>
      <c r="P1495">
        <v>6</v>
      </c>
      <c r="Q1495">
        <v>0</v>
      </c>
      <c r="R1495" t="s">
        <v>31</v>
      </c>
      <c r="S1495" t="s">
        <v>31</v>
      </c>
      <c r="T1495" t="s">
        <v>32</v>
      </c>
      <c r="V1495" s="1" t="e">
        <v>#N/A</v>
      </c>
      <c r="W1495" t="s">
        <v>1022</v>
      </c>
      <c r="X1495">
        <v>0</v>
      </c>
      <c r="Y1495">
        <v>0</v>
      </c>
      <c r="Z1495" t="s">
        <v>54</v>
      </c>
      <c r="AA1495" t="str">
        <f t="shared" si="46"/>
        <v>update zamestnanci set nastup='108' where id='175';</v>
      </c>
      <c r="AB1495" t="str">
        <f t="shared" si="47"/>
        <v>update dochazka set zastavka = '108' where zamestnanec = '175';</v>
      </c>
    </row>
    <row r="1496" spans="1:28" x14ac:dyDescent="0.25">
      <c r="A1496" s="2">
        <v>177</v>
      </c>
      <c r="B1496" t="s">
        <v>1084</v>
      </c>
      <c r="D1496" t="s">
        <v>1085</v>
      </c>
      <c r="E1496" t="s">
        <v>1086</v>
      </c>
      <c r="F1496" t="s">
        <v>1087</v>
      </c>
      <c r="G1496" s="1">
        <v>45056</v>
      </c>
      <c r="H1496" s="1">
        <v>45351</v>
      </c>
      <c r="I1496" s="1">
        <v>73050</v>
      </c>
      <c r="J1496" s="2" t="s">
        <v>2656</v>
      </c>
      <c r="K1496" t="s">
        <v>1088</v>
      </c>
      <c r="M1496" s="16" t="s">
        <v>8548</v>
      </c>
      <c r="N1496" s="16" t="str">
        <f>VLOOKUP(M1496,Tab_Zast[[Zastávka]:[Sloupec1]],2,0)</f>
        <v>108</v>
      </c>
      <c r="O1496" t="s">
        <v>1089</v>
      </c>
      <c r="P1496">
        <v>6</v>
      </c>
      <c r="Q1496">
        <v>0</v>
      </c>
      <c r="R1496" t="s">
        <v>31</v>
      </c>
      <c r="S1496" t="s">
        <v>31</v>
      </c>
      <c r="T1496" t="s">
        <v>32</v>
      </c>
      <c r="V1496" s="1" t="e">
        <v>#N/A</v>
      </c>
      <c r="W1496" t="s">
        <v>1022</v>
      </c>
      <c r="X1496">
        <v>0</v>
      </c>
      <c r="Y1496">
        <v>0</v>
      </c>
      <c r="Z1496" t="s">
        <v>54</v>
      </c>
      <c r="AA1496" t="str">
        <f t="shared" si="46"/>
        <v>update zamestnanci set nastup='108' where id='177';</v>
      </c>
      <c r="AB1496" t="str">
        <f t="shared" si="47"/>
        <v>update dochazka set zastavka = '108' where zamestnanec = '177';</v>
      </c>
    </row>
    <row r="1497" spans="1:28" x14ac:dyDescent="0.25">
      <c r="A1497" s="2">
        <v>185</v>
      </c>
      <c r="B1497" t="s">
        <v>1134</v>
      </c>
      <c r="D1497" t="s">
        <v>1135</v>
      </c>
      <c r="E1497" t="s">
        <v>1136</v>
      </c>
      <c r="F1497" t="s">
        <v>1137</v>
      </c>
      <c r="G1497" s="1">
        <v>44986</v>
      </c>
      <c r="H1497" s="1">
        <v>45331</v>
      </c>
      <c r="I1497" s="1">
        <v>73050</v>
      </c>
      <c r="J1497" s="2" t="s">
        <v>2656</v>
      </c>
      <c r="K1497" t="s">
        <v>1138</v>
      </c>
      <c r="M1497" s="16" t="s">
        <v>8548</v>
      </c>
      <c r="N1497" s="16" t="str">
        <f>VLOOKUP(M1497,Tab_Zast[[Zastávka]:[Sloupec1]],2,0)</f>
        <v>108</v>
      </c>
      <c r="O1497" t="s">
        <v>1139</v>
      </c>
      <c r="P1497">
        <v>6</v>
      </c>
      <c r="Q1497">
        <v>0</v>
      </c>
      <c r="R1497" t="s">
        <v>31</v>
      </c>
      <c r="S1497" t="s">
        <v>31</v>
      </c>
      <c r="T1497" t="s">
        <v>32</v>
      </c>
      <c r="V1497" s="1" t="e">
        <v>#N/A</v>
      </c>
      <c r="W1497" t="s">
        <v>1022</v>
      </c>
      <c r="X1497">
        <v>0</v>
      </c>
      <c r="Y1497">
        <v>0</v>
      </c>
      <c r="Z1497" t="s">
        <v>54</v>
      </c>
      <c r="AA1497" t="str">
        <f t="shared" si="46"/>
        <v>update zamestnanci set nastup='108' where id='185';</v>
      </c>
      <c r="AB1497" t="str">
        <f t="shared" si="47"/>
        <v>update dochazka set zastavka = '108' where zamestnanec = '185';</v>
      </c>
    </row>
    <row r="1498" spans="1:28" x14ac:dyDescent="0.25">
      <c r="A1498" s="2">
        <v>186</v>
      </c>
      <c r="B1498" t="s">
        <v>1140</v>
      </c>
      <c r="C1498" t="s">
        <v>1141</v>
      </c>
      <c r="D1498" t="s">
        <v>1142</v>
      </c>
      <c r="E1498" t="s">
        <v>1143</v>
      </c>
      <c r="F1498" t="s">
        <v>1144</v>
      </c>
      <c r="G1498" s="1">
        <v>45161</v>
      </c>
      <c r="H1498" s="1">
        <v>45562</v>
      </c>
      <c r="I1498" s="1">
        <v>73050</v>
      </c>
      <c r="J1498" s="2" t="s">
        <v>2656</v>
      </c>
      <c r="K1498" t="s">
        <v>1145</v>
      </c>
      <c r="M1498" s="16" t="s">
        <v>8548</v>
      </c>
      <c r="N1498" s="16" t="str">
        <f>VLOOKUP(M1498,Tab_Zast[[Zastávka]:[Sloupec1]],2,0)</f>
        <v>108</v>
      </c>
      <c r="O1498" t="s">
        <v>1146</v>
      </c>
      <c r="P1498">
        <v>6</v>
      </c>
      <c r="Q1498">
        <v>0</v>
      </c>
      <c r="R1498" t="s">
        <v>31</v>
      </c>
      <c r="S1498" t="s">
        <v>31</v>
      </c>
      <c r="T1498" t="s">
        <v>32</v>
      </c>
      <c r="V1498" s="1" t="e">
        <v>#N/A</v>
      </c>
      <c r="W1498" t="s">
        <v>1022</v>
      </c>
      <c r="X1498">
        <v>0</v>
      </c>
      <c r="Y1498">
        <v>0</v>
      </c>
      <c r="AA1498" t="str">
        <f t="shared" si="46"/>
        <v>update zamestnanci set nastup='108' where id='186';</v>
      </c>
      <c r="AB1498" t="str">
        <f t="shared" si="47"/>
        <v>update dochazka set zastavka = '108' where zamestnanec = '186';</v>
      </c>
    </row>
    <row r="1499" spans="1:28" x14ac:dyDescent="0.25">
      <c r="A1499" s="2">
        <v>195</v>
      </c>
      <c r="B1499" t="s">
        <v>1197</v>
      </c>
      <c r="C1499" t="s">
        <v>1198</v>
      </c>
      <c r="D1499" t="s">
        <v>1199</v>
      </c>
      <c r="E1499" t="s">
        <v>1200</v>
      </c>
      <c r="F1499" t="s">
        <v>1201</v>
      </c>
      <c r="G1499" s="1">
        <v>44936</v>
      </c>
      <c r="H1499" s="1">
        <v>45747</v>
      </c>
      <c r="I1499" s="1">
        <v>73050</v>
      </c>
      <c r="J1499" s="2" t="s">
        <v>2656</v>
      </c>
      <c r="K1499" t="s">
        <v>1202</v>
      </c>
      <c r="M1499" s="16" t="s">
        <v>8548</v>
      </c>
      <c r="N1499" s="16" t="str">
        <f>VLOOKUP(M1499,Tab_Zast[[Zastávka]:[Sloupec1]],2,0)</f>
        <v>108</v>
      </c>
      <c r="O1499" t="s">
        <v>1203</v>
      </c>
      <c r="P1499">
        <v>6</v>
      </c>
      <c r="Q1499">
        <v>0</v>
      </c>
      <c r="R1499" t="s">
        <v>31</v>
      </c>
      <c r="S1499" t="s">
        <v>31</v>
      </c>
      <c r="T1499" t="s">
        <v>32</v>
      </c>
      <c r="V1499" s="1" t="e">
        <v>#N/A</v>
      </c>
      <c r="W1499" t="s">
        <v>1022</v>
      </c>
      <c r="X1499">
        <v>0</v>
      </c>
      <c r="Y1499">
        <v>0</v>
      </c>
      <c r="AA1499" t="str">
        <f t="shared" si="46"/>
        <v>update zamestnanci set nastup='108' where id='195';</v>
      </c>
      <c r="AB1499" t="str">
        <f t="shared" si="47"/>
        <v>update dochazka set zastavka = '108' where zamestnanec = '195';</v>
      </c>
    </row>
    <row r="1500" spans="1:28" x14ac:dyDescent="0.25">
      <c r="A1500" s="2">
        <v>385</v>
      </c>
      <c r="B1500" t="s">
        <v>1223</v>
      </c>
      <c r="C1500" t="s">
        <v>1224</v>
      </c>
      <c r="D1500" t="s">
        <v>1225</v>
      </c>
      <c r="E1500" t="s">
        <v>1226</v>
      </c>
      <c r="F1500" t="s">
        <v>1227</v>
      </c>
      <c r="G1500" s="1">
        <v>45013</v>
      </c>
      <c r="H1500" s="1">
        <v>73050</v>
      </c>
      <c r="I1500" s="1" t="e">
        <v>#N/A</v>
      </c>
      <c r="J1500" s="2" t="s">
        <v>2656</v>
      </c>
      <c r="K1500" t="s">
        <v>1228</v>
      </c>
      <c r="M1500" s="16" t="s">
        <v>8548</v>
      </c>
      <c r="N1500" s="16" t="str">
        <f>VLOOKUP(M1500,Tab_Zast[[Zastávka]:[Sloupec1]],2,0)</f>
        <v>108</v>
      </c>
      <c r="O1500" t="s">
        <v>1229</v>
      </c>
      <c r="P1500">
        <v>6</v>
      </c>
      <c r="Q1500">
        <v>0</v>
      </c>
      <c r="R1500" t="s">
        <v>129</v>
      </c>
      <c r="S1500" t="s">
        <v>31</v>
      </c>
      <c r="T1500" t="s">
        <v>32</v>
      </c>
      <c r="V1500" s="1" t="e">
        <v>#N/A</v>
      </c>
      <c r="W1500" t="s">
        <v>1216</v>
      </c>
      <c r="X1500">
        <v>1</v>
      </c>
      <c r="Y1500">
        <v>0</v>
      </c>
      <c r="AA1500" t="str">
        <f t="shared" si="46"/>
        <v>update zamestnanci set nastup='108' where id='385';</v>
      </c>
      <c r="AB1500" t="str">
        <f t="shared" si="47"/>
        <v>update dochazka set zastavka = '108' where zamestnanec = '385';</v>
      </c>
    </row>
    <row r="1501" spans="1:28" x14ac:dyDescent="0.25">
      <c r="A1501" s="2">
        <v>386</v>
      </c>
      <c r="B1501" t="s">
        <v>348</v>
      </c>
      <c r="C1501" t="s">
        <v>1230</v>
      </c>
      <c r="D1501" t="s">
        <v>1231</v>
      </c>
      <c r="E1501" t="s">
        <v>1232</v>
      </c>
      <c r="F1501" t="s">
        <v>1233</v>
      </c>
      <c r="G1501" s="1">
        <v>44606</v>
      </c>
      <c r="H1501" s="1">
        <v>45512</v>
      </c>
      <c r="I1501" s="1">
        <v>73050</v>
      </c>
      <c r="J1501" s="2" t="s">
        <v>2656</v>
      </c>
      <c r="K1501" t="s">
        <v>1234</v>
      </c>
      <c r="M1501" s="16" t="s">
        <v>8548</v>
      </c>
      <c r="N1501" s="16" t="str">
        <f>VLOOKUP(M1501,Tab_Zast[[Zastávka]:[Sloupec1]],2,0)</f>
        <v>108</v>
      </c>
      <c r="O1501" t="s">
        <v>1235</v>
      </c>
      <c r="P1501">
        <v>6</v>
      </c>
      <c r="Q1501">
        <v>0</v>
      </c>
      <c r="R1501" t="s">
        <v>31</v>
      </c>
      <c r="S1501" t="s">
        <v>31</v>
      </c>
      <c r="T1501" t="s">
        <v>32</v>
      </c>
      <c r="V1501" s="1" t="e">
        <v>#N/A</v>
      </c>
      <c r="W1501" t="s">
        <v>1216</v>
      </c>
      <c r="X1501">
        <v>0</v>
      </c>
      <c r="Y1501">
        <v>0</v>
      </c>
      <c r="AA1501" t="str">
        <f t="shared" si="46"/>
        <v>update zamestnanci set nastup='108' where id='386';</v>
      </c>
      <c r="AB1501" t="str">
        <f t="shared" si="47"/>
        <v>update dochazka set zastavka = '108' where zamestnanec = '386';</v>
      </c>
    </row>
    <row r="1502" spans="1:28" x14ac:dyDescent="0.25">
      <c r="A1502" s="2">
        <v>387</v>
      </c>
      <c r="B1502" t="s">
        <v>1236</v>
      </c>
      <c r="C1502" t="s">
        <v>1237</v>
      </c>
      <c r="D1502" t="s">
        <v>1238</v>
      </c>
      <c r="E1502" t="s">
        <v>1239</v>
      </c>
      <c r="F1502" t="s">
        <v>1240</v>
      </c>
      <c r="G1502" s="1">
        <v>45181</v>
      </c>
      <c r="H1502" s="1">
        <v>45516</v>
      </c>
      <c r="I1502" s="1">
        <v>73050</v>
      </c>
      <c r="J1502" s="2" t="s">
        <v>2656</v>
      </c>
      <c r="K1502" t="s">
        <v>1241</v>
      </c>
      <c r="M1502" s="16" t="s">
        <v>8548</v>
      </c>
      <c r="N1502" s="16" t="str">
        <f>VLOOKUP(M1502,Tab_Zast[[Zastávka]:[Sloupec1]],2,0)</f>
        <v>108</v>
      </c>
      <c r="O1502" t="s">
        <v>1242</v>
      </c>
      <c r="P1502">
        <v>6</v>
      </c>
      <c r="Q1502">
        <v>0</v>
      </c>
      <c r="R1502" t="s">
        <v>31</v>
      </c>
      <c r="S1502" t="s">
        <v>31</v>
      </c>
      <c r="T1502" t="s">
        <v>32</v>
      </c>
      <c r="V1502" s="1" t="e">
        <v>#N/A</v>
      </c>
      <c r="W1502" t="s">
        <v>1216</v>
      </c>
      <c r="X1502">
        <v>0</v>
      </c>
      <c r="Y1502">
        <v>0</v>
      </c>
      <c r="AA1502" t="str">
        <f t="shared" si="46"/>
        <v>update zamestnanci set nastup='108' where id='387';</v>
      </c>
      <c r="AB1502" t="str">
        <f t="shared" si="47"/>
        <v>update dochazka set zastavka = '108' where zamestnanec = '387';</v>
      </c>
    </row>
    <row r="1503" spans="1:28" x14ac:dyDescent="0.25">
      <c r="A1503" s="2">
        <v>388</v>
      </c>
      <c r="B1503" t="s">
        <v>1243</v>
      </c>
      <c r="D1503" t="s">
        <v>1238</v>
      </c>
      <c r="E1503" t="s">
        <v>1244</v>
      </c>
      <c r="F1503" t="s">
        <v>1245</v>
      </c>
      <c r="G1503" s="1">
        <v>45055</v>
      </c>
      <c r="H1503" s="1">
        <v>45291</v>
      </c>
      <c r="I1503" s="1" t="e">
        <v>#N/A</v>
      </c>
      <c r="J1503" s="2" t="s">
        <v>2656</v>
      </c>
      <c r="K1503" t="s">
        <v>1246</v>
      </c>
      <c r="M1503" s="16" t="s">
        <v>8548</v>
      </c>
      <c r="N1503" s="16" t="str">
        <f>VLOOKUP(M1503,Tab_Zast[[Zastávka]:[Sloupec1]],2,0)</f>
        <v>108</v>
      </c>
      <c r="O1503" t="s">
        <v>1247</v>
      </c>
      <c r="P1503">
        <v>6</v>
      </c>
      <c r="Q1503">
        <v>0</v>
      </c>
      <c r="R1503" t="s">
        <v>31</v>
      </c>
      <c r="S1503" t="s">
        <v>31</v>
      </c>
      <c r="T1503" t="s">
        <v>32</v>
      </c>
      <c r="V1503" s="1" t="e">
        <v>#N/A</v>
      </c>
      <c r="W1503" t="s">
        <v>1216</v>
      </c>
      <c r="X1503">
        <v>0</v>
      </c>
      <c r="Y1503">
        <v>0</v>
      </c>
      <c r="Z1503" t="s">
        <v>54</v>
      </c>
      <c r="AA1503" t="str">
        <f t="shared" si="46"/>
        <v>update zamestnanci set nastup='108' where id='388';</v>
      </c>
      <c r="AB1503" t="str">
        <f t="shared" si="47"/>
        <v>update dochazka set zastavka = '108' where zamestnanec = '388';</v>
      </c>
    </row>
    <row r="1504" spans="1:28" x14ac:dyDescent="0.25">
      <c r="A1504" s="2">
        <v>389</v>
      </c>
      <c r="B1504" t="s">
        <v>1248</v>
      </c>
      <c r="C1504" t="s">
        <v>1249</v>
      </c>
      <c r="D1504" t="s">
        <v>1250</v>
      </c>
      <c r="E1504" t="s">
        <v>593</v>
      </c>
      <c r="F1504" t="s">
        <v>1251</v>
      </c>
      <c r="G1504" s="1">
        <v>45159</v>
      </c>
      <c r="H1504" s="1">
        <v>73050</v>
      </c>
      <c r="I1504" s="1" t="e">
        <v>#N/A</v>
      </c>
      <c r="J1504" s="2" t="s">
        <v>2656</v>
      </c>
      <c r="K1504" t="s">
        <v>1252</v>
      </c>
      <c r="M1504" s="16" t="s">
        <v>8548</v>
      </c>
      <c r="N1504" s="16" t="str">
        <f>VLOOKUP(M1504,Tab_Zast[[Zastávka]:[Sloupec1]],2,0)</f>
        <v>108</v>
      </c>
      <c r="O1504" t="s">
        <v>1253</v>
      </c>
      <c r="P1504">
        <v>6</v>
      </c>
      <c r="Q1504">
        <v>0</v>
      </c>
      <c r="R1504" t="s">
        <v>129</v>
      </c>
      <c r="S1504" t="s">
        <v>31</v>
      </c>
      <c r="T1504" t="s">
        <v>32</v>
      </c>
      <c r="V1504" s="1" t="e">
        <v>#N/A</v>
      </c>
      <c r="W1504" t="s">
        <v>1216</v>
      </c>
      <c r="X1504">
        <v>1</v>
      </c>
      <c r="Y1504">
        <v>0</v>
      </c>
      <c r="AA1504" t="str">
        <f t="shared" si="46"/>
        <v>update zamestnanci set nastup='108' where id='389';</v>
      </c>
      <c r="AB1504" t="str">
        <f t="shared" si="47"/>
        <v>update dochazka set zastavka = '108' where zamestnanec = '389';</v>
      </c>
    </row>
    <row r="1505" spans="1:28" x14ac:dyDescent="0.25">
      <c r="A1505" s="2">
        <v>391</v>
      </c>
      <c r="B1505" t="s">
        <v>1259</v>
      </c>
      <c r="D1505" t="s">
        <v>1260</v>
      </c>
      <c r="E1505" t="s">
        <v>1261</v>
      </c>
      <c r="F1505" t="s">
        <v>1262</v>
      </c>
      <c r="G1505" s="1">
        <v>45201</v>
      </c>
      <c r="H1505" s="1">
        <v>45351</v>
      </c>
      <c r="I1505" s="1">
        <v>73050</v>
      </c>
      <c r="J1505" s="2" t="s">
        <v>2656</v>
      </c>
      <c r="K1505" t="s">
        <v>1263</v>
      </c>
      <c r="M1505" s="16" t="s">
        <v>8548</v>
      </c>
      <c r="N1505" s="16" t="str">
        <f>VLOOKUP(M1505,Tab_Zast[[Zastávka]:[Sloupec1]],2,0)</f>
        <v>108</v>
      </c>
      <c r="O1505" t="s">
        <v>1264</v>
      </c>
      <c r="P1505">
        <v>6</v>
      </c>
      <c r="Q1505">
        <v>0</v>
      </c>
      <c r="R1505" t="s">
        <v>31</v>
      </c>
      <c r="S1505" t="s">
        <v>31</v>
      </c>
      <c r="T1505" t="s">
        <v>32</v>
      </c>
      <c r="V1505" s="1" t="e">
        <v>#N/A</v>
      </c>
      <c r="W1505" t="s">
        <v>1216</v>
      </c>
      <c r="X1505">
        <v>0</v>
      </c>
      <c r="Y1505">
        <v>0</v>
      </c>
      <c r="Z1505" t="s">
        <v>54</v>
      </c>
      <c r="AA1505" t="str">
        <f t="shared" si="46"/>
        <v>update zamestnanci set nastup='108' where id='391';</v>
      </c>
      <c r="AB1505" t="str">
        <f t="shared" si="47"/>
        <v>update dochazka set zastavka = '108' where zamestnanec = '391';</v>
      </c>
    </row>
    <row r="1506" spans="1:28" x14ac:dyDescent="0.25">
      <c r="A1506" s="2">
        <v>392</v>
      </c>
      <c r="B1506" t="s">
        <v>1265</v>
      </c>
      <c r="C1506" t="s">
        <v>1266</v>
      </c>
      <c r="D1506" t="s">
        <v>1267</v>
      </c>
      <c r="E1506" t="s">
        <v>1268</v>
      </c>
      <c r="F1506" t="s">
        <v>1269</v>
      </c>
      <c r="G1506" s="1">
        <v>45057</v>
      </c>
      <c r="H1506" s="1">
        <v>73050</v>
      </c>
      <c r="I1506" s="1" t="e">
        <v>#N/A</v>
      </c>
      <c r="J1506" s="2" t="s">
        <v>2656</v>
      </c>
      <c r="K1506" t="s">
        <v>1270</v>
      </c>
      <c r="M1506" s="16" t="s">
        <v>8548</v>
      </c>
      <c r="N1506" s="16" t="str">
        <f>VLOOKUP(M1506,Tab_Zast[[Zastávka]:[Sloupec1]],2,0)</f>
        <v>108</v>
      </c>
      <c r="O1506" t="s">
        <v>1271</v>
      </c>
      <c r="P1506">
        <v>6</v>
      </c>
      <c r="Q1506">
        <v>0</v>
      </c>
      <c r="R1506" t="s">
        <v>130</v>
      </c>
      <c r="S1506" t="s">
        <v>31</v>
      </c>
      <c r="T1506" t="s">
        <v>32</v>
      </c>
      <c r="V1506" s="1" t="e">
        <v>#N/A</v>
      </c>
      <c r="W1506" t="s">
        <v>1216</v>
      </c>
      <c r="X1506">
        <v>1</v>
      </c>
      <c r="Y1506">
        <v>0</v>
      </c>
      <c r="AA1506" t="str">
        <f t="shared" si="46"/>
        <v>update zamestnanci set nastup='108' where id='392';</v>
      </c>
      <c r="AB1506" t="str">
        <f t="shared" si="47"/>
        <v>update dochazka set zastavka = '108' where zamestnanec = '392';</v>
      </c>
    </row>
    <row r="1507" spans="1:28" x14ac:dyDescent="0.25">
      <c r="A1507" s="2">
        <v>393</v>
      </c>
      <c r="B1507" t="s">
        <v>1272</v>
      </c>
      <c r="C1507" t="s">
        <v>1273</v>
      </c>
      <c r="D1507" t="s">
        <v>1267</v>
      </c>
      <c r="E1507" t="s">
        <v>1274</v>
      </c>
      <c r="F1507" t="s">
        <v>1275</v>
      </c>
      <c r="G1507" s="1">
        <v>44781</v>
      </c>
      <c r="H1507" s="1">
        <v>73050</v>
      </c>
      <c r="I1507" s="1" t="e">
        <v>#N/A</v>
      </c>
      <c r="J1507" s="2" t="s">
        <v>2656</v>
      </c>
      <c r="K1507" t="s">
        <v>1276</v>
      </c>
      <c r="M1507" s="16" t="s">
        <v>8548</v>
      </c>
      <c r="N1507" s="16" t="str">
        <f>VLOOKUP(M1507,Tab_Zast[[Zastávka]:[Sloupec1]],2,0)</f>
        <v>108</v>
      </c>
      <c r="O1507" t="s">
        <v>1277</v>
      </c>
      <c r="P1507">
        <v>6</v>
      </c>
      <c r="Q1507">
        <v>0</v>
      </c>
      <c r="R1507" t="s">
        <v>179</v>
      </c>
      <c r="S1507" t="s">
        <v>31</v>
      </c>
      <c r="T1507" t="s">
        <v>32</v>
      </c>
      <c r="V1507" s="1" t="e">
        <v>#N/A</v>
      </c>
      <c r="W1507" t="s">
        <v>1216</v>
      </c>
      <c r="X1507">
        <v>1</v>
      </c>
      <c r="Y1507">
        <v>0</v>
      </c>
      <c r="AA1507" t="str">
        <f t="shared" si="46"/>
        <v>update zamestnanci set nastup='108' where id='393';</v>
      </c>
      <c r="AB1507" t="str">
        <f t="shared" si="47"/>
        <v>update dochazka set zastavka = '108' where zamestnanec = '393';</v>
      </c>
    </row>
    <row r="1508" spans="1:28" x14ac:dyDescent="0.25">
      <c r="A1508" s="2">
        <v>397</v>
      </c>
      <c r="B1508" t="s">
        <v>1296</v>
      </c>
      <c r="C1508" t="s">
        <v>1297</v>
      </c>
      <c r="D1508" t="s">
        <v>1038</v>
      </c>
      <c r="E1508" t="s">
        <v>1298</v>
      </c>
      <c r="F1508" t="s">
        <v>1299</v>
      </c>
      <c r="G1508" s="1">
        <v>44986</v>
      </c>
      <c r="H1508" s="1" t="e">
        <v>#N/A</v>
      </c>
      <c r="I1508" s="1" t="e">
        <v>#N/A</v>
      </c>
      <c r="J1508" s="2" t="s">
        <v>2656</v>
      </c>
      <c r="K1508" t="s">
        <v>1300</v>
      </c>
      <c r="M1508" s="16" t="s">
        <v>8548</v>
      </c>
      <c r="N1508" s="16" t="str">
        <f>VLOOKUP(M1508,Tab_Zast[[Zastávka]:[Sloupec1]],2,0)</f>
        <v>108</v>
      </c>
      <c r="O1508" t="s">
        <v>1042</v>
      </c>
      <c r="P1508">
        <v>6</v>
      </c>
      <c r="Q1508">
        <v>0</v>
      </c>
      <c r="R1508" t="s">
        <v>130</v>
      </c>
      <c r="S1508" t="s">
        <v>31</v>
      </c>
      <c r="T1508" t="s">
        <v>32</v>
      </c>
      <c r="V1508" s="1" t="e">
        <v>#N/A</v>
      </c>
      <c r="W1508" t="s">
        <v>1216</v>
      </c>
      <c r="X1508">
        <v>1</v>
      </c>
      <c r="Y1508">
        <v>0</v>
      </c>
      <c r="AA1508" t="str">
        <f t="shared" si="46"/>
        <v>update zamestnanci set nastup='108' where id='397';</v>
      </c>
      <c r="AB1508" t="str">
        <f t="shared" si="47"/>
        <v>update dochazka set zastavka = '108' where zamestnanec = '397';</v>
      </c>
    </row>
    <row r="1509" spans="1:28" x14ac:dyDescent="0.25">
      <c r="A1509" s="2">
        <v>400</v>
      </c>
      <c r="B1509" t="s">
        <v>1313</v>
      </c>
      <c r="C1509" t="s">
        <v>1314</v>
      </c>
      <c r="D1509" t="s">
        <v>1315</v>
      </c>
      <c r="E1509" t="s">
        <v>1316</v>
      </c>
      <c r="F1509" t="s">
        <v>1317</v>
      </c>
      <c r="G1509" s="1">
        <v>45211</v>
      </c>
      <c r="H1509" s="1">
        <v>45755</v>
      </c>
      <c r="I1509" s="1">
        <v>73050</v>
      </c>
      <c r="J1509" s="2" t="s">
        <v>2656</v>
      </c>
      <c r="K1509" t="s">
        <v>1318</v>
      </c>
      <c r="M1509" s="16" t="s">
        <v>8548</v>
      </c>
      <c r="N1509" s="16" t="str">
        <f>VLOOKUP(M1509,Tab_Zast[[Zastávka]:[Sloupec1]],2,0)</f>
        <v>108</v>
      </c>
      <c r="O1509" t="s">
        <v>1319</v>
      </c>
      <c r="P1509">
        <v>6</v>
      </c>
      <c r="Q1509">
        <v>0</v>
      </c>
      <c r="R1509" t="s">
        <v>31</v>
      </c>
      <c r="S1509" t="s">
        <v>31</v>
      </c>
      <c r="T1509" t="s">
        <v>32</v>
      </c>
      <c r="V1509" s="1" t="e">
        <v>#N/A</v>
      </c>
      <c r="W1509" t="s">
        <v>1216</v>
      </c>
      <c r="X1509">
        <v>0</v>
      </c>
      <c r="Y1509">
        <v>0</v>
      </c>
      <c r="AA1509" t="str">
        <f t="shared" si="46"/>
        <v>update zamestnanci set nastup='108' where id='400';</v>
      </c>
      <c r="AB1509" t="str">
        <f t="shared" si="47"/>
        <v>update dochazka set zastavka = '108' where zamestnanec = '400';</v>
      </c>
    </row>
    <row r="1510" spans="1:28" x14ac:dyDescent="0.25">
      <c r="A1510" s="2">
        <v>401</v>
      </c>
      <c r="B1510" t="s">
        <v>1320</v>
      </c>
      <c r="D1510" t="s">
        <v>1321</v>
      </c>
      <c r="E1510" t="s">
        <v>1322</v>
      </c>
      <c r="F1510" t="s">
        <v>1323</v>
      </c>
      <c r="G1510" s="1">
        <v>45044</v>
      </c>
      <c r="H1510" s="1">
        <v>45392</v>
      </c>
      <c r="I1510" s="1">
        <v>73050</v>
      </c>
      <c r="J1510" s="2" t="s">
        <v>2656</v>
      </c>
      <c r="K1510" t="s">
        <v>1324</v>
      </c>
      <c r="M1510" s="16" t="s">
        <v>8548</v>
      </c>
      <c r="N1510" s="16" t="str">
        <f>VLOOKUP(M1510,Tab_Zast[[Zastávka]:[Sloupec1]],2,0)</f>
        <v>108</v>
      </c>
      <c r="O1510" t="s">
        <v>1325</v>
      </c>
      <c r="P1510">
        <v>6</v>
      </c>
      <c r="Q1510">
        <v>0</v>
      </c>
      <c r="R1510" t="s">
        <v>31</v>
      </c>
      <c r="S1510" t="s">
        <v>31</v>
      </c>
      <c r="T1510" t="s">
        <v>32</v>
      </c>
      <c r="V1510" s="1" t="e">
        <v>#N/A</v>
      </c>
      <c r="W1510" t="s">
        <v>1216</v>
      </c>
      <c r="X1510">
        <v>0</v>
      </c>
      <c r="Y1510">
        <v>0</v>
      </c>
      <c r="Z1510" t="s">
        <v>40</v>
      </c>
      <c r="AA1510" t="str">
        <f t="shared" si="46"/>
        <v>update zamestnanci set nastup='108' where id='401';</v>
      </c>
      <c r="AB1510" t="str">
        <f t="shared" si="47"/>
        <v>update dochazka set zastavka = '108' where zamestnanec = '401';</v>
      </c>
    </row>
    <row r="1511" spans="1:28" x14ac:dyDescent="0.25">
      <c r="A1511" s="2">
        <v>407</v>
      </c>
      <c r="B1511" t="s">
        <v>1358</v>
      </c>
      <c r="D1511" t="s">
        <v>1359</v>
      </c>
      <c r="E1511" t="s">
        <v>1360</v>
      </c>
      <c r="F1511" t="s">
        <v>1361</v>
      </c>
      <c r="G1511" s="1">
        <v>45208</v>
      </c>
      <c r="H1511" s="1">
        <v>45295</v>
      </c>
      <c r="I1511" s="1">
        <v>73050</v>
      </c>
      <c r="J1511" s="2" t="s">
        <v>2656</v>
      </c>
      <c r="K1511" t="s">
        <v>1362</v>
      </c>
      <c r="M1511" s="16" t="s">
        <v>8548</v>
      </c>
      <c r="N1511" s="16" t="str">
        <f>VLOOKUP(M1511,Tab_Zast[[Zastávka]:[Sloupec1]],2,0)</f>
        <v>108</v>
      </c>
      <c r="O1511" t="s">
        <v>1363</v>
      </c>
      <c r="P1511">
        <v>6</v>
      </c>
      <c r="Q1511">
        <v>0</v>
      </c>
      <c r="R1511" t="s">
        <v>31</v>
      </c>
      <c r="S1511" t="s">
        <v>31</v>
      </c>
      <c r="T1511" t="s">
        <v>32</v>
      </c>
      <c r="V1511" s="1" t="e">
        <v>#N/A</v>
      </c>
      <c r="W1511" t="s">
        <v>1216</v>
      </c>
      <c r="X1511">
        <v>0</v>
      </c>
      <c r="Y1511">
        <v>0</v>
      </c>
      <c r="Z1511" t="s">
        <v>54</v>
      </c>
      <c r="AA1511" t="str">
        <f t="shared" si="46"/>
        <v>update zamestnanci set nastup='108' where id='407';</v>
      </c>
      <c r="AB1511" t="str">
        <f t="shared" si="47"/>
        <v>update dochazka set zastavka = '108' where zamestnanec = '407';</v>
      </c>
    </row>
    <row r="1512" spans="1:28" x14ac:dyDescent="0.25">
      <c r="A1512" s="2">
        <v>408</v>
      </c>
      <c r="B1512" t="s">
        <v>1364</v>
      </c>
      <c r="D1512" t="s">
        <v>1365</v>
      </c>
      <c r="E1512" t="s">
        <v>1366</v>
      </c>
      <c r="F1512" t="s">
        <v>1367</v>
      </c>
      <c r="G1512" s="1">
        <v>44602</v>
      </c>
      <c r="H1512" s="1">
        <v>44600</v>
      </c>
      <c r="I1512" s="1">
        <v>73050</v>
      </c>
      <c r="J1512" s="2" t="s">
        <v>2656</v>
      </c>
      <c r="K1512" t="s">
        <v>1368</v>
      </c>
      <c r="M1512" s="16" t="s">
        <v>8548</v>
      </c>
      <c r="N1512" s="16" t="str">
        <f>VLOOKUP(M1512,Tab_Zast[[Zastávka]:[Sloupec1]],2,0)</f>
        <v>108</v>
      </c>
      <c r="O1512" t="s">
        <v>1369</v>
      </c>
      <c r="P1512">
        <v>6</v>
      </c>
      <c r="Q1512">
        <v>0</v>
      </c>
      <c r="R1512" t="s">
        <v>31</v>
      </c>
      <c r="S1512" t="s">
        <v>31</v>
      </c>
      <c r="T1512" t="s">
        <v>32</v>
      </c>
      <c r="V1512" s="1" t="e">
        <v>#N/A</v>
      </c>
      <c r="W1512" t="s">
        <v>1216</v>
      </c>
      <c r="X1512">
        <v>0</v>
      </c>
      <c r="Y1512">
        <v>0</v>
      </c>
      <c r="Z1512" t="s">
        <v>54</v>
      </c>
      <c r="AA1512" t="str">
        <f t="shared" si="46"/>
        <v>update zamestnanci set nastup='108' where id='408';</v>
      </c>
      <c r="AB1512" t="str">
        <f t="shared" si="47"/>
        <v>update dochazka set zastavka = '108' where zamestnanec = '408';</v>
      </c>
    </row>
    <row r="1513" spans="1:28" x14ac:dyDescent="0.25">
      <c r="A1513" s="2">
        <v>410</v>
      </c>
      <c r="B1513" t="s">
        <v>1376</v>
      </c>
      <c r="D1513" t="s">
        <v>1377</v>
      </c>
      <c r="E1513" t="s">
        <v>917</v>
      </c>
      <c r="F1513" t="s">
        <v>1378</v>
      </c>
      <c r="G1513" s="1">
        <v>45174</v>
      </c>
      <c r="H1513" s="1">
        <v>45266</v>
      </c>
      <c r="I1513" s="1" t="e">
        <v>#N/A</v>
      </c>
      <c r="J1513" s="2" t="s">
        <v>2656</v>
      </c>
      <c r="K1513" t="s">
        <v>1379</v>
      </c>
      <c r="M1513" s="16" t="s">
        <v>8548</v>
      </c>
      <c r="N1513" s="16" t="str">
        <f>VLOOKUP(M1513,Tab_Zast[[Zastávka]:[Sloupec1]],2,0)</f>
        <v>108</v>
      </c>
      <c r="O1513" t="s">
        <v>1380</v>
      </c>
      <c r="P1513">
        <v>6</v>
      </c>
      <c r="Q1513">
        <v>0</v>
      </c>
      <c r="R1513" t="s">
        <v>31</v>
      </c>
      <c r="S1513" t="s">
        <v>31</v>
      </c>
      <c r="T1513" t="s">
        <v>32</v>
      </c>
      <c r="V1513" s="1" t="e">
        <v>#N/A</v>
      </c>
      <c r="W1513" t="s">
        <v>1216</v>
      </c>
      <c r="X1513">
        <v>0</v>
      </c>
      <c r="Y1513">
        <v>0</v>
      </c>
      <c r="Z1513" t="s">
        <v>54</v>
      </c>
      <c r="AA1513" t="str">
        <f t="shared" si="46"/>
        <v>update zamestnanci set nastup='108' where id='410';</v>
      </c>
      <c r="AB1513" t="str">
        <f t="shared" si="47"/>
        <v>update dochazka set zastavka = '108' where zamestnanec = '410';</v>
      </c>
    </row>
    <row r="1514" spans="1:28" x14ac:dyDescent="0.25">
      <c r="A1514" s="2">
        <v>415</v>
      </c>
      <c r="B1514" t="s">
        <v>1406</v>
      </c>
      <c r="C1514" t="s">
        <v>1407</v>
      </c>
      <c r="D1514" t="s">
        <v>1401</v>
      </c>
      <c r="E1514" t="s">
        <v>707</v>
      </c>
      <c r="F1514" t="s">
        <v>1408</v>
      </c>
      <c r="G1514" s="1">
        <v>44593</v>
      </c>
      <c r="H1514" s="1">
        <v>45516</v>
      </c>
      <c r="I1514" s="1">
        <v>73050</v>
      </c>
      <c r="J1514" s="2" t="s">
        <v>2656</v>
      </c>
      <c r="K1514" t="s">
        <v>1409</v>
      </c>
      <c r="M1514" s="16" t="s">
        <v>8548</v>
      </c>
      <c r="N1514" s="16" t="str">
        <f>VLOOKUP(M1514,Tab_Zast[[Zastávka]:[Sloupec1]],2,0)</f>
        <v>108</v>
      </c>
      <c r="O1514" t="s">
        <v>1410</v>
      </c>
      <c r="P1514">
        <v>6</v>
      </c>
      <c r="Q1514">
        <v>0</v>
      </c>
      <c r="R1514" t="s">
        <v>31</v>
      </c>
      <c r="S1514" t="s">
        <v>31</v>
      </c>
      <c r="T1514" t="s">
        <v>32</v>
      </c>
      <c r="V1514" s="1" t="e">
        <v>#N/A</v>
      </c>
      <c r="W1514" t="s">
        <v>1216</v>
      </c>
      <c r="X1514">
        <v>0</v>
      </c>
      <c r="Y1514">
        <v>0</v>
      </c>
      <c r="AA1514" t="str">
        <f t="shared" si="46"/>
        <v>update zamestnanci set nastup='108' where id='415';</v>
      </c>
      <c r="AB1514" t="str">
        <f t="shared" si="47"/>
        <v>update dochazka set zastavka = '108' where zamestnanec = '415';</v>
      </c>
    </row>
    <row r="1515" spans="1:28" x14ac:dyDescent="0.25">
      <c r="A1515" s="2">
        <v>418</v>
      </c>
      <c r="B1515" t="s">
        <v>1424</v>
      </c>
      <c r="D1515" t="s">
        <v>1425</v>
      </c>
      <c r="E1515" t="s">
        <v>1426</v>
      </c>
      <c r="F1515" t="s">
        <v>1427</v>
      </c>
      <c r="G1515" s="1">
        <v>44986</v>
      </c>
      <c r="H1515" s="1">
        <v>45230</v>
      </c>
      <c r="I1515" s="1" t="e">
        <v>#N/A</v>
      </c>
      <c r="J1515" s="2" t="s">
        <v>2656</v>
      </c>
      <c r="K1515" t="s">
        <v>1428</v>
      </c>
      <c r="M1515" s="16" t="s">
        <v>8548</v>
      </c>
      <c r="N1515" s="16" t="str">
        <f>VLOOKUP(M1515,Tab_Zast[[Zastávka]:[Sloupec1]],2,0)</f>
        <v>108</v>
      </c>
      <c r="O1515" t="s">
        <v>1429</v>
      </c>
      <c r="P1515">
        <v>6</v>
      </c>
      <c r="Q1515">
        <v>0</v>
      </c>
      <c r="R1515" t="s">
        <v>31</v>
      </c>
      <c r="S1515" t="s">
        <v>31</v>
      </c>
      <c r="T1515" t="s">
        <v>32</v>
      </c>
      <c r="V1515" s="1" t="e">
        <v>#N/A</v>
      </c>
      <c r="W1515" t="s">
        <v>1216</v>
      </c>
      <c r="X1515">
        <v>0</v>
      </c>
      <c r="Y1515">
        <v>0</v>
      </c>
      <c r="Z1515" t="s">
        <v>54</v>
      </c>
      <c r="AA1515" t="str">
        <f t="shared" si="46"/>
        <v>update zamestnanci set nastup='108' where id='418';</v>
      </c>
      <c r="AB1515" t="str">
        <f t="shared" si="47"/>
        <v>update dochazka set zastavka = '108' where zamestnanec = '418';</v>
      </c>
    </row>
    <row r="1516" spans="1:28" x14ac:dyDescent="0.25">
      <c r="A1516" s="2">
        <v>419</v>
      </c>
      <c r="B1516" t="s">
        <v>1430</v>
      </c>
      <c r="D1516" t="s">
        <v>1425</v>
      </c>
      <c r="E1516" t="s">
        <v>1431</v>
      </c>
      <c r="F1516" t="s">
        <v>1432</v>
      </c>
      <c r="G1516" s="1">
        <v>45078</v>
      </c>
      <c r="H1516" s="1">
        <v>45291</v>
      </c>
      <c r="I1516" s="1" t="e">
        <v>#N/A</v>
      </c>
      <c r="J1516" s="2" t="s">
        <v>2656</v>
      </c>
      <c r="K1516" t="s">
        <v>1433</v>
      </c>
      <c r="M1516" s="16" t="s">
        <v>8548</v>
      </c>
      <c r="N1516" s="16" t="str">
        <f>VLOOKUP(M1516,Tab_Zast[[Zastávka]:[Sloupec1]],2,0)</f>
        <v>108</v>
      </c>
      <c r="O1516" t="s">
        <v>1429</v>
      </c>
      <c r="P1516">
        <v>6</v>
      </c>
      <c r="Q1516">
        <v>0</v>
      </c>
      <c r="R1516" t="s">
        <v>31</v>
      </c>
      <c r="S1516" t="s">
        <v>31</v>
      </c>
      <c r="T1516" t="s">
        <v>32</v>
      </c>
      <c r="V1516" s="1" t="e">
        <v>#N/A</v>
      </c>
      <c r="W1516" t="s">
        <v>1216</v>
      </c>
      <c r="X1516">
        <v>0</v>
      </c>
      <c r="Y1516">
        <v>0</v>
      </c>
      <c r="Z1516" t="s">
        <v>54</v>
      </c>
      <c r="AA1516" t="str">
        <f t="shared" si="46"/>
        <v>update zamestnanci set nastup='108' where id='419';</v>
      </c>
      <c r="AB1516" t="str">
        <f t="shared" si="47"/>
        <v>update dochazka set zastavka = '108' where zamestnanec = '419';</v>
      </c>
    </row>
    <row r="1517" spans="1:28" x14ac:dyDescent="0.25">
      <c r="A1517" s="2">
        <v>422</v>
      </c>
      <c r="B1517" t="s">
        <v>1448</v>
      </c>
      <c r="C1517" t="s">
        <v>1449</v>
      </c>
      <c r="D1517" t="s">
        <v>1450</v>
      </c>
      <c r="E1517" t="s">
        <v>1451</v>
      </c>
      <c r="F1517" t="s">
        <v>1452</v>
      </c>
      <c r="G1517" s="1">
        <v>45174</v>
      </c>
      <c r="H1517" s="1">
        <v>73050</v>
      </c>
      <c r="I1517" s="1" t="e">
        <v>#N/A</v>
      </c>
      <c r="J1517" s="2" t="s">
        <v>2656</v>
      </c>
      <c r="K1517" t="s">
        <v>1453</v>
      </c>
      <c r="M1517" s="16" t="s">
        <v>8548</v>
      </c>
      <c r="N1517" s="16" t="str">
        <f>VLOOKUP(M1517,Tab_Zast[[Zastávka]:[Sloupec1]],2,0)</f>
        <v>108</v>
      </c>
      <c r="O1517" t="s">
        <v>1454</v>
      </c>
      <c r="P1517">
        <v>6</v>
      </c>
      <c r="Q1517">
        <v>0</v>
      </c>
      <c r="R1517" t="s">
        <v>179</v>
      </c>
      <c r="S1517" t="s">
        <v>31</v>
      </c>
      <c r="T1517" t="s">
        <v>32</v>
      </c>
      <c r="V1517" s="1" t="e">
        <v>#N/A</v>
      </c>
      <c r="W1517" t="s">
        <v>1216</v>
      </c>
      <c r="X1517">
        <v>1</v>
      </c>
      <c r="Y1517">
        <v>0</v>
      </c>
      <c r="AA1517" t="str">
        <f t="shared" si="46"/>
        <v>update zamestnanci set nastup='108' where id='422';</v>
      </c>
      <c r="AB1517" t="str">
        <f t="shared" si="47"/>
        <v>update dochazka set zastavka = '108' where zamestnanec = '422';</v>
      </c>
    </row>
    <row r="1518" spans="1:28" x14ac:dyDescent="0.25">
      <c r="A1518" s="2">
        <v>425</v>
      </c>
      <c r="B1518" t="s">
        <v>1465</v>
      </c>
      <c r="C1518" t="s">
        <v>1466</v>
      </c>
      <c r="D1518" t="s">
        <v>1467</v>
      </c>
      <c r="E1518" t="s">
        <v>1468</v>
      </c>
      <c r="F1518" t="s">
        <v>1469</v>
      </c>
      <c r="G1518" s="1">
        <v>45099</v>
      </c>
      <c r="H1518" s="1">
        <v>45829</v>
      </c>
      <c r="I1518" s="1">
        <v>73050</v>
      </c>
      <c r="J1518" s="2" t="s">
        <v>2656</v>
      </c>
      <c r="K1518" t="s">
        <v>1470</v>
      </c>
      <c r="M1518" s="16" t="s">
        <v>8548</v>
      </c>
      <c r="N1518" s="16" t="str">
        <f>VLOOKUP(M1518,Tab_Zast[[Zastávka]:[Sloupec1]],2,0)</f>
        <v>108</v>
      </c>
      <c r="O1518" t="s">
        <v>1471</v>
      </c>
      <c r="P1518">
        <v>6</v>
      </c>
      <c r="Q1518">
        <v>0</v>
      </c>
      <c r="R1518" t="s">
        <v>31</v>
      </c>
      <c r="S1518" t="s">
        <v>31</v>
      </c>
      <c r="T1518" t="s">
        <v>32</v>
      </c>
      <c r="V1518" s="1">
        <v>45807</v>
      </c>
      <c r="W1518" t="s">
        <v>1216</v>
      </c>
      <c r="X1518">
        <v>0</v>
      </c>
      <c r="Y1518">
        <v>0</v>
      </c>
      <c r="AA1518" t="str">
        <f t="shared" si="46"/>
        <v>update zamestnanci set nastup='108' where id='425';</v>
      </c>
      <c r="AB1518" t="str">
        <f t="shared" si="47"/>
        <v>update dochazka set zastavka = '108' where zamestnanec = '425';</v>
      </c>
    </row>
    <row r="1519" spans="1:28" x14ac:dyDescent="0.25">
      <c r="A1519" s="2">
        <v>426</v>
      </c>
      <c r="B1519" t="s">
        <v>1472</v>
      </c>
      <c r="C1519" t="s">
        <v>1473</v>
      </c>
      <c r="D1519" t="s">
        <v>1474</v>
      </c>
      <c r="E1519" t="s">
        <v>1475</v>
      </c>
      <c r="F1519" t="s">
        <v>1476</v>
      </c>
      <c r="G1519" s="1">
        <v>45014</v>
      </c>
      <c r="H1519" s="1">
        <v>73050</v>
      </c>
      <c r="I1519" s="1" t="e">
        <v>#N/A</v>
      </c>
      <c r="J1519" s="2" t="s">
        <v>2656</v>
      </c>
      <c r="K1519" t="s">
        <v>1477</v>
      </c>
      <c r="M1519" s="16" t="s">
        <v>8548</v>
      </c>
      <c r="N1519" s="16" t="str">
        <f>VLOOKUP(M1519,Tab_Zast[[Zastávka]:[Sloupec1]],2,0)</f>
        <v>108</v>
      </c>
      <c r="O1519" t="s">
        <v>1478</v>
      </c>
      <c r="P1519">
        <v>6</v>
      </c>
      <c r="Q1519">
        <v>0</v>
      </c>
      <c r="R1519" t="s">
        <v>129</v>
      </c>
      <c r="S1519" t="s">
        <v>31</v>
      </c>
      <c r="T1519" t="s">
        <v>32</v>
      </c>
      <c r="V1519" s="1" t="e">
        <v>#N/A</v>
      </c>
      <c r="W1519" t="s">
        <v>1216</v>
      </c>
      <c r="X1519">
        <v>1</v>
      </c>
      <c r="Y1519">
        <v>0</v>
      </c>
      <c r="AA1519" t="str">
        <f t="shared" si="46"/>
        <v>update zamestnanci set nastup='108' where id='426';</v>
      </c>
      <c r="AB1519" t="str">
        <f t="shared" si="47"/>
        <v>update dochazka set zastavka = '108' where zamestnanec = '426';</v>
      </c>
    </row>
    <row r="1520" spans="1:28" x14ac:dyDescent="0.25">
      <c r="A1520" s="2">
        <v>434</v>
      </c>
      <c r="B1520" t="s">
        <v>1527</v>
      </c>
      <c r="D1520" t="s">
        <v>1528</v>
      </c>
      <c r="E1520" t="s">
        <v>1529</v>
      </c>
      <c r="F1520" t="s">
        <v>1530</v>
      </c>
      <c r="G1520" s="1">
        <v>44679</v>
      </c>
      <c r="H1520" s="1">
        <v>45230</v>
      </c>
      <c r="I1520" s="1" t="e">
        <v>#N/A</v>
      </c>
      <c r="J1520" s="2" t="s">
        <v>2656</v>
      </c>
      <c r="K1520" t="s">
        <v>1531</v>
      </c>
      <c r="M1520" s="16" t="s">
        <v>8548</v>
      </c>
      <c r="N1520" s="16" t="str">
        <f>VLOOKUP(M1520,Tab_Zast[[Zastávka]:[Sloupec1]],2,0)</f>
        <v>108</v>
      </c>
      <c r="O1520" t="s">
        <v>1532</v>
      </c>
      <c r="P1520">
        <v>6</v>
      </c>
      <c r="Q1520">
        <v>0</v>
      </c>
      <c r="R1520" t="s">
        <v>31</v>
      </c>
      <c r="S1520" t="s">
        <v>31</v>
      </c>
      <c r="T1520" t="s">
        <v>32</v>
      </c>
      <c r="V1520" s="1" t="e">
        <v>#N/A</v>
      </c>
      <c r="W1520" t="s">
        <v>1216</v>
      </c>
      <c r="X1520">
        <v>0</v>
      </c>
      <c r="Y1520">
        <v>0</v>
      </c>
      <c r="Z1520" t="s">
        <v>54</v>
      </c>
      <c r="AA1520" t="str">
        <f t="shared" si="46"/>
        <v>update zamestnanci set nastup='108' where id='434';</v>
      </c>
      <c r="AB1520" t="str">
        <f t="shared" si="47"/>
        <v>update dochazka set zastavka = '108' where zamestnanec = '434';</v>
      </c>
    </row>
    <row r="1521" spans="1:28" x14ac:dyDescent="0.25">
      <c r="A1521" s="2">
        <v>435</v>
      </c>
      <c r="B1521" t="s">
        <v>1533</v>
      </c>
      <c r="D1521" t="s">
        <v>1534</v>
      </c>
      <c r="E1521" t="s">
        <v>1535</v>
      </c>
      <c r="F1521" t="s">
        <v>1536</v>
      </c>
      <c r="G1521" s="1">
        <v>45187</v>
      </c>
      <c r="H1521" s="1">
        <v>45373</v>
      </c>
      <c r="I1521" s="1">
        <v>73050</v>
      </c>
      <c r="J1521" s="2" t="s">
        <v>2656</v>
      </c>
      <c r="K1521" t="s">
        <v>1537</v>
      </c>
      <c r="M1521" s="16" t="s">
        <v>8548</v>
      </c>
      <c r="N1521" s="16" t="str">
        <f>VLOOKUP(M1521,Tab_Zast[[Zastávka]:[Sloupec1]],2,0)</f>
        <v>108</v>
      </c>
      <c r="O1521" t="s">
        <v>1538</v>
      </c>
      <c r="P1521">
        <v>6</v>
      </c>
      <c r="Q1521">
        <v>0</v>
      </c>
      <c r="R1521" t="s">
        <v>31</v>
      </c>
      <c r="S1521" t="s">
        <v>31</v>
      </c>
      <c r="T1521" t="s">
        <v>32</v>
      </c>
      <c r="V1521" s="1" t="e">
        <v>#N/A</v>
      </c>
      <c r="W1521" t="s">
        <v>1216</v>
      </c>
      <c r="X1521">
        <v>0</v>
      </c>
      <c r="Y1521">
        <v>0</v>
      </c>
      <c r="Z1521" t="s">
        <v>54</v>
      </c>
      <c r="AA1521" t="str">
        <f t="shared" si="46"/>
        <v>update zamestnanci set nastup='108' where id='435';</v>
      </c>
      <c r="AB1521" t="str">
        <f t="shared" si="47"/>
        <v>update dochazka set zastavka = '108' where zamestnanec = '435';</v>
      </c>
    </row>
    <row r="1522" spans="1:28" x14ac:dyDescent="0.25">
      <c r="A1522" s="2">
        <v>437</v>
      </c>
      <c r="B1522" t="s">
        <v>1545</v>
      </c>
      <c r="C1522" t="s">
        <v>1546</v>
      </c>
      <c r="D1522" t="s">
        <v>1547</v>
      </c>
      <c r="E1522" t="s">
        <v>1548</v>
      </c>
      <c r="F1522" t="s">
        <v>1549</v>
      </c>
      <c r="G1522" s="1">
        <v>45068</v>
      </c>
      <c r="H1522" s="1">
        <v>45749</v>
      </c>
      <c r="I1522" s="1">
        <v>73050</v>
      </c>
      <c r="J1522" s="2" t="s">
        <v>2656</v>
      </c>
      <c r="K1522" t="s">
        <v>1550</v>
      </c>
      <c r="M1522" s="16" t="s">
        <v>8548</v>
      </c>
      <c r="N1522" s="16" t="str">
        <f>VLOOKUP(M1522,Tab_Zast[[Zastávka]:[Sloupec1]],2,0)</f>
        <v>108</v>
      </c>
      <c r="O1522" t="s">
        <v>1551</v>
      </c>
      <c r="P1522">
        <v>6</v>
      </c>
      <c r="Q1522">
        <v>0</v>
      </c>
      <c r="R1522" t="s">
        <v>31</v>
      </c>
      <c r="S1522" t="s">
        <v>31</v>
      </c>
      <c r="T1522" t="s">
        <v>32</v>
      </c>
      <c r="V1522" s="1">
        <v>45735</v>
      </c>
      <c r="W1522" t="s">
        <v>1216</v>
      </c>
      <c r="X1522">
        <v>0</v>
      </c>
      <c r="Y1522">
        <v>0</v>
      </c>
      <c r="AA1522" t="str">
        <f t="shared" si="46"/>
        <v>update zamestnanci set nastup='108' where id='437';</v>
      </c>
      <c r="AB1522" t="str">
        <f t="shared" si="47"/>
        <v>update dochazka set zastavka = '108' where zamestnanec = '437';</v>
      </c>
    </row>
    <row r="1523" spans="1:28" x14ac:dyDescent="0.25">
      <c r="A1523" s="2">
        <v>441</v>
      </c>
      <c r="B1523" t="s">
        <v>1570</v>
      </c>
      <c r="D1523" t="s">
        <v>1571</v>
      </c>
      <c r="E1523" t="s">
        <v>1572</v>
      </c>
      <c r="F1523" t="s">
        <v>1573</v>
      </c>
      <c r="G1523" s="1">
        <v>44984</v>
      </c>
      <c r="H1523" s="1">
        <v>45230</v>
      </c>
      <c r="I1523" s="1" t="e">
        <v>#N/A</v>
      </c>
      <c r="J1523" s="2" t="s">
        <v>2656</v>
      </c>
      <c r="K1523" t="s">
        <v>1574</v>
      </c>
      <c r="M1523" s="16" t="s">
        <v>8548</v>
      </c>
      <c r="N1523" s="16" t="str">
        <f>VLOOKUP(M1523,Tab_Zast[[Zastávka]:[Sloupec1]],2,0)</f>
        <v>108</v>
      </c>
      <c r="O1523" t="s">
        <v>1575</v>
      </c>
      <c r="P1523">
        <v>6</v>
      </c>
      <c r="Q1523">
        <v>0</v>
      </c>
      <c r="R1523" t="s">
        <v>31</v>
      </c>
      <c r="S1523" t="s">
        <v>31</v>
      </c>
      <c r="T1523" t="s">
        <v>32</v>
      </c>
      <c r="V1523" s="1" t="e">
        <v>#N/A</v>
      </c>
      <c r="W1523" t="s">
        <v>1216</v>
      </c>
      <c r="X1523">
        <v>0</v>
      </c>
      <c r="Y1523">
        <v>0</v>
      </c>
      <c r="Z1523" t="s">
        <v>54</v>
      </c>
      <c r="AA1523" t="str">
        <f t="shared" si="46"/>
        <v>update zamestnanci set nastup='108' where id='441';</v>
      </c>
      <c r="AB1523" t="str">
        <f t="shared" si="47"/>
        <v>update dochazka set zastavka = '108' where zamestnanec = '441';</v>
      </c>
    </row>
    <row r="1524" spans="1:28" x14ac:dyDescent="0.25">
      <c r="A1524" s="2">
        <v>443</v>
      </c>
      <c r="B1524" t="s">
        <v>1581</v>
      </c>
      <c r="C1524" t="s">
        <v>1582</v>
      </c>
      <c r="D1524" t="s">
        <v>1583</v>
      </c>
      <c r="E1524" t="s">
        <v>1584</v>
      </c>
      <c r="F1524" t="s">
        <v>1585</v>
      </c>
      <c r="G1524" s="1">
        <v>44593</v>
      </c>
      <c r="H1524" s="1">
        <v>73050</v>
      </c>
      <c r="I1524" s="1" t="e">
        <v>#N/A</v>
      </c>
      <c r="J1524" s="2" t="s">
        <v>2656</v>
      </c>
      <c r="K1524" t="s">
        <v>1586</v>
      </c>
      <c r="M1524" s="16" t="s">
        <v>8548</v>
      </c>
      <c r="N1524" s="16" t="str">
        <f>VLOOKUP(M1524,Tab_Zast[[Zastávka]:[Sloupec1]],2,0)</f>
        <v>108</v>
      </c>
      <c r="O1524" t="s">
        <v>1587</v>
      </c>
      <c r="P1524">
        <v>6</v>
      </c>
      <c r="Q1524">
        <v>0</v>
      </c>
      <c r="R1524" t="s">
        <v>130</v>
      </c>
      <c r="S1524" t="s">
        <v>31</v>
      </c>
      <c r="T1524" t="s">
        <v>32</v>
      </c>
      <c r="V1524" s="1" t="e">
        <v>#N/A</v>
      </c>
      <c r="W1524" t="s">
        <v>1216</v>
      </c>
      <c r="X1524">
        <v>1</v>
      </c>
      <c r="Y1524">
        <v>0</v>
      </c>
      <c r="AA1524" t="str">
        <f t="shared" si="46"/>
        <v>update zamestnanci set nastup='108' where id='443';</v>
      </c>
      <c r="AB1524" t="str">
        <f t="shared" si="47"/>
        <v>update dochazka set zastavka = '108' where zamestnanec = '443';</v>
      </c>
    </row>
    <row r="1525" spans="1:28" x14ac:dyDescent="0.25">
      <c r="A1525" s="2">
        <v>446</v>
      </c>
      <c r="B1525" t="s">
        <v>1599</v>
      </c>
      <c r="C1525" t="s">
        <v>1600</v>
      </c>
      <c r="D1525" t="s">
        <v>1601</v>
      </c>
      <c r="E1525" t="s">
        <v>1602</v>
      </c>
      <c r="F1525" t="s">
        <v>1603</v>
      </c>
      <c r="G1525" s="1">
        <v>44986</v>
      </c>
      <c r="H1525" s="1">
        <v>73050</v>
      </c>
      <c r="I1525" s="1" t="e">
        <v>#N/A</v>
      </c>
      <c r="J1525" s="2" t="s">
        <v>2656</v>
      </c>
      <c r="K1525" t="s">
        <v>1604</v>
      </c>
      <c r="M1525" s="16" t="s">
        <v>8548</v>
      </c>
      <c r="N1525" s="16" t="str">
        <f>VLOOKUP(M1525,Tab_Zast[[Zastávka]:[Sloupec1]],2,0)</f>
        <v>108</v>
      </c>
      <c r="O1525" t="s">
        <v>1605</v>
      </c>
      <c r="P1525">
        <v>6</v>
      </c>
      <c r="Q1525">
        <v>0</v>
      </c>
      <c r="R1525" t="s">
        <v>130</v>
      </c>
      <c r="S1525" t="s">
        <v>31</v>
      </c>
      <c r="T1525" t="s">
        <v>32</v>
      </c>
      <c r="V1525" s="1" t="e">
        <v>#N/A</v>
      </c>
      <c r="W1525" t="s">
        <v>1216</v>
      </c>
      <c r="X1525">
        <v>1</v>
      </c>
      <c r="Y1525">
        <v>0</v>
      </c>
      <c r="AA1525" t="str">
        <f t="shared" si="46"/>
        <v>update zamestnanci set nastup='108' where id='446';</v>
      </c>
      <c r="AB1525" t="str">
        <f t="shared" si="47"/>
        <v>update dochazka set zastavka = '108' where zamestnanec = '446';</v>
      </c>
    </row>
    <row r="1526" spans="1:28" x14ac:dyDescent="0.25">
      <c r="A1526" s="2">
        <v>447</v>
      </c>
      <c r="B1526" t="s">
        <v>1606</v>
      </c>
      <c r="D1526" t="s">
        <v>1607</v>
      </c>
      <c r="E1526" t="s">
        <v>1608</v>
      </c>
      <c r="F1526" t="s">
        <v>1609</v>
      </c>
      <c r="G1526" s="1">
        <v>44915</v>
      </c>
      <c r="H1526" s="1">
        <v>45230</v>
      </c>
      <c r="I1526" s="1" t="e">
        <v>#N/A</v>
      </c>
      <c r="J1526" s="2" t="s">
        <v>2656</v>
      </c>
      <c r="K1526" t="s">
        <v>1610</v>
      </c>
      <c r="M1526" s="16" t="s">
        <v>8548</v>
      </c>
      <c r="N1526" s="16" t="str">
        <f>VLOOKUP(M1526,Tab_Zast[[Zastávka]:[Sloupec1]],2,0)</f>
        <v>108</v>
      </c>
      <c r="O1526" t="s">
        <v>1611</v>
      </c>
      <c r="P1526">
        <v>6</v>
      </c>
      <c r="Q1526">
        <v>0</v>
      </c>
      <c r="R1526" t="s">
        <v>31</v>
      </c>
      <c r="S1526" t="s">
        <v>31</v>
      </c>
      <c r="T1526" t="s">
        <v>32</v>
      </c>
      <c r="V1526" s="1" t="e">
        <v>#N/A</v>
      </c>
      <c r="W1526" t="s">
        <v>1216</v>
      </c>
      <c r="X1526">
        <v>0</v>
      </c>
      <c r="Y1526">
        <v>0</v>
      </c>
      <c r="Z1526" t="s">
        <v>54</v>
      </c>
      <c r="AA1526" t="str">
        <f t="shared" si="46"/>
        <v>update zamestnanci set nastup='108' where id='447';</v>
      </c>
      <c r="AB1526" t="str">
        <f t="shared" si="47"/>
        <v>update dochazka set zastavka = '108' where zamestnanec = '447';</v>
      </c>
    </row>
    <row r="1527" spans="1:28" x14ac:dyDescent="0.25">
      <c r="A1527" s="2">
        <v>448</v>
      </c>
      <c r="B1527" t="s">
        <v>1612</v>
      </c>
      <c r="D1527" t="s">
        <v>1613</v>
      </c>
      <c r="E1527" t="s">
        <v>1614</v>
      </c>
      <c r="F1527" t="s">
        <v>1615</v>
      </c>
      <c r="G1527" s="1">
        <v>45070</v>
      </c>
      <c r="H1527" s="1">
        <v>45230</v>
      </c>
      <c r="I1527" s="1" t="e">
        <v>#N/A</v>
      </c>
      <c r="J1527" s="2" t="s">
        <v>2656</v>
      </c>
      <c r="K1527" t="s">
        <v>1616</v>
      </c>
      <c r="M1527" s="16" t="s">
        <v>8548</v>
      </c>
      <c r="N1527" s="16" t="str">
        <f>VLOOKUP(M1527,Tab_Zast[[Zastávka]:[Sloupec1]],2,0)</f>
        <v>108</v>
      </c>
      <c r="O1527" t="s">
        <v>1617</v>
      </c>
      <c r="P1527">
        <v>6</v>
      </c>
      <c r="Q1527">
        <v>0</v>
      </c>
      <c r="R1527" t="s">
        <v>31</v>
      </c>
      <c r="S1527" t="s">
        <v>31</v>
      </c>
      <c r="T1527" t="s">
        <v>32</v>
      </c>
      <c r="V1527" s="1" t="e">
        <v>#N/A</v>
      </c>
      <c r="W1527" t="s">
        <v>1216</v>
      </c>
      <c r="X1527">
        <v>0</v>
      </c>
      <c r="Y1527">
        <v>0</v>
      </c>
      <c r="Z1527" t="s">
        <v>54</v>
      </c>
      <c r="AA1527" t="str">
        <f t="shared" si="46"/>
        <v>update zamestnanci set nastup='108' where id='448';</v>
      </c>
      <c r="AB1527" t="str">
        <f t="shared" si="47"/>
        <v>update dochazka set zastavka = '108' where zamestnanec = '448';</v>
      </c>
    </row>
    <row r="1528" spans="1:28" x14ac:dyDescent="0.25">
      <c r="A1528" s="2">
        <v>449</v>
      </c>
      <c r="B1528" t="s">
        <v>1618</v>
      </c>
      <c r="C1528" t="s">
        <v>1619</v>
      </c>
      <c r="D1528" t="s">
        <v>1620</v>
      </c>
      <c r="E1528" t="s">
        <v>1621</v>
      </c>
      <c r="F1528" t="s">
        <v>1622</v>
      </c>
      <c r="G1528" s="1">
        <v>45033</v>
      </c>
      <c r="H1528" s="1">
        <v>45800</v>
      </c>
      <c r="I1528" s="1">
        <v>73050</v>
      </c>
      <c r="J1528" s="2" t="s">
        <v>2656</v>
      </c>
      <c r="K1528" t="s">
        <v>1623</v>
      </c>
      <c r="M1528" s="16" t="s">
        <v>8548</v>
      </c>
      <c r="N1528" s="16" t="str">
        <f>VLOOKUP(M1528,Tab_Zast[[Zastávka]:[Sloupec1]],2,0)</f>
        <v>108</v>
      </c>
      <c r="O1528" t="s">
        <v>1624</v>
      </c>
      <c r="P1528">
        <v>6</v>
      </c>
      <c r="Q1528">
        <v>0</v>
      </c>
      <c r="R1528" t="s">
        <v>31</v>
      </c>
      <c r="S1528" t="s">
        <v>31</v>
      </c>
      <c r="T1528" t="s">
        <v>32</v>
      </c>
      <c r="V1528" s="1">
        <v>45771</v>
      </c>
      <c r="W1528" t="s">
        <v>1216</v>
      </c>
      <c r="X1528">
        <v>0</v>
      </c>
      <c r="Y1528">
        <v>0</v>
      </c>
      <c r="AA1528" t="str">
        <f t="shared" si="46"/>
        <v>update zamestnanci set nastup='108' where id='449';</v>
      </c>
      <c r="AB1528" t="str">
        <f t="shared" si="47"/>
        <v>update dochazka set zastavka = '108' where zamestnanec = '449';</v>
      </c>
    </row>
    <row r="1529" spans="1:28" x14ac:dyDescent="0.25">
      <c r="A1529" s="2">
        <v>452</v>
      </c>
      <c r="B1529" t="s">
        <v>1638</v>
      </c>
      <c r="D1529" t="s">
        <v>1639</v>
      </c>
      <c r="E1529" t="s">
        <v>1640</v>
      </c>
      <c r="F1529" t="s">
        <v>1641</v>
      </c>
      <c r="G1529" s="1">
        <v>44915</v>
      </c>
      <c r="H1529" s="1">
        <v>45230</v>
      </c>
      <c r="I1529" s="1" t="e">
        <v>#N/A</v>
      </c>
      <c r="J1529" s="2" t="s">
        <v>2656</v>
      </c>
      <c r="K1529" t="s">
        <v>1642</v>
      </c>
      <c r="M1529" s="16" t="s">
        <v>8548</v>
      </c>
      <c r="N1529" s="16" t="str">
        <f>VLOOKUP(M1529,Tab_Zast[[Zastávka]:[Sloupec1]],2,0)</f>
        <v>108</v>
      </c>
      <c r="O1529" t="s">
        <v>1643</v>
      </c>
      <c r="P1529">
        <v>6</v>
      </c>
      <c r="Q1529">
        <v>0</v>
      </c>
      <c r="R1529" t="s">
        <v>31</v>
      </c>
      <c r="S1529" t="s">
        <v>31</v>
      </c>
      <c r="T1529" t="s">
        <v>32</v>
      </c>
      <c r="V1529" s="1" t="e">
        <v>#N/A</v>
      </c>
      <c r="W1529" t="s">
        <v>1216</v>
      </c>
      <c r="X1529">
        <v>0</v>
      </c>
      <c r="Y1529">
        <v>0</v>
      </c>
      <c r="Z1529" t="s">
        <v>54</v>
      </c>
      <c r="AA1529" t="str">
        <f t="shared" si="46"/>
        <v>update zamestnanci set nastup='108' where id='452';</v>
      </c>
      <c r="AB1529" t="str">
        <f t="shared" si="47"/>
        <v>update dochazka set zastavka = '108' where zamestnanec = '452';</v>
      </c>
    </row>
    <row r="1530" spans="1:28" x14ac:dyDescent="0.25">
      <c r="A1530" s="2">
        <v>454</v>
      </c>
      <c r="B1530" t="s">
        <v>1651</v>
      </c>
      <c r="C1530" t="s">
        <v>1652</v>
      </c>
      <c r="D1530" t="s">
        <v>1653</v>
      </c>
      <c r="E1530" t="s">
        <v>1654</v>
      </c>
      <c r="F1530" t="s">
        <v>1655</v>
      </c>
      <c r="G1530" s="1">
        <v>45446</v>
      </c>
      <c r="H1530" s="1">
        <v>45445</v>
      </c>
      <c r="I1530" s="1">
        <v>73050</v>
      </c>
      <c r="J1530" s="2" t="s">
        <v>2656</v>
      </c>
      <c r="K1530" t="s">
        <v>1656</v>
      </c>
      <c r="M1530" s="16" t="s">
        <v>8548</v>
      </c>
      <c r="N1530" s="16" t="str">
        <f>VLOOKUP(M1530,Tab_Zast[[Zastávka]:[Sloupec1]],2,0)</f>
        <v>108</v>
      </c>
      <c r="O1530" t="s">
        <v>1657</v>
      </c>
      <c r="P1530">
        <v>6</v>
      </c>
      <c r="Q1530">
        <v>0</v>
      </c>
      <c r="R1530" t="s">
        <v>31</v>
      </c>
      <c r="S1530" t="s">
        <v>31</v>
      </c>
      <c r="T1530" t="s">
        <v>32</v>
      </c>
      <c r="V1530" s="1" t="e">
        <v>#N/A</v>
      </c>
      <c r="W1530" t="s">
        <v>1216</v>
      </c>
      <c r="X1530">
        <v>0</v>
      </c>
      <c r="Y1530">
        <v>0</v>
      </c>
      <c r="Z1530" t="s">
        <v>54</v>
      </c>
      <c r="AA1530" t="str">
        <f t="shared" si="46"/>
        <v>update zamestnanci set nastup='108' where id='454';</v>
      </c>
      <c r="AB1530" t="str">
        <f t="shared" si="47"/>
        <v>update dochazka set zastavka = '108' where zamestnanec = '454';</v>
      </c>
    </row>
    <row r="1531" spans="1:28" x14ac:dyDescent="0.25">
      <c r="A1531" s="2">
        <v>461</v>
      </c>
      <c r="B1531" t="s">
        <v>1696</v>
      </c>
      <c r="D1531" t="s">
        <v>1697</v>
      </c>
      <c r="E1531" t="s">
        <v>1698</v>
      </c>
      <c r="F1531" t="s">
        <v>1699</v>
      </c>
      <c r="G1531" s="1">
        <v>44998</v>
      </c>
      <c r="H1531" s="1">
        <v>45271</v>
      </c>
      <c r="I1531" s="1" t="e">
        <v>#N/A</v>
      </c>
      <c r="J1531" s="2" t="s">
        <v>2656</v>
      </c>
      <c r="K1531" t="s">
        <v>1700</v>
      </c>
      <c r="M1531" s="16" t="s">
        <v>8548</v>
      </c>
      <c r="N1531" s="16" t="str">
        <f>VLOOKUP(M1531,Tab_Zast[[Zastávka]:[Sloupec1]],2,0)</f>
        <v>108</v>
      </c>
      <c r="O1531" t="s">
        <v>1701</v>
      </c>
      <c r="P1531">
        <v>6</v>
      </c>
      <c r="Q1531">
        <v>0</v>
      </c>
      <c r="R1531" t="s">
        <v>31</v>
      </c>
      <c r="S1531" t="s">
        <v>31</v>
      </c>
      <c r="T1531" t="s">
        <v>32</v>
      </c>
      <c r="V1531" s="1" t="e">
        <v>#N/A</v>
      </c>
      <c r="W1531" t="s">
        <v>1216</v>
      </c>
      <c r="X1531">
        <v>0</v>
      </c>
      <c r="Y1531">
        <v>0</v>
      </c>
      <c r="Z1531" t="s">
        <v>54</v>
      </c>
      <c r="AA1531" t="str">
        <f t="shared" si="46"/>
        <v>update zamestnanci set nastup='108' where id='461';</v>
      </c>
      <c r="AB1531" t="str">
        <f t="shared" si="47"/>
        <v>update dochazka set zastavka = '108' where zamestnanec = '461';</v>
      </c>
    </row>
    <row r="1532" spans="1:28" x14ac:dyDescent="0.25">
      <c r="A1532" s="2">
        <v>463</v>
      </c>
      <c r="B1532" t="s">
        <v>1708</v>
      </c>
      <c r="C1532" t="s">
        <v>1709</v>
      </c>
      <c r="D1532" t="s">
        <v>1710</v>
      </c>
      <c r="E1532" t="s">
        <v>1711</v>
      </c>
      <c r="F1532" t="s">
        <v>1712</v>
      </c>
      <c r="G1532" s="1">
        <v>45057</v>
      </c>
      <c r="H1532" s="1">
        <v>45777</v>
      </c>
      <c r="I1532" s="1">
        <v>73050</v>
      </c>
      <c r="J1532" s="2" t="s">
        <v>2656</v>
      </c>
      <c r="K1532" t="s">
        <v>1713</v>
      </c>
      <c r="M1532" s="16" t="s">
        <v>8548</v>
      </c>
      <c r="N1532" s="16" t="str">
        <f>VLOOKUP(M1532,Tab_Zast[[Zastávka]:[Sloupec1]],2,0)</f>
        <v>108</v>
      </c>
      <c r="O1532" t="s">
        <v>1714</v>
      </c>
      <c r="P1532">
        <v>6</v>
      </c>
      <c r="Q1532">
        <v>0</v>
      </c>
      <c r="R1532" t="s">
        <v>31</v>
      </c>
      <c r="S1532" t="s">
        <v>31</v>
      </c>
      <c r="T1532" t="s">
        <v>32</v>
      </c>
      <c r="V1532" s="1" t="e">
        <v>#N/A</v>
      </c>
      <c r="W1532" t="s">
        <v>1216</v>
      </c>
      <c r="X1532">
        <v>0</v>
      </c>
      <c r="Y1532">
        <v>0</v>
      </c>
      <c r="AA1532" t="str">
        <f t="shared" si="46"/>
        <v>update zamestnanci set nastup='108' where id='463';</v>
      </c>
      <c r="AB1532" t="str">
        <f t="shared" si="47"/>
        <v>update dochazka set zastavka = '108' where zamestnanec = '463';</v>
      </c>
    </row>
    <row r="1533" spans="1:28" x14ac:dyDescent="0.25">
      <c r="A1533" s="2">
        <v>464</v>
      </c>
      <c r="B1533" t="s">
        <v>1715</v>
      </c>
      <c r="C1533" t="s">
        <v>1716</v>
      </c>
      <c r="D1533" t="s">
        <v>1717</v>
      </c>
      <c r="E1533" t="s">
        <v>1718</v>
      </c>
      <c r="F1533" t="s">
        <v>1719</v>
      </c>
      <c r="G1533" s="1">
        <v>45110</v>
      </c>
      <c r="H1533" s="1">
        <v>45747</v>
      </c>
      <c r="I1533" s="1">
        <v>73050</v>
      </c>
      <c r="J1533" s="2" t="s">
        <v>2656</v>
      </c>
      <c r="K1533" t="s">
        <v>1720</v>
      </c>
      <c r="M1533" s="16" t="s">
        <v>8548</v>
      </c>
      <c r="N1533" s="16" t="str">
        <f>VLOOKUP(M1533,Tab_Zast[[Zastávka]:[Sloupec1]],2,0)</f>
        <v>108</v>
      </c>
      <c r="O1533" t="s">
        <v>1721</v>
      </c>
      <c r="P1533">
        <v>6</v>
      </c>
      <c r="Q1533">
        <v>0</v>
      </c>
      <c r="R1533" t="s">
        <v>31</v>
      </c>
      <c r="S1533" t="s">
        <v>31</v>
      </c>
      <c r="T1533" t="s">
        <v>32</v>
      </c>
      <c r="V1533" s="1" t="e">
        <v>#N/A</v>
      </c>
      <c r="W1533" t="s">
        <v>1216</v>
      </c>
      <c r="X1533">
        <v>0</v>
      </c>
      <c r="Y1533">
        <v>0</v>
      </c>
      <c r="AA1533" t="str">
        <f t="shared" si="46"/>
        <v>update zamestnanci set nastup='108' where id='464';</v>
      </c>
      <c r="AB1533" t="str">
        <f t="shared" si="47"/>
        <v>update dochazka set zastavka = '108' where zamestnanec = '464';</v>
      </c>
    </row>
    <row r="1534" spans="1:28" x14ac:dyDescent="0.25">
      <c r="A1534" s="2">
        <v>465</v>
      </c>
      <c r="B1534" t="s">
        <v>1722</v>
      </c>
      <c r="C1534" t="s">
        <v>1723</v>
      </c>
      <c r="D1534" t="s">
        <v>1724</v>
      </c>
      <c r="E1534" t="s">
        <v>1725</v>
      </c>
      <c r="F1534" t="s">
        <v>1726</v>
      </c>
      <c r="G1534" s="1">
        <v>45189</v>
      </c>
      <c r="H1534" s="1">
        <v>45554</v>
      </c>
      <c r="I1534" s="1">
        <v>73050</v>
      </c>
      <c r="J1534" s="2" t="s">
        <v>2656</v>
      </c>
      <c r="K1534" t="s">
        <v>1727</v>
      </c>
      <c r="M1534" s="16" t="s">
        <v>8548</v>
      </c>
      <c r="N1534" s="16" t="str">
        <f>VLOOKUP(M1534,Tab_Zast[[Zastávka]:[Sloupec1]],2,0)</f>
        <v>108</v>
      </c>
      <c r="O1534" t="s">
        <v>1728</v>
      </c>
      <c r="P1534">
        <v>6</v>
      </c>
      <c r="Q1534">
        <v>0</v>
      </c>
      <c r="R1534" t="s">
        <v>31</v>
      </c>
      <c r="S1534" t="s">
        <v>31</v>
      </c>
      <c r="T1534" t="s">
        <v>32</v>
      </c>
      <c r="V1534" s="1" t="e">
        <v>#N/A</v>
      </c>
      <c r="W1534" t="s">
        <v>1216</v>
      </c>
      <c r="X1534">
        <v>0</v>
      </c>
      <c r="Y1534">
        <v>0</v>
      </c>
      <c r="AA1534" t="str">
        <f t="shared" si="46"/>
        <v>update zamestnanci set nastup='108' where id='465';</v>
      </c>
      <c r="AB1534" t="str">
        <f t="shared" si="47"/>
        <v>update dochazka set zastavka = '108' where zamestnanec = '465';</v>
      </c>
    </row>
    <row r="1535" spans="1:28" x14ac:dyDescent="0.25">
      <c r="A1535" s="2">
        <v>467</v>
      </c>
      <c r="B1535" t="s">
        <v>1735</v>
      </c>
      <c r="C1535" t="s">
        <v>1736</v>
      </c>
      <c r="D1535" t="s">
        <v>1730</v>
      </c>
      <c r="E1535" t="s">
        <v>1737</v>
      </c>
      <c r="F1535" t="s">
        <v>1738</v>
      </c>
      <c r="G1535" s="1">
        <v>45012</v>
      </c>
      <c r="H1535" s="1">
        <v>73050</v>
      </c>
      <c r="I1535" s="1" t="e">
        <v>#N/A</v>
      </c>
      <c r="J1535" s="2" t="s">
        <v>2656</v>
      </c>
      <c r="K1535" t="s">
        <v>1739</v>
      </c>
      <c r="M1535" s="16" t="s">
        <v>8548</v>
      </c>
      <c r="N1535" s="16" t="str">
        <f>VLOOKUP(M1535,Tab_Zast[[Zastávka]:[Sloupec1]],2,0)</f>
        <v>108</v>
      </c>
      <c r="O1535" t="s">
        <v>1740</v>
      </c>
      <c r="P1535">
        <v>6</v>
      </c>
      <c r="Q1535">
        <v>0</v>
      </c>
      <c r="R1535" t="s">
        <v>130</v>
      </c>
      <c r="S1535" t="s">
        <v>31</v>
      </c>
      <c r="T1535" t="s">
        <v>32</v>
      </c>
      <c r="V1535" s="1" t="e">
        <v>#N/A</v>
      </c>
      <c r="W1535" t="s">
        <v>1216</v>
      </c>
      <c r="X1535">
        <v>1</v>
      </c>
      <c r="Y1535">
        <v>0</v>
      </c>
      <c r="AA1535" t="str">
        <f t="shared" si="46"/>
        <v>update zamestnanci set nastup='108' where id='467';</v>
      </c>
      <c r="AB1535" t="str">
        <f t="shared" si="47"/>
        <v>update dochazka set zastavka = '108' where zamestnanec = '467';</v>
      </c>
    </row>
    <row r="1536" spans="1:28" x14ac:dyDescent="0.25">
      <c r="A1536" s="2">
        <v>468</v>
      </c>
      <c r="B1536" t="s">
        <v>1741</v>
      </c>
      <c r="C1536" t="s">
        <v>1742</v>
      </c>
      <c r="D1536" t="s">
        <v>1743</v>
      </c>
      <c r="E1536" t="s">
        <v>1744</v>
      </c>
      <c r="F1536" t="s">
        <v>1745</v>
      </c>
      <c r="G1536" s="1">
        <v>45145</v>
      </c>
      <c r="H1536" s="1">
        <v>73050</v>
      </c>
      <c r="I1536" s="1" t="e">
        <v>#N/A</v>
      </c>
      <c r="J1536" s="2" t="s">
        <v>2656</v>
      </c>
      <c r="K1536" t="s">
        <v>1746</v>
      </c>
      <c r="M1536" s="16" t="s">
        <v>8548</v>
      </c>
      <c r="N1536" s="16" t="str">
        <f>VLOOKUP(M1536,Tab_Zast[[Zastávka]:[Sloupec1]],2,0)</f>
        <v>108</v>
      </c>
      <c r="O1536" t="s">
        <v>1747</v>
      </c>
      <c r="P1536">
        <v>6</v>
      </c>
      <c r="Q1536">
        <v>0</v>
      </c>
      <c r="R1536" t="s">
        <v>130</v>
      </c>
      <c r="S1536" t="s">
        <v>31</v>
      </c>
      <c r="T1536" t="s">
        <v>32</v>
      </c>
      <c r="V1536" s="1" t="e">
        <v>#N/A</v>
      </c>
      <c r="W1536" t="s">
        <v>1216</v>
      </c>
      <c r="X1536">
        <v>1</v>
      </c>
      <c r="Y1536">
        <v>0</v>
      </c>
      <c r="AA1536" t="str">
        <f t="shared" si="46"/>
        <v>update zamestnanci set nastup='108' where id='468';</v>
      </c>
      <c r="AB1536" t="str">
        <f t="shared" si="47"/>
        <v>update dochazka set zastavka = '108' where zamestnanec = '468';</v>
      </c>
    </row>
    <row r="1537" spans="1:28" x14ac:dyDescent="0.25">
      <c r="A1537" s="2">
        <v>469</v>
      </c>
      <c r="B1537" t="s">
        <v>1748</v>
      </c>
      <c r="D1537" t="s">
        <v>1749</v>
      </c>
      <c r="E1537" t="s">
        <v>1750</v>
      </c>
      <c r="F1537" t="s">
        <v>1751</v>
      </c>
      <c r="G1537" s="1">
        <v>45187</v>
      </c>
      <c r="H1537" s="1">
        <v>45240</v>
      </c>
      <c r="I1537" s="1" t="e">
        <v>#N/A</v>
      </c>
      <c r="J1537" s="2" t="s">
        <v>2656</v>
      </c>
      <c r="K1537" t="s">
        <v>1752</v>
      </c>
      <c r="M1537" s="16" t="s">
        <v>8548</v>
      </c>
      <c r="N1537" s="16" t="str">
        <f>VLOOKUP(M1537,Tab_Zast[[Zastávka]:[Sloupec1]],2,0)</f>
        <v>108</v>
      </c>
      <c r="O1537" t="s">
        <v>1753</v>
      </c>
      <c r="P1537">
        <v>6</v>
      </c>
      <c r="Q1537">
        <v>0</v>
      </c>
      <c r="R1537" t="s">
        <v>31</v>
      </c>
      <c r="S1537" t="s">
        <v>31</v>
      </c>
      <c r="T1537" t="s">
        <v>32</v>
      </c>
      <c r="V1537" s="1" t="e">
        <v>#N/A</v>
      </c>
      <c r="W1537" t="s">
        <v>1216</v>
      </c>
      <c r="X1537">
        <v>0</v>
      </c>
      <c r="Y1537">
        <v>0</v>
      </c>
      <c r="Z1537" t="s">
        <v>54</v>
      </c>
      <c r="AA1537" t="str">
        <f t="shared" si="46"/>
        <v>update zamestnanci set nastup='108' where id='469';</v>
      </c>
      <c r="AB1537" t="str">
        <f t="shared" si="47"/>
        <v>update dochazka set zastavka = '108' where zamestnanec = '469';</v>
      </c>
    </row>
    <row r="1538" spans="1:28" x14ac:dyDescent="0.25">
      <c r="A1538" s="2">
        <v>471</v>
      </c>
      <c r="B1538" t="s">
        <v>1760</v>
      </c>
      <c r="D1538" t="s">
        <v>1761</v>
      </c>
      <c r="E1538" t="s">
        <v>1762</v>
      </c>
      <c r="F1538" t="s">
        <v>1763</v>
      </c>
      <c r="G1538" s="1">
        <v>45166</v>
      </c>
      <c r="H1538" s="1">
        <v>45419</v>
      </c>
      <c r="I1538" s="1">
        <v>73050</v>
      </c>
      <c r="J1538" s="2" t="s">
        <v>2656</v>
      </c>
      <c r="K1538" t="s">
        <v>1764</v>
      </c>
      <c r="M1538" s="16" t="s">
        <v>8548</v>
      </c>
      <c r="N1538" s="16" t="str">
        <f>VLOOKUP(M1538,Tab_Zast[[Zastávka]:[Sloupec1]],2,0)</f>
        <v>108</v>
      </c>
      <c r="O1538" t="s">
        <v>1765</v>
      </c>
      <c r="P1538">
        <v>6</v>
      </c>
      <c r="Q1538">
        <v>0</v>
      </c>
      <c r="R1538" t="s">
        <v>31</v>
      </c>
      <c r="S1538" t="s">
        <v>31</v>
      </c>
      <c r="T1538" t="s">
        <v>32</v>
      </c>
      <c r="V1538" s="1" t="e">
        <v>#N/A</v>
      </c>
      <c r="W1538" t="s">
        <v>1216</v>
      </c>
      <c r="X1538">
        <v>0</v>
      </c>
      <c r="Y1538">
        <v>0</v>
      </c>
      <c r="Z1538" t="s">
        <v>54</v>
      </c>
      <c r="AA1538" t="str">
        <f t="shared" si="46"/>
        <v>update zamestnanci set nastup='108' where id='471';</v>
      </c>
      <c r="AB1538" t="str">
        <f t="shared" si="47"/>
        <v>update dochazka set zastavka = '108' where zamestnanec = '471';</v>
      </c>
    </row>
    <row r="1539" spans="1:28" x14ac:dyDescent="0.25">
      <c r="A1539" s="2">
        <v>472</v>
      </c>
      <c r="B1539" t="s">
        <v>1766</v>
      </c>
      <c r="C1539" t="s">
        <v>1767</v>
      </c>
      <c r="D1539" t="s">
        <v>1768</v>
      </c>
      <c r="E1539" t="s">
        <v>1769</v>
      </c>
      <c r="F1539" t="s">
        <v>1770</v>
      </c>
      <c r="G1539" s="1">
        <v>45446</v>
      </c>
      <c r="H1539" s="1">
        <v>45445</v>
      </c>
      <c r="I1539" s="1">
        <v>73050</v>
      </c>
      <c r="J1539" s="2" t="s">
        <v>2656</v>
      </c>
      <c r="K1539" t="s">
        <v>1771</v>
      </c>
      <c r="M1539" s="16" t="s">
        <v>8548</v>
      </c>
      <c r="N1539" s="16" t="str">
        <f>VLOOKUP(M1539,Tab_Zast[[Zastávka]:[Sloupec1]],2,0)</f>
        <v>108</v>
      </c>
      <c r="O1539" t="s">
        <v>1772</v>
      </c>
      <c r="P1539">
        <v>6</v>
      </c>
      <c r="Q1539">
        <v>0</v>
      </c>
      <c r="R1539" t="s">
        <v>31</v>
      </c>
      <c r="S1539" t="s">
        <v>31</v>
      </c>
      <c r="T1539" t="s">
        <v>32</v>
      </c>
      <c r="V1539" s="1" t="e">
        <v>#N/A</v>
      </c>
      <c r="W1539" t="s">
        <v>1216</v>
      </c>
      <c r="X1539">
        <v>0</v>
      </c>
      <c r="Y1539">
        <v>0</v>
      </c>
      <c r="Z1539" t="s">
        <v>54</v>
      </c>
      <c r="AA1539" t="str">
        <f t="shared" si="46"/>
        <v>update zamestnanci set nastup='108' where id='472';</v>
      </c>
      <c r="AB1539" t="str">
        <f t="shared" si="47"/>
        <v>update dochazka set zastavka = '108' where zamestnanec = '472';</v>
      </c>
    </row>
    <row r="1540" spans="1:28" x14ac:dyDescent="0.25">
      <c r="A1540" s="2">
        <v>474</v>
      </c>
      <c r="B1540" t="s">
        <v>1779</v>
      </c>
      <c r="C1540" t="s">
        <v>1780</v>
      </c>
      <c r="D1540" t="s">
        <v>1781</v>
      </c>
      <c r="E1540" t="s">
        <v>1782</v>
      </c>
      <c r="F1540" t="s">
        <v>1783</v>
      </c>
      <c r="G1540" s="1">
        <v>45117</v>
      </c>
      <c r="H1540" s="1">
        <v>73050</v>
      </c>
      <c r="I1540" s="1" t="e">
        <v>#N/A</v>
      </c>
      <c r="J1540" s="2" t="s">
        <v>2656</v>
      </c>
      <c r="K1540" t="s">
        <v>1784</v>
      </c>
      <c r="M1540" s="16" t="s">
        <v>8548</v>
      </c>
      <c r="N1540" s="16" t="str">
        <f>VLOOKUP(M1540,Tab_Zast[[Zastávka]:[Sloupec1]],2,0)</f>
        <v>108</v>
      </c>
      <c r="O1540" t="s">
        <v>1785</v>
      </c>
      <c r="P1540">
        <v>6</v>
      </c>
      <c r="Q1540">
        <v>0</v>
      </c>
      <c r="R1540" t="s">
        <v>130</v>
      </c>
      <c r="S1540" t="s">
        <v>31</v>
      </c>
      <c r="T1540" t="s">
        <v>32</v>
      </c>
      <c r="V1540" s="1" t="e">
        <v>#N/A</v>
      </c>
      <c r="W1540" t="s">
        <v>1216</v>
      </c>
      <c r="X1540">
        <v>1</v>
      </c>
      <c r="Y1540">
        <v>0</v>
      </c>
      <c r="AA1540" t="str">
        <f t="shared" ref="AA1540:AA1603" si="48">IF(J1540&lt;&gt;"00","update zamestnanci set nastup='" &amp; J1540 &amp; "' where id='" &amp; A1540 &amp; "';","")</f>
        <v>update zamestnanci set nastup='108' where id='474';</v>
      </c>
      <c r="AB1540" t="str">
        <f t="shared" ref="AB1540:AB1603" si="49">IF(J1540&lt;&gt;"00","update dochazka set zastavka = '" &amp; J1540 &amp; "' where zamestnanec = '" &amp; A1540 &amp; "';","")</f>
        <v>update dochazka set zastavka = '108' where zamestnanec = '474';</v>
      </c>
    </row>
    <row r="1541" spans="1:28" x14ac:dyDescent="0.25">
      <c r="A1541" s="2">
        <v>478</v>
      </c>
      <c r="B1541" t="s">
        <v>1804</v>
      </c>
      <c r="C1541" t="s">
        <v>1805</v>
      </c>
      <c r="D1541" t="s">
        <v>1806</v>
      </c>
      <c r="E1541" t="s">
        <v>917</v>
      </c>
      <c r="F1541" t="s">
        <v>1807</v>
      </c>
      <c r="G1541" s="1">
        <v>44599</v>
      </c>
      <c r="H1541" s="1">
        <v>73050</v>
      </c>
      <c r="I1541" s="1" t="e">
        <v>#N/A</v>
      </c>
      <c r="J1541" s="2" t="s">
        <v>2656</v>
      </c>
      <c r="K1541" t="s">
        <v>1808</v>
      </c>
      <c r="M1541" s="16" t="s">
        <v>8548</v>
      </c>
      <c r="N1541" s="16" t="str">
        <f>VLOOKUP(M1541,Tab_Zast[[Zastávka]:[Sloupec1]],2,0)</f>
        <v>108</v>
      </c>
      <c r="O1541" t="s">
        <v>1809</v>
      </c>
      <c r="P1541">
        <v>6</v>
      </c>
      <c r="Q1541">
        <v>0</v>
      </c>
      <c r="R1541" t="s">
        <v>130</v>
      </c>
      <c r="S1541" t="s">
        <v>31</v>
      </c>
      <c r="T1541" t="s">
        <v>32</v>
      </c>
      <c r="V1541" s="1" t="e">
        <v>#N/A</v>
      </c>
      <c r="W1541" t="s">
        <v>1216</v>
      </c>
      <c r="X1541">
        <v>1</v>
      </c>
      <c r="Y1541">
        <v>0</v>
      </c>
      <c r="AA1541" t="str">
        <f t="shared" si="48"/>
        <v>update zamestnanci set nastup='108' where id='478';</v>
      </c>
      <c r="AB1541" t="str">
        <f t="shared" si="49"/>
        <v>update dochazka set zastavka = '108' where zamestnanec = '478';</v>
      </c>
    </row>
    <row r="1542" spans="1:28" x14ac:dyDescent="0.25">
      <c r="A1542" s="2">
        <v>481</v>
      </c>
      <c r="B1542" t="s">
        <v>1823</v>
      </c>
      <c r="C1542" t="s">
        <v>1824</v>
      </c>
      <c r="D1542" t="s">
        <v>1825</v>
      </c>
      <c r="E1542" t="s">
        <v>1826</v>
      </c>
      <c r="F1542" t="s">
        <v>1827</v>
      </c>
      <c r="G1542" s="1">
        <v>44942</v>
      </c>
      <c r="H1542" s="1" t="e">
        <v>#N/A</v>
      </c>
      <c r="I1542" s="1" t="e">
        <v>#N/A</v>
      </c>
      <c r="J1542" s="2" t="s">
        <v>2656</v>
      </c>
      <c r="K1542" t="s">
        <v>1828</v>
      </c>
      <c r="M1542" s="16" t="s">
        <v>8548</v>
      </c>
      <c r="N1542" s="16" t="str">
        <f>VLOOKUP(M1542,Tab_Zast[[Zastávka]:[Sloupec1]],2,0)</f>
        <v>108</v>
      </c>
      <c r="O1542" t="s">
        <v>1829</v>
      </c>
      <c r="P1542">
        <v>6</v>
      </c>
      <c r="Q1542">
        <v>0</v>
      </c>
      <c r="R1542" t="s">
        <v>130</v>
      </c>
      <c r="S1542" t="s">
        <v>31</v>
      </c>
      <c r="T1542" t="s">
        <v>32</v>
      </c>
      <c r="V1542" s="1" t="e">
        <v>#N/A</v>
      </c>
      <c r="W1542" t="s">
        <v>1216</v>
      </c>
      <c r="X1542">
        <v>1</v>
      </c>
      <c r="Y1542">
        <v>0</v>
      </c>
      <c r="AA1542" t="str">
        <f t="shared" si="48"/>
        <v>update zamestnanci set nastup='108' where id='481';</v>
      </c>
      <c r="AB1542" t="str">
        <f t="shared" si="49"/>
        <v>update dochazka set zastavka = '108' where zamestnanec = '481';</v>
      </c>
    </row>
    <row r="1543" spans="1:28" x14ac:dyDescent="0.25">
      <c r="A1543" s="2">
        <v>485</v>
      </c>
      <c r="B1543" t="s">
        <v>1851</v>
      </c>
      <c r="D1543" t="s">
        <v>1852</v>
      </c>
      <c r="E1543" t="s">
        <v>1853</v>
      </c>
      <c r="F1543" t="s">
        <v>1854</v>
      </c>
      <c r="G1543" s="1">
        <v>45044</v>
      </c>
      <c r="H1543" s="1">
        <v>45322</v>
      </c>
      <c r="I1543" s="1">
        <v>73050</v>
      </c>
      <c r="J1543" s="2" t="s">
        <v>2656</v>
      </c>
      <c r="K1543" t="s">
        <v>1855</v>
      </c>
      <c r="M1543" s="16" t="s">
        <v>8548</v>
      </c>
      <c r="N1543" s="16" t="str">
        <f>VLOOKUP(M1543,Tab_Zast[[Zastávka]:[Sloupec1]],2,0)</f>
        <v>108</v>
      </c>
      <c r="O1543" t="s">
        <v>1856</v>
      </c>
      <c r="P1543">
        <v>6</v>
      </c>
      <c r="Q1543">
        <v>0</v>
      </c>
      <c r="R1543" t="s">
        <v>31</v>
      </c>
      <c r="S1543" t="s">
        <v>31</v>
      </c>
      <c r="T1543" t="s">
        <v>32</v>
      </c>
      <c r="V1543" s="1" t="e">
        <v>#N/A</v>
      </c>
      <c r="W1543" t="s">
        <v>1216</v>
      </c>
      <c r="X1543">
        <v>0</v>
      </c>
      <c r="Y1543">
        <v>0</v>
      </c>
      <c r="Z1543" t="s">
        <v>54</v>
      </c>
      <c r="AA1543" t="str">
        <f t="shared" si="48"/>
        <v>update zamestnanci set nastup='108' where id='485';</v>
      </c>
      <c r="AB1543" t="str">
        <f t="shared" si="49"/>
        <v>update dochazka set zastavka = '108' where zamestnanec = '485';</v>
      </c>
    </row>
    <row r="1544" spans="1:28" x14ac:dyDescent="0.25">
      <c r="A1544" s="2">
        <v>488</v>
      </c>
      <c r="B1544" t="s">
        <v>1868</v>
      </c>
      <c r="D1544" t="s">
        <v>1869</v>
      </c>
      <c r="E1544" t="s">
        <v>1870</v>
      </c>
      <c r="F1544" t="s">
        <v>1871</v>
      </c>
      <c r="G1544" s="1">
        <v>44998</v>
      </c>
      <c r="H1544" s="1">
        <v>45230</v>
      </c>
      <c r="I1544" s="1" t="e">
        <v>#N/A</v>
      </c>
      <c r="J1544" s="2" t="s">
        <v>2656</v>
      </c>
      <c r="K1544" t="s">
        <v>1872</v>
      </c>
      <c r="M1544" s="16" t="s">
        <v>8548</v>
      </c>
      <c r="N1544" s="16" t="str">
        <f>VLOOKUP(M1544,Tab_Zast[[Zastávka]:[Sloupec1]],2,0)</f>
        <v>108</v>
      </c>
      <c r="O1544" t="s">
        <v>1873</v>
      </c>
      <c r="P1544">
        <v>6</v>
      </c>
      <c r="Q1544">
        <v>0</v>
      </c>
      <c r="R1544" t="s">
        <v>31</v>
      </c>
      <c r="S1544" t="s">
        <v>31</v>
      </c>
      <c r="T1544" t="s">
        <v>32</v>
      </c>
      <c r="V1544" s="1" t="e">
        <v>#N/A</v>
      </c>
      <c r="W1544" t="s">
        <v>1216</v>
      </c>
      <c r="X1544">
        <v>0</v>
      </c>
      <c r="Y1544">
        <v>0</v>
      </c>
      <c r="Z1544" t="s">
        <v>54</v>
      </c>
      <c r="AA1544" t="str">
        <f t="shared" si="48"/>
        <v>update zamestnanci set nastup='108' where id='488';</v>
      </c>
      <c r="AB1544" t="str">
        <f t="shared" si="49"/>
        <v>update dochazka set zastavka = '108' where zamestnanec = '488';</v>
      </c>
    </row>
    <row r="1545" spans="1:28" x14ac:dyDescent="0.25">
      <c r="A1545" s="2">
        <v>489</v>
      </c>
      <c r="B1545" t="s">
        <v>1874</v>
      </c>
      <c r="D1545" t="s">
        <v>1875</v>
      </c>
      <c r="E1545" t="s">
        <v>1876</v>
      </c>
      <c r="F1545" t="s">
        <v>1877</v>
      </c>
      <c r="G1545" s="1">
        <v>45056</v>
      </c>
      <c r="H1545" s="1">
        <v>45230</v>
      </c>
      <c r="I1545" s="1" t="e">
        <v>#N/A</v>
      </c>
      <c r="J1545" s="2" t="s">
        <v>2656</v>
      </c>
      <c r="K1545" t="s">
        <v>1878</v>
      </c>
      <c r="M1545" s="16" t="s">
        <v>8548</v>
      </c>
      <c r="N1545" s="16" t="str">
        <f>VLOOKUP(M1545,Tab_Zast[[Zastávka]:[Sloupec1]],2,0)</f>
        <v>108</v>
      </c>
      <c r="O1545" t="s">
        <v>1879</v>
      </c>
      <c r="P1545">
        <v>6</v>
      </c>
      <c r="Q1545">
        <v>0</v>
      </c>
      <c r="R1545" t="s">
        <v>31</v>
      </c>
      <c r="S1545" t="s">
        <v>31</v>
      </c>
      <c r="T1545" t="s">
        <v>32</v>
      </c>
      <c r="V1545" s="1" t="e">
        <v>#N/A</v>
      </c>
      <c r="W1545" t="s">
        <v>1216</v>
      </c>
      <c r="X1545">
        <v>0</v>
      </c>
      <c r="Y1545">
        <v>0</v>
      </c>
      <c r="Z1545" t="s">
        <v>54</v>
      </c>
      <c r="AA1545" t="str">
        <f t="shared" si="48"/>
        <v>update zamestnanci set nastup='108' where id='489';</v>
      </c>
      <c r="AB1545" t="str">
        <f t="shared" si="49"/>
        <v>update dochazka set zastavka = '108' where zamestnanec = '489';</v>
      </c>
    </row>
    <row r="1546" spans="1:28" x14ac:dyDescent="0.25">
      <c r="A1546" s="2">
        <v>491</v>
      </c>
      <c r="B1546" t="s">
        <v>1886</v>
      </c>
      <c r="C1546" t="s">
        <v>1887</v>
      </c>
      <c r="D1546" t="s">
        <v>1888</v>
      </c>
      <c r="E1546" t="s">
        <v>1889</v>
      </c>
      <c r="F1546" t="s">
        <v>1890</v>
      </c>
      <c r="G1546" s="1">
        <v>44853</v>
      </c>
      <c r="H1546" s="1">
        <v>73050</v>
      </c>
      <c r="I1546" s="1" t="e">
        <v>#N/A</v>
      </c>
      <c r="J1546" s="2" t="s">
        <v>2656</v>
      </c>
      <c r="K1546" t="s">
        <v>1891</v>
      </c>
      <c r="M1546" s="16" t="s">
        <v>8548</v>
      </c>
      <c r="N1546" s="16" t="str">
        <f>VLOOKUP(M1546,Tab_Zast[[Zastávka]:[Sloupec1]],2,0)</f>
        <v>108</v>
      </c>
      <c r="O1546" t="s">
        <v>1892</v>
      </c>
      <c r="P1546">
        <v>6</v>
      </c>
      <c r="Q1546">
        <v>0</v>
      </c>
      <c r="R1546" t="s">
        <v>130</v>
      </c>
      <c r="S1546" t="s">
        <v>31</v>
      </c>
      <c r="T1546" t="s">
        <v>32</v>
      </c>
      <c r="V1546" s="1" t="e">
        <v>#N/A</v>
      </c>
      <c r="W1546" t="s">
        <v>1216</v>
      </c>
      <c r="X1546">
        <v>1</v>
      </c>
      <c r="Y1546">
        <v>0</v>
      </c>
      <c r="AA1546" t="str">
        <f t="shared" si="48"/>
        <v>update zamestnanci set nastup='108' where id='491';</v>
      </c>
      <c r="AB1546" t="str">
        <f t="shared" si="49"/>
        <v>update dochazka set zastavka = '108' where zamestnanec = '491';</v>
      </c>
    </row>
    <row r="1547" spans="1:28" x14ac:dyDescent="0.25">
      <c r="A1547" s="2">
        <v>492</v>
      </c>
      <c r="B1547" t="s">
        <v>1893</v>
      </c>
      <c r="C1547" t="s">
        <v>1894</v>
      </c>
      <c r="D1547" t="s">
        <v>1895</v>
      </c>
      <c r="E1547" t="s">
        <v>1896</v>
      </c>
      <c r="F1547" t="s">
        <v>1897</v>
      </c>
      <c r="G1547" s="1">
        <v>45145</v>
      </c>
      <c r="H1547" s="1">
        <v>45930</v>
      </c>
      <c r="I1547" s="1">
        <v>73050</v>
      </c>
      <c r="J1547" s="2" t="s">
        <v>2656</v>
      </c>
      <c r="K1547" t="s">
        <v>1898</v>
      </c>
      <c r="M1547" s="16" t="s">
        <v>8548</v>
      </c>
      <c r="N1547" s="16" t="str">
        <f>VLOOKUP(M1547,Tab_Zast[[Zastávka]:[Sloupec1]],2,0)</f>
        <v>108</v>
      </c>
      <c r="O1547" t="s">
        <v>1899</v>
      </c>
      <c r="P1547">
        <v>6</v>
      </c>
      <c r="Q1547">
        <v>0</v>
      </c>
      <c r="R1547" t="s">
        <v>31</v>
      </c>
      <c r="S1547" t="s">
        <v>31</v>
      </c>
      <c r="T1547" t="s">
        <v>32</v>
      </c>
      <c r="V1547" s="1" t="e">
        <v>#N/A</v>
      </c>
      <c r="W1547" t="s">
        <v>1216</v>
      </c>
      <c r="X1547">
        <v>0</v>
      </c>
      <c r="Y1547">
        <v>0</v>
      </c>
      <c r="AA1547" t="str">
        <f t="shared" si="48"/>
        <v>update zamestnanci set nastup='108' where id='492';</v>
      </c>
      <c r="AB1547" t="str">
        <f t="shared" si="49"/>
        <v>update dochazka set zastavka = '108' where zamestnanec = '492';</v>
      </c>
    </row>
    <row r="1548" spans="1:28" x14ac:dyDescent="0.25">
      <c r="A1548" s="2">
        <v>496</v>
      </c>
      <c r="B1548" t="s">
        <v>1919</v>
      </c>
      <c r="D1548" t="s">
        <v>1920</v>
      </c>
      <c r="E1548" t="s">
        <v>1921</v>
      </c>
      <c r="F1548" t="s">
        <v>1922</v>
      </c>
      <c r="G1548" s="1">
        <v>45071</v>
      </c>
      <c r="H1548" s="1">
        <v>45230</v>
      </c>
      <c r="I1548" s="1" t="e">
        <v>#N/A</v>
      </c>
      <c r="J1548" s="2" t="s">
        <v>2656</v>
      </c>
      <c r="K1548" t="s">
        <v>1923</v>
      </c>
      <c r="M1548" s="16" t="s">
        <v>8548</v>
      </c>
      <c r="N1548" s="16" t="str">
        <f>VLOOKUP(M1548,Tab_Zast[[Zastávka]:[Sloupec1]],2,0)</f>
        <v>108</v>
      </c>
      <c r="O1548" t="s">
        <v>1924</v>
      </c>
      <c r="P1548">
        <v>6</v>
      </c>
      <c r="Q1548">
        <v>0</v>
      </c>
      <c r="R1548" t="s">
        <v>31</v>
      </c>
      <c r="S1548" t="s">
        <v>31</v>
      </c>
      <c r="T1548" t="s">
        <v>32</v>
      </c>
      <c r="V1548" s="1" t="e">
        <v>#N/A</v>
      </c>
      <c r="W1548" t="s">
        <v>1216</v>
      </c>
      <c r="X1548">
        <v>0</v>
      </c>
      <c r="Y1548">
        <v>0</v>
      </c>
      <c r="Z1548" t="s">
        <v>54</v>
      </c>
      <c r="AA1548" t="str">
        <f t="shared" si="48"/>
        <v>update zamestnanci set nastup='108' where id='496';</v>
      </c>
      <c r="AB1548" t="str">
        <f t="shared" si="49"/>
        <v>update dochazka set zastavka = '108' where zamestnanec = '496';</v>
      </c>
    </row>
    <row r="1549" spans="1:28" x14ac:dyDescent="0.25">
      <c r="A1549" s="2">
        <v>497</v>
      </c>
      <c r="B1549" t="s">
        <v>1925</v>
      </c>
      <c r="C1549" t="s">
        <v>1926</v>
      </c>
      <c r="D1549" t="s">
        <v>1927</v>
      </c>
      <c r="E1549" t="s">
        <v>1928</v>
      </c>
      <c r="F1549" t="s">
        <v>1929</v>
      </c>
      <c r="G1549" s="1">
        <v>45029</v>
      </c>
      <c r="H1549" s="1">
        <v>45516</v>
      </c>
      <c r="I1549" s="1">
        <v>73050</v>
      </c>
      <c r="J1549" s="2" t="s">
        <v>2656</v>
      </c>
      <c r="K1549" t="s">
        <v>1930</v>
      </c>
      <c r="M1549" s="16" t="s">
        <v>8548</v>
      </c>
      <c r="N1549" s="16" t="str">
        <f>VLOOKUP(M1549,Tab_Zast[[Zastávka]:[Sloupec1]],2,0)</f>
        <v>108</v>
      </c>
      <c r="O1549" t="s">
        <v>1931</v>
      </c>
      <c r="P1549">
        <v>6</v>
      </c>
      <c r="Q1549">
        <v>0</v>
      </c>
      <c r="R1549" t="s">
        <v>31</v>
      </c>
      <c r="S1549" t="s">
        <v>31</v>
      </c>
      <c r="T1549" t="s">
        <v>32</v>
      </c>
      <c r="V1549" s="1" t="e">
        <v>#N/A</v>
      </c>
      <c r="W1549" t="s">
        <v>1216</v>
      </c>
      <c r="X1549">
        <v>0</v>
      </c>
      <c r="Y1549">
        <v>0</v>
      </c>
      <c r="AA1549" t="str">
        <f t="shared" si="48"/>
        <v>update zamestnanci set nastup='108' where id='497';</v>
      </c>
      <c r="AB1549" t="str">
        <f t="shared" si="49"/>
        <v>update dochazka set zastavka = '108' where zamestnanec = '497';</v>
      </c>
    </row>
    <row r="1550" spans="1:28" x14ac:dyDescent="0.25">
      <c r="A1550" s="2">
        <v>499</v>
      </c>
      <c r="B1550" t="s">
        <v>1938</v>
      </c>
      <c r="D1550" t="s">
        <v>1939</v>
      </c>
      <c r="E1550" t="s">
        <v>1940</v>
      </c>
      <c r="F1550" t="s">
        <v>1941</v>
      </c>
      <c r="G1550" s="1">
        <v>45012</v>
      </c>
      <c r="H1550" s="1">
        <v>45230</v>
      </c>
      <c r="I1550" s="1" t="e">
        <v>#N/A</v>
      </c>
      <c r="J1550" s="2" t="s">
        <v>2656</v>
      </c>
      <c r="K1550" t="s">
        <v>1942</v>
      </c>
      <c r="M1550" s="16" t="s">
        <v>8548</v>
      </c>
      <c r="N1550" s="16" t="str">
        <f>VLOOKUP(M1550,Tab_Zast[[Zastávka]:[Sloupec1]],2,0)</f>
        <v>108</v>
      </c>
      <c r="O1550" t="s">
        <v>1943</v>
      </c>
      <c r="P1550">
        <v>6</v>
      </c>
      <c r="Q1550">
        <v>0</v>
      </c>
      <c r="R1550" t="s">
        <v>31</v>
      </c>
      <c r="S1550" t="s">
        <v>31</v>
      </c>
      <c r="T1550" t="s">
        <v>32</v>
      </c>
      <c r="V1550" s="1" t="e">
        <v>#N/A</v>
      </c>
      <c r="W1550" t="s">
        <v>1216</v>
      </c>
      <c r="X1550">
        <v>0</v>
      </c>
      <c r="Y1550">
        <v>0</v>
      </c>
      <c r="Z1550" t="s">
        <v>54</v>
      </c>
      <c r="AA1550" t="str">
        <f t="shared" si="48"/>
        <v>update zamestnanci set nastup='108' where id='499';</v>
      </c>
      <c r="AB1550" t="str">
        <f t="shared" si="49"/>
        <v>update dochazka set zastavka = '108' where zamestnanec = '499';</v>
      </c>
    </row>
    <row r="1551" spans="1:28" x14ac:dyDescent="0.25">
      <c r="A1551" s="2">
        <v>507</v>
      </c>
      <c r="B1551" t="s">
        <v>1986</v>
      </c>
      <c r="C1551" t="s">
        <v>1987</v>
      </c>
      <c r="D1551" t="s">
        <v>1988</v>
      </c>
      <c r="E1551" t="s">
        <v>1989</v>
      </c>
      <c r="F1551" t="s">
        <v>1990</v>
      </c>
      <c r="G1551" s="1">
        <v>45169</v>
      </c>
      <c r="H1551" s="1">
        <v>45464</v>
      </c>
      <c r="I1551" s="1">
        <v>73050</v>
      </c>
      <c r="J1551" s="2" t="s">
        <v>2656</v>
      </c>
      <c r="K1551" t="s">
        <v>1991</v>
      </c>
      <c r="M1551" s="16" t="s">
        <v>8548</v>
      </c>
      <c r="N1551" s="16" t="str">
        <f>VLOOKUP(M1551,Tab_Zast[[Zastávka]:[Sloupec1]],2,0)</f>
        <v>108</v>
      </c>
      <c r="O1551" t="s">
        <v>1992</v>
      </c>
      <c r="P1551">
        <v>6</v>
      </c>
      <c r="Q1551">
        <v>0</v>
      </c>
      <c r="R1551" t="s">
        <v>31</v>
      </c>
      <c r="S1551" t="s">
        <v>31</v>
      </c>
      <c r="T1551" t="s">
        <v>32</v>
      </c>
      <c r="V1551" s="1" t="e">
        <v>#N/A</v>
      </c>
      <c r="W1551" t="s">
        <v>1216</v>
      </c>
      <c r="X1551">
        <v>0</v>
      </c>
      <c r="Y1551">
        <v>0</v>
      </c>
      <c r="AA1551" t="str">
        <f t="shared" si="48"/>
        <v>update zamestnanci set nastup='108' where id='507';</v>
      </c>
      <c r="AB1551" t="str">
        <f t="shared" si="49"/>
        <v>update dochazka set zastavka = '108' where zamestnanec = '507';</v>
      </c>
    </row>
    <row r="1552" spans="1:28" x14ac:dyDescent="0.25">
      <c r="A1552" s="2">
        <v>511</v>
      </c>
      <c r="B1552" t="s">
        <v>2011</v>
      </c>
      <c r="C1552" t="s">
        <v>2012</v>
      </c>
      <c r="D1552" t="s">
        <v>2013</v>
      </c>
      <c r="E1552" t="s">
        <v>2014</v>
      </c>
      <c r="F1552" t="s">
        <v>2015</v>
      </c>
      <c r="G1552" s="1">
        <v>45173</v>
      </c>
      <c r="H1552" s="1" t="e">
        <v>#N/A</v>
      </c>
      <c r="I1552" s="1" t="e">
        <v>#N/A</v>
      </c>
      <c r="J1552" s="2" t="s">
        <v>2656</v>
      </c>
      <c r="K1552" t="s">
        <v>2016</v>
      </c>
      <c r="M1552" s="16" t="s">
        <v>8548</v>
      </c>
      <c r="N1552" s="16" t="str">
        <f>VLOOKUP(M1552,Tab_Zast[[Zastávka]:[Sloupec1]],2,0)</f>
        <v>108</v>
      </c>
      <c r="O1552" t="s">
        <v>2017</v>
      </c>
      <c r="P1552">
        <v>6</v>
      </c>
      <c r="Q1552">
        <v>0</v>
      </c>
      <c r="R1552" t="s">
        <v>179</v>
      </c>
      <c r="S1552" t="s">
        <v>31</v>
      </c>
      <c r="T1552" t="s">
        <v>32</v>
      </c>
      <c r="V1552" s="1" t="e">
        <v>#N/A</v>
      </c>
      <c r="W1552" t="s">
        <v>1216</v>
      </c>
      <c r="X1552">
        <v>1</v>
      </c>
      <c r="Y1552">
        <v>0</v>
      </c>
      <c r="AA1552" t="str">
        <f t="shared" si="48"/>
        <v>update zamestnanci set nastup='108' where id='511';</v>
      </c>
      <c r="AB1552" t="str">
        <f t="shared" si="49"/>
        <v>update dochazka set zastavka = '108' where zamestnanec = '511';</v>
      </c>
    </row>
    <row r="1553" spans="1:28" x14ac:dyDescent="0.25">
      <c r="A1553" s="2">
        <v>513</v>
      </c>
      <c r="B1553" t="s">
        <v>2024</v>
      </c>
      <c r="C1553" t="s">
        <v>2025</v>
      </c>
      <c r="D1553" t="s">
        <v>2026</v>
      </c>
      <c r="E1553" t="s">
        <v>2027</v>
      </c>
      <c r="F1553" t="s">
        <v>2028</v>
      </c>
      <c r="G1553" s="1">
        <v>44634</v>
      </c>
      <c r="H1553" s="1">
        <v>45443</v>
      </c>
      <c r="I1553" s="1">
        <v>73050</v>
      </c>
      <c r="J1553" s="2" t="s">
        <v>2656</v>
      </c>
      <c r="K1553" t="s">
        <v>2029</v>
      </c>
      <c r="M1553" s="16" t="s">
        <v>8548</v>
      </c>
      <c r="N1553" s="16" t="str">
        <f>VLOOKUP(M1553,Tab_Zast[[Zastávka]:[Sloupec1]],2,0)</f>
        <v>108</v>
      </c>
      <c r="O1553" t="s">
        <v>2030</v>
      </c>
      <c r="P1553">
        <v>6</v>
      </c>
      <c r="Q1553">
        <v>0</v>
      </c>
      <c r="R1553" t="s">
        <v>31</v>
      </c>
      <c r="S1553" t="s">
        <v>31</v>
      </c>
      <c r="T1553" t="s">
        <v>32</v>
      </c>
      <c r="V1553" s="1" t="e">
        <v>#N/A</v>
      </c>
      <c r="W1553" t="s">
        <v>1216</v>
      </c>
      <c r="X1553">
        <v>0</v>
      </c>
      <c r="Y1553">
        <v>0</v>
      </c>
      <c r="AA1553" t="str">
        <f t="shared" si="48"/>
        <v>update zamestnanci set nastup='108' where id='513';</v>
      </c>
      <c r="AB1553" t="str">
        <f t="shared" si="49"/>
        <v>update dochazka set zastavka = '108' where zamestnanec = '513';</v>
      </c>
    </row>
    <row r="1554" spans="1:28" x14ac:dyDescent="0.25">
      <c r="A1554" s="2">
        <v>515</v>
      </c>
      <c r="B1554" t="s">
        <v>2037</v>
      </c>
      <c r="D1554" t="s">
        <v>2038</v>
      </c>
      <c r="E1554" t="s">
        <v>2039</v>
      </c>
      <c r="F1554" t="s">
        <v>2040</v>
      </c>
      <c r="G1554" s="1">
        <v>44907</v>
      </c>
      <c r="H1554" s="1">
        <v>45271</v>
      </c>
      <c r="I1554" s="1">
        <v>73050</v>
      </c>
      <c r="J1554" s="2" t="s">
        <v>2656</v>
      </c>
      <c r="K1554" t="s">
        <v>2041</v>
      </c>
      <c r="M1554" s="16" t="s">
        <v>8548</v>
      </c>
      <c r="N1554" s="16" t="str">
        <f>VLOOKUP(M1554,Tab_Zast[[Zastávka]:[Sloupec1]],2,0)</f>
        <v>108</v>
      </c>
      <c r="O1554" t="s">
        <v>2042</v>
      </c>
      <c r="P1554">
        <v>6</v>
      </c>
      <c r="Q1554">
        <v>0</v>
      </c>
      <c r="R1554" t="s">
        <v>31</v>
      </c>
      <c r="S1554" t="s">
        <v>31</v>
      </c>
      <c r="T1554" t="s">
        <v>32</v>
      </c>
      <c r="V1554" s="1" t="e">
        <v>#N/A</v>
      </c>
      <c r="W1554" t="s">
        <v>1216</v>
      </c>
      <c r="X1554">
        <v>0</v>
      </c>
      <c r="Y1554">
        <v>0</v>
      </c>
      <c r="Z1554" t="s">
        <v>54</v>
      </c>
      <c r="AA1554" t="str">
        <f t="shared" si="48"/>
        <v>update zamestnanci set nastup='108' where id='515';</v>
      </c>
      <c r="AB1554" t="str">
        <f t="shared" si="49"/>
        <v>update dochazka set zastavka = '108' where zamestnanec = '515';</v>
      </c>
    </row>
    <row r="1555" spans="1:28" x14ac:dyDescent="0.25">
      <c r="A1555" s="2">
        <v>517</v>
      </c>
      <c r="B1555" t="s">
        <v>2049</v>
      </c>
      <c r="C1555" t="s">
        <v>1394</v>
      </c>
      <c r="D1555" t="s">
        <v>2050</v>
      </c>
      <c r="E1555" t="s">
        <v>2051</v>
      </c>
      <c r="F1555" t="s">
        <v>2052</v>
      </c>
      <c r="G1555" s="1">
        <v>45474</v>
      </c>
      <c r="H1555" s="1" t="e">
        <v>#N/A</v>
      </c>
      <c r="I1555" s="1" t="e">
        <v>#N/A</v>
      </c>
      <c r="J1555" s="2" t="s">
        <v>2656</v>
      </c>
      <c r="K1555" t="s">
        <v>2053</v>
      </c>
      <c r="M1555" s="16" t="s">
        <v>8548</v>
      </c>
      <c r="N1555" s="16" t="str">
        <f>VLOOKUP(M1555,Tab_Zast[[Zastávka]:[Sloupec1]],2,0)</f>
        <v>108</v>
      </c>
      <c r="O1555" t="s">
        <v>2054</v>
      </c>
      <c r="P1555">
        <v>6</v>
      </c>
      <c r="Q1555">
        <v>0</v>
      </c>
      <c r="R1555" t="s">
        <v>179</v>
      </c>
      <c r="S1555" t="s">
        <v>31</v>
      </c>
      <c r="T1555" t="s">
        <v>32</v>
      </c>
      <c r="V1555" s="1" t="e">
        <v>#N/A</v>
      </c>
      <c r="W1555" t="s">
        <v>1216</v>
      </c>
      <c r="X1555">
        <v>1</v>
      </c>
      <c r="Y1555">
        <v>0</v>
      </c>
      <c r="Z1555" t="s">
        <v>54</v>
      </c>
      <c r="AA1555" t="str">
        <f t="shared" si="48"/>
        <v>update zamestnanci set nastup='108' where id='517';</v>
      </c>
      <c r="AB1555" t="str">
        <f t="shared" si="49"/>
        <v>update dochazka set zastavka = '108' where zamestnanec = '517';</v>
      </c>
    </row>
    <row r="1556" spans="1:28" x14ac:dyDescent="0.25">
      <c r="A1556" s="2">
        <v>521</v>
      </c>
      <c r="B1556" t="s">
        <v>2075</v>
      </c>
      <c r="C1556" t="s">
        <v>2076</v>
      </c>
      <c r="D1556" t="s">
        <v>456</v>
      </c>
      <c r="E1556" t="s">
        <v>2077</v>
      </c>
      <c r="F1556" t="s">
        <v>2078</v>
      </c>
      <c r="G1556" s="1">
        <v>44795</v>
      </c>
      <c r="H1556" s="1">
        <v>45742</v>
      </c>
      <c r="I1556" s="1">
        <v>73050</v>
      </c>
      <c r="J1556" s="2" t="s">
        <v>2656</v>
      </c>
      <c r="K1556" t="s">
        <v>2079</v>
      </c>
      <c r="M1556" s="16" t="s">
        <v>8548</v>
      </c>
      <c r="N1556" s="16" t="str">
        <f>VLOOKUP(M1556,Tab_Zast[[Zastávka]:[Sloupec1]],2,0)</f>
        <v>108</v>
      </c>
      <c r="O1556" t="s">
        <v>2080</v>
      </c>
      <c r="P1556">
        <v>6</v>
      </c>
      <c r="Q1556">
        <v>0</v>
      </c>
      <c r="R1556" t="s">
        <v>31</v>
      </c>
      <c r="S1556" t="s">
        <v>31</v>
      </c>
      <c r="T1556" t="s">
        <v>32</v>
      </c>
      <c r="V1556" s="1">
        <v>45742</v>
      </c>
      <c r="W1556" t="s">
        <v>1216</v>
      </c>
      <c r="X1556">
        <v>0</v>
      </c>
      <c r="Y1556">
        <v>0</v>
      </c>
      <c r="AA1556" t="str">
        <f t="shared" si="48"/>
        <v>update zamestnanci set nastup='108' where id='521';</v>
      </c>
      <c r="AB1556" t="str">
        <f t="shared" si="49"/>
        <v>update dochazka set zastavka = '108' where zamestnanec = '521';</v>
      </c>
    </row>
    <row r="1557" spans="1:28" x14ac:dyDescent="0.25">
      <c r="A1557" s="2">
        <v>522</v>
      </c>
      <c r="B1557" t="s">
        <v>2081</v>
      </c>
      <c r="C1557" t="s">
        <v>2082</v>
      </c>
      <c r="D1557" t="s">
        <v>456</v>
      </c>
      <c r="E1557" t="s">
        <v>2083</v>
      </c>
      <c r="F1557" t="s">
        <v>2084</v>
      </c>
      <c r="G1557" s="1">
        <v>44935</v>
      </c>
      <c r="H1557" s="1">
        <v>45930</v>
      </c>
      <c r="I1557" s="1">
        <v>73050</v>
      </c>
      <c r="J1557" s="2" t="s">
        <v>2656</v>
      </c>
      <c r="K1557" t="s">
        <v>2085</v>
      </c>
      <c r="M1557" s="16" t="s">
        <v>8548</v>
      </c>
      <c r="N1557" s="16" t="str">
        <f>VLOOKUP(M1557,Tab_Zast[[Zastávka]:[Sloupec1]],2,0)</f>
        <v>108</v>
      </c>
      <c r="O1557" t="s">
        <v>2086</v>
      </c>
      <c r="P1557">
        <v>6</v>
      </c>
      <c r="Q1557">
        <v>0</v>
      </c>
      <c r="R1557" t="s">
        <v>31</v>
      </c>
      <c r="S1557" t="s">
        <v>31</v>
      </c>
      <c r="T1557" t="s">
        <v>32</v>
      </c>
      <c r="V1557" s="1" t="e">
        <v>#N/A</v>
      </c>
      <c r="W1557" t="s">
        <v>1216</v>
      </c>
      <c r="X1557">
        <v>0</v>
      </c>
      <c r="Y1557">
        <v>0</v>
      </c>
      <c r="AA1557" t="str">
        <f t="shared" si="48"/>
        <v>update zamestnanci set nastup='108' where id='522';</v>
      </c>
      <c r="AB1557" t="str">
        <f t="shared" si="49"/>
        <v>update dochazka set zastavka = '108' where zamestnanec = '522';</v>
      </c>
    </row>
    <row r="1558" spans="1:28" x14ac:dyDescent="0.25">
      <c r="A1558" s="2">
        <v>523</v>
      </c>
      <c r="B1558" t="s">
        <v>2087</v>
      </c>
      <c r="C1558" t="s">
        <v>2088</v>
      </c>
      <c r="D1558" t="s">
        <v>456</v>
      </c>
      <c r="E1558" t="s">
        <v>2089</v>
      </c>
      <c r="F1558" t="s">
        <v>2090</v>
      </c>
      <c r="G1558" s="1">
        <v>44593</v>
      </c>
      <c r="H1558" s="1">
        <v>45753</v>
      </c>
      <c r="I1558" s="1">
        <v>73050</v>
      </c>
      <c r="J1558" s="2" t="s">
        <v>2656</v>
      </c>
      <c r="K1558" t="s">
        <v>2091</v>
      </c>
      <c r="M1558" s="16" t="s">
        <v>8548</v>
      </c>
      <c r="N1558" s="16" t="str">
        <f>VLOOKUP(M1558,Tab_Zast[[Zastávka]:[Sloupec1]],2,0)</f>
        <v>108</v>
      </c>
      <c r="O1558" t="s">
        <v>2092</v>
      </c>
      <c r="P1558">
        <v>6</v>
      </c>
      <c r="Q1558">
        <v>0</v>
      </c>
      <c r="R1558" t="s">
        <v>31</v>
      </c>
      <c r="S1558" t="s">
        <v>31</v>
      </c>
      <c r="T1558" t="s">
        <v>32</v>
      </c>
      <c r="V1558" s="1" t="e">
        <v>#N/A</v>
      </c>
      <c r="W1558" t="s">
        <v>1216</v>
      </c>
      <c r="X1558">
        <v>0</v>
      </c>
      <c r="Y1558">
        <v>0</v>
      </c>
      <c r="AA1558" t="str">
        <f t="shared" si="48"/>
        <v>update zamestnanci set nastup='108' where id='523';</v>
      </c>
      <c r="AB1558" t="str">
        <f t="shared" si="49"/>
        <v>update dochazka set zastavka = '108' where zamestnanec = '523';</v>
      </c>
    </row>
    <row r="1559" spans="1:28" x14ac:dyDescent="0.25">
      <c r="A1559" s="2">
        <v>524</v>
      </c>
      <c r="B1559" t="s">
        <v>2093</v>
      </c>
      <c r="C1559" t="s">
        <v>2094</v>
      </c>
      <c r="D1559" t="s">
        <v>2095</v>
      </c>
      <c r="E1559" t="s">
        <v>2096</v>
      </c>
      <c r="F1559" t="s">
        <v>2097</v>
      </c>
      <c r="G1559" s="1">
        <v>44593</v>
      </c>
      <c r="H1559" s="1">
        <v>45782</v>
      </c>
      <c r="I1559" s="1">
        <v>73050</v>
      </c>
      <c r="J1559" s="2" t="s">
        <v>2656</v>
      </c>
      <c r="K1559" t="s">
        <v>2098</v>
      </c>
      <c r="M1559" s="16" t="s">
        <v>8548</v>
      </c>
      <c r="N1559" s="16" t="str">
        <f>VLOOKUP(M1559,Tab_Zast[[Zastávka]:[Sloupec1]],2,0)</f>
        <v>108</v>
      </c>
      <c r="O1559" t="s">
        <v>2099</v>
      </c>
      <c r="P1559">
        <v>6</v>
      </c>
      <c r="Q1559">
        <v>0</v>
      </c>
      <c r="R1559" t="s">
        <v>31</v>
      </c>
      <c r="S1559" t="s">
        <v>31</v>
      </c>
      <c r="T1559" t="s">
        <v>32</v>
      </c>
      <c r="V1559" s="1" t="e">
        <v>#N/A</v>
      </c>
      <c r="W1559" t="s">
        <v>1216</v>
      </c>
      <c r="X1559">
        <v>0</v>
      </c>
      <c r="Y1559">
        <v>0</v>
      </c>
      <c r="AA1559" t="str">
        <f t="shared" si="48"/>
        <v>update zamestnanci set nastup='108' where id='524';</v>
      </c>
      <c r="AB1559" t="str">
        <f t="shared" si="49"/>
        <v>update dochazka set zastavka = '108' where zamestnanec = '524';</v>
      </c>
    </row>
    <row r="1560" spans="1:28" x14ac:dyDescent="0.25">
      <c r="A1560" s="2">
        <v>525</v>
      </c>
      <c r="B1560" t="s">
        <v>2100</v>
      </c>
      <c r="D1560" t="s">
        <v>2101</v>
      </c>
      <c r="E1560" t="s">
        <v>2102</v>
      </c>
      <c r="F1560" t="s">
        <v>2103</v>
      </c>
      <c r="G1560" s="1">
        <v>44593</v>
      </c>
      <c r="H1560" s="1">
        <v>45230</v>
      </c>
      <c r="I1560" s="1" t="e">
        <v>#N/A</v>
      </c>
      <c r="J1560" s="2" t="s">
        <v>2656</v>
      </c>
      <c r="K1560" t="s">
        <v>2104</v>
      </c>
      <c r="M1560" s="16" t="s">
        <v>8548</v>
      </c>
      <c r="N1560" s="16" t="str">
        <f>VLOOKUP(M1560,Tab_Zast[[Zastávka]:[Sloupec1]],2,0)</f>
        <v>108</v>
      </c>
      <c r="O1560" t="s">
        <v>2105</v>
      </c>
      <c r="P1560">
        <v>6</v>
      </c>
      <c r="Q1560">
        <v>0</v>
      </c>
      <c r="R1560" t="s">
        <v>31</v>
      </c>
      <c r="S1560" t="s">
        <v>31</v>
      </c>
      <c r="T1560" t="s">
        <v>32</v>
      </c>
      <c r="V1560" s="1" t="e">
        <v>#N/A</v>
      </c>
      <c r="W1560" t="s">
        <v>1216</v>
      </c>
      <c r="X1560">
        <v>0</v>
      </c>
      <c r="Y1560">
        <v>0</v>
      </c>
      <c r="Z1560" t="s">
        <v>54</v>
      </c>
      <c r="AA1560" t="str">
        <f t="shared" si="48"/>
        <v>update zamestnanci set nastup='108' where id='525';</v>
      </c>
      <c r="AB1560" t="str">
        <f t="shared" si="49"/>
        <v>update dochazka set zastavka = '108' where zamestnanec = '525';</v>
      </c>
    </row>
    <row r="1561" spans="1:28" x14ac:dyDescent="0.25">
      <c r="A1561" s="2">
        <v>527</v>
      </c>
      <c r="B1561" t="s">
        <v>2113</v>
      </c>
      <c r="D1561" t="s">
        <v>2114</v>
      </c>
      <c r="E1561" t="s">
        <v>1921</v>
      </c>
      <c r="F1561" t="s">
        <v>2115</v>
      </c>
      <c r="G1561" s="1">
        <v>45070</v>
      </c>
      <c r="H1561" s="1">
        <v>45366</v>
      </c>
      <c r="I1561" s="1">
        <v>73050</v>
      </c>
      <c r="J1561" s="2" t="s">
        <v>2656</v>
      </c>
      <c r="K1561" t="s">
        <v>2116</v>
      </c>
      <c r="M1561" s="16" t="s">
        <v>8548</v>
      </c>
      <c r="N1561" s="16" t="str">
        <f>VLOOKUP(M1561,Tab_Zast[[Zastávka]:[Sloupec1]],2,0)</f>
        <v>108</v>
      </c>
      <c r="O1561" t="s">
        <v>2117</v>
      </c>
      <c r="P1561">
        <v>6</v>
      </c>
      <c r="Q1561">
        <v>0</v>
      </c>
      <c r="R1561" t="s">
        <v>31</v>
      </c>
      <c r="S1561" t="s">
        <v>31</v>
      </c>
      <c r="T1561" t="s">
        <v>32</v>
      </c>
      <c r="V1561" s="1" t="e">
        <v>#N/A</v>
      </c>
      <c r="W1561" t="s">
        <v>1216</v>
      </c>
      <c r="X1561">
        <v>0</v>
      </c>
      <c r="Y1561">
        <v>0</v>
      </c>
      <c r="Z1561" t="s">
        <v>54</v>
      </c>
      <c r="AA1561" t="str">
        <f t="shared" si="48"/>
        <v>update zamestnanci set nastup='108' where id='527';</v>
      </c>
      <c r="AB1561" t="str">
        <f t="shared" si="49"/>
        <v>update dochazka set zastavka = '108' where zamestnanec = '527';</v>
      </c>
    </row>
    <row r="1562" spans="1:28" x14ac:dyDescent="0.25">
      <c r="A1562" s="2">
        <v>530</v>
      </c>
      <c r="B1562" t="s">
        <v>2129</v>
      </c>
      <c r="D1562" t="s">
        <v>2130</v>
      </c>
      <c r="E1562" t="s">
        <v>2131</v>
      </c>
      <c r="F1562" t="s">
        <v>2132</v>
      </c>
      <c r="G1562" s="1">
        <v>44958</v>
      </c>
      <c r="H1562" s="1">
        <v>45230</v>
      </c>
      <c r="I1562" s="1" t="e">
        <v>#N/A</v>
      </c>
      <c r="J1562" s="2" t="s">
        <v>2656</v>
      </c>
      <c r="K1562" t="s">
        <v>2133</v>
      </c>
      <c r="M1562" s="16" t="s">
        <v>8548</v>
      </c>
      <c r="N1562" s="16" t="str">
        <f>VLOOKUP(M1562,Tab_Zast[[Zastávka]:[Sloupec1]],2,0)</f>
        <v>108</v>
      </c>
      <c r="O1562" t="s">
        <v>2134</v>
      </c>
      <c r="P1562">
        <v>6</v>
      </c>
      <c r="Q1562">
        <v>0</v>
      </c>
      <c r="R1562" t="s">
        <v>31</v>
      </c>
      <c r="S1562" t="s">
        <v>31</v>
      </c>
      <c r="T1562" t="s">
        <v>32</v>
      </c>
      <c r="V1562" s="1" t="e">
        <v>#N/A</v>
      </c>
      <c r="W1562" t="s">
        <v>1216</v>
      </c>
      <c r="X1562">
        <v>0</v>
      </c>
      <c r="Y1562">
        <v>0</v>
      </c>
      <c r="Z1562" t="s">
        <v>54</v>
      </c>
      <c r="AA1562" t="str">
        <f t="shared" si="48"/>
        <v>update zamestnanci set nastup='108' where id='530';</v>
      </c>
      <c r="AB1562" t="str">
        <f t="shared" si="49"/>
        <v>update dochazka set zastavka = '108' where zamestnanec = '530';</v>
      </c>
    </row>
    <row r="1563" spans="1:28" x14ac:dyDescent="0.25">
      <c r="A1563" s="2">
        <v>532</v>
      </c>
      <c r="B1563" t="s">
        <v>2140</v>
      </c>
      <c r="C1563" t="s">
        <v>2141</v>
      </c>
      <c r="D1563" t="s">
        <v>2142</v>
      </c>
      <c r="E1563" t="s">
        <v>2143</v>
      </c>
      <c r="F1563" t="s">
        <v>2144</v>
      </c>
      <c r="G1563" s="1">
        <v>45194</v>
      </c>
      <c r="H1563" s="1">
        <v>73050</v>
      </c>
      <c r="I1563" s="1" t="e">
        <v>#N/A</v>
      </c>
      <c r="J1563" s="2" t="s">
        <v>2656</v>
      </c>
      <c r="K1563" t="s">
        <v>2145</v>
      </c>
      <c r="M1563" s="16" t="s">
        <v>8548</v>
      </c>
      <c r="N1563" s="16" t="str">
        <f>VLOOKUP(M1563,Tab_Zast[[Zastávka]:[Sloupec1]],2,0)</f>
        <v>108</v>
      </c>
      <c r="O1563" t="s">
        <v>2146</v>
      </c>
      <c r="P1563">
        <v>6</v>
      </c>
      <c r="Q1563">
        <v>0</v>
      </c>
      <c r="R1563" t="s">
        <v>179</v>
      </c>
      <c r="S1563" t="s">
        <v>31</v>
      </c>
      <c r="T1563" t="s">
        <v>32</v>
      </c>
      <c r="V1563" s="1" t="e">
        <v>#N/A</v>
      </c>
      <c r="W1563" t="s">
        <v>1216</v>
      </c>
      <c r="X1563">
        <v>1</v>
      </c>
      <c r="Y1563">
        <v>0</v>
      </c>
      <c r="AA1563" t="str">
        <f t="shared" si="48"/>
        <v>update zamestnanci set nastup='108' where id='532';</v>
      </c>
      <c r="AB1563" t="str">
        <f t="shared" si="49"/>
        <v>update dochazka set zastavka = '108' where zamestnanec = '532';</v>
      </c>
    </row>
    <row r="1564" spans="1:28" x14ac:dyDescent="0.25">
      <c r="A1564" s="2">
        <v>533</v>
      </c>
      <c r="B1564" t="s">
        <v>2147</v>
      </c>
      <c r="C1564" t="s">
        <v>2148</v>
      </c>
      <c r="D1564" t="s">
        <v>2149</v>
      </c>
      <c r="E1564" t="s">
        <v>2150</v>
      </c>
      <c r="F1564" t="s">
        <v>2151</v>
      </c>
      <c r="G1564" s="1">
        <v>44593</v>
      </c>
      <c r="H1564" s="1">
        <v>73050</v>
      </c>
      <c r="I1564" s="1" t="e">
        <v>#N/A</v>
      </c>
      <c r="J1564" s="2" t="s">
        <v>2656</v>
      </c>
      <c r="K1564" t="s">
        <v>2152</v>
      </c>
      <c r="M1564" s="16" t="s">
        <v>8548</v>
      </c>
      <c r="N1564" s="16" t="str">
        <f>VLOOKUP(M1564,Tab_Zast[[Zastávka]:[Sloupec1]],2,0)</f>
        <v>108</v>
      </c>
      <c r="O1564" t="s">
        <v>2153</v>
      </c>
      <c r="P1564">
        <v>6</v>
      </c>
      <c r="Q1564">
        <v>0</v>
      </c>
      <c r="R1564" t="s">
        <v>129</v>
      </c>
      <c r="S1564" t="s">
        <v>31</v>
      </c>
      <c r="T1564" t="s">
        <v>32</v>
      </c>
      <c r="V1564" s="1" t="e">
        <v>#N/A</v>
      </c>
      <c r="W1564" t="s">
        <v>1216</v>
      </c>
      <c r="X1564">
        <v>1</v>
      </c>
      <c r="Y1564">
        <v>0</v>
      </c>
      <c r="AA1564" t="str">
        <f t="shared" si="48"/>
        <v>update zamestnanci set nastup='108' where id='533';</v>
      </c>
      <c r="AB1564" t="str">
        <f t="shared" si="49"/>
        <v>update dochazka set zastavka = '108' where zamestnanec = '533';</v>
      </c>
    </row>
    <row r="1565" spans="1:28" x14ac:dyDescent="0.25">
      <c r="A1565" s="2">
        <v>536</v>
      </c>
      <c r="B1565" t="s">
        <v>2166</v>
      </c>
      <c r="C1565" t="s">
        <v>2167</v>
      </c>
      <c r="D1565" t="s">
        <v>2168</v>
      </c>
      <c r="E1565" t="s">
        <v>2169</v>
      </c>
      <c r="F1565" t="s">
        <v>2170</v>
      </c>
      <c r="G1565" s="1">
        <v>44979</v>
      </c>
      <c r="H1565" s="1">
        <v>45757</v>
      </c>
      <c r="I1565" s="1">
        <v>73050</v>
      </c>
      <c r="J1565" s="2" t="s">
        <v>2656</v>
      </c>
      <c r="K1565" t="s">
        <v>2171</v>
      </c>
      <c r="M1565" s="16" t="s">
        <v>8548</v>
      </c>
      <c r="N1565" s="16" t="str">
        <f>VLOOKUP(M1565,Tab_Zast[[Zastávka]:[Sloupec1]],2,0)</f>
        <v>108</v>
      </c>
      <c r="O1565" t="s">
        <v>2172</v>
      </c>
      <c r="P1565">
        <v>6</v>
      </c>
      <c r="Q1565">
        <v>0</v>
      </c>
      <c r="R1565" t="s">
        <v>31</v>
      </c>
      <c r="S1565" t="s">
        <v>31</v>
      </c>
      <c r="T1565" t="s">
        <v>32</v>
      </c>
      <c r="V1565" s="1" t="e">
        <v>#N/A</v>
      </c>
      <c r="W1565" t="s">
        <v>1216</v>
      </c>
      <c r="X1565">
        <v>0</v>
      </c>
      <c r="Y1565">
        <v>0</v>
      </c>
      <c r="AA1565" t="str">
        <f t="shared" si="48"/>
        <v>update zamestnanci set nastup='108' where id='536';</v>
      </c>
      <c r="AB1565" t="str">
        <f t="shared" si="49"/>
        <v>update dochazka set zastavka = '108' where zamestnanec = '536';</v>
      </c>
    </row>
    <row r="1566" spans="1:28" x14ac:dyDescent="0.25">
      <c r="A1566" s="2">
        <v>542</v>
      </c>
      <c r="B1566" t="s">
        <v>2205</v>
      </c>
      <c r="C1566" t="s">
        <v>2206</v>
      </c>
      <c r="D1566" t="s">
        <v>2207</v>
      </c>
      <c r="E1566" t="s">
        <v>2208</v>
      </c>
      <c r="F1566" t="s">
        <v>2209</v>
      </c>
      <c r="G1566" s="1">
        <v>44977</v>
      </c>
      <c r="H1566" s="1">
        <v>45515</v>
      </c>
      <c r="I1566" s="1">
        <v>73050</v>
      </c>
      <c r="J1566" s="2" t="s">
        <v>2656</v>
      </c>
      <c r="K1566" t="s">
        <v>2210</v>
      </c>
      <c r="M1566" s="16" t="s">
        <v>8548</v>
      </c>
      <c r="N1566" s="16" t="str">
        <f>VLOOKUP(M1566,Tab_Zast[[Zastávka]:[Sloupec1]],2,0)</f>
        <v>108</v>
      </c>
      <c r="O1566" t="s">
        <v>2211</v>
      </c>
      <c r="P1566">
        <v>6</v>
      </c>
      <c r="Q1566">
        <v>0</v>
      </c>
      <c r="R1566" t="s">
        <v>31</v>
      </c>
      <c r="S1566" t="s">
        <v>31</v>
      </c>
      <c r="T1566" t="s">
        <v>32</v>
      </c>
      <c r="V1566" s="1" t="e">
        <v>#N/A</v>
      </c>
      <c r="W1566" t="s">
        <v>1216</v>
      </c>
      <c r="X1566">
        <v>0</v>
      </c>
      <c r="Y1566">
        <v>0</v>
      </c>
      <c r="AA1566" t="str">
        <f t="shared" si="48"/>
        <v>update zamestnanci set nastup='108' where id='542';</v>
      </c>
      <c r="AB1566" t="str">
        <f t="shared" si="49"/>
        <v>update dochazka set zastavka = '108' where zamestnanec = '542';</v>
      </c>
    </row>
    <row r="1567" spans="1:28" x14ac:dyDescent="0.25">
      <c r="A1567" s="2">
        <v>545</v>
      </c>
      <c r="B1567" t="s">
        <v>2224</v>
      </c>
      <c r="C1567" t="s">
        <v>2225</v>
      </c>
      <c r="D1567" t="s">
        <v>2226</v>
      </c>
      <c r="E1567" t="s">
        <v>2227</v>
      </c>
      <c r="F1567" t="s">
        <v>2228</v>
      </c>
      <c r="G1567" s="1">
        <v>45061</v>
      </c>
      <c r="H1567" s="1" t="e">
        <v>#N/A</v>
      </c>
      <c r="I1567" s="1" t="e">
        <v>#N/A</v>
      </c>
      <c r="J1567" s="2" t="s">
        <v>2656</v>
      </c>
      <c r="K1567" t="s">
        <v>2229</v>
      </c>
      <c r="M1567" s="16" t="s">
        <v>8548</v>
      </c>
      <c r="N1567" s="16" t="str">
        <f>VLOOKUP(M1567,Tab_Zast[[Zastávka]:[Sloupec1]],2,0)</f>
        <v>108</v>
      </c>
      <c r="O1567" t="s">
        <v>2230</v>
      </c>
      <c r="P1567">
        <v>6</v>
      </c>
      <c r="Q1567">
        <v>0</v>
      </c>
      <c r="R1567" t="s">
        <v>130</v>
      </c>
      <c r="S1567" t="s">
        <v>31</v>
      </c>
      <c r="T1567" t="s">
        <v>32</v>
      </c>
      <c r="V1567" s="1" t="e">
        <v>#N/A</v>
      </c>
      <c r="W1567" t="s">
        <v>1216</v>
      </c>
      <c r="X1567">
        <v>1</v>
      </c>
      <c r="Y1567">
        <v>0</v>
      </c>
      <c r="AA1567" t="str">
        <f t="shared" si="48"/>
        <v>update zamestnanci set nastup='108' where id='545';</v>
      </c>
      <c r="AB1567" t="str">
        <f t="shared" si="49"/>
        <v>update dochazka set zastavka = '108' where zamestnanec = '545';</v>
      </c>
    </row>
    <row r="1568" spans="1:28" x14ac:dyDescent="0.25">
      <c r="A1568" s="2">
        <v>546</v>
      </c>
      <c r="B1568" t="s">
        <v>2231</v>
      </c>
      <c r="C1568" t="s">
        <v>2232</v>
      </c>
      <c r="D1568" t="s">
        <v>2233</v>
      </c>
      <c r="E1568" t="s">
        <v>2234</v>
      </c>
      <c r="F1568" t="s">
        <v>2235</v>
      </c>
      <c r="G1568" s="1">
        <v>44837</v>
      </c>
      <c r="H1568" s="1">
        <v>73050</v>
      </c>
      <c r="I1568" s="1" t="e">
        <v>#N/A</v>
      </c>
      <c r="J1568" s="2" t="s">
        <v>2656</v>
      </c>
      <c r="K1568" t="s">
        <v>2236</v>
      </c>
      <c r="M1568" s="16" t="s">
        <v>8548</v>
      </c>
      <c r="N1568" s="16" t="str">
        <f>VLOOKUP(M1568,Tab_Zast[[Zastávka]:[Sloupec1]],2,0)</f>
        <v>108</v>
      </c>
      <c r="O1568" t="s">
        <v>2237</v>
      </c>
      <c r="P1568">
        <v>6</v>
      </c>
      <c r="Q1568">
        <v>0</v>
      </c>
      <c r="R1568" t="s">
        <v>179</v>
      </c>
      <c r="S1568" t="s">
        <v>31</v>
      </c>
      <c r="T1568" t="s">
        <v>32</v>
      </c>
      <c r="V1568" s="1" t="e">
        <v>#N/A</v>
      </c>
      <c r="W1568" t="s">
        <v>1216</v>
      </c>
      <c r="X1568">
        <v>1</v>
      </c>
      <c r="Y1568">
        <v>0</v>
      </c>
      <c r="AA1568" t="str">
        <f t="shared" si="48"/>
        <v>update zamestnanci set nastup='108' where id='546';</v>
      </c>
      <c r="AB1568" t="str">
        <f t="shared" si="49"/>
        <v>update dochazka set zastavka = '108' where zamestnanec = '546';</v>
      </c>
    </row>
    <row r="1569" spans="1:28" x14ac:dyDescent="0.25">
      <c r="A1569" s="2">
        <v>547</v>
      </c>
      <c r="B1569" t="s">
        <v>2238</v>
      </c>
      <c r="C1569" t="s">
        <v>2239</v>
      </c>
      <c r="D1569" t="s">
        <v>2240</v>
      </c>
      <c r="E1569" t="s">
        <v>2241</v>
      </c>
      <c r="F1569" t="s">
        <v>2242</v>
      </c>
      <c r="G1569" s="1">
        <v>45042</v>
      </c>
      <c r="H1569" s="1">
        <v>45786</v>
      </c>
      <c r="I1569" s="1">
        <v>73050</v>
      </c>
      <c r="J1569" s="2" t="s">
        <v>2656</v>
      </c>
      <c r="K1569" t="s">
        <v>2243</v>
      </c>
      <c r="M1569" s="16" t="s">
        <v>8548</v>
      </c>
      <c r="N1569" s="16" t="str">
        <f>VLOOKUP(M1569,Tab_Zast[[Zastávka]:[Sloupec1]],2,0)</f>
        <v>108</v>
      </c>
      <c r="O1569" t="s">
        <v>2244</v>
      </c>
      <c r="P1569">
        <v>6</v>
      </c>
      <c r="Q1569">
        <v>0</v>
      </c>
      <c r="R1569" t="s">
        <v>31</v>
      </c>
      <c r="S1569" t="s">
        <v>31</v>
      </c>
      <c r="T1569" t="s">
        <v>32</v>
      </c>
      <c r="V1569" s="1">
        <v>45786</v>
      </c>
      <c r="W1569" t="s">
        <v>1216</v>
      </c>
      <c r="X1569">
        <v>0</v>
      </c>
      <c r="Y1569">
        <v>0</v>
      </c>
      <c r="AA1569" t="str">
        <f t="shared" si="48"/>
        <v>update zamestnanci set nastup='108' where id='547';</v>
      </c>
      <c r="AB1569" t="str">
        <f t="shared" si="49"/>
        <v>update dochazka set zastavka = '108' where zamestnanec = '547';</v>
      </c>
    </row>
    <row r="1570" spans="1:28" x14ac:dyDescent="0.25">
      <c r="A1570" s="2">
        <v>548</v>
      </c>
      <c r="B1570" t="s">
        <v>2245</v>
      </c>
      <c r="C1570" t="s">
        <v>2246</v>
      </c>
      <c r="D1570" t="s">
        <v>2247</v>
      </c>
      <c r="E1570" t="s">
        <v>1226</v>
      </c>
      <c r="F1570" t="s">
        <v>2248</v>
      </c>
      <c r="G1570" s="1">
        <v>45040</v>
      </c>
      <c r="H1570" s="1">
        <v>73050</v>
      </c>
      <c r="I1570" s="1" t="e">
        <v>#N/A</v>
      </c>
      <c r="J1570" s="2" t="s">
        <v>2656</v>
      </c>
      <c r="K1570" t="s">
        <v>2249</v>
      </c>
      <c r="M1570" s="16" t="s">
        <v>8548</v>
      </c>
      <c r="N1570" s="16" t="str">
        <f>VLOOKUP(M1570,Tab_Zast[[Zastávka]:[Sloupec1]],2,0)</f>
        <v>108</v>
      </c>
      <c r="O1570" t="s">
        <v>2250</v>
      </c>
      <c r="P1570">
        <v>6</v>
      </c>
      <c r="Q1570">
        <v>0</v>
      </c>
      <c r="R1570" t="s">
        <v>179</v>
      </c>
      <c r="S1570" t="s">
        <v>31</v>
      </c>
      <c r="T1570" t="s">
        <v>32</v>
      </c>
      <c r="V1570" s="1" t="e">
        <v>#N/A</v>
      </c>
      <c r="W1570" t="s">
        <v>1216</v>
      </c>
      <c r="X1570">
        <v>1</v>
      </c>
      <c r="Y1570">
        <v>0</v>
      </c>
      <c r="AA1570" t="str">
        <f t="shared" si="48"/>
        <v>update zamestnanci set nastup='108' where id='548';</v>
      </c>
      <c r="AB1570" t="str">
        <f t="shared" si="49"/>
        <v>update dochazka set zastavka = '108' where zamestnanec = '548';</v>
      </c>
    </row>
    <row r="1571" spans="1:28" x14ac:dyDescent="0.25">
      <c r="A1571" s="2">
        <v>550</v>
      </c>
      <c r="B1571" t="s">
        <v>2257</v>
      </c>
      <c r="C1571" t="s">
        <v>2258</v>
      </c>
      <c r="D1571" t="s">
        <v>2259</v>
      </c>
      <c r="E1571" t="s">
        <v>2260</v>
      </c>
      <c r="F1571" t="s">
        <v>2261</v>
      </c>
      <c r="G1571" s="1">
        <v>44818</v>
      </c>
      <c r="H1571" s="1">
        <v>73050</v>
      </c>
      <c r="I1571" s="1" t="e">
        <v>#N/A</v>
      </c>
      <c r="J1571" s="2" t="s">
        <v>2656</v>
      </c>
      <c r="K1571" t="s">
        <v>2262</v>
      </c>
      <c r="M1571" s="16" t="s">
        <v>8548</v>
      </c>
      <c r="N1571" s="16" t="str">
        <f>VLOOKUP(M1571,Tab_Zast[[Zastávka]:[Sloupec1]],2,0)</f>
        <v>108</v>
      </c>
      <c r="O1571" t="s">
        <v>2263</v>
      </c>
      <c r="P1571">
        <v>6</v>
      </c>
      <c r="Q1571">
        <v>0</v>
      </c>
      <c r="R1571" t="s">
        <v>179</v>
      </c>
      <c r="S1571" t="s">
        <v>31</v>
      </c>
      <c r="T1571" t="s">
        <v>32</v>
      </c>
      <c r="V1571" s="1" t="e">
        <v>#N/A</v>
      </c>
      <c r="W1571" t="s">
        <v>1216</v>
      </c>
      <c r="X1571">
        <v>1</v>
      </c>
      <c r="Y1571">
        <v>0</v>
      </c>
      <c r="AA1571" t="str">
        <f t="shared" si="48"/>
        <v>update zamestnanci set nastup='108' where id='550';</v>
      </c>
      <c r="AB1571" t="str">
        <f t="shared" si="49"/>
        <v>update dochazka set zastavka = '108' where zamestnanec = '550';</v>
      </c>
    </row>
    <row r="1572" spans="1:28" x14ac:dyDescent="0.25">
      <c r="A1572" s="2">
        <v>552</v>
      </c>
      <c r="B1572" t="s">
        <v>2271</v>
      </c>
      <c r="C1572" t="s">
        <v>2272</v>
      </c>
      <c r="D1572" t="s">
        <v>2273</v>
      </c>
      <c r="E1572" t="s">
        <v>2274</v>
      </c>
      <c r="F1572" t="s">
        <v>2275</v>
      </c>
      <c r="G1572" s="1">
        <v>45167</v>
      </c>
      <c r="H1572" s="1">
        <v>73050</v>
      </c>
      <c r="I1572" s="1" t="e">
        <v>#N/A</v>
      </c>
      <c r="J1572" s="2" t="s">
        <v>2656</v>
      </c>
      <c r="K1572" t="s">
        <v>2276</v>
      </c>
      <c r="M1572" s="16" t="s">
        <v>8548</v>
      </c>
      <c r="N1572" s="16" t="str">
        <f>VLOOKUP(M1572,Tab_Zast[[Zastávka]:[Sloupec1]],2,0)</f>
        <v>108</v>
      </c>
      <c r="O1572" t="s">
        <v>2277</v>
      </c>
      <c r="P1572">
        <v>6</v>
      </c>
      <c r="Q1572">
        <v>0</v>
      </c>
      <c r="R1572" t="s">
        <v>130</v>
      </c>
      <c r="S1572" t="s">
        <v>31</v>
      </c>
      <c r="T1572" t="s">
        <v>32</v>
      </c>
      <c r="V1572" s="1" t="e">
        <v>#N/A</v>
      </c>
      <c r="W1572" t="s">
        <v>1216</v>
      </c>
      <c r="X1572">
        <v>1</v>
      </c>
      <c r="Y1572">
        <v>0</v>
      </c>
      <c r="AA1572" t="str">
        <f t="shared" si="48"/>
        <v>update zamestnanci set nastup='108' where id='552';</v>
      </c>
      <c r="AB1572" t="str">
        <f t="shared" si="49"/>
        <v>update dochazka set zastavka = '108' where zamestnanec = '552';</v>
      </c>
    </row>
    <row r="1573" spans="1:28" x14ac:dyDescent="0.25">
      <c r="A1573" s="2">
        <v>558</v>
      </c>
      <c r="B1573" t="s">
        <v>2307</v>
      </c>
      <c r="D1573" t="s">
        <v>2308</v>
      </c>
      <c r="E1573" t="s">
        <v>2309</v>
      </c>
      <c r="F1573" t="s">
        <v>2310</v>
      </c>
      <c r="G1573" s="1">
        <v>44935</v>
      </c>
      <c r="H1573" s="1">
        <v>45291</v>
      </c>
      <c r="I1573" s="1" t="e">
        <v>#N/A</v>
      </c>
      <c r="J1573" s="2" t="s">
        <v>2656</v>
      </c>
      <c r="K1573" t="s">
        <v>2311</v>
      </c>
      <c r="M1573" s="16" t="s">
        <v>8548</v>
      </c>
      <c r="N1573" s="16" t="str">
        <f>VLOOKUP(M1573,Tab_Zast[[Zastávka]:[Sloupec1]],2,0)</f>
        <v>108</v>
      </c>
      <c r="O1573" t="s">
        <v>2312</v>
      </c>
      <c r="P1573">
        <v>6</v>
      </c>
      <c r="Q1573">
        <v>0</v>
      </c>
      <c r="R1573" t="s">
        <v>31</v>
      </c>
      <c r="S1573" t="s">
        <v>31</v>
      </c>
      <c r="T1573" t="s">
        <v>32</v>
      </c>
      <c r="V1573" s="1" t="e">
        <v>#N/A</v>
      </c>
      <c r="W1573" t="s">
        <v>1216</v>
      </c>
      <c r="X1573">
        <v>0</v>
      </c>
      <c r="Y1573">
        <v>0</v>
      </c>
      <c r="Z1573" t="s">
        <v>54</v>
      </c>
      <c r="AA1573" t="str">
        <f t="shared" si="48"/>
        <v>update zamestnanci set nastup='108' where id='558';</v>
      </c>
      <c r="AB1573" t="str">
        <f t="shared" si="49"/>
        <v>update dochazka set zastavka = '108' where zamestnanec = '558';</v>
      </c>
    </row>
    <row r="1574" spans="1:28" x14ac:dyDescent="0.25">
      <c r="A1574" s="2">
        <v>559</v>
      </c>
      <c r="B1574" t="s">
        <v>2313</v>
      </c>
      <c r="D1574" t="s">
        <v>2314</v>
      </c>
      <c r="E1574" t="s">
        <v>2315</v>
      </c>
      <c r="F1574" t="s">
        <v>2316</v>
      </c>
      <c r="G1574" s="1">
        <v>44935</v>
      </c>
      <c r="H1574" s="1">
        <v>45230</v>
      </c>
      <c r="I1574" s="1" t="e">
        <v>#N/A</v>
      </c>
      <c r="J1574" s="2" t="s">
        <v>2656</v>
      </c>
      <c r="K1574" t="s">
        <v>2317</v>
      </c>
      <c r="M1574" s="16" t="s">
        <v>8548</v>
      </c>
      <c r="N1574" s="16" t="str">
        <f>VLOOKUP(M1574,Tab_Zast[[Zastávka]:[Sloupec1]],2,0)</f>
        <v>108</v>
      </c>
      <c r="O1574" t="s">
        <v>2318</v>
      </c>
      <c r="P1574">
        <v>6</v>
      </c>
      <c r="Q1574">
        <v>0</v>
      </c>
      <c r="R1574" t="s">
        <v>31</v>
      </c>
      <c r="S1574" t="s">
        <v>31</v>
      </c>
      <c r="T1574" t="s">
        <v>32</v>
      </c>
      <c r="V1574" s="1" t="e">
        <v>#N/A</v>
      </c>
      <c r="W1574" t="s">
        <v>1216</v>
      </c>
      <c r="X1574">
        <v>0</v>
      </c>
      <c r="Y1574">
        <v>0</v>
      </c>
      <c r="Z1574" t="s">
        <v>54</v>
      </c>
      <c r="AA1574" t="str">
        <f t="shared" si="48"/>
        <v>update zamestnanci set nastup='108' where id='559';</v>
      </c>
      <c r="AB1574" t="str">
        <f t="shared" si="49"/>
        <v>update dochazka set zastavka = '108' where zamestnanec = '559';</v>
      </c>
    </row>
    <row r="1575" spans="1:28" x14ac:dyDescent="0.25">
      <c r="A1575" s="2">
        <v>560</v>
      </c>
      <c r="B1575" t="s">
        <v>2319</v>
      </c>
      <c r="C1575" t="s">
        <v>2320</v>
      </c>
      <c r="D1575" t="s">
        <v>2321</v>
      </c>
      <c r="E1575" t="s">
        <v>2322</v>
      </c>
      <c r="F1575" t="s">
        <v>2323</v>
      </c>
      <c r="G1575" s="1">
        <v>45145</v>
      </c>
      <c r="H1575" s="1">
        <v>45510</v>
      </c>
      <c r="I1575" s="1">
        <v>73050</v>
      </c>
      <c r="J1575" s="2" t="s">
        <v>2656</v>
      </c>
      <c r="K1575" t="s">
        <v>2324</v>
      </c>
      <c r="M1575" s="16" t="s">
        <v>8548</v>
      </c>
      <c r="N1575" s="16" t="str">
        <f>VLOOKUP(M1575,Tab_Zast[[Zastávka]:[Sloupec1]],2,0)</f>
        <v>108</v>
      </c>
      <c r="O1575" t="s">
        <v>2325</v>
      </c>
      <c r="P1575">
        <v>6</v>
      </c>
      <c r="Q1575">
        <v>0</v>
      </c>
      <c r="R1575" t="s">
        <v>31</v>
      </c>
      <c r="S1575" t="s">
        <v>31</v>
      </c>
      <c r="T1575" t="s">
        <v>32</v>
      </c>
      <c r="V1575" s="1">
        <v>45476</v>
      </c>
      <c r="W1575" t="s">
        <v>1216</v>
      </c>
      <c r="X1575">
        <v>0</v>
      </c>
      <c r="Y1575">
        <v>0</v>
      </c>
      <c r="AA1575" t="str">
        <f t="shared" si="48"/>
        <v>update zamestnanci set nastup='108' where id='560';</v>
      </c>
      <c r="AB1575" t="str">
        <f t="shared" si="49"/>
        <v>update dochazka set zastavka = '108' where zamestnanec = '560';</v>
      </c>
    </row>
    <row r="1576" spans="1:28" x14ac:dyDescent="0.25">
      <c r="A1576" s="2">
        <v>562</v>
      </c>
      <c r="B1576" t="s">
        <v>2332</v>
      </c>
      <c r="D1576" t="s">
        <v>2333</v>
      </c>
      <c r="E1576" t="s">
        <v>2334</v>
      </c>
      <c r="F1576" t="s">
        <v>2335</v>
      </c>
      <c r="G1576" s="1">
        <v>44823</v>
      </c>
      <c r="H1576" s="1">
        <v>45267</v>
      </c>
      <c r="I1576" s="1" t="e">
        <v>#N/A</v>
      </c>
      <c r="J1576" s="2" t="s">
        <v>2656</v>
      </c>
      <c r="K1576" t="s">
        <v>2336</v>
      </c>
      <c r="M1576" s="16" t="s">
        <v>8548</v>
      </c>
      <c r="N1576" s="16" t="str">
        <f>VLOOKUP(M1576,Tab_Zast[[Zastávka]:[Sloupec1]],2,0)</f>
        <v>108</v>
      </c>
      <c r="O1576" t="s">
        <v>2337</v>
      </c>
      <c r="P1576">
        <v>6</v>
      </c>
      <c r="Q1576">
        <v>0</v>
      </c>
      <c r="R1576" t="s">
        <v>31</v>
      </c>
      <c r="S1576" t="s">
        <v>31</v>
      </c>
      <c r="T1576" t="s">
        <v>32</v>
      </c>
      <c r="V1576" s="1" t="e">
        <v>#N/A</v>
      </c>
      <c r="W1576" t="s">
        <v>1216</v>
      </c>
      <c r="X1576">
        <v>0</v>
      </c>
      <c r="Y1576">
        <v>0</v>
      </c>
      <c r="Z1576" t="s">
        <v>54</v>
      </c>
      <c r="AA1576" t="str">
        <f t="shared" si="48"/>
        <v>update zamestnanci set nastup='108' where id='562';</v>
      </c>
      <c r="AB1576" t="str">
        <f t="shared" si="49"/>
        <v>update dochazka set zastavka = '108' where zamestnanec = '562';</v>
      </c>
    </row>
    <row r="1577" spans="1:28" x14ac:dyDescent="0.25">
      <c r="A1577" s="2">
        <v>563</v>
      </c>
      <c r="B1577" t="s">
        <v>2338</v>
      </c>
      <c r="C1577" t="s">
        <v>2339</v>
      </c>
      <c r="D1577" t="s">
        <v>2340</v>
      </c>
      <c r="E1577" t="s">
        <v>2341</v>
      </c>
      <c r="F1577" t="s">
        <v>2342</v>
      </c>
      <c r="G1577" s="1">
        <v>44970</v>
      </c>
      <c r="H1577" s="1">
        <v>45807</v>
      </c>
      <c r="I1577" s="1">
        <v>73050</v>
      </c>
      <c r="J1577" s="2" t="s">
        <v>2656</v>
      </c>
      <c r="K1577" t="s">
        <v>2343</v>
      </c>
      <c r="M1577" s="16" t="s">
        <v>8548</v>
      </c>
      <c r="N1577" s="16" t="str">
        <f>VLOOKUP(M1577,Tab_Zast[[Zastávka]:[Sloupec1]],2,0)</f>
        <v>108</v>
      </c>
      <c r="O1577" t="s">
        <v>2344</v>
      </c>
      <c r="P1577">
        <v>6</v>
      </c>
      <c r="Q1577">
        <v>0</v>
      </c>
      <c r="R1577" t="s">
        <v>31</v>
      </c>
      <c r="S1577" t="s">
        <v>31</v>
      </c>
      <c r="T1577" t="s">
        <v>32</v>
      </c>
      <c r="V1577" s="1" t="e">
        <v>#N/A</v>
      </c>
      <c r="W1577" t="s">
        <v>1216</v>
      </c>
      <c r="X1577">
        <v>0</v>
      </c>
      <c r="Y1577">
        <v>0</v>
      </c>
      <c r="AA1577" t="str">
        <f t="shared" si="48"/>
        <v>update zamestnanci set nastup='108' where id='563';</v>
      </c>
      <c r="AB1577" t="str">
        <f t="shared" si="49"/>
        <v>update dochazka set zastavka = '108' where zamestnanec = '563';</v>
      </c>
    </row>
    <row r="1578" spans="1:28" x14ac:dyDescent="0.25">
      <c r="A1578" s="2">
        <v>567</v>
      </c>
      <c r="B1578" t="s">
        <v>2364</v>
      </c>
      <c r="C1578" t="s">
        <v>2365</v>
      </c>
      <c r="D1578" t="s">
        <v>2366</v>
      </c>
      <c r="E1578" t="s">
        <v>661</v>
      </c>
      <c r="F1578" t="s">
        <v>2367</v>
      </c>
      <c r="G1578" s="1">
        <v>45147</v>
      </c>
      <c r="H1578" s="1">
        <v>73050</v>
      </c>
      <c r="I1578" s="1" t="e">
        <v>#N/A</v>
      </c>
      <c r="J1578" s="2" t="s">
        <v>2656</v>
      </c>
      <c r="K1578" t="s">
        <v>2368</v>
      </c>
      <c r="M1578" s="16" t="s">
        <v>8548</v>
      </c>
      <c r="N1578" s="16" t="str">
        <f>VLOOKUP(M1578,Tab_Zast[[Zastávka]:[Sloupec1]],2,0)</f>
        <v>108</v>
      </c>
      <c r="O1578" t="s">
        <v>2369</v>
      </c>
      <c r="P1578">
        <v>6</v>
      </c>
      <c r="Q1578">
        <v>0</v>
      </c>
      <c r="R1578" t="s">
        <v>179</v>
      </c>
      <c r="S1578" t="s">
        <v>31</v>
      </c>
      <c r="T1578" t="s">
        <v>32</v>
      </c>
      <c r="V1578" s="1" t="e">
        <v>#N/A</v>
      </c>
      <c r="W1578" t="s">
        <v>1216</v>
      </c>
      <c r="X1578">
        <v>1</v>
      </c>
      <c r="Y1578">
        <v>0</v>
      </c>
      <c r="AA1578" t="str">
        <f t="shared" si="48"/>
        <v>update zamestnanci set nastup='108' where id='567';</v>
      </c>
      <c r="AB1578" t="str">
        <f t="shared" si="49"/>
        <v>update dochazka set zastavka = '108' where zamestnanec = '567';</v>
      </c>
    </row>
    <row r="1579" spans="1:28" x14ac:dyDescent="0.25">
      <c r="A1579" s="2">
        <v>569</v>
      </c>
      <c r="B1579" t="s">
        <v>2376</v>
      </c>
      <c r="D1579" t="s">
        <v>2377</v>
      </c>
      <c r="E1579" t="s">
        <v>701</v>
      </c>
      <c r="F1579" t="s">
        <v>2378</v>
      </c>
      <c r="G1579" s="1">
        <v>44927</v>
      </c>
      <c r="H1579" s="1">
        <v>45229</v>
      </c>
      <c r="I1579" s="1" t="e">
        <v>#N/A</v>
      </c>
      <c r="J1579" s="2" t="s">
        <v>2656</v>
      </c>
      <c r="K1579" t="s">
        <v>2379</v>
      </c>
      <c r="M1579" s="16" t="s">
        <v>8548</v>
      </c>
      <c r="N1579" s="16" t="str">
        <f>VLOOKUP(M1579,Tab_Zast[[Zastávka]:[Sloupec1]],2,0)</f>
        <v>108</v>
      </c>
      <c r="O1579" t="s">
        <v>2380</v>
      </c>
      <c r="P1579">
        <v>1</v>
      </c>
      <c r="Q1579">
        <v>0</v>
      </c>
      <c r="R1579" t="s">
        <v>31</v>
      </c>
      <c r="S1579" t="s">
        <v>31</v>
      </c>
      <c r="T1579" t="s">
        <v>32</v>
      </c>
      <c r="V1579" s="1" t="e">
        <v>#N/A</v>
      </c>
      <c r="W1579" t="s">
        <v>2381</v>
      </c>
      <c r="X1579">
        <v>0</v>
      </c>
      <c r="Y1579">
        <v>0</v>
      </c>
      <c r="Z1579" t="s">
        <v>54</v>
      </c>
      <c r="AA1579" t="str">
        <f t="shared" si="48"/>
        <v>update zamestnanci set nastup='108' where id='569';</v>
      </c>
      <c r="AB1579" t="str">
        <f t="shared" si="49"/>
        <v>update dochazka set zastavka = '108' where zamestnanec = '569';</v>
      </c>
    </row>
    <row r="1580" spans="1:28" x14ac:dyDescent="0.25">
      <c r="A1580" s="2">
        <v>570</v>
      </c>
      <c r="B1580" t="s">
        <v>2382</v>
      </c>
      <c r="C1580" t="s">
        <v>2383</v>
      </c>
      <c r="D1580" t="s">
        <v>2384</v>
      </c>
      <c r="E1580" t="s">
        <v>2385</v>
      </c>
      <c r="F1580" t="s">
        <v>357</v>
      </c>
      <c r="G1580" s="1">
        <v>45181</v>
      </c>
      <c r="H1580" s="1">
        <v>45747</v>
      </c>
      <c r="I1580" s="1">
        <v>73050</v>
      </c>
      <c r="J1580" s="2" t="s">
        <v>2656</v>
      </c>
      <c r="K1580" t="s">
        <v>2386</v>
      </c>
      <c r="M1580" s="16" t="s">
        <v>8548</v>
      </c>
      <c r="N1580" s="16" t="str">
        <f>VLOOKUP(M1580,Tab_Zast[[Zastávka]:[Sloupec1]],2,0)</f>
        <v>108</v>
      </c>
      <c r="O1580" t="s">
        <v>2387</v>
      </c>
      <c r="P1580">
        <v>1</v>
      </c>
      <c r="Q1580">
        <v>0</v>
      </c>
      <c r="R1580" t="s">
        <v>31</v>
      </c>
      <c r="S1580" t="s">
        <v>31</v>
      </c>
      <c r="T1580" t="s">
        <v>32</v>
      </c>
      <c r="V1580" s="1" t="e">
        <v>#N/A</v>
      </c>
      <c r="W1580" t="s">
        <v>2381</v>
      </c>
      <c r="X1580">
        <v>0</v>
      </c>
      <c r="Y1580">
        <v>0</v>
      </c>
      <c r="AA1580" t="str">
        <f t="shared" si="48"/>
        <v>update zamestnanci set nastup='108' where id='570';</v>
      </c>
      <c r="AB1580" t="str">
        <f t="shared" si="49"/>
        <v>update dochazka set zastavka = '108' where zamestnanec = '570';</v>
      </c>
    </row>
    <row r="1581" spans="1:28" x14ac:dyDescent="0.25">
      <c r="A1581" s="2">
        <v>576</v>
      </c>
      <c r="B1581" t="s">
        <v>2416</v>
      </c>
      <c r="C1581" t="s">
        <v>2417</v>
      </c>
      <c r="D1581" t="s">
        <v>2418</v>
      </c>
      <c r="E1581" t="s">
        <v>2419</v>
      </c>
      <c r="F1581" t="s">
        <v>2420</v>
      </c>
      <c r="G1581" s="1">
        <v>44256</v>
      </c>
      <c r="H1581" s="1">
        <v>45618</v>
      </c>
      <c r="I1581" s="1">
        <v>73050</v>
      </c>
      <c r="J1581" s="2" t="s">
        <v>2656</v>
      </c>
      <c r="K1581" t="s">
        <v>2421</v>
      </c>
      <c r="M1581" s="16" t="s">
        <v>8548</v>
      </c>
      <c r="N1581" s="16" t="str">
        <f>VLOOKUP(M1581,Tab_Zast[[Zastávka]:[Sloupec1]],2,0)</f>
        <v>108</v>
      </c>
      <c r="O1581" t="s">
        <v>2422</v>
      </c>
      <c r="P1581">
        <v>8</v>
      </c>
      <c r="Q1581">
        <v>0</v>
      </c>
      <c r="R1581" t="s">
        <v>31</v>
      </c>
      <c r="S1581" t="s">
        <v>31</v>
      </c>
      <c r="T1581" t="s">
        <v>32</v>
      </c>
      <c r="V1581" s="1">
        <v>45615</v>
      </c>
      <c r="W1581" t="s">
        <v>493</v>
      </c>
      <c r="X1581">
        <v>0</v>
      </c>
      <c r="Y1581">
        <v>0</v>
      </c>
      <c r="AA1581" t="str">
        <f t="shared" si="48"/>
        <v>update zamestnanci set nastup='108' where id='576';</v>
      </c>
      <c r="AB1581" t="str">
        <f t="shared" si="49"/>
        <v>update dochazka set zastavka = '108' where zamestnanec = '576';</v>
      </c>
    </row>
    <row r="1582" spans="1:28" x14ac:dyDescent="0.25">
      <c r="A1582" s="2">
        <v>578</v>
      </c>
      <c r="B1582" t="s">
        <v>2429</v>
      </c>
      <c r="C1582" t="s">
        <v>2430</v>
      </c>
      <c r="D1582" t="s">
        <v>2431</v>
      </c>
      <c r="E1582" t="s">
        <v>2432</v>
      </c>
      <c r="F1582" t="s">
        <v>2433</v>
      </c>
      <c r="G1582" s="1">
        <v>44937</v>
      </c>
      <c r="H1582" s="1">
        <v>45707</v>
      </c>
      <c r="I1582" s="1">
        <v>73050</v>
      </c>
      <c r="J1582" s="2" t="s">
        <v>2656</v>
      </c>
      <c r="K1582" t="s">
        <v>2434</v>
      </c>
      <c r="M1582" s="16" t="s">
        <v>8548</v>
      </c>
      <c r="N1582" s="16" t="str">
        <f>VLOOKUP(M1582,Tab_Zast[[Zastávka]:[Sloupec1]],2,0)</f>
        <v>108</v>
      </c>
      <c r="O1582" t="s">
        <v>2435</v>
      </c>
      <c r="P1582">
        <v>8</v>
      </c>
      <c r="Q1582">
        <v>0</v>
      </c>
      <c r="R1582" t="s">
        <v>31</v>
      </c>
      <c r="S1582" t="s">
        <v>31</v>
      </c>
      <c r="T1582" t="s">
        <v>32</v>
      </c>
      <c r="V1582" s="1">
        <v>45685</v>
      </c>
      <c r="W1582" t="s">
        <v>493</v>
      </c>
      <c r="X1582">
        <v>0</v>
      </c>
      <c r="Y1582">
        <v>0</v>
      </c>
      <c r="AA1582" t="str">
        <f t="shared" si="48"/>
        <v>update zamestnanci set nastup='108' where id='578';</v>
      </c>
      <c r="AB1582" t="str">
        <f t="shared" si="49"/>
        <v>update dochazka set zastavka = '108' where zamestnanec = '578';</v>
      </c>
    </row>
    <row r="1583" spans="1:28" x14ac:dyDescent="0.25">
      <c r="A1583" s="2">
        <v>587</v>
      </c>
      <c r="B1583" t="s">
        <v>2480</v>
      </c>
      <c r="C1583" t="s">
        <v>2481</v>
      </c>
      <c r="D1583" t="s">
        <v>2482</v>
      </c>
      <c r="E1583" t="s">
        <v>2483</v>
      </c>
      <c r="F1583" t="s">
        <v>2484</v>
      </c>
      <c r="G1583" s="1">
        <v>44879</v>
      </c>
      <c r="H1583" s="1">
        <v>45747</v>
      </c>
      <c r="I1583" s="1">
        <v>73050</v>
      </c>
      <c r="J1583" s="2" t="s">
        <v>2656</v>
      </c>
      <c r="K1583" t="s">
        <v>2485</v>
      </c>
      <c r="M1583" s="16" t="s">
        <v>8548</v>
      </c>
      <c r="N1583" s="16" t="str">
        <f>VLOOKUP(M1583,Tab_Zast[[Zastávka]:[Sloupec1]],2,0)</f>
        <v>108</v>
      </c>
      <c r="O1583" t="s">
        <v>2486</v>
      </c>
      <c r="P1583">
        <v>8</v>
      </c>
      <c r="Q1583">
        <v>0</v>
      </c>
      <c r="R1583" t="s">
        <v>31</v>
      </c>
      <c r="S1583" t="s">
        <v>31</v>
      </c>
      <c r="T1583" t="s">
        <v>32</v>
      </c>
      <c r="V1583" s="1" t="e">
        <v>#N/A</v>
      </c>
      <c r="W1583" t="s">
        <v>493</v>
      </c>
      <c r="X1583">
        <v>0</v>
      </c>
      <c r="Y1583">
        <v>0</v>
      </c>
      <c r="AA1583" t="str">
        <f t="shared" si="48"/>
        <v>update zamestnanci set nastup='108' where id='587';</v>
      </c>
      <c r="AB1583" t="str">
        <f t="shared" si="49"/>
        <v>update dochazka set zastavka = '108' where zamestnanec = '587';</v>
      </c>
    </row>
    <row r="1584" spans="1:28" x14ac:dyDescent="0.25">
      <c r="A1584" s="2">
        <v>592</v>
      </c>
      <c r="B1584" t="s">
        <v>2509</v>
      </c>
      <c r="C1584" t="s">
        <v>2510</v>
      </c>
      <c r="D1584" t="s">
        <v>2511</v>
      </c>
      <c r="E1584" t="s">
        <v>2512</v>
      </c>
      <c r="F1584" t="s">
        <v>2513</v>
      </c>
      <c r="G1584" s="1">
        <v>44256</v>
      </c>
      <c r="H1584" s="1">
        <v>73050</v>
      </c>
      <c r="I1584" s="1" t="e">
        <v>#N/A</v>
      </c>
      <c r="J1584" s="2" t="s">
        <v>2656</v>
      </c>
      <c r="K1584" t="s">
        <v>2514</v>
      </c>
      <c r="M1584" s="16" t="s">
        <v>8548</v>
      </c>
      <c r="N1584" s="16" t="str">
        <f>VLOOKUP(M1584,Tab_Zast[[Zastávka]:[Sloupec1]],2,0)</f>
        <v>108</v>
      </c>
      <c r="O1584" t="s">
        <v>2515</v>
      </c>
      <c r="P1584">
        <v>8</v>
      </c>
      <c r="Q1584">
        <v>0</v>
      </c>
      <c r="R1584" t="s">
        <v>129</v>
      </c>
      <c r="S1584" t="s">
        <v>31</v>
      </c>
      <c r="T1584" t="s">
        <v>32</v>
      </c>
      <c r="V1584" s="1" t="e">
        <v>#N/A</v>
      </c>
      <c r="W1584" t="s">
        <v>493</v>
      </c>
      <c r="X1584">
        <v>1</v>
      </c>
      <c r="Y1584">
        <v>0</v>
      </c>
      <c r="AA1584" t="str">
        <f t="shared" si="48"/>
        <v>update zamestnanci set nastup='108' where id='592';</v>
      </c>
      <c r="AB1584" t="str">
        <f t="shared" si="49"/>
        <v>update dochazka set zastavka = '108' where zamestnanec = '592';</v>
      </c>
    </row>
    <row r="1585" spans="1:28" x14ac:dyDescent="0.25">
      <c r="A1585" s="2">
        <v>596</v>
      </c>
      <c r="B1585" t="s">
        <v>2533</v>
      </c>
      <c r="C1585" t="s">
        <v>2534</v>
      </c>
      <c r="D1585" t="s">
        <v>2535</v>
      </c>
      <c r="E1585" t="s">
        <v>2536</v>
      </c>
      <c r="F1585" t="s">
        <v>2537</v>
      </c>
      <c r="G1585" s="1">
        <v>44949</v>
      </c>
      <c r="H1585" s="1">
        <v>45679</v>
      </c>
      <c r="I1585" s="1">
        <v>73050</v>
      </c>
      <c r="J1585" s="2" t="s">
        <v>2656</v>
      </c>
      <c r="K1585" t="s">
        <v>2538</v>
      </c>
      <c r="M1585" s="16" t="s">
        <v>8548</v>
      </c>
      <c r="N1585" s="16" t="str">
        <f>VLOOKUP(M1585,Tab_Zast[[Zastávka]:[Sloupec1]],2,0)</f>
        <v>108</v>
      </c>
      <c r="O1585" t="s">
        <v>2539</v>
      </c>
      <c r="P1585">
        <v>8</v>
      </c>
      <c r="Q1585">
        <v>0</v>
      </c>
      <c r="R1585" t="s">
        <v>31</v>
      </c>
      <c r="S1585" t="s">
        <v>31</v>
      </c>
      <c r="T1585" t="s">
        <v>32</v>
      </c>
      <c r="V1585" s="1" t="e">
        <v>#N/A</v>
      </c>
      <c r="W1585" t="s">
        <v>493</v>
      </c>
      <c r="X1585">
        <v>0</v>
      </c>
      <c r="Y1585">
        <v>0</v>
      </c>
      <c r="AA1585" t="str">
        <f t="shared" si="48"/>
        <v>update zamestnanci set nastup='108' where id='596';</v>
      </c>
      <c r="AB1585" t="str">
        <f t="shared" si="49"/>
        <v>update dochazka set zastavka = '108' where zamestnanec = '596';</v>
      </c>
    </row>
    <row r="1586" spans="1:28" x14ac:dyDescent="0.25">
      <c r="A1586" s="2">
        <v>598</v>
      </c>
      <c r="B1586" t="s">
        <v>2547</v>
      </c>
      <c r="D1586" t="s">
        <v>2548</v>
      </c>
      <c r="E1586" t="s">
        <v>86</v>
      </c>
      <c r="F1586" t="s">
        <v>2549</v>
      </c>
      <c r="G1586" s="1">
        <v>44837</v>
      </c>
      <c r="H1586" s="1">
        <v>45338</v>
      </c>
      <c r="I1586" s="1">
        <v>73050</v>
      </c>
      <c r="J1586" s="2" t="s">
        <v>2656</v>
      </c>
      <c r="K1586" t="s">
        <v>2550</v>
      </c>
      <c r="M1586" s="16" t="s">
        <v>8548</v>
      </c>
      <c r="N1586" s="16" t="str">
        <f>VLOOKUP(M1586,Tab_Zast[[Zastávka]:[Sloupec1]],2,0)</f>
        <v>108</v>
      </c>
      <c r="O1586" t="s">
        <v>2551</v>
      </c>
      <c r="P1586">
        <v>3</v>
      </c>
      <c r="Q1586">
        <v>0</v>
      </c>
      <c r="R1586" t="s">
        <v>31</v>
      </c>
      <c r="S1586" t="s">
        <v>31</v>
      </c>
      <c r="T1586" t="s">
        <v>32</v>
      </c>
      <c r="V1586" s="1" t="e">
        <v>#N/A</v>
      </c>
      <c r="W1586" t="s">
        <v>493</v>
      </c>
      <c r="X1586">
        <v>0</v>
      </c>
      <c r="Y1586">
        <v>0</v>
      </c>
      <c r="AA1586" t="str">
        <f t="shared" si="48"/>
        <v>update zamestnanci set nastup='108' where id='598';</v>
      </c>
      <c r="AB1586" t="str">
        <f t="shared" si="49"/>
        <v>update dochazka set zastavka = '108' where zamestnanec = '598';</v>
      </c>
    </row>
    <row r="1587" spans="1:28" x14ac:dyDescent="0.25">
      <c r="A1587" s="2">
        <v>601</v>
      </c>
      <c r="B1587" t="s">
        <v>2563</v>
      </c>
      <c r="C1587" t="s">
        <v>2564</v>
      </c>
      <c r="D1587" t="s">
        <v>2565</v>
      </c>
      <c r="E1587" t="s">
        <v>2566</v>
      </c>
      <c r="F1587" t="s">
        <v>2567</v>
      </c>
      <c r="G1587" s="1">
        <v>44440</v>
      </c>
      <c r="H1587" s="1" t="e">
        <v>#N/A</v>
      </c>
      <c r="I1587" s="1" t="e">
        <v>#N/A</v>
      </c>
      <c r="J1587" s="2" t="s">
        <v>2656</v>
      </c>
      <c r="K1587" t="s">
        <v>2568</v>
      </c>
      <c r="M1587" s="16" t="s">
        <v>8548</v>
      </c>
      <c r="N1587" s="16" t="str">
        <f>VLOOKUP(M1587,Tab_Zast[[Zastávka]:[Sloupec1]],2,0)</f>
        <v>108</v>
      </c>
      <c r="O1587" t="s">
        <v>2569</v>
      </c>
      <c r="P1587">
        <v>8</v>
      </c>
      <c r="Q1587">
        <v>0</v>
      </c>
      <c r="R1587" t="s">
        <v>130</v>
      </c>
      <c r="S1587" t="s">
        <v>31</v>
      </c>
      <c r="T1587" t="s">
        <v>32</v>
      </c>
      <c r="V1587" s="1" t="e">
        <v>#N/A</v>
      </c>
      <c r="W1587" t="s">
        <v>493</v>
      </c>
      <c r="X1587">
        <v>1</v>
      </c>
      <c r="Y1587">
        <v>0</v>
      </c>
      <c r="AA1587" t="str">
        <f t="shared" si="48"/>
        <v>update zamestnanci set nastup='108' where id='601';</v>
      </c>
      <c r="AB1587" t="str">
        <f t="shared" si="49"/>
        <v>update dochazka set zastavka = '108' where zamestnanec = '601';</v>
      </c>
    </row>
    <row r="1588" spans="1:28" x14ac:dyDescent="0.25">
      <c r="A1588" s="2">
        <v>621</v>
      </c>
      <c r="B1588" t="s">
        <v>2679</v>
      </c>
      <c r="C1588" t="s">
        <v>2679</v>
      </c>
      <c r="D1588" t="s">
        <v>2680</v>
      </c>
      <c r="E1588" t="s">
        <v>701</v>
      </c>
      <c r="F1588" t="s">
        <v>2681</v>
      </c>
      <c r="G1588" s="1">
        <v>45027</v>
      </c>
      <c r="H1588" s="1">
        <v>73050</v>
      </c>
      <c r="I1588" s="1" t="e">
        <v>#N/A</v>
      </c>
      <c r="J1588" s="2" t="s">
        <v>8493</v>
      </c>
      <c r="K1588" t="s">
        <v>2682</v>
      </c>
      <c r="M1588" s="16" t="s">
        <v>8494</v>
      </c>
      <c r="N1588" s="16" t="str">
        <f>VLOOKUP(M1588,Tab_Zast[[Zastávka]:[Sloupec1]],2,0)</f>
        <v>86</v>
      </c>
      <c r="O1588" t="s">
        <v>2683</v>
      </c>
      <c r="P1588">
        <v>1</v>
      </c>
      <c r="Q1588">
        <v>0</v>
      </c>
      <c r="R1588" t="s">
        <v>130</v>
      </c>
      <c r="S1588" t="s">
        <v>31</v>
      </c>
      <c r="T1588" t="s">
        <v>32</v>
      </c>
      <c r="V1588" s="1" t="e">
        <v>#N/A</v>
      </c>
      <c r="W1588" t="s">
        <v>47</v>
      </c>
      <c r="X1588">
        <v>1</v>
      </c>
      <c r="Y1588">
        <v>0</v>
      </c>
      <c r="AA1588" t="str">
        <f t="shared" si="48"/>
        <v>update zamestnanci set nastup='86' where id='621';</v>
      </c>
      <c r="AB1588" t="str">
        <f t="shared" si="49"/>
        <v>update dochazka set zastavka = '86' where zamestnanec = '621';</v>
      </c>
    </row>
    <row r="1589" spans="1:28" x14ac:dyDescent="0.25">
      <c r="A1589" s="2">
        <v>624</v>
      </c>
      <c r="B1589" t="s">
        <v>2693</v>
      </c>
      <c r="D1589" t="s">
        <v>2694</v>
      </c>
      <c r="E1589" t="s">
        <v>2695</v>
      </c>
      <c r="F1589" t="s">
        <v>2696</v>
      </c>
      <c r="G1589" s="1">
        <v>45075</v>
      </c>
      <c r="H1589" s="1">
        <v>45379</v>
      </c>
      <c r="I1589" s="1">
        <v>73050</v>
      </c>
      <c r="J1589" s="2" t="s">
        <v>8493</v>
      </c>
      <c r="K1589" t="s">
        <v>2697</v>
      </c>
      <c r="M1589" s="16" t="s">
        <v>8494</v>
      </c>
      <c r="N1589" s="16" t="str">
        <f>VLOOKUP(M1589,Tab_Zast[[Zastávka]:[Sloupec1]],2,0)</f>
        <v>86</v>
      </c>
      <c r="O1589" t="s">
        <v>2698</v>
      </c>
      <c r="P1589">
        <v>1</v>
      </c>
      <c r="Q1589">
        <v>0</v>
      </c>
      <c r="R1589" t="s">
        <v>31</v>
      </c>
      <c r="S1589" t="s">
        <v>31</v>
      </c>
      <c r="T1589" t="s">
        <v>32</v>
      </c>
      <c r="V1589" s="1">
        <v>45379</v>
      </c>
      <c r="W1589" t="s">
        <v>47</v>
      </c>
      <c r="X1589">
        <v>0</v>
      </c>
      <c r="Y1589">
        <v>0</v>
      </c>
      <c r="Z1589" t="s">
        <v>54</v>
      </c>
      <c r="AA1589" t="str">
        <f t="shared" si="48"/>
        <v>update zamestnanci set nastup='86' where id='624';</v>
      </c>
      <c r="AB1589" t="str">
        <f t="shared" si="49"/>
        <v>update dochazka set zastavka = '86' where zamestnanec = '624';</v>
      </c>
    </row>
    <row r="1590" spans="1:28" x14ac:dyDescent="0.25">
      <c r="A1590" s="2">
        <v>628</v>
      </c>
      <c r="B1590" t="s">
        <v>2715</v>
      </c>
      <c r="D1590" t="s">
        <v>2716</v>
      </c>
      <c r="E1590" t="s">
        <v>2717</v>
      </c>
      <c r="F1590" t="s">
        <v>2718</v>
      </c>
      <c r="G1590" s="1">
        <v>45215</v>
      </c>
      <c r="H1590" s="1">
        <v>45394</v>
      </c>
      <c r="I1590" s="1">
        <v>73050</v>
      </c>
      <c r="J1590" s="2" t="s">
        <v>8493</v>
      </c>
      <c r="K1590" t="s">
        <v>2719</v>
      </c>
      <c r="M1590" s="16" t="s">
        <v>8494</v>
      </c>
      <c r="N1590" s="16" t="str">
        <f>VLOOKUP(M1590,Tab_Zast[[Zastávka]:[Sloupec1]],2,0)</f>
        <v>86</v>
      </c>
      <c r="O1590" t="s">
        <v>2720</v>
      </c>
      <c r="P1590">
        <v>1</v>
      </c>
      <c r="Q1590">
        <v>0</v>
      </c>
      <c r="R1590" t="s">
        <v>31</v>
      </c>
      <c r="S1590" t="s">
        <v>31</v>
      </c>
      <c r="T1590" t="s">
        <v>32</v>
      </c>
      <c r="V1590" s="1" t="e">
        <v>#N/A</v>
      </c>
      <c r="W1590" t="s">
        <v>47</v>
      </c>
      <c r="X1590">
        <v>0</v>
      </c>
      <c r="Y1590">
        <v>0</v>
      </c>
      <c r="Z1590" t="s">
        <v>54</v>
      </c>
      <c r="AA1590" t="str">
        <f t="shared" si="48"/>
        <v>update zamestnanci set nastup='86' where id='628';</v>
      </c>
      <c r="AB1590" t="str">
        <f t="shared" si="49"/>
        <v>update dochazka set zastavka = '86' where zamestnanec = '628';</v>
      </c>
    </row>
    <row r="1591" spans="1:28" x14ac:dyDescent="0.25">
      <c r="A1591" s="2">
        <v>630</v>
      </c>
      <c r="B1591" t="s">
        <v>467</v>
      </c>
      <c r="C1591" t="s">
        <v>2721</v>
      </c>
      <c r="D1591" t="s">
        <v>2722</v>
      </c>
      <c r="E1591" t="s">
        <v>2120</v>
      </c>
      <c r="F1591" t="s">
        <v>44</v>
      </c>
      <c r="G1591" s="1">
        <v>44977</v>
      </c>
      <c r="H1591" s="1">
        <v>45513</v>
      </c>
      <c r="I1591" s="1">
        <v>73050</v>
      </c>
      <c r="J1591" s="2" t="s">
        <v>2656</v>
      </c>
      <c r="K1591" t="s">
        <v>2723</v>
      </c>
      <c r="M1591" s="16" t="s">
        <v>8548</v>
      </c>
      <c r="N1591" s="16" t="str">
        <f>VLOOKUP(M1591,Tab_Zast[[Zastávka]:[Sloupec1]],2,0)</f>
        <v>108</v>
      </c>
      <c r="O1591" t="s">
        <v>46</v>
      </c>
      <c r="P1591">
        <v>1</v>
      </c>
      <c r="Q1591">
        <v>0</v>
      </c>
      <c r="R1591" t="s">
        <v>31</v>
      </c>
      <c r="S1591" t="s">
        <v>31</v>
      </c>
      <c r="T1591" t="s">
        <v>32</v>
      </c>
      <c r="V1591" s="1" t="e">
        <v>#N/A</v>
      </c>
      <c r="W1591" t="s">
        <v>33</v>
      </c>
      <c r="X1591">
        <v>0</v>
      </c>
      <c r="Y1591">
        <v>0</v>
      </c>
      <c r="AA1591" t="str">
        <f t="shared" si="48"/>
        <v>update zamestnanci set nastup='108' where id='630';</v>
      </c>
      <c r="AB1591" t="str">
        <f t="shared" si="49"/>
        <v>update dochazka set zastavka = '108' where zamestnanec = '630';</v>
      </c>
    </row>
    <row r="1592" spans="1:28" x14ac:dyDescent="0.25">
      <c r="A1592" s="2">
        <v>631</v>
      </c>
      <c r="B1592" t="s">
        <v>2724</v>
      </c>
      <c r="C1592" t="s">
        <v>64</v>
      </c>
      <c r="D1592" t="s">
        <v>2725</v>
      </c>
      <c r="E1592" t="s">
        <v>611</v>
      </c>
      <c r="F1592" t="s">
        <v>2726</v>
      </c>
      <c r="G1592" s="1">
        <v>45021</v>
      </c>
      <c r="H1592" s="1">
        <v>45825</v>
      </c>
      <c r="I1592" s="1">
        <v>73050</v>
      </c>
      <c r="J1592" s="2" t="s">
        <v>2656</v>
      </c>
      <c r="K1592" t="s">
        <v>2727</v>
      </c>
      <c r="M1592" s="16" t="s">
        <v>8548</v>
      </c>
      <c r="N1592" s="16" t="str">
        <f>VLOOKUP(M1592,Tab_Zast[[Zastávka]:[Sloupec1]],2,0)</f>
        <v>108</v>
      </c>
      <c r="O1592" t="s">
        <v>2728</v>
      </c>
      <c r="P1592">
        <v>4</v>
      </c>
      <c r="Q1592">
        <v>0</v>
      </c>
      <c r="R1592" t="s">
        <v>31</v>
      </c>
      <c r="S1592" t="s">
        <v>31</v>
      </c>
      <c r="T1592" t="s">
        <v>32</v>
      </c>
      <c r="V1592" s="1" t="e">
        <v>#N/A</v>
      </c>
      <c r="W1592" t="s">
        <v>2729</v>
      </c>
      <c r="X1592">
        <v>0</v>
      </c>
      <c r="Y1592">
        <v>0</v>
      </c>
      <c r="AA1592" t="str">
        <f t="shared" si="48"/>
        <v>update zamestnanci set nastup='108' where id='631';</v>
      </c>
      <c r="AB1592" t="str">
        <f t="shared" si="49"/>
        <v>update dochazka set zastavka = '108' where zamestnanec = '631';</v>
      </c>
    </row>
    <row r="1593" spans="1:28" x14ac:dyDescent="0.25">
      <c r="A1593" s="2">
        <v>632</v>
      </c>
      <c r="B1593" t="s">
        <v>2730</v>
      </c>
      <c r="C1593" t="s">
        <v>64</v>
      </c>
      <c r="D1593" t="s">
        <v>2731</v>
      </c>
      <c r="E1593" t="s">
        <v>2628</v>
      </c>
      <c r="F1593" t="s">
        <v>2732</v>
      </c>
      <c r="G1593" s="1">
        <v>45108</v>
      </c>
      <c r="H1593" s="1">
        <v>45473</v>
      </c>
      <c r="I1593" s="1">
        <v>73050</v>
      </c>
      <c r="J1593" s="2" t="s">
        <v>2656</v>
      </c>
      <c r="K1593" t="s">
        <v>2733</v>
      </c>
      <c r="M1593" s="16" t="s">
        <v>8548</v>
      </c>
      <c r="N1593" s="16" t="str">
        <f>VLOOKUP(M1593,Tab_Zast[[Zastávka]:[Sloupec1]],2,0)</f>
        <v>108</v>
      </c>
      <c r="O1593" t="s">
        <v>2734</v>
      </c>
      <c r="P1593">
        <v>7</v>
      </c>
      <c r="Q1593">
        <v>0</v>
      </c>
      <c r="R1593" t="s">
        <v>31</v>
      </c>
      <c r="S1593" t="s">
        <v>31</v>
      </c>
      <c r="T1593" t="s">
        <v>32</v>
      </c>
      <c r="V1593" s="1" t="e">
        <v>#N/A</v>
      </c>
      <c r="W1593" t="s">
        <v>2735</v>
      </c>
      <c r="X1593">
        <v>0</v>
      </c>
      <c r="Y1593">
        <v>0</v>
      </c>
      <c r="AA1593" t="str">
        <f t="shared" si="48"/>
        <v>update zamestnanci set nastup='108' where id='632';</v>
      </c>
      <c r="AB1593" t="str">
        <f t="shared" si="49"/>
        <v>update dochazka set zastavka = '108' where zamestnanec = '632';</v>
      </c>
    </row>
    <row r="1594" spans="1:28" x14ac:dyDescent="0.25">
      <c r="A1594" s="2">
        <v>633</v>
      </c>
      <c r="B1594" t="s">
        <v>2736</v>
      </c>
      <c r="C1594" t="s">
        <v>64</v>
      </c>
      <c r="D1594" t="s">
        <v>2737</v>
      </c>
      <c r="E1594" t="s">
        <v>2738</v>
      </c>
      <c r="F1594" t="s">
        <v>2739</v>
      </c>
      <c r="G1594" s="1">
        <v>44691</v>
      </c>
      <c r="H1594" s="1">
        <v>45778</v>
      </c>
      <c r="I1594" s="1" t="e">
        <v>#N/A</v>
      </c>
      <c r="J1594" s="2" t="s">
        <v>2656</v>
      </c>
      <c r="K1594" t="s">
        <v>2740</v>
      </c>
      <c r="M1594" s="16" t="s">
        <v>8548</v>
      </c>
      <c r="N1594" s="16" t="str">
        <f>VLOOKUP(M1594,Tab_Zast[[Zastávka]:[Sloupec1]],2,0)</f>
        <v>108</v>
      </c>
      <c r="O1594" t="s">
        <v>2741</v>
      </c>
      <c r="P1594">
        <v>7</v>
      </c>
      <c r="Q1594">
        <v>0</v>
      </c>
      <c r="R1594" t="s">
        <v>31</v>
      </c>
      <c r="S1594" t="s">
        <v>31</v>
      </c>
      <c r="T1594" t="s">
        <v>32</v>
      </c>
      <c r="V1594" s="1" t="e">
        <v>#N/A</v>
      </c>
      <c r="W1594" t="s">
        <v>2729</v>
      </c>
      <c r="X1594">
        <v>0</v>
      </c>
      <c r="Y1594">
        <v>0</v>
      </c>
      <c r="AA1594" t="str">
        <f t="shared" si="48"/>
        <v>update zamestnanci set nastup='108' where id='633';</v>
      </c>
      <c r="AB1594" t="str">
        <f t="shared" si="49"/>
        <v>update dochazka set zastavka = '108' where zamestnanec = '633';</v>
      </c>
    </row>
    <row r="1595" spans="1:28" x14ac:dyDescent="0.25">
      <c r="A1595" s="2">
        <v>634</v>
      </c>
      <c r="B1595" t="s">
        <v>2742</v>
      </c>
      <c r="D1595" t="s">
        <v>2743</v>
      </c>
      <c r="E1595" t="s">
        <v>2744</v>
      </c>
      <c r="F1595" t="s">
        <v>2745</v>
      </c>
      <c r="G1595" s="1">
        <v>44927</v>
      </c>
      <c r="H1595" s="1">
        <v>45314</v>
      </c>
      <c r="I1595" s="1">
        <v>73050</v>
      </c>
      <c r="J1595" s="2" t="s">
        <v>2656</v>
      </c>
      <c r="K1595" t="s">
        <v>2746</v>
      </c>
      <c r="M1595" s="16" t="s">
        <v>8548</v>
      </c>
      <c r="N1595" s="16" t="str">
        <f>VLOOKUP(M1595,Tab_Zast[[Zastávka]:[Sloupec1]],2,0)</f>
        <v>108</v>
      </c>
      <c r="O1595" t="s">
        <v>2747</v>
      </c>
      <c r="P1595">
        <v>7</v>
      </c>
      <c r="Q1595">
        <v>0</v>
      </c>
      <c r="R1595" t="s">
        <v>31</v>
      </c>
      <c r="S1595" t="s">
        <v>31</v>
      </c>
      <c r="T1595" t="s">
        <v>32</v>
      </c>
      <c r="V1595" s="1" t="e">
        <v>#N/A</v>
      </c>
      <c r="W1595" t="s">
        <v>2735</v>
      </c>
      <c r="X1595">
        <v>0</v>
      </c>
      <c r="Y1595">
        <v>0</v>
      </c>
      <c r="AA1595" t="str">
        <f t="shared" si="48"/>
        <v>update zamestnanci set nastup='108' where id='634';</v>
      </c>
      <c r="AB1595" t="str">
        <f t="shared" si="49"/>
        <v>update dochazka set zastavka = '108' where zamestnanec = '634';</v>
      </c>
    </row>
    <row r="1596" spans="1:28" x14ac:dyDescent="0.25">
      <c r="A1596" s="2">
        <v>635</v>
      </c>
      <c r="B1596" t="s">
        <v>2748</v>
      </c>
      <c r="C1596" t="s">
        <v>64</v>
      </c>
      <c r="D1596" t="s">
        <v>2749</v>
      </c>
      <c r="E1596" t="s">
        <v>2750</v>
      </c>
      <c r="F1596" t="s">
        <v>2751</v>
      </c>
      <c r="G1596" s="1">
        <v>45160</v>
      </c>
      <c r="H1596" s="1">
        <v>45838</v>
      </c>
      <c r="I1596" s="1">
        <v>73050</v>
      </c>
      <c r="J1596" s="2" t="s">
        <v>2656</v>
      </c>
      <c r="K1596" t="s">
        <v>2752</v>
      </c>
      <c r="M1596" s="16" t="s">
        <v>8548</v>
      </c>
      <c r="N1596" s="16" t="str">
        <f>VLOOKUP(M1596,Tab_Zast[[Zastávka]:[Sloupec1]],2,0)</f>
        <v>108</v>
      </c>
      <c r="O1596" t="s">
        <v>2753</v>
      </c>
      <c r="P1596">
        <v>7</v>
      </c>
      <c r="Q1596">
        <v>0</v>
      </c>
      <c r="R1596" t="s">
        <v>31</v>
      </c>
      <c r="S1596" t="s">
        <v>31</v>
      </c>
      <c r="T1596" t="s">
        <v>32</v>
      </c>
      <c r="V1596" s="1">
        <v>45784</v>
      </c>
      <c r="W1596" t="s">
        <v>2735</v>
      </c>
      <c r="X1596">
        <v>0</v>
      </c>
      <c r="Y1596">
        <v>0</v>
      </c>
      <c r="AA1596" t="str">
        <f t="shared" si="48"/>
        <v>update zamestnanci set nastup='108' where id='635';</v>
      </c>
      <c r="AB1596" t="str">
        <f t="shared" si="49"/>
        <v>update dochazka set zastavka = '108' where zamestnanec = '635';</v>
      </c>
    </row>
    <row r="1597" spans="1:28" x14ac:dyDescent="0.25">
      <c r="A1597" s="2">
        <v>639</v>
      </c>
      <c r="B1597" t="s">
        <v>2764</v>
      </c>
      <c r="D1597" t="s">
        <v>2765</v>
      </c>
      <c r="E1597" t="s">
        <v>2766</v>
      </c>
      <c r="F1597" t="s">
        <v>2767</v>
      </c>
      <c r="G1597" s="1">
        <v>45215</v>
      </c>
      <c r="H1597" s="1">
        <v>45341</v>
      </c>
      <c r="I1597" s="1">
        <v>73050</v>
      </c>
      <c r="J1597" s="2" t="s">
        <v>8493</v>
      </c>
      <c r="K1597" t="s">
        <v>2768</v>
      </c>
      <c r="M1597" s="16" t="s">
        <v>8494</v>
      </c>
      <c r="N1597" s="16" t="str">
        <f>VLOOKUP(M1597,Tab_Zast[[Zastávka]:[Sloupec1]],2,0)</f>
        <v>86</v>
      </c>
      <c r="O1597" t="s">
        <v>2769</v>
      </c>
      <c r="P1597">
        <v>1</v>
      </c>
      <c r="Q1597">
        <v>0</v>
      </c>
      <c r="R1597" t="s">
        <v>31</v>
      </c>
      <c r="S1597" t="s">
        <v>31</v>
      </c>
      <c r="T1597" t="s">
        <v>32</v>
      </c>
      <c r="V1597" s="1" t="e">
        <v>#N/A</v>
      </c>
      <c r="W1597" t="s">
        <v>47</v>
      </c>
      <c r="X1597">
        <v>0</v>
      </c>
      <c r="Y1597">
        <v>0</v>
      </c>
      <c r="AA1597" t="str">
        <f t="shared" si="48"/>
        <v>update zamestnanci set nastup='86' where id='639';</v>
      </c>
      <c r="AB1597" t="str">
        <f t="shared" si="49"/>
        <v>update dochazka set zastavka = '86' where zamestnanec = '639';</v>
      </c>
    </row>
    <row r="1598" spans="1:28" x14ac:dyDescent="0.25">
      <c r="A1598" s="2">
        <v>641</v>
      </c>
      <c r="B1598" t="s">
        <v>2775</v>
      </c>
      <c r="D1598" t="s">
        <v>2776</v>
      </c>
      <c r="E1598" t="s">
        <v>2777</v>
      </c>
      <c r="F1598" t="s">
        <v>2778</v>
      </c>
      <c r="G1598" s="1">
        <v>45215</v>
      </c>
      <c r="H1598" s="1">
        <v>45260</v>
      </c>
      <c r="I1598" s="1" t="e">
        <v>#N/A</v>
      </c>
      <c r="J1598" s="2" t="s">
        <v>2656</v>
      </c>
      <c r="K1598" t="s">
        <v>2779</v>
      </c>
      <c r="M1598" s="16" t="s">
        <v>8548</v>
      </c>
      <c r="N1598" s="16" t="str">
        <f>VLOOKUP(M1598,Tab_Zast[[Zastávka]:[Sloupec1]],2,0)</f>
        <v>108</v>
      </c>
      <c r="O1598" t="s">
        <v>2780</v>
      </c>
      <c r="P1598">
        <v>1</v>
      </c>
      <c r="Q1598">
        <v>0</v>
      </c>
      <c r="R1598" t="s">
        <v>31</v>
      </c>
      <c r="S1598" t="s">
        <v>31</v>
      </c>
      <c r="T1598" t="s">
        <v>32</v>
      </c>
      <c r="V1598" s="1" t="e">
        <v>#N/A</v>
      </c>
      <c r="W1598" t="s">
        <v>47</v>
      </c>
      <c r="X1598">
        <v>0</v>
      </c>
      <c r="Y1598">
        <v>0</v>
      </c>
      <c r="Z1598" t="s">
        <v>54</v>
      </c>
      <c r="AA1598" t="str">
        <f t="shared" si="48"/>
        <v>update zamestnanci set nastup='108' where id='641';</v>
      </c>
      <c r="AB1598" t="str">
        <f t="shared" si="49"/>
        <v>update dochazka set zastavka = '108' where zamestnanec = '641';</v>
      </c>
    </row>
    <row r="1599" spans="1:28" x14ac:dyDescent="0.25">
      <c r="A1599" s="2">
        <v>642</v>
      </c>
      <c r="B1599" t="s">
        <v>1434</v>
      </c>
      <c r="D1599" t="s">
        <v>2781</v>
      </c>
      <c r="E1599" t="s">
        <v>2782</v>
      </c>
      <c r="F1599" t="s">
        <v>2783</v>
      </c>
      <c r="G1599" s="1">
        <v>45215</v>
      </c>
      <c r="H1599" s="1">
        <v>45260</v>
      </c>
      <c r="I1599" s="1" t="e">
        <v>#N/A</v>
      </c>
      <c r="J1599" s="2" t="s">
        <v>2656</v>
      </c>
      <c r="K1599" t="s">
        <v>2784</v>
      </c>
      <c r="M1599" s="16" t="s">
        <v>8548</v>
      </c>
      <c r="N1599" s="16" t="str">
        <f>VLOOKUP(M1599,Tab_Zast[[Zastávka]:[Sloupec1]],2,0)</f>
        <v>108</v>
      </c>
      <c r="O1599" t="s">
        <v>2780</v>
      </c>
      <c r="P1599">
        <v>1</v>
      </c>
      <c r="Q1599">
        <v>0</v>
      </c>
      <c r="R1599" t="s">
        <v>31</v>
      </c>
      <c r="S1599" t="s">
        <v>31</v>
      </c>
      <c r="T1599" t="s">
        <v>32</v>
      </c>
      <c r="V1599" s="1" t="e">
        <v>#N/A</v>
      </c>
      <c r="W1599" t="s">
        <v>47</v>
      </c>
      <c r="X1599">
        <v>0</v>
      </c>
      <c r="Y1599">
        <v>0</v>
      </c>
      <c r="Z1599" t="s">
        <v>54</v>
      </c>
      <c r="AA1599" t="str">
        <f t="shared" si="48"/>
        <v>update zamestnanci set nastup='108' where id='642';</v>
      </c>
      <c r="AB1599" t="str">
        <f t="shared" si="49"/>
        <v>update dochazka set zastavka = '108' where zamestnanec = '642';</v>
      </c>
    </row>
    <row r="1600" spans="1:28" x14ac:dyDescent="0.25">
      <c r="A1600" s="2">
        <v>647</v>
      </c>
      <c r="B1600" t="s">
        <v>2804</v>
      </c>
      <c r="C1600" t="s">
        <v>2805</v>
      </c>
      <c r="D1600" t="s">
        <v>2806</v>
      </c>
      <c r="E1600" t="s">
        <v>2807</v>
      </c>
      <c r="F1600" t="s">
        <v>2808</v>
      </c>
      <c r="G1600" s="1">
        <v>45061</v>
      </c>
      <c r="H1600" s="1">
        <v>45681</v>
      </c>
      <c r="I1600" s="1">
        <v>73050</v>
      </c>
      <c r="J1600" s="2" t="s">
        <v>2656</v>
      </c>
      <c r="K1600" t="s">
        <v>2809</v>
      </c>
      <c r="M1600" s="16" t="s">
        <v>8548</v>
      </c>
      <c r="N1600" s="16" t="str">
        <f>VLOOKUP(M1600,Tab_Zast[[Zastávka]:[Sloupec1]],2,0)</f>
        <v>108</v>
      </c>
      <c r="O1600" t="s">
        <v>2810</v>
      </c>
      <c r="P1600">
        <v>6</v>
      </c>
      <c r="Q1600">
        <v>0</v>
      </c>
      <c r="R1600" t="s">
        <v>31</v>
      </c>
      <c r="S1600" t="s">
        <v>31</v>
      </c>
      <c r="T1600" t="s">
        <v>32</v>
      </c>
      <c r="V1600" s="1" t="e">
        <v>#N/A</v>
      </c>
      <c r="W1600" t="s">
        <v>1216</v>
      </c>
      <c r="X1600">
        <v>0</v>
      </c>
      <c r="Y1600">
        <v>0</v>
      </c>
      <c r="AA1600" t="str">
        <f t="shared" si="48"/>
        <v>update zamestnanci set nastup='108' where id='647';</v>
      </c>
      <c r="AB1600" t="str">
        <f t="shared" si="49"/>
        <v>update dochazka set zastavka = '108' where zamestnanec = '647';</v>
      </c>
    </row>
    <row r="1601" spans="1:28" x14ac:dyDescent="0.25">
      <c r="A1601" s="2">
        <v>653</v>
      </c>
      <c r="B1601" t="s">
        <v>585</v>
      </c>
      <c r="C1601" t="s">
        <v>2836</v>
      </c>
      <c r="D1601" t="s">
        <v>2837</v>
      </c>
      <c r="E1601" t="s">
        <v>2838</v>
      </c>
      <c r="F1601" t="s">
        <v>2839</v>
      </c>
      <c r="G1601" s="1">
        <v>45224</v>
      </c>
      <c r="H1601" s="1">
        <v>45747</v>
      </c>
      <c r="I1601" s="1">
        <v>73050</v>
      </c>
      <c r="J1601" s="2" t="s">
        <v>2656</v>
      </c>
      <c r="K1601" t="s">
        <v>2840</v>
      </c>
      <c r="M1601" s="16" t="s">
        <v>8548</v>
      </c>
      <c r="N1601" s="16" t="str">
        <f>VLOOKUP(M1601,Tab_Zast[[Zastávka]:[Sloupec1]],2,0)</f>
        <v>108</v>
      </c>
      <c r="O1601" t="s">
        <v>2841</v>
      </c>
      <c r="P1601">
        <v>6</v>
      </c>
      <c r="Q1601">
        <v>0</v>
      </c>
      <c r="R1601" t="s">
        <v>31</v>
      </c>
      <c r="S1601" t="s">
        <v>31</v>
      </c>
      <c r="T1601" t="s">
        <v>32</v>
      </c>
      <c r="V1601" s="1" t="e">
        <v>#N/A</v>
      </c>
      <c r="W1601" t="s">
        <v>1216</v>
      </c>
      <c r="X1601">
        <v>0</v>
      </c>
      <c r="Y1601">
        <v>0</v>
      </c>
      <c r="AA1601" t="str">
        <f t="shared" si="48"/>
        <v>update zamestnanci set nastup='108' where id='653';</v>
      </c>
      <c r="AB1601" t="str">
        <f t="shared" si="49"/>
        <v>update dochazka set zastavka = '108' where zamestnanec = '653';</v>
      </c>
    </row>
    <row r="1602" spans="1:28" x14ac:dyDescent="0.25">
      <c r="A1602" s="2">
        <v>671</v>
      </c>
      <c r="B1602" t="s">
        <v>2933</v>
      </c>
      <c r="D1602" t="s">
        <v>2934</v>
      </c>
      <c r="E1602" t="s">
        <v>2935</v>
      </c>
      <c r="F1602" t="s">
        <v>333</v>
      </c>
      <c r="G1602" s="1">
        <v>45229</v>
      </c>
      <c r="H1602" s="1">
        <v>45362</v>
      </c>
      <c r="I1602" s="1">
        <v>73050</v>
      </c>
      <c r="J1602" s="2" t="s">
        <v>8493</v>
      </c>
      <c r="K1602" t="s">
        <v>2936</v>
      </c>
      <c r="M1602" s="16" t="s">
        <v>8494</v>
      </c>
      <c r="N1602" s="16" t="str">
        <f>VLOOKUP(M1602,Tab_Zast[[Zastávka]:[Sloupec1]],2,0)</f>
        <v>86</v>
      </c>
      <c r="O1602" t="s">
        <v>2937</v>
      </c>
      <c r="P1602">
        <v>1</v>
      </c>
      <c r="Q1602">
        <v>0</v>
      </c>
      <c r="R1602" t="s">
        <v>31</v>
      </c>
      <c r="S1602" t="s">
        <v>31</v>
      </c>
      <c r="T1602" t="s">
        <v>32</v>
      </c>
      <c r="V1602" s="1">
        <v>45359</v>
      </c>
      <c r="W1602" t="s">
        <v>47</v>
      </c>
      <c r="X1602">
        <v>0</v>
      </c>
      <c r="Y1602">
        <v>0</v>
      </c>
      <c r="AA1602" t="str">
        <f t="shared" si="48"/>
        <v>update zamestnanci set nastup='86' where id='671';</v>
      </c>
      <c r="AB1602" t="str">
        <f t="shared" si="49"/>
        <v>update dochazka set zastavka = '86' where zamestnanec = '671';</v>
      </c>
    </row>
    <row r="1603" spans="1:28" x14ac:dyDescent="0.25">
      <c r="A1603" s="2">
        <v>673</v>
      </c>
      <c r="B1603" t="s">
        <v>2944</v>
      </c>
      <c r="C1603" t="s">
        <v>2944</v>
      </c>
      <c r="D1603" t="s">
        <v>2945</v>
      </c>
      <c r="E1603" t="s">
        <v>2946</v>
      </c>
      <c r="F1603" t="s">
        <v>666</v>
      </c>
      <c r="G1603" s="1">
        <v>45222</v>
      </c>
      <c r="H1603" s="1">
        <v>45457</v>
      </c>
      <c r="I1603" s="1">
        <v>73050</v>
      </c>
      <c r="J1603" s="2" t="s">
        <v>8493</v>
      </c>
      <c r="K1603" t="s">
        <v>2947</v>
      </c>
      <c r="M1603" s="16" t="s">
        <v>8494</v>
      </c>
      <c r="N1603" s="16" t="str">
        <f>VLOOKUP(M1603,Tab_Zast[[Zastávka]:[Sloupec1]],2,0)</f>
        <v>86</v>
      </c>
      <c r="O1603" t="s">
        <v>2948</v>
      </c>
      <c r="P1603">
        <v>1</v>
      </c>
      <c r="Q1603">
        <v>0</v>
      </c>
      <c r="R1603" t="s">
        <v>31</v>
      </c>
      <c r="S1603" t="s">
        <v>31</v>
      </c>
      <c r="T1603" t="s">
        <v>32</v>
      </c>
      <c r="V1603" s="1" t="e">
        <v>#N/A</v>
      </c>
      <c r="W1603" t="s">
        <v>47</v>
      </c>
      <c r="X1603">
        <v>0</v>
      </c>
      <c r="Y1603">
        <v>0</v>
      </c>
      <c r="AA1603" t="str">
        <f t="shared" si="48"/>
        <v>update zamestnanci set nastup='86' where id='673';</v>
      </c>
      <c r="AB1603" t="str">
        <f t="shared" si="49"/>
        <v>update dochazka set zastavka = '86' where zamestnanec = '673';</v>
      </c>
    </row>
    <row r="1604" spans="1:28" x14ac:dyDescent="0.25">
      <c r="A1604" s="2">
        <v>687</v>
      </c>
      <c r="B1604" t="s">
        <v>3024</v>
      </c>
      <c r="D1604" t="s">
        <v>3025</v>
      </c>
      <c r="E1604" t="s">
        <v>3026</v>
      </c>
      <c r="F1604" t="s">
        <v>1490</v>
      </c>
      <c r="G1604" s="1">
        <v>45238</v>
      </c>
      <c r="H1604" s="1">
        <v>45299</v>
      </c>
      <c r="I1604" s="1">
        <v>73050</v>
      </c>
      <c r="J1604" s="2" t="s">
        <v>2656</v>
      </c>
      <c r="K1604" t="s">
        <v>3027</v>
      </c>
      <c r="M1604" s="16" t="s">
        <v>8548</v>
      </c>
      <c r="N1604" s="16" t="str">
        <f>VLOOKUP(M1604,Tab_Zast[[Zastávka]:[Sloupec1]],2,0)</f>
        <v>108</v>
      </c>
      <c r="O1604" t="s">
        <v>3028</v>
      </c>
      <c r="P1604">
        <v>6</v>
      </c>
      <c r="Q1604">
        <v>0</v>
      </c>
      <c r="R1604" t="s">
        <v>31</v>
      </c>
      <c r="S1604" t="s">
        <v>31</v>
      </c>
      <c r="T1604" t="s">
        <v>32</v>
      </c>
      <c r="V1604" s="1" t="e">
        <v>#N/A</v>
      </c>
      <c r="W1604" t="s">
        <v>1216</v>
      </c>
      <c r="X1604">
        <v>0</v>
      </c>
      <c r="Y1604">
        <v>0</v>
      </c>
      <c r="Z1604" t="s">
        <v>54</v>
      </c>
      <c r="AA1604" t="str">
        <f t="shared" ref="AA1604:AA1667" si="50">IF(J1604&lt;&gt;"00","update zamestnanci set nastup='" &amp; J1604 &amp; "' where id='" &amp; A1604 &amp; "';","")</f>
        <v>update zamestnanci set nastup='108' where id='687';</v>
      </c>
      <c r="AB1604" t="str">
        <f t="shared" ref="AB1604:AB1667" si="51">IF(J1604&lt;&gt;"00","update dochazka set zastavka = '" &amp; J1604 &amp; "' where zamestnanec = '" &amp; A1604 &amp; "';","")</f>
        <v>update dochazka set zastavka = '108' where zamestnanec = '687';</v>
      </c>
    </row>
    <row r="1605" spans="1:28" x14ac:dyDescent="0.25">
      <c r="A1605" s="2">
        <v>691</v>
      </c>
      <c r="B1605" t="s">
        <v>3046</v>
      </c>
      <c r="D1605" t="s">
        <v>3047</v>
      </c>
      <c r="E1605" t="s">
        <v>3048</v>
      </c>
      <c r="F1605" t="s">
        <v>3049</v>
      </c>
      <c r="G1605" s="1">
        <v>45245</v>
      </c>
      <c r="H1605" s="1">
        <v>45273</v>
      </c>
      <c r="I1605" s="1" t="e">
        <v>#N/A</v>
      </c>
      <c r="J1605" s="2" t="s">
        <v>2656</v>
      </c>
      <c r="K1605" t="s">
        <v>3050</v>
      </c>
      <c r="M1605" s="16" t="s">
        <v>8548</v>
      </c>
      <c r="N1605" s="16" t="str">
        <f>VLOOKUP(M1605,Tab_Zast[[Zastávka]:[Sloupec1]],2,0)</f>
        <v>108</v>
      </c>
      <c r="O1605" t="s">
        <v>3051</v>
      </c>
      <c r="P1605">
        <v>6</v>
      </c>
      <c r="Q1605">
        <v>0</v>
      </c>
      <c r="R1605" t="s">
        <v>31</v>
      </c>
      <c r="S1605" t="s">
        <v>31</v>
      </c>
      <c r="T1605" t="s">
        <v>32</v>
      </c>
      <c r="V1605" s="1" t="e">
        <v>#N/A</v>
      </c>
      <c r="W1605" t="s">
        <v>3052</v>
      </c>
      <c r="X1605">
        <v>0</v>
      </c>
      <c r="Y1605">
        <v>0</v>
      </c>
      <c r="Z1605" t="s">
        <v>54</v>
      </c>
      <c r="AA1605" t="str">
        <f t="shared" si="50"/>
        <v>update zamestnanci set nastup='108' where id='691';</v>
      </c>
      <c r="AB1605" t="str">
        <f t="shared" si="51"/>
        <v>update dochazka set zastavka = '108' where zamestnanec = '691';</v>
      </c>
    </row>
    <row r="1606" spans="1:28" x14ac:dyDescent="0.25">
      <c r="A1606" s="2">
        <v>694</v>
      </c>
      <c r="B1606" t="s">
        <v>3063</v>
      </c>
      <c r="D1606" t="s">
        <v>1710</v>
      </c>
      <c r="E1606" t="s">
        <v>3064</v>
      </c>
      <c r="F1606" t="s">
        <v>3065</v>
      </c>
      <c r="G1606" s="1">
        <v>45245</v>
      </c>
      <c r="H1606" s="1">
        <v>45303</v>
      </c>
      <c r="I1606" s="1">
        <v>73050</v>
      </c>
      <c r="J1606" s="2" t="s">
        <v>2656</v>
      </c>
      <c r="K1606" t="s">
        <v>3066</v>
      </c>
      <c r="M1606" s="16" t="s">
        <v>8548</v>
      </c>
      <c r="N1606" s="16" t="str">
        <f>VLOOKUP(M1606,Tab_Zast[[Zastávka]:[Sloupec1]],2,0)</f>
        <v>108</v>
      </c>
      <c r="O1606" t="s">
        <v>3067</v>
      </c>
      <c r="P1606">
        <v>6</v>
      </c>
      <c r="Q1606">
        <v>0</v>
      </c>
      <c r="R1606" t="s">
        <v>31</v>
      </c>
      <c r="S1606" t="s">
        <v>31</v>
      </c>
      <c r="T1606" t="s">
        <v>32</v>
      </c>
      <c r="V1606" s="1" t="e">
        <v>#N/A</v>
      </c>
      <c r="W1606" t="s">
        <v>3052</v>
      </c>
      <c r="X1606">
        <v>0</v>
      </c>
      <c r="Y1606">
        <v>0</v>
      </c>
      <c r="Z1606" t="s">
        <v>54</v>
      </c>
      <c r="AA1606" t="str">
        <f t="shared" si="50"/>
        <v>update zamestnanci set nastup='108' where id='694';</v>
      </c>
      <c r="AB1606" t="str">
        <f t="shared" si="51"/>
        <v>update dochazka set zastavka = '108' where zamestnanec = '694';</v>
      </c>
    </row>
    <row r="1607" spans="1:28" x14ac:dyDescent="0.25">
      <c r="A1607" s="2">
        <v>699</v>
      </c>
      <c r="B1607" t="s">
        <v>3092</v>
      </c>
      <c r="C1607" t="s">
        <v>3093</v>
      </c>
      <c r="D1607" t="s">
        <v>3094</v>
      </c>
      <c r="E1607" t="s">
        <v>3095</v>
      </c>
      <c r="F1607" t="s">
        <v>3096</v>
      </c>
      <c r="G1607" s="1">
        <v>45258</v>
      </c>
      <c r="H1607" s="1">
        <v>45440</v>
      </c>
      <c r="I1607" s="1">
        <v>73050</v>
      </c>
      <c r="J1607" s="2" t="s">
        <v>2656</v>
      </c>
      <c r="K1607" t="s">
        <v>3097</v>
      </c>
      <c r="M1607" s="16" t="s">
        <v>8548</v>
      </c>
      <c r="N1607" s="16" t="str">
        <f>VLOOKUP(M1607,Tab_Zast[[Zastávka]:[Sloupec1]],2,0)</f>
        <v>108</v>
      </c>
      <c r="O1607" t="s">
        <v>3098</v>
      </c>
      <c r="P1607">
        <v>6</v>
      </c>
      <c r="Q1607">
        <v>0</v>
      </c>
      <c r="R1607" t="s">
        <v>31</v>
      </c>
      <c r="S1607" t="s">
        <v>31</v>
      </c>
      <c r="T1607" t="s">
        <v>32</v>
      </c>
      <c r="V1607" s="1" t="e">
        <v>#N/A</v>
      </c>
      <c r="W1607" t="s">
        <v>1216</v>
      </c>
      <c r="X1607">
        <v>0</v>
      </c>
      <c r="Y1607">
        <v>0</v>
      </c>
      <c r="AA1607" t="str">
        <f t="shared" si="50"/>
        <v>update zamestnanci set nastup='108' where id='699';</v>
      </c>
      <c r="AB1607" t="str">
        <f t="shared" si="51"/>
        <v>update dochazka set zastavka = '108' where zamestnanec = '699';</v>
      </c>
    </row>
    <row r="1608" spans="1:28" x14ac:dyDescent="0.25">
      <c r="A1608" s="2">
        <v>717</v>
      </c>
      <c r="B1608" t="s">
        <v>3176</v>
      </c>
      <c r="C1608" t="s">
        <v>3177</v>
      </c>
      <c r="D1608" t="s">
        <v>3178</v>
      </c>
      <c r="E1608" t="s">
        <v>3179</v>
      </c>
      <c r="F1608" t="s">
        <v>3180</v>
      </c>
      <c r="G1608" s="1">
        <v>45280</v>
      </c>
      <c r="H1608" s="1">
        <v>73050</v>
      </c>
      <c r="I1608" s="1" t="e">
        <v>#N/A</v>
      </c>
      <c r="J1608" s="2" t="s">
        <v>2656</v>
      </c>
      <c r="K1608" t="s">
        <v>3181</v>
      </c>
      <c r="M1608" s="16" t="s">
        <v>8548</v>
      </c>
      <c r="N1608" s="16" t="str">
        <f>VLOOKUP(M1608,Tab_Zast[[Zastávka]:[Sloupec1]],2,0)</f>
        <v>108</v>
      </c>
      <c r="O1608" t="s">
        <v>3182</v>
      </c>
      <c r="P1608">
        <v>6</v>
      </c>
      <c r="Q1608">
        <v>0</v>
      </c>
      <c r="R1608" t="s">
        <v>129</v>
      </c>
      <c r="S1608" t="s">
        <v>31</v>
      </c>
      <c r="T1608" t="s">
        <v>32</v>
      </c>
      <c r="V1608" s="1" t="e">
        <v>#N/A</v>
      </c>
      <c r="W1608" t="s">
        <v>1216</v>
      </c>
      <c r="X1608">
        <v>1</v>
      </c>
      <c r="Y1608">
        <v>0</v>
      </c>
      <c r="AA1608" t="str">
        <f t="shared" si="50"/>
        <v>update zamestnanci set nastup='108' where id='717';</v>
      </c>
      <c r="AB1608" t="str">
        <f t="shared" si="51"/>
        <v>update dochazka set zastavka = '108' where zamestnanec = '717';</v>
      </c>
    </row>
    <row r="1609" spans="1:28" x14ac:dyDescent="0.25">
      <c r="A1609" s="2">
        <v>719</v>
      </c>
      <c r="B1609" t="s">
        <v>3189</v>
      </c>
      <c r="C1609" t="s">
        <v>3190</v>
      </c>
      <c r="D1609" t="s">
        <v>3191</v>
      </c>
      <c r="E1609" t="s">
        <v>3192</v>
      </c>
      <c r="F1609" t="s">
        <v>67</v>
      </c>
      <c r="G1609" s="1">
        <v>45280</v>
      </c>
      <c r="H1609" s="1">
        <v>73050</v>
      </c>
      <c r="I1609" s="1" t="e">
        <v>#N/A</v>
      </c>
      <c r="J1609" s="2" t="s">
        <v>2656</v>
      </c>
      <c r="K1609" t="s">
        <v>3193</v>
      </c>
      <c r="M1609" s="16" t="s">
        <v>8548</v>
      </c>
      <c r="N1609" s="16" t="str">
        <f>VLOOKUP(M1609,Tab_Zast[[Zastávka]:[Sloupec1]],2,0)</f>
        <v>108</v>
      </c>
      <c r="O1609" t="s">
        <v>3194</v>
      </c>
      <c r="P1609">
        <v>6</v>
      </c>
      <c r="Q1609">
        <v>0</v>
      </c>
      <c r="R1609" t="s">
        <v>179</v>
      </c>
      <c r="S1609" t="s">
        <v>31</v>
      </c>
      <c r="T1609" t="s">
        <v>32</v>
      </c>
      <c r="V1609" s="1" t="e">
        <v>#N/A</v>
      </c>
      <c r="W1609" t="s">
        <v>1216</v>
      </c>
      <c r="X1609">
        <v>1</v>
      </c>
      <c r="Y1609">
        <v>0</v>
      </c>
      <c r="AA1609" t="str">
        <f t="shared" si="50"/>
        <v>update zamestnanci set nastup='108' where id='719';</v>
      </c>
      <c r="AB1609" t="str">
        <f t="shared" si="51"/>
        <v>update dochazka set zastavka = '108' where zamestnanec = '719';</v>
      </c>
    </row>
    <row r="1610" spans="1:28" x14ac:dyDescent="0.25">
      <c r="A1610" s="2">
        <v>720</v>
      </c>
      <c r="B1610" t="s">
        <v>3195</v>
      </c>
      <c r="C1610" t="s">
        <v>3196</v>
      </c>
      <c r="D1610" t="s">
        <v>3197</v>
      </c>
      <c r="E1610" t="s">
        <v>3198</v>
      </c>
      <c r="F1610" t="s">
        <v>3199</v>
      </c>
      <c r="G1610" s="1">
        <v>45280</v>
      </c>
      <c r="H1610" s="1">
        <v>45464</v>
      </c>
      <c r="I1610" s="1">
        <v>73050</v>
      </c>
      <c r="J1610" s="2" t="s">
        <v>2656</v>
      </c>
      <c r="K1610" t="s">
        <v>3200</v>
      </c>
      <c r="M1610" s="16" t="s">
        <v>8548</v>
      </c>
      <c r="N1610" s="16" t="str">
        <f>VLOOKUP(M1610,Tab_Zast[[Zastávka]:[Sloupec1]],2,0)</f>
        <v>108</v>
      </c>
      <c r="O1610" t="s">
        <v>3201</v>
      </c>
      <c r="P1610">
        <v>6</v>
      </c>
      <c r="Q1610">
        <v>0</v>
      </c>
      <c r="R1610" t="s">
        <v>31</v>
      </c>
      <c r="S1610" t="s">
        <v>31</v>
      </c>
      <c r="T1610" t="s">
        <v>32</v>
      </c>
      <c r="V1610" s="1">
        <v>45450</v>
      </c>
      <c r="W1610" t="s">
        <v>1216</v>
      </c>
      <c r="X1610">
        <v>0</v>
      </c>
      <c r="Y1610">
        <v>0</v>
      </c>
      <c r="AA1610" t="str">
        <f t="shared" si="50"/>
        <v>update zamestnanci set nastup='108' where id='720';</v>
      </c>
      <c r="AB1610" t="str">
        <f t="shared" si="51"/>
        <v>update dochazka set zastavka = '108' where zamestnanec = '720';</v>
      </c>
    </row>
    <row r="1611" spans="1:28" x14ac:dyDescent="0.25">
      <c r="A1611" s="2">
        <v>722</v>
      </c>
      <c r="B1611" t="s">
        <v>3208</v>
      </c>
      <c r="D1611" t="s">
        <v>3209</v>
      </c>
      <c r="E1611" t="s">
        <v>611</v>
      </c>
      <c r="F1611" t="s">
        <v>67</v>
      </c>
      <c r="G1611" s="1">
        <v>45293</v>
      </c>
      <c r="H1611" s="1">
        <v>45341</v>
      </c>
      <c r="I1611" s="1">
        <v>73050</v>
      </c>
      <c r="J1611" s="2" t="s">
        <v>2656</v>
      </c>
      <c r="K1611" t="s">
        <v>3210</v>
      </c>
      <c r="M1611" s="16" t="s">
        <v>8548</v>
      </c>
      <c r="N1611" s="16" t="str">
        <f>VLOOKUP(M1611,Tab_Zast[[Zastávka]:[Sloupec1]],2,0)</f>
        <v>108</v>
      </c>
      <c r="O1611" t="s">
        <v>3211</v>
      </c>
      <c r="P1611">
        <v>6</v>
      </c>
      <c r="Q1611">
        <v>0</v>
      </c>
      <c r="R1611" t="s">
        <v>31</v>
      </c>
      <c r="S1611" t="s">
        <v>31</v>
      </c>
      <c r="T1611" t="s">
        <v>32</v>
      </c>
      <c r="V1611" s="1" t="e">
        <v>#N/A</v>
      </c>
      <c r="W1611" t="s">
        <v>1216</v>
      </c>
      <c r="X1611">
        <v>0</v>
      </c>
      <c r="Y1611">
        <v>0</v>
      </c>
      <c r="Z1611" t="s">
        <v>54</v>
      </c>
      <c r="AA1611" t="str">
        <f t="shared" si="50"/>
        <v>update zamestnanci set nastup='108' where id='722';</v>
      </c>
      <c r="AB1611" t="str">
        <f t="shared" si="51"/>
        <v>update dochazka set zastavka = '108' where zamestnanec = '722';</v>
      </c>
    </row>
    <row r="1612" spans="1:28" x14ac:dyDescent="0.25">
      <c r="A1612" s="2">
        <v>726</v>
      </c>
      <c r="B1612" t="s">
        <v>3221</v>
      </c>
      <c r="C1612" t="s">
        <v>3222</v>
      </c>
      <c r="D1612" t="s">
        <v>1902</v>
      </c>
      <c r="E1612" t="s">
        <v>3223</v>
      </c>
      <c r="F1612" t="s">
        <v>3224</v>
      </c>
      <c r="G1612" s="1">
        <v>45293</v>
      </c>
      <c r="H1612" s="1">
        <v>73050</v>
      </c>
      <c r="I1612" s="1" t="e">
        <v>#N/A</v>
      </c>
      <c r="J1612" s="2" t="s">
        <v>2656</v>
      </c>
      <c r="K1612" t="s">
        <v>3225</v>
      </c>
      <c r="M1612" s="16" t="s">
        <v>8548</v>
      </c>
      <c r="N1612" s="16" t="str">
        <f>VLOOKUP(M1612,Tab_Zast[[Zastávka]:[Sloupec1]],2,0)</f>
        <v>108</v>
      </c>
      <c r="O1612" t="s">
        <v>3226</v>
      </c>
      <c r="P1612">
        <v>6</v>
      </c>
      <c r="Q1612">
        <v>0</v>
      </c>
      <c r="R1612" t="s">
        <v>179</v>
      </c>
      <c r="S1612" t="s">
        <v>31</v>
      </c>
      <c r="T1612" t="s">
        <v>32</v>
      </c>
      <c r="V1612" s="1" t="e">
        <v>#N/A</v>
      </c>
      <c r="W1612" t="s">
        <v>1216</v>
      </c>
      <c r="X1612">
        <v>1</v>
      </c>
      <c r="Y1612">
        <v>0</v>
      </c>
      <c r="AA1612" t="str">
        <f t="shared" si="50"/>
        <v>update zamestnanci set nastup='108' where id='726';</v>
      </c>
      <c r="AB1612" t="str">
        <f t="shared" si="51"/>
        <v>update dochazka set zastavka = '108' where zamestnanec = '726';</v>
      </c>
    </row>
    <row r="1613" spans="1:28" x14ac:dyDescent="0.25">
      <c r="A1613" s="2">
        <v>729</v>
      </c>
      <c r="B1613" t="s">
        <v>3235</v>
      </c>
      <c r="C1613" t="s">
        <v>3236</v>
      </c>
      <c r="D1613" t="s">
        <v>3237</v>
      </c>
      <c r="E1613" t="s">
        <v>3238</v>
      </c>
      <c r="F1613" t="s">
        <v>3239</v>
      </c>
      <c r="G1613" s="1">
        <v>45293</v>
      </c>
      <c r="H1613" s="1">
        <v>45657</v>
      </c>
      <c r="I1613" s="1">
        <v>73050</v>
      </c>
      <c r="J1613" s="2" t="s">
        <v>2656</v>
      </c>
      <c r="K1613" t="s">
        <v>3240</v>
      </c>
      <c r="M1613" s="16" t="s">
        <v>8548</v>
      </c>
      <c r="N1613" s="16" t="str">
        <f>VLOOKUP(M1613,Tab_Zast[[Zastávka]:[Sloupec1]],2,0)</f>
        <v>108</v>
      </c>
      <c r="O1613" t="s">
        <v>3241</v>
      </c>
      <c r="P1613">
        <v>6</v>
      </c>
      <c r="Q1613">
        <v>0</v>
      </c>
      <c r="R1613" t="s">
        <v>31</v>
      </c>
      <c r="S1613" t="s">
        <v>31</v>
      </c>
      <c r="T1613" t="s">
        <v>32</v>
      </c>
      <c r="V1613" s="1" t="e">
        <v>#N/A</v>
      </c>
      <c r="W1613" t="s">
        <v>1216</v>
      </c>
      <c r="X1613">
        <v>0</v>
      </c>
      <c r="Y1613">
        <v>0</v>
      </c>
      <c r="AA1613" t="str">
        <f t="shared" si="50"/>
        <v>update zamestnanci set nastup='108' where id='729';</v>
      </c>
      <c r="AB1613" t="str">
        <f t="shared" si="51"/>
        <v>update dochazka set zastavka = '108' where zamestnanec = '729';</v>
      </c>
    </row>
    <row r="1614" spans="1:28" x14ac:dyDescent="0.25">
      <c r="A1614" s="2">
        <v>734</v>
      </c>
      <c r="B1614" t="s">
        <v>3258</v>
      </c>
      <c r="D1614" t="s">
        <v>3259</v>
      </c>
      <c r="E1614" t="s">
        <v>3260</v>
      </c>
      <c r="F1614" t="s">
        <v>3261</v>
      </c>
      <c r="G1614" s="1">
        <v>45295</v>
      </c>
      <c r="H1614" s="1">
        <v>45310</v>
      </c>
      <c r="I1614" s="1">
        <v>73050</v>
      </c>
      <c r="J1614" s="2" t="s">
        <v>2656</v>
      </c>
      <c r="K1614" t="s">
        <v>3262</v>
      </c>
      <c r="M1614" s="16" t="s">
        <v>8548</v>
      </c>
      <c r="N1614" s="16" t="str">
        <f>VLOOKUP(M1614,Tab_Zast[[Zastávka]:[Sloupec1]],2,0)</f>
        <v>108</v>
      </c>
      <c r="O1614" t="s">
        <v>3263</v>
      </c>
      <c r="P1614">
        <v>6</v>
      </c>
      <c r="Q1614">
        <v>0</v>
      </c>
      <c r="R1614" t="s">
        <v>31</v>
      </c>
      <c r="S1614" t="s">
        <v>31</v>
      </c>
      <c r="T1614" t="s">
        <v>32</v>
      </c>
      <c r="V1614" s="1" t="e">
        <v>#N/A</v>
      </c>
      <c r="W1614" t="s">
        <v>1216</v>
      </c>
      <c r="X1614">
        <v>0</v>
      </c>
      <c r="Y1614">
        <v>0</v>
      </c>
      <c r="Z1614" t="s">
        <v>54</v>
      </c>
      <c r="AA1614" t="str">
        <f t="shared" si="50"/>
        <v>update zamestnanci set nastup='108' where id='734';</v>
      </c>
      <c r="AB1614" t="str">
        <f t="shared" si="51"/>
        <v>update dochazka set zastavka = '108' where zamestnanec = '734';</v>
      </c>
    </row>
    <row r="1615" spans="1:28" x14ac:dyDescent="0.25">
      <c r="A1615" s="2">
        <v>735</v>
      </c>
      <c r="B1615" t="s">
        <v>3264</v>
      </c>
      <c r="C1615" t="s">
        <v>3265</v>
      </c>
      <c r="D1615" t="s">
        <v>3266</v>
      </c>
      <c r="E1615" t="s">
        <v>3267</v>
      </c>
      <c r="F1615" t="s">
        <v>3268</v>
      </c>
      <c r="G1615" s="1">
        <v>45295</v>
      </c>
      <c r="H1615" s="1">
        <v>45454</v>
      </c>
      <c r="I1615" s="1">
        <v>73050</v>
      </c>
      <c r="J1615" s="2" t="s">
        <v>2656</v>
      </c>
      <c r="K1615" t="s">
        <v>3269</v>
      </c>
      <c r="M1615" s="16" t="s">
        <v>8548</v>
      </c>
      <c r="N1615" s="16" t="str">
        <f>VLOOKUP(M1615,Tab_Zast[[Zastávka]:[Sloupec1]],2,0)</f>
        <v>108</v>
      </c>
      <c r="O1615" t="s">
        <v>3270</v>
      </c>
      <c r="P1615">
        <v>6</v>
      </c>
      <c r="Q1615">
        <v>0</v>
      </c>
      <c r="R1615" t="s">
        <v>31</v>
      </c>
      <c r="S1615" t="s">
        <v>31</v>
      </c>
      <c r="T1615" t="s">
        <v>32</v>
      </c>
      <c r="V1615" s="1">
        <v>45450</v>
      </c>
      <c r="W1615" t="s">
        <v>1216</v>
      </c>
      <c r="X1615">
        <v>0</v>
      </c>
      <c r="Y1615">
        <v>0</v>
      </c>
      <c r="AA1615" t="str">
        <f t="shared" si="50"/>
        <v>update zamestnanci set nastup='108' where id='735';</v>
      </c>
      <c r="AB1615" t="str">
        <f t="shared" si="51"/>
        <v>update dochazka set zastavka = '108' where zamestnanec = '735';</v>
      </c>
    </row>
    <row r="1616" spans="1:28" x14ac:dyDescent="0.25">
      <c r="A1616" s="2">
        <v>737</v>
      </c>
      <c r="B1616" t="s">
        <v>3277</v>
      </c>
      <c r="D1616" t="s">
        <v>3278</v>
      </c>
      <c r="E1616" t="s">
        <v>3164</v>
      </c>
      <c r="F1616" t="s">
        <v>3279</v>
      </c>
      <c r="G1616" s="1">
        <v>45296</v>
      </c>
      <c r="H1616" s="1">
        <v>45366</v>
      </c>
      <c r="I1616" s="1">
        <v>73050</v>
      </c>
      <c r="J1616" s="2" t="s">
        <v>2656</v>
      </c>
      <c r="K1616" t="s">
        <v>3280</v>
      </c>
      <c r="M1616" s="16" t="s">
        <v>8548</v>
      </c>
      <c r="N1616" s="16" t="str">
        <f>VLOOKUP(M1616,Tab_Zast[[Zastávka]:[Sloupec1]],2,0)</f>
        <v>108</v>
      </c>
      <c r="O1616" t="s">
        <v>3281</v>
      </c>
      <c r="P1616">
        <v>6</v>
      </c>
      <c r="Q1616">
        <v>0</v>
      </c>
      <c r="R1616" t="s">
        <v>129</v>
      </c>
      <c r="S1616" t="s">
        <v>31</v>
      </c>
      <c r="T1616" t="s">
        <v>32</v>
      </c>
      <c r="V1616" s="1" t="e">
        <v>#N/A</v>
      </c>
      <c r="W1616" t="s">
        <v>1216</v>
      </c>
      <c r="X1616">
        <v>0</v>
      </c>
      <c r="Y1616">
        <v>0</v>
      </c>
      <c r="Z1616" t="s">
        <v>54</v>
      </c>
      <c r="AA1616" t="str">
        <f t="shared" si="50"/>
        <v>update zamestnanci set nastup='108' where id='737';</v>
      </c>
      <c r="AB1616" t="str">
        <f t="shared" si="51"/>
        <v>update dochazka set zastavka = '108' where zamestnanec = '737';</v>
      </c>
    </row>
    <row r="1617" spans="1:28" x14ac:dyDescent="0.25">
      <c r="A1617" s="2">
        <v>738</v>
      </c>
      <c r="B1617" t="s">
        <v>3282</v>
      </c>
      <c r="C1617" t="s">
        <v>3283</v>
      </c>
      <c r="D1617" t="s">
        <v>3284</v>
      </c>
      <c r="E1617" t="s">
        <v>3285</v>
      </c>
      <c r="F1617" t="s">
        <v>569</v>
      </c>
      <c r="G1617" s="1">
        <v>45293</v>
      </c>
      <c r="H1617" s="1">
        <v>45910</v>
      </c>
      <c r="I1617" s="1">
        <v>73050</v>
      </c>
      <c r="J1617" s="2" t="s">
        <v>2656</v>
      </c>
      <c r="K1617" t="s">
        <v>3286</v>
      </c>
      <c r="M1617" s="16" t="s">
        <v>8548</v>
      </c>
      <c r="N1617" s="16" t="str">
        <f>VLOOKUP(M1617,Tab_Zast[[Zastávka]:[Sloupec1]],2,0)</f>
        <v>108</v>
      </c>
      <c r="O1617" t="s">
        <v>3287</v>
      </c>
      <c r="P1617">
        <v>6</v>
      </c>
      <c r="Q1617">
        <v>0</v>
      </c>
      <c r="R1617" t="s">
        <v>31</v>
      </c>
      <c r="S1617" t="s">
        <v>31</v>
      </c>
      <c r="T1617" t="s">
        <v>32</v>
      </c>
      <c r="V1617" s="1" t="e">
        <v>#N/A</v>
      </c>
      <c r="W1617" t="s">
        <v>1216</v>
      </c>
      <c r="X1617">
        <v>0</v>
      </c>
      <c r="Y1617">
        <v>0</v>
      </c>
      <c r="AA1617" t="str">
        <f t="shared" si="50"/>
        <v>update zamestnanci set nastup='108' where id='738';</v>
      </c>
      <c r="AB1617" t="str">
        <f t="shared" si="51"/>
        <v>update dochazka set zastavka = '108' where zamestnanec = '738';</v>
      </c>
    </row>
    <row r="1618" spans="1:28" x14ac:dyDescent="0.25">
      <c r="A1618" s="2">
        <v>741</v>
      </c>
      <c r="B1618" t="s">
        <v>3297</v>
      </c>
      <c r="C1618" t="s">
        <v>64</v>
      </c>
      <c r="D1618" t="s">
        <v>3298</v>
      </c>
      <c r="E1618" t="s">
        <v>707</v>
      </c>
      <c r="F1618" t="s">
        <v>3299</v>
      </c>
      <c r="G1618" s="1">
        <v>45446</v>
      </c>
      <c r="H1618" s="1" t="e">
        <v>#N/A</v>
      </c>
      <c r="I1618" s="1" t="e">
        <v>#N/A</v>
      </c>
      <c r="J1618" s="2" t="s">
        <v>8493</v>
      </c>
      <c r="K1618" t="s">
        <v>3300</v>
      </c>
      <c r="M1618" s="16" t="s">
        <v>8494</v>
      </c>
      <c r="N1618" s="16" t="str">
        <f>VLOOKUP(M1618,Tab_Zast[[Zastávka]:[Sloupec1]],2,0)</f>
        <v>86</v>
      </c>
      <c r="O1618" t="s">
        <v>3301</v>
      </c>
      <c r="P1618">
        <v>1</v>
      </c>
      <c r="Q1618">
        <v>0</v>
      </c>
      <c r="R1618" t="s">
        <v>31</v>
      </c>
      <c r="S1618" t="s">
        <v>31</v>
      </c>
      <c r="T1618" t="s">
        <v>32</v>
      </c>
      <c r="U1618" t="s">
        <v>254</v>
      </c>
      <c r="V1618" s="1" t="e">
        <v>#N/A</v>
      </c>
      <c r="W1618" t="s">
        <v>47</v>
      </c>
      <c r="X1618">
        <v>1</v>
      </c>
      <c r="Y1618">
        <v>0</v>
      </c>
      <c r="AA1618" t="str">
        <f t="shared" si="50"/>
        <v>update zamestnanci set nastup='86' where id='741';</v>
      </c>
      <c r="AB1618" t="str">
        <f t="shared" si="51"/>
        <v>update dochazka set zastavka = '86' where zamestnanec = '741';</v>
      </c>
    </row>
    <row r="1619" spans="1:28" x14ac:dyDescent="0.25">
      <c r="A1619" s="2">
        <v>743</v>
      </c>
      <c r="B1619" t="s">
        <v>3308</v>
      </c>
      <c r="D1619" t="s">
        <v>3309</v>
      </c>
      <c r="E1619" t="s">
        <v>917</v>
      </c>
      <c r="F1619" t="s">
        <v>801</v>
      </c>
      <c r="G1619" s="1">
        <v>45307</v>
      </c>
      <c r="H1619" s="1">
        <v>45307</v>
      </c>
      <c r="I1619" s="1">
        <v>45307</v>
      </c>
      <c r="J1619" s="2" t="s">
        <v>2656</v>
      </c>
      <c r="K1619" t="s">
        <v>3310</v>
      </c>
      <c r="M1619" s="16" t="s">
        <v>8548</v>
      </c>
      <c r="N1619" s="16" t="str">
        <f>VLOOKUP(M1619,Tab_Zast[[Zastávka]:[Sloupec1]],2,0)</f>
        <v>108</v>
      </c>
      <c r="O1619" t="s">
        <v>3311</v>
      </c>
      <c r="P1619">
        <v>4</v>
      </c>
      <c r="Q1619">
        <v>0</v>
      </c>
      <c r="R1619" t="s">
        <v>31</v>
      </c>
      <c r="S1619" t="s">
        <v>31</v>
      </c>
      <c r="T1619" t="s">
        <v>32</v>
      </c>
      <c r="V1619" s="1" t="e">
        <v>#N/A</v>
      </c>
      <c r="W1619" t="s">
        <v>62</v>
      </c>
      <c r="X1619">
        <v>0</v>
      </c>
      <c r="Y1619">
        <v>0</v>
      </c>
      <c r="Z1619" t="s">
        <v>40</v>
      </c>
      <c r="AA1619" t="str">
        <f t="shared" si="50"/>
        <v>update zamestnanci set nastup='108' where id='743';</v>
      </c>
      <c r="AB1619" t="str">
        <f t="shared" si="51"/>
        <v>update dochazka set zastavka = '108' where zamestnanec = '743';</v>
      </c>
    </row>
    <row r="1620" spans="1:28" x14ac:dyDescent="0.25">
      <c r="A1620" s="2">
        <v>746</v>
      </c>
      <c r="B1620" t="s">
        <v>3319</v>
      </c>
      <c r="D1620" t="s">
        <v>3320</v>
      </c>
      <c r="E1620" t="s">
        <v>3321</v>
      </c>
      <c r="F1620" t="s">
        <v>67</v>
      </c>
      <c r="G1620" s="1">
        <v>45306</v>
      </c>
      <c r="H1620" s="1">
        <v>45307</v>
      </c>
      <c r="I1620" s="1">
        <v>73050</v>
      </c>
      <c r="J1620" s="2" t="s">
        <v>2656</v>
      </c>
      <c r="K1620" t="s">
        <v>3322</v>
      </c>
      <c r="M1620" s="16" t="s">
        <v>8548</v>
      </c>
      <c r="N1620" s="16" t="str">
        <f>VLOOKUP(M1620,Tab_Zast[[Zastávka]:[Sloupec1]],2,0)</f>
        <v>108</v>
      </c>
      <c r="O1620" t="s">
        <v>3323</v>
      </c>
      <c r="P1620">
        <v>6</v>
      </c>
      <c r="Q1620">
        <v>0</v>
      </c>
      <c r="R1620" t="s">
        <v>31</v>
      </c>
      <c r="S1620" t="s">
        <v>31</v>
      </c>
      <c r="T1620" t="s">
        <v>32</v>
      </c>
      <c r="V1620" s="1" t="e">
        <v>#N/A</v>
      </c>
      <c r="W1620" t="s">
        <v>1216</v>
      </c>
      <c r="X1620">
        <v>0</v>
      </c>
      <c r="Y1620">
        <v>0</v>
      </c>
      <c r="Z1620" t="s">
        <v>54</v>
      </c>
      <c r="AA1620" t="str">
        <f t="shared" si="50"/>
        <v>update zamestnanci set nastup='108' where id='746';</v>
      </c>
      <c r="AB1620" t="str">
        <f t="shared" si="51"/>
        <v>update dochazka set zastavka = '108' where zamestnanec = '746';</v>
      </c>
    </row>
    <row r="1621" spans="1:28" x14ac:dyDescent="0.25">
      <c r="A1621" s="2">
        <v>748</v>
      </c>
      <c r="B1621" t="s">
        <v>3329</v>
      </c>
      <c r="D1621" t="s">
        <v>3330</v>
      </c>
      <c r="E1621" t="s">
        <v>2940</v>
      </c>
      <c r="F1621" t="s">
        <v>3331</v>
      </c>
      <c r="G1621" s="1">
        <v>45306</v>
      </c>
      <c r="H1621" s="1">
        <v>45404</v>
      </c>
      <c r="I1621" s="1">
        <v>73050</v>
      </c>
      <c r="J1621" s="2" t="s">
        <v>2656</v>
      </c>
      <c r="K1621" t="s">
        <v>3332</v>
      </c>
      <c r="M1621" s="16" t="s">
        <v>8548</v>
      </c>
      <c r="N1621" s="16" t="str">
        <f>VLOOKUP(M1621,Tab_Zast[[Zastávka]:[Sloupec1]],2,0)</f>
        <v>108</v>
      </c>
      <c r="O1621" t="s">
        <v>3333</v>
      </c>
      <c r="P1621">
        <v>3</v>
      </c>
      <c r="Q1621">
        <v>0</v>
      </c>
      <c r="R1621" t="s">
        <v>31</v>
      </c>
      <c r="S1621" t="s">
        <v>31</v>
      </c>
      <c r="T1621" t="s">
        <v>32</v>
      </c>
      <c r="V1621" s="1" t="e">
        <v>#N/A</v>
      </c>
      <c r="W1621" t="s">
        <v>493</v>
      </c>
      <c r="X1621">
        <v>0</v>
      </c>
      <c r="Y1621">
        <v>0</v>
      </c>
      <c r="Z1621" t="s">
        <v>54</v>
      </c>
      <c r="AA1621" t="str">
        <f t="shared" si="50"/>
        <v>update zamestnanci set nastup='108' where id='748';</v>
      </c>
      <c r="AB1621" t="str">
        <f t="shared" si="51"/>
        <v>update dochazka set zastavka = '108' where zamestnanec = '748';</v>
      </c>
    </row>
    <row r="1622" spans="1:28" x14ac:dyDescent="0.25">
      <c r="A1622" s="2">
        <v>753</v>
      </c>
      <c r="B1622" t="s">
        <v>3349</v>
      </c>
      <c r="C1622" t="s">
        <v>3350</v>
      </c>
      <c r="D1622" t="s">
        <v>3351</v>
      </c>
      <c r="E1622" t="s">
        <v>3352</v>
      </c>
      <c r="F1622" t="s">
        <v>67</v>
      </c>
      <c r="G1622" s="1">
        <v>45313</v>
      </c>
      <c r="H1622" s="1">
        <v>45471</v>
      </c>
      <c r="I1622" s="1">
        <v>73050</v>
      </c>
      <c r="J1622" s="2" t="s">
        <v>2656</v>
      </c>
      <c r="K1622" t="s">
        <v>3353</v>
      </c>
      <c r="M1622" s="16" t="s">
        <v>8548</v>
      </c>
      <c r="N1622" s="16" t="str">
        <f>VLOOKUP(M1622,Tab_Zast[[Zastávka]:[Sloupec1]],2,0)</f>
        <v>108</v>
      </c>
      <c r="O1622" t="s">
        <v>3354</v>
      </c>
      <c r="P1622">
        <v>4</v>
      </c>
      <c r="Q1622">
        <v>0</v>
      </c>
      <c r="R1622" t="s">
        <v>31</v>
      </c>
      <c r="S1622" t="s">
        <v>31</v>
      </c>
      <c r="T1622" t="s">
        <v>32</v>
      </c>
      <c r="V1622" s="1" t="e">
        <v>#N/A</v>
      </c>
      <c r="W1622" t="s">
        <v>62</v>
      </c>
      <c r="X1622">
        <v>0</v>
      </c>
      <c r="Y1622">
        <v>0</v>
      </c>
      <c r="AA1622" t="str">
        <f t="shared" si="50"/>
        <v>update zamestnanci set nastup='108' where id='753';</v>
      </c>
      <c r="AB1622" t="str">
        <f t="shared" si="51"/>
        <v>update dochazka set zastavka = '108' where zamestnanec = '753';</v>
      </c>
    </row>
    <row r="1623" spans="1:28" x14ac:dyDescent="0.25">
      <c r="A1623" s="2">
        <v>754</v>
      </c>
      <c r="B1623" t="s">
        <v>3355</v>
      </c>
      <c r="D1623" t="s">
        <v>3356</v>
      </c>
      <c r="E1623" t="s">
        <v>2120</v>
      </c>
      <c r="F1623" t="s">
        <v>3357</v>
      </c>
      <c r="G1623" s="1">
        <v>45313</v>
      </c>
      <c r="H1623" s="1">
        <v>45371</v>
      </c>
      <c r="I1623" s="1">
        <v>73050</v>
      </c>
      <c r="J1623" s="2" t="s">
        <v>2656</v>
      </c>
      <c r="K1623" t="s">
        <v>3358</v>
      </c>
      <c r="M1623" s="16" t="s">
        <v>8548</v>
      </c>
      <c r="N1623" s="16" t="str">
        <f>VLOOKUP(M1623,Tab_Zast[[Zastávka]:[Sloupec1]],2,0)</f>
        <v>108</v>
      </c>
      <c r="O1623" t="s">
        <v>3359</v>
      </c>
      <c r="P1623">
        <v>6</v>
      </c>
      <c r="Q1623">
        <v>0</v>
      </c>
      <c r="R1623" t="s">
        <v>31</v>
      </c>
      <c r="S1623" t="s">
        <v>31</v>
      </c>
      <c r="T1623" t="s">
        <v>32</v>
      </c>
      <c r="V1623" s="1" t="e">
        <v>#N/A</v>
      </c>
      <c r="W1623" t="s">
        <v>1216</v>
      </c>
      <c r="X1623">
        <v>0</v>
      </c>
      <c r="Y1623">
        <v>0</v>
      </c>
      <c r="Z1623" t="s">
        <v>54</v>
      </c>
      <c r="AA1623" t="str">
        <f t="shared" si="50"/>
        <v>update zamestnanci set nastup='108' where id='754';</v>
      </c>
      <c r="AB1623" t="str">
        <f t="shared" si="51"/>
        <v>update dochazka set zastavka = '108' where zamestnanec = '754';</v>
      </c>
    </row>
    <row r="1624" spans="1:28" x14ac:dyDescent="0.25">
      <c r="A1624" s="2">
        <v>762</v>
      </c>
      <c r="B1624" t="s">
        <v>3398</v>
      </c>
      <c r="D1624" t="s">
        <v>3399</v>
      </c>
      <c r="E1624" t="s">
        <v>3400</v>
      </c>
      <c r="F1624" t="s">
        <v>3401</v>
      </c>
      <c r="G1624" s="1">
        <v>45320</v>
      </c>
      <c r="H1624" s="1">
        <v>45371</v>
      </c>
      <c r="I1624" s="1">
        <v>73050</v>
      </c>
      <c r="J1624" s="2" t="s">
        <v>2656</v>
      </c>
      <c r="K1624" t="s">
        <v>3402</v>
      </c>
      <c r="M1624" s="16" t="s">
        <v>8548</v>
      </c>
      <c r="N1624" s="16" t="str">
        <f>VLOOKUP(M1624,Tab_Zast[[Zastávka]:[Sloupec1]],2,0)</f>
        <v>108</v>
      </c>
      <c r="O1624" t="s">
        <v>3403</v>
      </c>
      <c r="P1624">
        <v>6</v>
      </c>
      <c r="Q1624">
        <v>0</v>
      </c>
      <c r="R1624" t="s">
        <v>31</v>
      </c>
      <c r="S1624" t="s">
        <v>31</v>
      </c>
      <c r="T1624" t="s">
        <v>32</v>
      </c>
      <c r="V1624" s="1" t="e">
        <v>#N/A</v>
      </c>
      <c r="W1624" t="s">
        <v>1216</v>
      </c>
      <c r="X1624">
        <v>0</v>
      </c>
      <c r="Y1624">
        <v>0</v>
      </c>
      <c r="Z1624" t="s">
        <v>54</v>
      </c>
      <c r="AA1624" t="str">
        <f t="shared" si="50"/>
        <v>update zamestnanci set nastup='108' where id='762';</v>
      </c>
      <c r="AB1624" t="str">
        <f t="shared" si="51"/>
        <v>update dochazka set zastavka = '108' where zamestnanec = '762';</v>
      </c>
    </row>
    <row r="1625" spans="1:28" x14ac:dyDescent="0.25">
      <c r="A1625" s="2">
        <v>778</v>
      </c>
      <c r="B1625" t="s">
        <v>3479</v>
      </c>
      <c r="D1625" t="s">
        <v>3480</v>
      </c>
      <c r="E1625" t="s">
        <v>3481</v>
      </c>
      <c r="F1625" t="s">
        <v>67</v>
      </c>
      <c r="G1625" s="1">
        <v>45327</v>
      </c>
      <c r="H1625" s="1">
        <v>45338</v>
      </c>
      <c r="I1625" s="1">
        <v>73050</v>
      </c>
      <c r="J1625" s="2" t="s">
        <v>2656</v>
      </c>
      <c r="K1625" t="s">
        <v>3482</v>
      </c>
      <c r="M1625" s="16" t="s">
        <v>8548</v>
      </c>
      <c r="N1625" s="16" t="str">
        <f>VLOOKUP(M1625,Tab_Zast[[Zastávka]:[Sloupec1]],2,0)</f>
        <v>108</v>
      </c>
      <c r="O1625" t="s">
        <v>3483</v>
      </c>
      <c r="P1625">
        <v>6</v>
      </c>
      <c r="Q1625">
        <v>0</v>
      </c>
      <c r="R1625" t="s">
        <v>31</v>
      </c>
      <c r="S1625" t="s">
        <v>31</v>
      </c>
      <c r="T1625" t="s">
        <v>32</v>
      </c>
      <c r="V1625" s="1" t="e">
        <v>#N/A</v>
      </c>
      <c r="W1625" t="s">
        <v>1216</v>
      </c>
      <c r="X1625">
        <v>0</v>
      </c>
      <c r="Y1625">
        <v>0</v>
      </c>
      <c r="Z1625" t="s">
        <v>54</v>
      </c>
      <c r="AA1625" t="str">
        <f t="shared" si="50"/>
        <v>update zamestnanci set nastup='108' where id='778';</v>
      </c>
      <c r="AB1625" t="str">
        <f t="shared" si="51"/>
        <v>update dochazka set zastavka = '108' where zamestnanec = '778';</v>
      </c>
    </row>
    <row r="1626" spans="1:28" x14ac:dyDescent="0.25">
      <c r="A1626" s="2">
        <v>779</v>
      </c>
      <c r="B1626" t="s">
        <v>3484</v>
      </c>
      <c r="C1626" t="s">
        <v>3485</v>
      </c>
      <c r="D1626" t="s">
        <v>3486</v>
      </c>
      <c r="E1626" t="s">
        <v>2960</v>
      </c>
      <c r="F1626" t="s">
        <v>3487</v>
      </c>
      <c r="G1626" s="1">
        <v>45327</v>
      </c>
      <c r="H1626" s="1">
        <v>45498</v>
      </c>
      <c r="I1626" s="1">
        <v>73050</v>
      </c>
      <c r="J1626" s="2" t="s">
        <v>2656</v>
      </c>
      <c r="K1626" t="s">
        <v>3488</v>
      </c>
      <c r="M1626" s="16" t="s">
        <v>8548</v>
      </c>
      <c r="N1626" s="16" t="str">
        <f>VLOOKUP(M1626,Tab_Zast[[Zastávka]:[Sloupec1]],2,0)</f>
        <v>108</v>
      </c>
      <c r="O1626" t="s">
        <v>3489</v>
      </c>
      <c r="P1626">
        <v>6</v>
      </c>
      <c r="Q1626">
        <v>0</v>
      </c>
      <c r="R1626" t="s">
        <v>31</v>
      </c>
      <c r="S1626" t="s">
        <v>31</v>
      </c>
      <c r="T1626" t="s">
        <v>32</v>
      </c>
      <c r="V1626" s="1" t="e">
        <v>#N/A</v>
      </c>
      <c r="W1626" t="s">
        <v>1216</v>
      </c>
      <c r="X1626">
        <v>0</v>
      </c>
      <c r="Y1626">
        <v>0</v>
      </c>
      <c r="AA1626" t="str">
        <f t="shared" si="50"/>
        <v>update zamestnanci set nastup='108' where id='779';</v>
      </c>
      <c r="AB1626" t="str">
        <f t="shared" si="51"/>
        <v>update dochazka set zastavka = '108' where zamestnanec = '779';</v>
      </c>
    </row>
    <row r="1627" spans="1:28" x14ac:dyDescent="0.25">
      <c r="A1627" s="2">
        <v>784</v>
      </c>
      <c r="B1627" t="s">
        <v>3507</v>
      </c>
      <c r="D1627" t="s">
        <v>3508</v>
      </c>
      <c r="E1627" t="s">
        <v>1744</v>
      </c>
      <c r="F1627" t="s">
        <v>3509</v>
      </c>
      <c r="G1627" s="1">
        <v>45334</v>
      </c>
      <c r="H1627" s="1">
        <v>45391</v>
      </c>
      <c r="I1627" s="1">
        <v>73050</v>
      </c>
      <c r="J1627" s="2" t="s">
        <v>2656</v>
      </c>
      <c r="K1627" t="s">
        <v>3510</v>
      </c>
      <c r="M1627" s="16" t="s">
        <v>8548</v>
      </c>
      <c r="N1627" s="16" t="str">
        <f>VLOOKUP(M1627,Tab_Zast[[Zastávka]:[Sloupec1]],2,0)</f>
        <v>108</v>
      </c>
      <c r="O1627" t="s">
        <v>3511</v>
      </c>
      <c r="P1627">
        <v>6</v>
      </c>
      <c r="Q1627">
        <v>0</v>
      </c>
      <c r="R1627" t="s">
        <v>31</v>
      </c>
      <c r="S1627" t="s">
        <v>31</v>
      </c>
      <c r="T1627" t="s">
        <v>32</v>
      </c>
      <c r="V1627" s="1" t="e">
        <v>#N/A</v>
      </c>
      <c r="W1627" t="s">
        <v>1216</v>
      </c>
      <c r="X1627">
        <v>0</v>
      </c>
      <c r="Y1627">
        <v>0</v>
      </c>
      <c r="Z1627" t="s">
        <v>54</v>
      </c>
      <c r="AA1627" t="str">
        <f t="shared" si="50"/>
        <v>update zamestnanci set nastup='108' where id='784';</v>
      </c>
      <c r="AB1627" t="str">
        <f t="shared" si="51"/>
        <v>update dochazka set zastavka = '108' where zamestnanec = '784';</v>
      </c>
    </row>
    <row r="1628" spans="1:28" x14ac:dyDescent="0.25">
      <c r="A1628" s="2">
        <v>785</v>
      </c>
      <c r="B1628" t="s">
        <v>3512</v>
      </c>
      <c r="D1628" t="s">
        <v>3513</v>
      </c>
      <c r="E1628" t="s">
        <v>2960</v>
      </c>
      <c r="F1628" t="s">
        <v>67</v>
      </c>
      <c r="G1628" s="1">
        <v>45334</v>
      </c>
      <c r="H1628" s="1">
        <v>45335</v>
      </c>
      <c r="I1628" s="1">
        <v>73050</v>
      </c>
      <c r="J1628" s="2" t="s">
        <v>2656</v>
      </c>
      <c r="K1628" t="s">
        <v>3514</v>
      </c>
      <c r="M1628" s="16" t="s">
        <v>8548</v>
      </c>
      <c r="N1628" s="16" t="str">
        <f>VLOOKUP(M1628,Tab_Zast[[Zastávka]:[Sloupec1]],2,0)</f>
        <v>108</v>
      </c>
      <c r="O1628" t="s">
        <v>3515</v>
      </c>
      <c r="P1628">
        <v>6</v>
      </c>
      <c r="Q1628">
        <v>0</v>
      </c>
      <c r="R1628" t="s">
        <v>31</v>
      </c>
      <c r="S1628" t="s">
        <v>31</v>
      </c>
      <c r="T1628" t="s">
        <v>32</v>
      </c>
      <c r="V1628" s="1" t="e">
        <v>#N/A</v>
      </c>
      <c r="W1628" t="s">
        <v>1216</v>
      </c>
      <c r="X1628">
        <v>0</v>
      </c>
      <c r="Y1628">
        <v>0</v>
      </c>
      <c r="Z1628" t="s">
        <v>54</v>
      </c>
      <c r="AA1628" t="str">
        <f t="shared" si="50"/>
        <v>update zamestnanci set nastup='108' where id='785';</v>
      </c>
      <c r="AB1628" t="str">
        <f t="shared" si="51"/>
        <v>update dochazka set zastavka = '108' where zamestnanec = '785';</v>
      </c>
    </row>
    <row r="1629" spans="1:28" x14ac:dyDescent="0.25">
      <c r="A1629" s="2">
        <v>800</v>
      </c>
      <c r="B1629" t="s">
        <v>3587</v>
      </c>
      <c r="C1629" t="s">
        <v>3588</v>
      </c>
      <c r="D1629" t="s">
        <v>3589</v>
      </c>
      <c r="E1629" t="s">
        <v>2705</v>
      </c>
      <c r="F1629" t="s">
        <v>3590</v>
      </c>
      <c r="G1629" s="1">
        <v>45336</v>
      </c>
      <c r="H1629" s="1">
        <v>45437</v>
      </c>
      <c r="I1629" s="1">
        <v>73050</v>
      </c>
      <c r="J1629" s="2" t="s">
        <v>2656</v>
      </c>
      <c r="M1629" s="16" t="s">
        <v>8548</v>
      </c>
      <c r="N1629" s="16" t="str">
        <f>VLOOKUP(M1629,Tab_Zast[[Zastávka]:[Sloupec1]],2,0)</f>
        <v>108</v>
      </c>
      <c r="O1629" t="s">
        <v>2873</v>
      </c>
      <c r="P1629">
        <v>6</v>
      </c>
      <c r="Q1629">
        <v>0</v>
      </c>
      <c r="R1629" t="s">
        <v>31</v>
      </c>
      <c r="S1629" t="s">
        <v>31</v>
      </c>
      <c r="T1629" t="s">
        <v>32</v>
      </c>
      <c r="V1629" s="1">
        <v>45373</v>
      </c>
      <c r="W1629" t="s">
        <v>1216</v>
      </c>
      <c r="X1629">
        <v>0</v>
      </c>
      <c r="Y1629">
        <v>0</v>
      </c>
      <c r="AA1629" t="str">
        <f t="shared" si="50"/>
        <v>update zamestnanci set nastup='108' where id='800';</v>
      </c>
      <c r="AB1629" t="str">
        <f t="shared" si="51"/>
        <v>update dochazka set zastavka = '108' where zamestnanec = '800';</v>
      </c>
    </row>
    <row r="1630" spans="1:28" x14ac:dyDescent="0.25">
      <c r="A1630" s="2">
        <v>801</v>
      </c>
      <c r="B1630" t="s">
        <v>3591</v>
      </c>
      <c r="C1630" t="s">
        <v>3592</v>
      </c>
      <c r="D1630" t="s">
        <v>3593</v>
      </c>
      <c r="E1630" t="s">
        <v>568</v>
      </c>
      <c r="F1630" t="s">
        <v>3594</v>
      </c>
      <c r="G1630" s="1">
        <v>45341</v>
      </c>
      <c r="H1630" s="1">
        <v>45445</v>
      </c>
      <c r="I1630" s="1">
        <v>73050</v>
      </c>
      <c r="J1630" s="2" t="s">
        <v>2656</v>
      </c>
      <c r="K1630" t="s">
        <v>3595</v>
      </c>
      <c r="M1630" s="16" t="s">
        <v>8548</v>
      </c>
      <c r="N1630" s="16" t="str">
        <f>VLOOKUP(M1630,Tab_Zast[[Zastávka]:[Sloupec1]],2,0)</f>
        <v>108</v>
      </c>
      <c r="O1630" t="s">
        <v>3596</v>
      </c>
      <c r="P1630">
        <v>4</v>
      </c>
      <c r="Q1630">
        <v>0</v>
      </c>
      <c r="R1630" t="s">
        <v>31</v>
      </c>
      <c r="S1630" t="s">
        <v>31</v>
      </c>
      <c r="T1630" t="s">
        <v>870</v>
      </c>
      <c r="V1630" s="1" t="e">
        <v>#N/A</v>
      </c>
      <c r="W1630" t="s">
        <v>62</v>
      </c>
      <c r="X1630">
        <v>0</v>
      </c>
      <c r="Y1630">
        <v>0</v>
      </c>
      <c r="Z1630" t="s">
        <v>54</v>
      </c>
      <c r="AA1630" t="str">
        <f t="shared" si="50"/>
        <v>update zamestnanci set nastup='108' where id='801';</v>
      </c>
      <c r="AB1630" t="str">
        <f t="shared" si="51"/>
        <v>update dochazka set zastavka = '108' where zamestnanec = '801';</v>
      </c>
    </row>
    <row r="1631" spans="1:28" x14ac:dyDescent="0.25">
      <c r="A1631" s="2">
        <v>802</v>
      </c>
      <c r="B1631" t="s">
        <v>3597</v>
      </c>
      <c r="C1631" t="s">
        <v>3598</v>
      </c>
      <c r="D1631" t="s">
        <v>3599</v>
      </c>
      <c r="E1631" t="s">
        <v>568</v>
      </c>
      <c r="F1631" t="s">
        <v>3600</v>
      </c>
      <c r="G1631" s="1">
        <v>45341</v>
      </c>
      <c r="H1631" s="1">
        <v>45445</v>
      </c>
      <c r="I1631" s="1">
        <v>73050</v>
      </c>
      <c r="J1631" s="2" t="s">
        <v>2656</v>
      </c>
      <c r="K1631" t="s">
        <v>3601</v>
      </c>
      <c r="M1631" s="16" t="s">
        <v>8548</v>
      </c>
      <c r="N1631" s="16" t="str">
        <f>VLOOKUP(M1631,Tab_Zast[[Zastávka]:[Sloupec1]],2,0)</f>
        <v>108</v>
      </c>
      <c r="O1631" t="s">
        <v>3602</v>
      </c>
      <c r="P1631">
        <v>4</v>
      </c>
      <c r="Q1631">
        <v>0</v>
      </c>
      <c r="R1631" t="s">
        <v>31</v>
      </c>
      <c r="S1631" t="s">
        <v>31</v>
      </c>
      <c r="T1631" t="s">
        <v>870</v>
      </c>
      <c r="V1631" s="1" t="e">
        <v>#N/A</v>
      </c>
      <c r="W1631" t="s">
        <v>62</v>
      </c>
      <c r="X1631">
        <v>0</v>
      </c>
      <c r="Y1631">
        <v>0</v>
      </c>
      <c r="Z1631" t="s">
        <v>54</v>
      </c>
      <c r="AA1631" t="str">
        <f t="shared" si="50"/>
        <v>update zamestnanci set nastup='108' where id='802';</v>
      </c>
      <c r="AB1631" t="str">
        <f t="shared" si="51"/>
        <v>update dochazka set zastavka = '108' where zamestnanec = '802';</v>
      </c>
    </row>
    <row r="1632" spans="1:28" x14ac:dyDescent="0.25">
      <c r="A1632" s="2">
        <v>808</v>
      </c>
      <c r="B1632" t="s">
        <v>3628</v>
      </c>
      <c r="C1632" t="s">
        <v>3629</v>
      </c>
      <c r="D1632" t="s">
        <v>3630</v>
      </c>
      <c r="E1632" t="s">
        <v>182</v>
      </c>
      <c r="F1632" t="s">
        <v>1957</v>
      </c>
      <c r="G1632" s="1">
        <v>45342</v>
      </c>
      <c r="H1632" s="1">
        <v>45464</v>
      </c>
      <c r="I1632" s="1">
        <v>73050</v>
      </c>
      <c r="J1632" s="2" t="s">
        <v>2656</v>
      </c>
      <c r="K1632" t="s">
        <v>3631</v>
      </c>
      <c r="M1632" s="16" t="s">
        <v>8548</v>
      </c>
      <c r="N1632" s="16" t="str">
        <f>VLOOKUP(M1632,Tab_Zast[[Zastávka]:[Sloupec1]],2,0)</f>
        <v>108</v>
      </c>
      <c r="O1632" t="s">
        <v>3473</v>
      </c>
      <c r="P1632">
        <v>6</v>
      </c>
      <c r="Q1632">
        <v>0</v>
      </c>
      <c r="R1632" t="s">
        <v>31</v>
      </c>
      <c r="S1632" t="s">
        <v>31</v>
      </c>
      <c r="T1632" t="s">
        <v>32</v>
      </c>
      <c r="V1632" s="1" t="e">
        <v>#N/A</v>
      </c>
      <c r="W1632" t="s">
        <v>1216</v>
      </c>
      <c r="X1632">
        <v>0</v>
      </c>
      <c r="Y1632">
        <v>0</v>
      </c>
      <c r="AA1632" t="str">
        <f t="shared" si="50"/>
        <v>update zamestnanci set nastup='108' where id='808';</v>
      </c>
      <c r="AB1632" t="str">
        <f t="shared" si="51"/>
        <v>update dochazka set zastavka = '108' where zamestnanec = '808';</v>
      </c>
    </row>
    <row r="1633" spans="1:28" x14ac:dyDescent="0.25">
      <c r="A1633" s="2">
        <v>830</v>
      </c>
      <c r="B1633" t="s">
        <v>3738</v>
      </c>
      <c r="D1633" t="s">
        <v>3739</v>
      </c>
      <c r="E1633" t="s">
        <v>2628</v>
      </c>
      <c r="F1633" t="s">
        <v>3740</v>
      </c>
      <c r="G1633" s="1">
        <v>45349</v>
      </c>
      <c r="H1633" s="1">
        <v>45351</v>
      </c>
      <c r="I1633" s="1">
        <v>73050</v>
      </c>
      <c r="J1633" s="2" t="s">
        <v>2656</v>
      </c>
      <c r="K1633" t="s">
        <v>3741</v>
      </c>
      <c r="M1633" s="16" t="s">
        <v>8548</v>
      </c>
      <c r="N1633" s="16" t="str">
        <f>VLOOKUP(M1633,Tab_Zast[[Zastávka]:[Sloupec1]],2,0)</f>
        <v>108</v>
      </c>
      <c r="O1633" t="s">
        <v>3742</v>
      </c>
      <c r="P1633">
        <v>6</v>
      </c>
      <c r="Q1633">
        <v>0</v>
      </c>
      <c r="R1633" t="s">
        <v>31</v>
      </c>
      <c r="S1633" t="s">
        <v>31</v>
      </c>
      <c r="T1633" t="s">
        <v>32</v>
      </c>
      <c r="V1633" s="1" t="e">
        <v>#N/A</v>
      </c>
      <c r="W1633" t="s">
        <v>1216</v>
      </c>
      <c r="X1633">
        <v>0</v>
      </c>
      <c r="Y1633">
        <v>0</v>
      </c>
      <c r="Z1633" t="s">
        <v>54</v>
      </c>
      <c r="AA1633" t="str">
        <f t="shared" si="50"/>
        <v>update zamestnanci set nastup='108' where id='830';</v>
      </c>
      <c r="AB1633" t="str">
        <f t="shared" si="51"/>
        <v>update dochazka set zastavka = '108' where zamestnanec = '830';</v>
      </c>
    </row>
    <row r="1634" spans="1:28" x14ac:dyDescent="0.25">
      <c r="A1634" s="2">
        <v>831</v>
      </c>
      <c r="B1634" t="s">
        <v>3743</v>
      </c>
      <c r="D1634" t="s">
        <v>3744</v>
      </c>
      <c r="E1634" t="s">
        <v>3481</v>
      </c>
      <c r="F1634" t="s">
        <v>3745</v>
      </c>
      <c r="G1634" s="1">
        <v>45349</v>
      </c>
      <c r="H1634" s="1">
        <v>45351</v>
      </c>
      <c r="I1634" s="1">
        <v>73050</v>
      </c>
      <c r="J1634" s="2" t="s">
        <v>2656</v>
      </c>
      <c r="K1634" t="s">
        <v>3746</v>
      </c>
      <c r="M1634" s="16" t="s">
        <v>8548</v>
      </c>
      <c r="N1634" s="16" t="str">
        <f>VLOOKUP(M1634,Tab_Zast[[Zastávka]:[Sloupec1]],2,0)</f>
        <v>108</v>
      </c>
      <c r="O1634" t="s">
        <v>3747</v>
      </c>
      <c r="P1634">
        <v>6</v>
      </c>
      <c r="Q1634">
        <v>0</v>
      </c>
      <c r="R1634" t="s">
        <v>31</v>
      </c>
      <c r="S1634" t="s">
        <v>31</v>
      </c>
      <c r="T1634" t="s">
        <v>32</v>
      </c>
      <c r="V1634" s="1" t="e">
        <v>#N/A</v>
      </c>
      <c r="W1634" t="s">
        <v>1216</v>
      </c>
      <c r="X1634">
        <v>0</v>
      </c>
      <c r="Y1634">
        <v>0</v>
      </c>
      <c r="Z1634" t="s">
        <v>54</v>
      </c>
      <c r="AA1634" t="str">
        <f t="shared" si="50"/>
        <v>update zamestnanci set nastup='108' where id='831';</v>
      </c>
      <c r="AB1634" t="str">
        <f t="shared" si="51"/>
        <v>update dochazka set zastavka = '108' where zamestnanec = '831';</v>
      </c>
    </row>
    <row r="1635" spans="1:28" x14ac:dyDescent="0.25">
      <c r="A1635" s="2">
        <v>835</v>
      </c>
      <c r="B1635" t="s">
        <v>3762</v>
      </c>
      <c r="C1635" t="s">
        <v>3763</v>
      </c>
      <c r="D1635" t="s">
        <v>3764</v>
      </c>
      <c r="E1635" t="s">
        <v>3765</v>
      </c>
      <c r="F1635" t="s">
        <v>3766</v>
      </c>
      <c r="G1635" s="1">
        <v>45355</v>
      </c>
      <c r="H1635" s="1">
        <v>45443</v>
      </c>
      <c r="I1635" s="1">
        <v>73050</v>
      </c>
      <c r="J1635" s="2" t="s">
        <v>2656</v>
      </c>
      <c r="K1635" t="s">
        <v>3767</v>
      </c>
      <c r="M1635" s="16" t="s">
        <v>8548</v>
      </c>
      <c r="N1635" s="16" t="str">
        <f>VLOOKUP(M1635,Tab_Zast[[Zastávka]:[Sloupec1]],2,0)</f>
        <v>108</v>
      </c>
      <c r="O1635" t="s">
        <v>3768</v>
      </c>
      <c r="P1635">
        <v>4</v>
      </c>
      <c r="Q1635">
        <v>0</v>
      </c>
      <c r="R1635" t="s">
        <v>31</v>
      </c>
      <c r="S1635" t="s">
        <v>31</v>
      </c>
      <c r="T1635" t="s">
        <v>32</v>
      </c>
      <c r="V1635" s="1" t="e">
        <v>#N/A</v>
      </c>
      <c r="W1635" t="s">
        <v>62</v>
      </c>
      <c r="X1635">
        <v>0</v>
      </c>
      <c r="Y1635">
        <v>0</v>
      </c>
      <c r="Z1635" t="s">
        <v>54</v>
      </c>
      <c r="AA1635" t="str">
        <f t="shared" si="50"/>
        <v>update zamestnanci set nastup='108' where id='835';</v>
      </c>
      <c r="AB1635" t="str">
        <f t="shared" si="51"/>
        <v>update dochazka set zastavka = '108' where zamestnanec = '835';</v>
      </c>
    </row>
    <row r="1636" spans="1:28" x14ac:dyDescent="0.25">
      <c r="A1636" s="2">
        <v>842</v>
      </c>
      <c r="B1636" t="s">
        <v>3807</v>
      </c>
      <c r="C1636" t="s">
        <v>3808</v>
      </c>
      <c r="D1636" t="s">
        <v>3809</v>
      </c>
      <c r="E1636" t="s">
        <v>80</v>
      </c>
      <c r="F1636" t="s">
        <v>3810</v>
      </c>
      <c r="G1636" s="1">
        <v>45355</v>
      </c>
      <c r="H1636" s="1">
        <v>45460</v>
      </c>
      <c r="I1636" s="1">
        <v>73050</v>
      </c>
      <c r="J1636" s="2" t="s">
        <v>2656</v>
      </c>
      <c r="K1636" t="s">
        <v>3811</v>
      </c>
      <c r="M1636" s="16" t="s">
        <v>8548</v>
      </c>
      <c r="N1636" s="16" t="str">
        <f>VLOOKUP(M1636,Tab_Zast[[Zastávka]:[Sloupec1]],2,0)</f>
        <v>108</v>
      </c>
      <c r="O1636" t="s">
        <v>3812</v>
      </c>
      <c r="P1636">
        <v>6</v>
      </c>
      <c r="Q1636">
        <v>0</v>
      </c>
      <c r="R1636" t="s">
        <v>31</v>
      </c>
      <c r="S1636" t="s">
        <v>31</v>
      </c>
      <c r="T1636" t="s">
        <v>32</v>
      </c>
      <c r="V1636" s="1" t="e">
        <v>#N/A</v>
      </c>
      <c r="W1636" t="s">
        <v>1216</v>
      </c>
      <c r="X1636">
        <v>0</v>
      </c>
      <c r="Y1636">
        <v>0</v>
      </c>
      <c r="AA1636" t="str">
        <f t="shared" si="50"/>
        <v>update zamestnanci set nastup='108' where id='842';</v>
      </c>
      <c r="AB1636" t="str">
        <f t="shared" si="51"/>
        <v>update dochazka set zastavka = '108' where zamestnanec = '842';</v>
      </c>
    </row>
    <row r="1637" spans="1:28" x14ac:dyDescent="0.25">
      <c r="A1637" s="2">
        <v>850</v>
      </c>
      <c r="B1637" t="s">
        <v>3833</v>
      </c>
      <c r="C1637" t="s">
        <v>3834</v>
      </c>
      <c r="D1637" t="s">
        <v>3835</v>
      </c>
      <c r="E1637" t="s">
        <v>755</v>
      </c>
      <c r="F1637" t="s">
        <v>3836</v>
      </c>
      <c r="G1637" s="1">
        <v>45362</v>
      </c>
      <c r="H1637" s="1">
        <v>45596</v>
      </c>
      <c r="I1637" s="1">
        <v>73050</v>
      </c>
      <c r="J1637" s="2" t="s">
        <v>2656</v>
      </c>
      <c r="K1637" t="s">
        <v>3837</v>
      </c>
      <c r="M1637" s="16" t="s">
        <v>8548</v>
      </c>
      <c r="N1637" s="16" t="str">
        <f>VLOOKUP(M1637,Tab_Zast[[Zastávka]:[Sloupec1]],2,0)</f>
        <v>108</v>
      </c>
      <c r="O1637" t="s">
        <v>3838</v>
      </c>
      <c r="P1637">
        <v>6</v>
      </c>
      <c r="Q1637">
        <v>0</v>
      </c>
      <c r="R1637" t="s">
        <v>31</v>
      </c>
      <c r="S1637" t="s">
        <v>31</v>
      </c>
      <c r="T1637" t="s">
        <v>32</v>
      </c>
      <c r="V1637" s="1" t="e">
        <v>#N/A</v>
      </c>
      <c r="W1637" t="s">
        <v>1216</v>
      </c>
      <c r="X1637">
        <v>0</v>
      </c>
      <c r="Y1637">
        <v>168</v>
      </c>
      <c r="AA1637" t="str">
        <f t="shared" si="50"/>
        <v>update zamestnanci set nastup='108' where id='850';</v>
      </c>
      <c r="AB1637" t="str">
        <f t="shared" si="51"/>
        <v>update dochazka set zastavka = '108' where zamestnanec = '850';</v>
      </c>
    </row>
    <row r="1638" spans="1:28" x14ac:dyDescent="0.25">
      <c r="A1638" s="2">
        <v>852</v>
      </c>
      <c r="B1638" t="s">
        <v>3843</v>
      </c>
      <c r="C1638" t="s">
        <v>3844</v>
      </c>
      <c r="D1638" t="s">
        <v>3845</v>
      </c>
      <c r="E1638" t="s">
        <v>2613</v>
      </c>
      <c r="F1638" t="s">
        <v>1996</v>
      </c>
      <c r="G1638" s="1">
        <v>45362</v>
      </c>
      <c r="H1638" s="1">
        <v>45456</v>
      </c>
      <c r="I1638" s="1">
        <v>73050</v>
      </c>
      <c r="J1638" s="2" t="s">
        <v>2656</v>
      </c>
      <c r="K1638" t="s">
        <v>3846</v>
      </c>
      <c r="M1638" s="16" t="s">
        <v>8548</v>
      </c>
      <c r="N1638" s="16" t="str">
        <f>VLOOKUP(M1638,Tab_Zast[[Zastávka]:[Sloupec1]],2,0)</f>
        <v>108</v>
      </c>
      <c r="O1638" t="s">
        <v>3847</v>
      </c>
      <c r="P1638">
        <v>6</v>
      </c>
      <c r="Q1638">
        <v>0</v>
      </c>
      <c r="R1638" t="s">
        <v>31</v>
      </c>
      <c r="S1638" t="s">
        <v>31</v>
      </c>
      <c r="T1638" t="s">
        <v>32</v>
      </c>
      <c r="V1638" s="1" t="e">
        <v>#N/A</v>
      </c>
      <c r="W1638" t="s">
        <v>1216</v>
      </c>
      <c r="X1638">
        <v>0</v>
      </c>
      <c r="Y1638">
        <v>172</v>
      </c>
      <c r="AA1638" t="str">
        <f t="shared" si="50"/>
        <v>update zamestnanci set nastup='108' where id='852';</v>
      </c>
      <c r="AB1638" t="str">
        <f t="shared" si="51"/>
        <v>update dochazka set zastavka = '108' where zamestnanec = '852';</v>
      </c>
    </row>
    <row r="1639" spans="1:28" x14ac:dyDescent="0.25">
      <c r="A1639" s="2">
        <v>853</v>
      </c>
      <c r="B1639" t="s">
        <v>3848</v>
      </c>
      <c r="C1639" t="s">
        <v>3849</v>
      </c>
      <c r="D1639" t="s">
        <v>3850</v>
      </c>
      <c r="E1639" t="s">
        <v>3851</v>
      </c>
      <c r="F1639" t="s">
        <v>3852</v>
      </c>
      <c r="G1639" s="1">
        <v>45364</v>
      </c>
      <c r="H1639" s="1">
        <v>45460</v>
      </c>
      <c r="I1639" s="1">
        <v>73050</v>
      </c>
      <c r="J1639" s="2" t="s">
        <v>2656</v>
      </c>
      <c r="K1639" t="s">
        <v>3853</v>
      </c>
      <c r="M1639" s="16" t="s">
        <v>8548</v>
      </c>
      <c r="N1639" s="16" t="str">
        <f>VLOOKUP(M1639,Tab_Zast[[Zastávka]:[Sloupec1]],2,0)</f>
        <v>108</v>
      </c>
      <c r="O1639" t="s">
        <v>3854</v>
      </c>
      <c r="P1639">
        <v>6</v>
      </c>
      <c r="Q1639">
        <v>0</v>
      </c>
      <c r="R1639" t="s">
        <v>31</v>
      </c>
      <c r="S1639" t="s">
        <v>31</v>
      </c>
      <c r="T1639" t="s">
        <v>32</v>
      </c>
      <c r="V1639" s="1" t="e">
        <v>#N/A</v>
      </c>
      <c r="W1639" t="s">
        <v>1216</v>
      </c>
      <c r="X1639">
        <v>0</v>
      </c>
      <c r="Y1639">
        <v>178</v>
      </c>
      <c r="AA1639" t="str">
        <f t="shared" si="50"/>
        <v>update zamestnanci set nastup='108' where id='853';</v>
      </c>
      <c r="AB1639" t="str">
        <f t="shared" si="51"/>
        <v>update dochazka set zastavka = '108' where zamestnanec = '853';</v>
      </c>
    </row>
    <row r="1640" spans="1:28" x14ac:dyDescent="0.25">
      <c r="A1640" s="2">
        <v>863</v>
      </c>
      <c r="B1640" t="s">
        <v>3891</v>
      </c>
      <c r="C1640" t="s">
        <v>3892</v>
      </c>
      <c r="D1640" t="s">
        <v>3893</v>
      </c>
      <c r="E1640" t="s">
        <v>3894</v>
      </c>
      <c r="F1640" t="s">
        <v>67</v>
      </c>
      <c r="G1640" s="1">
        <v>45369</v>
      </c>
      <c r="H1640" s="1">
        <v>45807</v>
      </c>
      <c r="I1640" s="1">
        <v>73050</v>
      </c>
      <c r="J1640" s="2" t="s">
        <v>2656</v>
      </c>
      <c r="K1640" t="s">
        <v>3895</v>
      </c>
      <c r="M1640" s="16" t="s">
        <v>8548</v>
      </c>
      <c r="N1640" s="16" t="str">
        <f>VLOOKUP(M1640,Tab_Zast[[Zastávka]:[Sloupec1]],2,0)</f>
        <v>108</v>
      </c>
      <c r="O1640" t="s">
        <v>3896</v>
      </c>
      <c r="P1640">
        <v>4</v>
      </c>
      <c r="Q1640">
        <v>0</v>
      </c>
      <c r="R1640" t="s">
        <v>31</v>
      </c>
      <c r="S1640" t="s">
        <v>31</v>
      </c>
      <c r="T1640" t="s">
        <v>205</v>
      </c>
      <c r="V1640" s="1" t="e">
        <v>#N/A</v>
      </c>
      <c r="W1640" t="s">
        <v>62</v>
      </c>
      <c r="X1640">
        <v>0</v>
      </c>
      <c r="Y1640">
        <v>0</v>
      </c>
      <c r="AA1640" t="str">
        <f t="shared" si="50"/>
        <v>update zamestnanci set nastup='108' where id='863';</v>
      </c>
      <c r="AB1640" t="str">
        <f t="shared" si="51"/>
        <v>update dochazka set zastavka = '108' where zamestnanec = '863';</v>
      </c>
    </row>
    <row r="1641" spans="1:28" x14ac:dyDescent="0.25">
      <c r="A1641" s="2">
        <v>867</v>
      </c>
      <c r="B1641" t="s">
        <v>3910</v>
      </c>
      <c r="D1641" t="s">
        <v>3911</v>
      </c>
      <c r="E1641" t="s">
        <v>3566</v>
      </c>
      <c r="F1641" t="s">
        <v>67</v>
      </c>
      <c r="G1641" s="1">
        <v>45376</v>
      </c>
      <c r="H1641" s="1">
        <v>45376</v>
      </c>
      <c r="I1641" s="1">
        <v>45376</v>
      </c>
      <c r="J1641" s="2" t="s">
        <v>2656</v>
      </c>
      <c r="K1641" t="s">
        <v>3912</v>
      </c>
      <c r="M1641" s="16" t="s">
        <v>8548</v>
      </c>
      <c r="N1641" s="16" t="str">
        <f>VLOOKUP(M1641,Tab_Zast[[Zastávka]:[Sloupec1]],2,0)</f>
        <v>108</v>
      </c>
      <c r="O1641" t="s">
        <v>3913</v>
      </c>
      <c r="P1641">
        <v>6</v>
      </c>
      <c r="Q1641">
        <v>0</v>
      </c>
      <c r="R1641" t="s">
        <v>31</v>
      </c>
      <c r="S1641" t="s">
        <v>31</v>
      </c>
      <c r="T1641" t="s">
        <v>32</v>
      </c>
      <c r="V1641" s="1" t="e">
        <v>#N/A</v>
      </c>
      <c r="W1641" t="s">
        <v>1216</v>
      </c>
      <c r="X1641">
        <v>0</v>
      </c>
      <c r="Y1641">
        <v>206</v>
      </c>
      <c r="Z1641" t="s">
        <v>54</v>
      </c>
      <c r="AA1641" t="str">
        <f t="shared" si="50"/>
        <v>update zamestnanci set nastup='108' where id='867';</v>
      </c>
      <c r="AB1641" t="str">
        <f t="shared" si="51"/>
        <v>update dochazka set zastavka = '108' where zamestnanec = '867';</v>
      </c>
    </row>
    <row r="1642" spans="1:28" x14ac:dyDescent="0.25">
      <c r="A1642" s="2">
        <v>868</v>
      </c>
      <c r="B1642" t="s">
        <v>3914</v>
      </c>
      <c r="D1642" t="s">
        <v>3915</v>
      </c>
      <c r="E1642" t="s">
        <v>1731</v>
      </c>
      <c r="F1642" t="s">
        <v>3916</v>
      </c>
      <c r="G1642" s="1">
        <v>45376</v>
      </c>
      <c r="H1642" s="1">
        <v>45386</v>
      </c>
      <c r="I1642" s="1">
        <v>73050</v>
      </c>
      <c r="J1642" s="2" t="s">
        <v>2656</v>
      </c>
      <c r="K1642" t="s">
        <v>3917</v>
      </c>
      <c r="M1642" s="16" t="s">
        <v>8548</v>
      </c>
      <c r="N1642" s="16" t="str">
        <f>VLOOKUP(M1642,Tab_Zast[[Zastávka]:[Sloupec1]],2,0)</f>
        <v>108</v>
      </c>
      <c r="O1642" t="s">
        <v>3918</v>
      </c>
      <c r="P1642">
        <v>6</v>
      </c>
      <c r="Q1642">
        <v>0</v>
      </c>
      <c r="R1642" t="s">
        <v>31</v>
      </c>
      <c r="S1642" t="s">
        <v>31</v>
      </c>
      <c r="T1642" t="s">
        <v>32</v>
      </c>
      <c r="V1642" s="1" t="e">
        <v>#N/A</v>
      </c>
      <c r="W1642" t="s">
        <v>1216</v>
      </c>
      <c r="X1642">
        <v>0</v>
      </c>
      <c r="Y1642">
        <v>208</v>
      </c>
      <c r="Z1642" t="s">
        <v>54</v>
      </c>
      <c r="AA1642" t="str">
        <f t="shared" si="50"/>
        <v>update zamestnanci set nastup='108' where id='868';</v>
      </c>
      <c r="AB1642" t="str">
        <f t="shared" si="51"/>
        <v>update dochazka set zastavka = '108' where zamestnanec = '868';</v>
      </c>
    </row>
    <row r="1643" spans="1:28" x14ac:dyDescent="0.25">
      <c r="A1643" s="2">
        <v>875</v>
      </c>
      <c r="B1643" t="s">
        <v>3950</v>
      </c>
      <c r="C1643" t="s">
        <v>3951</v>
      </c>
      <c r="D1643" t="s">
        <v>3952</v>
      </c>
      <c r="E1643" t="s">
        <v>80</v>
      </c>
      <c r="F1643" t="s">
        <v>3953</v>
      </c>
      <c r="G1643" s="1">
        <v>45377</v>
      </c>
      <c r="H1643" s="1">
        <v>73050</v>
      </c>
      <c r="I1643" s="1" t="e">
        <v>#N/A</v>
      </c>
      <c r="J1643" s="2" t="s">
        <v>2656</v>
      </c>
      <c r="K1643" t="s">
        <v>3954</v>
      </c>
      <c r="M1643" s="16" t="s">
        <v>8548</v>
      </c>
      <c r="N1643" s="16" t="str">
        <f>VLOOKUP(M1643,Tab_Zast[[Zastávka]:[Sloupec1]],2,0)</f>
        <v>108</v>
      </c>
      <c r="O1643" t="s">
        <v>3955</v>
      </c>
      <c r="P1643">
        <v>6</v>
      </c>
      <c r="Q1643">
        <v>0</v>
      </c>
      <c r="R1643" t="s">
        <v>179</v>
      </c>
      <c r="S1643" t="s">
        <v>31</v>
      </c>
      <c r="T1643" t="s">
        <v>32</v>
      </c>
      <c r="V1643" s="1" t="e">
        <v>#N/A</v>
      </c>
      <c r="W1643" t="s">
        <v>1216</v>
      </c>
      <c r="X1643">
        <v>1</v>
      </c>
      <c r="Y1643">
        <v>227</v>
      </c>
      <c r="AA1643" t="str">
        <f t="shared" si="50"/>
        <v>update zamestnanci set nastup='108' where id='875';</v>
      </c>
      <c r="AB1643" t="str">
        <f t="shared" si="51"/>
        <v>update dochazka set zastavka = '108' where zamestnanec = '875';</v>
      </c>
    </row>
    <row r="1644" spans="1:28" x14ac:dyDescent="0.25">
      <c r="A1644" s="2">
        <v>876</v>
      </c>
      <c r="B1644" t="s">
        <v>3956</v>
      </c>
      <c r="C1644" t="s">
        <v>3957</v>
      </c>
      <c r="D1644" t="s">
        <v>523</v>
      </c>
      <c r="E1644" t="s">
        <v>3566</v>
      </c>
      <c r="F1644" t="s">
        <v>3958</v>
      </c>
      <c r="G1644" s="1">
        <v>45384</v>
      </c>
      <c r="H1644" s="1">
        <v>73050</v>
      </c>
      <c r="I1644" s="1" t="e">
        <v>#N/A</v>
      </c>
      <c r="J1644" s="2" t="s">
        <v>2656</v>
      </c>
      <c r="K1644" t="s">
        <v>3959</v>
      </c>
      <c r="M1644" s="16" t="s">
        <v>8548</v>
      </c>
      <c r="N1644" s="16" t="str">
        <f>VLOOKUP(M1644,Tab_Zast[[Zastávka]:[Sloupec1]],2,0)</f>
        <v>108</v>
      </c>
      <c r="O1644" t="s">
        <v>3960</v>
      </c>
      <c r="P1644">
        <v>6</v>
      </c>
      <c r="Q1644">
        <v>0</v>
      </c>
      <c r="R1644" t="s">
        <v>179</v>
      </c>
      <c r="S1644" t="s">
        <v>31</v>
      </c>
      <c r="T1644" t="s">
        <v>32</v>
      </c>
      <c r="V1644" s="1" t="e">
        <v>#N/A</v>
      </c>
      <c r="W1644" t="s">
        <v>1216</v>
      </c>
      <c r="X1644">
        <v>1</v>
      </c>
      <c r="Y1644">
        <v>226</v>
      </c>
      <c r="AA1644" t="str">
        <f t="shared" si="50"/>
        <v>update zamestnanci set nastup='108' where id='876';</v>
      </c>
      <c r="AB1644" t="str">
        <f t="shared" si="51"/>
        <v>update dochazka set zastavka = '108' where zamestnanec = '876';</v>
      </c>
    </row>
    <row r="1645" spans="1:28" x14ac:dyDescent="0.25">
      <c r="A1645" s="2">
        <v>882</v>
      </c>
      <c r="B1645" t="s">
        <v>3983</v>
      </c>
      <c r="D1645" t="s">
        <v>1988</v>
      </c>
      <c r="E1645" t="s">
        <v>2391</v>
      </c>
      <c r="F1645" t="s">
        <v>67</v>
      </c>
      <c r="G1645" s="1">
        <v>45386</v>
      </c>
      <c r="H1645" s="1">
        <v>45386</v>
      </c>
      <c r="I1645" s="1">
        <v>45386</v>
      </c>
      <c r="J1645" s="2" t="s">
        <v>2656</v>
      </c>
      <c r="K1645" t="s">
        <v>3984</v>
      </c>
      <c r="M1645" s="16" t="s">
        <v>8548</v>
      </c>
      <c r="N1645" s="16" t="str">
        <f>VLOOKUP(M1645,Tab_Zast[[Zastávka]:[Sloupec1]],2,0)</f>
        <v>108</v>
      </c>
      <c r="O1645" t="s">
        <v>3985</v>
      </c>
      <c r="P1645">
        <v>6</v>
      </c>
      <c r="Q1645">
        <v>0</v>
      </c>
      <c r="R1645" t="s">
        <v>31</v>
      </c>
      <c r="S1645" t="s">
        <v>31</v>
      </c>
      <c r="T1645" t="s">
        <v>32</v>
      </c>
      <c r="V1645" s="1" t="e">
        <v>#N/A</v>
      </c>
      <c r="W1645" t="s">
        <v>1216</v>
      </c>
      <c r="X1645">
        <v>0</v>
      </c>
      <c r="Y1645">
        <v>204</v>
      </c>
      <c r="Z1645" t="s">
        <v>54</v>
      </c>
      <c r="AA1645" t="str">
        <f t="shared" si="50"/>
        <v>update zamestnanci set nastup='108' where id='882';</v>
      </c>
      <c r="AB1645" t="str">
        <f t="shared" si="51"/>
        <v>update dochazka set zastavka = '108' where zamestnanec = '882';</v>
      </c>
    </row>
    <row r="1646" spans="1:28" x14ac:dyDescent="0.25">
      <c r="A1646" s="2">
        <v>884</v>
      </c>
      <c r="B1646" t="s">
        <v>3990</v>
      </c>
      <c r="D1646" t="s">
        <v>3991</v>
      </c>
      <c r="E1646" t="s">
        <v>3992</v>
      </c>
      <c r="F1646" t="s">
        <v>67</v>
      </c>
      <c r="G1646" s="1">
        <v>45387</v>
      </c>
      <c r="H1646" s="1">
        <v>45390</v>
      </c>
      <c r="I1646" s="1">
        <v>73050</v>
      </c>
      <c r="J1646" s="2" t="s">
        <v>2656</v>
      </c>
      <c r="K1646" t="s">
        <v>3993</v>
      </c>
      <c r="M1646" s="16" t="s">
        <v>8548</v>
      </c>
      <c r="N1646" s="16" t="str">
        <f>VLOOKUP(M1646,Tab_Zast[[Zastávka]:[Sloupec1]],2,0)</f>
        <v>108</v>
      </c>
      <c r="O1646" t="s">
        <v>3994</v>
      </c>
      <c r="P1646">
        <v>6</v>
      </c>
      <c r="Q1646">
        <v>0</v>
      </c>
      <c r="R1646" t="s">
        <v>31</v>
      </c>
      <c r="S1646" t="s">
        <v>31</v>
      </c>
      <c r="T1646" t="s">
        <v>32</v>
      </c>
      <c r="V1646" s="1" t="e">
        <v>#N/A</v>
      </c>
      <c r="W1646" t="s">
        <v>1216</v>
      </c>
      <c r="X1646">
        <v>0</v>
      </c>
      <c r="Y1646">
        <v>243</v>
      </c>
      <c r="Z1646" t="s">
        <v>54</v>
      </c>
      <c r="AA1646" t="str">
        <f t="shared" si="50"/>
        <v>update zamestnanci set nastup='108' where id='884';</v>
      </c>
      <c r="AB1646" t="str">
        <f t="shared" si="51"/>
        <v>update dochazka set zastavka = '108' where zamestnanec = '884';</v>
      </c>
    </row>
    <row r="1647" spans="1:28" x14ac:dyDescent="0.25">
      <c r="A1647" s="2">
        <v>885</v>
      </c>
      <c r="B1647" t="s">
        <v>3995</v>
      </c>
      <c r="D1647" t="s">
        <v>3996</v>
      </c>
      <c r="E1647" t="s">
        <v>80</v>
      </c>
      <c r="F1647" t="s">
        <v>67</v>
      </c>
      <c r="G1647" s="1">
        <v>45387</v>
      </c>
      <c r="H1647" s="1">
        <v>45387</v>
      </c>
      <c r="I1647" s="1">
        <v>73050</v>
      </c>
      <c r="J1647" s="2" t="s">
        <v>2656</v>
      </c>
      <c r="K1647" t="s">
        <v>3997</v>
      </c>
      <c r="M1647" s="16" t="s">
        <v>8548</v>
      </c>
      <c r="N1647" s="16" t="str">
        <f>VLOOKUP(M1647,Tab_Zast[[Zastávka]:[Sloupec1]],2,0)</f>
        <v>108</v>
      </c>
      <c r="O1647" t="s">
        <v>3998</v>
      </c>
      <c r="P1647">
        <v>6</v>
      </c>
      <c r="Q1647">
        <v>0</v>
      </c>
      <c r="R1647" t="s">
        <v>31</v>
      </c>
      <c r="S1647" t="s">
        <v>31</v>
      </c>
      <c r="T1647" t="s">
        <v>32</v>
      </c>
      <c r="V1647" s="1" t="e">
        <v>#N/A</v>
      </c>
      <c r="W1647" t="s">
        <v>1216</v>
      </c>
      <c r="X1647">
        <v>0</v>
      </c>
      <c r="Y1647">
        <v>244</v>
      </c>
      <c r="Z1647" t="s">
        <v>54</v>
      </c>
      <c r="AA1647" t="str">
        <f t="shared" si="50"/>
        <v>update zamestnanci set nastup='108' where id='885';</v>
      </c>
      <c r="AB1647" t="str">
        <f t="shared" si="51"/>
        <v>update dochazka set zastavka = '108' where zamestnanec = '885';</v>
      </c>
    </row>
    <row r="1648" spans="1:28" x14ac:dyDescent="0.25">
      <c r="A1648" s="2">
        <v>886</v>
      </c>
      <c r="B1648" t="s">
        <v>3999</v>
      </c>
      <c r="C1648" t="s">
        <v>4000</v>
      </c>
      <c r="D1648" t="s">
        <v>4001</v>
      </c>
      <c r="E1648" t="s">
        <v>1750</v>
      </c>
      <c r="F1648" t="s">
        <v>4002</v>
      </c>
      <c r="G1648" s="1">
        <v>45390</v>
      </c>
      <c r="H1648" s="1">
        <v>73050</v>
      </c>
      <c r="I1648" s="1" t="e">
        <v>#N/A</v>
      </c>
      <c r="J1648" s="2" t="s">
        <v>2656</v>
      </c>
      <c r="K1648" t="s">
        <v>4003</v>
      </c>
      <c r="M1648" s="16" t="s">
        <v>8548</v>
      </c>
      <c r="N1648" s="16" t="str">
        <f>VLOOKUP(M1648,Tab_Zast[[Zastávka]:[Sloupec1]],2,0)</f>
        <v>108</v>
      </c>
      <c r="O1648" t="s">
        <v>4004</v>
      </c>
      <c r="P1648">
        <v>6</v>
      </c>
      <c r="Q1648">
        <v>0</v>
      </c>
      <c r="R1648" t="s">
        <v>130</v>
      </c>
      <c r="S1648" t="s">
        <v>31</v>
      </c>
      <c r="T1648" t="s">
        <v>32</v>
      </c>
      <c r="V1648" s="1" t="e">
        <v>#N/A</v>
      </c>
      <c r="W1648" t="s">
        <v>1216</v>
      </c>
      <c r="X1648">
        <v>1</v>
      </c>
      <c r="Y1648">
        <v>248</v>
      </c>
      <c r="AA1648" t="str">
        <f t="shared" si="50"/>
        <v>update zamestnanci set nastup='108' where id='886';</v>
      </c>
      <c r="AB1648" t="str">
        <f t="shared" si="51"/>
        <v>update dochazka set zastavka = '108' where zamestnanec = '886';</v>
      </c>
    </row>
    <row r="1649" spans="1:28" x14ac:dyDescent="0.25">
      <c r="A1649" s="2">
        <v>890</v>
      </c>
      <c r="B1649" t="s">
        <v>4019</v>
      </c>
      <c r="D1649" t="s">
        <v>4020</v>
      </c>
      <c r="E1649" t="s">
        <v>1402</v>
      </c>
      <c r="F1649" t="s">
        <v>67</v>
      </c>
      <c r="G1649" s="1">
        <v>45390</v>
      </c>
      <c r="H1649" s="1">
        <v>45392</v>
      </c>
      <c r="I1649" s="1">
        <v>73050</v>
      </c>
      <c r="J1649" s="2" t="s">
        <v>2656</v>
      </c>
      <c r="K1649" t="s">
        <v>4021</v>
      </c>
      <c r="M1649" s="16" t="s">
        <v>8548</v>
      </c>
      <c r="N1649" s="16" t="str">
        <f>VLOOKUP(M1649,Tab_Zast[[Zastávka]:[Sloupec1]],2,0)</f>
        <v>108</v>
      </c>
      <c r="O1649" t="s">
        <v>4022</v>
      </c>
      <c r="P1649">
        <v>1</v>
      </c>
      <c r="Q1649">
        <v>0</v>
      </c>
      <c r="R1649" t="s">
        <v>31</v>
      </c>
      <c r="S1649" t="s">
        <v>31</v>
      </c>
      <c r="T1649" t="s">
        <v>32</v>
      </c>
      <c r="V1649" s="1" t="e">
        <v>#N/A</v>
      </c>
      <c r="W1649" t="s">
        <v>2381</v>
      </c>
      <c r="X1649">
        <v>0</v>
      </c>
      <c r="Y1649">
        <v>216</v>
      </c>
      <c r="AA1649" t="str">
        <f t="shared" si="50"/>
        <v>update zamestnanci set nastup='108' where id='890';</v>
      </c>
      <c r="AB1649" t="str">
        <f t="shared" si="51"/>
        <v>update dochazka set zastavka = '108' where zamestnanec = '890';</v>
      </c>
    </row>
    <row r="1650" spans="1:28" x14ac:dyDescent="0.25">
      <c r="A1650" s="2">
        <v>896</v>
      </c>
      <c r="B1650" t="s">
        <v>4049</v>
      </c>
      <c r="C1650" t="s">
        <v>4050</v>
      </c>
      <c r="D1650" t="s">
        <v>4051</v>
      </c>
      <c r="E1650" t="s">
        <v>3758</v>
      </c>
      <c r="F1650" t="s">
        <v>4052</v>
      </c>
      <c r="G1650" s="1">
        <v>45392</v>
      </c>
      <c r="H1650" s="1">
        <v>45435</v>
      </c>
      <c r="I1650" s="1">
        <v>73050</v>
      </c>
      <c r="J1650" s="2" t="s">
        <v>2656</v>
      </c>
      <c r="K1650" t="s">
        <v>4053</v>
      </c>
      <c r="M1650" s="16" t="s">
        <v>8548</v>
      </c>
      <c r="N1650" s="16" t="str">
        <f>VLOOKUP(M1650,Tab_Zast[[Zastávka]:[Sloupec1]],2,0)</f>
        <v>108</v>
      </c>
      <c r="O1650" t="s">
        <v>4054</v>
      </c>
      <c r="P1650">
        <v>6</v>
      </c>
      <c r="Q1650">
        <v>0</v>
      </c>
      <c r="R1650" t="s">
        <v>31</v>
      </c>
      <c r="S1650" t="s">
        <v>31</v>
      </c>
      <c r="T1650" t="s">
        <v>32</v>
      </c>
      <c r="V1650" s="1" t="e">
        <v>#N/A</v>
      </c>
      <c r="W1650" t="s">
        <v>1216</v>
      </c>
      <c r="X1650">
        <v>0</v>
      </c>
      <c r="Y1650">
        <v>252</v>
      </c>
      <c r="AA1650" t="str">
        <f t="shared" si="50"/>
        <v>update zamestnanci set nastup='108' where id='896';</v>
      </c>
      <c r="AB1650" t="str">
        <f t="shared" si="51"/>
        <v>update dochazka set zastavka = '108' where zamestnanec = '896';</v>
      </c>
    </row>
    <row r="1651" spans="1:28" x14ac:dyDescent="0.25">
      <c r="A1651" s="2">
        <v>898</v>
      </c>
      <c r="B1651" t="s">
        <v>4059</v>
      </c>
      <c r="D1651" t="s">
        <v>4060</v>
      </c>
      <c r="E1651" t="s">
        <v>2512</v>
      </c>
      <c r="F1651" t="s">
        <v>4061</v>
      </c>
      <c r="G1651" s="1">
        <v>45392</v>
      </c>
      <c r="H1651" s="1">
        <v>45399</v>
      </c>
      <c r="I1651" s="1">
        <v>73050</v>
      </c>
      <c r="J1651" s="2" t="s">
        <v>2656</v>
      </c>
      <c r="K1651" t="s">
        <v>4062</v>
      </c>
      <c r="M1651" s="16" t="s">
        <v>8548</v>
      </c>
      <c r="N1651" s="16" t="str">
        <f>VLOOKUP(M1651,Tab_Zast[[Zastávka]:[Sloupec1]],2,0)</f>
        <v>108</v>
      </c>
      <c r="O1651" t="s">
        <v>4063</v>
      </c>
      <c r="P1651">
        <v>6</v>
      </c>
      <c r="Q1651">
        <v>0</v>
      </c>
      <c r="R1651" t="s">
        <v>31</v>
      </c>
      <c r="S1651" t="s">
        <v>31</v>
      </c>
      <c r="T1651" t="s">
        <v>32</v>
      </c>
      <c r="V1651" s="1" t="e">
        <v>#N/A</v>
      </c>
      <c r="W1651" t="s">
        <v>1216</v>
      </c>
      <c r="X1651">
        <v>0</v>
      </c>
      <c r="Y1651">
        <v>254</v>
      </c>
      <c r="Z1651" t="s">
        <v>54</v>
      </c>
      <c r="AA1651" t="str">
        <f t="shared" si="50"/>
        <v>update zamestnanci set nastup='108' where id='898';</v>
      </c>
      <c r="AB1651" t="str">
        <f t="shared" si="51"/>
        <v>update dochazka set zastavka = '108' where zamestnanec = '898';</v>
      </c>
    </row>
    <row r="1652" spans="1:28" x14ac:dyDescent="0.25">
      <c r="A1652" s="2">
        <v>905</v>
      </c>
      <c r="B1652" t="s">
        <v>4090</v>
      </c>
      <c r="C1652" t="s">
        <v>4091</v>
      </c>
      <c r="D1652" t="s">
        <v>4092</v>
      </c>
      <c r="E1652" t="s">
        <v>2883</v>
      </c>
      <c r="F1652" t="s">
        <v>4093</v>
      </c>
      <c r="G1652" s="1">
        <v>45397</v>
      </c>
      <c r="H1652" s="1">
        <v>45695</v>
      </c>
      <c r="I1652" s="1">
        <v>73050</v>
      </c>
      <c r="J1652" s="2" t="s">
        <v>2656</v>
      </c>
      <c r="K1652" t="s">
        <v>4094</v>
      </c>
      <c r="M1652" s="16" t="s">
        <v>8548</v>
      </c>
      <c r="N1652" s="16" t="str">
        <f>VLOOKUP(M1652,Tab_Zast[[Zastávka]:[Sloupec1]],2,0)</f>
        <v>108</v>
      </c>
      <c r="O1652" t="s">
        <v>4095</v>
      </c>
      <c r="P1652">
        <v>6</v>
      </c>
      <c r="Q1652">
        <v>0</v>
      </c>
      <c r="R1652" t="s">
        <v>31</v>
      </c>
      <c r="S1652" t="s">
        <v>31</v>
      </c>
      <c r="T1652" t="s">
        <v>32</v>
      </c>
      <c r="V1652" s="1">
        <v>45684</v>
      </c>
      <c r="W1652" t="s">
        <v>1216</v>
      </c>
      <c r="X1652">
        <v>0</v>
      </c>
      <c r="Y1652">
        <v>267</v>
      </c>
      <c r="AA1652" t="str">
        <f t="shared" si="50"/>
        <v>update zamestnanci set nastup='108' where id='905';</v>
      </c>
      <c r="AB1652" t="str">
        <f t="shared" si="51"/>
        <v>update dochazka set zastavka = '108' where zamestnanec = '905';</v>
      </c>
    </row>
    <row r="1653" spans="1:28" x14ac:dyDescent="0.25">
      <c r="A1653" s="2">
        <v>906</v>
      </c>
      <c r="B1653" t="s">
        <v>4096</v>
      </c>
      <c r="C1653" t="s">
        <v>4097</v>
      </c>
      <c r="D1653" t="s">
        <v>4098</v>
      </c>
      <c r="E1653" t="s">
        <v>2613</v>
      </c>
      <c r="F1653" t="s">
        <v>1813</v>
      </c>
      <c r="G1653" s="1">
        <v>45397</v>
      </c>
      <c r="H1653" s="1">
        <v>73050</v>
      </c>
      <c r="I1653" s="1" t="e">
        <v>#N/A</v>
      </c>
      <c r="J1653" s="2" t="s">
        <v>2656</v>
      </c>
      <c r="K1653" t="s">
        <v>4099</v>
      </c>
      <c r="M1653" s="16" t="s">
        <v>8548</v>
      </c>
      <c r="N1653" s="16" t="str">
        <f>VLOOKUP(M1653,Tab_Zast[[Zastávka]:[Sloupec1]],2,0)</f>
        <v>108</v>
      </c>
      <c r="O1653" t="s">
        <v>4100</v>
      </c>
      <c r="P1653">
        <v>6</v>
      </c>
      <c r="Q1653">
        <v>0</v>
      </c>
      <c r="R1653" t="s">
        <v>130</v>
      </c>
      <c r="S1653" t="s">
        <v>31</v>
      </c>
      <c r="T1653" t="s">
        <v>32</v>
      </c>
      <c r="V1653" s="1" t="e">
        <v>#N/A</v>
      </c>
      <c r="W1653" t="s">
        <v>1216</v>
      </c>
      <c r="X1653">
        <v>1</v>
      </c>
      <c r="Y1653">
        <v>268</v>
      </c>
      <c r="AA1653" t="str">
        <f t="shared" si="50"/>
        <v>update zamestnanci set nastup='108' where id='906';</v>
      </c>
      <c r="AB1653" t="str">
        <f t="shared" si="51"/>
        <v>update dochazka set zastavka = '108' where zamestnanec = '906';</v>
      </c>
    </row>
    <row r="1654" spans="1:28" x14ac:dyDescent="0.25">
      <c r="A1654" s="2">
        <v>915</v>
      </c>
      <c r="B1654" t="s">
        <v>4143</v>
      </c>
      <c r="C1654" t="s">
        <v>4144</v>
      </c>
      <c r="D1654" t="s">
        <v>4145</v>
      </c>
      <c r="E1654" t="s">
        <v>4146</v>
      </c>
      <c r="F1654" t="s">
        <v>4147</v>
      </c>
      <c r="G1654" s="1">
        <v>45400</v>
      </c>
      <c r="H1654" s="1">
        <v>45540</v>
      </c>
      <c r="I1654" s="1">
        <v>73050</v>
      </c>
      <c r="J1654" s="2" t="s">
        <v>2656</v>
      </c>
      <c r="K1654" t="s">
        <v>4148</v>
      </c>
      <c r="M1654" s="16" t="s">
        <v>8548</v>
      </c>
      <c r="N1654" s="16" t="str">
        <f>VLOOKUP(M1654,Tab_Zast[[Zastávka]:[Sloupec1]],2,0)</f>
        <v>108</v>
      </c>
      <c r="O1654" t="s">
        <v>4149</v>
      </c>
      <c r="P1654">
        <v>6</v>
      </c>
      <c r="Q1654">
        <v>0</v>
      </c>
      <c r="R1654" t="s">
        <v>31</v>
      </c>
      <c r="S1654" t="s">
        <v>31</v>
      </c>
      <c r="T1654" t="s">
        <v>32</v>
      </c>
      <c r="V1654" s="1" t="e">
        <v>#N/A</v>
      </c>
      <c r="W1654" t="s">
        <v>1216</v>
      </c>
      <c r="X1654">
        <v>0</v>
      </c>
      <c r="Y1654">
        <v>276</v>
      </c>
      <c r="AA1654" t="str">
        <f t="shared" si="50"/>
        <v>update zamestnanci set nastup='108' where id='915';</v>
      </c>
      <c r="AB1654" t="str">
        <f t="shared" si="51"/>
        <v>update dochazka set zastavka = '108' where zamestnanec = '915';</v>
      </c>
    </row>
    <row r="1655" spans="1:28" x14ac:dyDescent="0.25">
      <c r="A1655" s="2">
        <v>921</v>
      </c>
      <c r="B1655" t="s">
        <v>4168</v>
      </c>
      <c r="C1655" t="s">
        <v>4169</v>
      </c>
      <c r="D1655" t="s">
        <v>4170</v>
      </c>
      <c r="E1655" t="s">
        <v>2613</v>
      </c>
      <c r="F1655" t="s">
        <v>4171</v>
      </c>
      <c r="G1655" s="1">
        <v>45404</v>
      </c>
      <c r="H1655" s="1">
        <v>45540</v>
      </c>
      <c r="I1655" s="1">
        <v>73050</v>
      </c>
      <c r="J1655" s="2" t="s">
        <v>2656</v>
      </c>
      <c r="K1655" t="s">
        <v>4172</v>
      </c>
      <c r="M1655" s="16" t="s">
        <v>8548</v>
      </c>
      <c r="N1655" s="16" t="str">
        <f>VLOOKUP(M1655,Tab_Zast[[Zastávka]:[Sloupec1]],2,0)</f>
        <v>108</v>
      </c>
      <c r="O1655" t="s">
        <v>4173</v>
      </c>
      <c r="P1655">
        <v>6</v>
      </c>
      <c r="Q1655">
        <v>0</v>
      </c>
      <c r="R1655" t="s">
        <v>31</v>
      </c>
      <c r="S1655" t="s">
        <v>31</v>
      </c>
      <c r="T1655" t="s">
        <v>32</v>
      </c>
      <c r="V1655" s="1" t="e">
        <v>#N/A</v>
      </c>
      <c r="W1655" t="s">
        <v>1216</v>
      </c>
      <c r="X1655">
        <v>0</v>
      </c>
      <c r="Y1655">
        <v>277</v>
      </c>
      <c r="AA1655" t="str">
        <f t="shared" si="50"/>
        <v>update zamestnanci set nastup='108' where id='921';</v>
      </c>
      <c r="AB1655" t="str">
        <f t="shared" si="51"/>
        <v>update dochazka set zastavka = '108' where zamestnanec = '921';</v>
      </c>
    </row>
    <row r="1656" spans="1:28" x14ac:dyDescent="0.25">
      <c r="A1656" s="2">
        <v>938</v>
      </c>
      <c r="B1656" t="s">
        <v>4232</v>
      </c>
      <c r="C1656" t="s">
        <v>4233</v>
      </c>
      <c r="D1656" t="s">
        <v>4234</v>
      </c>
      <c r="E1656" t="s">
        <v>4235</v>
      </c>
      <c r="F1656" t="s">
        <v>67</v>
      </c>
      <c r="G1656" s="1">
        <v>45414</v>
      </c>
      <c r="H1656" s="1">
        <v>45981</v>
      </c>
      <c r="I1656" s="1" t="e">
        <v>#N/A</v>
      </c>
      <c r="J1656" s="2" t="s">
        <v>2656</v>
      </c>
      <c r="K1656" t="s">
        <v>4236</v>
      </c>
      <c r="M1656" s="16" t="s">
        <v>8548</v>
      </c>
      <c r="N1656" s="16" t="str">
        <f>VLOOKUP(M1656,Tab_Zast[[Zastávka]:[Sloupec1]],2,0)</f>
        <v>108</v>
      </c>
      <c r="O1656" t="s">
        <v>4237</v>
      </c>
      <c r="P1656">
        <v>6</v>
      </c>
      <c r="Q1656">
        <v>0</v>
      </c>
      <c r="R1656" t="s">
        <v>31</v>
      </c>
      <c r="S1656" t="s">
        <v>31</v>
      </c>
      <c r="T1656" t="s">
        <v>32</v>
      </c>
      <c r="V1656" s="1" t="e">
        <v>#N/A</v>
      </c>
      <c r="W1656" t="s">
        <v>1022</v>
      </c>
      <c r="X1656">
        <v>0</v>
      </c>
      <c r="Y1656">
        <v>0</v>
      </c>
      <c r="AA1656" t="str">
        <f t="shared" si="50"/>
        <v>update zamestnanci set nastup='108' where id='938';</v>
      </c>
      <c r="AB1656" t="str">
        <f t="shared" si="51"/>
        <v>update dochazka set zastavka = '108' where zamestnanec = '938';</v>
      </c>
    </row>
    <row r="1657" spans="1:28" x14ac:dyDescent="0.25">
      <c r="A1657" s="2">
        <v>939</v>
      </c>
      <c r="B1657" t="s">
        <v>4238</v>
      </c>
      <c r="C1657" t="s">
        <v>4239</v>
      </c>
      <c r="D1657" t="s">
        <v>4240</v>
      </c>
      <c r="E1657" t="s">
        <v>743</v>
      </c>
      <c r="F1657" t="s">
        <v>569</v>
      </c>
      <c r="G1657" s="1">
        <v>45420</v>
      </c>
      <c r="H1657" s="1">
        <v>45849</v>
      </c>
      <c r="I1657" s="1">
        <v>73050</v>
      </c>
      <c r="J1657" s="2" t="s">
        <v>2656</v>
      </c>
      <c r="K1657" t="s">
        <v>4241</v>
      </c>
      <c r="M1657" s="16" t="s">
        <v>8548</v>
      </c>
      <c r="N1657" s="16" t="str">
        <f>VLOOKUP(M1657,Tab_Zast[[Zastávka]:[Sloupec1]],2,0)</f>
        <v>108</v>
      </c>
      <c r="O1657" t="s">
        <v>4242</v>
      </c>
      <c r="P1657">
        <v>6</v>
      </c>
      <c r="Q1657">
        <v>0</v>
      </c>
      <c r="R1657" t="s">
        <v>31</v>
      </c>
      <c r="S1657" t="s">
        <v>31</v>
      </c>
      <c r="T1657" t="s">
        <v>32</v>
      </c>
      <c r="V1657" s="1" t="e">
        <v>#N/A</v>
      </c>
      <c r="W1657" t="s">
        <v>1216</v>
      </c>
      <c r="X1657">
        <v>0</v>
      </c>
      <c r="Y1657">
        <v>307</v>
      </c>
      <c r="AA1657" t="str">
        <f t="shared" si="50"/>
        <v>update zamestnanci set nastup='108' where id='939';</v>
      </c>
      <c r="AB1657" t="str">
        <f t="shared" si="51"/>
        <v>update dochazka set zastavka = '108' where zamestnanec = '939';</v>
      </c>
    </row>
    <row r="1658" spans="1:28" x14ac:dyDescent="0.25">
      <c r="A1658" s="2">
        <v>946</v>
      </c>
      <c r="B1658" t="s">
        <v>4273</v>
      </c>
      <c r="C1658" t="s">
        <v>4274</v>
      </c>
      <c r="D1658" t="s">
        <v>3048</v>
      </c>
      <c r="E1658" t="s">
        <v>4253</v>
      </c>
      <c r="F1658" t="s">
        <v>4275</v>
      </c>
      <c r="G1658" s="1">
        <v>45427</v>
      </c>
      <c r="H1658" s="1">
        <v>45477</v>
      </c>
      <c r="I1658" s="1">
        <v>73050</v>
      </c>
      <c r="J1658" s="2" t="s">
        <v>2656</v>
      </c>
      <c r="K1658" t="s">
        <v>4276</v>
      </c>
      <c r="M1658" s="16" t="s">
        <v>8548</v>
      </c>
      <c r="N1658" s="16" t="str">
        <f>VLOOKUP(M1658,Tab_Zast[[Zastávka]:[Sloupec1]],2,0)</f>
        <v>108</v>
      </c>
      <c r="O1658" t="s">
        <v>4277</v>
      </c>
      <c r="P1658">
        <v>6</v>
      </c>
      <c r="Q1658">
        <v>0</v>
      </c>
      <c r="R1658" t="s">
        <v>31</v>
      </c>
      <c r="S1658" t="s">
        <v>31</v>
      </c>
      <c r="T1658" t="s">
        <v>32</v>
      </c>
      <c r="V1658" s="1" t="e">
        <v>#N/A</v>
      </c>
      <c r="W1658" t="s">
        <v>1216</v>
      </c>
      <c r="X1658">
        <v>0</v>
      </c>
      <c r="Y1658">
        <v>332</v>
      </c>
      <c r="AA1658" t="str">
        <f t="shared" si="50"/>
        <v>update zamestnanci set nastup='108' where id='946';</v>
      </c>
      <c r="AB1658" t="str">
        <f t="shared" si="51"/>
        <v>update dochazka set zastavka = '108' where zamestnanec = '946';</v>
      </c>
    </row>
    <row r="1659" spans="1:28" x14ac:dyDescent="0.25">
      <c r="A1659" s="2">
        <v>950</v>
      </c>
      <c r="B1659" t="s">
        <v>4293</v>
      </c>
      <c r="C1659" t="s">
        <v>4294</v>
      </c>
      <c r="D1659" t="s">
        <v>4295</v>
      </c>
      <c r="E1659" t="s">
        <v>2883</v>
      </c>
      <c r="F1659" t="s">
        <v>2299</v>
      </c>
      <c r="G1659" s="1">
        <v>45436</v>
      </c>
      <c r="H1659" s="1">
        <v>73050</v>
      </c>
      <c r="I1659" s="1" t="e">
        <v>#N/A</v>
      </c>
      <c r="J1659" s="2" t="s">
        <v>2656</v>
      </c>
      <c r="K1659" t="s">
        <v>4296</v>
      </c>
      <c r="M1659" s="16" t="s">
        <v>8548</v>
      </c>
      <c r="N1659" s="16" t="str">
        <f>VLOOKUP(M1659,Tab_Zast[[Zastávka]:[Sloupec1]],2,0)</f>
        <v>108</v>
      </c>
      <c r="O1659" t="s">
        <v>4297</v>
      </c>
      <c r="P1659">
        <v>6</v>
      </c>
      <c r="Q1659">
        <v>0</v>
      </c>
      <c r="R1659" t="s">
        <v>130</v>
      </c>
      <c r="S1659" t="s">
        <v>31</v>
      </c>
      <c r="T1659" t="s">
        <v>32</v>
      </c>
      <c r="V1659" s="1" t="e">
        <v>#N/A</v>
      </c>
      <c r="W1659" t="s">
        <v>1216</v>
      </c>
      <c r="X1659">
        <v>1</v>
      </c>
      <c r="Y1659">
        <v>337</v>
      </c>
      <c r="AA1659" t="str">
        <f t="shared" si="50"/>
        <v>update zamestnanci set nastup='108' where id='950';</v>
      </c>
      <c r="AB1659" t="str">
        <f t="shared" si="51"/>
        <v>update dochazka set zastavka = '108' where zamestnanec = '950';</v>
      </c>
    </row>
    <row r="1660" spans="1:28" x14ac:dyDescent="0.25">
      <c r="A1660" s="2">
        <v>951</v>
      </c>
      <c r="B1660" t="s">
        <v>4298</v>
      </c>
      <c r="C1660" t="s">
        <v>64</v>
      </c>
      <c r="D1660" t="s">
        <v>4299</v>
      </c>
      <c r="E1660" t="s">
        <v>1402</v>
      </c>
      <c r="F1660" t="s">
        <v>4300</v>
      </c>
      <c r="G1660" s="1">
        <v>45439</v>
      </c>
      <c r="H1660" s="1">
        <v>45701</v>
      </c>
      <c r="I1660" s="1">
        <v>73050</v>
      </c>
      <c r="J1660" s="2" t="s">
        <v>2656</v>
      </c>
      <c r="K1660" t="s">
        <v>4301</v>
      </c>
      <c r="M1660" s="16" t="s">
        <v>8548</v>
      </c>
      <c r="N1660" s="16" t="str">
        <f>VLOOKUP(M1660,Tab_Zast[[Zastávka]:[Sloupec1]],2,0)</f>
        <v>108</v>
      </c>
      <c r="O1660" t="s">
        <v>4302</v>
      </c>
      <c r="P1660">
        <v>2</v>
      </c>
      <c r="Q1660">
        <v>0</v>
      </c>
      <c r="R1660" t="s">
        <v>31</v>
      </c>
      <c r="S1660" t="s">
        <v>31</v>
      </c>
      <c r="T1660" t="s">
        <v>32</v>
      </c>
      <c r="V1660" s="1" t="e">
        <v>#N/A</v>
      </c>
      <c r="W1660" t="s">
        <v>90</v>
      </c>
      <c r="X1660">
        <v>0</v>
      </c>
      <c r="Y1660">
        <v>351</v>
      </c>
      <c r="AA1660" t="str">
        <f t="shared" si="50"/>
        <v>update zamestnanci set nastup='108' where id='951';</v>
      </c>
      <c r="AB1660" t="str">
        <f t="shared" si="51"/>
        <v>update dochazka set zastavka = '108' where zamestnanec = '951';</v>
      </c>
    </row>
    <row r="1661" spans="1:28" x14ac:dyDescent="0.25">
      <c r="A1661" s="2">
        <v>955</v>
      </c>
      <c r="B1661" t="s">
        <v>4318</v>
      </c>
      <c r="C1661" t="s">
        <v>4319</v>
      </c>
      <c r="D1661" t="s">
        <v>4315</v>
      </c>
      <c r="E1661" t="s">
        <v>4316</v>
      </c>
      <c r="F1661" t="s">
        <v>3362</v>
      </c>
      <c r="G1661" s="1">
        <v>45432</v>
      </c>
      <c r="H1661" s="1">
        <v>73050</v>
      </c>
      <c r="I1661" s="1" t="e">
        <v>#N/A</v>
      </c>
      <c r="J1661" s="2" t="s">
        <v>2656</v>
      </c>
      <c r="K1661" t="s">
        <v>4320</v>
      </c>
      <c r="M1661" s="16" t="s">
        <v>8548</v>
      </c>
      <c r="N1661" s="16" t="str">
        <f>VLOOKUP(M1661,Tab_Zast[[Zastávka]:[Sloupec1]],2,0)</f>
        <v>108</v>
      </c>
      <c r="O1661" t="s">
        <v>167</v>
      </c>
      <c r="P1661">
        <v>6</v>
      </c>
      <c r="Q1661">
        <v>0</v>
      </c>
      <c r="R1661" t="s">
        <v>129</v>
      </c>
      <c r="S1661" t="s">
        <v>31</v>
      </c>
      <c r="T1661" t="s">
        <v>32</v>
      </c>
      <c r="V1661" s="1" t="e">
        <v>#N/A</v>
      </c>
      <c r="W1661" t="s">
        <v>1216</v>
      </c>
      <c r="X1661">
        <v>1</v>
      </c>
      <c r="Y1661">
        <v>353</v>
      </c>
      <c r="AA1661" t="str">
        <f t="shared" si="50"/>
        <v>update zamestnanci set nastup='108' where id='955';</v>
      </c>
      <c r="AB1661" t="str">
        <f t="shared" si="51"/>
        <v>update dochazka set zastavka = '108' where zamestnanec = '955';</v>
      </c>
    </row>
    <row r="1662" spans="1:28" x14ac:dyDescent="0.25">
      <c r="A1662" s="2">
        <v>956</v>
      </c>
      <c r="B1662" t="s">
        <v>4321</v>
      </c>
      <c r="C1662" t="s">
        <v>64</v>
      </c>
      <c r="D1662" t="s">
        <v>4322</v>
      </c>
      <c r="E1662" t="s">
        <v>4323</v>
      </c>
      <c r="F1662" t="s">
        <v>4324</v>
      </c>
      <c r="G1662" s="1">
        <v>45439</v>
      </c>
      <c r="H1662" s="1">
        <v>45737</v>
      </c>
      <c r="I1662" s="1">
        <v>73050</v>
      </c>
      <c r="J1662" s="2" t="s">
        <v>2656</v>
      </c>
      <c r="K1662" t="s">
        <v>4325</v>
      </c>
      <c r="M1662" s="16" t="s">
        <v>8548</v>
      </c>
      <c r="N1662" s="16" t="str">
        <f>VLOOKUP(M1662,Tab_Zast[[Zastávka]:[Sloupec1]],2,0)</f>
        <v>108</v>
      </c>
      <c r="O1662" t="s">
        <v>4326</v>
      </c>
      <c r="P1662">
        <v>2</v>
      </c>
      <c r="Q1662">
        <v>0</v>
      </c>
      <c r="R1662" t="s">
        <v>31</v>
      </c>
      <c r="S1662" t="s">
        <v>31</v>
      </c>
      <c r="T1662" t="s">
        <v>32</v>
      </c>
      <c r="V1662" s="1" t="e">
        <v>#N/A</v>
      </c>
      <c r="W1662" t="s">
        <v>90</v>
      </c>
      <c r="X1662">
        <v>0</v>
      </c>
      <c r="Y1662">
        <v>0</v>
      </c>
      <c r="AA1662" t="str">
        <f t="shared" si="50"/>
        <v>update zamestnanci set nastup='108' where id='956';</v>
      </c>
      <c r="AB1662" t="str">
        <f t="shared" si="51"/>
        <v>update dochazka set zastavka = '108' where zamestnanec = '956';</v>
      </c>
    </row>
    <row r="1663" spans="1:28" x14ac:dyDescent="0.25">
      <c r="A1663" s="2">
        <v>961</v>
      </c>
      <c r="B1663" t="s">
        <v>4348</v>
      </c>
      <c r="C1663" t="s">
        <v>4349</v>
      </c>
      <c r="D1663" t="s">
        <v>4350</v>
      </c>
      <c r="E1663" t="s">
        <v>4351</v>
      </c>
      <c r="F1663" t="s">
        <v>4352</v>
      </c>
      <c r="G1663" s="1">
        <v>45441</v>
      </c>
      <c r="H1663" s="1">
        <v>73050</v>
      </c>
      <c r="I1663" s="1" t="e">
        <v>#N/A</v>
      </c>
      <c r="J1663" s="2" t="s">
        <v>2656</v>
      </c>
      <c r="K1663" t="s">
        <v>4353</v>
      </c>
      <c r="M1663" s="16" t="s">
        <v>8548</v>
      </c>
      <c r="N1663" s="16" t="str">
        <f>VLOOKUP(M1663,Tab_Zast[[Zastávka]:[Sloupec1]],2,0)</f>
        <v>108</v>
      </c>
      <c r="O1663" t="s">
        <v>4354</v>
      </c>
      <c r="P1663">
        <v>6</v>
      </c>
      <c r="Q1663">
        <v>0</v>
      </c>
      <c r="R1663" t="s">
        <v>179</v>
      </c>
      <c r="S1663" t="s">
        <v>31</v>
      </c>
      <c r="T1663" t="s">
        <v>32</v>
      </c>
      <c r="V1663" s="1" t="e">
        <v>#N/A</v>
      </c>
      <c r="W1663" t="s">
        <v>1216</v>
      </c>
      <c r="X1663">
        <v>1</v>
      </c>
      <c r="Y1663">
        <v>354</v>
      </c>
      <c r="AA1663" t="str">
        <f t="shared" si="50"/>
        <v>update zamestnanci set nastup='108' where id='961';</v>
      </c>
      <c r="AB1663" t="str">
        <f t="shared" si="51"/>
        <v>update dochazka set zastavka = '108' where zamestnanec = '961';</v>
      </c>
    </row>
    <row r="1664" spans="1:28" x14ac:dyDescent="0.25">
      <c r="A1664" s="2">
        <v>977</v>
      </c>
      <c r="B1664" t="s">
        <v>4417</v>
      </c>
      <c r="C1664" t="s">
        <v>64</v>
      </c>
      <c r="D1664" t="s">
        <v>4418</v>
      </c>
      <c r="E1664" t="s">
        <v>4419</v>
      </c>
      <c r="F1664" t="s">
        <v>4420</v>
      </c>
      <c r="G1664" s="1">
        <v>45448</v>
      </c>
      <c r="H1664" s="1">
        <v>45578</v>
      </c>
      <c r="I1664" s="1">
        <v>73050</v>
      </c>
      <c r="J1664" s="2" t="s">
        <v>2656</v>
      </c>
      <c r="K1664" t="s">
        <v>4421</v>
      </c>
      <c r="M1664" s="16" t="s">
        <v>8548</v>
      </c>
      <c r="N1664" s="16" t="str">
        <f>VLOOKUP(M1664,Tab_Zast[[Zastávka]:[Sloupec1]],2,0)</f>
        <v>108</v>
      </c>
      <c r="O1664" t="s">
        <v>4422</v>
      </c>
      <c r="P1664">
        <v>2</v>
      </c>
      <c r="Q1664">
        <v>0</v>
      </c>
      <c r="R1664" t="s">
        <v>31</v>
      </c>
      <c r="S1664" t="s">
        <v>31</v>
      </c>
      <c r="T1664" t="s">
        <v>32</v>
      </c>
      <c r="V1664" s="1" t="e">
        <v>#N/A</v>
      </c>
      <c r="W1664" t="s">
        <v>90</v>
      </c>
      <c r="X1664">
        <v>0</v>
      </c>
      <c r="Y1664">
        <v>0</v>
      </c>
      <c r="AA1664" t="str">
        <f t="shared" si="50"/>
        <v>update zamestnanci set nastup='108' where id='977';</v>
      </c>
      <c r="AB1664" t="str">
        <f t="shared" si="51"/>
        <v>update dochazka set zastavka = '108' where zamestnanec = '977';</v>
      </c>
    </row>
    <row r="1665" spans="1:28" x14ac:dyDescent="0.25">
      <c r="A1665" s="2">
        <v>987</v>
      </c>
      <c r="B1665" t="s">
        <v>4464</v>
      </c>
      <c r="C1665" t="s">
        <v>1394</v>
      </c>
      <c r="D1665" t="s">
        <v>4465</v>
      </c>
      <c r="E1665" t="s">
        <v>580</v>
      </c>
      <c r="F1665" t="s">
        <v>67</v>
      </c>
      <c r="G1665" s="1">
        <v>45453</v>
      </c>
      <c r="H1665" s="1">
        <v>45460</v>
      </c>
      <c r="I1665" s="1">
        <v>73050</v>
      </c>
      <c r="J1665" s="2" t="s">
        <v>2656</v>
      </c>
      <c r="K1665" t="s">
        <v>4466</v>
      </c>
      <c r="M1665" s="16" t="s">
        <v>8548</v>
      </c>
      <c r="N1665" s="16" t="str">
        <f>VLOOKUP(M1665,Tab_Zast[[Zastávka]:[Sloupec1]],2,0)</f>
        <v>108</v>
      </c>
      <c r="O1665" t="s">
        <v>4467</v>
      </c>
      <c r="P1665">
        <v>6</v>
      </c>
      <c r="Q1665">
        <v>0</v>
      </c>
      <c r="R1665" t="s">
        <v>31</v>
      </c>
      <c r="S1665" t="s">
        <v>31</v>
      </c>
      <c r="T1665" t="s">
        <v>32</v>
      </c>
      <c r="V1665" s="1" t="e">
        <v>#N/A</v>
      </c>
      <c r="W1665" t="s">
        <v>1216</v>
      </c>
      <c r="X1665">
        <v>0</v>
      </c>
      <c r="Y1665">
        <v>380</v>
      </c>
      <c r="AA1665" t="str">
        <f t="shared" si="50"/>
        <v>update zamestnanci set nastup='108' where id='987';</v>
      </c>
      <c r="AB1665" t="str">
        <f t="shared" si="51"/>
        <v>update dochazka set zastavka = '108' where zamestnanec = '987';</v>
      </c>
    </row>
    <row r="1666" spans="1:28" x14ac:dyDescent="0.25">
      <c r="A1666" s="2">
        <v>1015</v>
      </c>
      <c r="B1666" t="s">
        <v>4568</v>
      </c>
      <c r="C1666" t="s">
        <v>1394</v>
      </c>
      <c r="D1666" t="s">
        <v>4569</v>
      </c>
      <c r="E1666" t="s">
        <v>1744</v>
      </c>
      <c r="F1666" t="s">
        <v>569</v>
      </c>
      <c r="G1666" s="1">
        <v>45461</v>
      </c>
      <c r="H1666" s="1">
        <v>45777</v>
      </c>
      <c r="I1666" s="1">
        <v>73050</v>
      </c>
      <c r="J1666" s="2" t="s">
        <v>2656</v>
      </c>
      <c r="K1666" t="s">
        <v>4570</v>
      </c>
      <c r="M1666" s="16" t="s">
        <v>8548</v>
      </c>
      <c r="N1666" s="16" t="str">
        <f>VLOOKUP(M1666,Tab_Zast[[Zastávka]:[Sloupec1]],2,0)</f>
        <v>108</v>
      </c>
      <c r="O1666" t="s">
        <v>4571</v>
      </c>
      <c r="P1666">
        <v>9</v>
      </c>
      <c r="Q1666">
        <v>0</v>
      </c>
      <c r="R1666" t="s">
        <v>31</v>
      </c>
      <c r="S1666" t="s">
        <v>31</v>
      </c>
      <c r="T1666" t="s">
        <v>32</v>
      </c>
      <c r="V1666" s="1" t="e">
        <v>#N/A</v>
      </c>
      <c r="W1666" t="s">
        <v>3091</v>
      </c>
      <c r="X1666">
        <v>0</v>
      </c>
      <c r="Y1666">
        <v>404</v>
      </c>
      <c r="AA1666" t="str">
        <f t="shared" si="50"/>
        <v>update zamestnanci set nastup='108' where id='1015';</v>
      </c>
      <c r="AB1666" t="str">
        <f t="shared" si="51"/>
        <v>update dochazka set zastavka = '108' where zamestnanec = '1015';</v>
      </c>
    </row>
    <row r="1667" spans="1:28" x14ac:dyDescent="0.25">
      <c r="A1667" s="2">
        <v>1024</v>
      </c>
      <c r="B1667" t="s">
        <v>4609</v>
      </c>
      <c r="C1667" t="s">
        <v>4610</v>
      </c>
      <c r="D1667" t="s">
        <v>4611</v>
      </c>
      <c r="E1667" t="s">
        <v>2451</v>
      </c>
      <c r="F1667" t="s">
        <v>4612</v>
      </c>
      <c r="G1667" s="1">
        <v>45462</v>
      </c>
      <c r="H1667" s="1">
        <v>45488</v>
      </c>
      <c r="I1667" s="1">
        <v>73050</v>
      </c>
      <c r="J1667" s="2" t="s">
        <v>2656</v>
      </c>
      <c r="K1667" t="s">
        <v>4613</v>
      </c>
      <c r="M1667" s="16" t="s">
        <v>8548</v>
      </c>
      <c r="N1667" s="16" t="str">
        <f>VLOOKUP(M1667,Tab_Zast[[Zastávka]:[Sloupec1]],2,0)</f>
        <v>108</v>
      </c>
      <c r="O1667" t="s">
        <v>4614</v>
      </c>
      <c r="P1667">
        <v>6</v>
      </c>
      <c r="Q1667">
        <v>0</v>
      </c>
      <c r="R1667" t="s">
        <v>31</v>
      </c>
      <c r="S1667" t="s">
        <v>31</v>
      </c>
      <c r="T1667" t="s">
        <v>32</v>
      </c>
      <c r="V1667" s="1">
        <v>45474</v>
      </c>
      <c r="W1667" t="s">
        <v>1216</v>
      </c>
      <c r="X1667">
        <v>0</v>
      </c>
      <c r="Y1667">
        <v>413</v>
      </c>
      <c r="AA1667" t="str">
        <f t="shared" si="50"/>
        <v>update zamestnanci set nastup='108' where id='1024';</v>
      </c>
      <c r="AB1667" t="str">
        <f t="shared" si="51"/>
        <v>update dochazka set zastavka = '108' where zamestnanec = '1024';</v>
      </c>
    </row>
    <row r="1668" spans="1:28" x14ac:dyDescent="0.25">
      <c r="A1668" s="2">
        <v>1025</v>
      </c>
      <c r="B1668" t="s">
        <v>4615</v>
      </c>
      <c r="C1668" t="s">
        <v>1394</v>
      </c>
      <c r="D1668" t="s">
        <v>4616</v>
      </c>
      <c r="E1668" t="s">
        <v>1750</v>
      </c>
      <c r="F1668" t="s">
        <v>67</v>
      </c>
      <c r="G1668" s="1">
        <v>45462</v>
      </c>
      <c r="H1668" s="1">
        <v>45462</v>
      </c>
      <c r="I1668" s="1">
        <v>45462</v>
      </c>
      <c r="J1668" s="2" t="s">
        <v>2656</v>
      </c>
      <c r="K1668" t="s">
        <v>4617</v>
      </c>
      <c r="M1668" s="16" t="s">
        <v>8548</v>
      </c>
      <c r="N1668" s="16" t="str">
        <f>VLOOKUP(M1668,Tab_Zast[[Zastávka]:[Sloupec1]],2,0)</f>
        <v>108</v>
      </c>
      <c r="O1668" t="s">
        <v>4618</v>
      </c>
      <c r="P1668">
        <v>6</v>
      </c>
      <c r="Q1668">
        <v>0</v>
      </c>
      <c r="R1668" t="s">
        <v>31</v>
      </c>
      <c r="S1668" t="s">
        <v>31</v>
      </c>
      <c r="T1668" t="s">
        <v>32</v>
      </c>
      <c r="V1668" s="1" t="e">
        <v>#N/A</v>
      </c>
      <c r="W1668" t="s">
        <v>1216</v>
      </c>
      <c r="X1668">
        <v>0</v>
      </c>
      <c r="Y1668">
        <v>414</v>
      </c>
      <c r="AA1668" t="str">
        <f t="shared" ref="AA1668:AA1731" si="52">IF(J1668&lt;&gt;"00","update zamestnanci set nastup='" &amp; J1668 &amp; "' where id='" &amp; A1668 &amp; "';","")</f>
        <v>update zamestnanci set nastup='108' where id='1025';</v>
      </c>
      <c r="AB1668" t="str">
        <f t="shared" ref="AB1668:AB1731" si="53">IF(J1668&lt;&gt;"00","update dochazka set zastavka = '" &amp; J1668 &amp; "' where zamestnanec = '" &amp; A1668 &amp; "';","")</f>
        <v>update dochazka set zastavka = '108' where zamestnanec = '1025';</v>
      </c>
    </row>
    <row r="1669" spans="1:28" x14ac:dyDescent="0.25">
      <c r="A1669" s="2">
        <v>1027</v>
      </c>
      <c r="B1669" t="s">
        <v>4624</v>
      </c>
      <c r="C1669" t="s">
        <v>64</v>
      </c>
      <c r="D1669" t="s">
        <v>4625</v>
      </c>
      <c r="E1669" t="s">
        <v>4626</v>
      </c>
      <c r="F1669" t="s">
        <v>67</v>
      </c>
      <c r="G1669" s="1">
        <v>45462</v>
      </c>
      <c r="H1669" s="1">
        <v>45477</v>
      </c>
      <c r="I1669" s="1">
        <v>73050</v>
      </c>
      <c r="J1669" s="2" t="s">
        <v>2656</v>
      </c>
      <c r="K1669" t="s">
        <v>4627</v>
      </c>
      <c r="M1669" s="16" t="s">
        <v>8548</v>
      </c>
      <c r="N1669" s="16" t="str">
        <f>VLOOKUP(M1669,Tab_Zast[[Zastávka]:[Sloupec1]],2,0)</f>
        <v>108</v>
      </c>
      <c r="O1669" t="s">
        <v>4628</v>
      </c>
      <c r="P1669">
        <v>2</v>
      </c>
      <c r="Q1669">
        <v>0</v>
      </c>
      <c r="R1669" t="s">
        <v>31</v>
      </c>
      <c r="S1669" t="s">
        <v>31</v>
      </c>
      <c r="T1669" t="s">
        <v>32</v>
      </c>
      <c r="V1669" s="1" t="e">
        <v>#N/A</v>
      </c>
      <c r="W1669" t="s">
        <v>90</v>
      </c>
      <c r="X1669">
        <v>0</v>
      </c>
      <c r="Y1669">
        <v>0</v>
      </c>
      <c r="AA1669" t="str">
        <f t="shared" si="52"/>
        <v>update zamestnanci set nastup='108' where id='1027';</v>
      </c>
      <c r="AB1669" t="str">
        <f t="shared" si="53"/>
        <v>update dochazka set zastavka = '108' where zamestnanec = '1027';</v>
      </c>
    </row>
    <row r="1670" spans="1:28" x14ac:dyDescent="0.25">
      <c r="A1670" s="2">
        <v>1030</v>
      </c>
      <c r="B1670" t="s">
        <v>4638</v>
      </c>
      <c r="C1670" t="s">
        <v>151</v>
      </c>
      <c r="D1670" t="s">
        <v>4639</v>
      </c>
      <c r="E1670" t="s">
        <v>633</v>
      </c>
      <c r="F1670" t="s">
        <v>375</v>
      </c>
      <c r="G1670" s="1">
        <v>45467</v>
      </c>
      <c r="H1670" s="1">
        <v>45470</v>
      </c>
      <c r="I1670" s="1">
        <v>73050</v>
      </c>
      <c r="J1670" s="2" t="s">
        <v>230</v>
      </c>
      <c r="K1670" t="s">
        <v>4640</v>
      </c>
      <c r="M1670" s="16" t="s">
        <v>8287</v>
      </c>
      <c r="N1670" s="16" t="str">
        <f>VLOOKUP(M1670,Tab_Zast[[Zastávka]:[Sloupec1]],2,0)</f>
        <v>12</v>
      </c>
      <c r="O1670" t="s">
        <v>4641</v>
      </c>
      <c r="P1670">
        <v>1</v>
      </c>
      <c r="Q1670">
        <v>0</v>
      </c>
      <c r="R1670" t="s">
        <v>31</v>
      </c>
      <c r="S1670" t="s">
        <v>31</v>
      </c>
      <c r="T1670" t="s">
        <v>32</v>
      </c>
      <c r="V1670" s="1" t="e">
        <v>#N/A</v>
      </c>
      <c r="W1670" t="s">
        <v>47</v>
      </c>
      <c r="X1670">
        <v>0</v>
      </c>
      <c r="Y1670">
        <v>418</v>
      </c>
      <c r="AA1670" t="str">
        <f t="shared" si="52"/>
        <v>update zamestnanci set nastup='12' where id='1030';</v>
      </c>
      <c r="AB1670" t="str">
        <f t="shared" si="53"/>
        <v>update dochazka set zastavka = '12' where zamestnanec = '1030';</v>
      </c>
    </row>
    <row r="1671" spans="1:28" x14ac:dyDescent="0.25">
      <c r="A1671" s="2">
        <v>1036</v>
      </c>
      <c r="B1671" t="s">
        <v>4665</v>
      </c>
      <c r="C1671" t="s">
        <v>1394</v>
      </c>
      <c r="D1671" t="s">
        <v>4666</v>
      </c>
      <c r="E1671" t="s">
        <v>743</v>
      </c>
      <c r="F1671" t="s">
        <v>357</v>
      </c>
      <c r="G1671" s="1">
        <v>45468</v>
      </c>
      <c r="H1671" s="1">
        <v>45891</v>
      </c>
      <c r="I1671" s="1">
        <v>73050</v>
      </c>
      <c r="J1671" s="2" t="s">
        <v>2656</v>
      </c>
      <c r="K1671" t="s">
        <v>4667</v>
      </c>
      <c r="M1671" s="16" t="s">
        <v>8548</v>
      </c>
      <c r="N1671" s="16" t="str">
        <f>VLOOKUP(M1671,Tab_Zast[[Zastávka]:[Sloupec1]],2,0)</f>
        <v>108</v>
      </c>
      <c r="O1671" t="s">
        <v>4668</v>
      </c>
      <c r="P1671">
        <v>9</v>
      </c>
      <c r="Q1671">
        <v>0</v>
      </c>
      <c r="R1671" t="s">
        <v>31</v>
      </c>
      <c r="S1671" t="s">
        <v>31</v>
      </c>
      <c r="T1671" t="s">
        <v>32</v>
      </c>
      <c r="V1671" s="1" t="e">
        <v>#N/A</v>
      </c>
      <c r="W1671" t="s">
        <v>3091</v>
      </c>
      <c r="X1671">
        <v>0</v>
      </c>
      <c r="Y1671">
        <v>427</v>
      </c>
      <c r="AA1671" t="str">
        <f t="shared" si="52"/>
        <v>update zamestnanci set nastup='108' where id='1036';</v>
      </c>
      <c r="AB1671" t="str">
        <f t="shared" si="53"/>
        <v>update dochazka set zastavka = '108' where zamestnanec = '1036';</v>
      </c>
    </row>
    <row r="1672" spans="1:28" x14ac:dyDescent="0.25">
      <c r="A1672" s="2">
        <v>1046</v>
      </c>
      <c r="B1672" t="s">
        <v>4708</v>
      </c>
      <c r="C1672" t="s">
        <v>4709</v>
      </c>
      <c r="D1672" t="s">
        <v>1072</v>
      </c>
      <c r="E1672" t="s">
        <v>80</v>
      </c>
      <c r="F1672" t="s">
        <v>4710</v>
      </c>
      <c r="G1672" s="1">
        <v>45468</v>
      </c>
      <c r="H1672" s="1">
        <v>45477</v>
      </c>
      <c r="I1672" s="1">
        <v>73050</v>
      </c>
      <c r="J1672" s="2" t="s">
        <v>2656</v>
      </c>
      <c r="K1672" t="s">
        <v>4711</v>
      </c>
      <c r="M1672" s="16" t="s">
        <v>8548</v>
      </c>
      <c r="N1672" s="16" t="str">
        <f>VLOOKUP(M1672,Tab_Zast[[Zastávka]:[Sloupec1]],2,0)</f>
        <v>108</v>
      </c>
      <c r="O1672" t="s">
        <v>4712</v>
      </c>
      <c r="P1672">
        <v>6</v>
      </c>
      <c r="Q1672">
        <v>0</v>
      </c>
      <c r="R1672" t="s">
        <v>31</v>
      </c>
      <c r="S1672" t="s">
        <v>31</v>
      </c>
      <c r="T1672" t="s">
        <v>32</v>
      </c>
      <c r="V1672" s="1" t="e">
        <v>#N/A</v>
      </c>
      <c r="W1672" t="s">
        <v>1216</v>
      </c>
      <c r="X1672">
        <v>0</v>
      </c>
      <c r="Y1672">
        <v>434</v>
      </c>
      <c r="AA1672" t="str">
        <f t="shared" si="52"/>
        <v>update zamestnanci set nastup='108' where id='1046';</v>
      </c>
      <c r="AB1672" t="str">
        <f t="shared" si="53"/>
        <v>update dochazka set zastavka = '108' where zamestnanec = '1046';</v>
      </c>
    </row>
    <row r="1673" spans="1:28" x14ac:dyDescent="0.25">
      <c r="A1673" s="2">
        <v>1050</v>
      </c>
      <c r="B1673" t="s">
        <v>4724</v>
      </c>
      <c r="C1673" t="s">
        <v>151</v>
      </c>
      <c r="D1673" t="s">
        <v>456</v>
      </c>
      <c r="E1673" t="s">
        <v>683</v>
      </c>
      <c r="F1673" t="s">
        <v>245</v>
      </c>
      <c r="G1673" s="1">
        <v>45474</v>
      </c>
      <c r="H1673" s="1">
        <v>73050</v>
      </c>
      <c r="I1673" s="1" t="e">
        <v>#N/A</v>
      </c>
      <c r="J1673" s="2" t="s">
        <v>8493</v>
      </c>
      <c r="K1673" t="s">
        <v>4725</v>
      </c>
      <c r="M1673" s="16" t="s">
        <v>8494</v>
      </c>
      <c r="N1673" s="16" t="str">
        <f>VLOOKUP(M1673,Tab_Zast[[Zastávka]:[Sloupec1]],2,0)</f>
        <v>86</v>
      </c>
      <c r="O1673" t="s">
        <v>4726</v>
      </c>
      <c r="P1673">
        <v>1</v>
      </c>
      <c r="Q1673">
        <v>0</v>
      </c>
      <c r="R1673" t="s">
        <v>130</v>
      </c>
      <c r="S1673" t="s">
        <v>31</v>
      </c>
      <c r="T1673" t="s">
        <v>32</v>
      </c>
      <c r="V1673" s="1" t="e">
        <v>#N/A</v>
      </c>
      <c r="W1673" t="s">
        <v>47</v>
      </c>
      <c r="X1673">
        <v>1</v>
      </c>
      <c r="Y1673">
        <v>438</v>
      </c>
      <c r="AA1673" t="str">
        <f t="shared" si="52"/>
        <v>update zamestnanci set nastup='86' where id='1050';</v>
      </c>
      <c r="AB1673" t="str">
        <f t="shared" si="53"/>
        <v>update dochazka set zastavka = '86' where zamestnanec = '1050';</v>
      </c>
    </row>
    <row r="1674" spans="1:28" x14ac:dyDescent="0.25">
      <c r="A1674" s="2">
        <v>1054</v>
      </c>
      <c r="B1674" t="s">
        <v>4741</v>
      </c>
      <c r="C1674" t="s">
        <v>4742</v>
      </c>
      <c r="D1674" t="s">
        <v>4733</v>
      </c>
      <c r="E1674" t="s">
        <v>568</v>
      </c>
      <c r="F1674" t="s">
        <v>4743</v>
      </c>
      <c r="G1674" s="1">
        <v>45476</v>
      </c>
      <c r="H1674" s="1" t="e">
        <v>#N/A</v>
      </c>
      <c r="I1674" s="1" t="e">
        <v>#N/A</v>
      </c>
      <c r="J1674" s="2" t="s">
        <v>2656</v>
      </c>
      <c r="K1674" t="s">
        <v>4744</v>
      </c>
      <c r="M1674" s="16" t="s">
        <v>8548</v>
      </c>
      <c r="N1674" s="16" t="str">
        <f>VLOOKUP(M1674,Tab_Zast[[Zastávka]:[Sloupec1]],2,0)</f>
        <v>108</v>
      </c>
      <c r="O1674" t="s">
        <v>4736</v>
      </c>
      <c r="P1674">
        <v>6</v>
      </c>
      <c r="Q1674">
        <v>0</v>
      </c>
      <c r="R1674" t="s">
        <v>130</v>
      </c>
      <c r="S1674" t="s">
        <v>31</v>
      </c>
      <c r="T1674" t="s">
        <v>32</v>
      </c>
      <c r="V1674" s="1" t="e">
        <v>#N/A</v>
      </c>
      <c r="W1674" t="s">
        <v>1216</v>
      </c>
      <c r="X1674">
        <v>1</v>
      </c>
      <c r="Y1674">
        <v>444</v>
      </c>
      <c r="AA1674" t="str">
        <f t="shared" si="52"/>
        <v>update zamestnanci set nastup='108' where id='1054';</v>
      </c>
      <c r="AB1674" t="str">
        <f t="shared" si="53"/>
        <v>update dochazka set zastavka = '108' where zamestnanec = '1054';</v>
      </c>
    </row>
    <row r="1675" spans="1:28" x14ac:dyDescent="0.25">
      <c r="A1675" s="2">
        <v>1129</v>
      </c>
      <c r="B1675" t="s">
        <v>5053</v>
      </c>
      <c r="C1675" t="s">
        <v>5054</v>
      </c>
      <c r="D1675" t="s">
        <v>5055</v>
      </c>
      <c r="E1675" t="s">
        <v>182</v>
      </c>
      <c r="F1675" t="s">
        <v>5056</v>
      </c>
      <c r="G1675" s="1">
        <v>45516</v>
      </c>
      <c r="H1675" s="1">
        <v>73050</v>
      </c>
      <c r="I1675" s="1" t="e">
        <v>#N/A</v>
      </c>
      <c r="J1675" s="2" t="s">
        <v>2656</v>
      </c>
      <c r="K1675" t="s">
        <v>5057</v>
      </c>
      <c r="M1675" s="16" t="s">
        <v>8548</v>
      </c>
      <c r="N1675" s="16" t="str">
        <f>VLOOKUP(M1675,Tab_Zast[[Zastávka]:[Sloupec1]],2,0)</f>
        <v>108</v>
      </c>
      <c r="O1675" t="s">
        <v>5058</v>
      </c>
      <c r="P1675">
        <v>6</v>
      </c>
      <c r="Q1675">
        <v>0</v>
      </c>
      <c r="R1675" t="s">
        <v>179</v>
      </c>
      <c r="S1675" t="s">
        <v>31</v>
      </c>
      <c r="T1675" t="s">
        <v>32</v>
      </c>
      <c r="V1675" s="1" t="e">
        <v>#N/A</v>
      </c>
      <c r="W1675" t="s">
        <v>1216</v>
      </c>
      <c r="X1675">
        <v>1</v>
      </c>
      <c r="Y1675">
        <v>519</v>
      </c>
      <c r="AA1675" t="str">
        <f t="shared" si="52"/>
        <v>update zamestnanci set nastup='108' where id='1129';</v>
      </c>
      <c r="AB1675" t="str">
        <f t="shared" si="53"/>
        <v>update dochazka set zastavka = '108' where zamestnanec = '1129';</v>
      </c>
    </row>
    <row r="1676" spans="1:28" x14ac:dyDescent="0.25">
      <c r="A1676" s="2">
        <v>1144</v>
      </c>
      <c r="B1676" t="s">
        <v>5116</v>
      </c>
      <c r="C1676" t="s">
        <v>1394</v>
      </c>
      <c r="D1676" t="s">
        <v>5117</v>
      </c>
      <c r="E1676" t="s">
        <v>80</v>
      </c>
      <c r="F1676" t="s">
        <v>569</v>
      </c>
      <c r="G1676" s="1">
        <v>45516</v>
      </c>
      <c r="H1676" s="1">
        <v>45881</v>
      </c>
      <c r="I1676" s="1">
        <v>73050</v>
      </c>
      <c r="J1676" s="2" t="s">
        <v>2656</v>
      </c>
      <c r="K1676" t="s">
        <v>5118</v>
      </c>
      <c r="M1676" s="16" t="s">
        <v>8548</v>
      </c>
      <c r="N1676" s="16" t="str">
        <f>VLOOKUP(M1676,Tab_Zast[[Zastávka]:[Sloupec1]],2,0)</f>
        <v>108</v>
      </c>
      <c r="O1676" t="s">
        <v>5119</v>
      </c>
      <c r="P1676">
        <v>6</v>
      </c>
      <c r="Q1676">
        <v>0</v>
      </c>
      <c r="R1676" t="s">
        <v>31</v>
      </c>
      <c r="S1676" t="s">
        <v>31</v>
      </c>
      <c r="T1676" t="s">
        <v>32</v>
      </c>
      <c r="V1676" s="1" t="e">
        <v>#N/A</v>
      </c>
      <c r="W1676" t="s">
        <v>1216</v>
      </c>
      <c r="X1676">
        <v>0</v>
      </c>
      <c r="Y1676">
        <v>533</v>
      </c>
      <c r="AA1676" t="str">
        <f t="shared" si="52"/>
        <v>update zamestnanci set nastup='108' where id='1144';</v>
      </c>
      <c r="AB1676" t="str">
        <f t="shared" si="53"/>
        <v>update dochazka set zastavka = '108' where zamestnanec = '1144';</v>
      </c>
    </row>
    <row r="1677" spans="1:28" x14ac:dyDescent="0.25">
      <c r="A1677" s="2">
        <v>1151</v>
      </c>
      <c r="B1677" t="s">
        <v>5146</v>
      </c>
      <c r="C1677" t="s">
        <v>1394</v>
      </c>
      <c r="D1677" t="s">
        <v>5147</v>
      </c>
      <c r="E1677" t="s">
        <v>2628</v>
      </c>
      <c r="F1677" t="s">
        <v>67</v>
      </c>
      <c r="G1677" s="1">
        <v>45520</v>
      </c>
      <c r="H1677" s="1">
        <v>45520</v>
      </c>
      <c r="I1677" s="1">
        <v>45520</v>
      </c>
      <c r="J1677" s="2" t="s">
        <v>2656</v>
      </c>
      <c r="K1677" t="s">
        <v>5148</v>
      </c>
      <c r="M1677" s="16" t="s">
        <v>8548</v>
      </c>
      <c r="N1677" s="16" t="str">
        <f>VLOOKUP(M1677,Tab_Zast[[Zastávka]:[Sloupec1]],2,0)</f>
        <v>108</v>
      </c>
      <c r="O1677" t="s">
        <v>5149</v>
      </c>
      <c r="P1677">
        <v>6</v>
      </c>
      <c r="Q1677">
        <v>0</v>
      </c>
      <c r="R1677" t="s">
        <v>31</v>
      </c>
      <c r="S1677" t="s">
        <v>31</v>
      </c>
      <c r="T1677" t="s">
        <v>32</v>
      </c>
      <c r="V1677" s="1" t="e">
        <v>#N/A</v>
      </c>
      <c r="W1677" t="s">
        <v>1216</v>
      </c>
      <c r="X1677">
        <v>0</v>
      </c>
      <c r="Y1677">
        <v>541</v>
      </c>
      <c r="AA1677" t="str">
        <f t="shared" si="52"/>
        <v>update zamestnanci set nastup='108' where id='1151';</v>
      </c>
      <c r="AB1677" t="str">
        <f t="shared" si="53"/>
        <v>update dochazka set zastavka = '108' where zamestnanec = '1151';</v>
      </c>
    </row>
    <row r="1678" spans="1:28" x14ac:dyDescent="0.25">
      <c r="A1678" s="2">
        <v>1152</v>
      </c>
      <c r="B1678" t="s">
        <v>5150</v>
      </c>
      <c r="C1678" t="s">
        <v>1394</v>
      </c>
      <c r="D1678" t="s">
        <v>5147</v>
      </c>
      <c r="E1678" t="s">
        <v>671</v>
      </c>
      <c r="F1678" t="s">
        <v>67</v>
      </c>
      <c r="G1678" s="1">
        <v>45520</v>
      </c>
      <c r="H1678" s="1">
        <v>45520</v>
      </c>
      <c r="I1678" s="1">
        <v>45520</v>
      </c>
      <c r="J1678" s="2" t="s">
        <v>2656</v>
      </c>
      <c r="K1678" t="s">
        <v>5151</v>
      </c>
      <c r="M1678" s="16" t="s">
        <v>8548</v>
      </c>
      <c r="N1678" s="16" t="str">
        <f>VLOOKUP(M1678,Tab_Zast[[Zastávka]:[Sloupec1]],2,0)</f>
        <v>108</v>
      </c>
      <c r="O1678" t="s">
        <v>5152</v>
      </c>
      <c r="P1678">
        <v>6</v>
      </c>
      <c r="Q1678">
        <v>0</v>
      </c>
      <c r="R1678" t="s">
        <v>31</v>
      </c>
      <c r="S1678" t="s">
        <v>31</v>
      </c>
      <c r="T1678" t="s">
        <v>32</v>
      </c>
      <c r="V1678" s="1" t="e">
        <v>#N/A</v>
      </c>
      <c r="W1678" t="s">
        <v>1216</v>
      </c>
      <c r="X1678">
        <v>0</v>
      </c>
      <c r="Y1678">
        <v>540</v>
      </c>
      <c r="AA1678" t="str">
        <f t="shared" si="52"/>
        <v>update zamestnanci set nastup='108' where id='1152';</v>
      </c>
      <c r="AB1678" t="str">
        <f t="shared" si="53"/>
        <v>update dochazka set zastavka = '108' where zamestnanec = '1152';</v>
      </c>
    </row>
    <row r="1679" spans="1:28" x14ac:dyDescent="0.25">
      <c r="A1679" s="2">
        <v>1175</v>
      </c>
      <c r="B1679" t="s">
        <v>5238</v>
      </c>
      <c r="C1679" t="s">
        <v>1394</v>
      </c>
      <c r="D1679" t="s">
        <v>5239</v>
      </c>
      <c r="E1679" t="s">
        <v>2641</v>
      </c>
      <c r="F1679" t="s">
        <v>195</v>
      </c>
      <c r="G1679" s="1">
        <v>45530</v>
      </c>
      <c r="H1679" s="1">
        <v>45777</v>
      </c>
      <c r="I1679" s="1">
        <v>73050</v>
      </c>
      <c r="J1679" s="2" t="s">
        <v>2656</v>
      </c>
      <c r="K1679" t="s">
        <v>5240</v>
      </c>
      <c r="M1679" s="16" t="s">
        <v>8548</v>
      </c>
      <c r="N1679" s="16" t="str">
        <f>VLOOKUP(M1679,Tab_Zast[[Zastávka]:[Sloupec1]],2,0)</f>
        <v>108</v>
      </c>
      <c r="O1679" t="s">
        <v>5241</v>
      </c>
      <c r="P1679">
        <v>4</v>
      </c>
      <c r="Q1679">
        <v>0</v>
      </c>
      <c r="R1679" t="s">
        <v>31</v>
      </c>
      <c r="S1679" t="s">
        <v>31</v>
      </c>
      <c r="T1679" t="s">
        <v>32</v>
      </c>
      <c r="V1679" s="1" t="e">
        <v>#N/A</v>
      </c>
      <c r="W1679" t="s">
        <v>62</v>
      </c>
      <c r="X1679">
        <v>0</v>
      </c>
      <c r="Y1679">
        <v>568</v>
      </c>
      <c r="AA1679" t="str">
        <f t="shared" si="52"/>
        <v>update zamestnanci set nastup='108' where id='1175';</v>
      </c>
      <c r="AB1679" t="str">
        <f t="shared" si="53"/>
        <v>update dochazka set zastavka = '108' where zamestnanec = '1175';</v>
      </c>
    </row>
    <row r="1680" spans="1:28" x14ac:dyDescent="0.25">
      <c r="A1680" s="2">
        <v>1188</v>
      </c>
      <c r="B1680" t="s">
        <v>5290</v>
      </c>
      <c r="C1680" t="s">
        <v>1394</v>
      </c>
      <c r="D1680" t="s">
        <v>5291</v>
      </c>
      <c r="E1680" t="s">
        <v>1402</v>
      </c>
      <c r="F1680" t="s">
        <v>67</v>
      </c>
      <c r="G1680" s="1">
        <v>45537</v>
      </c>
      <c r="H1680" s="1">
        <v>45807</v>
      </c>
      <c r="I1680" s="1">
        <v>73050</v>
      </c>
      <c r="J1680" s="2" t="s">
        <v>2656</v>
      </c>
      <c r="K1680" t="s">
        <v>5292</v>
      </c>
      <c r="M1680" s="16" t="s">
        <v>8548</v>
      </c>
      <c r="N1680" s="16" t="str">
        <f>VLOOKUP(M1680,Tab_Zast[[Zastávka]:[Sloupec1]],2,0)</f>
        <v>108</v>
      </c>
      <c r="O1680" t="s">
        <v>5293</v>
      </c>
      <c r="P1680">
        <v>6</v>
      </c>
      <c r="Q1680">
        <v>0</v>
      </c>
      <c r="R1680" t="s">
        <v>31</v>
      </c>
      <c r="S1680" t="s">
        <v>31</v>
      </c>
      <c r="T1680" t="s">
        <v>32</v>
      </c>
      <c r="V1680" s="1" t="e">
        <v>#N/A</v>
      </c>
      <c r="W1680" t="s">
        <v>1216</v>
      </c>
      <c r="X1680">
        <v>0</v>
      </c>
      <c r="Y1680">
        <v>574</v>
      </c>
      <c r="AA1680" t="str">
        <f t="shared" si="52"/>
        <v>update zamestnanci set nastup='108' where id='1188';</v>
      </c>
      <c r="AB1680" t="str">
        <f t="shared" si="53"/>
        <v>update dochazka set zastavka = '108' where zamestnanec = '1188';</v>
      </c>
    </row>
    <row r="1681" spans="1:28" x14ac:dyDescent="0.25">
      <c r="A1681" s="2">
        <v>1189</v>
      </c>
      <c r="B1681" t="s">
        <v>5294</v>
      </c>
      <c r="C1681" t="s">
        <v>5295</v>
      </c>
      <c r="D1681" t="s">
        <v>5291</v>
      </c>
      <c r="E1681" t="s">
        <v>737</v>
      </c>
      <c r="F1681" t="s">
        <v>5296</v>
      </c>
      <c r="G1681" s="1">
        <v>45537</v>
      </c>
      <c r="H1681" s="1">
        <v>45807</v>
      </c>
      <c r="I1681" s="1">
        <v>73050</v>
      </c>
      <c r="J1681" s="2" t="s">
        <v>2656</v>
      </c>
      <c r="K1681" t="s">
        <v>5297</v>
      </c>
      <c r="M1681" s="16" t="s">
        <v>8548</v>
      </c>
      <c r="N1681" s="16" t="str">
        <f>VLOOKUP(M1681,Tab_Zast[[Zastávka]:[Sloupec1]],2,0)</f>
        <v>108</v>
      </c>
      <c r="O1681" t="s">
        <v>5293</v>
      </c>
      <c r="P1681">
        <v>6</v>
      </c>
      <c r="Q1681">
        <v>0</v>
      </c>
      <c r="R1681" t="s">
        <v>31</v>
      </c>
      <c r="S1681" t="s">
        <v>31</v>
      </c>
      <c r="T1681" t="s">
        <v>32</v>
      </c>
      <c r="V1681" s="1" t="e">
        <v>#N/A</v>
      </c>
      <c r="W1681" t="s">
        <v>1216</v>
      </c>
      <c r="X1681">
        <v>0</v>
      </c>
      <c r="Y1681">
        <v>579</v>
      </c>
      <c r="AA1681" t="str">
        <f t="shared" si="52"/>
        <v>update zamestnanci set nastup='108' where id='1189';</v>
      </c>
      <c r="AB1681" t="str">
        <f t="shared" si="53"/>
        <v>update dochazka set zastavka = '108' where zamestnanec = '1189';</v>
      </c>
    </row>
    <row r="1682" spans="1:28" x14ac:dyDescent="0.25">
      <c r="A1682" s="2">
        <v>1190</v>
      </c>
      <c r="B1682" t="s">
        <v>5298</v>
      </c>
      <c r="C1682" t="s">
        <v>5299</v>
      </c>
      <c r="D1682" t="s">
        <v>5300</v>
      </c>
      <c r="E1682" t="s">
        <v>4016</v>
      </c>
      <c r="F1682" t="s">
        <v>5301</v>
      </c>
      <c r="G1682" s="1">
        <v>45537</v>
      </c>
      <c r="H1682" s="1">
        <v>45807</v>
      </c>
      <c r="I1682" s="1">
        <v>73050</v>
      </c>
      <c r="J1682" s="2" t="s">
        <v>2656</v>
      </c>
      <c r="K1682" t="s">
        <v>5302</v>
      </c>
      <c r="M1682" s="16" t="s">
        <v>8548</v>
      </c>
      <c r="N1682" s="16" t="str">
        <f>VLOOKUP(M1682,Tab_Zast[[Zastávka]:[Sloupec1]],2,0)</f>
        <v>108</v>
      </c>
      <c r="O1682" t="s">
        <v>5303</v>
      </c>
      <c r="P1682">
        <v>6</v>
      </c>
      <c r="Q1682">
        <v>0</v>
      </c>
      <c r="R1682" t="s">
        <v>31</v>
      </c>
      <c r="S1682" t="s">
        <v>31</v>
      </c>
      <c r="T1682" t="s">
        <v>32</v>
      </c>
      <c r="V1682" s="1" t="e">
        <v>#N/A</v>
      </c>
      <c r="W1682" t="s">
        <v>1216</v>
      </c>
      <c r="X1682">
        <v>0</v>
      </c>
      <c r="Y1682">
        <v>575</v>
      </c>
      <c r="AA1682" t="str">
        <f t="shared" si="52"/>
        <v>update zamestnanci set nastup='108' where id='1190';</v>
      </c>
      <c r="AB1682" t="str">
        <f t="shared" si="53"/>
        <v>update dochazka set zastavka = '108' where zamestnanec = '1190';</v>
      </c>
    </row>
    <row r="1683" spans="1:28" x14ac:dyDescent="0.25">
      <c r="A1683" s="2">
        <v>1191</v>
      </c>
      <c r="B1683" t="s">
        <v>5304</v>
      </c>
      <c r="C1683" t="s">
        <v>1394</v>
      </c>
      <c r="D1683" t="s">
        <v>5305</v>
      </c>
      <c r="E1683" t="s">
        <v>643</v>
      </c>
      <c r="F1683" t="s">
        <v>67</v>
      </c>
      <c r="G1683" s="1">
        <v>45537</v>
      </c>
      <c r="H1683" s="1">
        <v>45538</v>
      </c>
      <c r="I1683" s="1">
        <v>73050</v>
      </c>
      <c r="J1683" s="2" t="s">
        <v>2656</v>
      </c>
      <c r="K1683" t="s">
        <v>5093</v>
      </c>
      <c r="M1683" s="16" t="s">
        <v>8548</v>
      </c>
      <c r="N1683" s="16" t="str">
        <f>VLOOKUP(M1683,Tab_Zast[[Zastávka]:[Sloupec1]],2,0)</f>
        <v>108</v>
      </c>
      <c r="O1683" t="s">
        <v>5306</v>
      </c>
      <c r="P1683">
        <v>6</v>
      </c>
      <c r="Q1683">
        <v>0</v>
      </c>
      <c r="R1683" t="s">
        <v>31</v>
      </c>
      <c r="S1683" t="s">
        <v>31</v>
      </c>
      <c r="T1683" t="s">
        <v>32</v>
      </c>
      <c r="V1683" s="1" t="e">
        <v>#N/A</v>
      </c>
      <c r="W1683" t="s">
        <v>1216</v>
      </c>
      <c r="X1683">
        <v>0</v>
      </c>
      <c r="Y1683">
        <v>581</v>
      </c>
      <c r="AA1683" t="str">
        <f t="shared" si="52"/>
        <v>update zamestnanci set nastup='108' where id='1191';</v>
      </c>
      <c r="AB1683" t="str">
        <f t="shared" si="53"/>
        <v>update dochazka set zastavka = '108' where zamestnanec = '1191';</v>
      </c>
    </row>
    <row r="1684" spans="1:28" x14ac:dyDescent="0.25">
      <c r="A1684" s="2">
        <v>1197</v>
      </c>
      <c r="B1684" t="s">
        <v>5323</v>
      </c>
      <c r="C1684" t="s">
        <v>1394</v>
      </c>
      <c r="D1684" t="s">
        <v>5324</v>
      </c>
      <c r="E1684" t="s">
        <v>5325</v>
      </c>
      <c r="F1684" t="s">
        <v>67</v>
      </c>
      <c r="G1684" s="1">
        <v>45538</v>
      </c>
      <c r="H1684" s="1">
        <v>45806</v>
      </c>
      <c r="I1684" s="1">
        <v>73050</v>
      </c>
      <c r="J1684" s="2" t="s">
        <v>2656</v>
      </c>
      <c r="K1684" t="s">
        <v>5326</v>
      </c>
      <c r="M1684" s="16" t="s">
        <v>8548</v>
      </c>
      <c r="N1684" s="16" t="str">
        <f>VLOOKUP(M1684,Tab_Zast[[Zastávka]:[Sloupec1]],2,0)</f>
        <v>108</v>
      </c>
      <c r="O1684" t="s">
        <v>5327</v>
      </c>
      <c r="P1684">
        <v>9</v>
      </c>
      <c r="Q1684">
        <v>0</v>
      </c>
      <c r="R1684" t="s">
        <v>31</v>
      </c>
      <c r="S1684" t="s">
        <v>31</v>
      </c>
      <c r="T1684" t="s">
        <v>32</v>
      </c>
      <c r="V1684" s="1" t="e">
        <v>#N/A</v>
      </c>
      <c r="W1684" t="s">
        <v>3091</v>
      </c>
      <c r="X1684">
        <v>0</v>
      </c>
      <c r="Y1684">
        <v>587</v>
      </c>
      <c r="AA1684" t="str">
        <f t="shared" si="52"/>
        <v>update zamestnanci set nastup='108' where id='1197';</v>
      </c>
      <c r="AB1684" t="str">
        <f t="shared" si="53"/>
        <v>update dochazka set zastavka = '108' where zamestnanec = '1197';</v>
      </c>
    </row>
    <row r="1685" spans="1:28" x14ac:dyDescent="0.25">
      <c r="A1685" s="2">
        <v>1207</v>
      </c>
      <c r="B1685" t="s">
        <v>5369</v>
      </c>
      <c r="C1685" t="s">
        <v>1394</v>
      </c>
      <c r="D1685" t="s">
        <v>5370</v>
      </c>
      <c r="E1685" t="s">
        <v>5371</v>
      </c>
      <c r="F1685" t="s">
        <v>67</v>
      </c>
      <c r="G1685" s="1">
        <v>45551</v>
      </c>
      <c r="H1685" s="1">
        <v>45915</v>
      </c>
      <c r="I1685" s="1">
        <v>73050</v>
      </c>
      <c r="J1685" s="2" t="s">
        <v>2656</v>
      </c>
      <c r="K1685" t="s">
        <v>5372</v>
      </c>
      <c r="M1685" s="16" t="s">
        <v>8548</v>
      </c>
      <c r="N1685" s="16" t="str">
        <f>VLOOKUP(M1685,Tab_Zast[[Zastávka]:[Sloupec1]],2,0)</f>
        <v>108</v>
      </c>
      <c r="O1685" t="s">
        <v>2873</v>
      </c>
      <c r="P1685">
        <v>4</v>
      </c>
      <c r="Q1685">
        <v>0</v>
      </c>
      <c r="R1685" t="s">
        <v>31</v>
      </c>
      <c r="S1685" t="s">
        <v>31</v>
      </c>
      <c r="T1685" t="s">
        <v>870</v>
      </c>
      <c r="V1685" s="1">
        <v>45912</v>
      </c>
      <c r="W1685" t="s">
        <v>62</v>
      </c>
      <c r="X1685">
        <v>0</v>
      </c>
      <c r="Y1685">
        <v>597</v>
      </c>
      <c r="AA1685" t="str">
        <f t="shared" si="52"/>
        <v>update zamestnanci set nastup='108' where id='1207';</v>
      </c>
      <c r="AB1685" t="str">
        <f t="shared" si="53"/>
        <v>update dochazka set zastavka = '108' where zamestnanec = '1207';</v>
      </c>
    </row>
    <row r="1686" spans="1:28" x14ac:dyDescent="0.25">
      <c r="A1686" s="2">
        <v>1214</v>
      </c>
      <c r="B1686" t="s">
        <v>5398</v>
      </c>
      <c r="C1686" t="s">
        <v>64</v>
      </c>
      <c r="D1686" t="s">
        <v>5399</v>
      </c>
      <c r="E1686" t="s">
        <v>689</v>
      </c>
      <c r="F1686" t="s">
        <v>1394</v>
      </c>
      <c r="G1686" s="1">
        <v>45544</v>
      </c>
      <c r="H1686" s="1">
        <v>45691</v>
      </c>
      <c r="I1686" s="1">
        <v>73050</v>
      </c>
      <c r="J1686" s="2" t="s">
        <v>8493</v>
      </c>
      <c r="K1686" t="s">
        <v>5400</v>
      </c>
      <c r="M1686" s="16" t="s">
        <v>8494</v>
      </c>
      <c r="N1686" s="16" t="str">
        <f>VLOOKUP(M1686,Tab_Zast[[Zastávka]:[Sloupec1]],2,0)</f>
        <v>86</v>
      </c>
      <c r="O1686" t="s">
        <v>5401</v>
      </c>
      <c r="P1686">
        <v>1</v>
      </c>
      <c r="Q1686">
        <v>0</v>
      </c>
      <c r="R1686" t="s">
        <v>31</v>
      </c>
      <c r="S1686" t="s">
        <v>31</v>
      </c>
      <c r="T1686" t="s">
        <v>32</v>
      </c>
      <c r="V1686" s="1">
        <v>45680</v>
      </c>
      <c r="W1686" t="s">
        <v>47</v>
      </c>
      <c r="X1686">
        <v>0</v>
      </c>
      <c r="Y1686">
        <v>607</v>
      </c>
      <c r="AA1686" t="str">
        <f t="shared" si="52"/>
        <v>update zamestnanci set nastup='86' where id='1214';</v>
      </c>
      <c r="AB1686" t="str">
        <f t="shared" si="53"/>
        <v>update dochazka set zastavka = '86' where zamestnanec = '1214';</v>
      </c>
    </row>
    <row r="1687" spans="1:28" x14ac:dyDescent="0.25">
      <c r="A1687" s="2">
        <v>1218</v>
      </c>
      <c r="B1687" t="s">
        <v>5415</v>
      </c>
      <c r="C1687" t="s">
        <v>1394</v>
      </c>
      <c r="D1687" t="s">
        <v>1818</v>
      </c>
      <c r="E1687" t="s">
        <v>3657</v>
      </c>
      <c r="F1687" t="s">
        <v>67</v>
      </c>
      <c r="G1687" s="1">
        <v>45546</v>
      </c>
      <c r="H1687" s="1">
        <v>45547</v>
      </c>
      <c r="I1687" s="1">
        <v>73050</v>
      </c>
      <c r="J1687" s="2" t="s">
        <v>2656</v>
      </c>
      <c r="K1687" t="s">
        <v>5416</v>
      </c>
      <c r="M1687" s="16" t="s">
        <v>8548</v>
      </c>
      <c r="N1687" s="16" t="str">
        <f>VLOOKUP(M1687,Tab_Zast[[Zastávka]:[Sloupec1]],2,0)</f>
        <v>108</v>
      </c>
      <c r="O1687" t="s">
        <v>5417</v>
      </c>
      <c r="P1687">
        <v>6</v>
      </c>
      <c r="Q1687">
        <v>0</v>
      </c>
      <c r="R1687" t="s">
        <v>31</v>
      </c>
      <c r="S1687" t="s">
        <v>31</v>
      </c>
      <c r="T1687" t="s">
        <v>32</v>
      </c>
      <c r="V1687" s="1" t="e">
        <v>#N/A</v>
      </c>
      <c r="W1687" t="s">
        <v>1022</v>
      </c>
      <c r="X1687">
        <v>0</v>
      </c>
      <c r="Y1687">
        <v>609</v>
      </c>
      <c r="AA1687" t="str">
        <f t="shared" si="52"/>
        <v>update zamestnanci set nastup='108' where id='1218';</v>
      </c>
      <c r="AB1687" t="str">
        <f t="shared" si="53"/>
        <v>update dochazka set zastavka = '108' where zamestnanec = '1218';</v>
      </c>
    </row>
    <row r="1688" spans="1:28" x14ac:dyDescent="0.25">
      <c r="A1688" s="2">
        <v>1219</v>
      </c>
      <c r="B1688" t="s">
        <v>5418</v>
      </c>
      <c r="C1688" t="s">
        <v>5419</v>
      </c>
      <c r="D1688" t="s">
        <v>5420</v>
      </c>
      <c r="E1688" t="s">
        <v>2940</v>
      </c>
      <c r="F1688" t="s">
        <v>167</v>
      </c>
      <c r="G1688" s="1">
        <v>45534</v>
      </c>
      <c r="H1688" s="1">
        <v>45534</v>
      </c>
      <c r="I1688" s="1">
        <v>45534</v>
      </c>
      <c r="J1688" s="2" t="s">
        <v>2656</v>
      </c>
      <c r="K1688" t="s">
        <v>5421</v>
      </c>
      <c r="M1688" s="16" t="s">
        <v>8548</v>
      </c>
      <c r="N1688" s="16" t="str">
        <f>VLOOKUP(M1688,Tab_Zast[[Zastávka]:[Sloupec1]],2,0)</f>
        <v>108</v>
      </c>
      <c r="O1688" t="s">
        <v>4344</v>
      </c>
      <c r="P1688">
        <v>3</v>
      </c>
      <c r="Q1688">
        <v>0</v>
      </c>
      <c r="R1688" t="s">
        <v>31</v>
      </c>
      <c r="S1688" t="s">
        <v>31</v>
      </c>
      <c r="T1688" t="s">
        <v>32</v>
      </c>
      <c r="V1688" s="1" t="e">
        <v>#N/A</v>
      </c>
      <c r="W1688" t="s">
        <v>3091</v>
      </c>
      <c r="X1688">
        <v>0</v>
      </c>
      <c r="Y1688">
        <v>613</v>
      </c>
      <c r="AA1688" t="str">
        <f t="shared" si="52"/>
        <v>update zamestnanci set nastup='108' where id='1219';</v>
      </c>
      <c r="AB1688" t="str">
        <f t="shared" si="53"/>
        <v>update dochazka set zastavka = '108' where zamestnanec = '1219';</v>
      </c>
    </row>
    <row r="1689" spans="1:28" x14ac:dyDescent="0.25">
      <c r="A1689" s="2">
        <v>1232</v>
      </c>
      <c r="B1689" t="s">
        <v>5464</v>
      </c>
      <c r="C1689" t="s">
        <v>5465</v>
      </c>
      <c r="D1689" t="s">
        <v>5466</v>
      </c>
      <c r="E1689" t="s">
        <v>5467</v>
      </c>
      <c r="F1689" t="s">
        <v>2745</v>
      </c>
      <c r="G1689" s="1">
        <v>45551</v>
      </c>
      <c r="H1689" s="1">
        <v>45665</v>
      </c>
      <c r="I1689" s="1">
        <v>73050</v>
      </c>
      <c r="J1689" s="2" t="s">
        <v>2656</v>
      </c>
      <c r="K1689" t="s">
        <v>5468</v>
      </c>
      <c r="M1689" s="16" t="s">
        <v>8548</v>
      </c>
      <c r="N1689" s="16" t="str">
        <f>VLOOKUP(M1689,Tab_Zast[[Zastávka]:[Sloupec1]],2,0)</f>
        <v>108</v>
      </c>
      <c r="O1689" t="s">
        <v>5469</v>
      </c>
      <c r="P1689">
        <v>2</v>
      </c>
      <c r="Q1689">
        <v>0</v>
      </c>
      <c r="R1689" t="s">
        <v>31</v>
      </c>
      <c r="S1689" t="s">
        <v>31</v>
      </c>
      <c r="T1689" t="s">
        <v>32</v>
      </c>
      <c r="V1689" s="1" t="e">
        <v>#N/A</v>
      </c>
      <c r="W1689" t="s">
        <v>90</v>
      </c>
      <c r="X1689">
        <v>0</v>
      </c>
      <c r="Y1689">
        <v>0</v>
      </c>
      <c r="AA1689" t="str">
        <f t="shared" si="52"/>
        <v>update zamestnanci set nastup='108' where id='1232';</v>
      </c>
      <c r="AB1689" t="str">
        <f t="shared" si="53"/>
        <v>update dochazka set zastavka = '108' where zamestnanec = '1232';</v>
      </c>
    </row>
    <row r="1690" spans="1:28" x14ac:dyDescent="0.25">
      <c r="A1690" s="2">
        <v>1235</v>
      </c>
      <c r="B1690" t="s">
        <v>5478</v>
      </c>
      <c r="C1690" t="s">
        <v>64</v>
      </c>
      <c r="D1690" t="s">
        <v>5479</v>
      </c>
      <c r="E1690" t="s">
        <v>593</v>
      </c>
      <c r="F1690" t="s">
        <v>5480</v>
      </c>
      <c r="G1690" s="1">
        <v>45551</v>
      </c>
      <c r="H1690" s="1">
        <v>45558</v>
      </c>
      <c r="I1690" s="1">
        <v>73050</v>
      </c>
      <c r="J1690" s="2" t="s">
        <v>8493</v>
      </c>
      <c r="K1690" t="s">
        <v>5481</v>
      </c>
      <c r="M1690" s="16" t="s">
        <v>8494</v>
      </c>
      <c r="N1690" s="16" t="str">
        <f>VLOOKUP(M1690,Tab_Zast[[Zastávka]:[Sloupec1]],2,0)</f>
        <v>86</v>
      </c>
      <c r="O1690" t="s">
        <v>5482</v>
      </c>
      <c r="P1690">
        <v>1</v>
      </c>
      <c r="Q1690">
        <v>0</v>
      </c>
      <c r="R1690" t="s">
        <v>31</v>
      </c>
      <c r="S1690" t="s">
        <v>31</v>
      </c>
      <c r="T1690" t="s">
        <v>32</v>
      </c>
      <c r="V1690" s="1" t="e">
        <v>#N/A</v>
      </c>
      <c r="W1690" t="s">
        <v>47</v>
      </c>
      <c r="X1690">
        <v>0</v>
      </c>
      <c r="Y1690">
        <v>626</v>
      </c>
      <c r="AA1690" t="str">
        <f t="shared" si="52"/>
        <v>update zamestnanci set nastup='86' where id='1235';</v>
      </c>
      <c r="AB1690" t="str">
        <f t="shared" si="53"/>
        <v>update dochazka set zastavka = '86' where zamestnanec = '1235';</v>
      </c>
    </row>
    <row r="1691" spans="1:28" x14ac:dyDescent="0.25">
      <c r="A1691" s="2">
        <v>1243</v>
      </c>
      <c r="B1691" t="s">
        <v>5508</v>
      </c>
      <c r="C1691" t="s">
        <v>64</v>
      </c>
      <c r="D1691" t="s">
        <v>3893</v>
      </c>
      <c r="E1691" t="s">
        <v>2940</v>
      </c>
      <c r="F1691" t="s">
        <v>3008</v>
      </c>
      <c r="G1691" s="1">
        <v>45552</v>
      </c>
      <c r="H1691" s="1">
        <v>45646</v>
      </c>
      <c r="I1691" s="1">
        <v>73050</v>
      </c>
      <c r="J1691" s="2" t="s">
        <v>2656</v>
      </c>
      <c r="K1691" t="s">
        <v>5509</v>
      </c>
      <c r="M1691" s="16" t="s">
        <v>8548</v>
      </c>
      <c r="N1691" s="16" t="str">
        <f>VLOOKUP(M1691,Tab_Zast[[Zastávka]:[Sloupec1]],2,0)</f>
        <v>108</v>
      </c>
      <c r="O1691" t="s">
        <v>5510</v>
      </c>
      <c r="P1691">
        <v>4</v>
      </c>
      <c r="Q1691">
        <v>0</v>
      </c>
      <c r="R1691" t="s">
        <v>31</v>
      </c>
      <c r="S1691" t="s">
        <v>31</v>
      </c>
      <c r="T1691" t="s">
        <v>205</v>
      </c>
      <c r="V1691" s="1" t="e">
        <v>#N/A</v>
      </c>
      <c r="W1691" t="s">
        <v>62</v>
      </c>
      <c r="X1691">
        <v>0</v>
      </c>
      <c r="Y1691">
        <v>0</v>
      </c>
      <c r="AA1691" t="str">
        <f t="shared" si="52"/>
        <v>update zamestnanci set nastup='108' where id='1243';</v>
      </c>
      <c r="AB1691" t="str">
        <f t="shared" si="53"/>
        <v>update dochazka set zastavka = '108' where zamestnanec = '1243';</v>
      </c>
    </row>
    <row r="1692" spans="1:28" x14ac:dyDescent="0.25">
      <c r="A1692" s="2">
        <v>1246</v>
      </c>
      <c r="B1692" t="s">
        <v>5518</v>
      </c>
      <c r="C1692" t="s">
        <v>1394</v>
      </c>
      <c r="D1692" t="s">
        <v>5291</v>
      </c>
      <c r="E1692" t="s">
        <v>1402</v>
      </c>
      <c r="F1692" t="s">
        <v>1394</v>
      </c>
      <c r="G1692" s="1">
        <v>45554</v>
      </c>
      <c r="H1692" s="1">
        <v>45808</v>
      </c>
      <c r="I1692" s="1">
        <v>73050</v>
      </c>
      <c r="J1692" s="2" t="s">
        <v>2656</v>
      </c>
      <c r="K1692" t="s">
        <v>5292</v>
      </c>
      <c r="M1692" s="16" t="s">
        <v>8548</v>
      </c>
      <c r="N1692" s="16" t="str">
        <f>VLOOKUP(M1692,Tab_Zast[[Zastávka]:[Sloupec1]],2,0)</f>
        <v>108</v>
      </c>
      <c r="O1692" t="s">
        <v>5293</v>
      </c>
      <c r="P1692">
        <v>6</v>
      </c>
      <c r="Q1692">
        <v>0</v>
      </c>
      <c r="R1692" t="s">
        <v>31</v>
      </c>
      <c r="S1692" t="s">
        <v>31</v>
      </c>
      <c r="T1692" t="s">
        <v>32</v>
      </c>
      <c r="V1692" s="1" t="e">
        <v>#N/A</v>
      </c>
      <c r="X1692">
        <v>0</v>
      </c>
      <c r="Y1692">
        <v>637</v>
      </c>
      <c r="AA1692" t="str">
        <f t="shared" si="52"/>
        <v>update zamestnanci set nastup='108' where id='1246';</v>
      </c>
      <c r="AB1692" t="str">
        <f t="shared" si="53"/>
        <v>update dochazka set zastavka = '108' where zamestnanec = '1246';</v>
      </c>
    </row>
    <row r="1693" spans="1:28" x14ac:dyDescent="0.25">
      <c r="A1693" s="2">
        <v>1254</v>
      </c>
      <c r="B1693" t="s">
        <v>5551</v>
      </c>
      <c r="C1693" t="s">
        <v>1394</v>
      </c>
      <c r="D1693" t="s">
        <v>5552</v>
      </c>
      <c r="E1693" t="s">
        <v>3638</v>
      </c>
      <c r="F1693" t="s">
        <v>67</v>
      </c>
      <c r="G1693" s="1">
        <v>45554</v>
      </c>
      <c r="H1693" s="1">
        <v>45600</v>
      </c>
      <c r="I1693" s="1">
        <v>73050</v>
      </c>
      <c r="J1693" s="2" t="s">
        <v>2656</v>
      </c>
      <c r="K1693" t="s">
        <v>5553</v>
      </c>
      <c r="M1693" s="16" t="s">
        <v>8548</v>
      </c>
      <c r="N1693" s="16" t="str">
        <f>VLOOKUP(M1693,Tab_Zast[[Zastávka]:[Sloupec1]],2,0)</f>
        <v>108</v>
      </c>
      <c r="O1693" t="s">
        <v>5554</v>
      </c>
      <c r="P1693">
        <v>6</v>
      </c>
      <c r="Q1693">
        <v>0</v>
      </c>
      <c r="R1693" t="s">
        <v>31</v>
      </c>
      <c r="S1693" t="s">
        <v>31</v>
      </c>
      <c r="T1693" t="s">
        <v>32</v>
      </c>
      <c r="V1693" s="1" t="e">
        <v>#N/A</v>
      </c>
      <c r="W1693" t="s">
        <v>1216</v>
      </c>
      <c r="X1693">
        <v>0</v>
      </c>
      <c r="Y1693">
        <v>645</v>
      </c>
      <c r="AA1693" t="str">
        <f t="shared" si="52"/>
        <v>update zamestnanci set nastup='108' where id='1254';</v>
      </c>
      <c r="AB1693" t="str">
        <f t="shared" si="53"/>
        <v>update dochazka set zastavka = '108' where zamestnanec = '1254';</v>
      </c>
    </row>
    <row r="1694" spans="1:28" x14ac:dyDescent="0.25">
      <c r="A1694" s="2">
        <v>1257</v>
      </c>
      <c r="B1694" t="s">
        <v>5564</v>
      </c>
      <c r="C1694" t="s">
        <v>64</v>
      </c>
      <c r="D1694" t="s">
        <v>5565</v>
      </c>
      <c r="E1694" t="s">
        <v>3048</v>
      </c>
      <c r="F1694" t="s">
        <v>64</v>
      </c>
      <c r="G1694" s="1">
        <v>45558</v>
      </c>
      <c r="H1694" s="1">
        <v>45558</v>
      </c>
      <c r="I1694" s="1">
        <v>45558</v>
      </c>
      <c r="J1694" s="2" t="s">
        <v>8493</v>
      </c>
      <c r="K1694" t="s">
        <v>5566</v>
      </c>
      <c r="M1694" s="16" t="s">
        <v>8494</v>
      </c>
      <c r="N1694" s="16" t="str">
        <f>VLOOKUP(M1694,Tab_Zast[[Zastávka]:[Sloupec1]],2,0)</f>
        <v>86</v>
      </c>
      <c r="O1694" t="s">
        <v>5567</v>
      </c>
      <c r="P1694">
        <v>1</v>
      </c>
      <c r="Q1694">
        <v>0</v>
      </c>
      <c r="R1694" t="s">
        <v>31</v>
      </c>
      <c r="S1694" t="s">
        <v>31</v>
      </c>
      <c r="T1694" t="s">
        <v>32</v>
      </c>
      <c r="V1694" s="1" t="e">
        <v>#N/A</v>
      </c>
      <c r="W1694" t="s">
        <v>47</v>
      </c>
      <c r="X1694">
        <v>0</v>
      </c>
      <c r="Y1694">
        <v>648</v>
      </c>
      <c r="AA1694" t="str">
        <f t="shared" si="52"/>
        <v>update zamestnanci set nastup='86' where id='1257';</v>
      </c>
      <c r="AB1694" t="str">
        <f t="shared" si="53"/>
        <v>update dochazka set zastavka = '86' where zamestnanec = '1257';</v>
      </c>
    </row>
    <row r="1695" spans="1:28" x14ac:dyDescent="0.25">
      <c r="A1695" s="2">
        <v>1258</v>
      </c>
      <c r="B1695" t="s">
        <v>5568</v>
      </c>
      <c r="C1695" t="s">
        <v>64</v>
      </c>
      <c r="D1695" t="s">
        <v>5569</v>
      </c>
      <c r="E1695" t="s">
        <v>4993</v>
      </c>
      <c r="F1695" t="s">
        <v>5517</v>
      </c>
      <c r="G1695" s="1">
        <v>45558</v>
      </c>
      <c r="H1695" s="1">
        <v>45632</v>
      </c>
      <c r="I1695" s="1">
        <v>45632</v>
      </c>
      <c r="J1695" s="2" t="s">
        <v>8493</v>
      </c>
      <c r="K1695" t="s">
        <v>5570</v>
      </c>
      <c r="M1695" s="16" t="s">
        <v>8494</v>
      </c>
      <c r="N1695" s="16" t="str">
        <f>VLOOKUP(M1695,Tab_Zast[[Zastávka]:[Sloupec1]],2,0)</f>
        <v>86</v>
      </c>
      <c r="O1695" t="s">
        <v>5571</v>
      </c>
      <c r="P1695">
        <v>1</v>
      </c>
      <c r="Q1695">
        <v>0</v>
      </c>
      <c r="R1695" t="s">
        <v>31</v>
      </c>
      <c r="S1695" t="s">
        <v>31</v>
      </c>
      <c r="T1695" t="s">
        <v>32</v>
      </c>
      <c r="V1695" s="1">
        <v>45600</v>
      </c>
      <c r="W1695" t="s">
        <v>47</v>
      </c>
      <c r="X1695">
        <v>0</v>
      </c>
      <c r="Y1695">
        <v>649</v>
      </c>
      <c r="AA1695" t="str">
        <f t="shared" si="52"/>
        <v>update zamestnanci set nastup='86' where id='1258';</v>
      </c>
      <c r="AB1695" t="str">
        <f t="shared" si="53"/>
        <v>update dochazka set zastavka = '86' where zamestnanec = '1258';</v>
      </c>
    </row>
    <row r="1696" spans="1:28" x14ac:dyDescent="0.25">
      <c r="A1696" s="2">
        <v>1263</v>
      </c>
      <c r="B1696" t="s">
        <v>1394</v>
      </c>
      <c r="C1696" t="s">
        <v>1394</v>
      </c>
      <c r="D1696" t="s">
        <v>5587</v>
      </c>
      <c r="E1696" t="s">
        <v>5588</v>
      </c>
      <c r="F1696" t="s">
        <v>67</v>
      </c>
      <c r="G1696" s="1">
        <v>45551</v>
      </c>
      <c r="H1696" s="1">
        <v>45551</v>
      </c>
      <c r="I1696" s="1">
        <v>45551</v>
      </c>
      <c r="J1696" s="2" t="s">
        <v>2656</v>
      </c>
      <c r="K1696" t="s">
        <v>5589</v>
      </c>
      <c r="M1696" s="16" t="s">
        <v>8548</v>
      </c>
      <c r="N1696" s="16" t="str">
        <f>VLOOKUP(M1696,Tab_Zast[[Zastávka]:[Sloupec1]],2,0)</f>
        <v>108</v>
      </c>
      <c r="O1696" t="s">
        <v>5590</v>
      </c>
      <c r="P1696">
        <v>6</v>
      </c>
      <c r="Q1696">
        <v>0</v>
      </c>
      <c r="R1696" t="s">
        <v>130</v>
      </c>
      <c r="S1696" t="s">
        <v>31</v>
      </c>
      <c r="T1696" t="s">
        <v>32</v>
      </c>
      <c r="V1696" s="1" t="e">
        <v>#N/A</v>
      </c>
      <c r="W1696" t="s">
        <v>1216</v>
      </c>
      <c r="X1696">
        <v>0</v>
      </c>
      <c r="Y1696">
        <v>623</v>
      </c>
      <c r="AA1696" t="str">
        <f t="shared" si="52"/>
        <v>update zamestnanci set nastup='108' where id='1263';</v>
      </c>
      <c r="AB1696" t="str">
        <f t="shared" si="53"/>
        <v>update dochazka set zastavka = '108' where zamestnanec = '1263';</v>
      </c>
    </row>
    <row r="1697" spans="1:28" x14ac:dyDescent="0.25">
      <c r="A1697" s="2">
        <v>1267</v>
      </c>
      <c r="B1697" t="s">
        <v>5604</v>
      </c>
      <c r="C1697" t="s">
        <v>1394</v>
      </c>
      <c r="D1697" t="s">
        <v>5605</v>
      </c>
      <c r="E1697" t="s">
        <v>2156</v>
      </c>
      <c r="F1697" t="s">
        <v>67</v>
      </c>
      <c r="G1697" s="1">
        <v>45561</v>
      </c>
      <c r="H1697" s="1">
        <v>45562</v>
      </c>
      <c r="I1697" s="1">
        <v>73050</v>
      </c>
      <c r="J1697" s="2" t="s">
        <v>2656</v>
      </c>
      <c r="K1697" t="s">
        <v>5606</v>
      </c>
      <c r="M1697" s="16" t="s">
        <v>8548</v>
      </c>
      <c r="N1697" s="16" t="str">
        <f>VLOOKUP(M1697,Tab_Zast[[Zastávka]:[Sloupec1]],2,0)</f>
        <v>108</v>
      </c>
      <c r="O1697" t="s">
        <v>5607</v>
      </c>
      <c r="P1697">
        <v>6</v>
      </c>
      <c r="Q1697">
        <v>0</v>
      </c>
      <c r="R1697" t="s">
        <v>31</v>
      </c>
      <c r="S1697" t="s">
        <v>31</v>
      </c>
      <c r="T1697" t="s">
        <v>32</v>
      </c>
      <c r="V1697" s="1" t="e">
        <v>#N/A</v>
      </c>
      <c r="W1697" t="s">
        <v>1216</v>
      </c>
      <c r="X1697">
        <v>0</v>
      </c>
      <c r="Y1697">
        <v>657</v>
      </c>
      <c r="AA1697" t="str">
        <f t="shared" si="52"/>
        <v>update zamestnanci set nastup='108' where id='1267';</v>
      </c>
      <c r="AB1697" t="str">
        <f t="shared" si="53"/>
        <v>update dochazka set zastavka = '108' where zamestnanec = '1267';</v>
      </c>
    </row>
    <row r="1698" spans="1:28" x14ac:dyDescent="0.25">
      <c r="A1698" s="2">
        <v>1271</v>
      </c>
      <c r="B1698" t="s">
        <v>5622</v>
      </c>
      <c r="C1698" t="s">
        <v>1394</v>
      </c>
      <c r="D1698" t="s">
        <v>5623</v>
      </c>
      <c r="E1698" t="s">
        <v>3384</v>
      </c>
      <c r="F1698" t="s">
        <v>67</v>
      </c>
      <c r="G1698" s="1">
        <v>45565</v>
      </c>
      <c r="H1698" s="1">
        <v>45607</v>
      </c>
      <c r="I1698" s="1">
        <v>45607</v>
      </c>
      <c r="J1698" s="2" t="s">
        <v>2656</v>
      </c>
      <c r="K1698" t="s">
        <v>5624</v>
      </c>
      <c r="M1698" s="16" t="s">
        <v>8548</v>
      </c>
      <c r="N1698" s="16" t="str">
        <f>VLOOKUP(M1698,Tab_Zast[[Zastávka]:[Sloupec1]],2,0)</f>
        <v>108</v>
      </c>
      <c r="O1698" t="s">
        <v>5625</v>
      </c>
      <c r="P1698">
        <v>1</v>
      </c>
      <c r="Q1698">
        <v>0</v>
      </c>
      <c r="R1698" t="s">
        <v>31</v>
      </c>
      <c r="S1698" t="s">
        <v>31</v>
      </c>
      <c r="T1698" t="s">
        <v>32</v>
      </c>
      <c r="V1698" s="1" t="e">
        <v>#N/A</v>
      </c>
      <c r="W1698" t="s">
        <v>47</v>
      </c>
      <c r="X1698">
        <v>0</v>
      </c>
      <c r="Y1698">
        <v>662</v>
      </c>
      <c r="AA1698" t="str">
        <f t="shared" si="52"/>
        <v>update zamestnanci set nastup='108' where id='1271';</v>
      </c>
      <c r="AB1698" t="str">
        <f t="shared" si="53"/>
        <v>update dochazka set zastavka = '108' where zamestnanec = '1271';</v>
      </c>
    </row>
    <row r="1699" spans="1:28" x14ac:dyDescent="0.25">
      <c r="A1699" s="2">
        <v>1294</v>
      </c>
      <c r="B1699" t="s">
        <v>5718</v>
      </c>
      <c r="C1699" t="s">
        <v>64</v>
      </c>
      <c r="D1699" t="s">
        <v>5719</v>
      </c>
      <c r="E1699" t="s">
        <v>5720</v>
      </c>
      <c r="F1699" t="s">
        <v>805</v>
      </c>
      <c r="G1699" s="1">
        <v>45573</v>
      </c>
      <c r="H1699" s="1">
        <v>45781</v>
      </c>
      <c r="I1699" s="1">
        <v>73050</v>
      </c>
      <c r="J1699" s="2" t="s">
        <v>2656</v>
      </c>
      <c r="K1699" t="s">
        <v>5721</v>
      </c>
      <c r="M1699" s="16" t="s">
        <v>8548</v>
      </c>
      <c r="N1699" s="16" t="str">
        <f>VLOOKUP(M1699,Tab_Zast[[Zastávka]:[Sloupec1]],2,0)</f>
        <v>108</v>
      </c>
      <c r="O1699" t="s">
        <v>5722</v>
      </c>
      <c r="P1699">
        <v>4</v>
      </c>
      <c r="Q1699">
        <v>0</v>
      </c>
      <c r="R1699" t="s">
        <v>31</v>
      </c>
      <c r="S1699" t="s">
        <v>31</v>
      </c>
      <c r="T1699" t="s">
        <v>870</v>
      </c>
      <c r="V1699" s="1" t="e">
        <v>#N/A</v>
      </c>
      <c r="W1699" t="s">
        <v>62</v>
      </c>
      <c r="X1699">
        <v>0</v>
      </c>
      <c r="Y1699">
        <v>684</v>
      </c>
      <c r="AA1699" t="str">
        <f t="shared" si="52"/>
        <v>update zamestnanci set nastup='108' where id='1294';</v>
      </c>
      <c r="AB1699" t="str">
        <f t="shared" si="53"/>
        <v>update dochazka set zastavka = '108' where zamestnanec = '1294';</v>
      </c>
    </row>
    <row r="1700" spans="1:28" x14ac:dyDescent="0.25">
      <c r="A1700" s="2">
        <v>1295</v>
      </c>
      <c r="B1700" t="s">
        <v>5723</v>
      </c>
      <c r="C1700" t="s">
        <v>5610</v>
      </c>
      <c r="D1700" t="s">
        <v>5724</v>
      </c>
      <c r="E1700" t="s">
        <v>2156</v>
      </c>
      <c r="F1700" t="s">
        <v>5610</v>
      </c>
      <c r="G1700" s="1">
        <v>45573</v>
      </c>
      <c r="H1700" s="1">
        <v>45573</v>
      </c>
      <c r="I1700" s="1">
        <v>45573</v>
      </c>
      <c r="J1700" s="2" t="s">
        <v>2656</v>
      </c>
      <c r="K1700" t="s">
        <v>5725</v>
      </c>
      <c r="M1700" s="16" t="s">
        <v>8548</v>
      </c>
      <c r="N1700" s="16" t="str">
        <f>VLOOKUP(M1700,Tab_Zast[[Zastávka]:[Sloupec1]],2,0)</f>
        <v>108</v>
      </c>
      <c r="O1700" t="s">
        <v>5726</v>
      </c>
      <c r="P1700">
        <v>6</v>
      </c>
      <c r="Q1700">
        <v>0</v>
      </c>
      <c r="R1700" t="s">
        <v>31</v>
      </c>
      <c r="S1700" t="s">
        <v>31</v>
      </c>
      <c r="T1700" t="s">
        <v>32</v>
      </c>
      <c r="V1700" s="1" t="e">
        <v>#N/A</v>
      </c>
      <c r="W1700" t="s">
        <v>1216</v>
      </c>
      <c r="X1700">
        <v>0</v>
      </c>
      <c r="Y1700">
        <v>685</v>
      </c>
      <c r="AA1700" t="str">
        <f t="shared" si="52"/>
        <v>update zamestnanci set nastup='108' where id='1295';</v>
      </c>
      <c r="AB1700" t="str">
        <f t="shared" si="53"/>
        <v>update dochazka set zastavka = '108' where zamestnanec = '1295';</v>
      </c>
    </row>
    <row r="1701" spans="1:28" x14ac:dyDescent="0.25">
      <c r="A1701" s="2">
        <v>1298</v>
      </c>
      <c r="B1701" t="s">
        <v>5735</v>
      </c>
      <c r="C1701" t="s">
        <v>5610</v>
      </c>
      <c r="D1701" t="s">
        <v>5736</v>
      </c>
      <c r="E1701" t="s">
        <v>755</v>
      </c>
      <c r="F1701" t="s">
        <v>5737</v>
      </c>
      <c r="G1701" s="1">
        <v>45574</v>
      </c>
      <c r="H1701" s="1">
        <v>45608</v>
      </c>
      <c r="I1701" s="1">
        <v>73050</v>
      </c>
      <c r="J1701" s="2" t="s">
        <v>2656</v>
      </c>
      <c r="K1701" t="s">
        <v>5738</v>
      </c>
      <c r="M1701" s="16" t="s">
        <v>8548</v>
      </c>
      <c r="N1701" s="16" t="str">
        <f>VLOOKUP(M1701,Tab_Zast[[Zastávka]:[Sloupec1]],2,0)</f>
        <v>108</v>
      </c>
      <c r="O1701" t="s">
        <v>5739</v>
      </c>
      <c r="P1701">
        <v>6</v>
      </c>
      <c r="Q1701">
        <v>0</v>
      </c>
      <c r="R1701" t="s">
        <v>31</v>
      </c>
      <c r="S1701" t="s">
        <v>31</v>
      </c>
      <c r="T1701" t="s">
        <v>32</v>
      </c>
      <c r="V1701" s="1" t="e">
        <v>#N/A</v>
      </c>
      <c r="W1701" t="s">
        <v>1216</v>
      </c>
      <c r="X1701">
        <v>0</v>
      </c>
      <c r="Y1701">
        <v>688</v>
      </c>
      <c r="AA1701" t="str">
        <f t="shared" si="52"/>
        <v>update zamestnanci set nastup='108' where id='1298';</v>
      </c>
      <c r="AB1701" t="str">
        <f t="shared" si="53"/>
        <v>update dochazka set zastavka = '108' where zamestnanec = '1298';</v>
      </c>
    </row>
    <row r="1702" spans="1:28" x14ac:dyDescent="0.25">
      <c r="A1702" s="2">
        <v>1325</v>
      </c>
      <c r="B1702" t="s">
        <v>5841</v>
      </c>
      <c r="C1702" t="s">
        <v>5610</v>
      </c>
      <c r="D1702" t="s">
        <v>5842</v>
      </c>
      <c r="E1702" t="s">
        <v>182</v>
      </c>
      <c r="F1702" t="s">
        <v>5610</v>
      </c>
      <c r="G1702" s="1">
        <v>45586</v>
      </c>
      <c r="H1702" s="1">
        <v>45586</v>
      </c>
      <c r="I1702" s="1">
        <v>45586</v>
      </c>
      <c r="J1702" s="2" t="s">
        <v>8498</v>
      </c>
      <c r="K1702" t="s">
        <v>5843</v>
      </c>
      <c r="M1702" s="16" t="s">
        <v>8499</v>
      </c>
      <c r="N1702" s="16" t="str">
        <f>VLOOKUP(M1702,Tab_Zast[[Zastávka]:[Sloupec1]],2,0)</f>
        <v>88</v>
      </c>
      <c r="O1702" t="s">
        <v>5844</v>
      </c>
      <c r="P1702">
        <v>1</v>
      </c>
      <c r="Q1702">
        <v>0</v>
      </c>
      <c r="R1702" t="s">
        <v>31</v>
      </c>
      <c r="S1702" t="s">
        <v>31</v>
      </c>
      <c r="T1702" t="s">
        <v>32</v>
      </c>
      <c r="V1702" s="1" t="e">
        <v>#N/A</v>
      </c>
      <c r="W1702" t="s">
        <v>47</v>
      </c>
      <c r="X1702">
        <v>0</v>
      </c>
      <c r="Y1702">
        <v>712</v>
      </c>
      <c r="AA1702" t="str">
        <f t="shared" si="52"/>
        <v>update zamestnanci set nastup='88' where id='1325';</v>
      </c>
      <c r="AB1702" t="str">
        <f t="shared" si="53"/>
        <v>update dochazka set zastavka = '88' where zamestnanec = '1325';</v>
      </c>
    </row>
    <row r="1703" spans="1:28" x14ac:dyDescent="0.25">
      <c r="A1703" s="2">
        <v>1357</v>
      </c>
      <c r="B1703" t="s">
        <v>5957</v>
      </c>
      <c r="C1703" t="s">
        <v>64</v>
      </c>
      <c r="D1703" t="s">
        <v>5958</v>
      </c>
      <c r="E1703" t="s">
        <v>3026</v>
      </c>
      <c r="F1703" t="s">
        <v>357</v>
      </c>
      <c r="G1703" s="1">
        <v>45607</v>
      </c>
      <c r="H1703" s="1">
        <v>45803</v>
      </c>
      <c r="I1703" s="1">
        <v>73050</v>
      </c>
      <c r="J1703" s="2" t="s">
        <v>8493</v>
      </c>
      <c r="K1703" t="s">
        <v>5959</v>
      </c>
      <c r="M1703" s="16" t="s">
        <v>8494</v>
      </c>
      <c r="N1703" s="16" t="str">
        <f>VLOOKUP(M1703,Tab_Zast[[Zastávka]:[Sloupec1]],2,0)</f>
        <v>86</v>
      </c>
      <c r="O1703" t="s">
        <v>5960</v>
      </c>
      <c r="P1703">
        <v>1</v>
      </c>
      <c r="Q1703">
        <v>0</v>
      </c>
      <c r="R1703" t="s">
        <v>31</v>
      </c>
      <c r="S1703" t="s">
        <v>31</v>
      </c>
      <c r="T1703" t="s">
        <v>32</v>
      </c>
      <c r="V1703" s="1" t="e">
        <v>#N/A</v>
      </c>
      <c r="W1703" t="s">
        <v>47</v>
      </c>
      <c r="X1703">
        <v>0</v>
      </c>
      <c r="Y1703">
        <v>747</v>
      </c>
      <c r="AA1703" t="str">
        <f t="shared" si="52"/>
        <v>update zamestnanci set nastup='86' where id='1357';</v>
      </c>
      <c r="AB1703" t="str">
        <f t="shared" si="53"/>
        <v>update dochazka set zastavka = '86' where zamestnanec = '1357';</v>
      </c>
    </row>
    <row r="1704" spans="1:28" x14ac:dyDescent="0.25">
      <c r="A1704" s="2">
        <v>1366</v>
      </c>
      <c r="B1704" t="s">
        <v>5989</v>
      </c>
      <c r="C1704" t="s">
        <v>64</v>
      </c>
      <c r="D1704" t="s">
        <v>5990</v>
      </c>
      <c r="E1704" t="s">
        <v>5991</v>
      </c>
      <c r="F1704" t="s">
        <v>5992</v>
      </c>
      <c r="G1704" s="1">
        <v>45610</v>
      </c>
      <c r="H1704" s="1">
        <v>45632</v>
      </c>
      <c r="I1704" s="1">
        <v>45632</v>
      </c>
      <c r="J1704" s="2" t="s">
        <v>2656</v>
      </c>
      <c r="K1704" t="s">
        <v>5993</v>
      </c>
      <c r="M1704" s="16" t="s">
        <v>8548</v>
      </c>
      <c r="N1704" s="16" t="str">
        <f>VLOOKUP(M1704,Tab_Zast[[Zastávka]:[Sloupec1]],2,0)</f>
        <v>108</v>
      </c>
      <c r="O1704" t="s">
        <v>5994</v>
      </c>
      <c r="P1704">
        <v>1</v>
      </c>
      <c r="Q1704">
        <v>0</v>
      </c>
      <c r="R1704" t="s">
        <v>31</v>
      </c>
      <c r="S1704" t="s">
        <v>31</v>
      </c>
      <c r="T1704" t="s">
        <v>32</v>
      </c>
      <c r="V1704" s="1" t="e">
        <v>#N/A</v>
      </c>
      <c r="W1704" t="s">
        <v>47</v>
      </c>
      <c r="X1704">
        <v>0</v>
      </c>
      <c r="Y1704">
        <v>762</v>
      </c>
      <c r="AA1704" t="str">
        <f t="shared" si="52"/>
        <v>update zamestnanci set nastup='108' where id='1366';</v>
      </c>
      <c r="AB1704" t="str">
        <f t="shared" si="53"/>
        <v>update dochazka set zastavka = '108' where zamestnanec = '1366';</v>
      </c>
    </row>
    <row r="1705" spans="1:28" x14ac:dyDescent="0.25">
      <c r="A1705" s="2">
        <v>1367</v>
      </c>
      <c r="B1705" t="s">
        <v>5995</v>
      </c>
      <c r="C1705" t="s">
        <v>64</v>
      </c>
      <c r="D1705" t="s">
        <v>5990</v>
      </c>
      <c r="E1705" t="s">
        <v>3321</v>
      </c>
      <c r="F1705" t="s">
        <v>5996</v>
      </c>
      <c r="G1705" s="1">
        <v>45610</v>
      </c>
      <c r="H1705" s="1">
        <v>45632</v>
      </c>
      <c r="I1705" s="1">
        <v>45632</v>
      </c>
      <c r="J1705" s="2" t="s">
        <v>2656</v>
      </c>
      <c r="K1705" t="s">
        <v>5997</v>
      </c>
      <c r="M1705" s="16" t="s">
        <v>8548</v>
      </c>
      <c r="N1705" s="16" t="str">
        <f>VLOOKUP(M1705,Tab_Zast[[Zastávka]:[Sloupec1]],2,0)</f>
        <v>108</v>
      </c>
      <c r="O1705" t="s">
        <v>5998</v>
      </c>
      <c r="P1705">
        <v>1</v>
      </c>
      <c r="Q1705">
        <v>0</v>
      </c>
      <c r="R1705" t="s">
        <v>31</v>
      </c>
      <c r="S1705" t="s">
        <v>31</v>
      </c>
      <c r="T1705" t="s">
        <v>32</v>
      </c>
      <c r="V1705" s="1" t="e">
        <v>#N/A</v>
      </c>
      <c r="W1705" t="s">
        <v>47</v>
      </c>
      <c r="X1705">
        <v>0</v>
      </c>
      <c r="Y1705">
        <v>763</v>
      </c>
      <c r="AA1705" t="str">
        <f t="shared" si="52"/>
        <v>update zamestnanci set nastup='108' where id='1367';</v>
      </c>
      <c r="AB1705" t="str">
        <f t="shared" si="53"/>
        <v>update dochazka set zastavka = '108' where zamestnanec = '1367';</v>
      </c>
    </row>
    <row r="1706" spans="1:28" x14ac:dyDescent="0.25">
      <c r="A1706" s="2">
        <v>1378</v>
      </c>
      <c r="B1706" t="s">
        <v>6039</v>
      </c>
      <c r="C1706" t="s">
        <v>64</v>
      </c>
      <c r="D1706" t="s">
        <v>6040</v>
      </c>
      <c r="E1706" t="s">
        <v>6041</v>
      </c>
      <c r="F1706" t="s">
        <v>6042</v>
      </c>
      <c r="G1706" s="1">
        <v>45611</v>
      </c>
      <c r="H1706" s="1">
        <v>45805</v>
      </c>
      <c r="I1706" s="1">
        <v>73050</v>
      </c>
      <c r="J1706" s="2" t="s">
        <v>2656</v>
      </c>
      <c r="K1706" t="s">
        <v>6043</v>
      </c>
      <c r="M1706" s="16" t="s">
        <v>8548</v>
      </c>
      <c r="N1706" s="16" t="str">
        <f>VLOOKUP(M1706,Tab_Zast[[Zastávka]:[Sloupec1]],2,0)</f>
        <v>108</v>
      </c>
      <c r="O1706" t="s">
        <v>6044</v>
      </c>
      <c r="P1706">
        <v>1</v>
      </c>
      <c r="Q1706">
        <v>0</v>
      </c>
      <c r="R1706" t="s">
        <v>31</v>
      </c>
      <c r="S1706" t="s">
        <v>31</v>
      </c>
      <c r="T1706" t="s">
        <v>32</v>
      </c>
      <c r="V1706" s="1" t="e">
        <v>#N/A</v>
      </c>
      <c r="W1706" t="s">
        <v>47</v>
      </c>
      <c r="X1706">
        <v>0</v>
      </c>
      <c r="Y1706">
        <v>0</v>
      </c>
      <c r="AA1706" t="str">
        <f t="shared" si="52"/>
        <v>update zamestnanci set nastup='108' where id='1378';</v>
      </c>
      <c r="AB1706" t="str">
        <f t="shared" si="53"/>
        <v>update dochazka set zastavka = '108' where zamestnanec = '1378';</v>
      </c>
    </row>
    <row r="1707" spans="1:28" x14ac:dyDescent="0.25">
      <c r="A1707" s="2">
        <v>1380</v>
      </c>
      <c r="B1707" t="s">
        <v>6049</v>
      </c>
      <c r="C1707" t="s">
        <v>64</v>
      </c>
      <c r="D1707" t="s">
        <v>6050</v>
      </c>
      <c r="E1707" t="s">
        <v>1402</v>
      </c>
      <c r="F1707" t="s">
        <v>64</v>
      </c>
      <c r="G1707" s="1">
        <v>45617</v>
      </c>
      <c r="H1707" s="1">
        <v>45629</v>
      </c>
      <c r="I1707" s="1">
        <v>73050</v>
      </c>
      <c r="J1707" s="2" t="s">
        <v>8493</v>
      </c>
      <c r="K1707" t="s">
        <v>6051</v>
      </c>
      <c r="M1707" s="16" t="s">
        <v>8494</v>
      </c>
      <c r="N1707" s="16" t="str">
        <f>VLOOKUP(M1707,Tab_Zast[[Zastávka]:[Sloupec1]],2,0)</f>
        <v>86</v>
      </c>
      <c r="O1707" t="s">
        <v>6052</v>
      </c>
      <c r="P1707">
        <v>1</v>
      </c>
      <c r="Q1707">
        <v>0</v>
      </c>
      <c r="R1707" t="s">
        <v>31</v>
      </c>
      <c r="S1707" t="s">
        <v>31</v>
      </c>
      <c r="T1707" t="s">
        <v>32</v>
      </c>
      <c r="V1707" s="1" t="e">
        <v>#N/A</v>
      </c>
      <c r="W1707" t="s">
        <v>47</v>
      </c>
      <c r="X1707">
        <v>0</v>
      </c>
      <c r="Y1707">
        <v>769</v>
      </c>
      <c r="AA1707" t="str">
        <f t="shared" si="52"/>
        <v>update zamestnanci set nastup='86' where id='1380';</v>
      </c>
      <c r="AB1707" t="str">
        <f t="shared" si="53"/>
        <v>update dochazka set zastavka = '86' where zamestnanec = '1380';</v>
      </c>
    </row>
    <row r="1708" spans="1:28" x14ac:dyDescent="0.25">
      <c r="A1708" s="2">
        <v>1383</v>
      </c>
      <c r="B1708" t="s">
        <v>6064</v>
      </c>
      <c r="C1708" t="s">
        <v>64</v>
      </c>
      <c r="D1708" t="s">
        <v>6065</v>
      </c>
      <c r="E1708" t="s">
        <v>707</v>
      </c>
      <c r="F1708" t="s">
        <v>64</v>
      </c>
      <c r="G1708" s="1">
        <v>45614</v>
      </c>
      <c r="H1708" s="1">
        <v>45614</v>
      </c>
      <c r="I1708" s="1">
        <v>45614</v>
      </c>
      <c r="J1708" s="2" t="s">
        <v>8493</v>
      </c>
      <c r="K1708" t="s">
        <v>6066</v>
      </c>
      <c r="M1708" s="16" t="s">
        <v>8494</v>
      </c>
      <c r="N1708" s="16" t="str">
        <f>VLOOKUP(M1708,Tab_Zast[[Zastávka]:[Sloupec1]],2,0)</f>
        <v>86</v>
      </c>
      <c r="O1708" t="s">
        <v>6067</v>
      </c>
      <c r="P1708">
        <v>1</v>
      </c>
      <c r="Q1708">
        <v>0</v>
      </c>
      <c r="R1708" t="s">
        <v>31</v>
      </c>
      <c r="S1708" t="s">
        <v>31</v>
      </c>
      <c r="T1708" t="s">
        <v>32</v>
      </c>
      <c r="V1708" s="1" t="e">
        <v>#N/A</v>
      </c>
      <c r="W1708" t="s">
        <v>47</v>
      </c>
      <c r="X1708">
        <v>0</v>
      </c>
      <c r="Y1708">
        <v>772</v>
      </c>
      <c r="AA1708" t="str">
        <f t="shared" si="52"/>
        <v>update zamestnanci set nastup='86' where id='1383';</v>
      </c>
      <c r="AB1708" t="str">
        <f t="shared" si="53"/>
        <v>update dochazka set zastavka = '86' where zamestnanec = '1383';</v>
      </c>
    </row>
    <row r="1709" spans="1:28" x14ac:dyDescent="0.25">
      <c r="A1709" s="2">
        <v>1387</v>
      </c>
      <c r="B1709" t="s">
        <v>6081</v>
      </c>
      <c r="C1709" t="s">
        <v>64</v>
      </c>
      <c r="D1709" t="s">
        <v>4393</v>
      </c>
      <c r="E1709" t="s">
        <v>1634</v>
      </c>
      <c r="F1709" t="s">
        <v>6082</v>
      </c>
      <c r="G1709" s="1">
        <v>45617</v>
      </c>
      <c r="H1709" s="1">
        <v>73050</v>
      </c>
      <c r="I1709" s="1" t="e">
        <v>#N/A</v>
      </c>
      <c r="J1709" s="2" t="s">
        <v>8493</v>
      </c>
      <c r="K1709" t="s">
        <v>6083</v>
      </c>
      <c r="M1709" s="16" t="s">
        <v>8494</v>
      </c>
      <c r="N1709" s="16" t="str">
        <f>VLOOKUP(M1709,Tab_Zast[[Zastávka]:[Sloupec1]],2,0)</f>
        <v>86</v>
      </c>
      <c r="O1709" t="s">
        <v>4396</v>
      </c>
      <c r="P1709">
        <v>1</v>
      </c>
      <c r="Q1709">
        <v>0</v>
      </c>
      <c r="R1709" t="s">
        <v>179</v>
      </c>
      <c r="S1709" t="s">
        <v>31</v>
      </c>
      <c r="T1709" t="s">
        <v>32</v>
      </c>
      <c r="V1709" s="1" t="e">
        <v>#N/A</v>
      </c>
      <c r="W1709" t="s">
        <v>47</v>
      </c>
      <c r="X1709">
        <v>1</v>
      </c>
      <c r="Y1709">
        <v>777</v>
      </c>
      <c r="AA1709" t="str">
        <f t="shared" si="52"/>
        <v>update zamestnanci set nastup='86' where id='1387';</v>
      </c>
      <c r="AB1709" t="str">
        <f t="shared" si="53"/>
        <v>update dochazka set zastavka = '86' where zamestnanec = '1387';</v>
      </c>
    </row>
    <row r="1710" spans="1:28" x14ac:dyDescent="0.25">
      <c r="A1710" s="2">
        <v>1401</v>
      </c>
      <c r="B1710" t="s">
        <v>6131</v>
      </c>
      <c r="C1710" t="s">
        <v>64</v>
      </c>
      <c r="D1710" t="s">
        <v>6132</v>
      </c>
      <c r="E1710" t="s">
        <v>3152</v>
      </c>
      <c r="F1710" t="s">
        <v>5697</v>
      </c>
      <c r="G1710" s="1">
        <v>45621</v>
      </c>
      <c r="H1710" s="1">
        <v>45632</v>
      </c>
      <c r="I1710" s="1">
        <v>45632</v>
      </c>
      <c r="J1710" s="2" t="s">
        <v>8493</v>
      </c>
      <c r="K1710" t="s">
        <v>6133</v>
      </c>
      <c r="M1710" s="16" t="s">
        <v>8494</v>
      </c>
      <c r="N1710" s="16" t="str">
        <f>VLOOKUP(M1710,Tab_Zast[[Zastávka]:[Sloupec1]],2,0)</f>
        <v>86</v>
      </c>
      <c r="O1710" t="s">
        <v>6134</v>
      </c>
      <c r="P1710">
        <v>1</v>
      </c>
      <c r="Q1710">
        <v>0</v>
      </c>
      <c r="R1710" t="s">
        <v>31</v>
      </c>
      <c r="S1710" t="s">
        <v>31</v>
      </c>
      <c r="T1710" t="s">
        <v>32</v>
      </c>
      <c r="V1710" s="1" t="e">
        <v>#N/A</v>
      </c>
      <c r="W1710" t="s">
        <v>47</v>
      </c>
      <c r="X1710">
        <v>0</v>
      </c>
      <c r="Y1710">
        <v>790</v>
      </c>
      <c r="AA1710" t="str">
        <f t="shared" si="52"/>
        <v>update zamestnanci set nastup='86' where id='1401';</v>
      </c>
      <c r="AB1710" t="str">
        <f t="shared" si="53"/>
        <v>update dochazka set zastavka = '86' where zamestnanec = '1401';</v>
      </c>
    </row>
    <row r="1711" spans="1:28" x14ac:dyDescent="0.25">
      <c r="A1711" s="2">
        <v>1405</v>
      </c>
      <c r="B1711" t="s">
        <v>6145</v>
      </c>
      <c r="C1711" t="s">
        <v>64</v>
      </c>
      <c r="D1711" t="s">
        <v>6146</v>
      </c>
      <c r="E1711" t="s">
        <v>2705</v>
      </c>
      <c r="F1711" t="s">
        <v>183</v>
      </c>
      <c r="G1711" s="1">
        <v>45628</v>
      </c>
      <c r="H1711" s="1">
        <v>45702</v>
      </c>
      <c r="I1711" s="1">
        <v>73050</v>
      </c>
      <c r="J1711" s="2" t="s">
        <v>2656</v>
      </c>
      <c r="K1711" t="s">
        <v>6147</v>
      </c>
      <c r="M1711" s="16" t="s">
        <v>8548</v>
      </c>
      <c r="N1711" s="16" t="str">
        <f>VLOOKUP(M1711,Tab_Zast[[Zastávka]:[Sloupec1]],2,0)</f>
        <v>108</v>
      </c>
      <c r="O1711" t="s">
        <v>6148</v>
      </c>
      <c r="P1711">
        <v>7</v>
      </c>
      <c r="Q1711">
        <v>0</v>
      </c>
      <c r="R1711" t="s">
        <v>31</v>
      </c>
      <c r="S1711" t="s">
        <v>31</v>
      </c>
      <c r="T1711" t="s">
        <v>32</v>
      </c>
      <c r="V1711" s="1" t="e">
        <v>#N/A</v>
      </c>
      <c r="W1711" t="s">
        <v>2735</v>
      </c>
      <c r="X1711">
        <v>0</v>
      </c>
      <c r="Y1711">
        <v>794</v>
      </c>
      <c r="AA1711" t="str">
        <f t="shared" si="52"/>
        <v>update zamestnanci set nastup='108' where id='1405';</v>
      </c>
      <c r="AB1711" t="str">
        <f t="shared" si="53"/>
        <v>update dochazka set zastavka = '108' where zamestnanec = '1405';</v>
      </c>
    </row>
    <row r="1712" spans="1:28" x14ac:dyDescent="0.25">
      <c r="A1712" s="2">
        <v>1417</v>
      </c>
      <c r="B1712" t="s">
        <v>6195</v>
      </c>
      <c r="C1712" t="s">
        <v>64</v>
      </c>
      <c r="D1712" t="s">
        <v>6196</v>
      </c>
      <c r="E1712" t="s">
        <v>6197</v>
      </c>
      <c r="F1712" t="s">
        <v>67</v>
      </c>
      <c r="G1712" s="1">
        <v>45635</v>
      </c>
      <c r="H1712" s="1">
        <v>45635</v>
      </c>
      <c r="I1712" s="1">
        <v>45635</v>
      </c>
      <c r="J1712" s="2" t="s">
        <v>2656</v>
      </c>
      <c r="K1712" t="s">
        <v>6198</v>
      </c>
      <c r="M1712" s="16" t="s">
        <v>8548</v>
      </c>
      <c r="N1712" s="16" t="str">
        <f>VLOOKUP(M1712,Tab_Zast[[Zastávka]:[Sloupec1]],2,0)</f>
        <v>108</v>
      </c>
      <c r="O1712" t="s">
        <v>6199</v>
      </c>
      <c r="P1712">
        <v>4</v>
      </c>
      <c r="Q1712">
        <v>0</v>
      </c>
      <c r="R1712" t="s">
        <v>31</v>
      </c>
      <c r="S1712" t="s">
        <v>31</v>
      </c>
      <c r="T1712" t="s">
        <v>205</v>
      </c>
      <c r="V1712" s="1" t="e">
        <v>#N/A</v>
      </c>
      <c r="W1712" t="s">
        <v>62</v>
      </c>
      <c r="X1712">
        <v>0</v>
      </c>
      <c r="Y1712">
        <v>0</v>
      </c>
      <c r="AA1712" t="str">
        <f t="shared" si="52"/>
        <v>update zamestnanci set nastup='108' where id='1417';</v>
      </c>
      <c r="AB1712" t="str">
        <f t="shared" si="53"/>
        <v>update dochazka set zastavka = '108' where zamestnanec = '1417';</v>
      </c>
    </row>
    <row r="1713" spans="1:28" x14ac:dyDescent="0.25">
      <c r="A1713" s="2">
        <v>1434</v>
      </c>
      <c r="B1713" t="s">
        <v>6259</v>
      </c>
      <c r="C1713" t="s">
        <v>64</v>
      </c>
      <c r="D1713" t="s">
        <v>6260</v>
      </c>
      <c r="E1713" t="s">
        <v>3273</v>
      </c>
      <c r="F1713" t="s">
        <v>468</v>
      </c>
      <c r="G1713" s="1">
        <v>45663</v>
      </c>
      <c r="H1713" s="1">
        <v>45674</v>
      </c>
      <c r="I1713" s="1">
        <v>73050</v>
      </c>
      <c r="J1713" s="2" t="s">
        <v>8493</v>
      </c>
      <c r="K1713" t="s">
        <v>6261</v>
      </c>
      <c r="M1713" s="16" t="s">
        <v>8494</v>
      </c>
      <c r="N1713" s="16" t="str">
        <f>VLOOKUP(M1713,Tab_Zast[[Zastávka]:[Sloupec1]],2,0)</f>
        <v>86</v>
      </c>
      <c r="O1713" t="s">
        <v>6262</v>
      </c>
      <c r="P1713">
        <v>1</v>
      </c>
      <c r="Q1713">
        <v>0</v>
      </c>
      <c r="R1713" t="s">
        <v>31</v>
      </c>
      <c r="S1713" t="s">
        <v>31</v>
      </c>
      <c r="T1713" t="s">
        <v>32</v>
      </c>
      <c r="V1713" s="1">
        <v>45669</v>
      </c>
      <c r="W1713" t="s">
        <v>47</v>
      </c>
      <c r="X1713">
        <v>0</v>
      </c>
      <c r="Y1713">
        <v>823</v>
      </c>
      <c r="AA1713" t="str">
        <f t="shared" si="52"/>
        <v>update zamestnanci set nastup='86' where id='1434';</v>
      </c>
      <c r="AB1713" t="str">
        <f t="shared" si="53"/>
        <v>update dochazka set zastavka = '86' where zamestnanec = '1434';</v>
      </c>
    </row>
    <row r="1714" spans="1:28" x14ac:dyDescent="0.25">
      <c r="A1714" s="2">
        <v>1442</v>
      </c>
      <c r="B1714" t="s">
        <v>6292</v>
      </c>
      <c r="C1714" t="s">
        <v>64</v>
      </c>
      <c r="D1714" t="s">
        <v>6293</v>
      </c>
      <c r="E1714" t="s">
        <v>3373</v>
      </c>
      <c r="F1714" t="s">
        <v>6294</v>
      </c>
      <c r="G1714" s="1">
        <v>45679</v>
      </c>
      <c r="H1714" s="1">
        <v>73050</v>
      </c>
      <c r="I1714" s="1" t="e">
        <v>#N/A</v>
      </c>
      <c r="J1714" s="2" t="s">
        <v>2656</v>
      </c>
      <c r="K1714" t="s">
        <v>6295</v>
      </c>
      <c r="M1714" s="16" t="s">
        <v>8548</v>
      </c>
      <c r="N1714" s="16" t="str">
        <f>VLOOKUP(M1714,Tab_Zast[[Zastávka]:[Sloupec1]],2,0)</f>
        <v>108</v>
      </c>
      <c r="O1714" t="s">
        <v>6296</v>
      </c>
      <c r="P1714">
        <v>6</v>
      </c>
      <c r="Q1714">
        <v>0</v>
      </c>
      <c r="R1714" t="s">
        <v>179</v>
      </c>
      <c r="S1714" t="s">
        <v>129</v>
      </c>
      <c r="T1714" t="s">
        <v>32</v>
      </c>
      <c r="V1714" s="1" t="e">
        <v>#N/A</v>
      </c>
      <c r="W1714" t="s">
        <v>1022</v>
      </c>
      <c r="X1714">
        <v>1</v>
      </c>
      <c r="Y1714">
        <v>831</v>
      </c>
      <c r="AA1714" t="str">
        <f t="shared" si="52"/>
        <v>update zamestnanci set nastup='108' where id='1442';</v>
      </c>
      <c r="AB1714" t="str">
        <f t="shared" si="53"/>
        <v>update dochazka set zastavka = '108' where zamestnanec = '1442';</v>
      </c>
    </row>
    <row r="1715" spans="1:28" x14ac:dyDescent="0.25">
      <c r="A1715" s="2">
        <v>1443</v>
      </c>
      <c r="B1715" t="s">
        <v>6297</v>
      </c>
      <c r="C1715" t="s">
        <v>64</v>
      </c>
      <c r="D1715" t="s">
        <v>6298</v>
      </c>
      <c r="E1715" t="s">
        <v>2883</v>
      </c>
      <c r="F1715" t="s">
        <v>1093</v>
      </c>
      <c r="G1715" s="1">
        <v>45679</v>
      </c>
      <c r="H1715" s="1">
        <v>45708</v>
      </c>
      <c r="I1715" s="1">
        <v>73050</v>
      </c>
      <c r="J1715" s="2" t="s">
        <v>2656</v>
      </c>
      <c r="K1715" t="s">
        <v>6299</v>
      </c>
      <c r="M1715" s="16" t="s">
        <v>8548</v>
      </c>
      <c r="N1715" s="16" t="str">
        <f>VLOOKUP(M1715,Tab_Zast[[Zastávka]:[Sloupec1]],2,0)</f>
        <v>108</v>
      </c>
      <c r="O1715" t="s">
        <v>4058</v>
      </c>
      <c r="P1715">
        <v>6</v>
      </c>
      <c r="Q1715">
        <v>0</v>
      </c>
      <c r="R1715" t="s">
        <v>31</v>
      </c>
      <c r="S1715" t="s">
        <v>31</v>
      </c>
      <c r="T1715" t="s">
        <v>32</v>
      </c>
      <c r="V1715" s="1" t="e">
        <v>#N/A</v>
      </c>
      <c r="W1715" t="s">
        <v>1022</v>
      </c>
      <c r="X1715">
        <v>0</v>
      </c>
      <c r="Y1715">
        <v>832</v>
      </c>
      <c r="AA1715" t="str">
        <f t="shared" si="52"/>
        <v>update zamestnanci set nastup='108' where id='1443';</v>
      </c>
      <c r="AB1715" t="str">
        <f t="shared" si="53"/>
        <v>update dochazka set zastavka = '108' where zamestnanec = '1443';</v>
      </c>
    </row>
    <row r="1716" spans="1:28" x14ac:dyDescent="0.25">
      <c r="A1716" s="2">
        <v>1444</v>
      </c>
      <c r="B1716" t="s">
        <v>6300</v>
      </c>
      <c r="C1716" t="s">
        <v>64</v>
      </c>
      <c r="D1716" t="s">
        <v>1825</v>
      </c>
      <c r="E1716" t="s">
        <v>2966</v>
      </c>
      <c r="F1716" t="s">
        <v>1052</v>
      </c>
      <c r="G1716" s="1">
        <v>45679</v>
      </c>
      <c r="H1716" s="1">
        <v>45715</v>
      </c>
      <c r="I1716" s="1">
        <v>73050</v>
      </c>
      <c r="J1716" s="2" t="s">
        <v>2656</v>
      </c>
      <c r="K1716" t="s">
        <v>6301</v>
      </c>
      <c r="M1716" s="16" t="s">
        <v>8548</v>
      </c>
      <c r="N1716" s="16" t="str">
        <f>VLOOKUP(M1716,Tab_Zast[[Zastávka]:[Sloupec1]],2,0)</f>
        <v>108</v>
      </c>
      <c r="O1716" t="s">
        <v>6302</v>
      </c>
      <c r="P1716">
        <v>6</v>
      </c>
      <c r="Q1716">
        <v>0</v>
      </c>
      <c r="R1716" t="s">
        <v>31</v>
      </c>
      <c r="S1716" t="s">
        <v>31</v>
      </c>
      <c r="T1716" t="s">
        <v>32</v>
      </c>
      <c r="V1716" s="1">
        <v>45714</v>
      </c>
      <c r="W1716" t="s">
        <v>1022</v>
      </c>
      <c r="X1716">
        <v>0</v>
      </c>
      <c r="Y1716">
        <v>833</v>
      </c>
      <c r="AA1716" t="str">
        <f t="shared" si="52"/>
        <v>update zamestnanci set nastup='108' where id='1444';</v>
      </c>
      <c r="AB1716" t="str">
        <f t="shared" si="53"/>
        <v>update dochazka set zastavka = '108' where zamestnanec = '1444';</v>
      </c>
    </row>
    <row r="1717" spans="1:28" x14ac:dyDescent="0.25">
      <c r="A1717" s="2">
        <v>1445</v>
      </c>
      <c r="B1717" t="s">
        <v>6303</v>
      </c>
      <c r="C1717" t="s">
        <v>64</v>
      </c>
      <c r="D1717" t="s">
        <v>6304</v>
      </c>
      <c r="E1717" t="s">
        <v>2524</v>
      </c>
      <c r="F1717" t="s">
        <v>4980</v>
      </c>
      <c r="G1717" s="1">
        <v>45679</v>
      </c>
      <c r="H1717" s="1">
        <v>45877</v>
      </c>
      <c r="I1717" s="1">
        <v>73050</v>
      </c>
      <c r="J1717" s="2" t="s">
        <v>2656</v>
      </c>
      <c r="K1717" t="s">
        <v>6305</v>
      </c>
      <c r="M1717" s="16" t="s">
        <v>8548</v>
      </c>
      <c r="N1717" s="16" t="str">
        <f>VLOOKUP(M1717,Tab_Zast[[Zastávka]:[Sloupec1]],2,0)</f>
        <v>108</v>
      </c>
      <c r="O1717" t="s">
        <v>6306</v>
      </c>
      <c r="P1717">
        <v>6</v>
      </c>
      <c r="Q1717">
        <v>0</v>
      </c>
      <c r="R1717" t="s">
        <v>31</v>
      </c>
      <c r="S1717" t="s">
        <v>31</v>
      </c>
      <c r="T1717" t="s">
        <v>32</v>
      </c>
      <c r="V1717" s="1" t="e">
        <v>#N/A</v>
      </c>
      <c r="W1717" t="s">
        <v>1022</v>
      </c>
      <c r="X1717">
        <v>0</v>
      </c>
      <c r="Y1717">
        <v>834</v>
      </c>
      <c r="AA1717" t="str">
        <f t="shared" si="52"/>
        <v>update zamestnanci set nastup='108' where id='1445';</v>
      </c>
      <c r="AB1717" t="str">
        <f t="shared" si="53"/>
        <v>update dochazka set zastavka = '108' where zamestnanec = '1445';</v>
      </c>
    </row>
    <row r="1718" spans="1:28" x14ac:dyDescent="0.25">
      <c r="A1718" s="2">
        <v>1446</v>
      </c>
      <c r="B1718" t="s">
        <v>6307</v>
      </c>
      <c r="C1718" t="s">
        <v>64</v>
      </c>
      <c r="D1718" t="s">
        <v>6308</v>
      </c>
      <c r="E1718" t="s">
        <v>2391</v>
      </c>
      <c r="F1718" t="s">
        <v>3766</v>
      </c>
      <c r="G1718" s="1">
        <v>45679</v>
      </c>
      <c r="H1718" s="1">
        <v>45694</v>
      </c>
      <c r="I1718" s="1">
        <v>73050</v>
      </c>
      <c r="J1718" s="2" t="s">
        <v>2656</v>
      </c>
      <c r="K1718" t="s">
        <v>6309</v>
      </c>
      <c r="M1718" s="16" t="s">
        <v>8548</v>
      </c>
      <c r="N1718" s="16" t="str">
        <f>VLOOKUP(M1718,Tab_Zast[[Zastávka]:[Sloupec1]],2,0)</f>
        <v>108</v>
      </c>
      <c r="O1718" t="s">
        <v>6310</v>
      </c>
      <c r="P1718">
        <v>6</v>
      </c>
      <c r="Q1718">
        <v>0</v>
      </c>
      <c r="R1718" t="s">
        <v>31</v>
      </c>
      <c r="S1718" t="s">
        <v>31</v>
      </c>
      <c r="T1718" t="s">
        <v>32</v>
      </c>
      <c r="V1718" s="1" t="e">
        <v>#N/A</v>
      </c>
      <c r="W1718" t="s">
        <v>1022</v>
      </c>
      <c r="X1718">
        <v>0</v>
      </c>
      <c r="Y1718">
        <v>835</v>
      </c>
      <c r="AA1718" t="str">
        <f t="shared" si="52"/>
        <v>update zamestnanci set nastup='108' where id='1446';</v>
      </c>
      <c r="AB1718" t="str">
        <f t="shared" si="53"/>
        <v>update dochazka set zastavka = '108' where zamestnanec = '1446';</v>
      </c>
    </row>
    <row r="1719" spans="1:28" x14ac:dyDescent="0.25">
      <c r="A1719" s="2">
        <v>1448</v>
      </c>
      <c r="B1719" t="s">
        <v>6315</v>
      </c>
      <c r="C1719" t="s">
        <v>64</v>
      </c>
      <c r="D1719" t="s">
        <v>6316</v>
      </c>
      <c r="E1719" t="s">
        <v>671</v>
      </c>
      <c r="F1719" t="s">
        <v>3780</v>
      </c>
      <c r="G1719" s="1">
        <v>45679</v>
      </c>
      <c r="H1719" s="1">
        <v>45679</v>
      </c>
      <c r="I1719" s="1">
        <v>45679</v>
      </c>
      <c r="J1719" s="2" t="s">
        <v>2656</v>
      </c>
      <c r="K1719" t="s">
        <v>6317</v>
      </c>
      <c r="M1719" s="16" t="s">
        <v>8548</v>
      </c>
      <c r="N1719" s="16" t="str">
        <f>VLOOKUP(M1719,Tab_Zast[[Zastávka]:[Sloupec1]],2,0)</f>
        <v>108</v>
      </c>
      <c r="O1719" t="s">
        <v>6318</v>
      </c>
      <c r="P1719">
        <v>6</v>
      </c>
      <c r="Q1719">
        <v>0</v>
      </c>
      <c r="R1719" t="s">
        <v>31</v>
      </c>
      <c r="S1719" t="s">
        <v>31</v>
      </c>
      <c r="T1719" t="s">
        <v>32</v>
      </c>
      <c r="V1719" s="1" t="e">
        <v>#N/A</v>
      </c>
      <c r="W1719" t="s">
        <v>1022</v>
      </c>
      <c r="X1719">
        <v>0</v>
      </c>
      <c r="Y1719">
        <v>837</v>
      </c>
      <c r="AA1719" t="str">
        <f t="shared" si="52"/>
        <v>update zamestnanci set nastup='108' where id='1448';</v>
      </c>
      <c r="AB1719" t="str">
        <f t="shared" si="53"/>
        <v>update dochazka set zastavka = '108' where zamestnanec = '1448';</v>
      </c>
    </row>
    <row r="1720" spans="1:28" x14ac:dyDescent="0.25">
      <c r="A1720" s="2">
        <v>1449</v>
      </c>
      <c r="B1720" t="s">
        <v>6319</v>
      </c>
      <c r="C1720" t="s">
        <v>64</v>
      </c>
      <c r="D1720" t="s">
        <v>6320</v>
      </c>
      <c r="E1720" t="s">
        <v>3566</v>
      </c>
      <c r="F1720" t="s">
        <v>3060</v>
      </c>
      <c r="G1720" s="1">
        <v>45679</v>
      </c>
      <c r="H1720" s="1">
        <v>45919</v>
      </c>
      <c r="I1720" s="1">
        <v>73050</v>
      </c>
      <c r="J1720" s="2" t="s">
        <v>2656</v>
      </c>
      <c r="K1720" t="s">
        <v>6321</v>
      </c>
      <c r="M1720" s="16" t="s">
        <v>8548</v>
      </c>
      <c r="N1720" s="16" t="str">
        <f>VLOOKUP(M1720,Tab_Zast[[Zastávka]:[Sloupec1]],2,0)</f>
        <v>108</v>
      </c>
      <c r="O1720" t="s">
        <v>6322</v>
      </c>
      <c r="P1720">
        <v>6</v>
      </c>
      <c r="Q1720">
        <v>0</v>
      </c>
      <c r="R1720" t="s">
        <v>31</v>
      </c>
      <c r="S1720" t="s">
        <v>31</v>
      </c>
      <c r="T1720" t="s">
        <v>32</v>
      </c>
      <c r="V1720" s="1">
        <v>45902</v>
      </c>
      <c r="W1720" t="s">
        <v>1022</v>
      </c>
      <c r="X1720">
        <v>0</v>
      </c>
      <c r="Y1720">
        <v>838</v>
      </c>
      <c r="AA1720" t="str">
        <f t="shared" si="52"/>
        <v>update zamestnanci set nastup='108' where id='1449';</v>
      </c>
      <c r="AB1720" t="str">
        <f t="shared" si="53"/>
        <v>update dochazka set zastavka = '108' where zamestnanec = '1449';</v>
      </c>
    </row>
    <row r="1721" spans="1:28" x14ac:dyDescent="0.25">
      <c r="A1721" s="2">
        <v>1450</v>
      </c>
      <c r="B1721" t="s">
        <v>6323</v>
      </c>
      <c r="C1721" t="s">
        <v>64</v>
      </c>
      <c r="D1721" t="s">
        <v>3657</v>
      </c>
      <c r="E1721" t="s">
        <v>3539</v>
      </c>
      <c r="F1721" t="s">
        <v>176</v>
      </c>
      <c r="G1721" s="1">
        <v>45679</v>
      </c>
      <c r="H1721" s="1">
        <v>45919</v>
      </c>
      <c r="I1721" s="1">
        <v>73050</v>
      </c>
      <c r="J1721" s="2" t="s">
        <v>2656</v>
      </c>
      <c r="K1721" t="s">
        <v>6324</v>
      </c>
      <c r="M1721" s="16" t="s">
        <v>8548</v>
      </c>
      <c r="N1721" s="16" t="str">
        <f>VLOOKUP(M1721,Tab_Zast[[Zastávka]:[Sloupec1]],2,0)</f>
        <v>108</v>
      </c>
      <c r="O1721" t="s">
        <v>6325</v>
      </c>
      <c r="P1721">
        <v>6</v>
      </c>
      <c r="Q1721">
        <v>0</v>
      </c>
      <c r="R1721" t="s">
        <v>31</v>
      </c>
      <c r="S1721" t="s">
        <v>31</v>
      </c>
      <c r="T1721" t="s">
        <v>32</v>
      </c>
      <c r="V1721" s="1">
        <v>45902</v>
      </c>
      <c r="W1721" t="s">
        <v>1022</v>
      </c>
      <c r="X1721">
        <v>0</v>
      </c>
      <c r="Y1721">
        <v>839</v>
      </c>
      <c r="AA1721" t="str">
        <f t="shared" si="52"/>
        <v>update zamestnanci set nastup='108' where id='1450';</v>
      </c>
      <c r="AB1721" t="str">
        <f t="shared" si="53"/>
        <v>update dochazka set zastavka = '108' where zamestnanec = '1450';</v>
      </c>
    </row>
    <row r="1722" spans="1:28" x14ac:dyDescent="0.25">
      <c r="A1722" s="2">
        <v>1452</v>
      </c>
      <c r="B1722" t="s">
        <v>6329</v>
      </c>
      <c r="C1722" t="s">
        <v>64</v>
      </c>
      <c r="D1722" t="s">
        <v>6330</v>
      </c>
      <c r="E1722" t="s">
        <v>3384</v>
      </c>
      <c r="F1722" t="s">
        <v>1008</v>
      </c>
      <c r="G1722" s="1">
        <v>45679</v>
      </c>
      <c r="H1722" s="1">
        <v>45715</v>
      </c>
      <c r="I1722" s="1">
        <v>73050</v>
      </c>
      <c r="J1722" s="2" t="s">
        <v>2656</v>
      </c>
      <c r="K1722" t="s">
        <v>6331</v>
      </c>
      <c r="M1722" s="16" t="s">
        <v>8548</v>
      </c>
      <c r="N1722" s="16" t="str">
        <f>VLOOKUP(M1722,Tab_Zast[[Zastávka]:[Sloupec1]],2,0)</f>
        <v>108</v>
      </c>
      <c r="O1722" t="s">
        <v>6332</v>
      </c>
      <c r="P1722">
        <v>6</v>
      </c>
      <c r="Q1722">
        <v>0</v>
      </c>
      <c r="R1722" t="s">
        <v>31</v>
      </c>
      <c r="S1722" t="s">
        <v>31</v>
      </c>
      <c r="T1722" t="s">
        <v>32</v>
      </c>
      <c r="V1722" s="1" t="e">
        <v>#N/A</v>
      </c>
      <c r="W1722" t="s">
        <v>1022</v>
      </c>
      <c r="X1722">
        <v>0</v>
      </c>
      <c r="Y1722">
        <v>841</v>
      </c>
      <c r="AA1722" t="str">
        <f t="shared" si="52"/>
        <v>update zamestnanci set nastup='108' where id='1452';</v>
      </c>
      <c r="AB1722" t="str">
        <f t="shared" si="53"/>
        <v>update dochazka set zastavka = '108' where zamestnanec = '1452';</v>
      </c>
    </row>
    <row r="1723" spans="1:28" x14ac:dyDescent="0.25">
      <c r="A1723" s="2">
        <v>1453</v>
      </c>
      <c r="B1723" t="s">
        <v>6333</v>
      </c>
      <c r="C1723" t="s">
        <v>64</v>
      </c>
      <c r="D1723" t="s">
        <v>6334</v>
      </c>
      <c r="E1723" t="s">
        <v>743</v>
      </c>
      <c r="F1723" t="s">
        <v>3008</v>
      </c>
      <c r="G1723" s="1">
        <v>45679</v>
      </c>
      <c r="H1723" s="1">
        <v>45764</v>
      </c>
      <c r="I1723" s="1">
        <v>73050</v>
      </c>
      <c r="J1723" s="2" t="s">
        <v>2656</v>
      </c>
      <c r="K1723" t="s">
        <v>6335</v>
      </c>
      <c r="M1723" s="16" t="s">
        <v>8548</v>
      </c>
      <c r="N1723" s="16" t="str">
        <f>VLOOKUP(M1723,Tab_Zast[[Zastávka]:[Sloupec1]],2,0)</f>
        <v>108</v>
      </c>
      <c r="O1723" t="s">
        <v>4058</v>
      </c>
      <c r="P1723">
        <v>6</v>
      </c>
      <c r="Q1723">
        <v>0</v>
      </c>
      <c r="R1723" t="s">
        <v>31</v>
      </c>
      <c r="S1723" t="s">
        <v>31</v>
      </c>
      <c r="T1723" t="s">
        <v>32</v>
      </c>
      <c r="V1723" s="1">
        <v>45756</v>
      </c>
      <c r="W1723" t="s">
        <v>1022</v>
      </c>
      <c r="X1723">
        <v>0</v>
      </c>
      <c r="Y1723">
        <v>842</v>
      </c>
      <c r="AA1723" t="str">
        <f t="shared" si="52"/>
        <v>update zamestnanci set nastup='108' where id='1453';</v>
      </c>
      <c r="AB1723" t="str">
        <f t="shared" si="53"/>
        <v>update dochazka set zastavka = '108' where zamestnanec = '1453';</v>
      </c>
    </row>
    <row r="1724" spans="1:28" x14ac:dyDescent="0.25">
      <c r="A1724" s="2">
        <v>1476</v>
      </c>
      <c r="B1724" t="s">
        <v>6255</v>
      </c>
      <c r="C1724" t="s">
        <v>64</v>
      </c>
      <c r="D1724" t="s">
        <v>6426</v>
      </c>
      <c r="E1724" t="s">
        <v>574</v>
      </c>
      <c r="F1724" t="s">
        <v>6427</v>
      </c>
      <c r="G1724" s="1">
        <v>45700</v>
      </c>
      <c r="H1724" s="1">
        <v>45700</v>
      </c>
      <c r="I1724" s="1">
        <v>45700</v>
      </c>
      <c r="J1724" s="2" t="s">
        <v>2656</v>
      </c>
      <c r="K1724" t="s">
        <v>5675</v>
      </c>
      <c r="M1724" s="16" t="s">
        <v>8548</v>
      </c>
      <c r="N1724" s="16" t="str">
        <f>VLOOKUP(M1724,Tab_Zast[[Zastávka]:[Sloupec1]],2,0)</f>
        <v>108</v>
      </c>
      <c r="O1724" t="s">
        <v>5676</v>
      </c>
      <c r="P1724">
        <v>6</v>
      </c>
      <c r="Q1724">
        <v>0</v>
      </c>
      <c r="R1724" t="s">
        <v>31</v>
      </c>
      <c r="S1724" t="s">
        <v>31</v>
      </c>
      <c r="T1724" t="s">
        <v>32</v>
      </c>
      <c r="V1724" s="1" t="e">
        <v>#N/A</v>
      </c>
      <c r="W1724" t="s">
        <v>1022</v>
      </c>
      <c r="X1724">
        <v>0</v>
      </c>
      <c r="Y1724">
        <v>867</v>
      </c>
      <c r="AA1724" t="str">
        <f t="shared" si="52"/>
        <v>update zamestnanci set nastup='108' where id='1476';</v>
      </c>
      <c r="AB1724" t="str">
        <f t="shared" si="53"/>
        <v>update dochazka set zastavka = '108' where zamestnanec = '1476';</v>
      </c>
    </row>
    <row r="1725" spans="1:28" x14ac:dyDescent="0.25">
      <c r="A1725" s="2">
        <v>1537</v>
      </c>
      <c r="B1725" t="s">
        <v>6648</v>
      </c>
      <c r="C1725" t="s">
        <v>569</v>
      </c>
      <c r="D1725" t="s">
        <v>6649</v>
      </c>
      <c r="E1725" t="s">
        <v>707</v>
      </c>
      <c r="F1725" t="s">
        <v>569</v>
      </c>
      <c r="G1725" s="1">
        <v>45740</v>
      </c>
      <c r="H1725" s="1">
        <v>45743</v>
      </c>
      <c r="I1725" s="1">
        <v>73050</v>
      </c>
      <c r="J1725" s="2" t="s">
        <v>8493</v>
      </c>
      <c r="K1725" t="s">
        <v>6650</v>
      </c>
      <c r="M1725" s="16" t="s">
        <v>8494</v>
      </c>
      <c r="N1725" s="16" t="str">
        <f>VLOOKUP(M1725,Tab_Zast[[Zastávka]:[Sloupec1]],2,0)</f>
        <v>86</v>
      </c>
      <c r="O1725" t="s">
        <v>6651</v>
      </c>
      <c r="P1725">
        <v>1</v>
      </c>
      <c r="Q1725">
        <v>0</v>
      </c>
      <c r="R1725" t="s">
        <v>31</v>
      </c>
      <c r="S1725" t="s">
        <v>31</v>
      </c>
      <c r="T1725" t="s">
        <v>32</v>
      </c>
      <c r="V1725" s="1" t="e">
        <v>#N/A</v>
      </c>
      <c r="W1725" t="s">
        <v>47</v>
      </c>
      <c r="X1725">
        <v>0</v>
      </c>
      <c r="Y1725">
        <v>933</v>
      </c>
      <c r="AA1725" t="str">
        <f t="shared" si="52"/>
        <v>update zamestnanci set nastup='86' where id='1537';</v>
      </c>
      <c r="AB1725" t="str">
        <f t="shared" si="53"/>
        <v>update dochazka set zastavka = '86' where zamestnanec = '1537';</v>
      </c>
    </row>
    <row r="1726" spans="1:28" x14ac:dyDescent="0.25">
      <c r="A1726" s="2">
        <v>1547</v>
      </c>
      <c r="B1726" t="s">
        <v>6683</v>
      </c>
      <c r="C1726" t="s">
        <v>64</v>
      </c>
      <c r="D1726" t="s">
        <v>6684</v>
      </c>
      <c r="E1726" t="s">
        <v>719</v>
      </c>
      <c r="F1726" t="s">
        <v>6427</v>
      </c>
      <c r="G1726" s="1">
        <v>45743</v>
      </c>
      <c r="H1726" s="1">
        <v>45980</v>
      </c>
      <c r="I1726" s="1" t="e">
        <v>#N/A</v>
      </c>
      <c r="J1726" s="2" t="s">
        <v>2656</v>
      </c>
      <c r="K1726" t="s">
        <v>6685</v>
      </c>
      <c r="M1726" s="16" t="s">
        <v>8548</v>
      </c>
      <c r="N1726" s="16" t="str">
        <f>VLOOKUP(M1726,Tab_Zast[[Zastávka]:[Sloupec1]],2,0)</f>
        <v>108</v>
      </c>
      <c r="O1726" t="s">
        <v>6686</v>
      </c>
      <c r="P1726">
        <v>6</v>
      </c>
      <c r="Q1726">
        <v>0</v>
      </c>
      <c r="R1726" t="s">
        <v>31</v>
      </c>
      <c r="S1726" t="s">
        <v>31</v>
      </c>
      <c r="T1726" t="s">
        <v>32</v>
      </c>
      <c r="V1726" s="1" t="e">
        <v>#N/A</v>
      </c>
      <c r="W1726" t="s">
        <v>3052</v>
      </c>
      <c r="X1726">
        <v>0</v>
      </c>
      <c r="Y1726">
        <v>938</v>
      </c>
      <c r="AA1726" t="str">
        <f t="shared" si="52"/>
        <v>update zamestnanci set nastup='108' where id='1547';</v>
      </c>
      <c r="AB1726" t="str">
        <f t="shared" si="53"/>
        <v>update dochazka set zastavka = '108' where zamestnanec = '1547';</v>
      </c>
    </row>
    <row r="1727" spans="1:28" x14ac:dyDescent="0.25">
      <c r="A1727" s="2">
        <v>1548</v>
      </c>
      <c r="B1727" t="s">
        <v>6687</v>
      </c>
      <c r="C1727" t="s">
        <v>64</v>
      </c>
      <c r="D1727" t="s">
        <v>6688</v>
      </c>
      <c r="E1727" t="s">
        <v>4016</v>
      </c>
      <c r="F1727" t="s">
        <v>4357</v>
      </c>
      <c r="G1727" s="1">
        <v>45743</v>
      </c>
      <c r="H1727" s="1">
        <v>73050</v>
      </c>
      <c r="I1727" s="1" t="e">
        <v>#N/A</v>
      </c>
      <c r="J1727" s="2" t="s">
        <v>2656</v>
      </c>
      <c r="K1727" t="s">
        <v>6689</v>
      </c>
      <c r="M1727" s="16" t="s">
        <v>8548</v>
      </c>
      <c r="N1727" s="16" t="str">
        <f>VLOOKUP(M1727,Tab_Zast[[Zastávka]:[Sloupec1]],2,0)</f>
        <v>108</v>
      </c>
      <c r="O1727" t="s">
        <v>6690</v>
      </c>
      <c r="P1727">
        <v>6</v>
      </c>
      <c r="Q1727">
        <v>0</v>
      </c>
      <c r="R1727" t="s">
        <v>179</v>
      </c>
      <c r="S1727" t="s">
        <v>129</v>
      </c>
      <c r="T1727" t="s">
        <v>32</v>
      </c>
      <c r="V1727" s="1" t="e">
        <v>#N/A</v>
      </c>
      <c r="W1727" t="s">
        <v>3052</v>
      </c>
      <c r="X1727">
        <v>1</v>
      </c>
      <c r="Y1727">
        <v>939</v>
      </c>
      <c r="AA1727" t="str">
        <f t="shared" si="52"/>
        <v>update zamestnanci set nastup='108' where id='1548';</v>
      </c>
      <c r="AB1727" t="str">
        <f t="shared" si="53"/>
        <v>update dochazka set zastavka = '108' where zamestnanec = '1548';</v>
      </c>
    </row>
    <row r="1728" spans="1:28" x14ac:dyDescent="0.25">
      <c r="A1728" s="2">
        <v>1558</v>
      </c>
      <c r="B1728" t="s">
        <v>6725</v>
      </c>
      <c r="C1728" t="s">
        <v>64</v>
      </c>
      <c r="D1728" t="s">
        <v>6726</v>
      </c>
      <c r="E1728" t="s">
        <v>4786</v>
      </c>
      <c r="F1728" t="s">
        <v>1188</v>
      </c>
      <c r="G1728" s="1">
        <v>45748</v>
      </c>
      <c r="H1728" s="1">
        <v>73050</v>
      </c>
      <c r="I1728" s="1" t="e">
        <v>#N/A</v>
      </c>
      <c r="J1728" s="2" t="s">
        <v>2656</v>
      </c>
      <c r="K1728" t="s">
        <v>6727</v>
      </c>
      <c r="M1728" s="16" t="s">
        <v>8548</v>
      </c>
      <c r="N1728" s="16" t="str">
        <f>VLOOKUP(M1728,Tab_Zast[[Zastávka]:[Sloupec1]],2,0)</f>
        <v>108</v>
      </c>
      <c r="O1728" t="s">
        <v>6728</v>
      </c>
      <c r="P1728">
        <v>4</v>
      </c>
      <c r="Q1728">
        <v>0</v>
      </c>
      <c r="R1728" t="s">
        <v>130</v>
      </c>
      <c r="S1728" t="s">
        <v>31</v>
      </c>
      <c r="T1728" t="s">
        <v>32</v>
      </c>
      <c r="V1728" s="1" t="e">
        <v>#N/A</v>
      </c>
      <c r="W1728" t="s">
        <v>2729</v>
      </c>
      <c r="X1728">
        <v>1</v>
      </c>
      <c r="Y1728">
        <v>951</v>
      </c>
      <c r="AA1728" t="str">
        <f t="shared" si="52"/>
        <v>update zamestnanci set nastup='108' where id='1558';</v>
      </c>
      <c r="AB1728" t="str">
        <f t="shared" si="53"/>
        <v>update dochazka set zastavka = '108' where zamestnanec = '1558';</v>
      </c>
    </row>
    <row r="1729" spans="1:28" x14ac:dyDescent="0.25">
      <c r="A1729" s="2">
        <v>1563</v>
      </c>
      <c r="B1729" t="s">
        <v>6746</v>
      </c>
      <c r="C1729" t="s">
        <v>357</v>
      </c>
      <c r="D1729" t="s">
        <v>5178</v>
      </c>
      <c r="E1729" t="s">
        <v>755</v>
      </c>
      <c r="F1729" t="s">
        <v>64</v>
      </c>
      <c r="G1729" s="1">
        <v>45754</v>
      </c>
      <c r="H1729" s="1">
        <v>45832</v>
      </c>
      <c r="I1729" s="1">
        <v>73050</v>
      </c>
      <c r="J1729" s="2" t="s">
        <v>8493</v>
      </c>
      <c r="K1729" t="s">
        <v>6747</v>
      </c>
      <c r="M1729" s="16" t="s">
        <v>8494</v>
      </c>
      <c r="N1729" s="16" t="str">
        <f>VLOOKUP(M1729,Tab_Zast[[Zastávka]:[Sloupec1]],2,0)</f>
        <v>86</v>
      </c>
      <c r="O1729" t="s">
        <v>5181</v>
      </c>
      <c r="P1729">
        <v>1</v>
      </c>
      <c r="Q1729">
        <v>0</v>
      </c>
      <c r="R1729" t="s">
        <v>31</v>
      </c>
      <c r="S1729" t="s">
        <v>31</v>
      </c>
      <c r="T1729" t="s">
        <v>32</v>
      </c>
      <c r="V1729" s="1" t="e">
        <v>#N/A</v>
      </c>
      <c r="W1729" t="s">
        <v>47</v>
      </c>
      <c r="X1729">
        <v>0</v>
      </c>
      <c r="Y1729">
        <v>959</v>
      </c>
      <c r="AA1729" t="str">
        <f t="shared" si="52"/>
        <v>update zamestnanci set nastup='86' where id='1563';</v>
      </c>
      <c r="AB1729" t="str">
        <f t="shared" si="53"/>
        <v>update dochazka set zastavka = '86' where zamestnanec = '1563';</v>
      </c>
    </row>
    <row r="1730" spans="1:28" x14ac:dyDescent="0.25">
      <c r="A1730" s="2">
        <v>1570</v>
      </c>
      <c r="B1730" t="s">
        <v>64</v>
      </c>
      <c r="C1730" t="s">
        <v>1394</v>
      </c>
      <c r="D1730" t="s">
        <v>6770</v>
      </c>
      <c r="E1730" t="s">
        <v>4323</v>
      </c>
      <c r="F1730" t="s">
        <v>1394</v>
      </c>
      <c r="G1730" s="1">
        <v>45755</v>
      </c>
      <c r="H1730" s="1">
        <v>45764</v>
      </c>
      <c r="I1730" s="1">
        <v>73050</v>
      </c>
      <c r="J1730" s="2" t="s">
        <v>2656</v>
      </c>
      <c r="K1730" t="s">
        <v>6771</v>
      </c>
      <c r="M1730" s="16" t="s">
        <v>8548</v>
      </c>
      <c r="N1730" s="16" t="str">
        <f>VLOOKUP(M1730,Tab_Zast[[Zastávka]:[Sloupec1]],2,0)</f>
        <v>108</v>
      </c>
      <c r="O1730" t="s">
        <v>6772</v>
      </c>
      <c r="P1730">
        <v>6</v>
      </c>
      <c r="Q1730">
        <v>0</v>
      </c>
      <c r="R1730" t="s">
        <v>129</v>
      </c>
      <c r="S1730" t="s">
        <v>179</v>
      </c>
      <c r="T1730" t="s">
        <v>32</v>
      </c>
      <c r="V1730" s="1">
        <v>45764</v>
      </c>
      <c r="W1730" t="s">
        <v>1216</v>
      </c>
      <c r="X1730">
        <v>0</v>
      </c>
      <c r="Y1730">
        <v>965</v>
      </c>
      <c r="AA1730" t="str">
        <f t="shared" si="52"/>
        <v>update zamestnanci set nastup='108' where id='1570';</v>
      </c>
      <c r="AB1730" t="str">
        <f t="shared" si="53"/>
        <v>update dochazka set zastavka = '108' where zamestnanec = '1570';</v>
      </c>
    </row>
    <row r="1731" spans="1:28" x14ac:dyDescent="0.25">
      <c r="A1731" s="2">
        <v>1571</v>
      </c>
      <c r="B1731" t="s">
        <v>64</v>
      </c>
      <c r="C1731" t="s">
        <v>569</v>
      </c>
      <c r="D1731" t="s">
        <v>6773</v>
      </c>
      <c r="E1731" t="s">
        <v>671</v>
      </c>
      <c r="F1731" t="s">
        <v>1394</v>
      </c>
      <c r="G1731" s="1">
        <v>45756</v>
      </c>
      <c r="H1731" s="1">
        <v>45908</v>
      </c>
      <c r="I1731" s="1">
        <v>73050</v>
      </c>
      <c r="J1731" s="2" t="s">
        <v>2656</v>
      </c>
      <c r="K1731" t="s">
        <v>6774</v>
      </c>
      <c r="M1731" s="16" t="s">
        <v>8548</v>
      </c>
      <c r="N1731" s="16" t="str">
        <f>VLOOKUP(M1731,Tab_Zast[[Zastávka]:[Sloupec1]],2,0)</f>
        <v>108</v>
      </c>
      <c r="O1731" t="s">
        <v>6775</v>
      </c>
      <c r="P1731">
        <v>6</v>
      </c>
      <c r="Q1731">
        <v>0</v>
      </c>
      <c r="R1731" t="s">
        <v>129</v>
      </c>
      <c r="S1731" t="s">
        <v>179</v>
      </c>
      <c r="T1731" t="s">
        <v>32</v>
      </c>
      <c r="V1731" s="1" t="e">
        <v>#N/A</v>
      </c>
      <c r="W1731" t="s">
        <v>1022</v>
      </c>
      <c r="X1731">
        <v>0</v>
      </c>
      <c r="Y1731">
        <v>963</v>
      </c>
      <c r="AA1731" t="str">
        <f t="shared" si="52"/>
        <v>update zamestnanci set nastup='108' where id='1571';</v>
      </c>
      <c r="AB1731" t="str">
        <f t="shared" si="53"/>
        <v>update dochazka set zastavka = '108' where zamestnanec = '1571';</v>
      </c>
    </row>
    <row r="1732" spans="1:28" x14ac:dyDescent="0.25">
      <c r="A1732" s="2">
        <v>1572</v>
      </c>
      <c r="B1732" t="s">
        <v>64</v>
      </c>
      <c r="C1732" t="s">
        <v>569</v>
      </c>
      <c r="D1732" t="s">
        <v>6776</v>
      </c>
      <c r="E1732" t="s">
        <v>2566</v>
      </c>
      <c r="F1732" t="s">
        <v>569</v>
      </c>
      <c r="G1732" s="1">
        <v>45756</v>
      </c>
      <c r="H1732" s="1" t="e">
        <v>#N/A</v>
      </c>
      <c r="I1732" s="1" t="e">
        <v>#N/A</v>
      </c>
      <c r="J1732" s="2" t="s">
        <v>2656</v>
      </c>
      <c r="K1732" t="s">
        <v>6777</v>
      </c>
      <c r="M1732" s="16" t="s">
        <v>8548</v>
      </c>
      <c r="N1732" s="16" t="str">
        <f>VLOOKUP(M1732,Tab_Zast[[Zastávka]:[Sloupec1]],2,0)</f>
        <v>108</v>
      </c>
      <c r="O1732" t="s">
        <v>6778</v>
      </c>
      <c r="P1732">
        <v>6</v>
      </c>
      <c r="Q1732">
        <v>0</v>
      </c>
      <c r="R1732" t="s">
        <v>129</v>
      </c>
      <c r="S1732" t="s">
        <v>179</v>
      </c>
      <c r="T1732" t="s">
        <v>32</v>
      </c>
      <c r="V1732" s="1" t="e">
        <v>#N/A</v>
      </c>
      <c r="W1732" t="s">
        <v>1022</v>
      </c>
      <c r="X1732">
        <v>1</v>
      </c>
      <c r="Y1732">
        <v>964</v>
      </c>
      <c r="AA1732" t="str">
        <f t="shared" ref="AA1732:AA1770" si="54">IF(J1732&lt;&gt;"00","update zamestnanci set nastup='" &amp; J1732 &amp; "' where id='" &amp; A1732 &amp; "';","")</f>
        <v>update zamestnanci set nastup='108' where id='1572';</v>
      </c>
      <c r="AB1732" t="str">
        <f t="shared" ref="AB1732:AB1770" si="55">IF(J1732&lt;&gt;"00","update dochazka set zastavka = '" &amp; J1732 &amp; "' where zamestnanec = '" &amp; A1732 &amp; "';","")</f>
        <v>update dochazka set zastavka = '108' where zamestnanec = '1572';</v>
      </c>
    </row>
    <row r="1733" spans="1:28" x14ac:dyDescent="0.25">
      <c r="A1733" s="2">
        <v>1574</v>
      </c>
      <c r="B1733" t="s">
        <v>64</v>
      </c>
      <c r="C1733" t="s">
        <v>64</v>
      </c>
      <c r="D1733" t="s">
        <v>6782</v>
      </c>
      <c r="E1733" t="s">
        <v>5588</v>
      </c>
      <c r="F1733" t="s">
        <v>569</v>
      </c>
      <c r="G1733" s="1">
        <v>45757</v>
      </c>
      <c r="H1733" s="1">
        <v>45806</v>
      </c>
      <c r="I1733" s="1">
        <v>73050</v>
      </c>
      <c r="J1733" s="2" t="s">
        <v>2656</v>
      </c>
      <c r="K1733" t="s">
        <v>6780</v>
      </c>
      <c r="M1733" s="16" t="s">
        <v>8548</v>
      </c>
      <c r="N1733" s="16" t="str">
        <f>VLOOKUP(M1733,Tab_Zast[[Zastávka]:[Sloupec1]],2,0)</f>
        <v>108</v>
      </c>
      <c r="O1733" t="s">
        <v>6783</v>
      </c>
      <c r="P1733">
        <v>6</v>
      </c>
      <c r="Q1733">
        <v>0</v>
      </c>
      <c r="R1733" t="s">
        <v>129</v>
      </c>
      <c r="S1733" t="s">
        <v>179</v>
      </c>
      <c r="T1733" t="s">
        <v>32</v>
      </c>
      <c r="V1733" s="1">
        <v>45803</v>
      </c>
      <c r="W1733" t="s">
        <v>1216</v>
      </c>
      <c r="X1733">
        <v>0</v>
      </c>
      <c r="Y1733">
        <v>968</v>
      </c>
      <c r="AA1733" t="str">
        <f t="shared" si="54"/>
        <v>update zamestnanci set nastup='108' where id='1574';</v>
      </c>
      <c r="AB1733" t="str">
        <f t="shared" si="55"/>
        <v>update dochazka set zastavka = '108' where zamestnanec = '1574';</v>
      </c>
    </row>
    <row r="1734" spans="1:28" x14ac:dyDescent="0.25">
      <c r="A1734" s="2">
        <v>1575</v>
      </c>
      <c r="B1734" t="s">
        <v>6784</v>
      </c>
      <c r="C1734" t="s">
        <v>64</v>
      </c>
      <c r="D1734" t="s">
        <v>6785</v>
      </c>
      <c r="E1734" t="s">
        <v>2960</v>
      </c>
      <c r="F1734" t="s">
        <v>64</v>
      </c>
      <c r="G1734" s="1">
        <v>45757</v>
      </c>
      <c r="H1734" s="1">
        <v>73050</v>
      </c>
      <c r="I1734" s="1" t="e">
        <v>#N/A</v>
      </c>
      <c r="J1734" s="2" t="s">
        <v>2656</v>
      </c>
      <c r="K1734" t="s">
        <v>6786</v>
      </c>
      <c r="M1734" s="16" t="s">
        <v>8548</v>
      </c>
      <c r="N1734" s="16" t="str">
        <f>VLOOKUP(M1734,Tab_Zast[[Zastávka]:[Sloupec1]],2,0)</f>
        <v>108</v>
      </c>
      <c r="O1734" t="s">
        <v>6787</v>
      </c>
      <c r="P1734">
        <v>6</v>
      </c>
      <c r="Q1734">
        <v>0</v>
      </c>
      <c r="R1734" t="s">
        <v>129</v>
      </c>
      <c r="S1734" t="s">
        <v>31</v>
      </c>
      <c r="T1734" t="s">
        <v>32</v>
      </c>
      <c r="V1734" s="1" t="e">
        <v>#N/A</v>
      </c>
      <c r="W1734" t="s">
        <v>1216</v>
      </c>
      <c r="X1734">
        <v>1</v>
      </c>
      <c r="Y1734">
        <v>966</v>
      </c>
      <c r="AA1734" t="str">
        <f t="shared" si="54"/>
        <v>update zamestnanci set nastup='108' where id='1575';</v>
      </c>
      <c r="AB1734" t="str">
        <f t="shared" si="55"/>
        <v>update dochazka set zastavka = '108' where zamestnanec = '1575';</v>
      </c>
    </row>
    <row r="1735" spans="1:28" x14ac:dyDescent="0.25">
      <c r="A1735" s="2">
        <v>1579</v>
      </c>
      <c r="B1735" t="s">
        <v>1394</v>
      </c>
      <c r="C1735" t="s">
        <v>569</v>
      </c>
      <c r="D1735" t="s">
        <v>6801</v>
      </c>
      <c r="E1735" t="s">
        <v>917</v>
      </c>
      <c r="F1735" t="s">
        <v>1394</v>
      </c>
      <c r="G1735" s="1">
        <v>45761</v>
      </c>
      <c r="H1735" s="1">
        <v>45772</v>
      </c>
      <c r="I1735" s="1">
        <v>73050</v>
      </c>
      <c r="J1735" s="2" t="s">
        <v>2656</v>
      </c>
      <c r="K1735" t="s">
        <v>6802</v>
      </c>
      <c r="M1735" s="16" t="s">
        <v>8548</v>
      </c>
      <c r="N1735" s="16" t="str">
        <f>VLOOKUP(M1735,Tab_Zast[[Zastávka]:[Sloupec1]],2,0)</f>
        <v>108</v>
      </c>
      <c r="O1735" t="s">
        <v>6803</v>
      </c>
      <c r="P1735">
        <v>8</v>
      </c>
      <c r="Q1735">
        <v>0</v>
      </c>
      <c r="R1735" t="s">
        <v>31</v>
      </c>
      <c r="S1735" t="s">
        <v>31</v>
      </c>
      <c r="T1735" t="s">
        <v>32</v>
      </c>
      <c r="V1735" s="1">
        <v>45771</v>
      </c>
      <c r="W1735" t="s">
        <v>493</v>
      </c>
      <c r="X1735">
        <v>0</v>
      </c>
      <c r="Y1735">
        <v>972</v>
      </c>
      <c r="AA1735" t="str">
        <f t="shared" si="54"/>
        <v>update zamestnanci set nastup='108' where id='1579';</v>
      </c>
      <c r="AB1735" t="str">
        <f t="shared" si="55"/>
        <v>update dochazka set zastavka = '108' where zamestnanec = '1579';</v>
      </c>
    </row>
    <row r="1736" spans="1:28" x14ac:dyDescent="0.25">
      <c r="A1736" s="2">
        <v>1590</v>
      </c>
      <c r="B1736" t="s">
        <v>64</v>
      </c>
      <c r="C1736" t="s">
        <v>64</v>
      </c>
      <c r="D1736" t="s">
        <v>6842</v>
      </c>
      <c r="E1736" t="s">
        <v>6843</v>
      </c>
      <c r="F1736" t="s">
        <v>64</v>
      </c>
      <c r="G1736" s="1">
        <v>45763</v>
      </c>
      <c r="H1736" s="1">
        <v>45796</v>
      </c>
      <c r="I1736" s="1">
        <v>73050</v>
      </c>
      <c r="J1736" s="2" t="s">
        <v>2656</v>
      </c>
      <c r="K1736" t="s">
        <v>6844</v>
      </c>
      <c r="M1736" s="16" t="s">
        <v>8548</v>
      </c>
      <c r="N1736" s="16" t="str">
        <f>VLOOKUP(M1736,Tab_Zast[[Zastávka]:[Sloupec1]],2,0)</f>
        <v>108</v>
      </c>
      <c r="O1736" t="s">
        <v>6845</v>
      </c>
      <c r="P1736">
        <v>6</v>
      </c>
      <c r="Q1736">
        <v>0</v>
      </c>
      <c r="R1736" t="s">
        <v>129</v>
      </c>
      <c r="S1736" t="s">
        <v>179</v>
      </c>
      <c r="T1736" t="s">
        <v>32</v>
      </c>
      <c r="V1736" s="1">
        <v>45769</v>
      </c>
      <c r="W1736" t="s">
        <v>1216</v>
      </c>
      <c r="X1736">
        <v>0</v>
      </c>
      <c r="Y1736">
        <v>983</v>
      </c>
      <c r="AA1736" t="str">
        <f t="shared" si="54"/>
        <v>update zamestnanci set nastup='108' where id='1590';</v>
      </c>
      <c r="AB1736" t="str">
        <f t="shared" si="55"/>
        <v>update dochazka set zastavka = '108' where zamestnanec = '1590';</v>
      </c>
    </row>
    <row r="1737" spans="1:28" x14ac:dyDescent="0.25">
      <c r="A1737" s="2">
        <v>1591</v>
      </c>
      <c r="B1737" t="s">
        <v>64</v>
      </c>
      <c r="C1737" t="s">
        <v>64</v>
      </c>
      <c r="D1737" t="s">
        <v>6842</v>
      </c>
      <c r="E1737" t="s">
        <v>6843</v>
      </c>
      <c r="F1737" t="s">
        <v>64</v>
      </c>
      <c r="G1737" s="1">
        <v>45763</v>
      </c>
      <c r="H1737" s="1">
        <v>45800</v>
      </c>
      <c r="I1737" s="1">
        <v>45763</v>
      </c>
      <c r="J1737" s="2" t="s">
        <v>2656</v>
      </c>
      <c r="K1737" t="s">
        <v>6844</v>
      </c>
      <c r="M1737" s="16" t="s">
        <v>8548</v>
      </c>
      <c r="N1737" s="16" t="str">
        <f>VLOOKUP(M1737,Tab_Zast[[Zastávka]:[Sloupec1]],2,0)</f>
        <v>108</v>
      </c>
      <c r="O1737" t="s">
        <v>6845</v>
      </c>
      <c r="P1737">
        <v>6</v>
      </c>
      <c r="Q1737">
        <v>0</v>
      </c>
      <c r="R1737" t="s">
        <v>129</v>
      </c>
      <c r="S1737" t="s">
        <v>179</v>
      </c>
      <c r="T1737" t="s">
        <v>32</v>
      </c>
      <c r="V1737" s="1" t="e">
        <v>#N/A</v>
      </c>
      <c r="W1737" t="s">
        <v>1216</v>
      </c>
      <c r="X1737">
        <v>0</v>
      </c>
      <c r="Y1737">
        <v>988</v>
      </c>
      <c r="AA1737" t="str">
        <f t="shared" si="54"/>
        <v>update zamestnanci set nastup='108' where id='1591';</v>
      </c>
      <c r="AB1737" t="str">
        <f t="shared" si="55"/>
        <v>update dochazka set zastavka = '108' where zamestnanec = '1591';</v>
      </c>
    </row>
    <row r="1738" spans="1:28" x14ac:dyDescent="0.25">
      <c r="A1738" s="2">
        <v>1594</v>
      </c>
      <c r="B1738" t="s">
        <v>64</v>
      </c>
      <c r="C1738" t="s">
        <v>64</v>
      </c>
      <c r="D1738" t="s">
        <v>6852</v>
      </c>
      <c r="E1738" t="s">
        <v>6853</v>
      </c>
      <c r="F1738" t="s">
        <v>64</v>
      </c>
      <c r="G1738" s="1">
        <v>45770</v>
      </c>
      <c r="H1738" s="1">
        <v>45777</v>
      </c>
      <c r="I1738" s="1">
        <v>73050</v>
      </c>
      <c r="J1738" s="2" t="s">
        <v>2656</v>
      </c>
      <c r="K1738" t="s">
        <v>6854</v>
      </c>
      <c r="M1738" s="16" t="s">
        <v>8548</v>
      </c>
      <c r="N1738" s="16" t="str">
        <f>VLOOKUP(M1738,Tab_Zast[[Zastávka]:[Sloupec1]],2,0)</f>
        <v>108</v>
      </c>
      <c r="O1738" t="s">
        <v>6855</v>
      </c>
      <c r="P1738">
        <v>6</v>
      </c>
      <c r="Q1738">
        <v>0</v>
      </c>
      <c r="R1738" t="s">
        <v>129</v>
      </c>
      <c r="S1738" t="s">
        <v>179</v>
      </c>
      <c r="T1738" t="s">
        <v>32</v>
      </c>
      <c r="V1738" s="1">
        <v>45772</v>
      </c>
      <c r="W1738" t="s">
        <v>3052</v>
      </c>
      <c r="X1738">
        <v>0</v>
      </c>
      <c r="Y1738">
        <v>984</v>
      </c>
      <c r="AA1738" t="str">
        <f t="shared" si="54"/>
        <v>update zamestnanci set nastup='108' where id='1594';</v>
      </c>
      <c r="AB1738" t="str">
        <f t="shared" si="55"/>
        <v>update dochazka set zastavka = '108' where zamestnanec = '1594';</v>
      </c>
    </row>
    <row r="1739" spans="1:28" x14ac:dyDescent="0.25">
      <c r="A1739" s="2">
        <v>1596</v>
      </c>
      <c r="B1739" t="s">
        <v>64</v>
      </c>
      <c r="C1739" t="s">
        <v>64</v>
      </c>
      <c r="D1739" t="s">
        <v>6860</v>
      </c>
      <c r="E1739" t="s">
        <v>5683</v>
      </c>
      <c r="F1739" t="s">
        <v>64</v>
      </c>
      <c r="G1739" s="1">
        <v>45770</v>
      </c>
      <c r="H1739" s="1">
        <v>45770</v>
      </c>
      <c r="I1739" s="1">
        <v>45770</v>
      </c>
      <c r="J1739" s="2" t="s">
        <v>2656</v>
      </c>
      <c r="K1739" t="s">
        <v>6861</v>
      </c>
      <c r="M1739" s="16" t="s">
        <v>8548</v>
      </c>
      <c r="N1739" s="16" t="str">
        <f>VLOOKUP(M1739,Tab_Zast[[Zastávka]:[Sloupec1]],2,0)</f>
        <v>108</v>
      </c>
      <c r="O1739" t="s">
        <v>6862</v>
      </c>
      <c r="P1739">
        <v>6</v>
      </c>
      <c r="Q1739">
        <v>0</v>
      </c>
      <c r="R1739" t="s">
        <v>129</v>
      </c>
      <c r="S1739" t="s">
        <v>179</v>
      </c>
      <c r="T1739" t="s">
        <v>32</v>
      </c>
      <c r="V1739" s="1" t="e">
        <v>#N/A</v>
      </c>
      <c r="W1739" t="s">
        <v>1022</v>
      </c>
      <c r="X1739">
        <v>0</v>
      </c>
      <c r="Y1739">
        <v>986</v>
      </c>
      <c r="AA1739" t="str">
        <f t="shared" si="54"/>
        <v>update zamestnanci set nastup='108' where id='1596';</v>
      </c>
      <c r="AB1739" t="str">
        <f t="shared" si="55"/>
        <v>update dochazka set zastavka = '108' where zamestnanec = '1596';</v>
      </c>
    </row>
    <row r="1740" spans="1:28" x14ac:dyDescent="0.25">
      <c r="A1740" s="2">
        <v>1613</v>
      </c>
      <c r="B1740" t="s">
        <v>6929</v>
      </c>
      <c r="C1740" t="s">
        <v>64</v>
      </c>
      <c r="D1740" t="s">
        <v>3278</v>
      </c>
      <c r="E1740" t="s">
        <v>3164</v>
      </c>
      <c r="F1740" t="s">
        <v>5209</v>
      </c>
      <c r="G1740" s="1">
        <v>45779</v>
      </c>
      <c r="H1740" s="1">
        <v>46000</v>
      </c>
      <c r="I1740" s="1" t="e">
        <v>#N/A</v>
      </c>
      <c r="J1740" s="2" t="s">
        <v>2656</v>
      </c>
      <c r="K1740" t="s">
        <v>6930</v>
      </c>
      <c r="M1740" s="16" t="s">
        <v>8548</v>
      </c>
      <c r="N1740" s="16" t="str">
        <f>VLOOKUP(M1740,Tab_Zast[[Zastávka]:[Sloupec1]],2,0)</f>
        <v>108</v>
      </c>
      <c r="O1740" t="s">
        <v>6931</v>
      </c>
      <c r="P1740">
        <v>6</v>
      </c>
      <c r="Q1740">
        <v>0</v>
      </c>
      <c r="R1740" t="s">
        <v>31</v>
      </c>
      <c r="S1740" t="s">
        <v>31</v>
      </c>
      <c r="T1740" t="s">
        <v>32</v>
      </c>
      <c r="V1740" s="1" t="e">
        <v>#N/A</v>
      </c>
      <c r="W1740" t="s">
        <v>1216</v>
      </c>
      <c r="X1740">
        <v>0</v>
      </c>
      <c r="Y1740">
        <v>1006</v>
      </c>
      <c r="AA1740" t="str">
        <f t="shared" si="54"/>
        <v>update zamestnanci set nastup='108' where id='1613';</v>
      </c>
      <c r="AB1740" t="str">
        <f t="shared" si="55"/>
        <v>update dochazka set zastavka = '108' where zamestnanec = '1613';</v>
      </c>
    </row>
    <row r="1741" spans="1:28" x14ac:dyDescent="0.25">
      <c r="A1741" s="2">
        <v>1614</v>
      </c>
      <c r="B1741" t="s">
        <v>6932</v>
      </c>
      <c r="C1741" t="s">
        <v>569</v>
      </c>
      <c r="D1741" t="s">
        <v>4569</v>
      </c>
      <c r="E1741" t="s">
        <v>6933</v>
      </c>
      <c r="F1741" t="s">
        <v>6934</v>
      </c>
      <c r="G1741" s="1">
        <v>45782</v>
      </c>
      <c r="H1741" s="1" t="e">
        <v>#N/A</v>
      </c>
      <c r="I1741" s="1" t="e">
        <v>#N/A</v>
      </c>
      <c r="J1741" s="2" t="s">
        <v>2656</v>
      </c>
      <c r="K1741" t="s">
        <v>4570</v>
      </c>
      <c r="M1741" s="16" t="s">
        <v>8548</v>
      </c>
      <c r="N1741" s="16" t="str">
        <f>VLOOKUP(M1741,Tab_Zast[[Zastávka]:[Sloupec1]],2,0)</f>
        <v>108</v>
      </c>
      <c r="O1741" t="s">
        <v>6935</v>
      </c>
      <c r="P1741">
        <v>8</v>
      </c>
      <c r="Q1741">
        <v>0</v>
      </c>
      <c r="R1741" t="s">
        <v>129</v>
      </c>
      <c r="S1741" t="s">
        <v>31</v>
      </c>
      <c r="T1741" t="s">
        <v>32</v>
      </c>
      <c r="V1741" s="1" t="e">
        <v>#N/A</v>
      </c>
      <c r="W1741" t="s">
        <v>493</v>
      </c>
      <c r="X1741">
        <v>1</v>
      </c>
      <c r="Y1741">
        <v>1010</v>
      </c>
      <c r="AA1741" t="str">
        <f t="shared" si="54"/>
        <v>update zamestnanci set nastup='108' where id='1614';</v>
      </c>
      <c r="AB1741" t="str">
        <f t="shared" si="55"/>
        <v>update dochazka set zastavka = '108' where zamestnanec = '1614';</v>
      </c>
    </row>
    <row r="1742" spans="1:28" x14ac:dyDescent="0.25">
      <c r="A1742" s="2">
        <v>1637</v>
      </c>
      <c r="B1742" t="s">
        <v>64</v>
      </c>
      <c r="C1742" t="s">
        <v>64</v>
      </c>
      <c r="D1742" t="s">
        <v>295</v>
      </c>
      <c r="E1742" t="s">
        <v>5812</v>
      </c>
      <c r="F1742" t="s">
        <v>64</v>
      </c>
      <c r="G1742" s="1">
        <v>45789</v>
      </c>
      <c r="H1742" s="1">
        <v>45789</v>
      </c>
      <c r="I1742" s="1">
        <v>45789</v>
      </c>
      <c r="J1742" s="2" t="s">
        <v>2656</v>
      </c>
      <c r="K1742" t="s">
        <v>7017</v>
      </c>
      <c r="M1742" s="16" t="s">
        <v>8548</v>
      </c>
      <c r="N1742" s="16" t="str">
        <f>VLOOKUP(M1742,Tab_Zast[[Zastávka]:[Sloupec1]],2,0)</f>
        <v>108</v>
      </c>
      <c r="O1742" t="s">
        <v>7018</v>
      </c>
      <c r="P1742">
        <v>6</v>
      </c>
      <c r="Q1742">
        <v>0</v>
      </c>
      <c r="R1742" t="s">
        <v>129</v>
      </c>
      <c r="S1742" t="s">
        <v>179</v>
      </c>
      <c r="T1742" t="s">
        <v>32</v>
      </c>
      <c r="V1742" s="1" t="e">
        <v>#N/A</v>
      </c>
      <c r="X1742">
        <v>0</v>
      </c>
      <c r="Y1742">
        <v>1033</v>
      </c>
      <c r="AA1742" t="str">
        <f t="shared" si="54"/>
        <v>update zamestnanci set nastup='108' where id='1637';</v>
      </c>
      <c r="AB1742" t="str">
        <f t="shared" si="55"/>
        <v>update dochazka set zastavka = '108' where zamestnanec = '1637';</v>
      </c>
    </row>
    <row r="1743" spans="1:28" x14ac:dyDescent="0.25">
      <c r="A1743" s="2">
        <v>1649</v>
      </c>
      <c r="B1743" t="s">
        <v>7055</v>
      </c>
      <c r="C1743" t="s">
        <v>64</v>
      </c>
      <c r="D1743" t="s">
        <v>1425</v>
      </c>
      <c r="E1743" t="s">
        <v>7056</v>
      </c>
      <c r="F1743" t="s">
        <v>64</v>
      </c>
      <c r="G1743" s="1">
        <v>45790</v>
      </c>
      <c r="H1743" s="1">
        <v>73050</v>
      </c>
      <c r="I1743" s="1" t="e">
        <v>#N/A</v>
      </c>
      <c r="J1743" s="2" t="s">
        <v>2656</v>
      </c>
      <c r="K1743" t="s">
        <v>7057</v>
      </c>
      <c r="M1743" s="16" t="s">
        <v>8548</v>
      </c>
      <c r="N1743" s="16" t="str">
        <f>VLOOKUP(M1743,Tab_Zast[[Zastávka]:[Sloupec1]],2,0)</f>
        <v>108</v>
      </c>
      <c r="O1743" t="s">
        <v>7058</v>
      </c>
      <c r="P1743">
        <v>6</v>
      </c>
      <c r="Q1743">
        <v>0</v>
      </c>
      <c r="R1743" t="s">
        <v>129</v>
      </c>
      <c r="S1743" t="s">
        <v>31</v>
      </c>
      <c r="T1743" t="s">
        <v>32</v>
      </c>
      <c r="V1743" s="1" t="e">
        <v>#N/A</v>
      </c>
      <c r="W1743" t="s">
        <v>1216</v>
      </c>
      <c r="X1743">
        <v>1</v>
      </c>
      <c r="Y1743">
        <v>1042</v>
      </c>
      <c r="AA1743" t="str">
        <f t="shared" si="54"/>
        <v>update zamestnanci set nastup='108' where id='1649';</v>
      </c>
      <c r="AB1743" t="str">
        <f t="shared" si="55"/>
        <v>update dochazka set zastavka = '108' where zamestnanec = '1649';</v>
      </c>
    </row>
    <row r="1744" spans="1:28" x14ac:dyDescent="0.25">
      <c r="A1744" s="2">
        <v>1661</v>
      </c>
      <c r="B1744" t="s">
        <v>7094</v>
      </c>
      <c r="C1744" t="s">
        <v>64</v>
      </c>
      <c r="D1744" t="s">
        <v>7095</v>
      </c>
      <c r="E1744" t="s">
        <v>2120</v>
      </c>
      <c r="F1744" t="s">
        <v>7096</v>
      </c>
      <c r="G1744" s="1">
        <v>45803</v>
      </c>
      <c r="H1744" s="1">
        <v>45880</v>
      </c>
      <c r="I1744" s="1">
        <v>73050</v>
      </c>
      <c r="J1744" s="2" t="s">
        <v>2656</v>
      </c>
      <c r="K1744" t="s">
        <v>7097</v>
      </c>
      <c r="M1744" s="16" t="s">
        <v>8548</v>
      </c>
      <c r="N1744" s="16" t="str">
        <f>VLOOKUP(M1744,Tab_Zast[[Zastávka]:[Sloupec1]],2,0)</f>
        <v>108</v>
      </c>
      <c r="O1744" t="s">
        <v>7098</v>
      </c>
      <c r="P1744">
        <v>6</v>
      </c>
      <c r="Q1744">
        <v>0</v>
      </c>
      <c r="R1744" t="s">
        <v>31</v>
      </c>
      <c r="S1744" t="s">
        <v>31</v>
      </c>
      <c r="T1744" t="s">
        <v>32</v>
      </c>
      <c r="V1744" s="1" t="e">
        <v>#N/A</v>
      </c>
      <c r="W1744" t="s">
        <v>1216</v>
      </c>
      <c r="X1744">
        <v>0</v>
      </c>
      <c r="Y1744">
        <v>1050</v>
      </c>
      <c r="AA1744" t="str">
        <f t="shared" si="54"/>
        <v>update zamestnanci set nastup='108' where id='1661';</v>
      </c>
      <c r="AB1744" t="str">
        <f t="shared" si="55"/>
        <v>update dochazka set zastavka = '108' where zamestnanec = '1661';</v>
      </c>
    </row>
    <row r="1745" spans="1:28" x14ac:dyDescent="0.25">
      <c r="A1745" s="2">
        <v>1667</v>
      </c>
      <c r="B1745" t="s">
        <v>7111</v>
      </c>
      <c r="C1745" t="s">
        <v>64</v>
      </c>
      <c r="D1745" t="s">
        <v>2765</v>
      </c>
      <c r="E1745" t="s">
        <v>2641</v>
      </c>
      <c r="F1745" t="s">
        <v>64</v>
      </c>
      <c r="G1745" s="1">
        <v>45811</v>
      </c>
      <c r="H1745" s="1">
        <v>45832</v>
      </c>
      <c r="I1745" s="1">
        <v>73050</v>
      </c>
      <c r="J1745" s="2" t="s">
        <v>2656</v>
      </c>
      <c r="K1745" t="s">
        <v>7112</v>
      </c>
      <c r="M1745" s="16" t="s">
        <v>8548</v>
      </c>
      <c r="N1745" s="16" t="str">
        <f>VLOOKUP(M1745,Tab_Zast[[Zastávka]:[Sloupec1]],2,0)</f>
        <v>108</v>
      </c>
      <c r="O1745" t="s">
        <v>7113</v>
      </c>
      <c r="P1745">
        <v>6</v>
      </c>
      <c r="Q1745">
        <v>0</v>
      </c>
      <c r="R1745" t="s">
        <v>31</v>
      </c>
      <c r="S1745" t="s">
        <v>31</v>
      </c>
      <c r="T1745" t="s">
        <v>32</v>
      </c>
      <c r="V1745" s="1">
        <v>45832</v>
      </c>
      <c r="W1745" t="s">
        <v>1216</v>
      </c>
      <c r="X1745">
        <v>0</v>
      </c>
      <c r="Y1745">
        <v>1059</v>
      </c>
      <c r="AA1745" t="str">
        <f t="shared" si="54"/>
        <v>update zamestnanci set nastup='108' where id='1667';</v>
      </c>
      <c r="AB1745" t="str">
        <f t="shared" si="55"/>
        <v>update dochazka set zastavka = '108' where zamestnanec = '1667';</v>
      </c>
    </row>
    <row r="1746" spans="1:28" x14ac:dyDescent="0.25">
      <c r="A1746" s="2">
        <v>1671</v>
      </c>
      <c r="B1746" t="s">
        <v>7130</v>
      </c>
      <c r="C1746" t="s">
        <v>64</v>
      </c>
      <c r="D1746" t="s">
        <v>2314</v>
      </c>
      <c r="E1746" t="s">
        <v>1402</v>
      </c>
      <c r="F1746" t="s">
        <v>64</v>
      </c>
      <c r="G1746" s="1">
        <v>45814</v>
      </c>
      <c r="H1746" s="1">
        <v>73050</v>
      </c>
      <c r="I1746" s="1" t="e">
        <v>#N/A</v>
      </c>
      <c r="J1746" s="2" t="s">
        <v>2656</v>
      </c>
      <c r="K1746" t="s">
        <v>7131</v>
      </c>
      <c r="M1746" s="16" t="s">
        <v>8548</v>
      </c>
      <c r="N1746" s="16" t="str">
        <f>VLOOKUP(M1746,Tab_Zast[[Zastávka]:[Sloupec1]],2,0)</f>
        <v>108</v>
      </c>
      <c r="O1746" t="s">
        <v>7132</v>
      </c>
      <c r="P1746">
        <v>6</v>
      </c>
      <c r="Q1746">
        <v>0</v>
      </c>
      <c r="R1746" t="s">
        <v>179</v>
      </c>
      <c r="S1746" t="s">
        <v>31</v>
      </c>
      <c r="T1746" t="s">
        <v>32</v>
      </c>
      <c r="U1746" t="s">
        <v>254</v>
      </c>
      <c r="V1746" s="1">
        <v>45950</v>
      </c>
      <c r="W1746" t="s">
        <v>1216</v>
      </c>
      <c r="X1746">
        <v>1</v>
      </c>
      <c r="Y1746">
        <v>1063</v>
      </c>
      <c r="AA1746" t="str">
        <f t="shared" si="54"/>
        <v>update zamestnanci set nastup='108' where id='1671';</v>
      </c>
      <c r="AB1746" t="str">
        <f t="shared" si="55"/>
        <v>update dochazka set zastavka = '108' where zamestnanec = '1671';</v>
      </c>
    </row>
    <row r="1747" spans="1:28" x14ac:dyDescent="0.25">
      <c r="A1747" s="2">
        <v>1679</v>
      </c>
      <c r="B1747" t="s">
        <v>64</v>
      </c>
      <c r="C1747" t="s">
        <v>64</v>
      </c>
      <c r="D1747" t="s">
        <v>7154</v>
      </c>
      <c r="E1747" t="s">
        <v>7155</v>
      </c>
      <c r="F1747" t="s">
        <v>64</v>
      </c>
      <c r="G1747" s="1">
        <v>45824</v>
      </c>
      <c r="H1747" s="1">
        <v>45862</v>
      </c>
      <c r="I1747" s="1">
        <v>73050</v>
      </c>
      <c r="J1747" s="2" t="s">
        <v>2656</v>
      </c>
      <c r="K1747" t="s">
        <v>7156</v>
      </c>
      <c r="M1747" s="16" t="s">
        <v>8548</v>
      </c>
      <c r="N1747" s="16" t="str">
        <f>VLOOKUP(M1747,Tab_Zast[[Zastávka]:[Sloupec1]],2,0)</f>
        <v>108</v>
      </c>
      <c r="O1747" t="s">
        <v>7157</v>
      </c>
      <c r="P1747">
        <v>4</v>
      </c>
      <c r="Q1747">
        <v>0</v>
      </c>
      <c r="R1747" t="s">
        <v>129</v>
      </c>
      <c r="S1747" t="s">
        <v>179</v>
      </c>
      <c r="T1747" t="s">
        <v>32</v>
      </c>
      <c r="V1747" s="1" t="e">
        <v>#N/A</v>
      </c>
      <c r="W1747" t="s">
        <v>2729</v>
      </c>
      <c r="X1747">
        <v>0</v>
      </c>
      <c r="Y1747">
        <v>1072</v>
      </c>
      <c r="AA1747" t="str">
        <f t="shared" si="54"/>
        <v>update zamestnanci set nastup='108' where id='1679';</v>
      </c>
      <c r="AB1747" t="str">
        <f t="shared" si="55"/>
        <v>update dochazka set zastavka = '108' where zamestnanec = '1679';</v>
      </c>
    </row>
    <row r="1748" spans="1:28" x14ac:dyDescent="0.25">
      <c r="A1748" s="2">
        <v>1686</v>
      </c>
      <c r="B1748" t="s">
        <v>5478</v>
      </c>
      <c r="C1748" t="s">
        <v>64</v>
      </c>
      <c r="D1748" t="s">
        <v>5479</v>
      </c>
      <c r="E1748" t="s">
        <v>593</v>
      </c>
      <c r="F1748" t="s">
        <v>357</v>
      </c>
      <c r="G1748" s="1">
        <v>45824</v>
      </c>
      <c r="H1748" s="1">
        <v>45824</v>
      </c>
      <c r="I1748" s="1">
        <v>45824</v>
      </c>
      <c r="J1748" s="2" t="s">
        <v>8493</v>
      </c>
      <c r="K1748" t="s">
        <v>5481</v>
      </c>
      <c r="M1748" s="16" t="s">
        <v>8494</v>
      </c>
      <c r="N1748" s="16" t="str">
        <f>VLOOKUP(M1748,Tab_Zast[[Zastávka]:[Sloupec1]],2,0)</f>
        <v>86</v>
      </c>
      <c r="O1748" t="s">
        <v>7180</v>
      </c>
      <c r="P1748">
        <v>0</v>
      </c>
      <c r="Q1748">
        <v>0</v>
      </c>
      <c r="R1748" t="s">
        <v>31</v>
      </c>
      <c r="S1748" t="s">
        <v>31</v>
      </c>
      <c r="T1748" t="s">
        <v>32</v>
      </c>
      <c r="V1748" s="1" t="e">
        <v>#N/A</v>
      </c>
      <c r="X1748">
        <v>0</v>
      </c>
      <c r="Y1748">
        <v>1071</v>
      </c>
      <c r="AA1748" t="str">
        <f t="shared" si="54"/>
        <v>update zamestnanci set nastup='86' where id='1686';</v>
      </c>
      <c r="AB1748" t="str">
        <f t="shared" si="55"/>
        <v>update dochazka set zastavka = '86' where zamestnanec = '1686';</v>
      </c>
    </row>
    <row r="1749" spans="1:28" x14ac:dyDescent="0.25">
      <c r="A1749" s="2">
        <v>1693</v>
      </c>
      <c r="B1749" t="s">
        <v>7198</v>
      </c>
      <c r="C1749" t="s">
        <v>569</v>
      </c>
      <c r="D1749" t="s">
        <v>7199</v>
      </c>
      <c r="E1749" t="s">
        <v>1744</v>
      </c>
      <c r="F1749" t="s">
        <v>569</v>
      </c>
      <c r="G1749" s="1">
        <v>45831</v>
      </c>
      <c r="H1749" s="1">
        <v>73050</v>
      </c>
      <c r="I1749" s="1" t="e">
        <v>#N/A</v>
      </c>
      <c r="J1749" s="2" t="s">
        <v>2656</v>
      </c>
      <c r="K1749" t="s">
        <v>7200</v>
      </c>
      <c r="M1749" s="16" t="s">
        <v>8548</v>
      </c>
      <c r="N1749" s="16" t="str">
        <f>VLOOKUP(M1749,Tab_Zast[[Zastávka]:[Sloupec1]],2,0)</f>
        <v>108</v>
      </c>
      <c r="O1749" t="s">
        <v>7201</v>
      </c>
      <c r="P1749">
        <v>1</v>
      </c>
      <c r="Q1749">
        <v>0</v>
      </c>
      <c r="R1749" t="s">
        <v>130</v>
      </c>
      <c r="S1749" t="s">
        <v>31</v>
      </c>
      <c r="T1749" t="s">
        <v>32</v>
      </c>
      <c r="V1749" s="1" t="e">
        <v>#N/A</v>
      </c>
      <c r="W1749" t="s">
        <v>5988</v>
      </c>
      <c r="X1749">
        <v>1</v>
      </c>
      <c r="Y1749">
        <v>1090</v>
      </c>
      <c r="AA1749" t="str">
        <f t="shared" si="54"/>
        <v>update zamestnanci set nastup='108' where id='1693';</v>
      </c>
      <c r="AB1749" t="str">
        <f t="shared" si="55"/>
        <v>update dochazka set zastavka = '108' where zamestnanec = '1693';</v>
      </c>
    </row>
    <row r="1750" spans="1:28" x14ac:dyDescent="0.25">
      <c r="A1750" s="2">
        <v>1700</v>
      </c>
      <c r="B1750" t="s">
        <v>7218</v>
      </c>
      <c r="C1750" t="s">
        <v>357</v>
      </c>
      <c r="D1750" t="s">
        <v>2918</v>
      </c>
      <c r="E1750" t="s">
        <v>3055</v>
      </c>
      <c r="F1750" t="s">
        <v>357</v>
      </c>
      <c r="G1750" s="1">
        <v>45832</v>
      </c>
      <c r="H1750" s="1" t="e">
        <v>#N/A</v>
      </c>
      <c r="I1750" s="1" t="e">
        <v>#N/A</v>
      </c>
      <c r="J1750" s="2" t="s">
        <v>2656</v>
      </c>
      <c r="K1750" t="s">
        <v>7219</v>
      </c>
      <c r="L1750" t="s">
        <v>7220</v>
      </c>
      <c r="M1750" s="16" t="s">
        <v>8548</v>
      </c>
      <c r="N1750" s="16" t="str">
        <f>VLOOKUP(M1750,Tab_Zast[[Zastávka]:[Sloupec1]],2,0)</f>
        <v>108</v>
      </c>
      <c r="O1750" t="s">
        <v>7221</v>
      </c>
      <c r="P1750">
        <v>6</v>
      </c>
      <c r="Q1750">
        <v>0</v>
      </c>
      <c r="R1750" t="s">
        <v>129</v>
      </c>
      <c r="S1750" t="s">
        <v>179</v>
      </c>
      <c r="T1750" t="s">
        <v>32</v>
      </c>
      <c r="V1750" s="1" t="e">
        <v>#N/A</v>
      </c>
      <c r="W1750" t="s">
        <v>3052</v>
      </c>
      <c r="X1750">
        <v>1</v>
      </c>
      <c r="Y1750">
        <v>1088</v>
      </c>
      <c r="AA1750" t="str">
        <f t="shared" si="54"/>
        <v>update zamestnanci set nastup='108' where id='1700';</v>
      </c>
      <c r="AB1750" t="str">
        <f t="shared" si="55"/>
        <v>update dochazka set zastavka = '108' where zamestnanec = '1700';</v>
      </c>
    </row>
    <row r="1751" spans="1:28" x14ac:dyDescent="0.25">
      <c r="A1751" s="2">
        <v>1702</v>
      </c>
      <c r="B1751" t="s">
        <v>7225</v>
      </c>
      <c r="C1751" t="s">
        <v>64</v>
      </c>
      <c r="D1751" t="s">
        <v>7076</v>
      </c>
      <c r="E1751" t="s">
        <v>725</v>
      </c>
      <c r="F1751" t="s">
        <v>7027</v>
      </c>
      <c r="G1751" s="1">
        <v>45832</v>
      </c>
      <c r="H1751" s="1">
        <v>73050</v>
      </c>
      <c r="I1751" s="1" t="e">
        <v>#N/A</v>
      </c>
      <c r="J1751" s="2" t="s">
        <v>2656</v>
      </c>
      <c r="K1751" t="s">
        <v>7077</v>
      </c>
      <c r="M1751" s="16" t="s">
        <v>8548</v>
      </c>
      <c r="N1751" s="16" t="str">
        <f>VLOOKUP(M1751,Tab_Zast[[Zastávka]:[Sloupec1]],2,0)</f>
        <v>108</v>
      </c>
      <c r="O1751" t="s">
        <v>4286</v>
      </c>
      <c r="P1751">
        <v>6</v>
      </c>
      <c r="Q1751">
        <v>0</v>
      </c>
      <c r="R1751" t="s">
        <v>179</v>
      </c>
      <c r="S1751" t="s">
        <v>129</v>
      </c>
      <c r="T1751" t="s">
        <v>32</v>
      </c>
      <c r="V1751" s="1" t="e">
        <v>#N/A</v>
      </c>
      <c r="W1751" t="s">
        <v>3052</v>
      </c>
      <c r="X1751">
        <v>1</v>
      </c>
      <c r="Y1751">
        <v>1094</v>
      </c>
      <c r="AA1751" t="str">
        <f t="shared" si="54"/>
        <v>update zamestnanci set nastup='108' where id='1702';</v>
      </c>
      <c r="AB1751" t="str">
        <f t="shared" si="55"/>
        <v>update dochazka set zastavka = '108' where zamestnanec = '1702';</v>
      </c>
    </row>
    <row r="1752" spans="1:28" x14ac:dyDescent="0.25">
      <c r="A1752" s="2">
        <v>1713</v>
      </c>
      <c r="B1752" t="s">
        <v>7265</v>
      </c>
      <c r="C1752" t="s">
        <v>64</v>
      </c>
      <c r="D1752" t="s">
        <v>7266</v>
      </c>
      <c r="E1752" t="s">
        <v>2883</v>
      </c>
      <c r="F1752" t="s">
        <v>7267</v>
      </c>
      <c r="G1752" s="1">
        <v>45839</v>
      </c>
      <c r="H1752" s="1">
        <v>45961</v>
      </c>
      <c r="I1752" s="1" t="e">
        <v>#N/A</v>
      </c>
      <c r="J1752" s="2" t="s">
        <v>2656</v>
      </c>
      <c r="K1752" t="s">
        <v>7268</v>
      </c>
      <c r="M1752" s="16" t="s">
        <v>8548</v>
      </c>
      <c r="N1752" s="16" t="str">
        <f>VLOOKUP(M1752,Tab_Zast[[Zastávka]:[Sloupec1]],2,0)</f>
        <v>108</v>
      </c>
      <c r="O1752" t="s">
        <v>7269</v>
      </c>
      <c r="P1752">
        <v>6</v>
      </c>
      <c r="Q1752">
        <v>0</v>
      </c>
      <c r="R1752" t="s">
        <v>31</v>
      </c>
      <c r="S1752" t="s">
        <v>31</v>
      </c>
      <c r="T1752" t="s">
        <v>32</v>
      </c>
      <c r="V1752" s="1" t="e">
        <v>#N/A</v>
      </c>
      <c r="W1752" t="s">
        <v>3052</v>
      </c>
      <c r="X1752">
        <v>0</v>
      </c>
      <c r="Y1752">
        <v>1106</v>
      </c>
      <c r="AA1752" t="str">
        <f t="shared" si="54"/>
        <v>update zamestnanci set nastup='108' where id='1713';</v>
      </c>
      <c r="AB1752" t="str">
        <f t="shared" si="55"/>
        <v>update dochazka set zastavka = '108' where zamestnanec = '1713';</v>
      </c>
    </row>
    <row r="1753" spans="1:28" x14ac:dyDescent="0.25">
      <c r="A1753" s="2">
        <v>1731</v>
      </c>
      <c r="B1753" t="s">
        <v>7342</v>
      </c>
      <c r="C1753" t="s">
        <v>569</v>
      </c>
      <c r="D1753" t="s">
        <v>3656</v>
      </c>
      <c r="E1753" t="s">
        <v>1509</v>
      </c>
      <c r="F1753" t="s">
        <v>569</v>
      </c>
      <c r="G1753" s="1">
        <v>45852</v>
      </c>
      <c r="H1753" s="1">
        <v>45852</v>
      </c>
      <c r="I1753" s="1">
        <v>45852</v>
      </c>
      <c r="J1753" s="2" t="s">
        <v>2656</v>
      </c>
      <c r="K1753" t="s">
        <v>7343</v>
      </c>
      <c r="M1753" s="16" t="s">
        <v>8548</v>
      </c>
      <c r="N1753" s="16" t="str">
        <f>VLOOKUP(M1753,Tab_Zast[[Zastávka]:[Sloupec1]],2,0)</f>
        <v>108</v>
      </c>
      <c r="O1753" t="s">
        <v>7344</v>
      </c>
      <c r="P1753">
        <v>6</v>
      </c>
      <c r="Q1753">
        <v>0</v>
      </c>
      <c r="R1753" t="s">
        <v>31</v>
      </c>
      <c r="S1753" t="s">
        <v>31</v>
      </c>
      <c r="T1753" t="s">
        <v>32</v>
      </c>
      <c r="V1753" s="1" t="e">
        <v>#N/A</v>
      </c>
      <c r="W1753" t="s">
        <v>3052</v>
      </c>
      <c r="X1753">
        <v>0</v>
      </c>
      <c r="Y1753">
        <v>1130</v>
      </c>
      <c r="AA1753" t="str">
        <f t="shared" si="54"/>
        <v>update zamestnanci set nastup='108' where id='1731';</v>
      </c>
      <c r="AB1753" t="str">
        <f t="shared" si="55"/>
        <v>update dochazka set zastavka = '108' where zamestnanec = '1731';</v>
      </c>
    </row>
    <row r="1754" spans="1:28" x14ac:dyDescent="0.25">
      <c r="A1754" s="2">
        <v>1732</v>
      </c>
      <c r="B1754" t="s">
        <v>7345</v>
      </c>
      <c r="C1754" t="s">
        <v>357</v>
      </c>
      <c r="D1754" t="s">
        <v>7346</v>
      </c>
      <c r="E1754" t="s">
        <v>770</v>
      </c>
      <c r="F1754" t="s">
        <v>569</v>
      </c>
      <c r="G1754" s="1">
        <v>45852</v>
      </c>
      <c r="H1754" s="1">
        <v>45852</v>
      </c>
      <c r="I1754" s="1">
        <v>45852</v>
      </c>
      <c r="J1754" s="2" t="s">
        <v>2656</v>
      </c>
      <c r="K1754" t="s">
        <v>7347</v>
      </c>
      <c r="M1754" s="16" t="s">
        <v>8548</v>
      </c>
      <c r="N1754" s="16" t="str">
        <f>VLOOKUP(M1754,Tab_Zast[[Zastávka]:[Sloupec1]],2,0)</f>
        <v>108</v>
      </c>
      <c r="O1754" t="s">
        <v>7348</v>
      </c>
      <c r="P1754">
        <v>6</v>
      </c>
      <c r="Q1754">
        <v>0</v>
      </c>
      <c r="R1754" t="s">
        <v>31</v>
      </c>
      <c r="S1754" t="s">
        <v>31</v>
      </c>
      <c r="T1754" t="s">
        <v>32</v>
      </c>
      <c r="V1754" s="1" t="e">
        <v>#N/A</v>
      </c>
      <c r="W1754" t="s">
        <v>3052</v>
      </c>
      <c r="X1754">
        <v>0</v>
      </c>
      <c r="Y1754">
        <v>1132</v>
      </c>
      <c r="AA1754" t="str">
        <f t="shared" si="54"/>
        <v>update zamestnanci set nastup='108' where id='1732';</v>
      </c>
      <c r="AB1754" t="str">
        <f t="shared" si="55"/>
        <v>update dochazka set zastavka = '108' where zamestnanec = '1732';</v>
      </c>
    </row>
    <row r="1755" spans="1:28" x14ac:dyDescent="0.25">
      <c r="A1755" s="2">
        <v>1780</v>
      </c>
      <c r="B1755" t="s">
        <v>357</v>
      </c>
      <c r="C1755" t="s">
        <v>569</v>
      </c>
      <c r="D1755" t="s">
        <v>6470</v>
      </c>
      <c r="E1755" t="s">
        <v>3717</v>
      </c>
      <c r="F1755" t="s">
        <v>7501</v>
      </c>
      <c r="G1755" s="1">
        <v>45876</v>
      </c>
      <c r="H1755" s="1">
        <v>45930</v>
      </c>
      <c r="I1755" s="1">
        <v>73050</v>
      </c>
      <c r="J1755" s="2" t="s">
        <v>2656</v>
      </c>
      <c r="K1755" t="s">
        <v>6472</v>
      </c>
      <c r="M1755" s="16" t="s">
        <v>8548</v>
      </c>
      <c r="N1755" s="16" t="str">
        <f>VLOOKUP(M1755,Tab_Zast[[Zastávka]:[Sloupec1]],2,0)</f>
        <v>108</v>
      </c>
      <c r="O1755" t="s">
        <v>7535</v>
      </c>
      <c r="P1755">
        <v>6</v>
      </c>
      <c r="Q1755">
        <v>0</v>
      </c>
      <c r="R1755" t="s">
        <v>179</v>
      </c>
      <c r="S1755" t="s">
        <v>31</v>
      </c>
      <c r="T1755" t="s">
        <v>32</v>
      </c>
      <c r="V1755" s="1">
        <v>45913</v>
      </c>
      <c r="W1755" t="s">
        <v>3052</v>
      </c>
      <c r="X1755">
        <v>0</v>
      </c>
      <c r="Y1755">
        <v>1175</v>
      </c>
      <c r="AA1755" t="str">
        <f t="shared" si="54"/>
        <v>update zamestnanci set nastup='108' where id='1780';</v>
      </c>
      <c r="AB1755" t="str">
        <f t="shared" si="55"/>
        <v>update dochazka set zastavka = '108' where zamestnanec = '1780';</v>
      </c>
    </row>
    <row r="1756" spans="1:28" x14ac:dyDescent="0.25">
      <c r="A1756" s="2">
        <v>1788</v>
      </c>
      <c r="B1756" t="s">
        <v>7564</v>
      </c>
      <c r="C1756" t="s">
        <v>357</v>
      </c>
      <c r="D1756" t="s">
        <v>1231</v>
      </c>
      <c r="E1756" t="s">
        <v>749</v>
      </c>
      <c r="F1756" t="s">
        <v>357</v>
      </c>
      <c r="G1756" s="1">
        <v>45887</v>
      </c>
      <c r="H1756" s="1">
        <v>73050</v>
      </c>
      <c r="I1756" s="1" t="e">
        <v>#N/A</v>
      </c>
      <c r="J1756" s="2" t="s">
        <v>2656</v>
      </c>
      <c r="K1756" t="s">
        <v>7565</v>
      </c>
      <c r="M1756" s="16" t="s">
        <v>8548</v>
      </c>
      <c r="N1756" s="16" t="str">
        <f>VLOOKUP(M1756,Tab_Zast[[Zastávka]:[Sloupec1]],2,0)</f>
        <v>108</v>
      </c>
      <c r="O1756" t="s">
        <v>7566</v>
      </c>
      <c r="P1756">
        <v>6</v>
      </c>
      <c r="Q1756">
        <v>0</v>
      </c>
      <c r="R1756" t="s">
        <v>130</v>
      </c>
      <c r="S1756" t="s">
        <v>31</v>
      </c>
      <c r="T1756" t="s">
        <v>32</v>
      </c>
      <c r="V1756" s="1" t="e">
        <v>#N/A</v>
      </c>
      <c r="W1756" t="s">
        <v>1216</v>
      </c>
      <c r="X1756">
        <v>1</v>
      </c>
      <c r="Y1756">
        <v>1183</v>
      </c>
      <c r="AA1756" t="str">
        <f t="shared" si="54"/>
        <v>update zamestnanci set nastup='108' where id='1788';</v>
      </c>
      <c r="AB1756" t="str">
        <f t="shared" si="55"/>
        <v>update dochazka set zastavka = '108' where zamestnanec = '1788';</v>
      </c>
    </row>
    <row r="1757" spans="1:28" x14ac:dyDescent="0.25">
      <c r="A1757" s="2">
        <v>1790</v>
      </c>
      <c r="B1757" t="s">
        <v>357</v>
      </c>
      <c r="C1757" t="s">
        <v>357</v>
      </c>
      <c r="D1757" t="s">
        <v>7569</v>
      </c>
      <c r="E1757" t="s">
        <v>5282</v>
      </c>
      <c r="F1757" t="s">
        <v>7570</v>
      </c>
      <c r="G1757" s="1">
        <v>45887</v>
      </c>
      <c r="H1757" s="1" t="e">
        <v>#N/A</v>
      </c>
      <c r="I1757" s="1" t="e">
        <v>#N/A</v>
      </c>
      <c r="J1757" s="2" t="s">
        <v>8493</v>
      </c>
      <c r="K1757" t="s">
        <v>7571</v>
      </c>
      <c r="M1757" s="16" t="s">
        <v>8494</v>
      </c>
      <c r="N1757" s="16" t="str">
        <f>VLOOKUP(M1757,Tab_Zast[[Zastávka]:[Sloupec1]],2,0)</f>
        <v>86</v>
      </c>
      <c r="O1757" t="s">
        <v>7572</v>
      </c>
      <c r="P1757">
        <v>1</v>
      </c>
      <c r="Q1757">
        <v>0</v>
      </c>
      <c r="R1757" t="s">
        <v>179</v>
      </c>
      <c r="S1757" t="s">
        <v>31</v>
      </c>
      <c r="T1757" t="s">
        <v>32</v>
      </c>
      <c r="V1757" s="1" t="e">
        <v>#N/A</v>
      </c>
      <c r="W1757" t="s">
        <v>47</v>
      </c>
      <c r="X1757">
        <v>1</v>
      </c>
      <c r="Y1757">
        <v>1182</v>
      </c>
      <c r="AA1757" t="str">
        <f t="shared" si="54"/>
        <v>update zamestnanci set nastup='86' where id='1790';</v>
      </c>
      <c r="AB1757" t="str">
        <f t="shared" si="55"/>
        <v>update dochazka set zastavka = '86' where zamestnanec = '1790';</v>
      </c>
    </row>
    <row r="1758" spans="1:28" x14ac:dyDescent="0.25">
      <c r="A1758" s="2">
        <v>1845</v>
      </c>
      <c r="B1758" t="s">
        <v>7766</v>
      </c>
      <c r="C1758" t="s">
        <v>569</v>
      </c>
      <c r="D1758" t="s">
        <v>7767</v>
      </c>
      <c r="E1758" t="s">
        <v>182</v>
      </c>
      <c r="F1758" t="s">
        <v>569</v>
      </c>
      <c r="G1758" s="1">
        <v>45915</v>
      </c>
      <c r="H1758" s="1">
        <v>45938</v>
      </c>
      <c r="I1758" s="1">
        <v>73050</v>
      </c>
      <c r="J1758" s="2" t="s">
        <v>8493</v>
      </c>
      <c r="K1758" t="s">
        <v>7768</v>
      </c>
      <c r="M1758" s="16" t="s">
        <v>8494</v>
      </c>
      <c r="N1758" s="16" t="str">
        <f>VLOOKUP(M1758,Tab_Zast[[Zastávka]:[Sloupec1]],2,0)</f>
        <v>86</v>
      </c>
      <c r="O1758" t="s">
        <v>7769</v>
      </c>
      <c r="P1758">
        <v>1</v>
      </c>
      <c r="Q1758">
        <v>0</v>
      </c>
      <c r="R1758" t="s">
        <v>31</v>
      </c>
      <c r="S1758" t="s">
        <v>31</v>
      </c>
      <c r="T1758" t="s">
        <v>32</v>
      </c>
      <c r="V1758" s="1" t="e">
        <v>#N/A</v>
      </c>
      <c r="W1758" t="s">
        <v>47</v>
      </c>
      <c r="X1758">
        <v>0</v>
      </c>
      <c r="Y1758">
        <v>1241</v>
      </c>
      <c r="AA1758" t="str">
        <f t="shared" si="54"/>
        <v>update zamestnanci set nastup='86' where id='1845';</v>
      </c>
      <c r="AB1758" t="str">
        <f t="shared" si="55"/>
        <v>update dochazka set zastavka = '86' where zamestnanec = '1845';</v>
      </c>
    </row>
    <row r="1759" spans="1:28" x14ac:dyDescent="0.25">
      <c r="A1759" s="2">
        <v>1847</v>
      </c>
      <c r="B1759" t="s">
        <v>357</v>
      </c>
      <c r="C1759" t="s">
        <v>357</v>
      </c>
      <c r="D1759" t="s">
        <v>7776</v>
      </c>
      <c r="E1759" t="s">
        <v>7777</v>
      </c>
      <c r="F1759" t="s">
        <v>835</v>
      </c>
      <c r="G1759" s="1">
        <v>45915</v>
      </c>
      <c r="H1759" s="1">
        <v>45915</v>
      </c>
      <c r="I1759" s="1">
        <v>45550</v>
      </c>
      <c r="J1759" s="2" t="s">
        <v>8493</v>
      </c>
      <c r="K1759" t="s">
        <v>7778</v>
      </c>
      <c r="M1759" s="16" t="s">
        <v>8494</v>
      </c>
      <c r="N1759" s="16" t="str">
        <f>VLOOKUP(M1759,Tab_Zast[[Zastávka]:[Sloupec1]],2,0)</f>
        <v>86</v>
      </c>
      <c r="O1759" t="s">
        <v>7779</v>
      </c>
      <c r="P1759">
        <v>1</v>
      </c>
      <c r="Q1759">
        <v>0</v>
      </c>
      <c r="R1759" t="s">
        <v>179</v>
      </c>
      <c r="S1759" t="s">
        <v>31</v>
      </c>
      <c r="T1759" t="s">
        <v>32</v>
      </c>
      <c r="V1759" s="1" t="e">
        <v>#N/A</v>
      </c>
      <c r="W1759" t="s">
        <v>47</v>
      </c>
      <c r="X1759">
        <v>0</v>
      </c>
      <c r="Y1759">
        <v>1243</v>
      </c>
      <c r="AA1759" t="str">
        <f t="shared" si="54"/>
        <v>update zamestnanci set nastup='86' where id='1847';</v>
      </c>
      <c r="AB1759" t="str">
        <f t="shared" si="55"/>
        <v>update dochazka set zastavka = '86' where zamestnanec = '1847';</v>
      </c>
    </row>
    <row r="1760" spans="1:28" x14ac:dyDescent="0.25">
      <c r="A1760" s="2">
        <v>1851</v>
      </c>
      <c r="B1760" t="s">
        <v>357</v>
      </c>
      <c r="C1760" t="s">
        <v>357</v>
      </c>
      <c r="D1760" t="s">
        <v>7794</v>
      </c>
      <c r="E1760" t="s">
        <v>4248</v>
      </c>
      <c r="F1760" t="s">
        <v>569</v>
      </c>
      <c r="G1760" s="1">
        <v>45922</v>
      </c>
      <c r="H1760" s="1">
        <v>45947</v>
      </c>
      <c r="I1760" s="1">
        <v>73050</v>
      </c>
      <c r="J1760" s="2" t="s">
        <v>8493</v>
      </c>
      <c r="K1760" t="s">
        <v>7795</v>
      </c>
      <c r="M1760" s="16" t="s">
        <v>8494</v>
      </c>
      <c r="N1760" s="16" t="str">
        <f>VLOOKUP(M1760,Tab_Zast[[Zastávka]:[Sloupec1]],2,0)</f>
        <v>86</v>
      </c>
      <c r="O1760" t="s">
        <v>7796</v>
      </c>
      <c r="P1760">
        <v>1</v>
      </c>
      <c r="Q1760">
        <v>0</v>
      </c>
      <c r="R1760" t="s">
        <v>179</v>
      </c>
      <c r="S1760" t="s">
        <v>31</v>
      </c>
      <c r="T1760" t="s">
        <v>32</v>
      </c>
      <c r="V1760" s="1" t="e">
        <v>#N/A</v>
      </c>
      <c r="W1760" t="s">
        <v>47</v>
      </c>
      <c r="X1760">
        <v>0</v>
      </c>
      <c r="Y1760">
        <v>1247</v>
      </c>
      <c r="AA1760" t="str">
        <f t="shared" si="54"/>
        <v>update zamestnanci set nastup='86' where id='1851';</v>
      </c>
      <c r="AB1760" t="str">
        <f t="shared" si="55"/>
        <v>update dochazka set zastavka = '86' where zamestnanec = '1851';</v>
      </c>
    </row>
    <row r="1761" spans="1:28" x14ac:dyDescent="0.25">
      <c r="A1761" s="2">
        <v>1853</v>
      </c>
      <c r="B1761" t="s">
        <v>7801</v>
      </c>
      <c r="C1761" t="s">
        <v>357</v>
      </c>
      <c r="D1761" t="s">
        <v>343</v>
      </c>
      <c r="E1761" t="s">
        <v>593</v>
      </c>
      <c r="F1761" t="s">
        <v>7802</v>
      </c>
      <c r="G1761" s="1">
        <v>45922</v>
      </c>
      <c r="H1761" s="1">
        <v>73050</v>
      </c>
      <c r="I1761" s="1" t="e">
        <v>#N/A</v>
      </c>
      <c r="J1761" s="2" t="s">
        <v>8493</v>
      </c>
      <c r="K1761" t="s">
        <v>7803</v>
      </c>
      <c r="M1761" s="16" t="s">
        <v>8494</v>
      </c>
      <c r="N1761" s="16" t="str">
        <f>VLOOKUP(M1761,Tab_Zast[[Zastávka]:[Sloupec1]],2,0)</f>
        <v>86</v>
      </c>
      <c r="O1761" t="s">
        <v>7804</v>
      </c>
      <c r="P1761">
        <v>1</v>
      </c>
      <c r="Q1761">
        <v>0</v>
      </c>
      <c r="R1761" t="s">
        <v>129</v>
      </c>
      <c r="S1761" t="s">
        <v>31</v>
      </c>
      <c r="T1761" t="s">
        <v>32</v>
      </c>
      <c r="V1761" s="1" t="e">
        <v>#N/A</v>
      </c>
      <c r="W1761" t="s">
        <v>47</v>
      </c>
      <c r="X1761">
        <v>1</v>
      </c>
      <c r="Y1761">
        <v>1249</v>
      </c>
      <c r="AA1761" t="str">
        <f t="shared" si="54"/>
        <v>update zamestnanci set nastup='86' where id='1853';</v>
      </c>
      <c r="AB1761" t="str">
        <f t="shared" si="55"/>
        <v>update dochazka set zastavka = '86' where zamestnanec = '1853';</v>
      </c>
    </row>
    <row r="1762" spans="1:28" x14ac:dyDescent="0.25">
      <c r="A1762" s="2">
        <v>1854</v>
      </c>
      <c r="B1762" t="s">
        <v>7805</v>
      </c>
      <c r="C1762" t="s">
        <v>357</v>
      </c>
      <c r="D1762" t="s">
        <v>7806</v>
      </c>
      <c r="E1762" t="s">
        <v>7807</v>
      </c>
      <c r="F1762" t="s">
        <v>7808</v>
      </c>
      <c r="G1762" s="1">
        <v>45922</v>
      </c>
      <c r="H1762" s="1">
        <v>73050</v>
      </c>
      <c r="I1762" s="1" t="e">
        <v>#N/A</v>
      </c>
      <c r="J1762" s="2" t="s">
        <v>8493</v>
      </c>
      <c r="K1762" t="s">
        <v>7809</v>
      </c>
      <c r="M1762" s="16" t="s">
        <v>8494</v>
      </c>
      <c r="N1762" s="16" t="str">
        <f>VLOOKUP(M1762,Tab_Zast[[Zastávka]:[Sloupec1]],2,0)</f>
        <v>86</v>
      </c>
      <c r="O1762" t="s">
        <v>7810</v>
      </c>
      <c r="P1762">
        <v>1</v>
      </c>
      <c r="Q1762">
        <v>0</v>
      </c>
      <c r="R1762" t="s">
        <v>129</v>
      </c>
      <c r="S1762" t="s">
        <v>31</v>
      </c>
      <c r="T1762" t="s">
        <v>32</v>
      </c>
      <c r="V1762" s="1" t="e">
        <v>#N/A</v>
      </c>
      <c r="W1762" t="s">
        <v>47</v>
      </c>
      <c r="X1762">
        <v>1</v>
      </c>
      <c r="Y1762">
        <v>1250</v>
      </c>
      <c r="AA1762" t="str">
        <f t="shared" si="54"/>
        <v>update zamestnanci set nastup='86' where id='1854';</v>
      </c>
      <c r="AB1762" t="str">
        <f t="shared" si="55"/>
        <v>update dochazka set zastavka = '86' where zamestnanec = '1854';</v>
      </c>
    </row>
    <row r="1763" spans="1:28" x14ac:dyDescent="0.25">
      <c r="A1763" s="2">
        <v>1856</v>
      </c>
      <c r="B1763" t="s">
        <v>7813</v>
      </c>
      <c r="C1763" t="s">
        <v>569</v>
      </c>
      <c r="D1763" t="s">
        <v>7814</v>
      </c>
      <c r="E1763" t="s">
        <v>2566</v>
      </c>
      <c r="F1763" t="s">
        <v>7815</v>
      </c>
      <c r="G1763" s="1">
        <v>45923</v>
      </c>
      <c r="H1763" s="1">
        <v>45925</v>
      </c>
      <c r="I1763" s="1">
        <v>73050</v>
      </c>
      <c r="J1763" s="2" t="s">
        <v>2656</v>
      </c>
      <c r="K1763" t="s">
        <v>7816</v>
      </c>
      <c r="M1763" s="16" t="s">
        <v>8548</v>
      </c>
      <c r="N1763" s="16" t="str">
        <f>VLOOKUP(M1763,Tab_Zast[[Zastávka]:[Sloupec1]],2,0)</f>
        <v>108</v>
      </c>
      <c r="O1763" t="s">
        <v>7817</v>
      </c>
      <c r="P1763">
        <v>8</v>
      </c>
      <c r="Q1763">
        <v>0</v>
      </c>
      <c r="R1763" t="s">
        <v>31</v>
      </c>
      <c r="S1763" t="s">
        <v>31</v>
      </c>
      <c r="T1763" t="s">
        <v>32</v>
      </c>
      <c r="V1763" s="1" t="e">
        <v>#N/A</v>
      </c>
      <c r="W1763" t="s">
        <v>3023</v>
      </c>
      <c r="X1763">
        <v>0</v>
      </c>
      <c r="Y1763">
        <v>1252</v>
      </c>
      <c r="AA1763" t="str">
        <f t="shared" si="54"/>
        <v>update zamestnanci set nastup='108' where id='1856';</v>
      </c>
      <c r="AB1763" t="str">
        <f t="shared" si="55"/>
        <v>update dochazka set zastavka = '108' where zamestnanec = '1856';</v>
      </c>
    </row>
    <row r="1764" spans="1:28" x14ac:dyDescent="0.25">
      <c r="A1764" s="2">
        <v>1859</v>
      </c>
      <c r="B1764" t="s">
        <v>7824</v>
      </c>
      <c r="C1764" t="s">
        <v>569</v>
      </c>
      <c r="D1764" t="s">
        <v>7825</v>
      </c>
      <c r="E1764" t="s">
        <v>1947</v>
      </c>
      <c r="F1764" t="s">
        <v>569</v>
      </c>
      <c r="G1764" s="1">
        <v>45929</v>
      </c>
      <c r="H1764" s="1">
        <v>73050</v>
      </c>
      <c r="I1764" s="1" t="e">
        <v>#N/A</v>
      </c>
      <c r="J1764" s="2" t="s">
        <v>2656</v>
      </c>
      <c r="K1764" t="s">
        <v>7826</v>
      </c>
      <c r="M1764" s="16" t="s">
        <v>8548</v>
      </c>
      <c r="N1764" s="16" t="str">
        <f>VLOOKUP(M1764,Tab_Zast[[Zastávka]:[Sloupec1]],2,0)</f>
        <v>108</v>
      </c>
      <c r="O1764" t="s">
        <v>7827</v>
      </c>
      <c r="P1764">
        <v>6</v>
      </c>
      <c r="Q1764">
        <v>0</v>
      </c>
      <c r="R1764" t="s">
        <v>130</v>
      </c>
      <c r="S1764" t="s">
        <v>31</v>
      </c>
      <c r="T1764" t="s">
        <v>32</v>
      </c>
      <c r="V1764" s="1" t="e">
        <v>#N/A</v>
      </c>
      <c r="W1764" t="s">
        <v>1216</v>
      </c>
      <c r="X1764">
        <v>1</v>
      </c>
      <c r="Y1764">
        <v>1253</v>
      </c>
      <c r="AA1764" t="str">
        <f t="shared" si="54"/>
        <v>update zamestnanci set nastup='108' where id='1859';</v>
      </c>
      <c r="AB1764" t="str">
        <f t="shared" si="55"/>
        <v>update dochazka set zastavka = '108' where zamestnanec = '1859';</v>
      </c>
    </row>
    <row r="1765" spans="1:28" x14ac:dyDescent="0.25">
      <c r="A1765" s="2">
        <v>1861</v>
      </c>
      <c r="B1765" t="s">
        <v>7834</v>
      </c>
      <c r="C1765" t="s">
        <v>569</v>
      </c>
      <c r="D1765" t="s">
        <v>7835</v>
      </c>
      <c r="E1765" t="s">
        <v>3126</v>
      </c>
      <c r="F1765" t="s">
        <v>64</v>
      </c>
      <c r="G1765" s="1">
        <v>45931</v>
      </c>
      <c r="H1765" s="1">
        <v>45986</v>
      </c>
      <c r="I1765" s="1" t="e">
        <v>#N/A</v>
      </c>
      <c r="J1765" s="2" t="s">
        <v>2656</v>
      </c>
      <c r="K1765" t="s">
        <v>7836</v>
      </c>
      <c r="M1765" s="16" t="s">
        <v>8548</v>
      </c>
      <c r="N1765" s="16" t="str">
        <f>VLOOKUP(M1765,Tab_Zast[[Zastávka]:[Sloupec1]],2,0)</f>
        <v>108</v>
      </c>
      <c r="O1765" t="s">
        <v>7837</v>
      </c>
      <c r="P1765">
        <v>4</v>
      </c>
      <c r="Q1765">
        <v>0</v>
      </c>
      <c r="R1765" t="s">
        <v>31</v>
      </c>
      <c r="S1765" t="s">
        <v>31</v>
      </c>
      <c r="T1765" t="s">
        <v>32</v>
      </c>
      <c r="V1765" s="1" t="e">
        <v>#N/A</v>
      </c>
      <c r="W1765" t="s">
        <v>2729</v>
      </c>
      <c r="X1765">
        <v>0</v>
      </c>
      <c r="Y1765">
        <v>1257</v>
      </c>
      <c r="AA1765" t="str">
        <f t="shared" si="54"/>
        <v>update zamestnanci set nastup='108' where id='1861';</v>
      </c>
      <c r="AB1765" t="str">
        <f t="shared" si="55"/>
        <v>update dochazka set zastavka = '108' where zamestnanec = '1861';</v>
      </c>
    </row>
    <row r="1766" spans="1:28" x14ac:dyDescent="0.25">
      <c r="A1766" s="2">
        <v>1870</v>
      </c>
      <c r="B1766" t="s">
        <v>7873</v>
      </c>
      <c r="C1766" t="s">
        <v>569</v>
      </c>
      <c r="D1766" t="s">
        <v>7874</v>
      </c>
      <c r="E1766" t="s">
        <v>671</v>
      </c>
      <c r="F1766" t="s">
        <v>569</v>
      </c>
      <c r="G1766" s="1">
        <v>45932</v>
      </c>
      <c r="H1766" s="1">
        <v>45936</v>
      </c>
      <c r="I1766" s="1">
        <v>73050</v>
      </c>
      <c r="J1766" s="2" t="s">
        <v>2656</v>
      </c>
      <c r="K1766" t="s">
        <v>7875</v>
      </c>
      <c r="M1766" s="16" t="s">
        <v>8548</v>
      </c>
      <c r="N1766" s="16" t="str">
        <f>VLOOKUP(M1766,Tab_Zast[[Zastávka]:[Sloupec1]],2,0)</f>
        <v>108</v>
      </c>
      <c r="O1766" t="s">
        <v>7876</v>
      </c>
      <c r="P1766">
        <v>4</v>
      </c>
      <c r="Q1766">
        <v>0</v>
      </c>
      <c r="R1766" t="s">
        <v>31</v>
      </c>
      <c r="S1766" t="s">
        <v>31</v>
      </c>
      <c r="T1766" t="s">
        <v>32</v>
      </c>
      <c r="V1766" s="1" t="e">
        <v>#N/A</v>
      </c>
      <c r="W1766" t="s">
        <v>62</v>
      </c>
      <c r="X1766">
        <v>0</v>
      </c>
      <c r="Y1766">
        <v>0</v>
      </c>
      <c r="AA1766" t="str">
        <f t="shared" si="54"/>
        <v>update zamestnanci set nastup='108' where id='1870';</v>
      </c>
      <c r="AB1766" t="str">
        <f t="shared" si="55"/>
        <v>update dochazka set zastavka = '108' where zamestnanec = '1870';</v>
      </c>
    </row>
    <row r="1767" spans="1:28" x14ac:dyDescent="0.25">
      <c r="A1767" s="2">
        <v>1874</v>
      </c>
      <c r="B1767" t="s">
        <v>64</v>
      </c>
      <c r="C1767" t="s">
        <v>569</v>
      </c>
      <c r="D1767" t="s">
        <v>7890</v>
      </c>
      <c r="E1767" t="s">
        <v>7891</v>
      </c>
      <c r="F1767" t="s">
        <v>569</v>
      </c>
      <c r="G1767" s="1">
        <v>45934</v>
      </c>
      <c r="H1767" s="1">
        <v>45982</v>
      </c>
      <c r="I1767" s="1" t="e">
        <v>#N/A</v>
      </c>
      <c r="J1767" s="2" t="s">
        <v>2656</v>
      </c>
      <c r="K1767" t="s">
        <v>7892</v>
      </c>
      <c r="M1767" s="16" t="s">
        <v>8548</v>
      </c>
      <c r="N1767" s="16" t="str">
        <f>VLOOKUP(M1767,Tab_Zast[[Zastávka]:[Sloupec1]],2,0)</f>
        <v>108</v>
      </c>
      <c r="O1767" t="s">
        <v>7893</v>
      </c>
      <c r="P1767">
        <v>4</v>
      </c>
      <c r="Q1767">
        <v>0</v>
      </c>
      <c r="R1767" t="s">
        <v>31</v>
      </c>
      <c r="S1767" t="s">
        <v>179</v>
      </c>
      <c r="T1767" t="s">
        <v>32</v>
      </c>
      <c r="V1767" s="1" t="e">
        <v>#N/A</v>
      </c>
      <c r="W1767" t="s">
        <v>62</v>
      </c>
      <c r="X1767">
        <v>0</v>
      </c>
      <c r="Y1767">
        <v>1271</v>
      </c>
      <c r="AA1767" t="str">
        <f t="shared" si="54"/>
        <v>update zamestnanci set nastup='108' where id='1874';</v>
      </c>
      <c r="AB1767" t="str">
        <f t="shared" si="55"/>
        <v>update dochazka set zastavka = '108' where zamestnanec = '1874';</v>
      </c>
    </row>
    <row r="1768" spans="1:28" x14ac:dyDescent="0.25">
      <c r="A1768" s="2">
        <v>1941</v>
      </c>
      <c r="B1768" t="s">
        <v>8164</v>
      </c>
      <c r="C1768" t="s">
        <v>569</v>
      </c>
      <c r="D1768" t="s">
        <v>6573</v>
      </c>
      <c r="E1768" t="s">
        <v>3048</v>
      </c>
      <c r="F1768" t="s">
        <v>8164</v>
      </c>
      <c r="G1768" s="1">
        <v>45992</v>
      </c>
      <c r="H1768" s="1">
        <v>45994</v>
      </c>
      <c r="I1768" s="1" t="e">
        <v>#N/A</v>
      </c>
      <c r="J1768" s="2" t="s">
        <v>8493</v>
      </c>
      <c r="K1768" t="s">
        <v>8165</v>
      </c>
      <c r="M1768" s="16" t="s">
        <v>8494</v>
      </c>
      <c r="N1768" s="16" t="str">
        <f>VLOOKUP(M1768,Tab_Zast[[Zastávka]:[Sloupec1]],2,0)</f>
        <v>86</v>
      </c>
      <c r="O1768" t="s">
        <v>8166</v>
      </c>
      <c r="P1768">
        <v>1</v>
      </c>
      <c r="Q1768">
        <v>0</v>
      </c>
      <c r="R1768" t="s">
        <v>31</v>
      </c>
      <c r="S1768" t="s">
        <v>31</v>
      </c>
      <c r="T1768" t="s">
        <v>32</v>
      </c>
      <c r="V1768" s="1" t="e">
        <v>#N/A</v>
      </c>
      <c r="W1768" t="s">
        <v>47</v>
      </c>
      <c r="X1768">
        <v>0</v>
      </c>
      <c r="Y1768">
        <v>1356</v>
      </c>
      <c r="AA1768" t="str">
        <f t="shared" si="54"/>
        <v>update zamestnanci set nastup='86' where id='1941';</v>
      </c>
      <c r="AB1768" t="str">
        <f t="shared" si="55"/>
        <v>update dochazka set zastavka = '86' where zamestnanec = '1941';</v>
      </c>
    </row>
    <row r="1769" spans="1:28" x14ac:dyDescent="0.25">
      <c r="A1769" s="2">
        <v>1945</v>
      </c>
      <c r="B1769" t="s">
        <v>8178</v>
      </c>
      <c r="C1769" t="s">
        <v>357</v>
      </c>
      <c r="D1769" t="s">
        <v>8179</v>
      </c>
      <c r="E1769" t="s">
        <v>2096</v>
      </c>
      <c r="F1769" t="s">
        <v>8178</v>
      </c>
      <c r="G1769" s="1">
        <v>45993</v>
      </c>
      <c r="H1769" s="1" t="e">
        <v>#N/A</v>
      </c>
      <c r="I1769" s="1" t="e">
        <v>#N/A</v>
      </c>
      <c r="J1769" s="2" t="s">
        <v>2656</v>
      </c>
      <c r="K1769" t="s">
        <v>8180</v>
      </c>
      <c r="M1769" s="16" t="s">
        <v>8548</v>
      </c>
      <c r="N1769" s="16" t="str">
        <f>VLOOKUP(M1769,Tab_Zast[[Zastávka]:[Sloupec1]],2,0)</f>
        <v>108</v>
      </c>
      <c r="O1769" t="s">
        <v>8181</v>
      </c>
      <c r="P1769">
        <v>6</v>
      </c>
      <c r="Q1769">
        <v>0</v>
      </c>
      <c r="R1769" t="s">
        <v>129</v>
      </c>
      <c r="S1769" t="s">
        <v>31</v>
      </c>
      <c r="T1769" t="s">
        <v>32</v>
      </c>
      <c r="V1769" s="1" t="e">
        <v>#N/A</v>
      </c>
      <c r="W1769" t="s">
        <v>1216</v>
      </c>
      <c r="X1769">
        <v>1</v>
      </c>
      <c r="Y1769">
        <v>1362</v>
      </c>
      <c r="AA1769" t="str">
        <f t="shared" si="54"/>
        <v>update zamestnanci set nastup='108' where id='1945';</v>
      </c>
      <c r="AB1769" t="str">
        <f t="shared" si="55"/>
        <v>update dochazka set zastavka = '108' where zamestnanec = '1945';</v>
      </c>
    </row>
    <row r="1770" spans="1:28" x14ac:dyDescent="0.25">
      <c r="A1770" s="2">
        <v>1946</v>
      </c>
      <c r="B1770" t="s">
        <v>8182</v>
      </c>
      <c r="C1770" t="s">
        <v>569</v>
      </c>
      <c r="D1770" t="s">
        <v>8183</v>
      </c>
      <c r="E1770" t="s">
        <v>5991</v>
      </c>
      <c r="F1770" t="s">
        <v>8182</v>
      </c>
      <c r="G1770" s="1">
        <v>45992</v>
      </c>
      <c r="H1770" s="1" t="e">
        <v>#N/A</v>
      </c>
      <c r="I1770" s="1" t="e">
        <v>#N/A</v>
      </c>
      <c r="J1770" s="2" t="s">
        <v>8493</v>
      </c>
      <c r="K1770" t="s">
        <v>8184</v>
      </c>
      <c r="M1770" s="16" t="s">
        <v>8494</v>
      </c>
      <c r="N1770" s="16" t="str">
        <f>VLOOKUP(M1770,Tab_Zast[[Zastávka]:[Sloupec1]],2,0)</f>
        <v>86</v>
      </c>
      <c r="O1770" t="s">
        <v>8185</v>
      </c>
      <c r="P1770">
        <v>1</v>
      </c>
      <c r="Q1770">
        <v>0</v>
      </c>
      <c r="R1770" t="s">
        <v>129</v>
      </c>
      <c r="S1770" t="s">
        <v>31</v>
      </c>
      <c r="T1770" t="s">
        <v>32</v>
      </c>
      <c r="V1770" s="1" t="e">
        <v>#N/A</v>
      </c>
      <c r="W1770" t="s">
        <v>47</v>
      </c>
      <c r="X1770">
        <v>1</v>
      </c>
      <c r="Y1770">
        <v>1364</v>
      </c>
      <c r="AA1770" t="str">
        <f t="shared" si="54"/>
        <v>update zamestnanci set nastup='86' where id='1946';</v>
      </c>
      <c r="AB1770" t="str">
        <f t="shared" si="55"/>
        <v>update dochazka set zastavka = '86' where zamestnanec = '1946';</v>
      </c>
    </row>
  </sheetData>
  <autoFilter ref="A2:Z1770" xr:uid="{B906CBE0-F081-445B-B6FD-202FF52A38DB}"/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6D82E05-86FC-4596-B070-D954BF602C67}">
          <x14:formula1>
            <xm:f>zastavky!$C:$C</xm:f>
          </x14:formula1>
          <xm:sqref>M1771:M1772 M1019:M1026 M1357 M1186:M1202 M1229:M1230 M1233 M1446:M1447 M1274:M1275 M1293 M1338:M1339 M1028:M1034 M1037:M1040 M1044:M1051 M1053:M1088 M1090:M1107 M1113:M1116 M1118:M1121 M1123 M1125 M1127:M1145 M1148 M1150 M1152:M1156 M1158:M1165 M1168:M1169 M1175 M1177:M1179 M1181:M1183 M1204 M1206:M1207 M1219 M1222:M1226 M1240:M1241 M1244:M1245 M1251:M1253 M1258:M1259 M1266 M1269:M1270 M1272 M1278:M1279 M1282:M1286 M1288:M1289 M1291 M1298:M1299 M1301:M1305 M1315 M1335:M1336 M1353 M1362:M1363 M1366 M1369:M1371 M1373 M1377 M1379:M1380 M1383 M1392 M1404 M1406 M1415 M1420 M1429 M1432:M1433 M1450:M1452 M1454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AB03-16BE-4341-BCA3-19B8C62883CF}">
  <sheetPr>
    <tabColor rgb="FFFF0000"/>
  </sheetPr>
  <dimension ref="B1:H120"/>
  <sheetViews>
    <sheetView topLeftCell="A76" zoomScale="85" zoomScaleNormal="85" workbookViewId="0">
      <selection activeCell="C111" sqref="C111"/>
    </sheetView>
  </sheetViews>
  <sheetFormatPr defaultRowHeight="15" x14ac:dyDescent="0.25"/>
  <cols>
    <col min="2" max="2" width="8.85546875" style="11"/>
    <col min="3" max="3" width="87" bestFit="1" customWidth="1"/>
    <col min="6" max="6" width="23.85546875" bestFit="1" customWidth="1"/>
    <col min="7" max="7" width="47.28515625" bestFit="1" customWidth="1"/>
    <col min="8" max="8" width="44.5703125" customWidth="1"/>
  </cols>
  <sheetData>
    <row r="1" spans="2:8" x14ac:dyDescent="0.25">
      <c r="B1" s="3" t="s">
        <v>8245</v>
      </c>
      <c r="C1" s="4" t="s">
        <v>8246</v>
      </c>
      <c r="D1" t="s">
        <v>8247</v>
      </c>
      <c r="F1" t="s">
        <v>8248</v>
      </c>
      <c r="G1" t="s">
        <v>8249</v>
      </c>
      <c r="H1" t="s">
        <v>8250</v>
      </c>
    </row>
    <row r="2" spans="2:8" x14ac:dyDescent="0.25">
      <c r="B2" s="5" t="s">
        <v>8251</v>
      </c>
      <c r="C2" t="s">
        <v>8252</v>
      </c>
      <c r="D2" s="6" t="str">
        <f>Tab_Zast[[#This Row],[ID]]</f>
        <v>01</v>
      </c>
      <c r="F2" t="s">
        <v>8253</v>
      </c>
      <c r="G2" t="s">
        <v>8254</v>
      </c>
      <c r="H2" t="str">
        <f>F2&amp;", "&amp;G2</f>
        <v>Cieszyn, Brama Myta (dawne przejście graniczne)</v>
      </c>
    </row>
    <row r="3" spans="2:8" x14ac:dyDescent="0.25">
      <c r="B3" s="7" t="s">
        <v>8255</v>
      </c>
      <c r="C3" t="s">
        <v>8256</v>
      </c>
      <c r="D3" s="6" t="str">
        <f>Tab_Zast[[#This Row],[ID]]</f>
        <v>02</v>
      </c>
      <c r="F3" t="s">
        <v>8253</v>
      </c>
      <c r="G3" t="s">
        <v>8257</v>
      </c>
      <c r="H3" t="str">
        <f t="shared" ref="H3:H66" si="0">F3&amp;", "&amp;G3</f>
        <v>Cieszyn, McDonald's</v>
      </c>
    </row>
    <row r="4" spans="2:8" x14ac:dyDescent="0.25">
      <c r="B4" s="7" t="s">
        <v>8258</v>
      </c>
      <c r="C4" t="s">
        <v>8259</v>
      </c>
      <c r="D4" s="6" t="str">
        <f>Tab_Zast[[#This Row],[ID]]</f>
        <v>03</v>
      </c>
      <c r="F4" t="s">
        <v>8253</v>
      </c>
      <c r="G4" t="s">
        <v>8260</v>
      </c>
      <c r="H4" t="str">
        <f t="shared" si="0"/>
        <v>Cieszyn, ul. Katowicka (Cmentarz / Orlen / Biedronka)</v>
      </c>
    </row>
    <row r="5" spans="2:8" x14ac:dyDescent="0.25">
      <c r="B5" s="7" t="s">
        <v>8261</v>
      </c>
      <c r="C5" t="s">
        <v>8262</v>
      </c>
      <c r="D5" s="6" t="str">
        <f>Tab_Zast[[#This Row],[ID]]</f>
        <v>04</v>
      </c>
      <c r="F5" t="s">
        <v>8253</v>
      </c>
      <c r="G5" t="s">
        <v>8263</v>
      </c>
      <c r="H5" t="str">
        <f t="shared" si="0"/>
        <v>Cieszyn, ul. Liburnia (Kaufland)</v>
      </c>
    </row>
    <row r="6" spans="2:8" x14ac:dyDescent="0.25">
      <c r="B6" s="7" t="s">
        <v>8264</v>
      </c>
      <c r="C6" t="s">
        <v>8265</v>
      </c>
      <c r="D6" s="6" t="str">
        <f>Tab_Zast[[#This Row],[ID]]</f>
        <v>05</v>
      </c>
      <c r="F6" t="s">
        <v>8253</v>
      </c>
      <c r="G6" t="s">
        <v>8266</v>
      </c>
      <c r="H6" t="str">
        <f t="shared" si="0"/>
        <v>Cieszyn, ul. Liburnia (Kościół)</v>
      </c>
    </row>
    <row r="7" spans="2:8" x14ac:dyDescent="0.25">
      <c r="B7" s="7" t="s">
        <v>8267</v>
      </c>
      <c r="C7" t="s">
        <v>8268</v>
      </c>
      <c r="D7" s="6" t="str">
        <f>Tab_Zast[[#This Row],[ID]]</f>
        <v>06</v>
      </c>
      <c r="F7" t="s">
        <v>8253</v>
      </c>
      <c r="G7" t="s">
        <v>8269</v>
      </c>
      <c r="H7" t="str">
        <f t="shared" si="0"/>
        <v>Cieszyn, ul. Liburnia (Starostwo Powiatowe)</v>
      </c>
    </row>
    <row r="8" spans="2:8" x14ac:dyDescent="0.25">
      <c r="B8" s="7" t="s">
        <v>8270</v>
      </c>
      <c r="C8" t="s">
        <v>8271</v>
      </c>
      <c r="D8" s="6" t="str">
        <f>Tab_Zast[[#This Row],[ID]]</f>
        <v>07</v>
      </c>
      <c r="F8" t="s">
        <v>8253</v>
      </c>
      <c r="G8" t="s">
        <v>8272</v>
      </c>
      <c r="H8" t="str">
        <f t="shared" si="0"/>
        <v>Cieszyn, ul. Liburnia (Warsztat)</v>
      </c>
    </row>
    <row r="9" spans="2:8" x14ac:dyDescent="0.25">
      <c r="B9" s="7" t="s">
        <v>8273</v>
      </c>
      <c r="C9" t="s">
        <v>8274</v>
      </c>
      <c r="D9" s="6" t="str">
        <f>Tab_Zast[[#This Row],[ID]]</f>
        <v>08</v>
      </c>
      <c r="F9" t="s">
        <v>8253</v>
      </c>
      <c r="G9" t="s">
        <v>8275</v>
      </c>
      <c r="H9" t="str">
        <f t="shared" si="0"/>
        <v>Cieszyn, ul. Stawowa (Pastwiska)</v>
      </c>
    </row>
    <row r="10" spans="2:8" x14ac:dyDescent="0.25">
      <c r="B10" s="7" t="s">
        <v>8276</v>
      </c>
      <c r="C10" t="s">
        <v>8277</v>
      </c>
      <c r="D10" s="6" t="str">
        <f>Tab_Zast[[#This Row],[ID]]</f>
        <v>09</v>
      </c>
      <c r="F10" t="s">
        <v>8278</v>
      </c>
      <c r="G10" t="s">
        <v>8279</v>
      </c>
      <c r="H10" t="str">
        <f t="shared" si="0"/>
        <v>Frýdek-Místek (CZ), Stacja Benzina / KMJ</v>
      </c>
    </row>
    <row r="11" spans="2:8" x14ac:dyDescent="0.25">
      <c r="B11" s="7" t="s">
        <v>218</v>
      </c>
      <c r="C11" t="s">
        <v>8280</v>
      </c>
      <c r="D11" s="6" t="str">
        <f>Tab_Zast[[#This Row],[ID]]</f>
        <v>10</v>
      </c>
      <c r="F11" t="s">
        <v>8281</v>
      </c>
      <c r="G11" t="s">
        <v>8282</v>
      </c>
      <c r="H11" t="str">
        <f t="shared" si="0"/>
        <v>Gołkowice, ul. 1 Maja (Centrum)</v>
      </c>
    </row>
    <row r="12" spans="2:8" x14ac:dyDescent="0.25">
      <c r="B12" s="7" t="s">
        <v>8283</v>
      </c>
      <c r="C12" t="s">
        <v>8284</v>
      </c>
      <c r="D12" s="6" t="str">
        <f>Tab_Zast[[#This Row],[ID]]</f>
        <v>11</v>
      </c>
      <c r="F12" t="s">
        <v>8285</v>
      </c>
      <c r="G12" t="s">
        <v>8286</v>
      </c>
      <c r="H12" t="str">
        <f t="shared" si="0"/>
        <v>Gorzyce, Urząd Gminy</v>
      </c>
    </row>
    <row r="13" spans="2:8" x14ac:dyDescent="0.25">
      <c r="B13" s="7" t="s">
        <v>230</v>
      </c>
      <c r="C13" t="s">
        <v>8287</v>
      </c>
      <c r="D13" s="6" t="str">
        <f>Tab_Zast[[#This Row],[ID]]</f>
        <v>12</v>
      </c>
      <c r="F13" t="s">
        <v>8288</v>
      </c>
      <c r="G13" t="s">
        <v>8289</v>
      </c>
      <c r="H13" t="str">
        <f t="shared" si="0"/>
        <v>Gorzyczki, UNIWAR</v>
      </c>
    </row>
    <row r="14" spans="2:8" x14ac:dyDescent="0.25">
      <c r="B14" s="7" t="s">
        <v>8290</v>
      </c>
      <c r="C14" t="s">
        <v>8291</v>
      </c>
      <c r="D14" s="6" t="str">
        <f>Tab_Zast[[#This Row],[ID]]</f>
        <v>13</v>
      </c>
      <c r="F14" t="s">
        <v>8292</v>
      </c>
      <c r="G14" t="s">
        <v>8293</v>
      </c>
      <c r="H14" t="str">
        <f t="shared" si="0"/>
        <v>Hażlach, Centrum (Skrzyżowanie obok stacji Crab)</v>
      </c>
    </row>
    <row r="15" spans="2:8" x14ac:dyDescent="0.25">
      <c r="B15" s="7" t="s">
        <v>242</v>
      </c>
      <c r="C15" t="s">
        <v>8294</v>
      </c>
      <c r="D15" s="6" t="str">
        <f>Tab_Zast[[#This Row],[ID]]</f>
        <v>14</v>
      </c>
      <c r="F15" t="s">
        <v>8292</v>
      </c>
      <c r="G15" t="s">
        <v>8295</v>
      </c>
      <c r="H15" t="str">
        <f t="shared" si="0"/>
        <v>Hażlach, Restauracja Parkowa</v>
      </c>
    </row>
    <row r="16" spans="2:8" x14ac:dyDescent="0.25">
      <c r="B16" s="7" t="s">
        <v>8296</v>
      </c>
      <c r="C16" t="s">
        <v>8297</v>
      </c>
      <c r="D16" s="6" t="str">
        <f>Tab_Zast[[#This Row],[ID]]</f>
        <v>15</v>
      </c>
      <c r="F16" t="s">
        <v>8292</v>
      </c>
      <c r="G16" t="s">
        <v>8298</v>
      </c>
      <c r="H16" t="str">
        <f t="shared" si="0"/>
        <v>Hażlach, Sklep Gastronomia</v>
      </c>
    </row>
    <row r="17" spans="2:8" x14ac:dyDescent="0.25">
      <c r="B17" s="7" t="s">
        <v>8299</v>
      </c>
      <c r="C17" t="s">
        <v>8300</v>
      </c>
      <c r="D17" s="6" t="str">
        <f>Tab_Zast[[#This Row],[ID]]</f>
        <v>16</v>
      </c>
      <c r="F17" t="s">
        <v>8301</v>
      </c>
      <c r="G17" t="s">
        <v>8302</v>
      </c>
      <c r="H17" t="str">
        <f t="shared" si="0"/>
        <v>Jastrzębie-Zdrój, Al. Jana Pawła II (Hala Sportowa)</v>
      </c>
    </row>
    <row r="18" spans="2:8" x14ac:dyDescent="0.25">
      <c r="B18" s="7" t="s">
        <v>261</v>
      </c>
      <c r="C18" t="s">
        <v>8303</v>
      </c>
      <c r="D18" s="6" t="str">
        <f>Tab_Zast[[#This Row],[ID]]</f>
        <v>17</v>
      </c>
      <c r="F18" t="s">
        <v>8301</v>
      </c>
      <c r="G18" t="s">
        <v>8304</v>
      </c>
      <c r="H18" t="str">
        <f t="shared" si="0"/>
        <v>Jastrzębie-Zdrój, Al. Piłsudskiego (Dubielec)</v>
      </c>
    </row>
    <row r="19" spans="2:8" x14ac:dyDescent="0.25">
      <c r="B19" s="7" t="s">
        <v>267</v>
      </c>
      <c r="C19" t="s">
        <v>8305</v>
      </c>
      <c r="D19" s="6" t="str">
        <f>Tab_Zast[[#This Row],[ID]]</f>
        <v>18</v>
      </c>
      <c r="F19" t="s">
        <v>8301</v>
      </c>
      <c r="G19" t="s">
        <v>8306</v>
      </c>
      <c r="H19" t="str">
        <f t="shared" si="0"/>
        <v>Jastrzębie-Zdrój, Al. Piłsudskiego (McDonald's)</v>
      </c>
    </row>
    <row r="20" spans="2:8" x14ac:dyDescent="0.25">
      <c r="B20" s="7" t="s">
        <v>1804</v>
      </c>
      <c r="C20" t="s">
        <v>8307</v>
      </c>
      <c r="D20" s="6" t="str">
        <f>Tab_Zast[[#This Row],[ID]]</f>
        <v>19</v>
      </c>
      <c r="F20" t="s">
        <v>8301</v>
      </c>
      <c r="G20" t="s">
        <v>8308</v>
      </c>
      <c r="H20" t="str">
        <f t="shared" si="0"/>
        <v>Jastrzębie-Zdrój, Al. Piłsudskiego (Osiedle Gwarków)</v>
      </c>
    </row>
    <row r="21" spans="2:8" x14ac:dyDescent="0.25">
      <c r="B21" s="7" t="s">
        <v>8309</v>
      </c>
      <c r="C21" t="s">
        <v>8310</v>
      </c>
      <c r="D21" s="6" t="str">
        <f>Tab_Zast[[#This Row],[ID]]</f>
        <v>20</v>
      </c>
      <c r="F21" t="s">
        <v>8301</v>
      </c>
      <c r="G21" t="s">
        <v>8311</v>
      </c>
      <c r="H21" t="str">
        <f t="shared" si="0"/>
        <v>Jastrzębie-Zdrój, Al. Piłsudskiego (Osiedle Pionierów)</v>
      </c>
    </row>
    <row r="22" spans="2:8" x14ac:dyDescent="0.25">
      <c r="B22" s="7" t="s">
        <v>288</v>
      </c>
      <c r="C22" t="s">
        <v>8312</v>
      </c>
      <c r="D22" s="6" t="str">
        <f>Tab_Zast[[#This Row],[ID]]</f>
        <v>21</v>
      </c>
      <c r="F22" t="s">
        <v>8301</v>
      </c>
      <c r="G22" t="s">
        <v>8313</v>
      </c>
      <c r="H22" t="str">
        <f t="shared" si="0"/>
        <v>Jastrzębie-Zdrój, Al. Piłsudskiego (Osiedle Staszica)</v>
      </c>
    </row>
    <row r="23" spans="2:8" x14ac:dyDescent="0.25">
      <c r="B23" s="7" t="s">
        <v>294</v>
      </c>
      <c r="C23" t="s">
        <v>8314</v>
      </c>
      <c r="D23" s="6" t="str">
        <f>Tab_Zast[[#This Row],[ID]]</f>
        <v>22</v>
      </c>
      <c r="F23" t="s">
        <v>8301</v>
      </c>
      <c r="G23" t="s">
        <v>8315</v>
      </c>
      <c r="H23" t="str">
        <f t="shared" si="0"/>
        <v>Jastrzębie-Zdrój, Al. Piłsudskiego (Pszczyńska/Rybnicka)</v>
      </c>
    </row>
    <row r="24" spans="2:8" x14ac:dyDescent="0.25">
      <c r="B24" s="7" t="s">
        <v>300</v>
      </c>
      <c r="C24" t="s">
        <v>8316</v>
      </c>
      <c r="D24" s="6" t="str">
        <f>Tab_Zast[[#This Row],[ID]]</f>
        <v>23</v>
      </c>
      <c r="F24" t="s">
        <v>8301</v>
      </c>
      <c r="G24" t="s">
        <v>8317</v>
      </c>
      <c r="H24" t="str">
        <f t="shared" si="0"/>
        <v>Jastrzębie-Zdrój, Al. Piłsudskiego (Rondo Dolne)</v>
      </c>
    </row>
    <row r="25" spans="2:8" x14ac:dyDescent="0.25">
      <c r="B25" s="7" t="s">
        <v>8318</v>
      </c>
      <c r="C25" t="s">
        <v>8319</v>
      </c>
      <c r="D25" s="6" t="str">
        <f>Tab_Zast[[#This Row],[ID]]</f>
        <v>24</v>
      </c>
      <c r="F25" t="s">
        <v>8301</v>
      </c>
      <c r="G25" t="s">
        <v>8320</v>
      </c>
      <c r="H25" t="str">
        <f t="shared" si="0"/>
        <v>Jastrzębie-Zdrój, Al. Piłsudskiego (Supersam/Kaufland)</v>
      </c>
    </row>
    <row r="26" spans="2:8" x14ac:dyDescent="0.25">
      <c r="B26" s="7" t="s">
        <v>8321</v>
      </c>
      <c r="C26" t="s">
        <v>8322</v>
      </c>
      <c r="D26" s="6" t="str">
        <f>Tab_Zast[[#This Row],[ID]]</f>
        <v>25</v>
      </c>
      <c r="F26" t="s">
        <v>8301</v>
      </c>
      <c r="G26" t="s">
        <v>8323</v>
      </c>
      <c r="H26" t="str">
        <f t="shared" si="0"/>
        <v>Jastrzębie-Zdrój, Al. Piłsudskiego (Urząd Miasta)</v>
      </c>
    </row>
    <row r="27" spans="2:8" x14ac:dyDescent="0.25">
      <c r="B27" s="7" t="s">
        <v>324</v>
      </c>
      <c r="C27" t="s">
        <v>8324</v>
      </c>
      <c r="D27" s="6" t="str">
        <f>Tab_Zast[[#This Row],[ID]]</f>
        <v>26</v>
      </c>
      <c r="F27" t="s">
        <v>8301</v>
      </c>
      <c r="G27" t="s">
        <v>8325</v>
      </c>
      <c r="H27" t="str">
        <f t="shared" si="0"/>
        <v>Jastrzębie-Zdrój, Armii Krajowej</v>
      </c>
    </row>
    <row r="28" spans="2:8" x14ac:dyDescent="0.25">
      <c r="B28" s="7" t="s">
        <v>330</v>
      </c>
      <c r="C28" t="s">
        <v>8326</v>
      </c>
      <c r="D28" s="6" t="str">
        <f>Tab_Zast[[#This Row],[ID]]</f>
        <v>27</v>
      </c>
      <c r="F28" t="s">
        <v>8301</v>
      </c>
      <c r="G28" t="s">
        <v>8327</v>
      </c>
      <c r="H28" t="str">
        <f t="shared" si="0"/>
        <v>Jastrzębie-Zdrój, Dworzec Autobusowy (ul. Sybiraków - Mała Strona)</v>
      </c>
    </row>
    <row r="29" spans="2:8" x14ac:dyDescent="0.25">
      <c r="B29" s="7" t="s">
        <v>8328</v>
      </c>
      <c r="C29" t="s">
        <v>8329</v>
      </c>
      <c r="D29" s="6" t="str">
        <f>Tab_Zast[[#This Row],[ID]]</f>
        <v>28</v>
      </c>
      <c r="F29" t="s">
        <v>8301</v>
      </c>
      <c r="G29" t="s">
        <v>8330</v>
      </c>
      <c r="H29" t="str">
        <f t="shared" si="0"/>
        <v>Jastrzębie-Zdrój, Dworzec Zdrój (ul. Broniewskiego)</v>
      </c>
    </row>
    <row r="30" spans="2:8" x14ac:dyDescent="0.25">
      <c r="B30" s="7" t="s">
        <v>8331</v>
      </c>
      <c r="C30" t="s">
        <v>8332</v>
      </c>
      <c r="D30" s="6" t="str">
        <f>Tab_Zast[[#This Row],[ID]]</f>
        <v>29</v>
      </c>
      <c r="F30" t="s">
        <v>8301</v>
      </c>
      <c r="G30" t="s">
        <v>8333</v>
      </c>
      <c r="H30" t="str">
        <f t="shared" si="0"/>
        <v>Jastrzębie-Zdrój, Górne</v>
      </c>
    </row>
    <row r="31" spans="2:8" x14ac:dyDescent="0.25">
      <c r="B31" s="7" t="s">
        <v>348</v>
      </c>
      <c r="C31" t="s">
        <v>8334</v>
      </c>
      <c r="D31" s="6" t="str">
        <f>Tab_Zast[[#This Row],[ID]]</f>
        <v>30</v>
      </c>
      <c r="F31" t="s">
        <v>8301</v>
      </c>
      <c r="G31" t="s">
        <v>8335</v>
      </c>
      <c r="H31" t="str">
        <f t="shared" si="0"/>
        <v>Jastrzębie-Zdrój, Małopolska</v>
      </c>
    </row>
    <row r="32" spans="2:8" x14ac:dyDescent="0.25">
      <c r="B32" s="7" t="s">
        <v>8336</v>
      </c>
      <c r="C32" t="s">
        <v>8337</v>
      </c>
      <c r="D32" s="6" t="str">
        <f>Tab_Zast[[#This Row],[ID]]</f>
        <v>31</v>
      </c>
      <c r="F32" t="s">
        <v>8301</v>
      </c>
      <c r="G32" t="s">
        <v>8338</v>
      </c>
      <c r="H32" t="str">
        <f t="shared" si="0"/>
        <v>Jastrzębie-Zdrój, Moszczenica (Urząd Miasta/Zdrój)</v>
      </c>
    </row>
    <row r="33" spans="2:8" x14ac:dyDescent="0.25">
      <c r="B33" s="7" t="s">
        <v>360</v>
      </c>
      <c r="C33" t="s">
        <v>8339</v>
      </c>
      <c r="D33" s="6" t="str">
        <f>Tab_Zast[[#This Row],[ID]]</f>
        <v>32</v>
      </c>
      <c r="F33" t="s">
        <v>8301</v>
      </c>
      <c r="G33" t="s">
        <v>8340</v>
      </c>
      <c r="H33" t="str">
        <f t="shared" si="0"/>
        <v>Jastrzębie-Zdrój, Podhalańska (Wodociągi)</v>
      </c>
    </row>
    <row r="34" spans="2:8" x14ac:dyDescent="0.25">
      <c r="B34" s="7" t="s">
        <v>366</v>
      </c>
      <c r="C34" t="s">
        <v>8341</v>
      </c>
      <c r="D34" s="6" t="str">
        <f>Tab_Zast[[#This Row],[ID]]</f>
        <v>33</v>
      </c>
      <c r="F34" t="s">
        <v>8301</v>
      </c>
      <c r="G34" t="s">
        <v>8342</v>
      </c>
      <c r="H34" t="str">
        <f t="shared" si="0"/>
        <v>Jastrzębie-Zdrój, Ranoszka</v>
      </c>
    </row>
    <row r="35" spans="2:8" x14ac:dyDescent="0.25">
      <c r="B35" s="7" t="s">
        <v>372</v>
      </c>
      <c r="C35" t="s">
        <v>8343</v>
      </c>
      <c r="D35" s="6" t="str">
        <f>Tab_Zast[[#This Row],[ID]]</f>
        <v>34</v>
      </c>
      <c r="F35" t="s">
        <v>8301</v>
      </c>
      <c r="G35" t="s">
        <v>8344</v>
      </c>
      <c r="H35" t="str">
        <f t="shared" si="0"/>
        <v>Jastrzębie-Zdrój, Ruptawa (Cisówka)</v>
      </c>
    </row>
    <row r="36" spans="2:8" x14ac:dyDescent="0.25">
      <c r="B36" s="7" t="s">
        <v>8345</v>
      </c>
      <c r="C36" t="s">
        <v>8346</v>
      </c>
      <c r="D36" s="6" t="str">
        <f>Tab_Zast[[#This Row],[ID]]</f>
        <v>35</v>
      </c>
      <c r="F36" t="s">
        <v>8301</v>
      </c>
      <c r="G36" t="s">
        <v>8347</v>
      </c>
      <c r="H36" t="str">
        <f t="shared" si="0"/>
        <v>Jastrzębie-Zdrój, Ruptawa (Ośrodek Zdrowia)</v>
      </c>
    </row>
    <row r="37" spans="2:8" x14ac:dyDescent="0.25">
      <c r="B37" s="7" t="s">
        <v>8348</v>
      </c>
      <c r="C37" t="s">
        <v>8349</v>
      </c>
      <c r="D37" s="6" t="str">
        <f>Tab_Zast[[#This Row],[ID]]</f>
        <v>36</v>
      </c>
      <c r="F37" t="s">
        <v>8301</v>
      </c>
      <c r="G37" t="s">
        <v>8350</v>
      </c>
      <c r="H37" t="str">
        <f t="shared" si="0"/>
        <v>Jastrzębie-Zdrój, Szeroka (Kaplica)</v>
      </c>
    </row>
    <row r="38" spans="2:8" x14ac:dyDescent="0.25">
      <c r="B38" s="7" t="s">
        <v>390</v>
      </c>
      <c r="C38" t="s">
        <v>8351</v>
      </c>
      <c r="D38" s="6" t="str">
        <f>Tab_Zast[[#This Row],[ID]]</f>
        <v>37</v>
      </c>
      <c r="F38" t="s">
        <v>8301</v>
      </c>
      <c r="G38" t="s">
        <v>8352</v>
      </c>
      <c r="H38" t="str">
        <f t="shared" si="0"/>
        <v>Jastrzębie-Zdrój, Szeroka (Kościół)</v>
      </c>
    </row>
    <row r="39" spans="2:8" x14ac:dyDescent="0.25">
      <c r="B39" s="7" t="s">
        <v>8353</v>
      </c>
      <c r="C39" t="s">
        <v>8354</v>
      </c>
      <c r="D39" s="6" t="str">
        <f>Tab_Zast[[#This Row],[ID]]</f>
        <v>38</v>
      </c>
      <c r="F39" t="s">
        <v>8301</v>
      </c>
      <c r="G39" t="s">
        <v>8355</v>
      </c>
      <c r="H39" t="str">
        <f t="shared" si="0"/>
        <v>Jastrzębie-Zdrój, Szeroka (ul. Gagarina)</v>
      </c>
    </row>
    <row r="40" spans="2:8" x14ac:dyDescent="0.25">
      <c r="B40" s="7" t="s">
        <v>8356</v>
      </c>
      <c r="C40" t="s">
        <v>8357</v>
      </c>
      <c r="D40" s="6" t="str">
        <f>Tab_Zast[[#This Row],[ID]]</f>
        <v>39</v>
      </c>
      <c r="F40" t="s">
        <v>8301</v>
      </c>
      <c r="G40" t="s">
        <v>8358</v>
      </c>
      <c r="H40" t="str">
        <f t="shared" si="0"/>
        <v>Jastrzębie-Zdrój, Szeroka (ul. Powstańców Śląskich/Biedronka)</v>
      </c>
    </row>
    <row r="41" spans="2:8" x14ac:dyDescent="0.25">
      <c r="B41" s="7" t="s">
        <v>408</v>
      </c>
      <c r="C41" t="s">
        <v>8359</v>
      </c>
      <c r="D41" s="6" t="str">
        <f>Tab_Zast[[#This Row],[ID]]</f>
        <v>40</v>
      </c>
      <c r="F41" t="s">
        <v>8301</v>
      </c>
      <c r="G41" t="s">
        <v>8360</v>
      </c>
      <c r="H41" t="str">
        <f t="shared" si="0"/>
        <v>Jastrzębie-Zdrój, Szeroka (ul. Rybnicka)</v>
      </c>
    </row>
    <row r="42" spans="2:8" x14ac:dyDescent="0.25">
      <c r="B42" s="7" t="s">
        <v>413</v>
      </c>
      <c r="C42" t="s">
        <v>8361</v>
      </c>
      <c r="D42" s="6" t="str">
        <f>Tab_Zast[[#This Row],[ID]]</f>
        <v>41</v>
      </c>
      <c r="F42" t="s">
        <v>8301</v>
      </c>
      <c r="G42" t="s">
        <v>8362</v>
      </c>
      <c r="H42" t="str">
        <f t="shared" si="0"/>
        <v>Jastrzębie-Zdrój, ul. 11 Listopada (Urząd Skarbowy)</v>
      </c>
    </row>
    <row r="43" spans="2:8" x14ac:dyDescent="0.25">
      <c r="B43" s="7" t="s">
        <v>419</v>
      </c>
      <c r="C43" t="s">
        <v>8363</v>
      </c>
      <c r="D43" s="6" t="str">
        <f>Tab_Zast[[#This Row],[ID]]</f>
        <v>42</v>
      </c>
      <c r="F43" t="s">
        <v>8301</v>
      </c>
      <c r="G43" t="s">
        <v>8364</v>
      </c>
      <c r="H43" t="str">
        <f t="shared" si="0"/>
        <v>Jastrzębie-Zdrój, ul. Arki Bożka</v>
      </c>
    </row>
    <row r="44" spans="2:8" x14ac:dyDescent="0.25">
      <c r="B44" s="7" t="s">
        <v>8365</v>
      </c>
      <c r="C44" t="s">
        <v>8366</v>
      </c>
      <c r="D44" s="6" t="str">
        <f>Tab_Zast[[#This Row],[ID]]</f>
        <v>43</v>
      </c>
      <c r="F44" t="s">
        <v>8301</v>
      </c>
      <c r="G44" t="s">
        <v>8367</v>
      </c>
      <c r="H44" t="str">
        <f t="shared" si="0"/>
        <v>Jastrzębie-Zdrój, ul. Cieszyńska (Bzie)</v>
      </c>
    </row>
    <row r="45" spans="2:8" x14ac:dyDescent="0.25">
      <c r="B45" s="7" t="s">
        <v>8368</v>
      </c>
      <c r="C45" t="s">
        <v>8369</v>
      </c>
      <c r="D45" s="6" t="str">
        <f>Tab_Zast[[#This Row],[ID]]</f>
        <v>44</v>
      </c>
      <c r="F45" t="s">
        <v>8301</v>
      </c>
      <c r="G45" t="s">
        <v>8370</v>
      </c>
      <c r="H45" t="str">
        <f t="shared" si="0"/>
        <v>Jastrzębie-Zdrój, ul. Graniczna (Stacja Paliw)</v>
      </c>
    </row>
    <row r="46" spans="2:8" x14ac:dyDescent="0.25">
      <c r="B46" s="7" t="s">
        <v>437</v>
      </c>
      <c r="C46" t="s">
        <v>8371</v>
      </c>
      <c r="D46" s="6" t="str">
        <f>Tab_Zast[[#This Row],[ID]]</f>
        <v>45</v>
      </c>
      <c r="F46" t="s">
        <v>8301</v>
      </c>
      <c r="G46" t="s">
        <v>8372</v>
      </c>
      <c r="H46" t="str">
        <f t="shared" si="0"/>
        <v>Jastrzębie-Zdrój, ul. Jagiełły (OD Krokus)</v>
      </c>
    </row>
    <row r="47" spans="2:8" x14ac:dyDescent="0.25">
      <c r="B47" s="7" t="s">
        <v>8373</v>
      </c>
      <c r="C47" t="s">
        <v>8374</v>
      </c>
      <c r="D47" s="6" t="str">
        <f>Tab_Zast[[#This Row],[ID]]</f>
        <v>46</v>
      </c>
      <c r="F47" t="s">
        <v>8301</v>
      </c>
      <c r="G47" t="s">
        <v>8375</v>
      </c>
      <c r="H47" t="str">
        <f t="shared" si="0"/>
        <v>Jastrzębie-Zdrój, ul. Katowicka</v>
      </c>
    </row>
    <row r="48" spans="2:8" x14ac:dyDescent="0.25">
      <c r="B48" s="7" t="s">
        <v>449</v>
      </c>
      <c r="C48" t="s">
        <v>8376</v>
      </c>
      <c r="D48" s="6" t="str">
        <f>Tab_Zast[[#This Row],[ID]]</f>
        <v>47</v>
      </c>
      <c r="F48" t="s">
        <v>8301</v>
      </c>
      <c r="G48" t="s">
        <v>8377</v>
      </c>
      <c r="H48" t="str">
        <f t="shared" si="0"/>
        <v>Jastrzębie-Zdrój, ul. Turystyczna</v>
      </c>
    </row>
    <row r="49" spans="2:8" x14ac:dyDescent="0.25">
      <c r="B49" s="7" t="s">
        <v>8378</v>
      </c>
      <c r="C49" t="s">
        <v>8379</v>
      </c>
      <c r="D49" s="6" t="str">
        <f>Tab_Zast[[#This Row],[ID]]</f>
        <v>48</v>
      </c>
      <c r="F49" t="s">
        <v>8301</v>
      </c>
      <c r="G49" t="s">
        <v>8380</v>
      </c>
      <c r="H49" t="str">
        <f t="shared" si="0"/>
        <v>Jastrzębie-Zdrój, ul. Wodzisławska (Hotel Czarny Rycerz)</v>
      </c>
    </row>
    <row r="50" spans="2:8" x14ac:dyDescent="0.25">
      <c r="B50" s="7" t="s">
        <v>1326</v>
      </c>
      <c r="C50" t="s">
        <v>8381</v>
      </c>
      <c r="D50" s="6" t="str">
        <f>Tab_Zast[[#This Row],[ID]]</f>
        <v>49</v>
      </c>
      <c r="F50" t="s">
        <v>8301</v>
      </c>
      <c r="G50" t="s">
        <v>8382</v>
      </c>
      <c r="H50" t="str">
        <f t="shared" si="0"/>
        <v>Jastrzębie-Zdrój, ul. Zdrojowa</v>
      </c>
    </row>
    <row r="51" spans="2:8" x14ac:dyDescent="0.25">
      <c r="B51" s="7" t="s">
        <v>8383</v>
      </c>
      <c r="C51" t="s">
        <v>8384</v>
      </c>
      <c r="D51" s="6" t="str">
        <f>Tab_Zast[[#This Row],[ID]]</f>
        <v>50</v>
      </c>
      <c r="F51" t="s">
        <v>8301</v>
      </c>
      <c r="G51" t="s">
        <v>8385</v>
      </c>
      <c r="H51" t="str">
        <f t="shared" si="0"/>
        <v>Jastrzębie-Zdrój, Zofiówka (Kopalnia)</v>
      </c>
    </row>
    <row r="52" spans="2:8" x14ac:dyDescent="0.25">
      <c r="B52" s="7" t="s">
        <v>476</v>
      </c>
      <c r="C52" t="s">
        <v>8386</v>
      </c>
      <c r="D52" s="6" t="str">
        <f>Tab_Zast[[#This Row],[ID]]</f>
        <v>51</v>
      </c>
      <c r="F52" t="s">
        <v>8387</v>
      </c>
      <c r="G52" t="s">
        <v>8388</v>
      </c>
      <c r="H52" t="str">
        <f t="shared" si="0"/>
        <v>Karwina (CZ), Frysztat (Dworzec Autobusowy)</v>
      </c>
    </row>
    <row r="53" spans="2:8" x14ac:dyDescent="0.25">
      <c r="B53" s="7" t="s">
        <v>487</v>
      </c>
      <c r="C53" t="s">
        <v>8389</v>
      </c>
      <c r="D53" s="6" t="str">
        <f>Tab_Zast[[#This Row],[ID]]</f>
        <v>52</v>
      </c>
      <c r="F53" t="s">
        <v>8390</v>
      </c>
      <c r="G53" t="s">
        <v>8391</v>
      </c>
      <c r="H53" t="str">
        <f t="shared" si="0"/>
        <v>Kończyce Małe, Sklep</v>
      </c>
    </row>
    <row r="54" spans="2:8" x14ac:dyDescent="0.25">
      <c r="B54" s="7" t="s">
        <v>8392</v>
      </c>
      <c r="C54" t="s">
        <v>8393</v>
      </c>
      <c r="D54" s="6" t="str">
        <f>Tab_Zast[[#This Row],[ID]]</f>
        <v>53</v>
      </c>
      <c r="F54" t="s">
        <v>8390</v>
      </c>
      <c r="G54" t="s">
        <v>8394</v>
      </c>
      <c r="H54" t="str">
        <f t="shared" si="0"/>
        <v>Kończyce Małe, Skrzyżowanie</v>
      </c>
    </row>
    <row r="55" spans="2:8" x14ac:dyDescent="0.25">
      <c r="B55" s="7" t="s">
        <v>500</v>
      </c>
      <c r="C55" t="s">
        <v>8395</v>
      </c>
      <c r="D55" s="6" t="str">
        <f>Tab_Zast[[#This Row],[ID]]</f>
        <v>54</v>
      </c>
      <c r="F55" t="s">
        <v>8390</v>
      </c>
      <c r="G55" t="s">
        <v>8396</v>
      </c>
      <c r="H55" t="str">
        <f t="shared" si="0"/>
        <v>Kończyce Małe, Szkoła</v>
      </c>
    </row>
    <row r="56" spans="2:8" x14ac:dyDescent="0.25">
      <c r="B56" s="7" t="s">
        <v>506</v>
      </c>
      <c r="C56" t="s">
        <v>8397</v>
      </c>
      <c r="D56" s="6" t="str">
        <f>Tab_Zast[[#This Row],[ID]]</f>
        <v>55</v>
      </c>
      <c r="F56" t="s">
        <v>8398</v>
      </c>
      <c r="G56" t="s">
        <v>8399</v>
      </c>
      <c r="H56" t="str">
        <f t="shared" si="0"/>
        <v>Kończyce Wielkie, Odnóżka</v>
      </c>
    </row>
    <row r="57" spans="2:8" x14ac:dyDescent="0.25">
      <c r="B57" s="7" t="s">
        <v>8400</v>
      </c>
      <c r="C57" t="s">
        <v>8401</v>
      </c>
      <c r="D57" s="6" t="str">
        <f>Tab_Zast[[#This Row],[ID]]</f>
        <v>56</v>
      </c>
      <c r="F57" t="s">
        <v>8398</v>
      </c>
      <c r="G57" t="s">
        <v>8402</v>
      </c>
      <c r="H57" t="str">
        <f t="shared" si="0"/>
        <v>Kończyce Wielkie, Ośrodek Zdrowia</v>
      </c>
    </row>
    <row r="58" spans="2:8" x14ac:dyDescent="0.25">
      <c r="B58" s="7" t="s">
        <v>8403</v>
      </c>
      <c r="C58" t="s">
        <v>8404</v>
      </c>
      <c r="D58" s="6" t="str">
        <f>Tab_Zast[[#This Row],[ID]]</f>
        <v>57</v>
      </c>
      <c r="F58" t="s">
        <v>8398</v>
      </c>
      <c r="G58" t="s">
        <v>8405</v>
      </c>
      <c r="H58" t="str">
        <f t="shared" si="0"/>
        <v>Kończyce Wielkie, Spółdzielnia</v>
      </c>
    </row>
    <row r="59" spans="2:8" x14ac:dyDescent="0.25">
      <c r="B59" s="7" t="s">
        <v>8406</v>
      </c>
      <c r="C59" t="s">
        <v>8407</v>
      </c>
      <c r="D59" s="6" t="str">
        <f>Tab_Zast[[#This Row],[ID]]</f>
        <v>58</v>
      </c>
      <c r="F59" t="s">
        <v>8408</v>
      </c>
      <c r="G59" t="s">
        <v>8289</v>
      </c>
      <c r="H59" t="str">
        <f t="shared" si="0"/>
        <v>Łaziska, UNIWAR</v>
      </c>
    </row>
    <row r="60" spans="2:8" x14ac:dyDescent="0.25">
      <c r="B60" s="7" t="s">
        <v>8409</v>
      </c>
      <c r="C60" t="s">
        <v>8410</v>
      </c>
      <c r="D60" s="6" t="str">
        <f>Tab_Zast[[#This Row],[ID]]</f>
        <v>59</v>
      </c>
      <c r="F60" t="s">
        <v>8411</v>
      </c>
      <c r="G60" t="s">
        <v>8412</v>
      </c>
      <c r="H60" t="str">
        <f t="shared" si="0"/>
        <v>Mszana, Centrum / Urząd Gminy</v>
      </c>
    </row>
    <row r="61" spans="2:8" x14ac:dyDescent="0.25">
      <c r="B61" s="7" t="s">
        <v>8413</v>
      </c>
      <c r="C61" t="s">
        <v>8414</v>
      </c>
      <c r="D61" s="6" t="str">
        <f>Tab_Zast[[#This Row],[ID]]</f>
        <v>60</v>
      </c>
      <c r="F61" t="s">
        <v>8415</v>
      </c>
      <c r="G61" t="s">
        <v>8416</v>
      </c>
      <c r="H61" t="str">
        <f t="shared" si="0"/>
        <v>Ostrava (CZ), Dřevoprodej</v>
      </c>
    </row>
    <row r="62" spans="2:8" x14ac:dyDescent="0.25">
      <c r="B62" s="7" t="s">
        <v>549</v>
      </c>
      <c r="C62" t="s">
        <v>8417</v>
      </c>
      <c r="D62" s="6" t="str">
        <f>Tab_Zast[[#This Row],[ID]]</f>
        <v>61</v>
      </c>
      <c r="F62" t="s">
        <v>8418</v>
      </c>
      <c r="G62" t="s">
        <v>8419</v>
      </c>
      <c r="H62" t="str">
        <f t="shared" si="0"/>
        <v>Piotrowice / Petrovice (CZ), Przejście graniczne</v>
      </c>
    </row>
    <row r="63" spans="2:8" x14ac:dyDescent="0.25">
      <c r="B63" s="7" t="s">
        <v>555</v>
      </c>
      <c r="C63" t="s">
        <v>8420</v>
      </c>
      <c r="D63" s="6" t="str">
        <f>Tab_Zast[[#This Row],[ID]]</f>
        <v>62</v>
      </c>
      <c r="F63" t="s">
        <v>8421</v>
      </c>
      <c r="G63" t="s">
        <v>8422</v>
      </c>
      <c r="H63" t="str">
        <f t="shared" si="0"/>
        <v>Radlin, Korfantego (Centrum)</v>
      </c>
    </row>
    <row r="64" spans="2:8" x14ac:dyDescent="0.25">
      <c r="B64" s="7" t="s">
        <v>8423</v>
      </c>
      <c r="C64" t="s">
        <v>8424</v>
      </c>
      <c r="D64" s="6" t="str">
        <f>Tab_Zast[[#This Row],[ID]]</f>
        <v>63</v>
      </c>
      <c r="F64" t="s">
        <v>8421</v>
      </c>
      <c r="G64" t="s">
        <v>8425</v>
      </c>
      <c r="H64" t="str">
        <f t="shared" si="0"/>
        <v>Radlin, Maja (Dworzec Autobusowy/KWK)</v>
      </c>
    </row>
    <row r="65" spans="2:8" x14ac:dyDescent="0.25">
      <c r="B65" s="7" t="s">
        <v>8426</v>
      </c>
      <c r="C65" t="s">
        <v>8427</v>
      </c>
      <c r="D65" s="6" t="str">
        <f>Tab_Zast[[#This Row],[ID]]</f>
        <v>67</v>
      </c>
      <c r="F65" t="s">
        <v>8428</v>
      </c>
      <c r="G65" t="s">
        <v>8429</v>
      </c>
      <c r="H65" t="str">
        <f t="shared" si="0"/>
        <v>Rydułtowy, Dworzec Autobusowy</v>
      </c>
    </row>
    <row r="66" spans="2:8" x14ac:dyDescent="0.25">
      <c r="B66" s="7" t="s">
        <v>8430</v>
      </c>
      <c r="C66" t="s">
        <v>8431</v>
      </c>
      <c r="D66" s="6" t="str">
        <f>Tab_Zast[[#This Row],[ID]]</f>
        <v>69</v>
      </c>
      <c r="F66" t="s">
        <v>8428</v>
      </c>
      <c r="G66" t="s">
        <v>8432</v>
      </c>
      <c r="H66" t="str">
        <f t="shared" si="0"/>
        <v>Rydułtowy, Orłowiec</v>
      </c>
    </row>
    <row r="67" spans="2:8" x14ac:dyDescent="0.25">
      <c r="B67" s="7" t="s">
        <v>8433</v>
      </c>
      <c r="C67" t="s">
        <v>8434</v>
      </c>
      <c r="D67" s="6" t="str">
        <f>Tab_Zast[[#This Row],[ID]]</f>
        <v>68</v>
      </c>
      <c r="F67" t="s">
        <v>8428</v>
      </c>
      <c r="G67" t="s">
        <v>8435</v>
      </c>
      <c r="H67" t="str">
        <f t="shared" ref="H67:H120" si="1">F67&amp;", "&amp;G67</f>
        <v>Rydułtowy, ul. Ładna (McDonald's)</v>
      </c>
    </row>
    <row r="68" spans="2:8" x14ac:dyDescent="0.25">
      <c r="B68" s="7" t="s">
        <v>8436</v>
      </c>
      <c r="C68" t="s">
        <v>8437</v>
      </c>
      <c r="D68" s="6" t="str">
        <f>Tab_Zast[[#This Row],[ID]]</f>
        <v>70</v>
      </c>
      <c r="F68" t="s">
        <v>8438</v>
      </c>
      <c r="G68" t="s">
        <v>8439</v>
      </c>
      <c r="H68" t="str">
        <f t="shared" si="1"/>
        <v>Rybnik, Boguszowice (Stary Kościół)</v>
      </c>
    </row>
    <row r="69" spans="2:8" x14ac:dyDescent="0.25">
      <c r="B69" s="7" t="s">
        <v>8440</v>
      </c>
      <c r="C69" t="s">
        <v>8441</v>
      </c>
      <c r="D69" s="6" t="str">
        <f>Tab_Zast[[#This Row],[ID]]</f>
        <v>71</v>
      </c>
      <c r="F69" t="s">
        <v>8438</v>
      </c>
      <c r="G69" t="s">
        <v>8442</v>
      </c>
      <c r="H69" t="str">
        <f t="shared" si="1"/>
        <v>Rybnik, Chwałowice (Kopalnia)</v>
      </c>
    </row>
    <row r="70" spans="2:8" x14ac:dyDescent="0.25">
      <c r="B70" s="7" t="s">
        <v>8443</v>
      </c>
      <c r="C70" t="s">
        <v>8444</v>
      </c>
      <c r="D70" s="6" t="str">
        <f>Tab_Zast[[#This Row],[ID]]</f>
        <v>72</v>
      </c>
      <c r="F70" t="s">
        <v>8438</v>
      </c>
      <c r="G70" t="s">
        <v>8445</v>
      </c>
      <c r="H70" t="str">
        <f t="shared" si="1"/>
        <v>Rybnik, Dworzec Autobusowy (KM/PKS)</v>
      </c>
    </row>
    <row r="71" spans="2:8" x14ac:dyDescent="0.25">
      <c r="B71" s="7" t="s">
        <v>8446</v>
      </c>
      <c r="C71" t="s">
        <v>8447</v>
      </c>
      <c r="D71" s="6" t="str">
        <f>Tab_Zast[[#This Row],[ID]]</f>
        <v>73</v>
      </c>
      <c r="F71" t="s">
        <v>8438</v>
      </c>
      <c r="G71" t="s">
        <v>8448</v>
      </c>
      <c r="H71" t="str">
        <f t="shared" si="1"/>
        <v>Rybnik, Niedobczyce (Stadion/Karolinka)</v>
      </c>
    </row>
    <row r="72" spans="2:8" x14ac:dyDescent="0.25">
      <c r="B72" s="7" t="s">
        <v>8449</v>
      </c>
      <c r="C72" t="s">
        <v>8450</v>
      </c>
      <c r="D72" s="6" t="str">
        <f>Tab_Zast[[#This Row],[ID]]</f>
        <v>74</v>
      </c>
      <c r="F72" t="s">
        <v>8438</v>
      </c>
      <c r="G72" t="s">
        <v>8451</v>
      </c>
      <c r="H72" t="str">
        <f t="shared" si="1"/>
        <v>Rybnik, Paruszowiec (Piaski)</v>
      </c>
    </row>
    <row r="73" spans="2:8" x14ac:dyDescent="0.25">
      <c r="B73" s="7" t="s">
        <v>631</v>
      </c>
      <c r="C73" t="s">
        <v>8452</v>
      </c>
      <c r="D73" s="6" t="str">
        <f>Tab_Zast[[#This Row],[ID]]</f>
        <v>75</v>
      </c>
      <c r="F73" t="s">
        <v>8438</v>
      </c>
      <c r="G73" t="s">
        <v>8453</v>
      </c>
      <c r="H73" t="str">
        <f t="shared" si="1"/>
        <v>Rybnik, Popielów (Kościół / ul. Konarskiego)</v>
      </c>
    </row>
    <row r="74" spans="2:8" x14ac:dyDescent="0.25">
      <c r="B74" s="7" t="s">
        <v>8454</v>
      </c>
      <c r="C74" t="s">
        <v>8455</v>
      </c>
      <c r="D74" s="6" t="str">
        <f>Tab_Zast[[#This Row],[ID]]</f>
        <v>76</v>
      </c>
      <c r="F74" t="s">
        <v>8438</v>
      </c>
      <c r="G74" t="s">
        <v>8456</v>
      </c>
      <c r="H74" t="str">
        <f t="shared" si="1"/>
        <v>Rybnik, Smolna (Franciszek)</v>
      </c>
    </row>
    <row r="75" spans="2:8" x14ac:dyDescent="0.25">
      <c r="B75" s="7" t="s">
        <v>642</v>
      </c>
      <c r="C75" t="s">
        <v>8457</v>
      </c>
      <c r="D75" s="6" t="str">
        <f>Tab_Zast[[#This Row],[ID]]</f>
        <v>77</v>
      </c>
      <c r="F75" t="s">
        <v>8438</v>
      </c>
      <c r="G75" t="s">
        <v>8458</v>
      </c>
      <c r="H75" t="str">
        <f t="shared" si="1"/>
        <v>Rybnik, Smolna (obok Biedronki)</v>
      </c>
    </row>
    <row r="76" spans="2:8" x14ac:dyDescent="0.25">
      <c r="B76" s="7" t="s">
        <v>647</v>
      </c>
      <c r="C76" t="s">
        <v>8459</v>
      </c>
      <c r="D76" s="6" t="str">
        <f>Tab_Zast[[#This Row],[ID]]</f>
        <v>78</v>
      </c>
      <c r="F76" t="s">
        <v>8438</v>
      </c>
      <c r="G76" t="s">
        <v>8460</v>
      </c>
      <c r="H76" t="str">
        <f t="shared" si="1"/>
        <v>Rybnik, Śródmieście (Dworek)</v>
      </c>
    </row>
    <row r="77" spans="2:8" x14ac:dyDescent="0.25">
      <c r="B77" s="7" t="s">
        <v>8461</v>
      </c>
      <c r="C77" t="s">
        <v>8462</v>
      </c>
      <c r="D77" s="6" t="str">
        <f>Tab_Zast[[#This Row],[ID]]</f>
        <v>79</v>
      </c>
      <c r="F77" t="s">
        <v>8438</v>
      </c>
      <c r="G77" t="s">
        <v>8463</v>
      </c>
      <c r="H77" t="str">
        <f t="shared" si="1"/>
        <v>Rybnik, Śródmieście (ul. 3 Maja / Plac Wolności)</v>
      </c>
    </row>
    <row r="78" spans="2:8" x14ac:dyDescent="0.25">
      <c r="B78" s="7" t="s">
        <v>8464</v>
      </c>
      <c r="C78" t="s">
        <v>8465</v>
      </c>
      <c r="D78" s="6" t="str">
        <f>Tab_Zast[[#This Row],[ID]]</f>
        <v>64</v>
      </c>
      <c r="F78" t="s">
        <v>8438</v>
      </c>
      <c r="G78" t="s">
        <v>8466</v>
      </c>
      <c r="H78" t="str">
        <f t="shared" si="1"/>
        <v>Rybnik, ul. Budowlanych (Stacja Paliw BP)</v>
      </c>
    </row>
    <row r="79" spans="2:8" x14ac:dyDescent="0.25">
      <c r="B79" s="7" t="s">
        <v>8467</v>
      </c>
      <c r="C79" t="s">
        <v>8468</v>
      </c>
      <c r="D79" s="6" t="str">
        <f>Tab_Zast[[#This Row],[ID]]</f>
        <v>65</v>
      </c>
      <c r="F79" t="s">
        <v>8438</v>
      </c>
      <c r="G79" t="s">
        <v>8469</v>
      </c>
      <c r="H79" t="str">
        <f t="shared" si="1"/>
        <v>Rybnik, ul. Władysława Reymonta (Stacja Paliw AMIC Energy)</v>
      </c>
    </row>
    <row r="80" spans="2:8" x14ac:dyDescent="0.25">
      <c r="B80" s="7" t="s">
        <v>8470</v>
      </c>
      <c r="C80" t="s">
        <v>8471</v>
      </c>
      <c r="D80" s="6" t="str">
        <f>Tab_Zast[[#This Row],[ID]]</f>
        <v>66</v>
      </c>
      <c r="F80" t="s">
        <v>8438</v>
      </c>
      <c r="G80" t="s">
        <v>8472</v>
      </c>
      <c r="H80" t="str">
        <f t="shared" si="1"/>
        <v>Rybnik, ul. Zebrzydowicka (Parking Biedronka)</v>
      </c>
    </row>
    <row r="81" spans="2:8" x14ac:dyDescent="0.25">
      <c r="B81" s="7" t="s">
        <v>659</v>
      </c>
      <c r="C81" t="s">
        <v>8473</v>
      </c>
      <c r="D81" s="6" t="str">
        <f>Tab_Zast[[#This Row],[ID]]</f>
        <v>80</v>
      </c>
      <c r="F81" t="s">
        <v>8474</v>
      </c>
      <c r="G81" t="s">
        <v>8282</v>
      </c>
      <c r="H81" t="str">
        <f t="shared" si="1"/>
        <v>Skrzyszów, ul. 1 Maja (Centrum)</v>
      </c>
    </row>
    <row r="82" spans="2:8" x14ac:dyDescent="0.25">
      <c r="B82" s="7" t="s">
        <v>2656</v>
      </c>
      <c r="C82" s="8" t="s">
        <v>8475</v>
      </c>
      <c r="D82" s="6" t="str">
        <f>Tab_Zast[[#This Row],[ID]]</f>
        <v>108</v>
      </c>
      <c r="F82" t="s">
        <v>8476</v>
      </c>
      <c r="G82" t="s">
        <v>8477</v>
      </c>
      <c r="H82" t="str">
        <f t="shared" si="1"/>
        <v>Wodzisław Śląski, Dworzec Autobusowy (Galeria Karuzela)</v>
      </c>
    </row>
    <row r="83" spans="2:8" x14ac:dyDescent="0.25">
      <c r="B83" s="7" t="s">
        <v>8478</v>
      </c>
      <c r="C83" t="s">
        <v>8479</v>
      </c>
      <c r="D83" s="6" t="str">
        <f>Tab_Zast[[#This Row],[ID]]</f>
        <v>81</v>
      </c>
      <c r="F83" t="s">
        <v>8476</v>
      </c>
      <c r="G83" t="s">
        <v>8480</v>
      </c>
      <c r="H83" t="str">
        <f t="shared" si="1"/>
        <v>Wodzisław Śląski, Kopernika</v>
      </c>
    </row>
    <row r="84" spans="2:8" x14ac:dyDescent="0.25">
      <c r="B84" s="7" t="s">
        <v>8481</v>
      </c>
      <c r="C84" t="s">
        <v>8482</v>
      </c>
      <c r="D84" s="6" t="str">
        <f>Tab_Zast[[#This Row],[ID]]</f>
        <v>82</v>
      </c>
      <c r="F84" t="s">
        <v>8476</v>
      </c>
      <c r="G84" t="s">
        <v>8483</v>
      </c>
      <c r="H84" t="str">
        <f t="shared" si="1"/>
        <v>Wodzisław Śląski, PKS / PKP</v>
      </c>
    </row>
    <row r="85" spans="2:8" x14ac:dyDescent="0.25">
      <c r="B85" s="7" t="s">
        <v>8484</v>
      </c>
      <c r="C85" t="s">
        <v>8485</v>
      </c>
      <c r="D85" s="6" t="str">
        <f>Tab_Zast[[#This Row],[ID]]</f>
        <v>83</v>
      </c>
      <c r="F85" t="s">
        <v>8476</v>
      </c>
      <c r="G85" t="s">
        <v>8486</v>
      </c>
      <c r="H85" t="str">
        <f t="shared" si="1"/>
        <v>Wodzisław Śląski, Radlin II (Dworzec PKP)</v>
      </c>
    </row>
    <row r="86" spans="2:8" x14ac:dyDescent="0.25">
      <c r="B86" s="7" t="s">
        <v>8487</v>
      </c>
      <c r="C86" t="s">
        <v>8488</v>
      </c>
      <c r="D86" s="6" t="str">
        <f>Tab_Zast[[#This Row],[ID]]</f>
        <v>84</v>
      </c>
      <c r="F86" t="s">
        <v>8476</v>
      </c>
      <c r="G86" t="s">
        <v>8489</v>
      </c>
      <c r="H86" t="str">
        <f t="shared" si="1"/>
        <v>Wodzisław Śląski, Radlin II (ul. Chrobrego / Żabka)</v>
      </c>
    </row>
    <row r="87" spans="2:8" x14ac:dyDescent="0.25">
      <c r="B87" s="7" t="s">
        <v>8490</v>
      </c>
      <c r="C87" t="s">
        <v>8491</v>
      </c>
      <c r="D87" s="6" t="str">
        <f>Tab_Zast[[#This Row],[ID]]</f>
        <v>85</v>
      </c>
      <c r="F87" t="s">
        <v>8476</v>
      </c>
      <c r="G87" t="s">
        <v>8492</v>
      </c>
      <c r="H87" t="str">
        <f t="shared" si="1"/>
        <v>Wodzisław Śląski, Radlin II (ul. Rybnicka)</v>
      </c>
    </row>
    <row r="88" spans="2:8" x14ac:dyDescent="0.25">
      <c r="B88" s="7" t="s">
        <v>8493</v>
      </c>
      <c r="C88" t="s">
        <v>8494</v>
      </c>
      <c r="D88" s="6" t="str">
        <f>Tab_Zast[[#This Row],[ID]]</f>
        <v>86</v>
      </c>
      <c r="F88" t="s">
        <v>8476</v>
      </c>
      <c r="G88" t="s">
        <v>8495</v>
      </c>
      <c r="H88" t="str">
        <f t="shared" si="1"/>
        <v>Wodzisław Śląski, Stacja Paliw Circle K / McDonald's</v>
      </c>
    </row>
    <row r="89" spans="2:8" x14ac:dyDescent="0.25">
      <c r="B89" s="7" t="s">
        <v>705</v>
      </c>
      <c r="C89" t="s">
        <v>8496</v>
      </c>
      <c r="D89" s="6" t="str">
        <f>Tab_Zast[[#This Row],[ID]]</f>
        <v>87</v>
      </c>
      <c r="F89" t="s">
        <v>8476</v>
      </c>
      <c r="G89" t="s">
        <v>8497</v>
      </c>
      <c r="H89" t="str">
        <f t="shared" si="1"/>
        <v>Wodzisław Śląski, Trzy Wzgórza</v>
      </c>
    </row>
    <row r="90" spans="2:8" x14ac:dyDescent="0.25">
      <c r="B90" s="7" t="s">
        <v>8498</v>
      </c>
      <c r="C90" t="s">
        <v>8499</v>
      </c>
      <c r="D90" s="6" t="str">
        <f>Tab_Zast[[#This Row],[ID]]</f>
        <v>88</v>
      </c>
      <c r="F90" t="s">
        <v>8476</v>
      </c>
      <c r="G90" t="s">
        <v>8500</v>
      </c>
      <c r="H90" t="str">
        <f t="shared" si="1"/>
        <v>Wodzisław Śląski, ul. Bogumińska (Cmentarz/Działki)</v>
      </c>
    </row>
    <row r="91" spans="2:8" x14ac:dyDescent="0.25">
      <c r="B91" s="7" t="s">
        <v>717</v>
      </c>
      <c r="C91" t="s">
        <v>8501</v>
      </c>
      <c r="D91" s="6" t="str">
        <f>Tab_Zast[[#This Row],[ID]]</f>
        <v>89</v>
      </c>
      <c r="F91" t="s">
        <v>8476</v>
      </c>
      <c r="G91" t="s">
        <v>8502</v>
      </c>
      <c r="H91" t="str">
        <f t="shared" si="1"/>
        <v>Wodzisław Śląski, ul. Kubsza (Market Mrówka)</v>
      </c>
    </row>
    <row r="92" spans="2:8" x14ac:dyDescent="0.25">
      <c r="B92" s="7" t="s">
        <v>723</v>
      </c>
      <c r="C92" t="s">
        <v>8503</v>
      </c>
      <c r="D92" s="6" t="str">
        <f>Tab_Zast[[#This Row],[ID]]</f>
        <v>90</v>
      </c>
      <c r="F92" t="s">
        <v>8476</v>
      </c>
      <c r="G92" t="s">
        <v>8504</v>
      </c>
      <c r="H92" t="str">
        <f t="shared" si="1"/>
        <v>Wodzisław Śląski, ul. Radlińska (Piekarnia Kłos)</v>
      </c>
    </row>
    <row r="93" spans="2:8" x14ac:dyDescent="0.25">
      <c r="B93" s="7" t="s">
        <v>729</v>
      </c>
      <c r="C93" t="s">
        <v>8505</v>
      </c>
      <c r="D93" s="6" t="str">
        <f>Tab_Zast[[#This Row],[ID]]</f>
        <v>91</v>
      </c>
      <c r="F93" t="s">
        <v>8476</v>
      </c>
      <c r="G93" t="s">
        <v>8506</v>
      </c>
      <c r="H93" t="str">
        <f t="shared" si="1"/>
        <v>Wodzisław Śląski, Wilchwy (Blazy)</v>
      </c>
    </row>
    <row r="94" spans="2:8" x14ac:dyDescent="0.25">
      <c r="B94" s="7" t="s">
        <v>8507</v>
      </c>
      <c r="C94" t="s">
        <v>8508</v>
      </c>
      <c r="D94" s="6" t="str">
        <f>Tab_Zast[[#This Row],[ID]]</f>
        <v>92</v>
      </c>
      <c r="F94" t="s">
        <v>8476</v>
      </c>
      <c r="G94" t="s">
        <v>8509</v>
      </c>
      <c r="H94" t="str">
        <f t="shared" si="1"/>
        <v>Wodzisław Śląski, Wilchwy (Osiedle)</v>
      </c>
    </row>
    <row r="95" spans="2:8" x14ac:dyDescent="0.25">
      <c r="B95" s="7" t="s">
        <v>8510</v>
      </c>
      <c r="C95" t="s">
        <v>8511</v>
      </c>
      <c r="D95" s="6" t="str">
        <f>Tab_Zast[[#This Row],[ID]]</f>
        <v>93</v>
      </c>
      <c r="F95" t="s">
        <v>8476</v>
      </c>
      <c r="G95" t="s">
        <v>8512</v>
      </c>
      <c r="H95" t="str">
        <f t="shared" si="1"/>
        <v>Wodzisław Śląski, Wilchwy (Szkoła)</v>
      </c>
    </row>
    <row r="96" spans="2:8" x14ac:dyDescent="0.25">
      <c r="B96" s="7" t="s">
        <v>747</v>
      </c>
      <c r="C96" t="s">
        <v>8513</v>
      </c>
      <c r="D96" s="6" t="str">
        <f>Tab_Zast[[#This Row],[ID]]</f>
        <v>94</v>
      </c>
      <c r="F96" t="s">
        <v>8476</v>
      </c>
      <c r="G96" t="s">
        <v>8514</v>
      </c>
      <c r="H96" t="str">
        <f t="shared" si="1"/>
        <v>Wodzisław Śląski, ul. 26. Marca (Szpital)</v>
      </c>
    </row>
    <row r="97" spans="2:8" x14ac:dyDescent="0.25">
      <c r="B97" s="7" t="s">
        <v>759</v>
      </c>
      <c r="C97" t="s">
        <v>8515</v>
      </c>
      <c r="D97" s="6" t="str">
        <f>Tab_Zast[[#This Row],[ID]]</f>
        <v>95</v>
      </c>
      <c r="F97" t="s">
        <v>8516</v>
      </c>
      <c r="G97" t="s">
        <v>8517</v>
      </c>
      <c r="H97" t="str">
        <f t="shared" si="1"/>
        <v>Zebrzydowice, Kino</v>
      </c>
    </row>
    <row r="98" spans="2:8" x14ac:dyDescent="0.25">
      <c r="B98" s="7" t="s">
        <v>8518</v>
      </c>
      <c r="C98" t="s">
        <v>8519</v>
      </c>
      <c r="D98" s="6" t="str">
        <f>Tab_Zast[[#This Row],[ID]]</f>
        <v>96</v>
      </c>
      <c r="F98" t="s">
        <v>8516</v>
      </c>
      <c r="G98" t="s">
        <v>8402</v>
      </c>
      <c r="H98" t="str">
        <f t="shared" si="1"/>
        <v>Zebrzydowice, Ośrodek Zdrowia</v>
      </c>
    </row>
    <row r="99" spans="2:8" x14ac:dyDescent="0.25">
      <c r="B99" s="7" t="s">
        <v>768</v>
      </c>
      <c r="C99" s="9" t="s">
        <v>8520</v>
      </c>
      <c r="D99" s="6" t="str">
        <f>Tab_Zast[[#This Row],[ID]]</f>
        <v>97</v>
      </c>
      <c r="F99" t="s">
        <v>8516</v>
      </c>
      <c r="G99" t="s">
        <v>8521</v>
      </c>
      <c r="H99" t="str">
        <f t="shared" si="1"/>
        <v>Zebrzydowice, Pętla/Bar (poblíž hranic)</v>
      </c>
    </row>
    <row r="100" spans="2:8" x14ac:dyDescent="0.25">
      <c r="B100" s="7" t="s">
        <v>2376</v>
      </c>
      <c r="C100" s="10" t="s">
        <v>8522</v>
      </c>
      <c r="D100" s="6" t="str">
        <f>Tab_Zast[[#This Row],[ID]]</f>
        <v>98</v>
      </c>
      <c r="F100" t="s">
        <v>8516</v>
      </c>
      <c r="G100" t="s">
        <v>8523</v>
      </c>
      <c r="H100" t="str">
        <f t="shared" si="1"/>
        <v>Zebrzydowice, Rondo</v>
      </c>
    </row>
    <row r="101" spans="2:8" x14ac:dyDescent="0.25">
      <c r="B101" s="7" t="s">
        <v>8524</v>
      </c>
      <c r="C101" s="10" t="s">
        <v>8525</v>
      </c>
      <c r="D101" s="6" t="str">
        <f>Tab_Zast[[#This Row],[ID]]</f>
        <v>99</v>
      </c>
      <c r="F101" t="s">
        <v>8526</v>
      </c>
      <c r="G101" t="s">
        <v>8527</v>
      </c>
      <c r="H101" t="str">
        <f t="shared" si="1"/>
        <v>Żory, Al. Niepodległości (Zegar)</v>
      </c>
    </row>
    <row r="102" spans="2:8" x14ac:dyDescent="0.25">
      <c r="B102" s="7" t="s">
        <v>8528</v>
      </c>
      <c r="C102" s="10" t="s">
        <v>8529</v>
      </c>
      <c r="D102" s="6" t="str">
        <f>Tab_Zast[[#This Row],[ID]]</f>
        <v>100</v>
      </c>
      <c r="F102" t="s">
        <v>8526</v>
      </c>
      <c r="G102" t="s">
        <v>8530</v>
      </c>
      <c r="H102" t="str">
        <f t="shared" si="1"/>
        <v>Żory, Al. Zjednoczonej Europy (McDonald's)</v>
      </c>
    </row>
    <row r="103" spans="2:8" x14ac:dyDescent="0.25">
      <c r="B103" s="7" t="s">
        <v>8531</v>
      </c>
      <c r="C103" s="10" t="s">
        <v>8532</v>
      </c>
      <c r="D103" s="6" t="str">
        <f>Tab_Zast[[#This Row],[ID]]</f>
        <v>101</v>
      </c>
      <c r="F103" t="s">
        <v>8526</v>
      </c>
      <c r="G103" t="s">
        <v>8533</v>
      </c>
      <c r="H103" t="str">
        <f t="shared" si="1"/>
        <v>Żory, Bajerówka (ul. Jana Pawła II)</v>
      </c>
    </row>
    <row r="104" spans="2:8" x14ac:dyDescent="0.25">
      <c r="B104" s="7" t="s">
        <v>8534</v>
      </c>
      <c r="C104" s="10" t="s">
        <v>8535</v>
      </c>
      <c r="D104" s="6" t="str">
        <f>Tab_Zast[[#This Row],[ID]]</f>
        <v>102</v>
      </c>
      <c r="F104" t="s">
        <v>8526</v>
      </c>
      <c r="G104" t="s">
        <v>8536</v>
      </c>
      <c r="H104" t="str">
        <f t="shared" si="1"/>
        <v>Żory, Centrum Przesiadkowe (Dworzec PKS)</v>
      </c>
    </row>
    <row r="105" spans="2:8" x14ac:dyDescent="0.25">
      <c r="B105" s="7" t="s">
        <v>2405</v>
      </c>
      <c r="C105" s="10" t="s">
        <v>8537</v>
      </c>
      <c r="D105" s="6" t="str">
        <f>Tab_Zast[[#This Row],[ID]]</f>
        <v>103</v>
      </c>
      <c r="F105" t="s">
        <v>8526</v>
      </c>
      <c r="G105" t="s">
        <v>8538</v>
      </c>
      <c r="H105" t="str">
        <f t="shared" si="1"/>
        <v>Żory, Sąd Rejonowy (Al. Jana Pawła II)</v>
      </c>
    </row>
    <row r="106" spans="2:8" x14ac:dyDescent="0.25">
      <c r="B106" s="7" t="s">
        <v>2410</v>
      </c>
      <c r="C106" s="10" t="s">
        <v>8539</v>
      </c>
      <c r="D106" s="6" t="str">
        <f>Tab_Zast[[#This Row],[ID]]</f>
        <v>104</v>
      </c>
      <c r="F106" t="s">
        <v>8526</v>
      </c>
      <c r="G106" t="s">
        <v>8540</v>
      </c>
      <c r="H106" t="str">
        <f t="shared" si="1"/>
        <v>Żory, ul. Dąbrowskiego (Sąd)</v>
      </c>
    </row>
    <row r="107" spans="2:8" x14ac:dyDescent="0.25">
      <c r="B107" s="7" t="s">
        <v>8541</v>
      </c>
      <c r="C107" s="10" t="s">
        <v>8542</v>
      </c>
      <c r="D107" s="6" t="str">
        <f>Tab_Zast[[#This Row],[ID]]</f>
        <v>105</v>
      </c>
      <c r="F107" t="s">
        <v>8526</v>
      </c>
      <c r="G107" t="s">
        <v>8543</v>
      </c>
      <c r="H107" t="str">
        <f t="shared" si="1"/>
        <v>Żory, ul. Dworcowa (Parking Netto)</v>
      </c>
    </row>
    <row r="108" spans="2:8" x14ac:dyDescent="0.25">
      <c r="B108" s="7" t="s">
        <v>2645</v>
      </c>
      <c r="C108" s="10" t="s">
        <v>8544</v>
      </c>
      <c r="D108" s="6" t="str">
        <f>Tab_Zast[[#This Row],[ID]]</f>
        <v>106</v>
      </c>
      <c r="F108" t="s">
        <v>8526</v>
      </c>
      <c r="G108" t="s">
        <v>8545</v>
      </c>
      <c r="H108" t="str">
        <f t="shared" si="1"/>
        <v>Żory, ul. Męczenników Oświęcimskich</v>
      </c>
    </row>
    <row r="109" spans="2:8" x14ac:dyDescent="0.25">
      <c r="B109" s="7" t="s">
        <v>2650</v>
      </c>
      <c r="C109" s="10" t="s">
        <v>8546</v>
      </c>
      <c r="D109" s="6" t="str">
        <f>Tab_Zast[[#This Row],[ID]]</f>
        <v>107</v>
      </c>
      <c r="F109" t="s">
        <v>8526</v>
      </c>
      <c r="G109" t="s">
        <v>8547</v>
      </c>
      <c r="H109" t="str">
        <f t="shared" si="1"/>
        <v>Żory, ul. Wodzisławska (Milla)</v>
      </c>
    </row>
    <row r="110" spans="2:8" x14ac:dyDescent="0.25">
      <c r="B110" s="7" t="s">
        <v>2656</v>
      </c>
      <c r="C110" s="10" t="s">
        <v>8548</v>
      </c>
      <c r="D110" s="6" t="str">
        <f>Tab_Zast[[#This Row],[ID]]</f>
        <v>108</v>
      </c>
      <c r="H110" t="str">
        <f t="shared" si="1"/>
        <v xml:space="preserve">, </v>
      </c>
    </row>
    <row r="111" spans="2:8" x14ac:dyDescent="0.25">
      <c r="B111" s="7" t="s">
        <v>357</v>
      </c>
      <c r="C111" s="10" t="s">
        <v>8551</v>
      </c>
      <c r="D111" s="6" t="str">
        <f>Tab_Zast[[#This Row],[ID]]</f>
        <v>00</v>
      </c>
      <c r="H111" t="str">
        <f t="shared" si="1"/>
        <v xml:space="preserve">, </v>
      </c>
    </row>
    <row r="112" spans="2:8" x14ac:dyDescent="0.25">
      <c r="H112" t="str">
        <f t="shared" si="1"/>
        <v xml:space="preserve">, </v>
      </c>
    </row>
    <row r="113" spans="8:8" x14ac:dyDescent="0.25">
      <c r="H113" t="str">
        <f t="shared" si="1"/>
        <v xml:space="preserve">, </v>
      </c>
    </row>
    <row r="114" spans="8:8" x14ac:dyDescent="0.25">
      <c r="H114" t="str">
        <f t="shared" si="1"/>
        <v xml:space="preserve">, </v>
      </c>
    </row>
    <row r="115" spans="8:8" x14ac:dyDescent="0.25">
      <c r="H115" t="str">
        <f t="shared" si="1"/>
        <v xml:space="preserve">, </v>
      </c>
    </row>
    <row r="116" spans="8:8" x14ac:dyDescent="0.25">
      <c r="H116" t="str">
        <f t="shared" si="1"/>
        <v xml:space="preserve">, </v>
      </c>
    </row>
    <row r="117" spans="8:8" x14ac:dyDescent="0.25">
      <c r="H117" t="str">
        <f t="shared" si="1"/>
        <v xml:space="preserve">, </v>
      </c>
    </row>
    <row r="118" spans="8:8" x14ac:dyDescent="0.25">
      <c r="H118" t="str">
        <f t="shared" si="1"/>
        <v xml:space="preserve">, </v>
      </c>
    </row>
    <row r="119" spans="8:8" x14ac:dyDescent="0.25">
      <c r="H119" t="str">
        <f t="shared" si="1"/>
        <v xml:space="preserve">, </v>
      </c>
    </row>
    <row r="120" spans="8:8" x14ac:dyDescent="0.25">
      <c r="H120" t="str">
        <f t="shared" si="1"/>
        <v xml:space="preserve">, </v>
      </c>
    </row>
  </sheetData>
  <autoFilter ref="F1:H114" xr:uid="{F0CE08D9-B08A-451E-B951-FC6E34B6379F}"/>
  <conditionalFormatting sqref="C109:C1048576 C1">
    <cfRule type="duplicateValues" dxfId="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29D8B-73D6-4FB9-BCE1-77FE8E29162C}">
  <dimension ref="A1:R294"/>
  <sheetViews>
    <sheetView topLeftCell="K1" workbookViewId="0">
      <selection activeCell="A3" sqref="A3:A294"/>
    </sheetView>
  </sheetViews>
  <sheetFormatPr defaultColWidth="8.85546875" defaultRowHeight="15" x14ac:dyDescent="0.25"/>
  <cols>
    <col min="1" max="3" width="8.85546875" style="12"/>
    <col min="4" max="4" width="6" style="12" customWidth="1"/>
    <col min="5" max="5" width="25.7109375" style="12" customWidth="1"/>
    <col min="6" max="6" width="31" style="12" customWidth="1"/>
    <col min="7" max="7" width="6.7109375" style="12" customWidth="1"/>
    <col min="8" max="8" width="10.7109375" style="12" customWidth="1"/>
    <col min="9" max="9" width="16.28515625" style="12" customWidth="1"/>
    <col min="10" max="10" width="20.28515625" style="12" customWidth="1"/>
    <col min="11" max="12" width="13.42578125" style="12" customWidth="1"/>
    <col min="13" max="13" width="27" style="12" customWidth="1"/>
    <col min="14" max="14" width="54" style="12" customWidth="1"/>
    <col min="15" max="15" width="12.140625" style="12" customWidth="1"/>
    <col min="16" max="16" width="21.5703125" style="12" customWidth="1"/>
    <col min="17" max="17" width="10.7109375" style="12" customWidth="1"/>
    <col min="18" max="18" width="9.42578125" style="12" customWidth="1"/>
    <col min="19" max="16384" width="8.85546875" style="12"/>
  </cols>
  <sheetData>
    <row r="1" spans="1:18" x14ac:dyDescent="0.25">
      <c r="D1" s="17" t="s">
        <v>8552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x14ac:dyDescent="0.25">
      <c r="A2" s="12" t="s">
        <v>8787</v>
      </c>
      <c r="B2" s="12" t="s">
        <v>8557</v>
      </c>
      <c r="C2" s="12" t="s">
        <v>8786</v>
      </c>
      <c r="D2" s="13" t="s">
        <v>8245</v>
      </c>
      <c r="E2" s="13" t="s">
        <v>8553</v>
      </c>
      <c r="F2" s="13" t="s">
        <v>8554</v>
      </c>
      <c r="G2" s="13" t="s">
        <v>8555</v>
      </c>
      <c r="H2" s="13" t="s">
        <v>8556</v>
      </c>
      <c r="I2" s="13" t="s">
        <v>8557</v>
      </c>
      <c r="J2" s="13" t="s">
        <v>8558</v>
      </c>
      <c r="K2" s="13" t="s">
        <v>8559</v>
      </c>
      <c r="L2" s="13" t="s">
        <v>8560</v>
      </c>
      <c r="M2" s="13" t="s">
        <v>8561</v>
      </c>
      <c r="N2" s="13" t="s">
        <v>8549</v>
      </c>
      <c r="O2" s="13" t="s">
        <v>8562</v>
      </c>
      <c r="P2" s="13" t="s">
        <v>8563</v>
      </c>
      <c r="Q2" s="13" t="s">
        <v>8564</v>
      </c>
      <c r="R2" s="13" t="s">
        <v>8565</v>
      </c>
    </row>
    <row r="3" spans="1:18" x14ac:dyDescent="0.25">
      <c r="A3" s="12" t="str">
        <f>E3&amp;F3</f>
        <v>PaličkaJiří</v>
      </c>
      <c r="B3" s="12" t="str">
        <f>I3</f>
        <v>000</v>
      </c>
      <c r="C3" s="14">
        <f>G3</f>
        <v>0</v>
      </c>
      <c r="D3" s="14">
        <v>186</v>
      </c>
      <c r="E3" s="12" t="s">
        <v>6776</v>
      </c>
      <c r="F3" s="12" t="s">
        <v>2566</v>
      </c>
      <c r="G3" s="14">
        <v>0</v>
      </c>
      <c r="H3" s="12" t="s">
        <v>569</v>
      </c>
      <c r="I3" s="12" t="s">
        <v>569</v>
      </c>
      <c r="J3" s="14">
        <v>723257849</v>
      </c>
      <c r="K3" s="15">
        <v>45756</v>
      </c>
      <c r="L3" s="12" t="s">
        <v>8566</v>
      </c>
      <c r="M3" s="12" t="s">
        <v>8548</v>
      </c>
      <c r="N3" s="12" t="s">
        <v>8548</v>
      </c>
      <c r="O3" s="12" t="s">
        <v>8567</v>
      </c>
      <c r="P3" s="12" t="s">
        <v>1022</v>
      </c>
    </row>
    <row r="4" spans="1:18" x14ac:dyDescent="0.25">
      <c r="A4" s="12" t="str">
        <f t="shared" ref="A4:A67" si="0">E4&amp;F4</f>
        <v>WawrzyczekArkadiusz</v>
      </c>
      <c r="B4" s="12" t="str">
        <f t="shared" ref="B4:B67" si="1">I4</f>
        <v>0012104796</v>
      </c>
      <c r="C4" s="14">
        <f t="shared" ref="C4:C67" si="2">G4</f>
        <v>0</v>
      </c>
      <c r="D4" s="14">
        <v>196</v>
      </c>
      <c r="E4" s="12" t="s">
        <v>2668</v>
      </c>
      <c r="F4" s="12" t="s">
        <v>3384</v>
      </c>
      <c r="G4" s="14">
        <v>0</v>
      </c>
      <c r="H4" s="14">
        <v>0</v>
      </c>
      <c r="I4" s="12" t="s">
        <v>7041</v>
      </c>
      <c r="J4" s="12" t="s">
        <v>4285</v>
      </c>
      <c r="K4" s="15">
        <v>45789</v>
      </c>
      <c r="L4" s="12" t="s">
        <v>8566</v>
      </c>
      <c r="M4" s="12" t="s">
        <v>8568</v>
      </c>
      <c r="N4" s="12" t="s">
        <v>8516</v>
      </c>
      <c r="O4" s="12" t="s">
        <v>8569</v>
      </c>
      <c r="P4" s="12" t="s">
        <v>3052</v>
      </c>
      <c r="Q4" s="12" t="s">
        <v>8570</v>
      </c>
    </row>
    <row r="5" spans="1:18" x14ac:dyDescent="0.25">
      <c r="A5" s="12" t="str">
        <f t="shared" si="0"/>
        <v>ŠostáIvana</v>
      </c>
      <c r="B5" s="12" t="str">
        <f t="shared" si="1"/>
        <v>0000347370</v>
      </c>
      <c r="C5" s="14">
        <f t="shared" si="2"/>
        <v>0</v>
      </c>
      <c r="D5" s="14">
        <v>200</v>
      </c>
      <c r="E5" s="12" t="s">
        <v>626</v>
      </c>
      <c r="F5" s="12" t="s">
        <v>627</v>
      </c>
      <c r="G5" s="14">
        <v>0</v>
      </c>
      <c r="H5" s="12" t="s">
        <v>357</v>
      </c>
      <c r="I5" s="12" t="s">
        <v>7119</v>
      </c>
      <c r="J5" s="14">
        <v>705981078</v>
      </c>
      <c r="K5" s="15">
        <v>45813</v>
      </c>
      <c r="L5" s="12" t="s">
        <v>8566</v>
      </c>
      <c r="M5" s="12" t="s">
        <v>8571</v>
      </c>
      <c r="N5" s="12" t="s">
        <v>8572</v>
      </c>
      <c r="O5" s="12" t="s">
        <v>8573</v>
      </c>
      <c r="P5" s="12" t="s">
        <v>5988</v>
      </c>
      <c r="Q5" s="12" t="s">
        <v>8574</v>
      </c>
    </row>
    <row r="6" spans="1:18" x14ac:dyDescent="0.25">
      <c r="A6" s="12" t="str">
        <f t="shared" si="0"/>
        <v>GanczorzTomasz</v>
      </c>
      <c r="B6" s="12" t="str">
        <f t="shared" si="1"/>
        <v>0400254898</v>
      </c>
      <c r="C6" s="14">
        <f t="shared" si="2"/>
        <v>0</v>
      </c>
      <c r="D6" s="14">
        <v>203</v>
      </c>
      <c r="E6" s="12" t="s">
        <v>7175</v>
      </c>
      <c r="F6" s="12" t="s">
        <v>755</v>
      </c>
      <c r="G6" s="14">
        <v>0</v>
      </c>
      <c r="H6" s="12" t="s">
        <v>569</v>
      </c>
      <c r="I6" s="12" t="s">
        <v>7160</v>
      </c>
      <c r="J6" s="12" t="s">
        <v>7176</v>
      </c>
      <c r="K6" s="15">
        <v>45824</v>
      </c>
      <c r="L6" s="12" t="s">
        <v>8566</v>
      </c>
      <c r="M6" s="12" t="s">
        <v>8575</v>
      </c>
      <c r="N6" s="12" t="s">
        <v>8576</v>
      </c>
      <c r="O6" s="12" t="s">
        <v>8567</v>
      </c>
      <c r="P6" s="12" t="s">
        <v>3023</v>
      </c>
    </row>
    <row r="7" spans="1:18" x14ac:dyDescent="0.25">
      <c r="A7" s="12" t="str">
        <f t="shared" si="0"/>
        <v>MalolepszyAleksandra</v>
      </c>
      <c r="B7" s="12" t="str">
        <f t="shared" si="1"/>
        <v>0011966146</v>
      </c>
      <c r="C7" s="14">
        <f t="shared" si="2"/>
        <v>0</v>
      </c>
      <c r="D7" s="14">
        <v>245</v>
      </c>
      <c r="E7" s="12" t="s">
        <v>7929</v>
      </c>
      <c r="F7" s="12" t="s">
        <v>201</v>
      </c>
      <c r="G7" s="14">
        <v>0</v>
      </c>
      <c r="H7" s="12" t="s">
        <v>569</v>
      </c>
      <c r="I7" s="12" t="s">
        <v>7930</v>
      </c>
      <c r="J7" s="12" t="s">
        <v>7931</v>
      </c>
      <c r="K7" s="15">
        <v>45950</v>
      </c>
      <c r="L7" s="12" t="s">
        <v>8566</v>
      </c>
      <c r="M7" s="12" t="s">
        <v>8577</v>
      </c>
      <c r="N7" s="12" t="s">
        <v>8578</v>
      </c>
      <c r="O7" s="12" t="s">
        <v>8567</v>
      </c>
      <c r="P7" s="12" t="s">
        <v>2729</v>
      </c>
    </row>
    <row r="8" spans="1:18" x14ac:dyDescent="0.25">
      <c r="A8" s="12" t="str">
        <f t="shared" si="0"/>
        <v>PawliczekDaria Anna</v>
      </c>
      <c r="B8" s="12" t="str">
        <f t="shared" si="1"/>
        <v>0000</v>
      </c>
      <c r="C8" s="14">
        <f t="shared" si="2"/>
        <v>0</v>
      </c>
      <c r="D8" s="14">
        <v>284</v>
      </c>
      <c r="E8" s="12" t="s">
        <v>934</v>
      </c>
      <c r="F8" s="12" t="s">
        <v>1396</v>
      </c>
      <c r="G8" s="14">
        <v>0</v>
      </c>
      <c r="H8" s="12" t="s">
        <v>569</v>
      </c>
      <c r="I8" s="12" t="s">
        <v>1394</v>
      </c>
      <c r="J8" s="12" t="s">
        <v>8201</v>
      </c>
      <c r="K8" s="15">
        <v>45992</v>
      </c>
      <c r="L8" s="12" t="s">
        <v>8566</v>
      </c>
      <c r="M8" s="12" t="s">
        <v>8577</v>
      </c>
      <c r="N8" s="12" t="s">
        <v>8579</v>
      </c>
      <c r="O8" s="12" t="s">
        <v>8580</v>
      </c>
      <c r="P8" s="12" t="s">
        <v>62</v>
      </c>
    </row>
    <row r="9" spans="1:18" x14ac:dyDescent="0.25">
      <c r="A9" s="12" t="str">
        <f t="shared" si="0"/>
        <v>LatakJan Emil</v>
      </c>
      <c r="B9" s="12" t="str">
        <f t="shared" si="1"/>
        <v>0000</v>
      </c>
      <c r="C9" s="14">
        <f t="shared" si="2"/>
        <v>0</v>
      </c>
      <c r="D9" s="14">
        <v>290</v>
      </c>
      <c r="E9" s="12" t="s">
        <v>7452</v>
      </c>
      <c r="F9" s="12" t="s">
        <v>8233</v>
      </c>
      <c r="G9" s="14">
        <v>0</v>
      </c>
      <c r="H9" s="14">
        <v>0</v>
      </c>
      <c r="I9" s="12" t="s">
        <v>1394</v>
      </c>
      <c r="J9" s="12" t="s">
        <v>8234</v>
      </c>
      <c r="K9" s="15">
        <v>46002</v>
      </c>
      <c r="L9" s="12" t="s">
        <v>8566</v>
      </c>
      <c r="M9" s="12" t="s">
        <v>8581</v>
      </c>
      <c r="N9" s="12" t="s">
        <v>8582</v>
      </c>
      <c r="O9" s="12" t="s">
        <v>8583</v>
      </c>
      <c r="P9" s="12" t="s">
        <v>5988</v>
      </c>
    </row>
    <row r="10" spans="1:18" x14ac:dyDescent="0.25">
      <c r="A10" s="12" t="str">
        <f t="shared" si="0"/>
        <v>MikusRoman</v>
      </c>
      <c r="B10" s="12" t="str">
        <f t="shared" si="1"/>
        <v>0008777013</v>
      </c>
      <c r="C10" s="14">
        <f t="shared" si="2"/>
        <v>19</v>
      </c>
      <c r="D10" s="14">
        <v>68</v>
      </c>
      <c r="E10" s="12" t="s">
        <v>1806</v>
      </c>
      <c r="F10" s="12" t="s">
        <v>917</v>
      </c>
      <c r="G10" s="14">
        <v>19</v>
      </c>
      <c r="H10" s="12" t="s">
        <v>1805</v>
      </c>
      <c r="I10" s="12" t="s">
        <v>1807</v>
      </c>
      <c r="J10" s="12" t="s">
        <v>1808</v>
      </c>
      <c r="K10" s="15">
        <v>44599</v>
      </c>
      <c r="L10" s="15">
        <v>73050</v>
      </c>
      <c r="M10" s="12" t="s">
        <v>8548</v>
      </c>
      <c r="N10" s="12" t="s">
        <v>8548</v>
      </c>
      <c r="O10" s="12" t="s">
        <v>8584</v>
      </c>
      <c r="P10" s="12" t="s">
        <v>1216</v>
      </c>
      <c r="Q10" s="12" t="s">
        <v>8585</v>
      </c>
    </row>
    <row r="11" spans="1:18" x14ac:dyDescent="0.25">
      <c r="A11" s="12" t="str">
        <f t="shared" si="0"/>
        <v>CwiklinskaAlicja Katarzyna</v>
      </c>
      <c r="B11" s="12" t="str">
        <f t="shared" si="1"/>
        <v>0013123141</v>
      </c>
      <c r="C11" s="14">
        <f t="shared" si="2"/>
        <v>47</v>
      </c>
      <c r="D11" s="14">
        <v>48</v>
      </c>
      <c r="E11" s="12" t="s">
        <v>1308</v>
      </c>
      <c r="F11" s="12" t="s">
        <v>1309</v>
      </c>
      <c r="G11" s="14">
        <v>47</v>
      </c>
      <c r="H11" s="12" t="s">
        <v>1307</v>
      </c>
      <c r="I11" s="12" t="s">
        <v>1310</v>
      </c>
      <c r="J11" s="12" t="s">
        <v>1311</v>
      </c>
      <c r="K11" s="15">
        <v>44593</v>
      </c>
      <c r="L11" s="12" t="s">
        <v>8566</v>
      </c>
      <c r="M11" s="12" t="s">
        <v>8586</v>
      </c>
      <c r="N11" s="12" t="s">
        <v>8587</v>
      </c>
      <c r="O11" s="12" t="s">
        <v>8580</v>
      </c>
      <c r="P11" s="12" t="s">
        <v>1216</v>
      </c>
      <c r="Q11" s="12" t="s">
        <v>8588</v>
      </c>
    </row>
    <row r="12" spans="1:18" x14ac:dyDescent="0.25">
      <c r="A12" s="12" t="str">
        <f t="shared" si="0"/>
        <v>DamisMalgorzata Maria</v>
      </c>
      <c r="B12" s="12" t="str">
        <f t="shared" si="1"/>
        <v>0009531966</v>
      </c>
      <c r="C12" s="14">
        <f t="shared" si="2"/>
        <v>49</v>
      </c>
      <c r="D12" s="14">
        <v>49</v>
      </c>
      <c r="E12" s="12" t="s">
        <v>1328</v>
      </c>
      <c r="F12" s="12" t="s">
        <v>1329</v>
      </c>
      <c r="G12" s="14">
        <v>49</v>
      </c>
      <c r="H12" s="12" t="s">
        <v>1327</v>
      </c>
      <c r="I12" s="12" t="s">
        <v>1330</v>
      </c>
      <c r="J12" s="12" t="s">
        <v>1331</v>
      </c>
      <c r="K12" s="15">
        <v>44593</v>
      </c>
      <c r="L12" s="12" t="s">
        <v>8566</v>
      </c>
      <c r="M12" s="12" t="s">
        <v>8568</v>
      </c>
      <c r="N12" s="12" t="s">
        <v>8516</v>
      </c>
      <c r="O12" s="12" t="s">
        <v>8583</v>
      </c>
      <c r="P12" s="12" t="s">
        <v>1216</v>
      </c>
      <c r="Q12" s="12" t="s">
        <v>8589</v>
      </c>
    </row>
    <row r="13" spans="1:18" x14ac:dyDescent="0.25">
      <c r="A13" s="12" t="str">
        <f t="shared" si="0"/>
        <v>JanczukMariola Anna</v>
      </c>
      <c r="B13" s="12" t="str">
        <f t="shared" si="1"/>
        <v>0007815411</v>
      </c>
      <c r="C13" s="14">
        <f t="shared" si="2"/>
        <v>123</v>
      </c>
      <c r="D13" s="14">
        <v>57</v>
      </c>
      <c r="E13" s="12" t="s">
        <v>1515</v>
      </c>
      <c r="F13" s="12" t="s">
        <v>1516</v>
      </c>
      <c r="G13" s="14">
        <v>123</v>
      </c>
      <c r="H13" s="12" t="s">
        <v>1514</v>
      </c>
      <c r="I13" s="12" t="s">
        <v>1517</v>
      </c>
      <c r="J13" s="12" t="s">
        <v>1518</v>
      </c>
      <c r="K13" s="15">
        <v>44593</v>
      </c>
      <c r="L13" s="15">
        <v>73050</v>
      </c>
      <c r="M13" s="12" t="s">
        <v>8586</v>
      </c>
      <c r="N13" s="12" t="s">
        <v>8590</v>
      </c>
      <c r="O13" s="12" t="s">
        <v>8580</v>
      </c>
      <c r="P13" s="12" t="s">
        <v>1216</v>
      </c>
    </row>
    <row r="14" spans="1:18" x14ac:dyDescent="0.25">
      <c r="A14" s="12" t="str">
        <f t="shared" si="0"/>
        <v>KorabKarina Weronika</v>
      </c>
      <c r="B14" s="12" t="str">
        <f t="shared" si="1"/>
        <v>0002705732</v>
      </c>
      <c r="C14" s="14">
        <f t="shared" si="2"/>
        <v>126</v>
      </c>
      <c r="D14" s="14">
        <v>58</v>
      </c>
      <c r="E14" s="12" t="s">
        <v>1583</v>
      </c>
      <c r="F14" s="12" t="s">
        <v>1584</v>
      </c>
      <c r="G14" s="14">
        <v>126</v>
      </c>
      <c r="H14" s="12" t="s">
        <v>1582</v>
      </c>
      <c r="I14" s="12" t="s">
        <v>1585</v>
      </c>
      <c r="J14" s="12" t="s">
        <v>1586</v>
      </c>
      <c r="K14" s="15">
        <v>44593</v>
      </c>
      <c r="L14" s="15">
        <v>73050</v>
      </c>
      <c r="M14" s="12" t="s">
        <v>8548</v>
      </c>
      <c r="N14" s="12" t="s">
        <v>8548</v>
      </c>
      <c r="O14" s="12" t="s">
        <v>8584</v>
      </c>
      <c r="P14" s="12" t="s">
        <v>1216</v>
      </c>
      <c r="Q14" s="12" t="s">
        <v>8585</v>
      </c>
    </row>
    <row r="15" spans="1:18" x14ac:dyDescent="0.25">
      <c r="A15" s="12" t="str">
        <f t="shared" si="0"/>
        <v>KotasBarbara Mariola</v>
      </c>
      <c r="B15" s="12" t="str">
        <f t="shared" si="1"/>
        <v>0009534092</v>
      </c>
      <c r="C15" s="14">
        <f t="shared" si="2"/>
        <v>127</v>
      </c>
      <c r="D15" s="14">
        <v>59</v>
      </c>
      <c r="E15" s="12" t="s">
        <v>1594</v>
      </c>
      <c r="F15" s="12" t="s">
        <v>1595</v>
      </c>
      <c r="G15" s="14">
        <v>127</v>
      </c>
      <c r="H15" s="12" t="s">
        <v>1593</v>
      </c>
      <c r="I15" s="12" t="s">
        <v>1596</v>
      </c>
      <c r="J15" s="12" t="s">
        <v>1597</v>
      </c>
      <c r="K15" s="15">
        <v>44593</v>
      </c>
      <c r="L15" s="15">
        <v>73050</v>
      </c>
      <c r="M15" s="12" t="s">
        <v>8568</v>
      </c>
      <c r="N15" s="12" t="s">
        <v>8591</v>
      </c>
      <c r="O15" s="12" t="s">
        <v>8584</v>
      </c>
      <c r="P15" s="12" t="s">
        <v>1216</v>
      </c>
      <c r="Q15" s="12" t="s">
        <v>8592</v>
      </c>
    </row>
    <row r="16" spans="1:18" x14ac:dyDescent="0.25">
      <c r="A16" s="12" t="str">
        <f t="shared" si="0"/>
        <v>LatkaEwelina Ewa</v>
      </c>
      <c r="B16" s="12" t="str">
        <f t="shared" si="1"/>
        <v>0013264228</v>
      </c>
      <c r="C16" s="14">
        <f t="shared" si="2"/>
        <v>131</v>
      </c>
      <c r="D16" s="14">
        <v>63</v>
      </c>
      <c r="E16" s="12" t="s">
        <v>1703</v>
      </c>
      <c r="F16" s="12" t="s">
        <v>1704</v>
      </c>
      <c r="G16" s="14">
        <v>131</v>
      </c>
      <c r="H16" s="12" t="s">
        <v>1702</v>
      </c>
      <c r="I16" s="12" t="s">
        <v>1705</v>
      </c>
      <c r="J16" s="12" t="s">
        <v>1706</v>
      </c>
      <c r="K16" s="15">
        <v>44593</v>
      </c>
      <c r="L16" s="15">
        <v>73050</v>
      </c>
      <c r="M16" s="12" t="s">
        <v>8568</v>
      </c>
      <c r="N16" s="12" t="s">
        <v>8593</v>
      </c>
      <c r="O16" s="12" t="s">
        <v>8584</v>
      </c>
      <c r="P16" s="12" t="s">
        <v>1216</v>
      </c>
    </row>
    <row r="17" spans="1:17" x14ac:dyDescent="0.25">
      <c r="A17" s="12" t="str">
        <f t="shared" si="0"/>
        <v>MienkowskaEdyta Ewa</v>
      </c>
      <c r="B17" s="12" t="str">
        <f t="shared" si="1"/>
        <v>0013247004</v>
      </c>
      <c r="C17" s="14">
        <f t="shared" si="2"/>
        <v>136</v>
      </c>
      <c r="D17" s="14">
        <v>67</v>
      </c>
      <c r="E17" s="12" t="s">
        <v>1793</v>
      </c>
      <c r="F17" s="12" t="s">
        <v>1794</v>
      </c>
      <c r="G17" s="14">
        <v>136</v>
      </c>
      <c r="H17" s="12" t="s">
        <v>1792</v>
      </c>
      <c r="I17" s="12" t="s">
        <v>1795</v>
      </c>
      <c r="J17" s="12" t="s">
        <v>1796</v>
      </c>
      <c r="K17" s="15">
        <v>44593</v>
      </c>
      <c r="L17" s="15">
        <v>73050</v>
      </c>
      <c r="M17" s="12" t="s">
        <v>8568</v>
      </c>
      <c r="N17" s="12" t="s">
        <v>8594</v>
      </c>
      <c r="O17" s="12" t="s">
        <v>8584</v>
      </c>
      <c r="P17" s="12" t="s">
        <v>1216</v>
      </c>
      <c r="Q17" s="12" t="s">
        <v>8595</v>
      </c>
    </row>
    <row r="18" spans="1:17" x14ac:dyDescent="0.25">
      <c r="A18" s="12" t="str">
        <f t="shared" si="0"/>
        <v>OlszaneckaBeata Magdalena</v>
      </c>
      <c r="B18" s="12" t="str">
        <f t="shared" si="1"/>
        <v>0004744103</v>
      </c>
      <c r="C18" s="14">
        <f t="shared" si="2"/>
        <v>146</v>
      </c>
      <c r="D18" s="14">
        <v>72</v>
      </c>
      <c r="E18" s="12" t="s">
        <v>1863</v>
      </c>
      <c r="F18" s="12" t="s">
        <v>1864</v>
      </c>
      <c r="G18" s="14">
        <v>146</v>
      </c>
      <c r="H18" s="12" t="s">
        <v>1862</v>
      </c>
      <c r="I18" s="12" t="s">
        <v>1865</v>
      </c>
      <c r="J18" s="12" t="s">
        <v>1866</v>
      </c>
      <c r="K18" s="15">
        <v>44593</v>
      </c>
      <c r="L18" s="15">
        <v>73050</v>
      </c>
      <c r="M18" s="12" t="s">
        <v>8568</v>
      </c>
      <c r="N18" s="12" t="s">
        <v>8596</v>
      </c>
      <c r="O18" s="12" t="s">
        <v>8584</v>
      </c>
      <c r="P18" s="12" t="s">
        <v>1216</v>
      </c>
      <c r="Q18" s="12" t="s">
        <v>8597</v>
      </c>
    </row>
    <row r="19" spans="1:17" x14ac:dyDescent="0.25">
      <c r="A19" s="12" t="str">
        <f t="shared" si="0"/>
        <v>PrzybylaDanuta Anna</v>
      </c>
      <c r="B19" s="12" t="str">
        <f t="shared" si="1"/>
        <v>0002036505</v>
      </c>
      <c r="C19" s="14">
        <f t="shared" si="2"/>
        <v>150</v>
      </c>
      <c r="D19" s="14">
        <v>77</v>
      </c>
      <c r="E19" s="12" t="s">
        <v>1981</v>
      </c>
      <c r="F19" s="12" t="s">
        <v>1982</v>
      </c>
      <c r="G19" s="14">
        <v>150</v>
      </c>
      <c r="H19" s="12" t="s">
        <v>1980</v>
      </c>
      <c r="I19" s="12" t="s">
        <v>1983</v>
      </c>
      <c r="J19" s="12" t="s">
        <v>1984</v>
      </c>
      <c r="K19" s="15">
        <v>44593</v>
      </c>
      <c r="L19" s="15">
        <v>73050</v>
      </c>
      <c r="M19" s="12" t="s">
        <v>8586</v>
      </c>
      <c r="N19" s="12" t="s">
        <v>8590</v>
      </c>
      <c r="O19" s="12" t="s">
        <v>8598</v>
      </c>
      <c r="P19" s="12" t="s">
        <v>1216</v>
      </c>
    </row>
    <row r="20" spans="1:17" x14ac:dyDescent="0.25">
      <c r="A20" s="12" t="str">
        <f t="shared" si="0"/>
        <v>SkawinskaDorota Bernadeta</v>
      </c>
      <c r="B20" s="12" t="str">
        <f t="shared" si="1"/>
        <v>0013190728</v>
      </c>
      <c r="C20" s="14">
        <f t="shared" si="2"/>
        <v>155</v>
      </c>
      <c r="D20" s="14">
        <v>82</v>
      </c>
      <c r="E20" s="12" t="s">
        <v>2108</v>
      </c>
      <c r="F20" s="12" t="s">
        <v>2109</v>
      </c>
      <c r="G20" s="14">
        <v>155</v>
      </c>
      <c r="H20" s="12" t="s">
        <v>2107</v>
      </c>
      <c r="I20" s="12" t="s">
        <v>2110</v>
      </c>
      <c r="J20" s="12" t="s">
        <v>2111</v>
      </c>
      <c r="K20" s="15">
        <v>44593</v>
      </c>
      <c r="L20" s="15">
        <v>73050</v>
      </c>
      <c r="M20" s="12" t="s">
        <v>8586</v>
      </c>
      <c r="N20" s="12" t="s">
        <v>8590</v>
      </c>
      <c r="O20" s="12" t="s">
        <v>8583</v>
      </c>
      <c r="P20" s="12" t="s">
        <v>1216</v>
      </c>
    </row>
    <row r="21" spans="1:17" x14ac:dyDescent="0.25">
      <c r="A21" s="12" t="str">
        <f t="shared" si="0"/>
        <v>StanekMartyna Katarzyna</v>
      </c>
      <c r="B21" s="12" t="str">
        <f t="shared" si="1"/>
        <v>0005555530</v>
      </c>
      <c r="C21" s="14">
        <f t="shared" si="2"/>
        <v>176</v>
      </c>
      <c r="D21" s="14">
        <v>85</v>
      </c>
      <c r="E21" s="12" t="s">
        <v>2149</v>
      </c>
      <c r="F21" s="12" t="s">
        <v>2150</v>
      </c>
      <c r="G21" s="14">
        <v>176</v>
      </c>
      <c r="H21" s="12" t="s">
        <v>2148</v>
      </c>
      <c r="I21" s="12" t="s">
        <v>2151</v>
      </c>
      <c r="J21" s="12" t="s">
        <v>2152</v>
      </c>
      <c r="K21" s="15">
        <v>44593</v>
      </c>
      <c r="L21" s="15">
        <v>73050</v>
      </c>
      <c r="M21" s="12" t="s">
        <v>8548</v>
      </c>
      <c r="N21" s="12" t="s">
        <v>8548</v>
      </c>
      <c r="O21" s="12" t="s">
        <v>8583</v>
      </c>
      <c r="P21" s="12" t="s">
        <v>1216</v>
      </c>
    </row>
    <row r="22" spans="1:17" x14ac:dyDescent="0.25">
      <c r="A22" s="12" t="str">
        <f t="shared" si="0"/>
        <v>SzczesnyAgnieszka Joanna</v>
      </c>
      <c r="B22" s="12" t="str">
        <f t="shared" si="1"/>
        <v>0009551583</v>
      </c>
      <c r="C22" s="14">
        <f t="shared" si="2"/>
        <v>177</v>
      </c>
      <c r="D22" s="14">
        <v>87</v>
      </c>
      <c r="E22" s="12" t="s">
        <v>2194</v>
      </c>
      <c r="F22" s="12" t="s">
        <v>2195</v>
      </c>
      <c r="G22" s="14">
        <v>177</v>
      </c>
      <c r="H22" s="12" t="s">
        <v>2193</v>
      </c>
      <c r="I22" s="12" t="s">
        <v>2196</v>
      </c>
      <c r="J22" s="12" t="s">
        <v>2197</v>
      </c>
      <c r="K22" s="15">
        <v>44593</v>
      </c>
      <c r="L22" s="15">
        <v>73050</v>
      </c>
      <c r="M22" s="12" t="s">
        <v>8568</v>
      </c>
      <c r="N22" s="12" t="s">
        <v>8591</v>
      </c>
      <c r="O22" s="12" t="s">
        <v>8584</v>
      </c>
      <c r="P22" s="12" t="s">
        <v>1216</v>
      </c>
      <c r="Q22" s="12" t="s">
        <v>8599</v>
      </c>
    </row>
    <row r="23" spans="1:17" x14ac:dyDescent="0.25">
      <c r="A23" s="12" t="str">
        <f t="shared" si="0"/>
        <v>TytkoAleksandra Irmina</v>
      </c>
      <c r="B23" s="12" t="str">
        <f t="shared" si="1"/>
        <v>0004468410</v>
      </c>
      <c r="C23" s="14">
        <f t="shared" si="2"/>
        <v>183</v>
      </c>
      <c r="D23" s="14">
        <v>91</v>
      </c>
      <c r="E23" s="12" t="s">
        <v>2252</v>
      </c>
      <c r="F23" s="12" t="s">
        <v>2253</v>
      </c>
      <c r="G23" s="14">
        <v>183</v>
      </c>
      <c r="H23" s="12" t="s">
        <v>2251</v>
      </c>
      <c r="I23" s="12" t="s">
        <v>2254</v>
      </c>
      <c r="J23" s="12" t="s">
        <v>2255</v>
      </c>
      <c r="K23" s="15">
        <v>44593</v>
      </c>
      <c r="L23" s="15">
        <v>73050</v>
      </c>
      <c r="M23" s="12" t="s">
        <v>8586</v>
      </c>
      <c r="N23" s="12" t="s">
        <v>8587</v>
      </c>
      <c r="O23" s="12" t="s">
        <v>8583</v>
      </c>
      <c r="P23" s="12" t="s">
        <v>1216</v>
      </c>
    </row>
    <row r="24" spans="1:17" x14ac:dyDescent="0.25">
      <c r="A24" s="12" t="str">
        <f t="shared" si="0"/>
        <v>WawrzycznyLeszek Adam</v>
      </c>
      <c r="B24" s="12" t="str">
        <f t="shared" si="1"/>
        <v>0004741996</v>
      </c>
      <c r="C24" s="14">
        <f t="shared" si="2"/>
        <v>185</v>
      </c>
      <c r="D24" s="14">
        <v>95</v>
      </c>
      <c r="E24" s="12" t="s">
        <v>2291</v>
      </c>
      <c r="F24" s="12" t="s">
        <v>2292</v>
      </c>
      <c r="G24" s="14">
        <v>185</v>
      </c>
      <c r="H24" s="12" t="s">
        <v>2290</v>
      </c>
      <c r="I24" s="12" t="s">
        <v>2293</v>
      </c>
      <c r="J24" s="12" t="s">
        <v>2294</v>
      </c>
      <c r="K24" s="15">
        <v>44593</v>
      </c>
      <c r="L24" s="15">
        <v>73050</v>
      </c>
      <c r="M24" s="12" t="s">
        <v>8586</v>
      </c>
      <c r="N24" s="12" t="s">
        <v>8600</v>
      </c>
      <c r="O24" s="12" t="s">
        <v>8583</v>
      </c>
      <c r="P24" s="12" t="s">
        <v>1216</v>
      </c>
    </row>
    <row r="25" spans="1:17" x14ac:dyDescent="0.25">
      <c r="A25" s="12" t="str">
        <f t="shared" si="0"/>
        <v>GolysznaDaria Anna</v>
      </c>
      <c r="B25" s="12" t="str">
        <f t="shared" si="1"/>
        <v>0004521242</v>
      </c>
      <c r="C25" s="14">
        <f t="shared" si="2"/>
        <v>279</v>
      </c>
      <c r="D25" s="14">
        <v>50</v>
      </c>
      <c r="E25" s="12" t="s">
        <v>1395</v>
      </c>
      <c r="F25" s="12" t="s">
        <v>1396</v>
      </c>
      <c r="G25" s="14">
        <v>279</v>
      </c>
      <c r="H25" s="12" t="s">
        <v>1394</v>
      </c>
      <c r="I25" s="12" t="s">
        <v>1397</v>
      </c>
      <c r="J25" s="12" t="s">
        <v>1398</v>
      </c>
      <c r="K25" s="15">
        <v>45019</v>
      </c>
      <c r="L25" s="15">
        <v>73050</v>
      </c>
      <c r="M25" s="12" t="s">
        <v>8568</v>
      </c>
      <c r="N25" s="12" t="s">
        <v>8594</v>
      </c>
      <c r="O25" s="12" t="s">
        <v>8584</v>
      </c>
      <c r="P25" s="12" t="s">
        <v>1216</v>
      </c>
      <c r="Q25" s="12" t="s">
        <v>8601</v>
      </c>
    </row>
    <row r="26" spans="1:17" x14ac:dyDescent="0.25">
      <c r="A26" s="12" t="str">
        <f t="shared" si="0"/>
        <v>KrálováEliška</v>
      </c>
      <c r="B26" s="12" t="str">
        <f t="shared" si="1"/>
        <v>0002029049</v>
      </c>
      <c r="C26" s="14">
        <f t="shared" si="2"/>
        <v>750</v>
      </c>
      <c r="D26" s="14">
        <v>132</v>
      </c>
      <c r="E26" s="12" t="s">
        <v>4315</v>
      </c>
      <c r="F26" s="12" t="s">
        <v>4316</v>
      </c>
      <c r="G26" s="14">
        <v>750</v>
      </c>
      <c r="H26" s="12" t="s">
        <v>4319</v>
      </c>
      <c r="I26" s="12" t="s">
        <v>3362</v>
      </c>
      <c r="J26" s="12" t="s">
        <v>4320</v>
      </c>
      <c r="K26" s="15">
        <v>45432</v>
      </c>
      <c r="L26" s="15">
        <v>73050</v>
      </c>
      <c r="M26" s="12" t="s">
        <v>8548</v>
      </c>
      <c r="N26" s="12" t="s">
        <v>8548</v>
      </c>
      <c r="O26" s="12" t="s">
        <v>8583</v>
      </c>
      <c r="P26" s="12" t="s">
        <v>1216</v>
      </c>
    </row>
    <row r="27" spans="1:17" x14ac:dyDescent="0.25">
      <c r="A27" s="12" t="str">
        <f t="shared" si="0"/>
        <v>OnderkaJan</v>
      </c>
      <c r="B27" s="12" t="str">
        <f t="shared" si="1"/>
        <v>0400305422</v>
      </c>
      <c r="C27" s="14">
        <f t="shared" si="2"/>
        <v>1658</v>
      </c>
      <c r="D27" s="14">
        <v>199</v>
      </c>
      <c r="E27" s="12" t="s">
        <v>7082</v>
      </c>
      <c r="F27" s="12" t="s">
        <v>86</v>
      </c>
      <c r="G27" s="14">
        <v>1658</v>
      </c>
      <c r="H27" s="14">
        <v>1658</v>
      </c>
      <c r="I27" s="12" t="s">
        <v>7086</v>
      </c>
      <c r="J27" s="12" t="s">
        <v>7083</v>
      </c>
      <c r="K27" s="15">
        <v>45803</v>
      </c>
      <c r="L27" s="12" t="s">
        <v>8566</v>
      </c>
      <c r="M27" s="12" t="s">
        <v>8575</v>
      </c>
      <c r="N27" s="12" t="s">
        <v>8602</v>
      </c>
      <c r="O27" s="12" t="s">
        <v>8583</v>
      </c>
      <c r="P27" s="12" t="s">
        <v>493</v>
      </c>
    </row>
    <row r="28" spans="1:17" x14ac:dyDescent="0.25">
      <c r="A28" s="12" t="str">
        <f t="shared" si="0"/>
        <v>HodulíkMikuláš</v>
      </c>
      <c r="B28" s="12">
        <f t="shared" si="1"/>
        <v>1875</v>
      </c>
      <c r="C28" s="14">
        <f t="shared" si="2"/>
        <v>1875</v>
      </c>
      <c r="D28" s="14">
        <v>239</v>
      </c>
      <c r="E28" s="12" t="s">
        <v>7890</v>
      </c>
      <c r="F28" s="12" t="s">
        <v>7891</v>
      </c>
      <c r="G28" s="14">
        <v>1875</v>
      </c>
      <c r="H28" s="12" t="s">
        <v>569</v>
      </c>
      <c r="I28" s="14">
        <v>1875</v>
      </c>
      <c r="J28" s="12" t="s">
        <v>7892</v>
      </c>
      <c r="K28" s="15">
        <v>45992</v>
      </c>
      <c r="L28" s="12" t="s">
        <v>8566</v>
      </c>
      <c r="M28" s="12" t="s">
        <v>8575</v>
      </c>
      <c r="N28" s="12" t="s">
        <v>8602</v>
      </c>
      <c r="O28" s="12" t="s">
        <v>8598</v>
      </c>
      <c r="P28" s="12" t="s">
        <v>493</v>
      </c>
      <c r="Q28" s="12" t="s">
        <v>8603</v>
      </c>
    </row>
    <row r="29" spans="1:17" x14ac:dyDescent="0.25">
      <c r="A29" s="12" t="str">
        <f t="shared" si="0"/>
        <v>PiechaczekAgnieszka</v>
      </c>
      <c r="B29" s="12" t="str">
        <f t="shared" si="1"/>
        <v>0272698616</v>
      </c>
      <c r="C29" s="14">
        <f t="shared" si="2"/>
        <v>2230</v>
      </c>
      <c r="D29" s="14">
        <v>17</v>
      </c>
      <c r="E29" s="12" t="s">
        <v>573</v>
      </c>
      <c r="F29" s="12" t="s">
        <v>574</v>
      </c>
      <c r="G29" s="14">
        <v>2230</v>
      </c>
      <c r="H29" s="14">
        <v>2230</v>
      </c>
      <c r="I29" s="12" t="s">
        <v>575</v>
      </c>
      <c r="J29" s="12" t="s">
        <v>576</v>
      </c>
      <c r="K29" s="15">
        <v>45078</v>
      </c>
      <c r="L29" s="15">
        <v>73050</v>
      </c>
      <c r="M29" s="12" t="s">
        <v>8571</v>
      </c>
      <c r="N29" s="12" t="s">
        <v>8604</v>
      </c>
      <c r="O29" s="12" t="s">
        <v>8583</v>
      </c>
      <c r="P29" s="12" t="s">
        <v>47</v>
      </c>
    </row>
    <row r="30" spans="1:17" x14ac:dyDescent="0.25">
      <c r="A30" s="12" t="str">
        <f t="shared" si="0"/>
        <v>KrenselMaria</v>
      </c>
      <c r="B30" s="12" t="str">
        <f t="shared" si="1"/>
        <v>0289910254</v>
      </c>
      <c r="C30" s="14">
        <f t="shared" si="2"/>
        <v>2463</v>
      </c>
      <c r="D30" s="14">
        <v>24</v>
      </c>
      <c r="E30" s="12" t="s">
        <v>676</v>
      </c>
      <c r="F30" s="12" t="s">
        <v>677</v>
      </c>
      <c r="G30" s="14">
        <v>2463</v>
      </c>
      <c r="H30" s="14">
        <v>2463</v>
      </c>
      <c r="I30" s="12" t="s">
        <v>678</v>
      </c>
      <c r="J30" s="12" t="s">
        <v>679</v>
      </c>
      <c r="K30" s="15">
        <v>45078</v>
      </c>
      <c r="L30" s="15">
        <v>73050</v>
      </c>
      <c r="M30" s="12" t="s">
        <v>8548</v>
      </c>
      <c r="N30" s="12" t="s">
        <v>8548</v>
      </c>
      <c r="O30" s="12" t="s">
        <v>8584</v>
      </c>
      <c r="P30" s="12" t="s">
        <v>47</v>
      </c>
      <c r="Q30" s="12" t="s">
        <v>8605</v>
      </c>
    </row>
    <row r="31" spans="1:17" x14ac:dyDescent="0.25">
      <c r="A31" s="12" t="str">
        <f t="shared" si="0"/>
        <v>StaniszPawel Piotr</v>
      </c>
      <c r="B31" s="12" t="str">
        <f t="shared" si="1"/>
        <v>0012985727</v>
      </c>
      <c r="C31" s="14">
        <f t="shared" si="2"/>
        <v>2600</v>
      </c>
      <c r="D31" s="14">
        <v>40</v>
      </c>
      <c r="E31" s="12" t="s">
        <v>1162</v>
      </c>
      <c r="F31" s="12" t="s">
        <v>1163</v>
      </c>
      <c r="G31" s="14">
        <v>2600</v>
      </c>
      <c r="H31" s="14">
        <v>7513</v>
      </c>
      <c r="I31" s="12" t="s">
        <v>1164</v>
      </c>
      <c r="J31" s="12" t="s">
        <v>1165</v>
      </c>
      <c r="K31" s="15">
        <v>44843</v>
      </c>
      <c r="L31" s="15">
        <v>73050</v>
      </c>
      <c r="M31" s="12" t="s">
        <v>8568</v>
      </c>
      <c r="N31" s="12" t="s">
        <v>8591</v>
      </c>
      <c r="O31" s="12" t="s">
        <v>8606</v>
      </c>
      <c r="P31" s="12" t="s">
        <v>1022</v>
      </c>
    </row>
    <row r="32" spans="1:17" x14ac:dyDescent="0.25">
      <c r="A32" s="12" t="str">
        <f t="shared" si="0"/>
        <v>PoloczekJadwiga Barbara</v>
      </c>
      <c r="B32" s="12" t="str">
        <f t="shared" si="1"/>
        <v>0012984388</v>
      </c>
      <c r="C32" s="14">
        <f t="shared" si="2"/>
        <v>3063</v>
      </c>
      <c r="D32" s="14">
        <v>39</v>
      </c>
      <c r="E32" s="12" t="s">
        <v>1149</v>
      </c>
      <c r="F32" s="12" t="s">
        <v>1150</v>
      </c>
      <c r="G32" s="14">
        <v>3063</v>
      </c>
      <c r="H32" s="14">
        <v>7518</v>
      </c>
      <c r="I32" s="12" t="s">
        <v>1151</v>
      </c>
      <c r="J32" s="12" t="s">
        <v>1152</v>
      </c>
      <c r="K32" s="15">
        <v>44424</v>
      </c>
      <c r="L32" s="15">
        <v>73050</v>
      </c>
      <c r="M32" s="12" t="s">
        <v>8568</v>
      </c>
      <c r="N32" s="12" t="s">
        <v>8607</v>
      </c>
      <c r="O32" s="12" t="s">
        <v>8583</v>
      </c>
      <c r="P32" s="12" t="s">
        <v>1022</v>
      </c>
    </row>
    <row r="33" spans="1:17" x14ac:dyDescent="0.25">
      <c r="A33" s="12" t="str">
        <f t="shared" si="0"/>
        <v>StarzycznyJoanna</v>
      </c>
      <c r="B33" s="12" t="str">
        <f t="shared" si="1"/>
        <v>0272698647</v>
      </c>
      <c r="C33" s="14">
        <f t="shared" si="2"/>
        <v>3257</v>
      </c>
      <c r="D33" s="14">
        <v>19</v>
      </c>
      <c r="E33" s="12" t="s">
        <v>592</v>
      </c>
      <c r="F33" s="12" t="s">
        <v>593</v>
      </c>
      <c r="G33" s="14">
        <v>3257</v>
      </c>
      <c r="H33" s="14">
        <v>3257</v>
      </c>
      <c r="I33" s="12" t="s">
        <v>594</v>
      </c>
      <c r="J33" s="12" t="s">
        <v>595</v>
      </c>
      <c r="K33" s="15">
        <v>45183</v>
      </c>
      <c r="L33" s="15">
        <v>73050</v>
      </c>
      <c r="M33" s="12" t="s">
        <v>8571</v>
      </c>
      <c r="N33" s="12" t="s">
        <v>8604</v>
      </c>
      <c r="O33" s="12" t="s">
        <v>8583</v>
      </c>
      <c r="P33" s="12" t="s">
        <v>47</v>
      </c>
      <c r="Q33" s="12" t="s">
        <v>8608</v>
      </c>
    </row>
    <row r="34" spans="1:17" x14ac:dyDescent="0.25">
      <c r="A34" s="12" t="str">
        <f t="shared" si="0"/>
        <v>LorencPawel Jan</v>
      </c>
      <c r="B34" s="12" t="str">
        <f t="shared" si="1"/>
        <v>0011767781</v>
      </c>
      <c r="C34" s="14">
        <f t="shared" si="2"/>
        <v>3262</v>
      </c>
      <c r="D34" s="14">
        <v>36</v>
      </c>
      <c r="E34" s="12" t="s">
        <v>1079</v>
      </c>
      <c r="F34" s="12" t="s">
        <v>1080</v>
      </c>
      <c r="G34" s="14">
        <v>3262</v>
      </c>
      <c r="H34" s="14">
        <v>7650</v>
      </c>
      <c r="I34" s="12" t="s">
        <v>1081</v>
      </c>
      <c r="J34" s="12" t="s">
        <v>1082</v>
      </c>
      <c r="K34" s="15">
        <v>44287</v>
      </c>
      <c r="L34" s="15">
        <v>73050</v>
      </c>
      <c r="M34" s="12" t="s">
        <v>8568</v>
      </c>
      <c r="N34" s="12" t="s">
        <v>8609</v>
      </c>
      <c r="O34" s="12" t="s">
        <v>8573</v>
      </c>
      <c r="P34" s="12" t="s">
        <v>1022</v>
      </c>
      <c r="Q34" s="12" t="s">
        <v>8610</v>
      </c>
    </row>
    <row r="35" spans="1:17" x14ac:dyDescent="0.25">
      <c r="A35" s="12" t="str">
        <f t="shared" si="0"/>
        <v>DalemulaRadoslaw Jakub</v>
      </c>
      <c r="B35" s="12" t="str">
        <f t="shared" si="1"/>
        <v>0011727280</v>
      </c>
      <c r="C35" s="14">
        <f t="shared" si="2"/>
        <v>3359</v>
      </c>
      <c r="D35" s="14">
        <v>35</v>
      </c>
      <c r="E35" s="12" t="s">
        <v>307</v>
      </c>
      <c r="F35" s="12" t="s">
        <v>1045</v>
      </c>
      <c r="G35" s="14">
        <v>3359</v>
      </c>
      <c r="H35" s="14">
        <v>7685</v>
      </c>
      <c r="I35" s="12" t="s">
        <v>1046</v>
      </c>
      <c r="J35" s="12" t="s">
        <v>1047</v>
      </c>
      <c r="K35" s="15">
        <v>44477</v>
      </c>
      <c r="L35" s="15">
        <v>73050</v>
      </c>
      <c r="M35" s="12" t="s">
        <v>8586</v>
      </c>
      <c r="N35" s="12" t="s">
        <v>8611</v>
      </c>
      <c r="O35" s="12" t="s">
        <v>8606</v>
      </c>
      <c r="P35" s="12" t="s">
        <v>1022</v>
      </c>
    </row>
    <row r="36" spans="1:17" x14ac:dyDescent="0.25">
      <c r="A36" s="12" t="str">
        <f t="shared" si="0"/>
        <v>MottlováMarkéta</v>
      </c>
      <c r="B36" s="12" t="str">
        <f t="shared" si="1"/>
        <v>0315321940</v>
      </c>
      <c r="C36" s="14">
        <f t="shared" si="2"/>
        <v>3369</v>
      </c>
      <c r="D36" s="14">
        <v>20</v>
      </c>
      <c r="E36" s="12" t="s">
        <v>598</v>
      </c>
      <c r="F36" s="12" t="s">
        <v>599</v>
      </c>
      <c r="G36" s="14">
        <v>3369</v>
      </c>
      <c r="H36" s="14">
        <v>3369</v>
      </c>
      <c r="I36" s="12" t="s">
        <v>600</v>
      </c>
      <c r="J36" s="12" t="s">
        <v>601</v>
      </c>
      <c r="K36" s="15">
        <v>44287</v>
      </c>
      <c r="L36" s="15">
        <v>73050</v>
      </c>
      <c r="M36" s="12" t="s">
        <v>8571</v>
      </c>
      <c r="N36" s="12" t="s">
        <v>8572</v>
      </c>
      <c r="O36" s="12" t="s">
        <v>8583</v>
      </c>
      <c r="P36" s="12" t="s">
        <v>47</v>
      </c>
      <c r="Q36" s="12" t="s">
        <v>8612</v>
      </c>
    </row>
    <row r="37" spans="1:17" x14ac:dyDescent="0.25">
      <c r="A37" s="12" t="str">
        <f t="shared" si="0"/>
        <v>NawaraBartosz Pawel</v>
      </c>
      <c r="B37" s="12" t="str">
        <f t="shared" si="1"/>
        <v>0009586730</v>
      </c>
      <c r="C37" s="14">
        <f t="shared" si="2"/>
        <v>3379</v>
      </c>
      <c r="D37" s="14">
        <v>102</v>
      </c>
      <c r="E37" s="12" t="s">
        <v>2554</v>
      </c>
      <c r="F37" s="12" t="s">
        <v>783</v>
      </c>
      <c r="G37" s="14">
        <v>3379</v>
      </c>
      <c r="H37" s="14">
        <v>51781</v>
      </c>
      <c r="I37" s="12" t="s">
        <v>2555</v>
      </c>
      <c r="J37" s="12" t="s">
        <v>2556</v>
      </c>
      <c r="K37" s="15">
        <v>44936</v>
      </c>
      <c r="L37" s="12" t="s">
        <v>8566</v>
      </c>
      <c r="M37" s="12" t="s">
        <v>8575</v>
      </c>
      <c r="N37" s="12" t="s">
        <v>8613</v>
      </c>
      <c r="O37" s="12" t="s">
        <v>8580</v>
      </c>
      <c r="P37" s="12" t="s">
        <v>493</v>
      </c>
      <c r="Q37" s="12" t="s">
        <v>8614</v>
      </c>
    </row>
    <row r="38" spans="1:17" x14ac:dyDescent="0.25">
      <c r="A38" s="12" t="str">
        <f t="shared" si="0"/>
        <v>StawowskiPatryk Tomasz</v>
      </c>
      <c r="B38" s="12" t="str">
        <f t="shared" si="1"/>
        <v>0301180452</v>
      </c>
      <c r="C38" s="14">
        <f t="shared" si="2"/>
        <v>3394</v>
      </c>
      <c r="D38" s="14">
        <v>14</v>
      </c>
      <c r="E38" s="12" t="s">
        <v>511</v>
      </c>
      <c r="F38" s="12" t="s">
        <v>512</v>
      </c>
      <c r="G38" s="14">
        <v>3394</v>
      </c>
      <c r="H38" s="14">
        <v>3394</v>
      </c>
      <c r="I38" s="12" t="s">
        <v>513</v>
      </c>
      <c r="J38" s="12" t="s">
        <v>514</v>
      </c>
      <c r="K38" s="15">
        <v>44119</v>
      </c>
      <c r="L38" s="15">
        <v>73050</v>
      </c>
      <c r="M38" s="12" t="s">
        <v>8571</v>
      </c>
      <c r="N38" s="12" t="s">
        <v>8615</v>
      </c>
      <c r="O38" s="12" t="s">
        <v>8584</v>
      </c>
      <c r="P38" s="12" t="s">
        <v>47</v>
      </c>
    </row>
    <row r="39" spans="1:17" x14ac:dyDescent="0.25">
      <c r="A39" s="12" t="str">
        <f t="shared" si="0"/>
        <v>MatusiakOrfeusz Marek</v>
      </c>
      <c r="B39" s="12" t="str">
        <f t="shared" si="1"/>
        <v>0370042379</v>
      </c>
      <c r="C39" s="14">
        <f t="shared" si="2"/>
        <v>3396</v>
      </c>
      <c r="D39" s="14">
        <v>9</v>
      </c>
      <c r="E39" s="12" t="s">
        <v>397</v>
      </c>
      <c r="F39" s="12" t="s">
        <v>398</v>
      </c>
      <c r="G39" s="14">
        <v>3396</v>
      </c>
      <c r="H39" s="14">
        <v>3396</v>
      </c>
      <c r="I39" s="12" t="s">
        <v>399</v>
      </c>
      <c r="J39" s="12" t="s">
        <v>400</v>
      </c>
      <c r="K39" s="15">
        <v>44119</v>
      </c>
      <c r="L39" s="15">
        <v>73050</v>
      </c>
      <c r="M39" s="12" t="s">
        <v>8571</v>
      </c>
      <c r="N39" s="12" t="s">
        <v>8615</v>
      </c>
      <c r="O39" s="12" t="s">
        <v>8584</v>
      </c>
      <c r="P39" s="12" t="s">
        <v>47</v>
      </c>
    </row>
    <row r="40" spans="1:17" x14ac:dyDescent="0.25">
      <c r="A40" s="12" t="str">
        <f t="shared" si="0"/>
        <v>UrbasMonika Weronika</v>
      </c>
      <c r="B40" s="12" t="str">
        <f t="shared" si="1"/>
        <v>0301166942</v>
      </c>
      <c r="C40" s="14">
        <f t="shared" si="2"/>
        <v>3648</v>
      </c>
      <c r="D40" s="14">
        <v>16</v>
      </c>
      <c r="E40" s="12" t="s">
        <v>523</v>
      </c>
      <c r="F40" s="12" t="s">
        <v>524</v>
      </c>
      <c r="G40" s="14">
        <v>3648</v>
      </c>
      <c r="H40" s="14">
        <v>3648</v>
      </c>
      <c r="I40" s="12" t="s">
        <v>525</v>
      </c>
      <c r="J40" s="12" t="s">
        <v>526</v>
      </c>
      <c r="K40" s="15">
        <v>44207</v>
      </c>
      <c r="L40" s="15">
        <v>73050</v>
      </c>
      <c r="M40" s="12" t="s">
        <v>8571</v>
      </c>
      <c r="N40" s="12" t="s">
        <v>8615</v>
      </c>
      <c r="O40" s="12" t="s">
        <v>8583</v>
      </c>
      <c r="P40" s="12" t="s">
        <v>47</v>
      </c>
    </row>
    <row r="41" spans="1:17" x14ac:dyDescent="0.25">
      <c r="A41" s="12" t="str">
        <f t="shared" si="0"/>
        <v>KovařčikTomáš</v>
      </c>
      <c r="B41" s="12" t="str">
        <f t="shared" si="1"/>
        <v>0013126893</v>
      </c>
      <c r="C41" s="14">
        <f t="shared" si="2"/>
        <v>3695</v>
      </c>
      <c r="D41" s="14">
        <v>100</v>
      </c>
      <c r="E41" s="12" t="s">
        <v>2511</v>
      </c>
      <c r="F41" s="12" t="s">
        <v>2512</v>
      </c>
      <c r="G41" s="14">
        <v>3695</v>
      </c>
      <c r="H41" s="14">
        <v>10695</v>
      </c>
      <c r="I41" s="12" t="s">
        <v>2513</v>
      </c>
      <c r="J41" s="14">
        <v>739764081</v>
      </c>
      <c r="K41" s="15">
        <v>44256</v>
      </c>
      <c r="L41" s="15">
        <v>73050</v>
      </c>
      <c r="M41" s="12" t="s">
        <v>8548</v>
      </c>
      <c r="N41" s="12" t="s">
        <v>8548</v>
      </c>
      <c r="O41" s="12" t="s">
        <v>8583</v>
      </c>
      <c r="P41" s="12" t="s">
        <v>493</v>
      </c>
    </row>
    <row r="42" spans="1:17" x14ac:dyDescent="0.25">
      <c r="A42" s="12" t="str">
        <f t="shared" si="0"/>
        <v>FitrzykováJana</v>
      </c>
      <c r="B42" s="12" t="str">
        <f t="shared" si="1"/>
        <v>0328604658</v>
      </c>
      <c r="C42" s="14">
        <f t="shared" si="2"/>
        <v>3721</v>
      </c>
      <c r="D42" s="14">
        <v>21</v>
      </c>
      <c r="E42" s="12" t="s">
        <v>610</v>
      </c>
      <c r="F42" s="12" t="s">
        <v>611</v>
      </c>
      <c r="G42" s="14">
        <v>3721</v>
      </c>
      <c r="H42" s="14">
        <v>3721</v>
      </c>
      <c r="I42" s="12" t="s">
        <v>612</v>
      </c>
      <c r="J42" s="12" t="s">
        <v>613</v>
      </c>
      <c r="K42" s="15">
        <v>45123</v>
      </c>
      <c r="L42" s="15">
        <v>73050</v>
      </c>
      <c r="M42" s="12" t="s">
        <v>8571</v>
      </c>
      <c r="N42" s="12" t="s">
        <v>8572</v>
      </c>
      <c r="O42" s="12" t="s">
        <v>8580</v>
      </c>
      <c r="P42" s="12" t="s">
        <v>47</v>
      </c>
    </row>
    <row r="43" spans="1:17" x14ac:dyDescent="0.25">
      <c r="A43" s="12" t="str">
        <f t="shared" si="0"/>
        <v>ChodinskýRostislav</v>
      </c>
      <c r="B43" s="12" t="str">
        <f t="shared" si="1"/>
        <v>0301165667</v>
      </c>
      <c r="C43" s="14">
        <f t="shared" si="2"/>
        <v>3728</v>
      </c>
      <c r="D43" s="14">
        <v>22</v>
      </c>
      <c r="E43" s="12" t="s">
        <v>616</v>
      </c>
      <c r="F43" s="12" t="s">
        <v>622</v>
      </c>
      <c r="G43" s="14">
        <v>3728</v>
      </c>
      <c r="H43" s="14">
        <v>3728</v>
      </c>
      <c r="I43" s="12" t="s">
        <v>623</v>
      </c>
      <c r="J43" s="12" t="s">
        <v>624</v>
      </c>
      <c r="K43" s="15">
        <v>44270</v>
      </c>
      <c r="L43" s="15">
        <v>73050</v>
      </c>
      <c r="M43" s="12" t="s">
        <v>8571</v>
      </c>
      <c r="N43" s="12" t="s">
        <v>8572</v>
      </c>
      <c r="O43" s="12" t="s">
        <v>8583</v>
      </c>
      <c r="P43" s="12" t="s">
        <v>47</v>
      </c>
      <c r="Q43" s="12" t="s">
        <v>8616</v>
      </c>
    </row>
    <row r="44" spans="1:17" x14ac:dyDescent="0.25">
      <c r="A44" s="12" t="str">
        <f t="shared" si="0"/>
        <v>Sowa (Krzenek)Ryszarda</v>
      </c>
      <c r="B44" s="12" t="str">
        <f t="shared" si="1"/>
        <v>0011732040</v>
      </c>
      <c r="C44" s="14">
        <f t="shared" si="2"/>
        <v>3920</v>
      </c>
      <c r="D44" s="14">
        <v>23</v>
      </c>
      <c r="E44" s="12" t="s">
        <v>654</v>
      </c>
      <c r="F44" s="12" t="s">
        <v>655</v>
      </c>
      <c r="G44" s="14">
        <v>3920</v>
      </c>
      <c r="H44" s="14">
        <v>3920</v>
      </c>
      <c r="I44" s="12" t="s">
        <v>656</v>
      </c>
      <c r="J44" s="12" t="s">
        <v>657</v>
      </c>
      <c r="K44" s="15">
        <v>44725</v>
      </c>
      <c r="L44" s="12" t="s">
        <v>8566</v>
      </c>
      <c r="M44" s="12" t="s">
        <v>8581</v>
      </c>
      <c r="N44" s="12" t="s">
        <v>8617</v>
      </c>
      <c r="O44" s="12" t="s">
        <v>8583</v>
      </c>
      <c r="P44" s="12" t="s">
        <v>47</v>
      </c>
      <c r="Q44" s="12" t="s">
        <v>8618</v>
      </c>
    </row>
    <row r="45" spans="1:17" x14ac:dyDescent="0.25">
      <c r="A45" s="12" t="str">
        <f t="shared" si="0"/>
        <v>TyminskaSylvia Malgorzata</v>
      </c>
      <c r="B45" s="12" t="str">
        <f t="shared" si="1"/>
        <v>0272698648</v>
      </c>
      <c r="C45" s="14">
        <f t="shared" si="2"/>
        <v>3937</v>
      </c>
      <c r="D45" s="14">
        <v>7</v>
      </c>
      <c r="E45" s="12" t="s">
        <v>379</v>
      </c>
      <c r="F45" s="12" t="s">
        <v>380</v>
      </c>
      <c r="G45" s="14">
        <v>3937</v>
      </c>
      <c r="H45" s="14">
        <v>3937</v>
      </c>
      <c r="I45" s="12" t="s">
        <v>381</v>
      </c>
      <c r="J45" s="12" t="s">
        <v>382</v>
      </c>
      <c r="K45" s="15">
        <v>44677</v>
      </c>
      <c r="L45" s="15">
        <v>73050</v>
      </c>
      <c r="M45" s="12" t="s">
        <v>8571</v>
      </c>
      <c r="N45" s="12" t="s">
        <v>8619</v>
      </c>
      <c r="O45" s="12" t="s">
        <v>8584</v>
      </c>
      <c r="P45" s="12" t="s">
        <v>47</v>
      </c>
    </row>
    <row r="46" spans="1:17" x14ac:dyDescent="0.25">
      <c r="A46" s="12" t="str">
        <f t="shared" si="0"/>
        <v>BrachmanPiotr Leszek</v>
      </c>
      <c r="B46" s="12" t="str">
        <f t="shared" si="1"/>
        <v>0013392876</v>
      </c>
      <c r="C46" s="14">
        <f t="shared" si="2"/>
        <v>3951</v>
      </c>
      <c r="D46" s="14">
        <v>33</v>
      </c>
      <c r="E46" s="12" t="s">
        <v>1031</v>
      </c>
      <c r="F46" s="12" t="s">
        <v>1032</v>
      </c>
      <c r="G46" s="14">
        <v>3951</v>
      </c>
      <c r="H46" s="14">
        <v>7547</v>
      </c>
      <c r="I46" s="12" t="s">
        <v>1033</v>
      </c>
      <c r="J46" s="12" t="s">
        <v>1034</v>
      </c>
      <c r="K46" s="15">
        <v>44825</v>
      </c>
      <c r="L46" s="12" t="s">
        <v>8566</v>
      </c>
      <c r="M46" s="12" t="s">
        <v>8548</v>
      </c>
      <c r="N46" s="12" t="s">
        <v>8548</v>
      </c>
      <c r="O46" s="12" t="s">
        <v>8620</v>
      </c>
      <c r="P46" s="12" t="s">
        <v>1022</v>
      </c>
      <c r="Q46" s="12" t="s">
        <v>8585</v>
      </c>
    </row>
    <row r="47" spans="1:17" x14ac:dyDescent="0.25">
      <c r="A47" s="12" t="str">
        <f t="shared" si="0"/>
        <v>PitelJiří</v>
      </c>
      <c r="B47" s="12" t="str">
        <f t="shared" si="1"/>
        <v>0011818564</v>
      </c>
      <c r="C47" s="14">
        <f t="shared" si="2"/>
        <v>4044</v>
      </c>
      <c r="D47" s="14">
        <v>103</v>
      </c>
      <c r="E47" s="12" t="s">
        <v>2565</v>
      </c>
      <c r="F47" s="12" t="s">
        <v>2566</v>
      </c>
      <c r="G47" s="14">
        <v>4044</v>
      </c>
      <c r="H47" s="14">
        <v>51090</v>
      </c>
      <c r="I47" s="12" t="s">
        <v>2567</v>
      </c>
      <c r="J47" s="14">
        <v>731907245</v>
      </c>
      <c r="K47" s="15">
        <v>44440</v>
      </c>
      <c r="L47" s="12" t="s">
        <v>8566</v>
      </c>
      <c r="M47" s="12" t="s">
        <v>8548</v>
      </c>
      <c r="N47" s="12" t="s">
        <v>8548</v>
      </c>
      <c r="O47" s="12" t="s">
        <v>8584</v>
      </c>
      <c r="P47" s="12" t="s">
        <v>493</v>
      </c>
      <c r="Q47" s="12" t="s">
        <v>8621</v>
      </c>
    </row>
    <row r="48" spans="1:17" x14ac:dyDescent="0.25">
      <c r="A48" s="12" t="str">
        <f t="shared" si="0"/>
        <v>SuchyAnna Katarzyna</v>
      </c>
      <c r="B48" s="12" t="str">
        <f t="shared" si="1"/>
        <v>0328608658</v>
      </c>
      <c r="C48" s="14">
        <f t="shared" si="2"/>
        <v>4155</v>
      </c>
      <c r="D48" s="14">
        <v>5</v>
      </c>
      <c r="E48" s="12" t="s">
        <v>337</v>
      </c>
      <c r="F48" s="12" t="s">
        <v>338</v>
      </c>
      <c r="G48" s="14">
        <v>4155</v>
      </c>
      <c r="H48" s="14">
        <v>4155</v>
      </c>
      <c r="I48" s="12" t="s">
        <v>339</v>
      </c>
      <c r="J48" s="12" t="s">
        <v>340</v>
      </c>
      <c r="K48" s="15">
        <v>44522</v>
      </c>
      <c r="L48" s="12" t="s">
        <v>8566</v>
      </c>
      <c r="M48" s="12" t="s">
        <v>8571</v>
      </c>
      <c r="N48" s="12" t="s">
        <v>8411</v>
      </c>
      <c r="O48" s="12" t="s">
        <v>8580</v>
      </c>
      <c r="P48" s="12" t="s">
        <v>47</v>
      </c>
    </row>
    <row r="49" spans="1:17" x14ac:dyDescent="0.25">
      <c r="A49" s="12" t="str">
        <f t="shared" si="0"/>
        <v>SmietanaMirela Barbara</v>
      </c>
      <c r="B49" s="12" t="str">
        <f t="shared" si="1"/>
        <v>0301162261</v>
      </c>
      <c r="C49" s="14">
        <f t="shared" si="2"/>
        <v>4163</v>
      </c>
      <c r="D49" s="14">
        <v>1</v>
      </c>
      <c r="E49" s="12" t="s">
        <v>249</v>
      </c>
      <c r="F49" s="12" t="s">
        <v>250</v>
      </c>
      <c r="G49" s="14">
        <v>4163</v>
      </c>
      <c r="H49" s="14">
        <v>4163</v>
      </c>
      <c r="I49" s="12" t="s">
        <v>251</v>
      </c>
      <c r="J49" s="12" t="s">
        <v>252</v>
      </c>
      <c r="K49" s="15">
        <v>44697</v>
      </c>
      <c r="L49" s="12" t="s">
        <v>8566</v>
      </c>
      <c r="M49" s="12" t="s">
        <v>8571</v>
      </c>
      <c r="N49" s="12" t="s">
        <v>8622</v>
      </c>
      <c r="O49" s="12" t="s">
        <v>8598</v>
      </c>
      <c r="P49" s="12" t="s">
        <v>47</v>
      </c>
    </row>
    <row r="50" spans="1:17" x14ac:dyDescent="0.25">
      <c r="A50" s="12" t="str">
        <f t="shared" si="0"/>
        <v>MarczewskiRobert Wieslaw</v>
      </c>
      <c r="B50" s="12" t="str">
        <f t="shared" si="1"/>
        <v>0000904527</v>
      </c>
      <c r="C50" s="14">
        <f t="shared" si="2"/>
        <v>4237</v>
      </c>
      <c r="D50" s="14">
        <v>101</v>
      </c>
      <c r="E50" s="12" t="s">
        <v>2542</v>
      </c>
      <c r="F50" s="12" t="s">
        <v>2543</v>
      </c>
      <c r="G50" s="14">
        <v>4237</v>
      </c>
      <c r="H50" s="14">
        <v>51614</v>
      </c>
      <c r="I50" s="12" t="s">
        <v>2544</v>
      </c>
      <c r="J50" s="12" t="s">
        <v>2545</v>
      </c>
      <c r="K50" s="15">
        <v>44836</v>
      </c>
      <c r="L50" s="12" t="s">
        <v>8566</v>
      </c>
      <c r="M50" s="12" t="s">
        <v>8623</v>
      </c>
      <c r="N50" s="12" t="s">
        <v>8624</v>
      </c>
      <c r="O50" s="12" t="s">
        <v>8580</v>
      </c>
      <c r="P50" s="12" t="s">
        <v>493</v>
      </c>
    </row>
    <row r="51" spans="1:17" x14ac:dyDescent="0.25">
      <c r="A51" s="12" t="str">
        <f t="shared" si="0"/>
        <v>MilekMichal Jerzy</v>
      </c>
      <c r="B51" s="12" t="str">
        <f t="shared" si="1"/>
        <v>0013103649</v>
      </c>
      <c r="C51" s="14">
        <f t="shared" si="2"/>
        <v>4392</v>
      </c>
      <c r="D51" s="14">
        <v>37</v>
      </c>
      <c r="E51" s="12" t="s">
        <v>1104</v>
      </c>
      <c r="F51" s="12" t="s">
        <v>1105</v>
      </c>
      <c r="G51" s="14">
        <v>4392</v>
      </c>
      <c r="H51" s="14">
        <v>7514</v>
      </c>
      <c r="I51" s="12" t="s">
        <v>1106</v>
      </c>
      <c r="J51" s="12" t="s">
        <v>1107</v>
      </c>
      <c r="K51" s="15">
        <v>44643</v>
      </c>
      <c r="L51" s="12" t="s">
        <v>8566</v>
      </c>
      <c r="M51" s="12" t="s">
        <v>8586</v>
      </c>
      <c r="N51" s="12" t="s">
        <v>8611</v>
      </c>
      <c r="O51" s="12" t="s">
        <v>8620</v>
      </c>
      <c r="P51" s="12" t="s">
        <v>1022</v>
      </c>
      <c r="Q51" s="12" t="s">
        <v>8625</v>
      </c>
    </row>
    <row r="52" spans="1:17" x14ac:dyDescent="0.25">
      <c r="A52" s="12" t="str">
        <f t="shared" si="0"/>
        <v>ZmarzlyRoksana Marzena</v>
      </c>
      <c r="B52" s="12" t="str">
        <f t="shared" si="1"/>
        <v>0001988530</v>
      </c>
      <c r="C52" s="14">
        <f t="shared" si="2"/>
        <v>4423</v>
      </c>
      <c r="D52" s="14">
        <v>96</v>
      </c>
      <c r="E52" s="12" t="s">
        <v>2353</v>
      </c>
      <c r="F52" s="12" t="s">
        <v>2354</v>
      </c>
      <c r="G52" s="14">
        <v>4423</v>
      </c>
      <c r="H52" s="12" t="s">
        <v>2352</v>
      </c>
      <c r="I52" s="12" t="s">
        <v>2355</v>
      </c>
      <c r="J52" s="12" t="s">
        <v>2356</v>
      </c>
      <c r="K52" s="15">
        <v>44652</v>
      </c>
      <c r="L52" s="15">
        <v>73050</v>
      </c>
      <c r="M52" s="12" t="s">
        <v>8586</v>
      </c>
      <c r="N52" s="12" t="s">
        <v>8626</v>
      </c>
      <c r="O52" s="12" t="s">
        <v>8583</v>
      </c>
      <c r="P52" s="12" t="s">
        <v>1216</v>
      </c>
      <c r="Q52" s="12" t="s">
        <v>8627</v>
      </c>
    </row>
    <row r="53" spans="1:17" x14ac:dyDescent="0.25">
      <c r="A53" s="12" t="str">
        <f t="shared" si="0"/>
        <v>MochnaczLukasz Teodor</v>
      </c>
      <c r="B53" s="12" t="str">
        <f t="shared" si="1"/>
        <v>0013116795</v>
      </c>
      <c r="C53" s="14">
        <f t="shared" si="2"/>
        <v>4482</v>
      </c>
      <c r="D53" s="14">
        <v>38</v>
      </c>
      <c r="E53" s="12" t="s">
        <v>1111</v>
      </c>
      <c r="F53" s="12" t="s">
        <v>1112</v>
      </c>
      <c r="G53" s="14">
        <v>4482</v>
      </c>
      <c r="H53" s="14">
        <v>7532</v>
      </c>
      <c r="I53" s="12" t="s">
        <v>1113</v>
      </c>
      <c r="J53" s="12" t="s">
        <v>1114</v>
      </c>
      <c r="K53" s="15">
        <v>44706</v>
      </c>
      <c r="L53" s="15">
        <v>73050</v>
      </c>
      <c r="M53" s="12" t="s">
        <v>8586</v>
      </c>
      <c r="N53" s="12" t="s">
        <v>8628</v>
      </c>
      <c r="O53" s="12" t="s">
        <v>8573</v>
      </c>
      <c r="P53" s="12" t="s">
        <v>1022</v>
      </c>
      <c r="Q53" s="12" t="s">
        <v>8629</v>
      </c>
    </row>
    <row r="54" spans="1:17" x14ac:dyDescent="0.25">
      <c r="A54" s="12" t="str">
        <f t="shared" si="0"/>
        <v>CyrzykGrazyna Barbara</v>
      </c>
      <c r="B54" s="12" t="str">
        <f t="shared" si="1"/>
        <v>0315325883</v>
      </c>
      <c r="C54" s="14">
        <f t="shared" si="2"/>
        <v>4501</v>
      </c>
      <c r="D54" s="14">
        <v>2</v>
      </c>
      <c r="E54" s="12" t="s">
        <v>256</v>
      </c>
      <c r="F54" s="12" t="s">
        <v>257</v>
      </c>
      <c r="G54" s="14">
        <v>4501</v>
      </c>
      <c r="H54" s="14">
        <v>4501</v>
      </c>
      <c r="I54" s="12" t="s">
        <v>258</v>
      </c>
      <c r="J54" s="12" t="s">
        <v>259</v>
      </c>
      <c r="K54" s="15">
        <v>44725</v>
      </c>
      <c r="L54" s="15">
        <v>73050</v>
      </c>
      <c r="M54" s="12" t="s">
        <v>8581</v>
      </c>
      <c r="N54" s="12" t="s">
        <v>8630</v>
      </c>
      <c r="O54" s="12" t="s">
        <v>8580</v>
      </c>
      <c r="P54" s="12" t="s">
        <v>47</v>
      </c>
    </row>
    <row r="55" spans="1:17" x14ac:dyDescent="0.25">
      <c r="A55" s="12" t="str">
        <f t="shared" si="0"/>
        <v>SikoraTeresa Michalina</v>
      </c>
      <c r="B55" s="12" t="str">
        <f t="shared" si="1"/>
        <v>0315321893</v>
      </c>
      <c r="C55" s="14">
        <f t="shared" si="2"/>
        <v>4514</v>
      </c>
      <c r="D55" s="14">
        <v>12</v>
      </c>
      <c r="E55" s="12" t="s">
        <v>456</v>
      </c>
      <c r="F55" s="12" t="s">
        <v>457</v>
      </c>
      <c r="G55" s="14">
        <v>4514</v>
      </c>
      <c r="H55" s="14">
        <v>4514</v>
      </c>
      <c r="I55" s="12" t="s">
        <v>458</v>
      </c>
      <c r="J55" s="12" t="s">
        <v>459</v>
      </c>
      <c r="K55" s="15">
        <v>44725</v>
      </c>
      <c r="L55" s="15">
        <v>73050</v>
      </c>
      <c r="M55" s="12" t="s">
        <v>8571</v>
      </c>
      <c r="N55" s="12" t="s">
        <v>8631</v>
      </c>
      <c r="O55" s="12" t="s">
        <v>8584</v>
      </c>
      <c r="P55" s="12" t="s">
        <v>47</v>
      </c>
    </row>
    <row r="56" spans="1:17" x14ac:dyDescent="0.25">
      <c r="A56" s="12" t="str">
        <f t="shared" si="0"/>
        <v>BelejKarina</v>
      </c>
      <c r="B56" s="12" t="str">
        <f t="shared" si="1"/>
        <v>0348342254</v>
      </c>
      <c r="C56" s="14">
        <f t="shared" si="2"/>
        <v>4599</v>
      </c>
      <c r="D56" s="14">
        <v>25</v>
      </c>
      <c r="E56" s="12" t="s">
        <v>682</v>
      </c>
      <c r="F56" s="12" t="s">
        <v>683</v>
      </c>
      <c r="G56" s="14">
        <v>4599</v>
      </c>
      <c r="H56" s="14">
        <v>4599</v>
      </c>
      <c r="I56" s="12" t="s">
        <v>684</v>
      </c>
      <c r="J56" s="12" t="s">
        <v>685</v>
      </c>
      <c r="K56" s="15">
        <v>44757</v>
      </c>
      <c r="L56" s="15">
        <v>73050</v>
      </c>
      <c r="M56" s="12" t="s">
        <v>8571</v>
      </c>
      <c r="N56" s="12" t="s">
        <v>8632</v>
      </c>
      <c r="O56" s="12" t="s">
        <v>8580</v>
      </c>
      <c r="P56" s="12" t="s">
        <v>47</v>
      </c>
    </row>
    <row r="57" spans="1:17" x14ac:dyDescent="0.25">
      <c r="A57" s="12" t="str">
        <f t="shared" si="0"/>
        <v>WatrobaLeszek Stanislaw</v>
      </c>
      <c r="B57" s="12" t="str">
        <f t="shared" si="1"/>
        <v>0289896649</v>
      </c>
      <c r="C57" s="14">
        <f t="shared" si="2"/>
        <v>4602</v>
      </c>
      <c r="D57" s="14">
        <v>13</v>
      </c>
      <c r="E57" s="12" t="s">
        <v>495</v>
      </c>
      <c r="F57" s="12" t="s">
        <v>496</v>
      </c>
      <c r="G57" s="14">
        <v>4602</v>
      </c>
      <c r="H57" s="14">
        <v>4602</v>
      </c>
      <c r="I57" s="12" t="s">
        <v>497</v>
      </c>
      <c r="J57" s="12" t="s">
        <v>498</v>
      </c>
      <c r="K57" s="15">
        <v>44795</v>
      </c>
      <c r="L57" s="15">
        <v>73050</v>
      </c>
      <c r="M57" s="12" t="s">
        <v>8571</v>
      </c>
      <c r="N57" s="12" t="s">
        <v>8633</v>
      </c>
      <c r="O57" s="12" t="s">
        <v>8580</v>
      </c>
      <c r="P57" s="12" t="s">
        <v>47</v>
      </c>
    </row>
    <row r="58" spans="1:17" x14ac:dyDescent="0.25">
      <c r="A58" s="12" t="str">
        <f t="shared" si="0"/>
        <v>BialasElzbieta</v>
      </c>
      <c r="B58" s="12" t="str">
        <f t="shared" si="1"/>
        <v>0004942265</v>
      </c>
      <c r="C58" s="14">
        <f t="shared" si="2"/>
        <v>4607</v>
      </c>
      <c r="D58" s="14">
        <v>61</v>
      </c>
      <c r="E58" s="12" t="s">
        <v>1633</v>
      </c>
      <c r="F58" s="12" t="s">
        <v>1634</v>
      </c>
      <c r="G58" s="14">
        <v>4607</v>
      </c>
      <c r="H58" s="12" t="s">
        <v>1632</v>
      </c>
      <c r="I58" s="12" t="s">
        <v>1635</v>
      </c>
      <c r="J58" s="12" t="s">
        <v>1636</v>
      </c>
      <c r="K58" s="15">
        <v>44781</v>
      </c>
      <c r="L58" s="15">
        <v>73050</v>
      </c>
      <c r="M58" s="12" t="s">
        <v>8568</v>
      </c>
      <c r="N58" s="12" t="s">
        <v>8634</v>
      </c>
      <c r="O58" s="12" t="s">
        <v>8580</v>
      </c>
      <c r="P58" s="12" t="s">
        <v>1216</v>
      </c>
    </row>
    <row r="59" spans="1:17" x14ac:dyDescent="0.25">
      <c r="A59" s="12" t="str">
        <f t="shared" si="0"/>
        <v>WaclawczykAdam Krzysztof</v>
      </c>
      <c r="B59" s="12" t="str">
        <f t="shared" si="1"/>
        <v>0008563338</v>
      </c>
      <c r="C59" s="14">
        <f t="shared" si="2"/>
        <v>4611</v>
      </c>
      <c r="D59" s="14">
        <v>93</v>
      </c>
      <c r="E59" s="12" t="s">
        <v>2266</v>
      </c>
      <c r="F59" s="12" t="s">
        <v>2267</v>
      </c>
      <c r="G59" s="14">
        <v>4611</v>
      </c>
      <c r="H59" s="12" t="s">
        <v>2265</v>
      </c>
      <c r="I59" s="12" t="s">
        <v>2268</v>
      </c>
      <c r="J59" s="12" t="s">
        <v>2269</v>
      </c>
      <c r="K59" s="15">
        <v>44781</v>
      </c>
      <c r="L59" s="15">
        <v>73050</v>
      </c>
      <c r="M59" s="12" t="s">
        <v>8586</v>
      </c>
      <c r="N59" s="12" t="s">
        <v>8590</v>
      </c>
      <c r="O59" s="12" t="s">
        <v>8584</v>
      </c>
      <c r="P59" s="12" t="s">
        <v>1216</v>
      </c>
      <c r="Q59" s="12" t="s">
        <v>8635</v>
      </c>
    </row>
    <row r="60" spans="1:17" x14ac:dyDescent="0.25">
      <c r="A60" s="12" t="str">
        <f t="shared" si="0"/>
        <v>BochenekDamian Krzysztof</v>
      </c>
      <c r="B60" s="12" t="str">
        <f t="shared" si="1"/>
        <v>0001405843</v>
      </c>
      <c r="C60" s="14">
        <f t="shared" si="2"/>
        <v>4616</v>
      </c>
      <c r="D60" s="14">
        <v>45</v>
      </c>
      <c r="E60" s="12" t="s">
        <v>1267</v>
      </c>
      <c r="F60" s="12" t="s">
        <v>1274</v>
      </c>
      <c r="G60" s="14">
        <v>4616</v>
      </c>
      <c r="H60" s="12" t="s">
        <v>1273</v>
      </c>
      <c r="I60" s="12" t="s">
        <v>1275</v>
      </c>
      <c r="J60" s="12" t="s">
        <v>1276</v>
      </c>
      <c r="K60" s="15">
        <v>44781</v>
      </c>
      <c r="L60" s="15">
        <v>73050</v>
      </c>
      <c r="M60" s="12" t="s">
        <v>8548</v>
      </c>
      <c r="N60" s="12" t="s">
        <v>8548</v>
      </c>
      <c r="O60" s="12" t="s">
        <v>8580</v>
      </c>
      <c r="P60" s="12" t="s">
        <v>1216</v>
      </c>
    </row>
    <row r="61" spans="1:17" x14ac:dyDescent="0.25">
      <c r="A61" s="12" t="str">
        <f t="shared" si="0"/>
        <v>KolanowskiDawid Piotr</v>
      </c>
      <c r="B61" s="12" t="str">
        <f t="shared" si="1"/>
        <v>0011675538</v>
      </c>
      <c r="C61" s="14">
        <f t="shared" si="2"/>
        <v>4651</v>
      </c>
      <c r="D61" s="14">
        <v>32</v>
      </c>
      <c r="E61" s="12" t="s">
        <v>865</v>
      </c>
      <c r="F61" s="12" t="s">
        <v>866</v>
      </c>
      <c r="G61" s="14">
        <v>4651</v>
      </c>
      <c r="H61" s="14">
        <v>70079</v>
      </c>
      <c r="I61" s="12" t="s">
        <v>867</v>
      </c>
      <c r="J61" s="12" t="s">
        <v>868</v>
      </c>
      <c r="K61" s="15">
        <v>44795</v>
      </c>
      <c r="L61" s="15">
        <v>73050</v>
      </c>
      <c r="M61" s="12" t="s">
        <v>8577</v>
      </c>
      <c r="N61" s="12" t="s">
        <v>8636</v>
      </c>
      <c r="O61" s="12" t="s">
        <v>8583</v>
      </c>
      <c r="P61" s="12" t="s">
        <v>62</v>
      </c>
    </row>
    <row r="62" spans="1:17" x14ac:dyDescent="0.25">
      <c r="A62" s="12" t="str">
        <f t="shared" si="0"/>
        <v>KurasikMonika Dorota</v>
      </c>
      <c r="B62" s="12" t="str">
        <f t="shared" si="1"/>
        <v>0001089809</v>
      </c>
      <c r="C62" s="14">
        <f t="shared" si="2"/>
        <v>4663</v>
      </c>
      <c r="D62" s="14">
        <v>62</v>
      </c>
      <c r="E62" s="12" t="s">
        <v>1666</v>
      </c>
      <c r="F62" s="12" t="s">
        <v>1667</v>
      </c>
      <c r="G62" s="14">
        <v>4663</v>
      </c>
      <c r="H62" s="12" t="s">
        <v>1665</v>
      </c>
      <c r="I62" s="12" t="s">
        <v>1668</v>
      </c>
      <c r="J62" s="12" t="s">
        <v>1669</v>
      </c>
      <c r="K62" s="15">
        <v>44802</v>
      </c>
      <c r="L62" s="15">
        <v>73050</v>
      </c>
      <c r="M62" s="12" t="s">
        <v>8568</v>
      </c>
      <c r="N62" s="12" t="s">
        <v>8594</v>
      </c>
      <c r="O62" s="12" t="s">
        <v>8580</v>
      </c>
      <c r="P62" s="12" t="s">
        <v>1216</v>
      </c>
    </row>
    <row r="63" spans="1:17" x14ac:dyDescent="0.25">
      <c r="A63" s="12" t="str">
        <f t="shared" si="0"/>
        <v>BalwierzPiotr Marian</v>
      </c>
      <c r="B63" s="12" t="str">
        <f t="shared" si="1"/>
        <v>0011978487</v>
      </c>
      <c r="C63" s="14">
        <f t="shared" si="2"/>
        <v>4673</v>
      </c>
      <c r="D63" s="14">
        <v>41</v>
      </c>
      <c r="E63" s="12" t="s">
        <v>1219</v>
      </c>
      <c r="F63" s="12" t="s">
        <v>1220</v>
      </c>
      <c r="G63" s="14">
        <v>4673</v>
      </c>
      <c r="H63" s="14">
        <v>70187</v>
      </c>
      <c r="I63" s="12" t="s">
        <v>170</v>
      </c>
      <c r="J63" s="12" t="s">
        <v>1221</v>
      </c>
      <c r="K63" s="15">
        <v>44805</v>
      </c>
      <c r="L63" s="15">
        <v>73050</v>
      </c>
      <c r="M63" s="12" t="s">
        <v>8577</v>
      </c>
      <c r="N63" s="12" t="s">
        <v>8578</v>
      </c>
      <c r="O63" s="12" t="s">
        <v>8583</v>
      </c>
      <c r="P63" s="12" t="s">
        <v>62</v>
      </c>
    </row>
    <row r="64" spans="1:17" x14ac:dyDescent="0.25">
      <c r="A64" s="12" t="str">
        <f t="shared" si="0"/>
        <v>VeselýStanislav</v>
      </c>
      <c r="B64" s="12" t="str">
        <f t="shared" si="1"/>
        <v>0004058686</v>
      </c>
      <c r="C64" s="14">
        <f t="shared" si="2"/>
        <v>4698</v>
      </c>
      <c r="D64" s="14">
        <v>92</v>
      </c>
      <c r="E64" s="12" t="s">
        <v>2259</v>
      </c>
      <c r="F64" s="12" t="s">
        <v>2260</v>
      </c>
      <c r="G64" s="14">
        <v>4698</v>
      </c>
      <c r="H64" s="12" t="s">
        <v>2258</v>
      </c>
      <c r="I64" s="12" t="s">
        <v>2261</v>
      </c>
      <c r="J64" s="12" t="s">
        <v>2262</v>
      </c>
      <c r="K64" s="15">
        <v>44818</v>
      </c>
      <c r="L64" s="15">
        <v>73050</v>
      </c>
      <c r="M64" s="12" t="s">
        <v>8548</v>
      </c>
      <c r="N64" s="12" t="s">
        <v>8548</v>
      </c>
      <c r="O64" s="12" t="s">
        <v>8580</v>
      </c>
      <c r="P64" s="12" t="s">
        <v>1216</v>
      </c>
      <c r="Q64" s="12" t="s">
        <v>8605</v>
      </c>
    </row>
    <row r="65" spans="1:17" x14ac:dyDescent="0.25">
      <c r="A65" s="12" t="str">
        <f t="shared" si="0"/>
        <v>RduchMateusz Pawel</v>
      </c>
      <c r="B65" s="12" t="str">
        <f t="shared" si="1"/>
        <v>0004504028</v>
      </c>
      <c r="C65" s="14">
        <f t="shared" si="2"/>
        <v>4713</v>
      </c>
      <c r="D65" s="14">
        <v>79</v>
      </c>
      <c r="E65" s="12" t="s">
        <v>2020</v>
      </c>
      <c r="F65" s="12" t="s">
        <v>1261</v>
      </c>
      <c r="G65" s="14">
        <v>4713</v>
      </c>
      <c r="H65" s="12" t="s">
        <v>2019</v>
      </c>
      <c r="I65" s="12" t="s">
        <v>2021</v>
      </c>
      <c r="J65" s="12" t="s">
        <v>2022</v>
      </c>
      <c r="K65" s="15">
        <v>44830</v>
      </c>
      <c r="L65" s="15">
        <v>73050</v>
      </c>
      <c r="M65" s="12" t="s">
        <v>8586</v>
      </c>
      <c r="N65" s="12" t="s">
        <v>8637</v>
      </c>
      <c r="O65" s="12" t="s">
        <v>8584</v>
      </c>
      <c r="P65" s="12" t="s">
        <v>1216</v>
      </c>
      <c r="Q65" s="12" t="s">
        <v>8638</v>
      </c>
    </row>
    <row r="66" spans="1:17" x14ac:dyDescent="0.25">
      <c r="A66" s="12" t="str">
        <f t="shared" si="0"/>
        <v>MarczakMaria Katarzyna</v>
      </c>
      <c r="B66" s="12" t="str">
        <f t="shared" si="1"/>
        <v>0348342948</v>
      </c>
      <c r="C66" s="14">
        <f t="shared" si="2"/>
        <v>4720</v>
      </c>
      <c r="D66" s="14">
        <v>6</v>
      </c>
      <c r="E66" s="12" t="s">
        <v>343</v>
      </c>
      <c r="F66" s="12" t="s">
        <v>344</v>
      </c>
      <c r="G66" s="14">
        <v>4720</v>
      </c>
      <c r="H66" s="14">
        <v>4720</v>
      </c>
      <c r="I66" s="12" t="s">
        <v>345</v>
      </c>
      <c r="J66" s="12" t="s">
        <v>346</v>
      </c>
      <c r="K66" s="15">
        <v>44852</v>
      </c>
      <c r="L66" s="15">
        <v>73050</v>
      </c>
      <c r="M66" s="12" t="s">
        <v>8581</v>
      </c>
      <c r="N66" s="12" t="s">
        <v>8639</v>
      </c>
      <c r="O66" s="12" t="s">
        <v>8584</v>
      </c>
      <c r="P66" s="12" t="s">
        <v>47</v>
      </c>
    </row>
    <row r="67" spans="1:17" x14ac:dyDescent="0.25">
      <c r="A67" s="12" t="str">
        <f t="shared" si="0"/>
        <v>BorskaEwa</v>
      </c>
      <c r="B67" s="12" t="str">
        <f t="shared" si="1"/>
        <v>0003370037</v>
      </c>
      <c r="C67" s="14">
        <f t="shared" si="2"/>
        <v>4721</v>
      </c>
      <c r="D67" s="14">
        <v>46</v>
      </c>
      <c r="E67" s="12" t="s">
        <v>1286</v>
      </c>
      <c r="F67" s="12" t="s">
        <v>737</v>
      </c>
      <c r="G67" s="14">
        <v>4721</v>
      </c>
      <c r="H67" s="12" t="s">
        <v>1285</v>
      </c>
      <c r="I67" s="12" t="s">
        <v>1287</v>
      </c>
      <c r="J67" s="12" t="s">
        <v>1288</v>
      </c>
      <c r="K67" s="15">
        <v>44837</v>
      </c>
      <c r="L67" s="15">
        <v>73050</v>
      </c>
      <c r="M67" s="12" t="s">
        <v>8568</v>
      </c>
      <c r="N67" s="12" t="s">
        <v>8609</v>
      </c>
      <c r="O67" s="12" t="s">
        <v>8584</v>
      </c>
      <c r="P67" s="12" t="s">
        <v>1216</v>
      </c>
      <c r="Q67" s="12" t="s">
        <v>8640</v>
      </c>
    </row>
    <row r="68" spans="1:17" x14ac:dyDescent="0.25">
      <c r="A68" s="12" t="str">
        <f t="shared" ref="A68:A131" si="3">E68&amp;F68</f>
        <v>TomiczekSara Beata</v>
      </c>
      <c r="B68" s="12" t="str">
        <f t="shared" ref="B68:B131" si="4">I68</f>
        <v>0001343515</v>
      </c>
      <c r="C68" s="14">
        <f t="shared" ref="C68:C131" si="5">G68</f>
        <v>4724</v>
      </c>
      <c r="D68" s="14">
        <v>89</v>
      </c>
      <c r="E68" s="12" t="s">
        <v>2233</v>
      </c>
      <c r="F68" s="12" t="s">
        <v>2234</v>
      </c>
      <c r="G68" s="14">
        <v>4724</v>
      </c>
      <c r="H68" s="12" t="s">
        <v>2232</v>
      </c>
      <c r="I68" s="12" t="s">
        <v>2235</v>
      </c>
      <c r="J68" s="12" t="s">
        <v>2236</v>
      </c>
      <c r="K68" s="15">
        <v>44837</v>
      </c>
      <c r="L68" s="15">
        <v>73050</v>
      </c>
      <c r="M68" s="12" t="s">
        <v>8548</v>
      </c>
      <c r="N68" s="12" t="s">
        <v>8548</v>
      </c>
      <c r="O68" s="12" t="s">
        <v>8580</v>
      </c>
      <c r="P68" s="12" t="s">
        <v>1216</v>
      </c>
      <c r="Q68" s="12" t="s">
        <v>8605</v>
      </c>
    </row>
    <row r="69" spans="1:17" x14ac:dyDescent="0.25">
      <c r="A69" s="12" t="str">
        <f t="shared" si="3"/>
        <v>PawlasKlaudia Paulina</v>
      </c>
      <c r="B69" s="12" t="str">
        <f t="shared" si="4"/>
        <v>0001221871</v>
      </c>
      <c r="C69" s="14">
        <f t="shared" si="5"/>
        <v>4727</v>
      </c>
      <c r="D69" s="14">
        <v>75</v>
      </c>
      <c r="E69" s="12" t="s">
        <v>1914</v>
      </c>
      <c r="F69" s="12" t="s">
        <v>1915</v>
      </c>
      <c r="G69" s="14">
        <v>4727</v>
      </c>
      <c r="H69" s="12" t="s">
        <v>1913</v>
      </c>
      <c r="I69" s="12" t="s">
        <v>1916</v>
      </c>
      <c r="J69" s="12" t="s">
        <v>1917</v>
      </c>
      <c r="K69" s="15">
        <v>44841</v>
      </c>
      <c r="L69" s="12" t="s">
        <v>8566</v>
      </c>
      <c r="M69" s="12" t="s">
        <v>8586</v>
      </c>
      <c r="N69" s="12" t="s">
        <v>8641</v>
      </c>
      <c r="O69" s="12" t="s">
        <v>8583</v>
      </c>
      <c r="P69" s="12" t="s">
        <v>1216</v>
      </c>
    </row>
    <row r="70" spans="1:17" x14ac:dyDescent="0.25">
      <c r="A70" s="12" t="str">
        <f t="shared" si="3"/>
        <v>SatlawaIwona Maria</v>
      </c>
      <c r="B70" s="12" t="str">
        <f t="shared" si="4"/>
        <v>0001279904</v>
      </c>
      <c r="C70" s="14">
        <f t="shared" si="5"/>
        <v>4744</v>
      </c>
      <c r="D70" s="14">
        <v>81</v>
      </c>
      <c r="E70" s="12" t="s">
        <v>2057</v>
      </c>
      <c r="F70" s="12" t="s">
        <v>2058</v>
      </c>
      <c r="G70" s="14">
        <v>4744</v>
      </c>
      <c r="H70" s="12" t="s">
        <v>2056</v>
      </c>
      <c r="I70" s="12" t="s">
        <v>2059</v>
      </c>
      <c r="J70" s="12" t="s">
        <v>2060</v>
      </c>
      <c r="K70" s="15">
        <v>44853</v>
      </c>
      <c r="L70" s="15">
        <v>73050</v>
      </c>
      <c r="M70" s="12" t="s">
        <v>8568</v>
      </c>
      <c r="N70" s="12" t="s">
        <v>8642</v>
      </c>
      <c r="O70" s="12" t="s">
        <v>8583</v>
      </c>
      <c r="P70" s="12" t="s">
        <v>1216</v>
      </c>
    </row>
    <row r="71" spans="1:17" x14ac:dyDescent="0.25">
      <c r="A71" s="12" t="str">
        <f t="shared" si="3"/>
        <v>PaprotaDominik Patryk</v>
      </c>
      <c r="B71" s="12" t="str">
        <f t="shared" si="4"/>
        <v>0001279913</v>
      </c>
      <c r="C71" s="14">
        <f t="shared" si="5"/>
        <v>4745</v>
      </c>
      <c r="D71" s="14">
        <v>73</v>
      </c>
      <c r="E71" s="12" t="s">
        <v>1888</v>
      </c>
      <c r="F71" s="12" t="s">
        <v>1889</v>
      </c>
      <c r="G71" s="14">
        <v>4745</v>
      </c>
      <c r="H71" s="12" t="s">
        <v>1887</v>
      </c>
      <c r="I71" s="12" t="s">
        <v>1890</v>
      </c>
      <c r="J71" s="12" t="s">
        <v>1891</v>
      </c>
      <c r="K71" s="15">
        <v>44853</v>
      </c>
      <c r="L71" s="15">
        <v>73050</v>
      </c>
      <c r="M71" s="12" t="s">
        <v>8548</v>
      </c>
      <c r="N71" s="12" t="s">
        <v>8548</v>
      </c>
      <c r="O71" s="12" t="s">
        <v>8584</v>
      </c>
      <c r="P71" s="12" t="s">
        <v>1216</v>
      </c>
      <c r="Q71" s="12" t="s">
        <v>8585</v>
      </c>
    </row>
    <row r="72" spans="1:17" x14ac:dyDescent="0.25">
      <c r="A72" s="12" t="str">
        <f t="shared" si="3"/>
        <v>KuklińskaMalgorzata</v>
      </c>
      <c r="B72" s="12" t="str">
        <f t="shared" si="4"/>
        <v>0301165702</v>
      </c>
      <c r="C72" s="14">
        <f t="shared" si="5"/>
        <v>4748</v>
      </c>
      <c r="D72" s="14">
        <v>106</v>
      </c>
      <c r="E72" s="12" t="s">
        <v>2640</v>
      </c>
      <c r="F72" s="12" t="s">
        <v>2641</v>
      </c>
      <c r="G72" s="14">
        <v>4748</v>
      </c>
      <c r="H72" s="14">
        <v>4748</v>
      </c>
      <c r="I72" s="12" t="s">
        <v>2642</v>
      </c>
      <c r="J72" s="12" t="s">
        <v>2643</v>
      </c>
      <c r="K72" s="15">
        <v>44872</v>
      </c>
      <c r="L72" s="15">
        <v>73050</v>
      </c>
      <c r="M72" s="12" t="s">
        <v>8571</v>
      </c>
      <c r="N72" s="12" t="s">
        <v>8632</v>
      </c>
      <c r="O72" s="12" t="s">
        <v>8583</v>
      </c>
      <c r="P72" s="12" t="s">
        <v>47</v>
      </c>
      <c r="Q72" s="12" t="s">
        <v>8643</v>
      </c>
    </row>
    <row r="73" spans="1:17" x14ac:dyDescent="0.25">
      <c r="A73" s="12" t="str">
        <f t="shared" si="3"/>
        <v>ChodorowskaBarbara Miroslawa</v>
      </c>
      <c r="B73" s="12" t="str">
        <f t="shared" si="4"/>
        <v>0001045792</v>
      </c>
      <c r="C73" s="14">
        <f t="shared" si="5"/>
        <v>4755</v>
      </c>
      <c r="D73" s="14">
        <v>54</v>
      </c>
      <c r="E73" s="12" t="s">
        <v>1481</v>
      </c>
      <c r="F73" s="12" t="s">
        <v>1482</v>
      </c>
      <c r="G73" s="14">
        <v>4755</v>
      </c>
      <c r="H73" s="12" t="s">
        <v>1480</v>
      </c>
      <c r="I73" s="12" t="s">
        <v>1483</v>
      </c>
      <c r="J73" s="12" t="s">
        <v>1484</v>
      </c>
      <c r="K73" s="15">
        <v>44900</v>
      </c>
      <c r="L73" s="15">
        <v>73050</v>
      </c>
      <c r="M73" s="12" t="s">
        <v>8568</v>
      </c>
      <c r="N73" s="12" t="s">
        <v>8594</v>
      </c>
      <c r="O73" s="12" t="s">
        <v>8580</v>
      </c>
      <c r="P73" s="12" t="s">
        <v>1216</v>
      </c>
    </row>
    <row r="74" spans="1:17" x14ac:dyDescent="0.25">
      <c r="A74" s="12" t="str">
        <f t="shared" si="3"/>
        <v>KotowskiZbigniew Marek</v>
      </c>
      <c r="B74" s="12" t="str">
        <f t="shared" si="4"/>
        <v>0301166922</v>
      </c>
      <c r="C74" s="14">
        <f t="shared" si="5"/>
        <v>4775</v>
      </c>
      <c r="D74" s="14">
        <v>10</v>
      </c>
      <c r="E74" s="12" t="s">
        <v>403</v>
      </c>
      <c r="F74" s="12" t="s">
        <v>404</v>
      </c>
      <c r="G74" s="14">
        <v>4775</v>
      </c>
      <c r="H74" s="14">
        <v>4775</v>
      </c>
      <c r="I74" s="12" t="s">
        <v>405</v>
      </c>
      <c r="J74" s="12" t="s">
        <v>406</v>
      </c>
      <c r="K74" s="15">
        <v>44893</v>
      </c>
      <c r="L74" s="15">
        <v>73050</v>
      </c>
      <c r="M74" s="12" t="s">
        <v>8581</v>
      </c>
      <c r="N74" s="12" t="s">
        <v>8644</v>
      </c>
      <c r="O74" s="12" t="s">
        <v>8584</v>
      </c>
      <c r="P74" s="12" t="s">
        <v>47</v>
      </c>
      <c r="Q74" s="12" t="s">
        <v>8645</v>
      </c>
    </row>
    <row r="75" spans="1:17" x14ac:dyDescent="0.25">
      <c r="A75" s="12" t="str">
        <f t="shared" si="3"/>
        <v>PawlakLidia Marzena</v>
      </c>
      <c r="B75" s="12" t="str">
        <f t="shared" si="4"/>
        <v>0004216781</v>
      </c>
      <c r="C75" s="14">
        <f t="shared" si="5"/>
        <v>4790</v>
      </c>
      <c r="D75" s="14">
        <v>74</v>
      </c>
      <c r="E75" s="12" t="s">
        <v>1902</v>
      </c>
      <c r="F75" s="12" t="s">
        <v>1903</v>
      </c>
      <c r="G75" s="14">
        <v>4790</v>
      </c>
      <c r="H75" s="12" t="s">
        <v>1901</v>
      </c>
      <c r="I75" s="12" t="s">
        <v>1904</v>
      </c>
      <c r="J75" s="12" t="s">
        <v>1905</v>
      </c>
      <c r="K75" s="15">
        <v>44937</v>
      </c>
      <c r="L75" s="15">
        <v>73050</v>
      </c>
      <c r="M75" s="12" t="s">
        <v>8568</v>
      </c>
      <c r="N75" s="12" t="s">
        <v>8594</v>
      </c>
      <c r="O75" s="12" t="s">
        <v>8584</v>
      </c>
      <c r="P75" s="12" t="s">
        <v>1216</v>
      </c>
      <c r="Q75" s="12" t="s">
        <v>8646</v>
      </c>
    </row>
    <row r="76" spans="1:17" x14ac:dyDescent="0.25">
      <c r="A76" s="12" t="str">
        <f t="shared" si="3"/>
        <v>NiemczykDaniel Marcin</v>
      </c>
      <c r="B76" s="12" t="str">
        <f t="shared" si="4"/>
        <v>0003520045</v>
      </c>
      <c r="C76" s="14">
        <f t="shared" si="5"/>
        <v>4791</v>
      </c>
      <c r="D76" s="14">
        <v>69</v>
      </c>
      <c r="E76" s="12" t="s">
        <v>1825</v>
      </c>
      <c r="F76" s="12" t="s">
        <v>1826</v>
      </c>
      <c r="G76" s="14">
        <v>4791</v>
      </c>
      <c r="H76" s="12" t="s">
        <v>1824</v>
      </c>
      <c r="I76" s="12" t="s">
        <v>1827</v>
      </c>
      <c r="J76" s="12" t="s">
        <v>1828</v>
      </c>
      <c r="K76" s="15">
        <v>44942</v>
      </c>
      <c r="L76" s="12" t="s">
        <v>8566</v>
      </c>
      <c r="M76" s="12" t="s">
        <v>8548</v>
      </c>
      <c r="N76" s="12" t="s">
        <v>8548</v>
      </c>
      <c r="O76" s="12" t="s">
        <v>8584</v>
      </c>
      <c r="P76" s="12" t="s">
        <v>1216</v>
      </c>
      <c r="Q76" s="12" t="s">
        <v>8585</v>
      </c>
    </row>
    <row r="77" spans="1:17" x14ac:dyDescent="0.25">
      <c r="A77" s="12" t="str">
        <f t="shared" si="3"/>
        <v>StryjskaBeata Malgorzata</v>
      </c>
      <c r="B77" s="12" t="str">
        <f t="shared" si="4"/>
        <v>0348338812</v>
      </c>
      <c r="C77" s="14">
        <f t="shared" si="5"/>
        <v>4828</v>
      </c>
      <c r="D77" s="14">
        <v>8</v>
      </c>
      <c r="E77" s="12" t="s">
        <v>385</v>
      </c>
      <c r="F77" s="12" t="s">
        <v>386</v>
      </c>
      <c r="G77" s="14">
        <v>4828</v>
      </c>
      <c r="H77" s="14">
        <v>4828</v>
      </c>
      <c r="I77" s="12" t="s">
        <v>387</v>
      </c>
      <c r="J77" s="12" t="s">
        <v>388</v>
      </c>
      <c r="K77" s="15">
        <v>44942</v>
      </c>
      <c r="L77" s="15">
        <v>73050</v>
      </c>
      <c r="M77" s="12" t="s">
        <v>8581</v>
      </c>
      <c r="N77" s="12" t="s">
        <v>8644</v>
      </c>
      <c r="O77" s="12" t="s">
        <v>8580</v>
      </c>
      <c r="P77" s="12" t="s">
        <v>47</v>
      </c>
    </row>
    <row r="78" spans="1:17" x14ac:dyDescent="0.25">
      <c r="A78" s="12" t="str">
        <f t="shared" si="3"/>
        <v>BlonskiMarcin Ireneusz</v>
      </c>
      <c r="B78" s="12" t="str">
        <f t="shared" si="4"/>
        <v>0013117068</v>
      </c>
      <c r="C78" s="14">
        <f t="shared" si="5"/>
        <v>4834</v>
      </c>
      <c r="D78" s="14">
        <v>4</v>
      </c>
      <c r="E78" s="12" t="s">
        <v>313</v>
      </c>
      <c r="F78" s="12" t="s">
        <v>314</v>
      </c>
      <c r="G78" s="14">
        <v>4834</v>
      </c>
      <c r="H78" s="14">
        <v>4834</v>
      </c>
      <c r="I78" s="12" t="s">
        <v>315</v>
      </c>
      <c r="J78" s="12" t="s">
        <v>316</v>
      </c>
      <c r="K78" s="15">
        <v>45545</v>
      </c>
      <c r="L78" s="12" t="s">
        <v>8566</v>
      </c>
      <c r="M78" s="12" t="s">
        <v>8577</v>
      </c>
      <c r="N78" s="12" t="s">
        <v>8578</v>
      </c>
      <c r="O78" s="12" t="s">
        <v>8583</v>
      </c>
      <c r="P78" s="12" t="s">
        <v>62</v>
      </c>
      <c r="Q78" s="12" t="s">
        <v>8647</v>
      </c>
    </row>
    <row r="79" spans="1:17" x14ac:dyDescent="0.25">
      <c r="A79" s="12" t="str">
        <f t="shared" si="3"/>
        <v>BartoňEdyta</v>
      </c>
      <c r="B79" s="12" t="str">
        <f t="shared" si="4"/>
        <v>0328608648</v>
      </c>
      <c r="C79" s="14">
        <f t="shared" si="5"/>
        <v>4838</v>
      </c>
      <c r="D79" s="14">
        <v>26</v>
      </c>
      <c r="E79" s="12" t="s">
        <v>694</v>
      </c>
      <c r="F79" s="12" t="s">
        <v>695</v>
      </c>
      <c r="G79" s="14">
        <v>4838</v>
      </c>
      <c r="H79" s="14">
        <v>4838</v>
      </c>
      <c r="I79" s="12" t="s">
        <v>696</v>
      </c>
      <c r="J79" s="12" t="s">
        <v>697</v>
      </c>
      <c r="K79" s="15">
        <v>44944</v>
      </c>
      <c r="L79" s="15">
        <v>73050</v>
      </c>
      <c r="M79" s="12" t="s">
        <v>8581</v>
      </c>
      <c r="N79" s="12" t="s">
        <v>8639</v>
      </c>
      <c r="O79" s="12" t="s">
        <v>8584</v>
      </c>
      <c r="P79" s="12" t="s">
        <v>47</v>
      </c>
    </row>
    <row r="80" spans="1:17" x14ac:dyDescent="0.25">
      <c r="A80" s="12" t="str">
        <f t="shared" si="3"/>
        <v>BujakLeszek Sylwester</v>
      </c>
      <c r="B80" s="12" t="str">
        <f t="shared" si="4"/>
        <v>000291517620</v>
      </c>
      <c r="C80" s="14">
        <f t="shared" si="5"/>
        <v>4845</v>
      </c>
      <c r="D80" s="14">
        <v>47</v>
      </c>
      <c r="E80" s="12" t="s">
        <v>1038</v>
      </c>
      <c r="F80" s="12" t="s">
        <v>1298</v>
      </c>
      <c r="G80" s="14">
        <v>4845</v>
      </c>
      <c r="H80" s="12" t="s">
        <v>1297</v>
      </c>
      <c r="I80" s="12" t="s">
        <v>1299</v>
      </c>
      <c r="J80" s="12" t="s">
        <v>1300</v>
      </c>
      <c r="K80" s="15">
        <v>44986</v>
      </c>
      <c r="L80" s="12" t="s">
        <v>8566</v>
      </c>
      <c r="M80" s="12" t="s">
        <v>8548</v>
      </c>
      <c r="N80" s="12" t="s">
        <v>8548</v>
      </c>
      <c r="O80" s="12" t="s">
        <v>8584</v>
      </c>
      <c r="P80" s="12" t="s">
        <v>1216</v>
      </c>
      <c r="Q80" s="12" t="s">
        <v>8585</v>
      </c>
    </row>
    <row r="81" spans="1:17" x14ac:dyDescent="0.25">
      <c r="A81" s="12" t="str">
        <f t="shared" si="3"/>
        <v>KowaczikBozena Jadwiga</v>
      </c>
      <c r="B81" s="12" t="str">
        <f t="shared" si="4"/>
        <v>0008651978</v>
      </c>
      <c r="C81" s="14">
        <f t="shared" si="5"/>
        <v>4847</v>
      </c>
      <c r="D81" s="14">
        <v>60</v>
      </c>
      <c r="E81" s="12" t="s">
        <v>1601</v>
      </c>
      <c r="F81" s="12" t="s">
        <v>1602</v>
      </c>
      <c r="G81" s="14">
        <v>4847</v>
      </c>
      <c r="H81" s="12" t="s">
        <v>1600</v>
      </c>
      <c r="I81" s="12" t="s">
        <v>1603</v>
      </c>
      <c r="J81" s="12" t="s">
        <v>1604</v>
      </c>
      <c r="K81" s="15">
        <v>44986</v>
      </c>
      <c r="L81" s="15">
        <v>73050</v>
      </c>
      <c r="M81" s="12" t="s">
        <v>8548</v>
      </c>
      <c r="N81" s="12" t="s">
        <v>8548</v>
      </c>
      <c r="O81" s="12" t="s">
        <v>8584</v>
      </c>
      <c r="P81" s="12" t="s">
        <v>1216</v>
      </c>
      <c r="Q81" s="12" t="s">
        <v>8585</v>
      </c>
    </row>
    <row r="82" spans="1:17" x14ac:dyDescent="0.25">
      <c r="A82" s="12" t="str">
        <f t="shared" si="3"/>
        <v>MacuraKamil Damian</v>
      </c>
      <c r="B82" s="12" t="str">
        <f t="shared" si="4"/>
        <v>0003315873</v>
      </c>
      <c r="C82" s="14">
        <f t="shared" si="5"/>
        <v>4868</v>
      </c>
      <c r="D82" s="14">
        <v>64</v>
      </c>
      <c r="E82" s="12" t="s">
        <v>1730</v>
      </c>
      <c r="F82" s="12" t="s">
        <v>1737</v>
      </c>
      <c r="G82" s="14">
        <v>4868</v>
      </c>
      <c r="H82" s="12" t="s">
        <v>1736</v>
      </c>
      <c r="I82" s="12" t="s">
        <v>1738</v>
      </c>
      <c r="J82" s="12" t="s">
        <v>1739</v>
      </c>
      <c r="K82" s="15">
        <v>45012</v>
      </c>
      <c r="L82" s="15">
        <v>73050</v>
      </c>
      <c r="M82" s="12" t="s">
        <v>8548</v>
      </c>
      <c r="N82" s="12" t="s">
        <v>8548</v>
      </c>
      <c r="O82" s="12" t="s">
        <v>8584</v>
      </c>
      <c r="P82" s="12" t="s">
        <v>1216</v>
      </c>
    </row>
    <row r="83" spans="1:17" x14ac:dyDescent="0.25">
      <c r="A83" s="12" t="str">
        <f t="shared" si="3"/>
        <v>BasslerLukáš</v>
      </c>
      <c r="B83" s="12" t="str">
        <f t="shared" si="4"/>
        <v>0001833613</v>
      </c>
      <c r="C83" s="14">
        <f t="shared" si="5"/>
        <v>4869</v>
      </c>
      <c r="D83" s="14">
        <v>42</v>
      </c>
      <c r="E83" s="12" t="s">
        <v>1225</v>
      </c>
      <c r="F83" s="12" t="s">
        <v>1226</v>
      </c>
      <c r="G83" s="14">
        <v>4869</v>
      </c>
      <c r="H83" s="12" t="s">
        <v>1224</v>
      </c>
      <c r="I83" s="12" t="s">
        <v>1227</v>
      </c>
      <c r="J83" s="12" t="s">
        <v>1228</v>
      </c>
      <c r="K83" s="15">
        <v>45013</v>
      </c>
      <c r="L83" s="15">
        <v>73050</v>
      </c>
      <c r="M83" s="12" t="s">
        <v>8548</v>
      </c>
      <c r="N83" s="12" t="s">
        <v>8548</v>
      </c>
      <c r="O83" s="12" t="s">
        <v>8583</v>
      </c>
      <c r="P83" s="12" t="s">
        <v>1216</v>
      </c>
    </row>
    <row r="84" spans="1:17" x14ac:dyDescent="0.25">
      <c r="A84" s="12" t="str">
        <f t="shared" si="3"/>
        <v>ChlebekAleksandra Ewa</v>
      </c>
      <c r="B84" s="12" t="str">
        <f t="shared" si="4"/>
        <v>0004569962</v>
      </c>
      <c r="C84" s="14">
        <f t="shared" si="5"/>
        <v>4871</v>
      </c>
      <c r="D84" s="14">
        <v>53</v>
      </c>
      <c r="E84" s="12" t="s">
        <v>1474</v>
      </c>
      <c r="F84" s="12" t="s">
        <v>1475</v>
      </c>
      <c r="G84" s="14">
        <v>4871</v>
      </c>
      <c r="H84" s="12" t="s">
        <v>1473</v>
      </c>
      <c r="I84" s="12" t="s">
        <v>1476</v>
      </c>
      <c r="J84" s="12" t="s">
        <v>1477</v>
      </c>
      <c r="K84" s="15">
        <v>45014</v>
      </c>
      <c r="L84" s="15">
        <v>73050</v>
      </c>
      <c r="M84" s="12" t="s">
        <v>8548</v>
      </c>
      <c r="N84" s="12" t="s">
        <v>8548</v>
      </c>
      <c r="O84" s="12" t="s">
        <v>8583</v>
      </c>
      <c r="P84" s="12" t="s">
        <v>1216</v>
      </c>
    </row>
    <row r="85" spans="1:17" x14ac:dyDescent="0.25">
      <c r="A85" s="12" t="str">
        <f t="shared" si="3"/>
        <v>BujakBeniamin Salamon</v>
      </c>
      <c r="B85" s="12" t="str">
        <f t="shared" si="4"/>
        <v>0011966825</v>
      </c>
      <c r="C85" s="14">
        <f t="shared" si="5"/>
        <v>4894</v>
      </c>
      <c r="D85" s="14">
        <v>34</v>
      </c>
      <c r="E85" s="12" t="s">
        <v>1038</v>
      </c>
      <c r="F85" s="12" t="s">
        <v>1039</v>
      </c>
      <c r="G85" s="14">
        <v>4894</v>
      </c>
      <c r="H85" s="14">
        <v>7503</v>
      </c>
      <c r="I85" s="12" t="s">
        <v>1040</v>
      </c>
      <c r="J85" s="12" t="s">
        <v>1041</v>
      </c>
      <c r="K85" s="15">
        <v>44986</v>
      </c>
      <c r="L85" s="12" t="s">
        <v>8566</v>
      </c>
      <c r="M85" s="12" t="s">
        <v>8548</v>
      </c>
      <c r="N85" s="12" t="s">
        <v>8548</v>
      </c>
      <c r="O85" s="12" t="s">
        <v>8567</v>
      </c>
      <c r="P85" s="12" t="s">
        <v>1022</v>
      </c>
    </row>
    <row r="86" spans="1:17" x14ac:dyDescent="0.25">
      <c r="A86" s="12" t="str">
        <f t="shared" si="3"/>
        <v>SwobodaMartyna Alicja</v>
      </c>
      <c r="B86" s="12" t="str">
        <f t="shared" si="4"/>
        <v>0003408083</v>
      </c>
      <c r="C86" s="14">
        <f t="shared" si="5"/>
        <v>4899</v>
      </c>
      <c r="D86" s="14">
        <v>86</v>
      </c>
      <c r="E86" s="12" t="s">
        <v>2187</v>
      </c>
      <c r="F86" s="12" t="s">
        <v>2188</v>
      </c>
      <c r="G86" s="14">
        <v>4899</v>
      </c>
      <c r="H86" s="12" t="s">
        <v>2186</v>
      </c>
      <c r="I86" s="12" t="s">
        <v>2189</v>
      </c>
      <c r="J86" s="12" t="s">
        <v>2190</v>
      </c>
      <c r="K86" s="15">
        <v>45033</v>
      </c>
      <c r="L86" s="15">
        <v>73050</v>
      </c>
      <c r="M86" s="12" t="s">
        <v>8586</v>
      </c>
      <c r="N86" s="12" t="s">
        <v>8648</v>
      </c>
      <c r="O86" s="12" t="s">
        <v>8580</v>
      </c>
      <c r="P86" s="12" t="s">
        <v>1216</v>
      </c>
    </row>
    <row r="87" spans="1:17" x14ac:dyDescent="0.25">
      <c r="A87" s="12" t="str">
        <f t="shared" si="3"/>
        <v>SzymuraEdyta Marzena</v>
      </c>
      <c r="B87" s="12" t="str">
        <f t="shared" si="4"/>
        <v>0301165651</v>
      </c>
      <c r="C87" s="14">
        <f t="shared" si="5"/>
        <v>4912</v>
      </c>
      <c r="D87" s="14">
        <v>11</v>
      </c>
      <c r="E87" s="12" t="s">
        <v>444</v>
      </c>
      <c r="F87" s="12" t="s">
        <v>445</v>
      </c>
      <c r="G87" s="14">
        <v>4912</v>
      </c>
      <c r="H87" s="14">
        <v>4912</v>
      </c>
      <c r="I87" s="12" t="s">
        <v>446</v>
      </c>
      <c r="J87" s="12" t="s">
        <v>447</v>
      </c>
      <c r="K87" s="15">
        <v>45006</v>
      </c>
      <c r="L87" s="15">
        <v>73050</v>
      </c>
      <c r="M87" s="12" t="s">
        <v>8581</v>
      </c>
      <c r="N87" s="12" t="s">
        <v>8649</v>
      </c>
      <c r="O87" s="12" t="s">
        <v>8583</v>
      </c>
      <c r="P87" s="12" t="s">
        <v>47</v>
      </c>
    </row>
    <row r="88" spans="1:17" x14ac:dyDescent="0.25">
      <c r="A88" s="12" t="str">
        <f t="shared" si="3"/>
        <v>TunaLukáš</v>
      </c>
      <c r="B88" s="12" t="str">
        <f t="shared" si="4"/>
        <v>0003785106</v>
      </c>
      <c r="C88" s="14">
        <f t="shared" si="5"/>
        <v>4919</v>
      </c>
      <c r="D88" s="14">
        <v>90</v>
      </c>
      <c r="E88" s="12" t="s">
        <v>2247</v>
      </c>
      <c r="F88" s="12" t="s">
        <v>1226</v>
      </c>
      <c r="G88" s="14">
        <v>4919</v>
      </c>
      <c r="H88" s="12" t="s">
        <v>2246</v>
      </c>
      <c r="I88" s="12" t="s">
        <v>2248</v>
      </c>
      <c r="J88" s="12" t="s">
        <v>2249</v>
      </c>
      <c r="K88" s="15">
        <v>45040</v>
      </c>
      <c r="L88" s="15">
        <v>73050</v>
      </c>
      <c r="M88" s="12" t="s">
        <v>8548</v>
      </c>
      <c r="N88" s="12" t="s">
        <v>8548</v>
      </c>
      <c r="O88" s="12" t="s">
        <v>8580</v>
      </c>
      <c r="P88" s="12" t="s">
        <v>1216</v>
      </c>
    </row>
    <row r="89" spans="1:17" x14ac:dyDescent="0.25">
      <c r="A89" s="12" t="str">
        <f t="shared" si="3"/>
        <v>ZjadewiczRobert</v>
      </c>
      <c r="B89" s="12" t="str">
        <f t="shared" si="4"/>
        <v>0001246590</v>
      </c>
      <c r="C89" s="14">
        <f t="shared" si="5"/>
        <v>4928</v>
      </c>
      <c r="D89" s="14">
        <v>27</v>
      </c>
      <c r="E89" s="12" t="s">
        <v>700</v>
      </c>
      <c r="F89" s="12" t="s">
        <v>701</v>
      </c>
      <c r="G89" s="14">
        <v>4928</v>
      </c>
      <c r="H89" s="14">
        <v>4928</v>
      </c>
      <c r="I89" s="12" t="s">
        <v>702</v>
      </c>
      <c r="J89" s="12" t="s">
        <v>703</v>
      </c>
      <c r="K89" s="15">
        <v>45021</v>
      </c>
      <c r="L89" s="15">
        <v>73050</v>
      </c>
      <c r="M89" s="12" t="s">
        <v>8571</v>
      </c>
      <c r="N89" s="12" t="s">
        <v>8633</v>
      </c>
      <c r="O89" s="12" t="s">
        <v>8580</v>
      </c>
      <c r="P89" s="12" t="s">
        <v>47</v>
      </c>
    </row>
    <row r="90" spans="1:17" x14ac:dyDescent="0.25">
      <c r="A90" s="12" t="str">
        <f t="shared" si="3"/>
        <v>CwiklakRobert</v>
      </c>
      <c r="B90" s="12" t="str">
        <f t="shared" si="4"/>
        <v>0370049042</v>
      </c>
      <c r="C90" s="14">
        <f t="shared" si="5"/>
        <v>4936</v>
      </c>
      <c r="D90" s="14">
        <v>109</v>
      </c>
      <c r="E90" s="12" t="s">
        <v>2680</v>
      </c>
      <c r="F90" s="12" t="s">
        <v>701</v>
      </c>
      <c r="G90" s="14">
        <v>4936</v>
      </c>
      <c r="H90" s="14">
        <v>4936</v>
      </c>
      <c r="I90" s="12" t="s">
        <v>2681</v>
      </c>
      <c r="J90" s="12" t="s">
        <v>2682</v>
      </c>
      <c r="K90" s="15">
        <v>45027</v>
      </c>
      <c r="L90" s="15">
        <v>73050</v>
      </c>
      <c r="M90" s="12" t="s">
        <v>8571</v>
      </c>
      <c r="N90" s="12" t="s">
        <v>8622</v>
      </c>
      <c r="O90" s="12" t="s">
        <v>8584</v>
      </c>
      <c r="P90" s="12" t="s">
        <v>47</v>
      </c>
      <c r="Q90" s="12" t="s">
        <v>8650</v>
      </c>
    </row>
    <row r="91" spans="1:17" x14ac:dyDescent="0.25">
      <c r="A91" s="12" t="str">
        <f t="shared" si="3"/>
        <v>WutzkeEwa Sabina</v>
      </c>
      <c r="B91" s="12" t="str">
        <f t="shared" si="4"/>
        <v>0301162124</v>
      </c>
      <c r="C91" s="14">
        <f t="shared" si="5"/>
        <v>4940</v>
      </c>
      <c r="D91" s="14">
        <v>108</v>
      </c>
      <c r="E91" s="12" t="s">
        <v>2674</v>
      </c>
      <c r="F91" s="12" t="s">
        <v>2675</v>
      </c>
      <c r="G91" s="14">
        <v>4940</v>
      </c>
      <c r="H91" s="14">
        <v>4940</v>
      </c>
      <c r="I91" s="12" t="s">
        <v>2676</v>
      </c>
      <c r="J91" s="12" t="s">
        <v>2677</v>
      </c>
      <c r="K91" s="15">
        <v>45028</v>
      </c>
      <c r="L91" s="15">
        <v>73050</v>
      </c>
      <c r="M91" s="12" t="s">
        <v>8571</v>
      </c>
      <c r="N91" s="12" t="s">
        <v>8633</v>
      </c>
      <c r="O91" s="12" t="s">
        <v>8584</v>
      </c>
      <c r="P91" s="12" t="s">
        <v>47</v>
      </c>
      <c r="Q91" s="12" t="s">
        <v>8651</v>
      </c>
    </row>
    <row r="92" spans="1:17" x14ac:dyDescent="0.25">
      <c r="A92" s="12" t="str">
        <f t="shared" si="3"/>
        <v>DalemulaKrysztof Grzegorz</v>
      </c>
      <c r="B92" s="12" t="str">
        <f t="shared" si="4"/>
        <v>0370035234</v>
      </c>
      <c r="C92" s="14">
        <f t="shared" si="5"/>
        <v>4955</v>
      </c>
      <c r="D92" s="14">
        <v>3</v>
      </c>
      <c r="E92" s="12" t="s">
        <v>307</v>
      </c>
      <c r="F92" s="12" t="s">
        <v>308</v>
      </c>
      <c r="G92" s="14">
        <v>4955</v>
      </c>
      <c r="H92" s="14">
        <v>4955</v>
      </c>
      <c r="I92" s="12" t="s">
        <v>309</v>
      </c>
      <c r="J92" s="12" t="s">
        <v>310</v>
      </c>
      <c r="K92" s="15">
        <v>45033</v>
      </c>
      <c r="L92" s="15">
        <v>73050</v>
      </c>
      <c r="M92" s="12" t="s">
        <v>8571</v>
      </c>
      <c r="N92" s="12" t="s">
        <v>8622</v>
      </c>
      <c r="O92" s="12" t="s">
        <v>8580</v>
      </c>
      <c r="P92" s="12" t="s">
        <v>47</v>
      </c>
    </row>
    <row r="93" spans="1:17" x14ac:dyDescent="0.25">
      <c r="A93" s="12" t="str">
        <f t="shared" si="3"/>
        <v>TomicaJanusz Franciszek</v>
      </c>
      <c r="B93" s="12" t="str">
        <f t="shared" si="4"/>
        <v>0002013831</v>
      </c>
      <c r="C93" s="14">
        <f t="shared" si="5"/>
        <v>4959</v>
      </c>
      <c r="D93" s="14">
        <v>88</v>
      </c>
      <c r="E93" s="12" t="s">
        <v>2226</v>
      </c>
      <c r="F93" s="12" t="s">
        <v>2227</v>
      </c>
      <c r="G93" s="14">
        <v>4959</v>
      </c>
      <c r="H93" s="12" t="s">
        <v>2225</v>
      </c>
      <c r="I93" s="12" t="s">
        <v>2228</v>
      </c>
      <c r="J93" s="12" t="s">
        <v>2229</v>
      </c>
      <c r="K93" s="15">
        <v>45061</v>
      </c>
      <c r="L93" s="12" t="s">
        <v>8566</v>
      </c>
      <c r="M93" s="12" t="s">
        <v>8548</v>
      </c>
      <c r="N93" s="12" t="s">
        <v>8548</v>
      </c>
      <c r="O93" s="12" t="s">
        <v>8584</v>
      </c>
      <c r="P93" s="12" t="s">
        <v>1216</v>
      </c>
      <c r="Q93" s="12" t="s">
        <v>8585</v>
      </c>
    </row>
    <row r="94" spans="1:17" x14ac:dyDescent="0.25">
      <c r="A94" s="12" t="str">
        <f t="shared" si="3"/>
        <v>JakubiecKrzysztof Grzegorz</v>
      </c>
      <c r="B94" s="12" t="str">
        <f t="shared" si="4"/>
        <v>0001985501</v>
      </c>
      <c r="C94" s="14">
        <f t="shared" si="5"/>
        <v>4960</v>
      </c>
      <c r="D94" s="14">
        <v>55</v>
      </c>
      <c r="E94" s="12" t="s">
        <v>1501</v>
      </c>
      <c r="F94" s="12" t="s">
        <v>1502</v>
      </c>
      <c r="G94" s="14">
        <v>4960</v>
      </c>
      <c r="H94" s="12" t="s">
        <v>1500</v>
      </c>
      <c r="I94" s="12" t="s">
        <v>1503</v>
      </c>
      <c r="J94" s="12" t="s">
        <v>1504</v>
      </c>
      <c r="K94" s="15">
        <v>45061</v>
      </c>
      <c r="L94" s="15">
        <v>73050</v>
      </c>
      <c r="M94" s="12" t="s">
        <v>8586</v>
      </c>
      <c r="N94" s="12" t="s">
        <v>8641</v>
      </c>
      <c r="O94" s="12" t="s">
        <v>8583</v>
      </c>
      <c r="P94" s="12" t="s">
        <v>1216</v>
      </c>
    </row>
    <row r="95" spans="1:17" x14ac:dyDescent="0.25">
      <c r="A95" s="12" t="str">
        <f t="shared" si="3"/>
        <v>BochenekAdam Piotr</v>
      </c>
      <c r="B95" s="12" t="str">
        <f t="shared" si="4"/>
        <v>0001928484</v>
      </c>
      <c r="C95" s="14">
        <f t="shared" si="5"/>
        <v>4961</v>
      </c>
      <c r="D95" s="14">
        <v>44</v>
      </c>
      <c r="E95" s="12" t="s">
        <v>1267</v>
      </c>
      <c r="F95" s="12" t="s">
        <v>1268</v>
      </c>
      <c r="G95" s="14">
        <v>4961</v>
      </c>
      <c r="H95" s="12" t="s">
        <v>1266</v>
      </c>
      <c r="I95" s="12" t="s">
        <v>1269</v>
      </c>
      <c r="J95" s="12" t="s">
        <v>1270</v>
      </c>
      <c r="K95" s="15">
        <v>45057</v>
      </c>
      <c r="L95" s="15">
        <v>73050</v>
      </c>
      <c r="M95" s="12" t="s">
        <v>8548</v>
      </c>
      <c r="N95" s="12" t="s">
        <v>8548</v>
      </c>
      <c r="O95" s="12" t="s">
        <v>8584</v>
      </c>
      <c r="P95" s="12" t="s">
        <v>1216</v>
      </c>
      <c r="Q95" s="12" t="s">
        <v>8585</v>
      </c>
    </row>
    <row r="96" spans="1:17" x14ac:dyDescent="0.25">
      <c r="A96" s="12" t="str">
        <f t="shared" si="3"/>
        <v>PajorJolanta Wanda</v>
      </c>
      <c r="B96" s="12" t="str">
        <f t="shared" si="4"/>
        <v>0328432680</v>
      </c>
      <c r="C96" s="14">
        <f t="shared" si="5"/>
        <v>4972</v>
      </c>
      <c r="D96" s="14">
        <v>15</v>
      </c>
      <c r="E96" s="12" t="s">
        <v>517</v>
      </c>
      <c r="F96" s="12" t="s">
        <v>518</v>
      </c>
      <c r="G96" s="14">
        <v>4972</v>
      </c>
      <c r="H96" s="14">
        <v>4972</v>
      </c>
      <c r="I96" s="12" t="s">
        <v>519</v>
      </c>
      <c r="J96" s="12" t="s">
        <v>520</v>
      </c>
      <c r="K96" s="15">
        <v>45049</v>
      </c>
      <c r="L96" s="12" t="s">
        <v>8566</v>
      </c>
      <c r="M96" s="12" t="s">
        <v>8581</v>
      </c>
      <c r="N96" s="12" t="s">
        <v>8644</v>
      </c>
      <c r="O96" s="12" t="s">
        <v>8583</v>
      </c>
      <c r="P96" s="12" t="s">
        <v>47</v>
      </c>
      <c r="Q96" s="12" t="s">
        <v>8652</v>
      </c>
    </row>
    <row r="97" spans="1:17" x14ac:dyDescent="0.25">
      <c r="A97" s="12" t="str">
        <f t="shared" si="3"/>
        <v>MellerMichal Stanislaw</v>
      </c>
      <c r="B97" s="12" t="str">
        <f t="shared" si="4"/>
        <v>0002029090</v>
      </c>
      <c r="C97" s="14">
        <f t="shared" si="5"/>
        <v>5004</v>
      </c>
      <c r="D97" s="14">
        <v>66</v>
      </c>
      <c r="E97" s="12" t="s">
        <v>1781</v>
      </c>
      <c r="F97" s="12" t="s">
        <v>1782</v>
      </c>
      <c r="G97" s="14">
        <v>5004</v>
      </c>
      <c r="H97" s="12" t="s">
        <v>1780</v>
      </c>
      <c r="I97" s="12" t="s">
        <v>1783</v>
      </c>
      <c r="J97" s="12" t="s">
        <v>1784</v>
      </c>
      <c r="K97" s="15">
        <v>45117</v>
      </c>
      <c r="L97" s="15">
        <v>73050</v>
      </c>
      <c r="M97" s="12" t="s">
        <v>8548</v>
      </c>
      <c r="N97" s="12" t="s">
        <v>8548</v>
      </c>
      <c r="O97" s="12" t="s">
        <v>8584</v>
      </c>
      <c r="P97" s="12" t="s">
        <v>1216</v>
      </c>
      <c r="Q97" s="12" t="s">
        <v>8585</v>
      </c>
    </row>
    <row r="98" spans="1:17" x14ac:dyDescent="0.25">
      <c r="A98" s="12" t="str">
        <f t="shared" si="3"/>
        <v>MichalecRegina</v>
      </c>
      <c r="B98" s="12" t="str">
        <f t="shared" si="4"/>
        <v>0370041446</v>
      </c>
      <c r="C98" s="14">
        <f t="shared" si="5"/>
        <v>5014</v>
      </c>
      <c r="D98" s="14">
        <v>28</v>
      </c>
      <c r="E98" s="12" t="s">
        <v>712</v>
      </c>
      <c r="F98" s="12" t="s">
        <v>713</v>
      </c>
      <c r="G98" s="14">
        <v>5014</v>
      </c>
      <c r="H98" s="14">
        <v>5014</v>
      </c>
      <c r="I98" s="12" t="s">
        <v>714</v>
      </c>
      <c r="J98" s="12" t="s">
        <v>715</v>
      </c>
      <c r="K98" s="15">
        <v>45061</v>
      </c>
      <c r="L98" s="15">
        <v>73050</v>
      </c>
      <c r="M98" s="12" t="s">
        <v>8581</v>
      </c>
      <c r="N98" s="12" t="s">
        <v>8653</v>
      </c>
      <c r="O98" s="12" t="s">
        <v>8584</v>
      </c>
      <c r="P98" s="12" t="s">
        <v>47</v>
      </c>
    </row>
    <row r="99" spans="1:17" x14ac:dyDescent="0.25">
      <c r="A99" s="12" t="str">
        <f t="shared" si="3"/>
        <v>GozdurOliwia Katarzyna</v>
      </c>
      <c r="B99" s="12" t="str">
        <f t="shared" si="4"/>
        <v>0001171041</v>
      </c>
      <c r="C99" s="14">
        <f t="shared" si="5"/>
        <v>5023</v>
      </c>
      <c r="D99" s="14">
        <v>31</v>
      </c>
      <c r="E99" s="12" t="s">
        <v>814</v>
      </c>
      <c r="F99" s="12" t="s">
        <v>815</v>
      </c>
      <c r="G99" s="14">
        <v>5023</v>
      </c>
      <c r="H99" s="14">
        <v>70141</v>
      </c>
      <c r="I99" s="12" t="s">
        <v>816</v>
      </c>
      <c r="J99" s="12" t="s">
        <v>817</v>
      </c>
      <c r="K99" s="15">
        <v>45145</v>
      </c>
      <c r="L99" s="15">
        <v>73050</v>
      </c>
      <c r="M99" s="12" t="s">
        <v>8577</v>
      </c>
      <c r="N99" s="12" t="s">
        <v>8654</v>
      </c>
      <c r="O99" s="12" t="s">
        <v>8580</v>
      </c>
      <c r="P99" s="12" t="s">
        <v>62</v>
      </c>
    </row>
    <row r="100" spans="1:17" x14ac:dyDescent="0.25">
      <c r="A100" s="12" t="str">
        <f t="shared" si="3"/>
        <v>MachejAdrian</v>
      </c>
      <c r="B100" s="12" t="str">
        <f t="shared" si="4"/>
        <v>0001829340</v>
      </c>
      <c r="C100" s="14">
        <f t="shared" si="5"/>
        <v>5026</v>
      </c>
      <c r="D100" s="14">
        <v>65</v>
      </c>
      <c r="E100" s="12" t="s">
        <v>1743</v>
      </c>
      <c r="F100" s="12" t="s">
        <v>1744</v>
      </c>
      <c r="G100" s="14">
        <v>5026</v>
      </c>
      <c r="H100" s="12" t="s">
        <v>1742</v>
      </c>
      <c r="I100" s="12" t="s">
        <v>1745</v>
      </c>
      <c r="J100" s="12" t="s">
        <v>1746</v>
      </c>
      <c r="K100" s="15">
        <v>45145</v>
      </c>
      <c r="L100" s="15">
        <v>73050</v>
      </c>
      <c r="M100" s="12" t="s">
        <v>8548</v>
      </c>
      <c r="N100" s="12" t="s">
        <v>8548</v>
      </c>
      <c r="O100" s="12" t="s">
        <v>8584</v>
      </c>
      <c r="P100" s="12" t="s">
        <v>1216</v>
      </c>
      <c r="Q100" s="12" t="s">
        <v>8585</v>
      </c>
    </row>
    <row r="101" spans="1:17" x14ac:dyDescent="0.25">
      <c r="A101" s="12" t="str">
        <f t="shared" si="3"/>
        <v>ZubrzyckaBarbara</v>
      </c>
      <c r="B101" s="12" t="str">
        <f t="shared" si="4"/>
        <v>0001932033</v>
      </c>
      <c r="C101" s="14">
        <f t="shared" si="5"/>
        <v>5036</v>
      </c>
      <c r="D101" s="14">
        <v>97</v>
      </c>
      <c r="E101" s="12" t="s">
        <v>2366</v>
      </c>
      <c r="F101" s="12" t="s">
        <v>661</v>
      </c>
      <c r="G101" s="14">
        <v>5036</v>
      </c>
      <c r="H101" s="12" t="s">
        <v>2365</v>
      </c>
      <c r="I101" s="12" t="s">
        <v>2367</v>
      </c>
      <c r="J101" s="12" t="s">
        <v>2368</v>
      </c>
      <c r="K101" s="15">
        <v>45147</v>
      </c>
      <c r="L101" s="15">
        <v>73050</v>
      </c>
      <c r="M101" s="12" t="s">
        <v>8548</v>
      </c>
      <c r="N101" s="12" t="s">
        <v>8548</v>
      </c>
      <c r="O101" s="12" t="s">
        <v>8580</v>
      </c>
      <c r="P101" s="12" t="s">
        <v>1216</v>
      </c>
    </row>
    <row r="102" spans="1:17" x14ac:dyDescent="0.25">
      <c r="A102" s="12" t="str">
        <f t="shared" si="3"/>
        <v>PrudelMateusz Stanislaw</v>
      </c>
      <c r="B102" s="12" t="str">
        <f t="shared" si="4"/>
        <v>0369972253</v>
      </c>
      <c r="C102" s="14">
        <f t="shared" si="5"/>
        <v>5039</v>
      </c>
      <c r="D102" s="14">
        <v>104</v>
      </c>
      <c r="E102" s="12" t="s">
        <v>2577</v>
      </c>
      <c r="F102" s="12" t="s">
        <v>2578</v>
      </c>
      <c r="G102" s="14">
        <v>5039</v>
      </c>
      <c r="H102" s="14">
        <v>51871</v>
      </c>
      <c r="I102" s="12" t="s">
        <v>2579</v>
      </c>
      <c r="J102" s="12" t="s">
        <v>2580</v>
      </c>
      <c r="K102" s="15">
        <v>45069</v>
      </c>
      <c r="L102" s="12" t="s">
        <v>8566</v>
      </c>
      <c r="M102" s="12" t="s">
        <v>8623</v>
      </c>
      <c r="N102" s="12" t="s">
        <v>8655</v>
      </c>
      <c r="O102" s="12" t="s">
        <v>8580</v>
      </c>
      <c r="P102" s="12" t="s">
        <v>493</v>
      </c>
      <c r="Q102" s="12" t="s">
        <v>8656</v>
      </c>
    </row>
    <row r="103" spans="1:17" x14ac:dyDescent="0.25">
      <c r="A103" s="12" t="str">
        <f t="shared" si="3"/>
        <v>BialozytJoanna</v>
      </c>
      <c r="B103" s="12" t="str">
        <f t="shared" si="4"/>
        <v>0001988772</v>
      </c>
      <c r="C103" s="14">
        <f t="shared" si="5"/>
        <v>5047</v>
      </c>
      <c r="D103" s="14">
        <v>43</v>
      </c>
      <c r="E103" s="12" t="s">
        <v>1250</v>
      </c>
      <c r="F103" s="12" t="s">
        <v>593</v>
      </c>
      <c r="G103" s="14">
        <v>5047</v>
      </c>
      <c r="H103" s="12" t="s">
        <v>1249</v>
      </c>
      <c r="I103" s="12" t="s">
        <v>1251</v>
      </c>
      <c r="J103" s="12" t="s">
        <v>1252</v>
      </c>
      <c r="K103" s="15">
        <v>45159</v>
      </c>
      <c r="L103" s="15">
        <v>73050</v>
      </c>
      <c r="M103" s="12" t="s">
        <v>8548</v>
      </c>
      <c r="N103" s="12" t="s">
        <v>8548</v>
      </c>
      <c r="O103" s="12" t="s">
        <v>8583</v>
      </c>
      <c r="P103" s="12" t="s">
        <v>1216</v>
      </c>
    </row>
    <row r="104" spans="1:17" x14ac:dyDescent="0.25">
      <c r="A104" s="12" t="str">
        <f t="shared" si="3"/>
        <v>WagnerIrena Agnieszka</v>
      </c>
      <c r="B104" s="12" t="str">
        <f t="shared" si="4"/>
        <v>0001985625</v>
      </c>
      <c r="C104" s="14">
        <f t="shared" si="5"/>
        <v>5069</v>
      </c>
      <c r="D104" s="14">
        <v>94</v>
      </c>
      <c r="E104" s="12" t="s">
        <v>2273</v>
      </c>
      <c r="F104" s="12" t="s">
        <v>2274</v>
      </c>
      <c r="G104" s="14">
        <v>5069</v>
      </c>
      <c r="H104" s="12" t="s">
        <v>2272</v>
      </c>
      <c r="I104" s="12" t="s">
        <v>2275</v>
      </c>
      <c r="J104" s="12" t="s">
        <v>2276</v>
      </c>
      <c r="K104" s="15">
        <v>45167</v>
      </c>
      <c r="L104" s="15">
        <v>73050</v>
      </c>
      <c r="M104" s="12" t="s">
        <v>8548</v>
      </c>
      <c r="N104" s="12" t="s">
        <v>8548</v>
      </c>
      <c r="O104" s="12" t="s">
        <v>8584</v>
      </c>
      <c r="P104" s="12" t="s">
        <v>1216</v>
      </c>
      <c r="Q104" s="12" t="s">
        <v>8585</v>
      </c>
    </row>
    <row r="105" spans="1:17" x14ac:dyDescent="0.25">
      <c r="A105" s="12" t="str">
        <f t="shared" si="3"/>
        <v>ZyndaWieslaw Józef</v>
      </c>
      <c r="B105" s="12" t="str">
        <f t="shared" si="4"/>
        <v>0369912861</v>
      </c>
      <c r="C105" s="14">
        <f t="shared" si="5"/>
        <v>5073</v>
      </c>
      <c r="D105" s="14">
        <v>105</v>
      </c>
      <c r="E105" s="12" t="s">
        <v>2634</v>
      </c>
      <c r="F105" s="12" t="s">
        <v>2635</v>
      </c>
      <c r="G105" s="14">
        <v>5073</v>
      </c>
      <c r="H105" s="14">
        <v>51905</v>
      </c>
      <c r="I105" s="12" t="s">
        <v>2636</v>
      </c>
      <c r="J105" s="12" t="s">
        <v>2637</v>
      </c>
      <c r="K105" s="15">
        <v>45089</v>
      </c>
      <c r="L105" s="12" t="s">
        <v>8566</v>
      </c>
      <c r="M105" s="12" t="s">
        <v>8623</v>
      </c>
      <c r="N105" s="12" t="s">
        <v>8624</v>
      </c>
      <c r="O105" s="12" t="s">
        <v>8583</v>
      </c>
      <c r="P105" s="12" t="s">
        <v>493</v>
      </c>
      <c r="Q105" s="12" t="s">
        <v>8657</v>
      </c>
    </row>
    <row r="106" spans="1:17" x14ac:dyDescent="0.25">
      <c r="A106" s="12" t="str">
        <f t="shared" si="3"/>
        <v>BujokDominik</v>
      </c>
      <c r="B106" s="12" t="str">
        <f t="shared" si="4"/>
        <v>0011754146</v>
      </c>
      <c r="C106" s="14">
        <f t="shared" si="5"/>
        <v>5094</v>
      </c>
      <c r="D106" s="14">
        <v>114</v>
      </c>
      <c r="E106" s="12" t="s">
        <v>2939</v>
      </c>
      <c r="F106" s="12" t="s">
        <v>2940</v>
      </c>
      <c r="G106" s="14">
        <v>5094</v>
      </c>
      <c r="H106" s="14">
        <v>5094</v>
      </c>
      <c r="I106" s="12" t="s">
        <v>2941</v>
      </c>
      <c r="J106" s="12" t="s">
        <v>2942</v>
      </c>
      <c r="K106" s="15">
        <v>45096</v>
      </c>
      <c r="L106" s="15">
        <v>73050</v>
      </c>
      <c r="M106" s="12" t="s">
        <v>8581</v>
      </c>
      <c r="N106" s="12" t="s">
        <v>8644</v>
      </c>
      <c r="O106" s="12" t="s">
        <v>8584</v>
      </c>
      <c r="P106" s="12" t="s">
        <v>47</v>
      </c>
      <c r="Q106" s="12" t="s">
        <v>8658</v>
      </c>
    </row>
    <row r="107" spans="1:17" x14ac:dyDescent="0.25">
      <c r="A107" s="12" t="str">
        <f t="shared" si="3"/>
        <v>GordienkoAdam</v>
      </c>
      <c r="B107" s="12" t="str">
        <f t="shared" si="4"/>
        <v>0295413742</v>
      </c>
      <c r="C107" s="14">
        <f t="shared" si="5"/>
        <v>5110</v>
      </c>
      <c r="D107" s="14">
        <v>98</v>
      </c>
      <c r="E107" s="12" t="s">
        <v>2390</v>
      </c>
      <c r="F107" s="12" t="s">
        <v>2391</v>
      </c>
      <c r="G107" s="14">
        <v>5110</v>
      </c>
      <c r="H107" s="12" t="s">
        <v>2389</v>
      </c>
      <c r="I107" s="12" t="s">
        <v>2392</v>
      </c>
      <c r="J107" s="12" t="s">
        <v>2393</v>
      </c>
      <c r="K107" s="15">
        <v>45117</v>
      </c>
      <c r="L107" s="12" t="s">
        <v>8566</v>
      </c>
      <c r="M107" s="12" t="s">
        <v>8581</v>
      </c>
      <c r="N107" s="12" t="s">
        <v>8582</v>
      </c>
      <c r="O107" s="12" t="s">
        <v>8580</v>
      </c>
      <c r="P107" s="12" t="s">
        <v>2381</v>
      </c>
      <c r="Q107" s="12" t="s">
        <v>8659</v>
      </c>
    </row>
    <row r="108" spans="1:17" x14ac:dyDescent="0.25">
      <c r="A108" s="12" t="str">
        <f t="shared" si="3"/>
        <v>JaniczekKamil Patryk</v>
      </c>
      <c r="B108" s="12" t="str">
        <f t="shared" si="4"/>
        <v>0369978365</v>
      </c>
      <c r="C108" s="14">
        <f t="shared" si="5"/>
        <v>5113</v>
      </c>
      <c r="D108" s="14">
        <v>99</v>
      </c>
      <c r="E108" s="12" t="s">
        <v>2489</v>
      </c>
      <c r="F108" s="12" t="s">
        <v>2490</v>
      </c>
      <c r="G108" s="14">
        <v>5113</v>
      </c>
      <c r="H108" s="14">
        <v>51928</v>
      </c>
      <c r="I108" s="12" t="s">
        <v>2491</v>
      </c>
      <c r="J108" s="12" t="s">
        <v>2492</v>
      </c>
      <c r="K108" s="15">
        <v>45119</v>
      </c>
      <c r="L108" s="12" t="s">
        <v>8566</v>
      </c>
      <c r="M108" s="12" t="s">
        <v>8623</v>
      </c>
      <c r="N108" s="12" t="s">
        <v>8660</v>
      </c>
      <c r="O108" s="12" t="s">
        <v>8580</v>
      </c>
      <c r="P108" s="12" t="s">
        <v>493</v>
      </c>
      <c r="Q108" s="12" t="s">
        <v>8661</v>
      </c>
    </row>
    <row r="109" spans="1:17" x14ac:dyDescent="0.25">
      <c r="A109" s="12" t="str">
        <f t="shared" si="3"/>
        <v>RatajczykPatrycja Joanna</v>
      </c>
      <c r="B109" s="12" t="str">
        <f t="shared" si="4"/>
        <v>0001985251</v>
      </c>
      <c r="C109" s="14">
        <f t="shared" si="5"/>
        <v>5120</v>
      </c>
      <c r="D109" s="14">
        <v>78</v>
      </c>
      <c r="E109" s="12" t="s">
        <v>2013</v>
      </c>
      <c r="F109" s="12" t="s">
        <v>2014</v>
      </c>
      <c r="G109" s="14">
        <v>5120</v>
      </c>
      <c r="H109" s="12" t="s">
        <v>2012</v>
      </c>
      <c r="I109" s="12" t="s">
        <v>2015</v>
      </c>
      <c r="J109" s="12" t="s">
        <v>2016</v>
      </c>
      <c r="K109" s="15">
        <v>45173</v>
      </c>
      <c r="L109" s="12" t="s">
        <v>8566</v>
      </c>
      <c r="M109" s="12" t="s">
        <v>8548</v>
      </c>
      <c r="N109" s="12" t="s">
        <v>8548</v>
      </c>
      <c r="O109" s="12" t="s">
        <v>8580</v>
      </c>
      <c r="P109" s="12" t="s">
        <v>1216</v>
      </c>
    </row>
    <row r="110" spans="1:17" x14ac:dyDescent="0.25">
      <c r="A110" s="12" t="str">
        <f t="shared" si="3"/>
        <v>NiepsujKarolina Magdalena</v>
      </c>
      <c r="B110" s="12" t="str">
        <f t="shared" si="4"/>
        <v>0002028995</v>
      </c>
      <c r="C110" s="14">
        <f t="shared" si="5"/>
        <v>5121</v>
      </c>
      <c r="D110" s="14">
        <v>70</v>
      </c>
      <c r="E110" s="12" t="s">
        <v>1832</v>
      </c>
      <c r="F110" s="12" t="s">
        <v>1833</v>
      </c>
      <c r="G110" s="14">
        <v>5121</v>
      </c>
      <c r="H110" s="12" t="s">
        <v>1831</v>
      </c>
      <c r="I110" s="12" t="s">
        <v>1834</v>
      </c>
      <c r="J110" s="12" t="s">
        <v>1835</v>
      </c>
      <c r="K110" s="15">
        <v>45173</v>
      </c>
      <c r="L110" s="15">
        <v>73050</v>
      </c>
      <c r="M110" s="12" t="s">
        <v>8568</v>
      </c>
      <c r="N110" s="12" t="s">
        <v>8662</v>
      </c>
      <c r="O110" s="12" t="s">
        <v>8580</v>
      </c>
      <c r="P110" s="12" t="s">
        <v>1216</v>
      </c>
    </row>
    <row r="111" spans="1:17" x14ac:dyDescent="0.25">
      <c r="A111" s="12" t="str">
        <f t="shared" si="3"/>
        <v>HerokNatalia Magdalena</v>
      </c>
      <c r="B111" s="12" t="str">
        <f t="shared" si="4"/>
        <v>0003334887</v>
      </c>
      <c r="C111" s="14">
        <f t="shared" si="5"/>
        <v>5125</v>
      </c>
      <c r="D111" s="14">
        <v>52</v>
      </c>
      <c r="E111" s="12" t="s">
        <v>1450</v>
      </c>
      <c r="F111" s="12" t="s">
        <v>1451</v>
      </c>
      <c r="G111" s="14">
        <v>5125</v>
      </c>
      <c r="H111" s="12" t="s">
        <v>1449</v>
      </c>
      <c r="I111" s="12" t="s">
        <v>1452</v>
      </c>
      <c r="J111" s="12" t="s">
        <v>1453</v>
      </c>
      <c r="K111" s="15">
        <v>45174</v>
      </c>
      <c r="L111" s="15">
        <v>73050</v>
      </c>
      <c r="M111" s="12" t="s">
        <v>8548</v>
      </c>
      <c r="N111" s="12" t="s">
        <v>8548</v>
      </c>
      <c r="O111" s="12" t="s">
        <v>8580</v>
      </c>
      <c r="P111" s="12" t="s">
        <v>1216</v>
      </c>
      <c r="Q111" s="12" t="s">
        <v>8605</v>
      </c>
    </row>
    <row r="112" spans="1:17" x14ac:dyDescent="0.25">
      <c r="A112" s="12" t="str">
        <f t="shared" si="3"/>
        <v>BuzaGrazyna Aniela</v>
      </c>
      <c r="B112" s="12" t="str">
        <f t="shared" si="4"/>
        <v>0328432941</v>
      </c>
      <c r="C112" s="14">
        <f t="shared" si="5"/>
        <v>5129</v>
      </c>
      <c r="E112" s="12" t="s">
        <v>225</v>
      </c>
      <c r="F112" s="12" t="s">
        <v>226</v>
      </c>
      <c r="G112" s="14">
        <v>5129</v>
      </c>
      <c r="H112" s="14">
        <v>5129</v>
      </c>
      <c r="I112" s="12" t="s">
        <v>227</v>
      </c>
      <c r="J112" s="12" t="s">
        <v>228</v>
      </c>
      <c r="K112" s="15">
        <v>45145</v>
      </c>
      <c r="L112" s="15">
        <v>73050</v>
      </c>
      <c r="M112" s="12" t="s">
        <v>8571</v>
      </c>
      <c r="N112" s="12" t="s">
        <v>8663</v>
      </c>
      <c r="O112" s="12" t="s">
        <v>8583</v>
      </c>
      <c r="P112" s="12" t="s">
        <v>47</v>
      </c>
    </row>
    <row r="113" spans="1:17" x14ac:dyDescent="0.25">
      <c r="A113" s="12" t="str">
        <f t="shared" si="3"/>
        <v>GroborzPaulina Dominika</v>
      </c>
      <c r="B113" s="12" t="str">
        <f t="shared" si="4"/>
        <v>0002036733</v>
      </c>
      <c r="C113" s="14">
        <f t="shared" si="5"/>
        <v>5143</v>
      </c>
      <c r="D113" s="14">
        <v>51</v>
      </c>
      <c r="E113" s="12" t="s">
        <v>1413</v>
      </c>
      <c r="F113" s="12" t="s">
        <v>1414</v>
      </c>
      <c r="G113" s="14">
        <v>5143</v>
      </c>
      <c r="H113" s="12" t="s">
        <v>1412</v>
      </c>
      <c r="I113" s="12" t="s">
        <v>1415</v>
      </c>
      <c r="J113" s="12" t="s">
        <v>1416</v>
      </c>
      <c r="K113" s="15">
        <v>45187</v>
      </c>
      <c r="L113" s="15">
        <v>73050</v>
      </c>
      <c r="M113" s="12" t="s">
        <v>8568</v>
      </c>
      <c r="N113" s="12" t="s">
        <v>8664</v>
      </c>
      <c r="O113" s="12" t="s">
        <v>8580</v>
      </c>
      <c r="P113" s="12" t="s">
        <v>1216</v>
      </c>
    </row>
    <row r="114" spans="1:17" x14ac:dyDescent="0.25">
      <c r="A114" s="12" t="str">
        <f t="shared" si="3"/>
        <v>PlichtaLukasz</v>
      </c>
      <c r="B114" s="12" t="str">
        <f t="shared" si="4"/>
        <v>0003628225</v>
      </c>
      <c r="C114" s="14">
        <f t="shared" si="5"/>
        <v>5144</v>
      </c>
      <c r="D114" s="14">
        <v>76</v>
      </c>
      <c r="E114" s="12" t="s">
        <v>1946</v>
      </c>
      <c r="F114" s="12" t="s">
        <v>1947</v>
      </c>
      <c r="G114" s="14">
        <v>5144</v>
      </c>
      <c r="H114" s="12" t="s">
        <v>1945</v>
      </c>
      <c r="I114" s="12" t="s">
        <v>1948</v>
      </c>
      <c r="J114" s="12" t="s">
        <v>1949</v>
      </c>
      <c r="K114" s="15">
        <v>45187</v>
      </c>
      <c r="L114" s="12" t="s">
        <v>8566</v>
      </c>
      <c r="M114" s="12" t="s">
        <v>8568</v>
      </c>
      <c r="N114" s="12" t="s">
        <v>8664</v>
      </c>
      <c r="O114" s="12" t="s">
        <v>8580</v>
      </c>
      <c r="P114" s="12" t="s">
        <v>1216</v>
      </c>
    </row>
    <row r="115" spans="1:17" x14ac:dyDescent="0.25">
      <c r="A115" s="12" t="str">
        <f t="shared" si="3"/>
        <v>StafiejLucyna Justyna</v>
      </c>
      <c r="B115" s="12" t="str">
        <f t="shared" si="4"/>
        <v>0003371764</v>
      </c>
      <c r="C115" s="14">
        <f t="shared" si="5"/>
        <v>5152</v>
      </c>
      <c r="D115" s="14">
        <v>84</v>
      </c>
      <c r="E115" s="12" t="s">
        <v>2142</v>
      </c>
      <c r="F115" s="12" t="s">
        <v>2143</v>
      </c>
      <c r="G115" s="14">
        <v>5152</v>
      </c>
      <c r="H115" s="12" t="s">
        <v>2141</v>
      </c>
      <c r="I115" s="12" t="s">
        <v>2144</v>
      </c>
      <c r="J115" s="12" t="s">
        <v>2145</v>
      </c>
      <c r="K115" s="15">
        <v>45194</v>
      </c>
      <c r="L115" s="15">
        <v>73050</v>
      </c>
      <c r="M115" s="12" t="s">
        <v>8548</v>
      </c>
      <c r="N115" s="12" t="s">
        <v>8548</v>
      </c>
      <c r="O115" s="12" t="s">
        <v>8580</v>
      </c>
      <c r="P115" s="12" t="s">
        <v>1216</v>
      </c>
    </row>
    <row r="116" spans="1:17" x14ac:dyDescent="0.25">
      <c r="A116" s="12" t="str">
        <f t="shared" si="3"/>
        <v>SkolarusSebastian</v>
      </c>
      <c r="B116" s="12" t="str">
        <f t="shared" si="4"/>
        <v>0301172958</v>
      </c>
      <c r="C116" s="14">
        <f t="shared" si="5"/>
        <v>5176</v>
      </c>
      <c r="D116" s="14">
        <v>30</v>
      </c>
      <c r="E116" s="12" t="s">
        <v>742</v>
      </c>
      <c r="F116" s="12" t="s">
        <v>743</v>
      </c>
      <c r="G116" s="14">
        <v>5176</v>
      </c>
      <c r="H116" s="14">
        <v>5176</v>
      </c>
      <c r="I116" s="12" t="s">
        <v>744</v>
      </c>
      <c r="J116" s="12" t="s">
        <v>745</v>
      </c>
      <c r="K116" s="15">
        <v>45166</v>
      </c>
      <c r="L116" s="15">
        <v>73050</v>
      </c>
      <c r="M116" s="12" t="s">
        <v>8571</v>
      </c>
      <c r="N116" s="12" t="s">
        <v>8622</v>
      </c>
      <c r="O116" s="12" t="s">
        <v>8580</v>
      </c>
      <c r="P116" s="12" t="s">
        <v>47</v>
      </c>
    </row>
    <row r="117" spans="1:17" x14ac:dyDescent="0.25">
      <c r="A117" s="12" t="str">
        <f t="shared" si="3"/>
        <v>ZygadlinskaAneta</v>
      </c>
      <c r="B117" s="12" t="str">
        <f t="shared" si="4"/>
        <v>0003350968</v>
      </c>
      <c r="C117" s="14">
        <f t="shared" si="5"/>
        <v>5177</v>
      </c>
      <c r="D117" s="14">
        <v>112</v>
      </c>
      <c r="E117" s="12" t="s">
        <v>2876</v>
      </c>
      <c r="F117" s="12" t="s">
        <v>2877</v>
      </c>
      <c r="G117" s="14">
        <v>5177</v>
      </c>
      <c r="H117" s="12" t="s">
        <v>2875</v>
      </c>
      <c r="I117" s="12" t="s">
        <v>2878</v>
      </c>
      <c r="J117" s="12" t="s">
        <v>2879</v>
      </c>
      <c r="K117" s="15">
        <v>45225</v>
      </c>
      <c r="L117" s="12" t="s">
        <v>8566</v>
      </c>
      <c r="M117" s="12" t="s">
        <v>8586</v>
      </c>
      <c r="N117" s="12" t="s">
        <v>8626</v>
      </c>
      <c r="O117" s="12" t="s">
        <v>8584</v>
      </c>
      <c r="P117" s="12" t="s">
        <v>1216</v>
      </c>
      <c r="Q117" s="12" t="s">
        <v>8665</v>
      </c>
    </row>
    <row r="118" spans="1:17" x14ac:dyDescent="0.25">
      <c r="A118" s="12" t="str">
        <f t="shared" si="3"/>
        <v>SzymiczekEwa</v>
      </c>
      <c r="B118" s="12" t="str">
        <f t="shared" si="4"/>
        <v>0370026025</v>
      </c>
      <c r="C118" s="14">
        <f t="shared" si="5"/>
        <v>5179</v>
      </c>
      <c r="D118" s="14">
        <v>29</v>
      </c>
      <c r="E118" s="12" t="s">
        <v>736</v>
      </c>
      <c r="F118" s="12" t="s">
        <v>737</v>
      </c>
      <c r="G118" s="14">
        <v>5179</v>
      </c>
      <c r="H118" s="14">
        <v>5179</v>
      </c>
      <c r="I118" s="12" t="s">
        <v>738</v>
      </c>
      <c r="J118" s="12" t="s">
        <v>739</v>
      </c>
      <c r="K118" s="15">
        <v>45166</v>
      </c>
      <c r="L118" s="15">
        <v>73050</v>
      </c>
      <c r="M118" s="12" t="s">
        <v>8571</v>
      </c>
      <c r="N118" s="12" t="s">
        <v>8632</v>
      </c>
      <c r="O118" s="12" t="s">
        <v>8580</v>
      </c>
      <c r="P118" s="12" t="s">
        <v>47</v>
      </c>
      <c r="Q118" s="12" t="s">
        <v>8643</v>
      </c>
    </row>
    <row r="119" spans="1:17" x14ac:dyDescent="0.25">
      <c r="A119" s="12" t="str">
        <f t="shared" si="3"/>
        <v>VeseláStanislava</v>
      </c>
      <c r="B119" s="12" t="str">
        <f t="shared" si="4"/>
        <v>0000000000</v>
      </c>
      <c r="C119" s="14">
        <f t="shared" si="5"/>
        <v>5192</v>
      </c>
      <c r="D119" s="14">
        <v>118</v>
      </c>
      <c r="E119" s="12" t="s">
        <v>3191</v>
      </c>
      <c r="F119" s="12" t="s">
        <v>3192</v>
      </c>
      <c r="G119" s="14">
        <v>5192</v>
      </c>
      <c r="H119" s="12" t="s">
        <v>3190</v>
      </c>
      <c r="I119" s="12" t="s">
        <v>67</v>
      </c>
      <c r="J119" s="14">
        <v>734505041</v>
      </c>
      <c r="K119" s="15">
        <v>45280</v>
      </c>
      <c r="L119" s="15">
        <v>73050</v>
      </c>
      <c r="M119" s="12" t="s">
        <v>8548</v>
      </c>
      <c r="N119" s="12" t="s">
        <v>8548</v>
      </c>
      <c r="O119" s="12" t="s">
        <v>8580</v>
      </c>
      <c r="P119" s="12" t="s">
        <v>1216</v>
      </c>
    </row>
    <row r="120" spans="1:17" x14ac:dyDescent="0.25">
      <c r="A120" s="12" t="str">
        <f t="shared" si="3"/>
        <v>GromekSylwia</v>
      </c>
      <c r="B120" s="12" t="str">
        <f t="shared" si="4"/>
        <v>0001378328</v>
      </c>
      <c r="C120" s="14">
        <f t="shared" si="5"/>
        <v>5198</v>
      </c>
      <c r="D120" s="14">
        <v>117</v>
      </c>
      <c r="E120" s="12" t="s">
        <v>3178</v>
      </c>
      <c r="F120" s="12" t="s">
        <v>3179</v>
      </c>
      <c r="G120" s="14">
        <v>5198</v>
      </c>
      <c r="H120" s="12" t="s">
        <v>3177</v>
      </c>
      <c r="I120" s="12" t="s">
        <v>3180</v>
      </c>
      <c r="J120" s="12" t="s">
        <v>3181</v>
      </c>
      <c r="K120" s="15">
        <v>45280</v>
      </c>
      <c r="L120" s="15">
        <v>73050</v>
      </c>
      <c r="M120" s="12" t="s">
        <v>8548</v>
      </c>
      <c r="N120" s="12" t="s">
        <v>8548</v>
      </c>
      <c r="O120" s="12" t="s">
        <v>8583</v>
      </c>
      <c r="P120" s="12" t="s">
        <v>1216</v>
      </c>
    </row>
    <row r="121" spans="1:17" x14ac:dyDescent="0.25">
      <c r="A121" s="12" t="str">
        <f t="shared" si="3"/>
        <v>PawlakSzymon</v>
      </c>
      <c r="B121" s="12" t="str">
        <f t="shared" si="4"/>
        <v>0001288696</v>
      </c>
      <c r="C121" s="14">
        <f t="shared" si="5"/>
        <v>5209</v>
      </c>
      <c r="D121" s="14">
        <v>119</v>
      </c>
      <c r="E121" s="12" t="s">
        <v>1902</v>
      </c>
      <c r="F121" s="12" t="s">
        <v>3223</v>
      </c>
      <c r="G121" s="14">
        <v>5209</v>
      </c>
      <c r="H121" s="12" t="s">
        <v>3222</v>
      </c>
      <c r="I121" s="12" t="s">
        <v>3224</v>
      </c>
      <c r="J121" s="12" t="s">
        <v>3225</v>
      </c>
      <c r="K121" s="15">
        <v>45293</v>
      </c>
      <c r="L121" s="15">
        <v>73050</v>
      </c>
      <c r="M121" s="12" t="s">
        <v>8548</v>
      </c>
      <c r="N121" s="12" t="s">
        <v>8548</v>
      </c>
      <c r="O121" s="12" t="s">
        <v>8580</v>
      </c>
      <c r="P121" s="12" t="s">
        <v>1216</v>
      </c>
    </row>
    <row r="122" spans="1:17" x14ac:dyDescent="0.25">
      <c r="A122" s="12" t="str">
        <f t="shared" si="3"/>
        <v>GoikAndrzej</v>
      </c>
      <c r="B122" s="12" t="str">
        <f t="shared" si="4"/>
        <v>0348406127</v>
      </c>
      <c r="C122" s="14">
        <f t="shared" si="5"/>
        <v>5281</v>
      </c>
      <c r="D122" s="14">
        <v>111</v>
      </c>
      <c r="E122" s="12" t="s">
        <v>2823</v>
      </c>
      <c r="F122" s="12" t="s">
        <v>761</v>
      </c>
      <c r="G122" s="14">
        <v>5281</v>
      </c>
      <c r="H122" s="14">
        <v>51994</v>
      </c>
      <c r="I122" s="12" t="s">
        <v>2824</v>
      </c>
      <c r="J122" s="12" t="s">
        <v>2825</v>
      </c>
      <c r="K122" s="15">
        <v>45215</v>
      </c>
      <c r="L122" s="15">
        <v>73050</v>
      </c>
      <c r="M122" s="12" t="s">
        <v>8575</v>
      </c>
      <c r="N122" s="12" t="s">
        <v>8666</v>
      </c>
      <c r="O122" s="12" t="s">
        <v>8584</v>
      </c>
      <c r="P122" s="12" t="s">
        <v>493</v>
      </c>
    </row>
    <row r="123" spans="1:17" x14ac:dyDescent="0.25">
      <c r="A123" s="12" t="str">
        <f t="shared" si="3"/>
        <v>RakBarbara Irena</v>
      </c>
      <c r="B123" s="12" t="str">
        <f t="shared" si="4"/>
        <v>0301162090</v>
      </c>
      <c r="C123" s="14">
        <f t="shared" si="5"/>
        <v>5310</v>
      </c>
      <c r="D123" s="14">
        <v>113</v>
      </c>
      <c r="E123" s="12" t="s">
        <v>2918</v>
      </c>
      <c r="F123" s="12" t="s">
        <v>2919</v>
      </c>
      <c r="G123" s="14">
        <v>5310</v>
      </c>
      <c r="H123" s="14">
        <v>5310</v>
      </c>
      <c r="I123" s="12" t="s">
        <v>2920</v>
      </c>
      <c r="J123" s="12" t="s">
        <v>2921</v>
      </c>
      <c r="K123" s="15">
        <v>45229</v>
      </c>
      <c r="L123" s="15">
        <v>73050</v>
      </c>
      <c r="M123" s="12" t="s">
        <v>8571</v>
      </c>
      <c r="N123" s="12" t="s">
        <v>8633</v>
      </c>
      <c r="O123" s="12" t="s">
        <v>8580</v>
      </c>
      <c r="P123" s="12" t="s">
        <v>47</v>
      </c>
    </row>
    <row r="124" spans="1:17" x14ac:dyDescent="0.25">
      <c r="A124" s="12" t="str">
        <f t="shared" si="3"/>
        <v>SalataKrzysztof Marek</v>
      </c>
      <c r="B124" s="12" t="str">
        <f t="shared" si="4"/>
        <v>0011895233</v>
      </c>
      <c r="C124" s="14">
        <f t="shared" si="5"/>
        <v>5338</v>
      </c>
      <c r="D124" s="14">
        <v>116</v>
      </c>
      <c r="E124" s="12" t="s">
        <v>3086</v>
      </c>
      <c r="F124" s="12" t="s">
        <v>3087</v>
      </c>
      <c r="G124" s="14">
        <v>5338</v>
      </c>
      <c r="H124" s="12" t="s">
        <v>3085</v>
      </c>
      <c r="I124" s="12" t="s">
        <v>3088</v>
      </c>
      <c r="J124" s="12" t="s">
        <v>3089</v>
      </c>
      <c r="K124" s="15">
        <v>45257</v>
      </c>
      <c r="L124" s="12" t="s">
        <v>8566</v>
      </c>
      <c r="M124" s="12" t="s">
        <v>8667</v>
      </c>
      <c r="N124" s="12" t="s">
        <v>8668</v>
      </c>
      <c r="O124" s="12" t="s">
        <v>8583</v>
      </c>
      <c r="P124" s="12" t="s">
        <v>3091</v>
      </c>
      <c r="Q124" s="12" t="s">
        <v>8669</v>
      </c>
    </row>
    <row r="125" spans="1:17" x14ac:dyDescent="0.25">
      <c r="A125" s="12" t="str">
        <f t="shared" si="3"/>
        <v>WiącekRobert</v>
      </c>
      <c r="B125" s="12" t="str">
        <f t="shared" si="4"/>
        <v>0400343783</v>
      </c>
      <c r="C125" s="14">
        <f t="shared" si="5"/>
        <v>5390</v>
      </c>
      <c r="D125" s="14">
        <v>121</v>
      </c>
      <c r="E125" s="12" t="s">
        <v>3367</v>
      </c>
      <c r="F125" s="12" t="s">
        <v>701</v>
      </c>
      <c r="G125" s="14">
        <v>5390</v>
      </c>
      <c r="H125" s="14">
        <v>52029</v>
      </c>
      <c r="I125" s="12" t="s">
        <v>3368</v>
      </c>
      <c r="J125" s="12" t="s">
        <v>3369</v>
      </c>
      <c r="K125" s="15">
        <v>45314</v>
      </c>
      <c r="L125" s="12" t="s">
        <v>8566</v>
      </c>
      <c r="M125" s="12" t="s">
        <v>8623</v>
      </c>
      <c r="N125" s="12" t="s">
        <v>8670</v>
      </c>
      <c r="O125" s="12" t="s">
        <v>8583</v>
      </c>
      <c r="P125" s="12" t="s">
        <v>493</v>
      </c>
      <c r="Q125" s="12" t="s">
        <v>8671</v>
      </c>
    </row>
    <row r="126" spans="1:17" x14ac:dyDescent="0.25">
      <c r="A126" s="12" t="str">
        <f t="shared" si="3"/>
        <v>ZarebskaEwa</v>
      </c>
      <c r="B126" s="12" t="str">
        <f t="shared" si="4"/>
        <v>00017717734</v>
      </c>
      <c r="C126" s="14">
        <f t="shared" si="5"/>
        <v>5399</v>
      </c>
      <c r="D126" s="14">
        <v>115</v>
      </c>
      <c r="E126" s="12" t="s">
        <v>3013</v>
      </c>
      <c r="F126" s="12" t="s">
        <v>737</v>
      </c>
      <c r="G126" s="14">
        <v>5399</v>
      </c>
      <c r="H126" s="14">
        <v>70168</v>
      </c>
      <c r="I126" s="12" t="s">
        <v>3014</v>
      </c>
      <c r="J126" s="12" t="s">
        <v>3015</v>
      </c>
      <c r="K126" s="15">
        <v>45320</v>
      </c>
      <c r="L126" s="12" t="s">
        <v>8566</v>
      </c>
      <c r="M126" s="12" t="s">
        <v>8672</v>
      </c>
      <c r="N126" s="12" t="s">
        <v>8673</v>
      </c>
      <c r="O126" s="12" t="s">
        <v>8583</v>
      </c>
      <c r="P126" s="12" t="s">
        <v>62</v>
      </c>
    </row>
    <row r="127" spans="1:17" x14ac:dyDescent="0.25">
      <c r="A127" s="12" t="str">
        <f t="shared" si="3"/>
        <v>BrewinskiZbigniew</v>
      </c>
      <c r="B127" s="12" t="str">
        <f t="shared" si="4"/>
        <v>0013118940</v>
      </c>
      <c r="C127" s="14">
        <f t="shared" si="5"/>
        <v>5400</v>
      </c>
      <c r="D127" s="14">
        <v>120</v>
      </c>
      <c r="E127" s="12" t="s">
        <v>3298</v>
      </c>
      <c r="F127" s="12" t="s">
        <v>707</v>
      </c>
      <c r="G127" s="14">
        <v>5400</v>
      </c>
      <c r="H127" s="14">
        <v>0</v>
      </c>
      <c r="I127" s="12" t="s">
        <v>3299</v>
      </c>
      <c r="J127" s="12" t="s">
        <v>3300</v>
      </c>
      <c r="K127" s="15">
        <v>45446</v>
      </c>
      <c r="L127" s="12" t="s">
        <v>8566</v>
      </c>
      <c r="M127" s="12" t="s">
        <v>8571</v>
      </c>
      <c r="N127" s="12" t="s">
        <v>8622</v>
      </c>
      <c r="O127" s="12" t="s">
        <v>8598</v>
      </c>
      <c r="P127" s="12" t="s">
        <v>47</v>
      </c>
    </row>
    <row r="128" spans="1:17" x14ac:dyDescent="0.25">
      <c r="A128" s="12" t="str">
        <f t="shared" si="3"/>
        <v>WłaśniakDariusz</v>
      </c>
      <c r="B128" s="12" t="str">
        <f t="shared" si="4"/>
        <v>0392172595</v>
      </c>
      <c r="C128" s="14">
        <f t="shared" si="5"/>
        <v>5407</v>
      </c>
      <c r="D128" s="14">
        <v>122</v>
      </c>
      <c r="E128" s="12" t="s">
        <v>3459</v>
      </c>
      <c r="F128" s="12" t="s">
        <v>2607</v>
      </c>
      <c r="G128" s="14">
        <v>5407</v>
      </c>
      <c r="H128" s="14">
        <v>52047</v>
      </c>
      <c r="I128" s="12" t="s">
        <v>3460</v>
      </c>
      <c r="J128" s="12" t="s">
        <v>3461</v>
      </c>
      <c r="K128" s="15">
        <v>45321</v>
      </c>
      <c r="L128" s="12" t="s">
        <v>8566</v>
      </c>
      <c r="M128" s="12" t="s">
        <v>8575</v>
      </c>
      <c r="N128" s="12" t="s">
        <v>8674</v>
      </c>
      <c r="O128" s="12" t="s">
        <v>8580</v>
      </c>
      <c r="P128" s="12" t="s">
        <v>493</v>
      </c>
    </row>
    <row r="129" spans="1:17" x14ac:dyDescent="0.25">
      <c r="A129" s="12" t="str">
        <f t="shared" si="3"/>
        <v>PraczSonia</v>
      </c>
      <c r="B129" s="12" t="str">
        <f t="shared" si="4"/>
        <v>0002016007</v>
      </c>
      <c r="C129" s="14">
        <f t="shared" si="5"/>
        <v>5481</v>
      </c>
      <c r="D129" s="14">
        <v>123</v>
      </c>
      <c r="E129" s="12" t="s">
        <v>3733</v>
      </c>
      <c r="F129" s="12" t="s">
        <v>3734</v>
      </c>
      <c r="G129" s="14">
        <v>5481</v>
      </c>
      <c r="H129" s="12" t="s">
        <v>3732</v>
      </c>
      <c r="I129" s="12" t="s">
        <v>3735</v>
      </c>
      <c r="J129" s="12" t="s">
        <v>3736</v>
      </c>
      <c r="K129" s="15">
        <v>45349</v>
      </c>
      <c r="L129" s="15">
        <v>73051</v>
      </c>
      <c r="M129" s="12" t="s">
        <v>8568</v>
      </c>
      <c r="N129" s="12" t="s">
        <v>8591</v>
      </c>
      <c r="O129" s="12" t="s">
        <v>8584</v>
      </c>
      <c r="P129" s="12" t="s">
        <v>1216</v>
      </c>
      <c r="Q129" s="12" t="s">
        <v>8675</v>
      </c>
    </row>
    <row r="130" spans="1:17" x14ac:dyDescent="0.25">
      <c r="A130" s="12" t="str">
        <f t="shared" si="3"/>
        <v>KaliszPatrycja</v>
      </c>
      <c r="B130" s="12" t="str">
        <f t="shared" si="4"/>
        <v>0008830550</v>
      </c>
      <c r="C130" s="14">
        <f t="shared" si="5"/>
        <v>5525</v>
      </c>
      <c r="D130" s="14">
        <v>124</v>
      </c>
      <c r="E130" s="12" t="s">
        <v>3952</v>
      </c>
      <c r="F130" s="12" t="s">
        <v>80</v>
      </c>
      <c r="G130" s="14">
        <v>5525</v>
      </c>
      <c r="H130" s="12" t="s">
        <v>3951</v>
      </c>
      <c r="I130" s="12" t="s">
        <v>3953</v>
      </c>
      <c r="J130" s="12" t="s">
        <v>3954</v>
      </c>
      <c r="K130" s="15">
        <v>45377</v>
      </c>
      <c r="L130" s="15">
        <v>73050</v>
      </c>
      <c r="M130" s="12" t="s">
        <v>8548</v>
      </c>
      <c r="N130" s="12" t="s">
        <v>8548</v>
      </c>
      <c r="O130" s="12" t="s">
        <v>8580</v>
      </c>
      <c r="P130" s="12" t="s">
        <v>1216</v>
      </c>
    </row>
    <row r="131" spans="1:17" x14ac:dyDescent="0.25">
      <c r="A131" s="12" t="str">
        <f t="shared" si="3"/>
        <v>UrbasJustyna</v>
      </c>
      <c r="B131" s="12" t="str">
        <f t="shared" si="4"/>
        <v>0008978254</v>
      </c>
      <c r="C131" s="14">
        <f t="shared" si="5"/>
        <v>5526</v>
      </c>
      <c r="D131" s="14">
        <v>125</v>
      </c>
      <c r="E131" s="12" t="s">
        <v>523</v>
      </c>
      <c r="F131" s="12" t="s">
        <v>3566</v>
      </c>
      <c r="G131" s="14">
        <v>5526</v>
      </c>
      <c r="H131" s="12" t="s">
        <v>3957</v>
      </c>
      <c r="I131" s="12" t="s">
        <v>3958</v>
      </c>
      <c r="J131" s="12" t="s">
        <v>3959</v>
      </c>
      <c r="K131" s="15">
        <v>45384</v>
      </c>
      <c r="L131" s="15">
        <v>73050</v>
      </c>
      <c r="M131" s="12" t="s">
        <v>8548</v>
      </c>
      <c r="N131" s="12" t="s">
        <v>8548</v>
      </c>
      <c r="O131" s="12" t="s">
        <v>8580</v>
      </c>
      <c r="P131" s="12" t="s">
        <v>1216</v>
      </c>
    </row>
    <row r="132" spans="1:17" x14ac:dyDescent="0.25">
      <c r="A132" s="12" t="str">
        <f t="shared" ref="A132:A195" si="6">E132&amp;F132</f>
        <v>UrbaczkaDominika</v>
      </c>
      <c r="B132" s="12" t="str">
        <f t="shared" ref="B132:B195" si="7">I132</f>
        <v>0001342918</v>
      </c>
      <c r="C132" s="14">
        <f t="shared" ref="C132:C195" si="8">G132</f>
        <v>5545</v>
      </c>
      <c r="D132" s="14">
        <v>126</v>
      </c>
      <c r="E132" s="12" t="s">
        <v>4001</v>
      </c>
      <c r="F132" s="12" t="s">
        <v>1750</v>
      </c>
      <c r="G132" s="14">
        <v>5545</v>
      </c>
      <c r="H132" s="12" t="s">
        <v>4000</v>
      </c>
      <c r="I132" s="12" t="s">
        <v>4002</v>
      </c>
      <c r="J132" s="12" t="s">
        <v>4003</v>
      </c>
      <c r="K132" s="15">
        <v>45390</v>
      </c>
      <c r="L132" s="15">
        <v>73050</v>
      </c>
      <c r="M132" s="12" t="s">
        <v>8548</v>
      </c>
      <c r="N132" s="12" t="s">
        <v>8548</v>
      </c>
      <c r="O132" s="12" t="s">
        <v>8584</v>
      </c>
      <c r="P132" s="12" t="s">
        <v>1216</v>
      </c>
      <c r="Q132" s="12" t="s">
        <v>8585</v>
      </c>
    </row>
    <row r="133" spans="1:17" x14ac:dyDescent="0.25">
      <c r="A133" s="12" t="str">
        <f t="shared" si="6"/>
        <v>SzpinMateusz</v>
      </c>
      <c r="B133" s="12" t="str">
        <f t="shared" si="7"/>
        <v>0001828445</v>
      </c>
      <c r="C133" s="14">
        <f t="shared" si="8"/>
        <v>5555</v>
      </c>
      <c r="D133" s="14">
        <v>127</v>
      </c>
      <c r="E133" s="12" t="s">
        <v>4098</v>
      </c>
      <c r="F133" s="12" t="s">
        <v>2613</v>
      </c>
      <c r="G133" s="14">
        <v>5555</v>
      </c>
      <c r="H133" s="12" t="s">
        <v>4097</v>
      </c>
      <c r="I133" s="12" t="s">
        <v>1813</v>
      </c>
      <c r="J133" s="12" t="s">
        <v>4099</v>
      </c>
      <c r="K133" s="15">
        <v>45397</v>
      </c>
      <c r="L133" s="15">
        <v>73050</v>
      </c>
      <c r="M133" s="12" t="s">
        <v>8548</v>
      </c>
      <c r="N133" s="12" t="s">
        <v>8548</v>
      </c>
      <c r="O133" s="12" t="s">
        <v>8584</v>
      </c>
      <c r="P133" s="12" t="s">
        <v>1216</v>
      </c>
      <c r="Q133" s="12" t="s">
        <v>8585</v>
      </c>
    </row>
    <row r="134" spans="1:17" x14ac:dyDescent="0.25">
      <c r="A134" s="12" t="str">
        <f t="shared" si="6"/>
        <v>SiedlokZbigniew</v>
      </c>
      <c r="B134" s="12" t="str">
        <f t="shared" si="7"/>
        <v>0392324152</v>
      </c>
      <c r="C134" s="14">
        <f t="shared" si="8"/>
        <v>5558</v>
      </c>
      <c r="D134" s="14">
        <v>128</v>
      </c>
      <c r="E134" s="12" t="s">
        <v>4109</v>
      </c>
      <c r="F134" s="12" t="s">
        <v>707</v>
      </c>
      <c r="G134" s="14">
        <v>5558</v>
      </c>
      <c r="H134" s="14">
        <v>52138</v>
      </c>
      <c r="I134" s="12" t="s">
        <v>4110</v>
      </c>
      <c r="J134" s="12" t="s">
        <v>4111</v>
      </c>
      <c r="K134" s="15">
        <v>45397</v>
      </c>
      <c r="L134" s="12" t="s">
        <v>8566</v>
      </c>
      <c r="M134" s="12" t="s">
        <v>8623</v>
      </c>
      <c r="N134" s="12" t="s">
        <v>8676</v>
      </c>
      <c r="O134" s="12" t="s">
        <v>8583</v>
      </c>
      <c r="P134" s="12" t="s">
        <v>493</v>
      </c>
      <c r="Q134" s="12" t="s">
        <v>8677</v>
      </c>
    </row>
    <row r="135" spans="1:17" x14ac:dyDescent="0.25">
      <c r="A135" s="12" t="str">
        <f t="shared" si="6"/>
        <v>JamryKamil</v>
      </c>
      <c r="B135" s="12" t="str">
        <f t="shared" si="7"/>
        <v>0015511324</v>
      </c>
      <c r="C135" s="14">
        <f t="shared" si="8"/>
        <v>5583</v>
      </c>
      <c r="D135" s="14">
        <v>56</v>
      </c>
      <c r="E135" s="12" t="s">
        <v>1508</v>
      </c>
      <c r="F135" s="12" t="s">
        <v>1509</v>
      </c>
      <c r="G135" s="14">
        <v>5583</v>
      </c>
      <c r="H135" s="12" t="s">
        <v>1507</v>
      </c>
      <c r="I135" s="12" t="s">
        <v>1510</v>
      </c>
      <c r="J135" s="12" t="s">
        <v>1511</v>
      </c>
      <c r="K135" s="15">
        <v>45408</v>
      </c>
      <c r="L135" s="12" t="s">
        <v>8566</v>
      </c>
      <c r="M135" s="12" t="s">
        <v>8568</v>
      </c>
      <c r="N135" s="12" t="s">
        <v>8642</v>
      </c>
      <c r="O135" s="12" t="s">
        <v>8583</v>
      </c>
      <c r="P135" s="12" t="s">
        <v>1216</v>
      </c>
      <c r="Q135" s="12" t="s">
        <v>8678</v>
      </c>
    </row>
    <row r="136" spans="1:17" x14ac:dyDescent="0.25">
      <c r="A136" s="12" t="str">
        <f t="shared" si="6"/>
        <v>GoraRenata</v>
      </c>
      <c r="B136" s="12" t="str">
        <f t="shared" si="7"/>
        <v>0001983141</v>
      </c>
      <c r="C136" s="14">
        <f t="shared" si="8"/>
        <v>5595</v>
      </c>
      <c r="D136" s="14">
        <v>129</v>
      </c>
      <c r="E136" s="12" t="s">
        <v>414</v>
      </c>
      <c r="F136" s="12" t="s">
        <v>4253</v>
      </c>
      <c r="G136" s="14">
        <v>5595</v>
      </c>
      <c r="H136" s="12" t="s">
        <v>4252</v>
      </c>
      <c r="I136" s="12" t="s">
        <v>3143</v>
      </c>
      <c r="J136" s="12" t="s">
        <v>4254</v>
      </c>
      <c r="K136" s="15">
        <v>45425</v>
      </c>
      <c r="L136" s="15">
        <v>73050</v>
      </c>
      <c r="M136" s="12" t="s">
        <v>8568</v>
      </c>
      <c r="N136" s="12" t="s">
        <v>8594</v>
      </c>
      <c r="O136" s="12" t="s">
        <v>8584</v>
      </c>
      <c r="P136" s="12" t="s">
        <v>1216</v>
      </c>
      <c r="Q136" s="12" t="s">
        <v>8679</v>
      </c>
    </row>
    <row r="137" spans="1:17" x14ac:dyDescent="0.25">
      <c r="A137" s="12" t="str">
        <f t="shared" si="6"/>
        <v>SpiewakWioletta</v>
      </c>
      <c r="B137" s="12" t="str">
        <f t="shared" si="7"/>
        <v>0003781642</v>
      </c>
      <c r="C137" s="14">
        <f t="shared" si="8"/>
        <v>5601</v>
      </c>
      <c r="D137" s="14">
        <v>130</v>
      </c>
      <c r="E137" s="12" t="s">
        <v>4280</v>
      </c>
      <c r="F137" s="12" t="s">
        <v>2813</v>
      </c>
      <c r="G137" s="14">
        <v>5601</v>
      </c>
      <c r="H137" s="12" t="s">
        <v>4279</v>
      </c>
      <c r="I137" s="12" t="s">
        <v>4281</v>
      </c>
      <c r="J137" s="12" t="s">
        <v>4282</v>
      </c>
      <c r="K137" s="15">
        <v>45432</v>
      </c>
      <c r="L137" s="15">
        <v>73050</v>
      </c>
      <c r="M137" s="12" t="s">
        <v>8568</v>
      </c>
      <c r="N137" s="12" t="s">
        <v>8591</v>
      </c>
      <c r="O137" s="12" t="s">
        <v>8583</v>
      </c>
      <c r="P137" s="12" t="s">
        <v>1216</v>
      </c>
    </row>
    <row r="138" spans="1:17" x14ac:dyDescent="0.25">
      <c r="A138" s="12" t="str">
        <f t="shared" si="6"/>
        <v>PlintaMarcin</v>
      </c>
      <c r="B138" s="12" t="str">
        <f t="shared" si="7"/>
        <v>0001374770</v>
      </c>
      <c r="C138" s="14">
        <f t="shared" si="8"/>
        <v>5604</v>
      </c>
      <c r="D138" s="14">
        <v>131</v>
      </c>
      <c r="E138" s="12" t="s">
        <v>4295</v>
      </c>
      <c r="F138" s="12" t="s">
        <v>2883</v>
      </c>
      <c r="G138" s="14">
        <v>5604</v>
      </c>
      <c r="H138" s="12" t="s">
        <v>4294</v>
      </c>
      <c r="I138" s="12" t="s">
        <v>2299</v>
      </c>
      <c r="J138" s="12" t="s">
        <v>4296</v>
      </c>
      <c r="K138" s="15">
        <v>45436</v>
      </c>
      <c r="L138" s="15">
        <v>73050</v>
      </c>
      <c r="M138" s="12" t="s">
        <v>8548</v>
      </c>
      <c r="N138" s="12" t="s">
        <v>8548</v>
      </c>
      <c r="O138" s="12" t="s">
        <v>8584</v>
      </c>
      <c r="P138" s="12" t="s">
        <v>1216</v>
      </c>
      <c r="Q138" s="12" t="s">
        <v>8585</v>
      </c>
    </row>
    <row r="139" spans="1:17" x14ac:dyDescent="0.25">
      <c r="A139" s="12" t="str">
        <f t="shared" si="6"/>
        <v>MaciaczykUrszula</v>
      </c>
      <c r="B139" s="12" t="str">
        <f t="shared" si="7"/>
        <v>0007375198</v>
      </c>
      <c r="C139" s="14">
        <f t="shared" si="8"/>
        <v>5620</v>
      </c>
      <c r="D139" s="14">
        <v>133</v>
      </c>
      <c r="E139" s="12" t="s">
        <v>4350</v>
      </c>
      <c r="F139" s="12" t="s">
        <v>4351</v>
      </c>
      <c r="G139" s="14">
        <v>5620</v>
      </c>
      <c r="H139" s="12" t="s">
        <v>4349</v>
      </c>
      <c r="I139" s="12" t="s">
        <v>4352</v>
      </c>
      <c r="J139" s="12" t="s">
        <v>4353</v>
      </c>
      <c r="K139" s="15">
        <v>45441</v>
      </c>
      <c r="L139" s="15">
        <v>73050</v>
      </c>
      <c r="M139" s="12" t="s">
        <v>8548</v>
      </c>
      <c r="N139" s="12" t="s">
        <v>8548</v>
      </c>
      <c r="O139" s="12" t="s">
        <v>8580</v>
      </c>
      <c r="P139" s="12" t="s">
        <v>1216</v>
      </c>
    </row>
    <row r="140" spans="1:17" x14ac:dyDescent="0.25">
      <c r="A140" s="12" t="str">
        <f t="shared" si="6"/>
        <v>DolińskiRoman</v>
      </c>
      <c r="B140" s="12" t="str">
        <f t="shared" si="7"/>
        <v>0013385638</v>
      </c>
      <c r="C140" s="14">
        <f t="shared" si="8"/>
        <v>5630</v>
      </c>
      <c r="D140" s="14">
        <v>136</v>
      </c>
      <c r="E140" s="12" t="s">
        <v>4449</v>
      </c>
      <c r="F140" s="12" t="s">
        <v>917</v>
      </c>
      <c r="G140" s="14">
        <v>5630</v>
      </c>
      <c r="H140" s="12" t="s">
        <v>1394</v>
      </c>
      <c r="I140" s="12" t="s">
        <v>4450</v>
      </c>
      <c r="J140" s="12" t="s">
        <v>4451</v>
      </c>
      <c r="K140" s="15">
        <v>45447</v>
      </c>
      <c r="L140" s="15">
        <v>73050</v>
      </c>
      <c r="M140" s="12" t="s">
        <v>8680</v>
      </c>
      <c r="N140" s="12" t="s">
        <v>8681</v>
      </c>
      <c r="O140" s="12" t="s">
        <v>8583</v>
      </c>
      <c r="P140" s="12" t="s">
        <v>3091</v>
      </c>
      <c r="Q140" s="12" t="s">
        <v>8682</v>
      </c>
    </row>
    <row r="141" spans="1:17" x14ac:dyDescent="0.25">
      <c r="A141" s="12" t="str">
        <f t="shared" si="6"/>
        <v>PolakRenata</v>
      </c>
      <c r="B141" s="12" t="str">
        <f t="shared" si="7"/>
        <v>0001832735</v>
      </c>
      <c r="C141" s="14">
        <f t="shared" si="8"/>
        <v>5632</v>
      </c>
      <c r="D141" s="14">
        <v>134</v>
      </c>
      <c r="E141" s="12" t="s">
        <v>4399</v>
      </c>
      <c r="F141" s="12" t="s">
        <v>4253</v>
      </c>
      <c r="G141" s="14">
        <v>5632</v>
      </c>
      <c r="H141" s="12" t="s">
        <v>4398</v>
      </c>
      <c r="I141" s="12" t="s">
        <v>4400</v>
      </c>
      <c r="J141" s="12" t="s">
        <v>4401</v>
      </c>
      <c r="K141" s="15">
        <v>45446</v>
      </c>
      <c r="L141" s="12" t="s">
        <v>8566</v>
      </c>
      <c r="M141" s="12" t="s">
        <v>8586</v>
      </c>
      <c r="N141" s="12" t="s">
        <v>8641</v>
      </c>
      <c r="O141" s="12" t="s">
        <v>8580</v>
      </c>
      <c r="P141" s="12" t="s">
        <v>1216</v>
      </c>
    </row>
    <row r="142" spans="1:17" x14ac:dyDescent="0.25">
      <c r="A142" s="12" t="str">
        <f t="shared" si="6"/>
        <v>PodżorskiAndrzej</v>
      </c>
      <c r="B142" s="12" t="str">
        <f t="shared" si="7"/>
        <v>0012019054</v>
      </c>
      <c r="C142" s="14">
        <f t="shared" si="8"/>
        <v>5639</v>
      </c>
      <c r="D142" s="14">
        <v>135</v>
      </c>
      <c r="E142" s="12" t="s">
        <v>4424</v>
      </c>
      <c r="F142" s="12" t="s">
        <v>761</v>
      </c>
      <c r="G142" s="14">
        <v>5639</v>
      </c>
      <c r="H142" s="12" t="s">
        <v>1394</v>
      </c>
      <c r="I142" s="12" t="s">
        <v>4425</v>
      </c>
      <c r="J142" s="12" t="s">
        <v>4426</v>
      </c>
      <c r="K142" s="15">
        <v>45447</v>
      </c>
      <c r="L142" s="15">
        <v>73050</v>
      </c>
      <c r="M142" s="12" t="s">
        <v>8667</v>
      </c>
      <c r="N142" s="12" t="s">
        <v>8683</v>
      </c>
      <c r="O142" s="12" t="s">
        <v>8583</v>
      </c>
      <c r="P142" s="12" t="s">
        <v>3091</v>
      </c>
      <c r="Q142" s="12" t="s">
        <v>8684</v>
      </c>
    </row>
    <row r="143" spans="1:17" x14ac:dyDescent="0.25">
      <c r="A143" s="12" t="str">
        <f t="shared" si="6"/>
        <v>SztymelskiLukasz</v>
      </c>
      <c r="B143" s="12" t="str">
        <f t="shared" si="7"/>
        <v>0013410753</v>
      </c>
      <c r="C143" s="14">
        <f t="shared" si="8"/>
        <v>5646</v>
      </c>
      <c r="D143" s="14">
        <v>139</v>
      </c>
      <c r="E143" s="12" t="s">
        <v>4511</v>
      </c>
      <c r="F143" s="12" t="s">
        <v>1947</v>
      </c>
      <c r="G143" s="14">
        <v>5646</v>
      </c>
      <c r="H143" s="12" t="s">
        <v>1394</v>
      </c>
      <c r="I143" s="12" t="s">
        <v>4512</v>
      </c>
      <c r="J143" s="12" t="s">
        <v>4513</v>
      </c>
      <c r="K143" s="15">
        <v>45453</v>
      </c>
      <c r="L143" s="15">
        <v>73050</v>
      </c>
      <c r="M143" s="12" t="s">
        <v>8667</v>
      </c>
      <c r="N143" s="12" t="s">
        <v>8685</v>
      </c>
      <c r="O143" s="12" t="s">
        <v>8583</v>
      </c>
      <c r="P143" s="12" t="s">
        <v>3091</v>
      </c>
      <c r="Q143" s="12" t="s">
        <v>8686</v>
      </c>
    </row>
    <row r="144" spans="1:17" x14ac:dyDescent="0.25">
      <c r="A144" s="12" t="str">
        <f t="shared" si="6"/>
        <v>JablonskiSlawomir</v>
      </c>
      <c r="B144" s="12" t="str">
        <f t="shared" si="7"/>
        <v>0011965953</v>
      </c>
      <c r="C144" s="14">
        <f t="shared" si="8"/>
        <v>5647</v>
      </c>
      <c r="D144" s="14">
        <v>138</v>
      </c>
      <c r="E144" s="12" t="s">
        <v>4506</v>
      </c>
      <c r="F144" s="12" t="s">
        <v>731</v>
      </c>
      <c r="G144" s="14">
        <v>5647</v>
      </c>
      <c r="H144" s="12" t="s">
        <v>1394</v>
      </c>
      <c r="I144" s="12" t="s">
        <v>4507</v>
      </c>
      <c r="J144" s="12" t="s">
        <v>4508</v>
      </c>
      <c r="K144" s="15">
        <v>45453</v>
      </c>
      <c r="L144" s="12" t="s">
        <v>8566</v>
      </c>
      <c r="M144" s="12" t="s">
        <v>8667</v>
      </c>
      <c r="N144" s="12" t="s">
        <v>8687</v>
      </c>
      <c r="O144" s="12" t="s">
        <v>8598</v>
      </c>
      <c r="P144" s="12" t="s">
        <v>3091</v>
      </c>
      <c r="Q144" s="12" t="s">
        <v>8688</v>
      </c>
    </row>
    <row r="145" spans="1:17" x14ac:dyDescent="0.25">
      <c r="A145" s="12" t="str">
        <f t="shared" si="6"/>
        <v>MrozekMateusz</v>
      </c>
      <c r="B145" s="12" t="str">
        <f t="shared" si="7"/>
        <v>0011956507</v>
      </c>
      <c r="C145" s="14">
        <f t="shared" si="8"/>
        <v>5659</v>
      </c>
      <c r="D145" s="14">
        <v>137</v>
      </c>
      <c r="E145" s="12" t="s">
        <v>3814</v>
      </c>
      <c r="F145" s="12" t="s">
        <v>2613</v>
      </c>
      <c r="G145" s="14">
        <v>5659</v>
      </c>
      <c r="H145" s="12" t="s">
        <v>1394</v>
      </c>
      <c r="I145" s="12" t="s">
        <v>4486</v>
      </c>
      <c r="J145" s="12" t="s">
        <v>4487</v>
      </c>
      <c r="K145" s="15">
        <v>45453</v>
      </c>
      <c r="L145" s="15">
        <v>73050</v>
      </c>
      <c r="M145" s="12" t="s">
        <v>8667</v>
      </c>
      <c r="N145" s="12" t="s">
        <v>8683</v>
      </c>
      <c r="O145" s="12" t="s">
        <v>8583</v>
      </c>
      <c r="P145" s="12" t="s">
        <v>3091</v>
      </c>
      <c r="Q145" s="12" t="s">
        <v>8689</v>
      </c>
    </row>
    <row r="146" spans="1:17" x14ac:dyDescent="0.25">
      <c r="A146" s="12" t="str">
        <f t="shared" si="6"/>
        <v>WywiolRomeusz</v>
      </c>
      <c r="B146" s="12" t="str">
        <f t="shared" si="7"/>
        <v>0315321918</v>
      </c>
      <c r="C146" s="14">
        <f t="shared" si="8"/>
        <v>5660</v>
      </c>
      <c r="D146" s="14">
        <v>18</v>
      </c>
      <c r="E146" s="12" t="s">
        <v>586</v>
      </c>
      <c r="F146" s="12" t="s">
        <v>587</v>
      </c>
      <c r="G146" s="14">
        <v>5660</v>
      </c>
      <c r="H146" s="14">
        <v>5175</v>
      </c>
      <c r="I146" s="12" t="s">
        <v>588</v>
      </c>
      <c r="J146" s="12" t="s">
        <v>589</v>
      </c>
      <c r="K146" s="15">
        <v>45162</v>
      </c>
      <c r="L146" s="15">
        <v>73050</v>
      </c>
      <c r="M146" s="12" t="s">
        <v>8571</v>
      </c>
      <c r="N146" s="12" t="s">
        <v>8619</v>
      </c>
      <c r="O146" s="12" t="s">
        <v>8584</v>
      </c>
      <c r="P146" s="12" t="s">
        <v>47</v>
      </c>
    </row>
    <row r="147" spans="1:17" x14ac:dyDescent="0.25">
      <c r="A147" s="12" t="str">
        <f t="shared" si="6"/>
        <v>BuzaJan Ireneusz</v>
      </c>
      <c r="B147" s="12" t="str">
        <f t="shared" si="7"/>
        <v>0328443812</v>
      </c>
      <c r="C147" s="14">
        <f t="shared" si="8"/>
        <v>5663</v>
      </c>
      <c r="D147" s="14">
        <v>107</v>
      </c>
      <c r="E147" s="12" t="s">
        <v>225</v>
      </c>
      <c r="F147" s="12" t="s">
        <v>2663</v>
      </c>
      <c r="G147" s="14">
        <v>5663</v>
      </c>
      <c r="H147" s="14">
        <v>4919</v>
      </c>
      <c r="I147" s="12" t="s">
        <v>2664</v>
      </c>
      <c r="J147" s="12" t="s">
        <v>2665</v>
      </c>
      <c r="K147" s="15">
        <v>45012</v>
      </c>
      <c r="L147" s="15">
        <v>73050</v>
      </c>
      <c r="M147" s="12" t="s">
        <v>8571</v>
      </c>
      <c r="N147" s="12" t="s">
        <v>8663</v>
      </c>
      <c r="O147" s="12" t="s">
        <v>8583</v>
      </c>
      <c r="P147" s="12" t="s">
        <v>47</v>
      </c>
    </row>
    <row r="148" spans="1:17" x14ac:dyDescent="0.25">
      <c r="A148" s="12" t="str">
        <f t="shared" si="6"/>
        <v>KozielskiKozielski Andrzej Jozef</v>
      </c>
      <c r="B148" s="12" t="str">
        <f t="shared" si="7"/>
        <v>0301173035</v>
      </c>
      <c r="C148" s="14">
        <f t="shared" si="8"/>
        <v>5665</v>
      </c>
      <c r="D148" s="14">
        <v>110</v>
      </c>
      <c r="E148" s="12" t="s">
        <v>2688</v>
      </c>
      <c r="F148" s="12" t="s">
        <v>2689</v>
      </c>
      <c r="G148" s="14">
        <v>5665</v>
      </c>
      <c r="H148" s="14">
        <v>5022</v>
      </c>
      <c r="I148" s="12" t="s">
        <v>2690</v>
      </c>
      <c r="J148" s="12" t="s">
        <v>2691</v>
      </c>
      <c r="K148" s="15">
        <v>45068</v>
      </c>
      <c r="L148" s="15">
        <v>73050</v>
      </c>
      <c r="M148" s="12" t="s">
        <v>8571</v>
      </c>
      <c r="N148" s="12" t="s">
        <v>8690</v>
      </c>
      <c r="O148" s="12" t="s">
        <v>8583</v>
      </c>
      <c r="P148" s="12" t="s">
        <v>47</v>
      </c>
    </row>
    <row r="149" spans="1:17" x14ac:dyDescent="0.25">
      <c r="A149" s="12" t="str">
        <f t="shared" si="6"/>
        <v>BrodowskiRobert</v>
      </c>
      <c r="B149" s="12" t="str">
        <f t="shared" si="7"/>
        <v>0011713635</v>
      </c>
      <c r="C149" s="14">
        <f t="shared" si="8"/>
        <v>5683</v>
      </c>
      <c r="D149" s="14">
        <v>140</v>
      </c>
      <c r="E149" s="12" t="s">
        <v>4587</v>
      </c>
      <c r="F149" s="12" t="s">
        <v>701</v>
      </c>
      <c r="G149" s="14">
        <v>5683</v>
      </c>
      <c r="H149" s="12" t="s">
        <v>1394</v>
      </c>
      <c r="I149" s="12" t="s">
        <v>4588</v>
      </c>
      <c r="J149" s="12" t="s">
        <v>4589</v>
      </c>
      <c r="K149" s="15">
        <v>45461</v>
      </c>
      <c r="L149" s="15">
        <v>73050</v>
      </c>
      <c r="M149" s="12" t="s">
        <v>8680</v>
      </c>
      <c r="N149" s="12" t="s">
        <v>8691</v>
      </c>
      <c r="O149" s="12" t="s">
        <v>8583</v>
      </c>
      <c r="P149" s="12" t="s">
        <v>3091</v>
      </c>
      <c r="Q149" s="12" t="s">
        <v>8692</v>
      </c>
    </row>
    <row r="150" spans="1:17" x14ac:dyDescent="0.25">
      <c r="A150" s="12" t="str">
        <f t="shared" si="6"/>
        <v>TworzydłoSlawomir</v>
      </c>
      <c r="B150" s="12" t="str">
        <f t="shared" si="7"/>
        <v>0013096247</v>
      </c>
      <c r="C150" s="14">
        <f t="shared" si="8"/>
        <v>5710</v>
      </c>
      <c r="D150" s="14">
        <v>141</v>
      </c>
      <c r="E150" s="12" t="s">
        <v>4720</v>
      </c>
      <c r="F150" s="12" t="s">
        <v>731</v>
      </c>
      <c r="G150" s="14">
        <v>5710</v>
      </c>
      <c r="H150" s="12" t="s">
        <v>1394</v>
      </c>
      <c r="I150" s="12" t="s">
        <v>4721</v>
      </c>
      <c r="J150" s="12" t="s">
        <v>4722</v>
      </c>
      <c r="K150" s="15">
        <v>45474</v>
      </c>
      <c r="L150" s="15">
        <v>73050</v>
      </c>
      <c r="M150" s="12" t="s">
        <v>8680</v>
      </c>
      <c r="N150" s="12" t="s">
        <v>8693</v>
      </c>
      <c r="O150" s="12" t="s">
        <v>8583</v>
      </c>
      <c r="P150" s="12" t="s">
        <v>3091</v>
      </c>
    </row>
    <row r="151" spans="1:17" x14ac:dyDescent="0.25">
      <c r="A151" s="12" t="str">
        <f t="shared" si="6"/>
        <v>SaganováMarie</v>
      </c>
      <c r="B151" s="12" t="str">
        <f t="shared" si="7"/>
        <v>0003535704</v>
      </c>
      <c r="C151" s="14">
        <f t="shared" si="8"/>
        <v>5712</v>
      </c>
      <c r="D151" s="14">
        <v>80</v>
      </c>
      <c r="E151" s="12" t="s">
        <v>2050</v>
      </c>
      <c r="F151" s="12" t="s">
        <v>2051</v>
      </c>
      <c r="G151" s="14">
        <v>5712</v>
      </c>
      <c r="H151" s="12" t="s">
        <v>1394</v>
      </c>
      <c r="I151" s="12" t="s">
        <v>2052</v>
      </c>
      <c r="J151" s="12" t="s">
        <v>2053</v>
      </c>
      <c r="K151" s="15">
        <v>45474</v>
      </c>
      <c r="L151" s="12" t="s">
        <v>8566</v>
      </c>
      <c r="M151" s="12" t="s">
        <v>8548</v>
      </c>
      <c r="N151" s="12" t="s">
        <v>8548</v>
      </c>
      <c r="O151" s="12" t="s">
        <v>8580</v>
      </c>
      <c r="P151" s="12" t="s">
        <v>1216</v>
      </c>
    </row>
    <row r="152" spans="1:17" x14ac:dyDescent="0.25">
      <c r="A152" s="12" t="str">
        <f t="shared" si="6"/>
        <v>SikoraKarina</v>
      </c>
      <c r="B152" s="12" t="str">
        <f t="shared" si="7"/>
        <v>0370042869</v>
      </c>
      <c r="C152" s="14">
        <f t="shared" si="8"/>
        <v>5715</v>
      </c>
      <c r="D152" s="14">
        <v>142</v>
      </c>
      <c r="E152" s="12" t="s">
        <v>456</v>
      </c>
      <c r="F152" s="12" t="s">
        <v>683</v>
      </c>
      <c r="G152" s="14">
        <v>5715</v>
      </c>
      <c r="H152" s="12" t="s">
        <v>151</v>
      </c>
      <c r="I152" s="12" t="s">
        <v>245</v>
      </c>
      <c r="J152" s="12" t="s">
        <v>4725</v>
      </c>
      <c r="K152" s="15">
        <v>45474</v>
      </c>
      <c r="L152" s="15">
        <v>73050</v>
      </c>
      <c r="M152" s="12" t="s">
        <v>8571</v>
      </c>
      <c r="N152" s="12" t="s">
        <v>8622</v>
      </c>
      <c r="O152" s="12" t="s">
        <v>8584</v>
      </c>
      <c r="P152" s="12" t="s">
        <v>47</v>
      </c>
    </row>
    <row r="153" spans="1:17" x14ac:dyDescent="0.25">
      <c r="A153" s="12" t="str">
        <f t="shared" si="6"/>
        <v>WojtowiczWieslawa</v>
      </c>
      <c r="B153" s="12" t="str">
        <f t="shared" si="7"/>
        <v>0003790525</v>
      </c>
      <c r="C153" s="14">
        <f t="shared" si="8"/>
        <v>5720</v>
      </c>
      <c r="D153" s="14">
        <v>143</v>
      </c>
      <c r="E153" s="12" t="s">
        <v>4733</v>
      </c>
      <c r="F153" s="12" t="s">
        <v>133</v>
      </c>
      <c r="G153" s="14">
        <v>5720</v>
      </c>
      <c r="H153" s="12" t="s">
        <v>4738</v>
      </c>
      <c r="I153" s="12" t="s">
        <v>4739</v>
      </c>
      <c r="J153" s="12" t="s">
        <v>4740</v>
      </c>
      <c r="K153" s="15">
        <v>45476</v>
      </c>
      <c r="L153" s="12" t="s">
        <v>8566</v>
      </c>
      <c r="M153" s="12" t="s">
        <v>8568</v>
      </c>
      <c r="N153" s="12" t="s">
        <v>8516</v>
      </c>
      <c r="O153" s="12" t="s">
        <v>8584</v>
      </c>
      <c r="P153" s="12" t="s">
        <v>1216</v>
      </c>
    </row>
    <row r="154" spans="1:17" x14ac:dyDescent="0.25">
      <c r="A154" s="12" t="str">
        <f t="shared" si="6"/>
        <v>WojtowiczKarolina</v>
      </c>
      <c r="B154" s="12" t="str">
        <f t="shared" si="7"/>
        <v>0007418733</v>
      </c>
      <c r="C154" s="14">
        <f t="shared" si="8"/>
        <v>5722</v>
      </c>
      <c r="D154" s="14">
        <v>144</v>
      </c>
      <c r="E154" s="12" t="s">
        <v>4733</v>
      </c>
      <c r="F154" s="12" t="s">
        <v>568</v>
      </c>
      <c r="G154" s="14">
        <v>5722</v>
      </c>
      <c r="H154" s="12" t="s">
        <v>4742</v>
      </c>
      <c r="I154" s="12" t="s">
        <v>4743</v>
      </c>
      <c r="J154" s="12" t="s">
        <v>4744</v>
      </c>
      <c r="K154" s="15">
        <v>45476</v>
      </c>
      <c r="L154" s="12" t="s">
        <v>8566</v>
      </c>
      <c r="M154" s="12" t="s">
        <v>8548</v>
      </c>
      <c r="N154" s="12" t="s">
        <v>8548</v>
      </c>
      <c r="O154" s="12" t="s">
        <v>8584</v>
      </c>
      <c r="P154" s="12" t="s">
        <v>1216</v>
      </c>
    </row>
    <row r="155" spans="1:17" x14ac:dyDescent="0.25">
      <c r="A155" s="12" t="str">
        <f t="shared" si="6"/>
        <v>SzurmanKrystian</v>
      </c>
      <c r="B155" s="12" t="str">
        <f t="shared" si="7"/>
        <v>0013048529</v>
      </c>
      <c r="C155" s="14">
        <f t="shared" si="8"/>
        <v>5742</v>
      </c>
      <c r="D155" s="14">
        <v>147</v>
      </c>
      <c r="E155" s="12" t="s">
        <v>4666</v>
      </c>
      <c r="F155" s="12" t="s">
        <v>2960</v>
      </c>
      <c r="G155" s="14">
        <v>5742</v>
      </c>
      <c r="H155" s="12" t="s">
        <v>1394</v>
      </c>
      <c r="I155" s="12" t="s">
        <v>4839</v>
      </c>
      <c r="J155" s="12" t="s">
        <v>4840</v>
      </c>
      <c r="K155" s="15">
        <v>45481</v>
      </c>
      <c r="L155" s="15">
        <v>73050</v>
      </c>
      <c r="M155" s="12" t="s">
        <v>8667</v>
      </c>
      <c r="N155" s="12" t="s">
        <v>8694</v>
      </c>
      <c r="O155" s="12" t="s">
        <v>8583</v>
      </c>
      <c r="P155" s="12" t="s">
        <v>3091</v>
      </c>
      <c r="Q155" s="12" t="s">
        <v>8695</v>
      </c>
    </row>
    <row r="156" spans="1:17" x14ac:dyDescent="0.25">
      <c r="A156" s="12" t="str">
        <f t="shared" si="6"/>
        <v>ŻwirekArkadiusz</v>
      </c>
      <c r="B156" s="12" t="str">
        <f t="shared" si="7"/>
        <v>0001234766</v>
      </c>
      <c r="C156" s="14">
        <f t="shared" si="8"/>
        <v>5743</v>
      </c>
      <c r="D156" s="14">
        <v>145</v>
      </c>
      <c r="E156" s="12" t="s">
        <v>4831</v>
      </c>
      <c r="F156" s="12" t="s">
        <v>3384</v>
      </c>
      <c r="G156" s="14">
        <v>5743</v>
      </c>
      <c r="H156" s="12" t="s">
        <v>1394</v>
      </c>
      <c r="I156" s="12" t="s">
        <v>4832</v>
      </c>
      <c r="J156" s="12" t="s">
        <v>4833</v>
      </c>
      <c r="K156" s="15">
        <v>45481</v>
      </c>
      <c r="L156" s="15">
        <v>73050</v>
      </c>
      <c r="M156" s="12" t="s">
        <v>8667</v>
      </c>
      <c r="N156" s="12" t="s">
        <v>8696</v>
      </c>
      <c r="O156" s="12" t="s">
        <v>8583</v>
      </c>
      <c r="P156" s="12" t="s">
        <v>3091</v>
      </c>
      <c r="Q156" s="12" t="s">
        <v>8697</v>
      </c>
    </row>
    <row r="157" spans="1:17" x14ac:dyDescent="0.25">
      <c r="A157" s="12" t="str">
        <f t="shared" si="6"/>
        <v>ŻwirekDawid</v>
      </c>
      <c r="B157" s="12" t="str">
        <f t="shared" si="7"/>
        <v>0012978024</v>
      </c>
      <c r="C157" s="14">
        <f t="shared" si="8"/>
        <v>5744</v>
      </c>
      <c r="D157" s="14">
        <v>146</v>
      </c>
      <c r="E157" s="12" t="s">
        <v>4831</v>
      </c>
      <c r="F157" s="12" t="s">
        <v>3048</v>
      </c>
      <c r="G157" s="14">
        <v>5744</v>
      </c>
      <c r="H157" s="12" t="s">
        <v>1394</v>
      </c>
      <c r="I157" s="12" t="s">
        <v>4836</v>
      </c>
      <c r="J157" s="12" t="s">
        <v>4837</v>
      </c>
      <c r="K157" s="15">
        <v>45481</v>
      </c>
      <c r="L157" s="15">
        <v>73050</v>
      </c>
      <c r="M157" s="12" t="s">
        <v>8667</v>
      </c>
      <c r="N157" s="12" t="s">
        <v>8694</v>
      </c>
      <c r="O157" s="12" t="s">
        <v>8583</v>
      </c>
      <c r="P157" s="12" t="s">
        <v>3091</v>
      </c>
      <c r="Q157" s="12" t="s">
        <v>8698</v>
      </c>
    </row>
    <row r="158" spans="1:17" x14ac:dyDescent="0.25">
      <c r="A158" s="12" t="str">
        <f t="shared" si="6"/>
        <v>AdamiakMagdalena</v>
      </c>
      <c r="B158" s="12" t="str">
        <f t="shared" si="7"/>
        <v>0315321941</v>
      </c>
      <c r="C158" s="14">
        <f t="shared" si="8"/>
        <v>5777</v>
      </c>
      <c r="D158" s="14">
        <v>148</v>
      </c>
      <c r="E158" s="12" t="s">
        <v>4960</v>
      </c>
      <c r="F158" s="12" t="s">
        <v>770</v>
      </c>
      <c r="G158" s="14">
        <v>5777</v>
      </c>
      <c r="H158" s="14">
        <v>0</v>
      </c>
      <c r="I158" s="12" t="s">
        <v>4961</v>
      </c>
      <c r="J158" s="12" t="s">
        <v>4962</v>
      </c>
      <c r="K158" s="15">
        <v>45502</v>
      </c>
      <c r="L158" s="12" t="s">
        <v>8566</v>
      </c>
      <c r="M158" s="12" t="s">
        <v>8581</v>
      </c>
      <c r="N158" s="12" t="s">
        <v>8699</v>
      </c>
      <c r="O158" s="12" t="s">
        <v>8580</v>
      </c>
      <c r="P158" s="12" t="s">
        <v>47</v>
      </c>
    </row>
    <row r="159" spans="1:17" x14ac:dyDescent="0.25">
      <c r="A159" s="12" t="str">
        <f t="shared" si="6"/>
        <v>KorczWioleta</v>
      </c>
      <c r="B159" s="12" t="str">
        <f t="shared" si="7"/>
        <v>0013067733</v>
      </c>
      <c r="C159" s="14">
        <f t="shared" si="8"/>
        <v>5782</v>
      </c>
      <c r="D159" s="14">
        <v>149</v>
      </c>
      <c r="E159" s="12" t="s">
        <v>4992</v>
      </c>
      <c r="F159" s="12" t="s">
        <v>4993</v>
      </c>
      <c r="G159" s="14">
        <v>5782</v>
      </c>
      <c r="H159" s="12" t="s">
        <v>151</v>
      </c>
      <c r="I159" s="12" t="s">
        <v>4994</v>
      </c>
      <c r="J159" s="12" t="s">
        <v>4995</v>
      </c>
      <c r="K159" s="15">
        <v>45505</v>
      </c>
      <c r="L159" s="12" t="s">
        <v>8566</v>
      </c>
      <c r="M159" s="12" t="s">
        <v>8577</v>
      </c>
      <c r="N159" s="12" t="s">
        <v>8700</v>
      </c>
      <c r="O159" s="12" t="s">
        <v>8583</v>
      </c>
      <c r="P159" s="12" t="s">
        <v>62</v>
      </c>
    </row>
    <row r="160" spans="1:17" x14ac:dyDescent="0.25">
      <c r="A160" s="12" t="str">
        <f t="shared" si="6"/>
        <v>BanotKatarzyna</v>
      </c>
      <c r="B160" s="12" t="str">
        <f t="shared" si="7"/>
        <v>0007421727</v>
      </c>
      <c r="C160" s="14">
        <f t="shared" si="8"/>
        <v>5802</v>
      </c>
      <c r="D160" s="14">
        <v>150</v>
      </c>
      <c r="E160" s="12" t="s">
        <v>5055</v>
      </c>
      <c r="F160" s="12" t="s">
        <v>182</v>
      </c>
      <c r="G160" s="14">
        <v>5802</v>
      </c>
      <c r="H160" s="12" t="s">
        <v>5054</v>
      </c>
      <c r="I160" s="12" t="s">
        <v>5056</v>
      </c>
      <c r="J160" s="12" t="s">
        <v>5057</v>
      </c>
      <c r="K160" s="15">
        <v>45516</v>
      </c>
      <c r="L160" s="15">
        <v>73050</v>
      </c>
      <c r="M160" s="12" t="s">
        <v>8548</v>
      </c>
      <c r="N160" s="12" t="s">
        <v>8548</v>
      </c>
      <c r="O160" s="12" t="s">
        <v>8580</v>
      </c>
      <c r="P160" s="12" t="s">
        <v>1216</v>
      </c>
      <c r="Q160" s="12" t="s">
        <v>8605</v>
      </c>
    </row>
    <row r="161" spans="1:17" x14ac:dyDescent="0.25">
      <c r="A161" s="12" t="str">
        <f t="shared" si="6"/>
        <v>WardzalaNicolla</v>
      </c>
      <c r="B161" s="12" t="str">
        <f t="shared" si="7"/>
        <v>0000334545</v>
      </c>
      <c r="C161" s="14">
        <f t="shared" si="8"/>
        <v>5825</v>
      </c>
      <c r="D161" s="14">
        <v>151</v>
      </c>
      <c r="E161" s="12" t="s">
        <v>3785</v>
      </c>
      <c r="F161" s="12" t="s">
        <v>5161</v>
      </c>
      <c r="G161" s="14">
        <v>5825</v>
      </c>
      <c r="H161" s="12" t="s">
        <v>569</v>
      </c>
      <c r="I161" s="12" t="s">
        <v>5162</v>
      </c>
      <c r="J161" s="12" t="s">
        <v>5163</v>
      </c>
      <c r="K161" s="15">
        <v>45523</v>
      </c>
      <c r="L161" s="12" t="s">
        <v>8566</v>
      </c>
      <c r="M161" s="12" t="s">
        <v>8672</v>
      </c>
      <c r="N161" s="12" t="s">
        <v>8701</v>
      </c>
      <c r="O161" s="12" t="s">
        <v>8583</v>
      </c>
      <c r="P161" s="12" t="s">
        <v>62</v>
      </c>
      <c r="Q161" s="12" t="s">
        <v>8702</v>
      </c>
    </row>
    <row r="162" spans="1:17" x14ac:dyDescent="0.25">
      <c r="A162" s="12" t="str">
        <f t="shared" si="6"/>
        <v>KoniecznyJoanna</v>
      </c>
      <c r="B162" s="12" t="str">
        <f t="shared" si="7"/>
        <v>0065285552</v>
      </c>
      <c r="C162" s="14">
        <f t="shared" si="8"/>
        <v>5828</v>
      </c>
      <c r="D162" s="14">
        <v>152</v>
      </c>
      <c r="E162" s="12" t="s">
        <v>295</v>
      </c>
      <c r="F162" s="12" t="s">
        <v>593</v>
      </c>
      <c r="G162" s="14">
        <v>5828</v>
      </c>
      <c r="H162" s="14">
        <v>0</v>
      </c>
      <c r="I162" s="12" t="s">
        <v>4911</v>
      </c>
      <c r="J162" s="12" t="s">
        <v>5175</v>
      </c>
      <c r="K162" s="15">
        <v>45523</v>
      </c>
      <c r="L162" s="15">
        <v>73050</v>
      </c>
      <c r="M162" s="12" t="s">
        <v>8571</v>
      </c>
      <c r="N162" s="12" t="s">
        <v>8690</v>
      </c>
      <c r="O162" s="12" t="s">
        <v>8580</v>
      </c>
      <c r="P162" s="12" t="s">
        <v>47</v>
      </c>
    </row>
    <row r="163" spans="1:17" x14ac:dyDescent="0.25">
      <c r="A163" s="12" t="str">
        <f t="shared" si="6"/>
        <v>KoblanskiDaniel</v>
      </c>
      <c r="B163" s="12" t="str">
        <f t="shared" si="7"/>
        <v>0000415523</v>
      </c>
      <c r="C163" s="14">
        <f t="shared" si="8"/>
        <v>5834</v>
      </c>
      <c r="D163" s="14">
        <v>153</v>
      </c>
      <c r="E163" s="12" t="s">
        <v>26</v>
      </c>
      <c r="F163" s="12" t="s">
        <v>800</v>
      </c>
      <c r="G163" s="14">
        <v>5834</v>
      </c>
      <c r="H163" s="12" t="s">
        <v>1394</v>
      </c>
      <c r="I163" s="12" t="s">
        <v>5201</v>
      </c>
      <c r="J163" s="12" t="s">
        <v>5202</v>
      </c>
      <c r="K163" s="15">
        <v>45524</v>
      </c>
      <c r="L163" s="15">
        <v>73050</v>
      </c>
      <c r="M163" s="12" t="s">
        <v>8680</v>
      </c>
      <c r="N163" s="12" t="s">
        <v>8681</v>
      </c>
      <c r="O163" s="12" t="s">
        <v>8583</v>
      </c>
      <c r="P163" s="12" t="s">
        <v>3091</v>
      </c>
      <c r="Q163" s="12" t="s">
        <v>8703</v>
      </c>
    </row>
    <row r="164" spans="1:17" x14ac:dyDescent="0.25">
      <c r="A164" s="12" t="str">
        <f t="shared" si="6"/>
        <v>FeszterEwa</v>
      </c>
      <c r="B164" s="12" t="str">
        <f t="shared" si="7"/>
        <v>0003740819</v>
      </c>
      <c r="C164" s="14">
        <f t="shared" si="8"/>
        <v>5839</v>
      </c>
      <c r="D164" s="14">
        <v>154</v>
      </c>
      <c r="E164" s="12" t="s">
        <v>5217</v>
      </c>
      <c r="F164" s="12" t="s">
        <v>737</v>
      </c>
      <c r="G164" s="14">
        <v>5839</v>
      </c>
      <c r="H164" s="12" t="s">
        <v>1394</v>
      </c>
      <c r="I164" s="12" t="s">
        <v>5218</v>
      </c>
      <c r="J164" s="12" t="s">
        <v>5219</v>
      </c>
      <c r="K164" s="15">
        <v>45525</v>
      </c>
      <c r="L164" s="15">
        <v>73050</v>
      </c>
      <c r="M164" s="12" t="s">
        <v>8586</v>
      </c>
      <c r="N164" s="12" t="s">
        <v>8637</v>
      </c>
      <c r="O164" s="12" t="s">
        <v>8583</v>
      </c>
      <c r="P164" s="12" t="s">
        <v>1216</v>
      </c>
    </row>
    <row r="165" spans="1:17" x14ac:dyDescent="0.25">
      <c r="A165" s="12" t="str">
        <f t="shared" si="6"/>
        <v>PoloczekSebastian</v>
      </c>
      <c r="B165" s="12" t="str">
        <f t="shared" si="7"/>
        <v>0001203479</v>
      </c>
      <c r="C165" s="14">
        <f t="shared" si="8"/>
        <v>5853</v>
      </c>
      <c r="D165" s="14">
        <v>155</v>
      </c>
      <c r="E165" s="12" t="s">
        <v>1149</v>
      </c>
      <c r="F165" s="12" t="s">
        <v>743</v>
      </c>
      <c r="G165" s="14">
        <v>5853</v>
      </c>
      <c r="H165" s="12" t="s">
        <v>1394</v>
      </c>
      <c r="I165" s="12" t="s">
        <v>5270</v>
      </c>
      <c r="J165" s="12" t="s">
        <v>5271</v>
      </c>
      <c r="K165" s="15">
        <v>45533</v>
      </c>
      <c r="L165" s="15">
        <v>73050</v>
      </c>
      <c r="M165" s="12" t="s">
        <v>8568</v>
      </c>
      <c r="N165" s="12" t="s">
        <v>8607</v>
      </c>
      <c r="O165" s="12" t="s">
        <v>8567</v>
      </c>
      <c r="P165" s="12" t="s">
        <v>1022</v>
      </c>
    </row>
    <row r="166" spans="1:17" x14ac:dyDescent="0.25">
      <c r="A166" s="12" t="str">
        <f t="shared" si="6"/>
        <v>WasikIzabela</v>
      </c>
      <c r="B166" s="12" t="str">
        <f t="shared" si="7"/>
        <v>0013055194</v>
      </c>
      <c r="C166" s="14">
        <f t="shared" si="8"/>
        <v>5863</v>
      </c>
      <c r="D166" s="14">
        <v>156</v>
      </c>
      <c r="E166" s="12" t="s">
        <v>5281</v>
      </c>
      <c r="F166" s="12" t="s">
        <v>5282</v>
      </c>
      <c r="G166" s="14">
        <v>5863</v>
      </c>
      <c r="H166" s="12" t="s">
        <v>151</v>
      </c>
      <c r="I166" s="12" t="s">
        <v>977</v>
      </c>
      <c r="J166" s="12" t="s">
        <v>5283</v>
      </c>
      <c r="K166" s="15">
        <v>45537</v>
      </c>
      <c r="L166" s="15">
        <v>73050</v>
      </c>
      <c r="M166" s="12" t="s">
        <v>8577</v>
      </c>
      <c r="N166" s="12" t="s">
        <v>8704</v>
      </c>
      <c r="O166" s="12" t="s">
        <v>8583</v>
      </c>
      <c r="P166" s="12" t="s">
        <v>62</v>
      </c>
    </row>
    <row r="167" spans="1:17" x14ac:dyDescent="0.25">
      <c r="A167" s="12" t="str">
        <f t="shared" si="6"/>
        <v>TaborKonrad</v>
      </c>
      <c r="B167" s="12" t="str">
        <f t="shared" si="7"/>
        <v>0012125590</v>
      </c>
      <c r="C167" s="14">
        <f t="shared" si="8"/>
        <v>5917</v>
      </c>
      <c r="D167" s="14">
        <v>157</v>
      </c>
      <c r="E167" s="12" t="s">
        <v>5495</v>
      </c>
      <c r="F167" s="12" t="s">
        <v>5408</v>
      </c>
      <c r="G167" s="14">
        <v>5917</v>
      </c>
      <c r="H167" s="12" t="s">
        <v>1394</v>
      </c>
      <c r="I167" s="12" t="s">
        <v>5496</v>
      </c>
      <c r="J167" s="12" t="s">
        <v>5497</v>
      </c>
      <c r="K167" s="15">
        <v>45552</v>
      </c>
      <c r="L167" s="15">
        <v>73050</v>
      </c>
      <c r="M167" s="12" t="s">
        <v>8667</v>
      </c>
      <c r="N167" s="12" t="s">
        <v>8705</v>
      </c>
      <c r="O167" s="12" t="s">
        <v>8583</v>
      </c>
      <c r="P167" s="12" t="s">
        <v>3091</v>
      </c>
      <c r="Q167" s="12" t="s">
        <v>8706</v>
      </c>
    </row>
    <row r="168" spans="1:17" x14ac:dyDescent="0.25">
      <c r="A168" s="12" t="str">
        <f t="shared" si="6"/>
        <v>SmagonDamian</v>
      </c>
      <c r="B168" s="12" t="str">
        <f t="shared" si="7"/>
        <v>0001168813</v>
      </c>
      <c r="C168" s="14">
        <f t="shared" si="8"/>
        <v>5919</v>
      </c>
      <c r="D168" s="14">
        <v>158</v>
      </c>
      <c r="E168" s="12" t="s">
        <v>5500</v>
      </c>
      <c r="F168" s="12" t="s">
        <v>2156</v>
      </c>
      <c r="G168" s="14">
        <v>5919</v>
      </c>
      <c r="H168" s="12" t="s">
        <v>1394</v>
      </c>
      <c r="I168" s="12" t="s">
        <v>5501</v>
      </c>
      <c r="J168" s="12" t="s">
        <v>5502</v>
      </c>
      <c r="K168" s="15">
        <v>44927</v>
      </c>
      <c r="L168" s="15">
        <v>73050</v>
      </c>
      <c r="M168" s="12" t="s">
        <v>8667</v>
      </c>
      <c r="N168" s="12" t="s">
        <v>8707</v>
      </c>
      <c r="O168" s="12" t="s">
        <v>8583</v>
      </c>
      <c r="P168" s="12" t="s">
        <v>3091</v>
      </c>
      <c r="Q168" s="12" t="s">
        <v>8708</v>
      </c>
    </row>
    <row r="169" spans="1:17" x14ac:dyDescent="0.25">
      <c r="A169" s="12" t="str">
        <f t="shared" si="6"/>
        <v>TomicaArtur</v>
      </c>
      <c r="B169" s="12" t="str">
        <f t="shared" si="7"/>
        <v>0001483120</v>
      </c>
      <c r="C169" s="14">
        <f t="shared" si="8"/>
        <v>5939</v>
      </c>
      <c r="D169" s="14">
        <v>159</v>
      </c>
      <c r="E169" s="12" t="s">
        <v>2226</v>
      </c>
      <c r="F169" s="12" t="s">
        <v>643</v>
      </c>
      <c r="G169" s="14">
        <v>5939</v>
      </c>
      <c r="H169" s="12" t="s">
        <v>1394</v>
      </c>
      <c r="I169" s="12" t="s">
        <v>5581</v>
      </c>
      <c r="J169" s="12" t="s">
        <v>5582</v>
      </c>
      <c r="K169" s="15">
        <v>45559</v>
      </c>
      <c r="L169" s="12" t="s">
        <v>8566</v>
      </c>
      <c r="M169" s="12" t="s">
        <v>8667</v>
      </c>
      <c r="N169" s="12" t="s">
        <v>8696</v>
      </c>
      <c r="O169" s="12" t="s">
        <v>8583</v>
      </c>
      <c r="P169" s="12" t="s">
        <v>3091</v>
      </c>
      <c r="Q169" s="12" t="s">
        <v>8709</v>
      </c>
    </row>
    <row r="170" spans="1:17" x14ac:dyDescent="0.25">
      <c r="A170" s="12" t="str">
        <f t="shared" si="6"/>
        <v>RakJulia</v>
      </c>
      <c r="B170" s="12" t="str">
        <f t="shared" si="7"/>
        <v>0065286127</v>
      </c>
      <c r="C170" s="14">
        <f t="shared" si="8"/>
        <v>5948</v>
      </c>
      <c r="D170" s="14">
        <v>160</v>
      </c>
      <c r="E170" s="12" t="s">
        <v>2918</v>
      </c>
      <c r="F170" s="12" t="s">
        <v>5097</v>
      </c>
      <c r="G170" s="14">
        <v>5948</v>
      </c>
      <c r="H170" s="12" t="s">
        <v>1394</v>
      </c>
      <c r="I170" s="12" t="s">
        <v>5614</v>
      </c>
      <c r="J170" s="12" t="s">
        <v>5615</v>
      </c>
      <c r="K170" s="15">
        <v>45565</v>
      </c>
      <c r="L170" s="12" t="s">
        <v>8566</v>
      </c>
      <c r="M170" s="12" t="s">
        <v>8571</v>
      </c>
      <c r="N170" s="12" t="s">
        <v>8411</v>
      </c>
      <c r="O170" s="12" t="s">
        <v>8583</v>
      </c>
      <c r="P170" s="12" t="s">
        <v>47</v>
      </c>
    </row>
    <row r="171" spans="1:17" x14ac:dyDescent="0.25">
      <c r="A171" s="12" t="str">
        <f t="shared" si="6"/>
        <v>PolokMarzena</v>
      </c>
      <c r="B171" s="12" t="str">
        <f t="shared" si="7"/>
        <v>0011141874</v>
      </c>
      <c r="C171" s="14">
        <f t="shared" si="8"/>
        <v>5980</v>
      </c>
      <c r="D171" s="14">
        <v>161</v>
      </c>
      <c r="E171" s="12" t="s">
        <v>5741</v>
      </c>
      <c r="F171" s="12" t="s">
        <v>4899</v>
      </c>
      <c r="G171" s="14">
        <v>5980</v>
      </c>
      <c r="H171" s="14">
        <v>0</v>
      </c>
      <c r="I171" s="12" t="s">
        <v>5742</v>
      </c>
      <c r="J171" s="12" t="s">
        <v>5743</v>
      </c>
      <c r="K171" s="15">
        <v>45575</v>
      </c>
      <c r="L171" s="15">
        <v>73050</v>
      </c>
      <c r="M171" s="12" t="s">
        <v>8568</v>
      </c>
      <c r="N171" s="12" t="s">
        <v>8609</v>
      </c>
      <c r="O171" s="12" t="s">
        <v>8584</v>
      </c>
      <c r="P171" s="12" t="s">
        <v>1216</v>
      </c>
      <c r="Q171" s="12" t="s">
        <v>8710</v>
      </c>
    </row>
    <row r="172" spans="1:17" x14ac:dyDescent="0.25">
      <c r="A172" s="12" t="str">
        <f t="shared" si="6"/>
        <v>BuryAngelika</v>
      </c>
      <c r="B172" s="12" t="str">
        <f t="shared" si="7"/>
        <v>0012020053</v>
      </c>
      <c r="C172" s="14">
        <f t="shared" si="8"/>
        <v>6001</v>
      </c>
      <c r="D172" s="14">
        <v>162</v>
      </c>
      <c r="E172" s="12" t="s">
        <v>3561</v>
      </c>
      <c r="F172" s="12" t="s">
        <v>3321</v>
      </c>
      <c r="G172" s="14">
        <v>6001</v>
      </c>
      <c r="H172" s="14">
        <v>0</v>
      </c>
      <c r="I172" s="12" t="s">
        <v>2745</v>
      </c>
      <c r="J172" s="12" t="s">
        <v>5821</v>
      </c>
      <c r="K172" s="15">
        <v>45582</v>
      </c>
      <c r="L172" s="15">
        <v>73050</v>
      </c>
      <c r="M172" s="12" t="s">
        <v>8571</v>
      </c>
      <c r="N172" s="12" t="s">
        <v>8633</v>
      </c>
      <c r="O172" s="12" t="s">
        <v>8583</v>
      </c>
      <c r="P172" s="12" t="s">
        <v>47</v>
      </c>
      <c r="Q172" s="12" t="s">
        <v>8711</v>
      </c>
    </row>
    <row r="173" spans="1:17" x14ac:dyDescent="0.25">
      <c r="A173" s="12" t="str">
        <f t="shared" si="6"/>
        <v>KuklinskaMarlena</v>
      </c>
      <c r="B173" s="12" t="str">
        <f t="shared" si="7"/>
        <v>0013002601</v>
      </c>
      <c r="C173" s="14">
        <f t="shared" si="8"/>
        <v>6016</v>
      </c>
      <c r="D173" s="14">
        <v>163</v>
      </c>
      <c r="E173" s="12" t="s">
        <v>5884</v>
      </c>
      <c r="F173" s="12" t="s">
        <v>3122</v>
      </c>
      <c r="G173" s="14">
        <v>6016</v>
      </c>
      <c r="H173" s="14">
        <v>0</v>
      </c>
      <c r="I173" s="12" t="s">
        <v>4865</v>
      </c>
      <c r="J173" s="12" t="s">
        <v>5885</v>
      </c>
      <c r="K173" s="15">
        <v>45604</v>
      </c>
      <c r="L173" s="12" t="s">
        <v>8566</v>
      </c>
      <c r="M173" s="12" t="s">
        <v>8568</v>
      </c>
      <c r="N173" s="12" t="s">
        <v>8591</v>
      </c>
      <c r="O173" s="12" t="s">
        <v>8712</v>
      </c>
      <c r="P173" s="12" t="s">
        <v>1022</v>
      </c>
      <c r="Q173" s="12" t="s">
        <v>8713</v>
      </c>
    </row>
    <row r="174" spans="1:17" x14ac:dyDescent="0.25">
      <c r="A174" s="12" t="str">
        <f t="shared" si="6"/>
        <v>GrabkaDaniel</v>
      </c>
      <c r="B174" s="12" t="str">
        <f t="shared" si="7"/>
        <v>0001197561</v>
      </c>
      <c r="C174" s="14">
        <f t="shared" si="8"/>
        <v>6058</v>
      </c>
      <c r="D174" s="14">
        <v>165</v>
      </c>
      <c r="E174" s="12" t="s">
        <v>6024</v>
      </c>
      <c r="F174" s="12" t="s">
        <v>800</v>
      </c>
      <c r="G174" s="14">
        <v>6058</v>
      </c>
      <c r="H174" s="12" t="s">
        <v>1394</v>
      </c>
      <c r="I174" s="12" t="s">
        <v>6025</v>
      </c>
      <c r="J174" s="12" t="s">
        <v>6026</v>
      </c>
      <c r="K174" s="15">
        <v>45610</v>
      </c>
      <c r="L174" s="15">
        <v>73050</v>
      </c>
      <c r="M174" s="12" t="s">
        <v>8667</v>
      </c>
      <c r="N174" s="12" t="s">
        <v>8705</v>
      </c>
      <c r="O174" s="12" t="s">
        <v>8583</v>
      </c>
      <c r="P174" s="12" t="s">
        <v>3091</v>
      </c>
      <c r="Q174" s="12" t="s">
        <v>8714</v>
      </c>
    </row>
    <row r="175" spans="1:17" x14ac:dyDescent="0.25">
      <c r="A175" s="12" t="str">
        <f t="shared" si="6"/>
        <v>SlusarczykSlawomir</v>
      </c>
      <c r="B175" s="12" t="str">
        <f t="shared" si="7"/>
        <v>0000368790</v>
      </c>
      <c r="C175" s="14">
        <f t="shared" si="8"/>
        <v>6062</v>
      </c>
      <c r="D175" s="14">
        <v>164</v>
      </c>
      <c r="E175" s="12" t="s">
        <v>6011</v>
      </c>
      <c r="F175" s="12" t="s">
        <v>731</v>
      </c>
      <c r="G175" s="14">
        <v>6062</v>
      </c>
      <c r="H175" s="12" t="s">
        <v>1394</v>
      </c>
      <c r="I175" s="12" t="s">
        <v>6012</v>
      </c>
      <c r="J175" s="12" t="s">
        <v>6013</v>
      </c>
      <c r="K175" s="15">
        <v>45610</v>
      </c>
      <c r="L175" s="15">
        <v>73050</v>
      </c>
      <c r="M175" s="12" t="s">
        <v>8667</v>
      </c>
      <c r="N175" s="12" t="s">
        <v>8715</v>
      </c>
      <c r="O175" s="12" t="s">
        <v>8583</v>
      </c>
      <c r="P175" s="12" t="s">
        <v>3091</v>
      </c>
      <c r="Q175" s="12" t="s">
        <v>8716</v>
      </c>
    </row>
    <row r="176" spans="1:17" x14ac:dyDescent="0.25">
      <c r="A176" s="12" t="str">
        <f t="shared" si="6"/>
        <v>UrbanowiczElzbieta</v>
      </c>
      <c r="B176" s="12" t="str">
        <f t="shared" si="7"/>
        <v>0391224474</v>
      </c>
      <c r="C176" s="14">
        <f t="shared" si="8"/>
        <v>6076</v>
      </c>
      <c r="D176" s="14">
        <v>166</v>
      </c>
      <c r="E176" s="12" t="s">
        <v>4393</v>
      </c>
      <c r="F176" s="12" t="s">
        <v>1634</v>
      </c>
      <c r="G176" s="14">
        <v>6076</v>
      </c>
      <c r="H176" s="14">
        <v>0</v>
      </c>
      <c r="I176" s="12" t="s">
        <v>6082</v>
      </c>
      <c r="J176" s="12" t="s">
        <v>6083</v>
      </c>
      <c r="K176" s="15">
        <v>45617</v>
      </c>
      <c r="L176" s="15">
        <v>73050</v>
      </c>
      <c r="M176" s="12" t="s">
        <v>8571</v>
      </c>
      <c r="N176" s="12" t="s">
        <v>8622</v>
      </c>
      <c r="O176" s="12" t="s">
        <v>8580</v>
      </c>
      <c r="P176" s="12" t="s">
        <v>47</v>
      </c>
    </row>
    <row r="177" spans="1:17" x14ac:dyDescent="0.25">
      <c r="A177" s="12" t="str">
        <f t="shared" si="6"/>
        <v>KozaAdam</v>
      </c>
      <c r="B177" s="12" t="str">
        <f t="shared" si="7"/>
        <v>0391237665</v>
      </c>
      <c r="C177" s="14">
        <f t="shared" si="8"/>
        <v>6099</v>
      </c>
      <c r="D177" s="14">
        <v>167</v>
      </c>
      <c r="E177" s="12" t="s">
        <v>6155</v>
      </c>
      <c r="F177" s="12" t="s">
        <v>2391</v>
      </c>
      <c r="G177" s="14">
        <v>6099</v>
      </c>
      <c r="H177" s="14">
        <v>0</v>
      </c>
      <c r="I177" s="12" t="s">
        <v>6156</v>
      </c>
      <c r="J177" s="12" t="s">
        <v>6157</v>
      </c>
      <c r="K177" s="15">
        <v>45622</v>
      </c>
      <c r="L177" s="12" t="s">
        <v>8566</v>
      </c>
      <c r="M177" s="12" t="s">
        <v>8623</v>
      </c>
      <c r="N177" s="12" t="s">
        <v>8655</v>
      </c>
      <c r="O177" s="12" t="s">
        <v>8583</v>
      </c>
      <c r="P177" s="12" t="s">
        <v>493</v>
      </c>
      <c r="Q177" s="12" t="s">
        <v>8717</v>
      </c>
    </row>
    <row r="178" spans="1:17" x14ac:dyDescent="0.25">
      <c r="A178" s="12" t="str">
        <f t="shared" si="6"/>
        <v>GorkaGrzegorz</v>
      </c>
      <c r="B178" s="12" t="str">
        <f t="shared" si="7"/>
        <v>0301162081</v>
      </c>
      <c r="C178" s="14">
        <f t="shared" si="8"/>
        <v>6110</v>
      </c>
      <c r="D178" s="14">
        <v>168</v>
      </c>
      <c r="E178" s="12" t="s">
        <v>6180</v>
      </c>
      <c r="F178" s="12" t="s">
        <v>2451</v>
      </c>
      <c r="G178" s="14">
        <v>6110</v>
      </c>
      <c r="H178" s="14">
        <v>0</v>
      </c>
      <c r="I178" s="12" t="s">
        <v>6181</v>
      </c>
      <c r="J178" s="12" t="s">
        <v>6182</v>
      </c>
      <c r="K178" s="15">
        <v>45628</v>
      </c>
      <c r="L178" s="12" t="s">
        <v>8566</v>
      </c>
      <c r="M178" s="12" t="s">
        <v>8571</v>
      </c>
      <c r="N178" s="12" t="s">
        <v>8633</v>
      </c>
      <c r="O178" s="12" t="s">
        <v>8598</v>
      </c>
      <c r="P178" s="12" t="s">
        <v>47</v>
      </c>
      <c r="Q178" s="12" t="s">
        <v>8718</v>
      </c>
    </row>
    <row r="179" spans="1:17" x14ac:dyDescent="0.25">
      <c r="A179" s="12" t="str">
        <f t="shared" si="6"/>
        <v>HoleksaMariola</v>
      </c>
      <c r="B179" s="12" t="str">
        <f t="shared" si="7"/>
        <v>0005636011</v>
      </c>
      <c r="C179" s="14">
        <f t="shared" si="8"/>
        <v>6127</v>
      </c>
      <c r="D179" s="14">
        <v>169</v>
      </c>
      <c r="E179" s="12" t="s">
        <v>6205</v>
      </c>
      <c r="F179" s="12" t="s">
        <v>689</v>
      </c>
      <c r="G179" s="14">
        <v>6127</v>
      </c>
      <c r="H179" s="14">
        <v>0</v>
      </c>
      <c r="I179" s="12" t="s">
        <v>6206</v>
      </c>
      <c r="J179" s="12" t="s">
        <v>6207</v>
      </c>
      <c r="K179" s="15">
        <v>45636</v>
      </c>
      <c r="L179" s="12" t="s">
        <v>8566</v>
      </c>
      <c r="M179" s="12" t="s">
        <v>8568</v>
      </c>
      <c r="N179" s="12" t="s">
        <v>8594</v>
      </c>
      <c r="O179" s="12" t="s">
        <v>8580</v>
      </c>
      <c r="P179" s="12" t="s">
        <v>1216</v>
      </c>
    </row>
    <row r="180" spans="1:17" x14ac:dyDescent="0.25">
      <c r="A180" s="12" t="str">
        <f t="shared" si="6"/>
        <v>HernikKrzysztof</v>
      </c>
      <c r="B180" s="12" t="str">
        <f t="shared" si="7"/>
        <v>0013039456</v>
      </c>
      <c r="C180" s="14">
        <f t="shared" si="8"/>
        <v>6143</v>
      </c>
      <c r="D180" s="14">
        <v>171</v>
      </c>
      <c r="E180" s="12" t="s">
        <v>6293</v>
      </c>
      <c r="F180" s="12" t="s">
        <v>3373</v>
      </c>
      <c r="G180" s="14">
        <v>6143</v>
      </c>
      <c r="H180" s="14">
        <v>0</v>
      </c>
      <c r="I180" s="12" t="s">
        <v>6294</v>
      </c>
      <c r="J180" s="12" t="s">
        <v>6295</v>
      </c>
      <c r="K180" s="15">
        <v>45679</v>
      </c>
      <c r="L180" s="15">
        <v>73050</v>
      </c>
      <c r="M180" s="12" t="s">
        <v>8548</v>
      </c>
      <c r="N180" s="12" t="s">
        <v>8548</v>
      </c>
      <c r="O180" s="12" t="s">
        <v>8712</v>
      </c>
      <c r="P180" s="12" t="s">
        <v>1022</v>
      </c>
    </row>
    <row r="181" spans="1:17" x14ac:dyDescent="0.25">
      <c r="A181" s="12" t="str">
        <f t="shared" si="6"/>
        <v>PawlakMarcin</v>
      </c>
      <c r="B181" s="12" t="str">
        <f t="shared" si="7"/>
        <v>0013054321</v>
      </c>
      <c r="C181" s="14">
        <f t="shared" si="8"/>
        <v>6158</v>
      </c>
      <c r="D181" s="14">
        <v>170</v>
      </c>
      <c r="E181" s="12" t="s">
        <v>1902</v>
      </c>
      <c r="F181" s="12" t="s">
        <v>2883</v>
      </c>
      <c r="G181" s="14">
        <v>6158</v>
      </c>
      <c r="H181" s="14">
        <v>0</v>
      </c>
      <c r="I181" s="12" t="s">
        <v>6282</v>
      </c>
      <c r="J181" s="12" t="s">
        <v>6283</v>
      </c>
      <c r="K181" s="15">
        <v>45679</v>
      </c>
      <c r="L181" s="12" t="s">
        <v>8566</v>
      </c>
      <c r="M181" s="12" t="s">
        <v>8568</v>
      </c>
      <c r="N181" s="12" t="s">
        <v>8591</v>
      </c>
      <c r="O181" s="12" t="s">
        <v>8620</v>
      </c>
      <c r="P181" s="12" t="s">
        <v>1022</v>
      </c>
      <c r="Q181" s="12" t="s">
        <v>8719</v>
      </c>
    </row>
    <row r="182" spans="1:17" x14ac:dyDescent="0.25">
      <c r="A182" s="12" t="str">
        <f t="shared" si="6"/>
        <v>SypulekDariusz</v>
      </c>
      <c r="B182" s="12" t="str">
        <f t="shared" si="7"/>
        <v>0391237287</v>
      </c>
      <c r="C182" s="14">
        <f t="shared" si="8"/>
        <v>6162</v>
      </c>
      <c r="D182" s="14">
        <v>172</v>
      </c>
      <c r="E182" s="12" t="s">
        <v>6340</v>
      </c>
      <c r="F182" s="12" t="s">
        <v>2607</v>
      </c>
      <c r="G182" s="14">
        <v>6162</v>
      </c>
      <c r="H182" s="14">
        <v>0</v>
      </c>
      <c r="I182" s="12" t="s">
        <v>6341</v>
      </c>
      <c r="J182" s="12" t="s">
        <v>6342</v>
      </c>
      <c r="K182" s="15">
        <v>45685</v>
      </c>
      <c r="L182" s="12" t="s">
        <v>8566</v>
      </c>
      <c r="M182" s="12" t="s">
        <v>8623</v>
      </c>
      <c r="N182" s="12" t="s">
        <v>8720</v>
      </c>
      <c r="O182" s="12" t="s">
        <v>8583</v>
      </c>
      <c r="P182" s="12" t="s">
        <v>493</v>
      </c>
      <c r="Q182" s="12" t="s">
        <v>8721</v>
      </c>
    </row>
    <row r="183" spans="1:17" x14ac:dyDescent="0.25">
      <c r="A183" s="12" t="str">
        <f t="shared" si="6"/>
        <v>WaszutLukasz</v>
      </c>
      <c r="B183" s="12" t="str">
        <f t="shared" si="7"/>
        <v>0391186208</v>
      </c>
      <c r="C183" s="14">
        <f t="shared" si="8"/>
        <v>6174</v>
      </c>
      <c r="D183" s="14">
        <v>173</v>
      </c>
      <c r="E183" s="12" t="s">
        <v>6386</v>
      </c>
      <c r="F183" s="12" t="s">
        <v>1947</v>
      </c>
      <c r="G183" s="14">
        <v>6174</v>
      </c>
      <c r="H183" s="14">
        <v>0</v>
      </c>
      <c r="I183" s="12" t="s">
        <v>6387</v>
      </c>
      <c r="J183" s="12" t="s">
        <v>6388</v>
      </c>
      <c r="K183" s="15">
        <v>45698</v>
      </c>
      <c r="L183" s="12" t="s">
        <v>8566</v>
      </c>
      <c r="M183" s="12" t="s">
        <v>8623</v>
      </c>
      <c r="N183" s="12" t="s">
        <v>8722</v>
      </c>
      <c r="O183" s="12" t="s">
        <v>8580</v>
      </c>
      <c r="P183" s="12" t="s">
        <v>493</v>
      </c>
    </row>
    <row r="184" spans="1:17" x14ac:dyDescent="0.25">
      <c r="A184" s="12" t="str">
        <f t="shared" si="6"/>
        <v>GrzywaczZbigniew</v>
      </c>
      <c r="B184" s="12" t="str">
        <f t="shared" si="7"/>
        <v>0000406768</v>
      </c>
      <c r="C184" s="14">
        <f t="shared" si="8"/>
        <v>6177</v>
      </c>
      <c r="D184" s="14">
        <v>176</v>
      </c>
      <c r="E184" s="12" t="s">
        <v>4596</v>
      </c>
      <c r="F184" s="12" t="s">
        <v>707</v>
      </c>
      <c r="G184" s="14">
        <v>6177</v>
      </c>
      <c r="H184" s="14">
        <v>0</v>
      </c>
      <c r="I184" s="12" t="s">
        <v>6417</v>
      </c>
      <c r="J184" s="12" t="s">
        <v>4597</v>
      </c>
      <c r="K184" s="15">
        <v>45700</v>
      </c>
      <c r="L184" s="15">
        <v>73050</v>
      </c>
      <c r="M184" s="12" t="s">
        <v>8586</v>
      </c>
      <c r="N184" s="12" t="s">
        <v>8611</v>
      </c>
      <c r="O184" s="12" t="s">
        <v>8567</v>
      </c>
      <c r="P184" s="12" t="s">
        <v>1022</v>
      </c>
    </row>
    <row r="185" spans="1:17" x14ac:dyDescent="0.25">
      <c r="A185" s="12" t="str">
        <f t="shared" si="6"/>
        <v>SobikBarbara</v>
      </c>
      <c r="B185" s="12" t="str">
        <f t="shared" si="7"/>
        <v>0005639434</v>
      </c>
      <c r="C185" s="14">
        <f t="shared" si="8"/>
        <v>6178</v>
      </c>
      <c r="D185" s="14">
        <v>175</v>
      </c>
      <c r="E185" s="12" t="s">
        <v>6401</v>
      </c>
      <c r="F185" s="12" t="s">
        <v>661</v>
      </c>
      <c r="G185" s="14">
        <v>6178</v>
      </c>
      <c r="H185" s="14">
        <v>0</v>
      </c>
      <c r="I185" s="12" t="s">
        <v>6402</v>
      </c>
      <c r="J185" s="12" t="s">
        <v>6403</v>
      </c>
      <c r="K185" s="15">
        <v>45699</v>
      </c>
      <c r="L185" s="15">
        <v>73050</v>
      </c>
      <c r="M185" s="12" t="s">
        <v>8568</v>
      </c>
      <c r="N185" s="12" t="s">
        <v>8664</v>
      </c>
      <c r="O185" s="12" t="s">
        <v>8580</v>
      </c>
      <c r="P185" s="12" t="s">
        <v>1216</v>
      </c>
    </row>
    <row r="186" spans="1:17" x14ac:dyDescent="0.25">
      <c r="A186" s="12" t="str">
        <f t="shared" si="6"/>
        <v>WronkaRafal</v>
      </c>
      <c r="B186" s="12" t="str">
        <f t="shared" si="7"/>
        <v>0009182303</v>
      </c>
      <c r="C186" s="14">
        <f t="shared" si="8"/>
        <v>6180</v>
      </c>
      <c r="D186" s="14">
        <v>174</v>
      </c>
      <c r="E186" s="12" t="s">
        <v>6391</v>
      </c>
      <c r="F186" s="12" t="s">
        <v>4016</v>
      </c>
      <c r="G186" s="14">
        <v>6180</v>
      </c>
      <c r="H186" s="14">
        <v>0</v>
      </c>
      <c r="I186" s="12" t="s">
        <v>6392</v>
      </c>
      <c r="J186" s="12" t="s">
        <v>6393</v>
      </c>
      <c r="K186" s="15">
        <v>45699</v>
      </c>
      <c r="L186" s="15">
        <v>73050</v>
      </c>
      <c r="M186" s="12" t="s">
        <v>8568</v>
      </c>
      <c r="N186" s="12" t="s">
        <v>8516</v>
      </c>
      <c r="O186" s="12" t="s">
        <v>8583</v>
      </c>
      <c r="P186" s="12" t="s">
        <v>1216</v>
      </c>
    </row>
    <row r="187" spans="1:17" x14ac:dyDescent="0.25">
      <c r="A187" s="12" t="str">
        <f t="shared" si="6"/>
        <v>RagusWiktoria</v>
      </c>
      <c r="B187" s="12" t="str">
        <f t="shared" si="7"/>
        <v>0008567053</v>
      </c>
      <c r="C187" s="14">
        <f t="shared" si="8"/>
        <v>6193</v>
      </c>
      <c r="D187" s="14">
        <v>177</v>
      </c>
      <c r="E187" s="12" t="s">
        <v>5348</v>
      </c>
      <c r="F187" s="12" t="s">
        <v>5395</v>
      </c>
      <c r="G187" s="14">
        <v>6193</v>
      </c>
      <c r="H187" s="14">
        <v>0</v>
      </c>
      <c r="I187" s="12" t="s">
        <v>6447</v>
      </c>
      <c r="J187" s="12" t="s">
        <v>6448</v>
      </c>
      <c r="K187" s="15">
        <v>45709</v>
      </c>
      <c r="L187" s="15">
        <v>73050</v>
      </c>
      <c r="M187" s="12" t="s">
        <v>8568</v>
      </c>
      <c r="N187" s="12" t="s">
        <v>8594</v>
      </c>
      <c r="O187" s="12" t="s">
        <v>8580</v>
      </c>
      <c r="P187" s="12" t="s">
        <v>1216</v>
      </c>
    </row>
    <row r="188" spans="1:17" x14ac:dyDescent="0.25">
      <c r="A188" s="12" t="str">
        <f t="shared" si="6"/>
        <v>BojdaLukasz</v>
      </c>
      <c r="B188" s="12" t="str">
        <f t="shared" si="7"/>
        <v>0001197174</v>
      </c>
      <c r="C188" s="14">
        <f t="shared" si="8"/>
        <v>6197</v>
      </c>
      <c r="D188" s="14">
        <v>178</v>
      </c>
      <c r="E188" s="12" t="s">
        <v>6330</v>
      </c>
      <c r="F188" s="12" t="s">
        <v>1947</v>
      </c>
      <c r="G188" s="14">
        <v>6197</v>
      </c>
      <c r="H188" s="12" t="s">
        <v>569</v>
      </c>
      <c r="I188" s="12" t="s">
        <v>6466</v>
      </c>
      <c r="J188" s="12" t="s">
        <v>6467</v>
      </c>
      <c r="K188" s="15">
        <v>45712</v>
      </c>
      <c r="L188" s="12" t="s">
        <v>8566</v>
      </c>
      <c r="M188" s="12" t="s">
        <v>8667</v>
      </c>
      <c r="N188" s="12" t="s">
        <v>8723</v>
      </c>
      <c r="O188" s="12" t="s">
        <v>8606</v>
      </c>
      <c r="P188" s="12" t="s">
        <v>3091</v>
      </c>
      <c r="Q188" s="12" t="s">
        <v>8724</v>
      </c>
    </row>
    <row r="189" spans="1:17" x14ac:dyDescent="0.25">
      <c r="A189" s="12" t="str">
        <f t="shared" si="6"/>
        <v>SzewczykAgnieszka</v>
      </c>
      <c r="B189" s="12" t="str">
        <f t="shared" si="7"/>
        <v>0000415747</v>
      </c>
      <c r="C189" s="14">
        <f t="shared" si="8"/>
        <v>6205</v>
      </c>
      <c r="D189" s="14">
        <v>180</v>
      </c>
      <c r="E189" s="12" t="s">
        <v>544</v>
      </c>
      <c r="F189" s="12" t="s">
        <v>574</v>
      </c>
      <c r="G189" s="14">
        <v>6205</v>
      </c>
      <c r="H189" s="14">
        <v>0</v>
      </c>
      <c r="I189" s="12" t="s">
        <v>6508</v>
      </c>
      <c r="J189" s="12" t="s">
        <v>4541</v>
      </c>
      <c r="K189" s="15">
        <v>45719</v>
      </c>
      <c r="L189" s="15">
        <v>73050</v>
      </c>
      <c r="M189" s="12" t="s">
        <v>8672</v>
      </c>
      <c r="N189" s="12" t="s">
        <v>8725</v>
      </c>
      <c r="O189" s="12" t="s">
        <v>8584</v>
      </c>
      <c r="P189" s="12" t="s">
        <v>62</v>
      </c>
      <c r="Q189" s="12" t="s">
        <v>8726</v>
      </c>
    </row>
    <row r="190" spans="1:17" x14ac:dyDescent="0.25">
      <c r="A190" s="12" t="str">
        <f t="shared" si="6"/>
        <v>JerchewiczIwona</v>
      </c>
      <c r="B190" s="12" t="str">
        <f t="shared" si="7"/>
        <v>0013068368</v>
      </c>
      <c r="C190" s="14">
        <f t="shared" si="8"/>
        <v>6206</v>
      </c>
      <c r="D190" s="14">
        <v>179</v>
      </c>
      <c r="E190" s="12" t="s">
        <v>268</v>
      </c>
      <c r="F190" s="12" t="s">
        <v>1007</v>
      </c>
      <c r="G190" s="14">
        <v>6206</v>
      </c>
      <c r="H190" s="14">
        <v>0</v>
      </c>
      <c r="I190" s="12" t="s">
        <v>6504</v>
      </c>
      <c r="J190" s="12" t="s">
        <v>6505</v>
      </c>
      <c r="K190" s="15">
        <v>45719</v>
      </c>
      <c r="L190" s="12" t="s">
        <v>8566</v>
      </c>
      <c r="M190" s="12" t="s">
        <v>8577</v>
      </c>
      <c r="N190" s="12" t="s">
        <v>8727</v>
      </c>
      <c r="O190" s="12" t="s">
        <v>8584</v>
      </c>
      <c r="P190" s="12" t="s">
        <v>62</v>
      </c>
    </row>
    <row r="191" spans="1:17" x14ac:dyDescent="0.25">
      <c r="A191" s="12" t="str">
        <f t="shared" si="6"/>
        <v>ZawadaGrzegorz</v>
      </c>
      <c r="B191" s="12" t="str">
        <f t="shared" si="7"/>
        <v>0001179795</v>
      </c>
      <c r="C191" s="14">
        <f t="shared" si="8"/>
        <v>6243</v>
      </c>
      <c r="D191" s="14">
        <v>181</v>
      </c>
      <c r="E191" s="12" t="s">
        <v>2657</v>
      </c>
      <c r="F191" s="12" t="s">
        <v>2451</v>
      </c>
      <c r="G191" s="14">
        <v>6243</v>
      </c>
      <c r="H191" s="12" t="s">
        <v>569</v>
      </c>
      <c r="I191" s="12" t="s">
        <v>6627</v>
      </c>
      <c r="J191" s="12" t="s">
        <v>6628</v>
      </c>
      <c r="K191" s="15">
        <v>45733</v>
      </c>
      <c r="L191" s="15">
        <v>73050</v>
      </c>
      <c r="M191" s="12" t="s">
        <v>8581</v>
      </c>
      <c r="N191" s="12" t="s">
        <v>8699</v>
      </c>
      <c r="O191" s="12" t="s">
        <v>8583</v>
      </c>
      <c r="P191" s="12" t="s">
        <v>47</v>
      </c>
      <c r="Q191" s="12" t="s">
        <v>8728</v>
      </c>
    </row>
    <row r="192" spans="1:17" x14ac:dyDescent="0.25">
      <c r="A192" s="12" t="str">
        <f t="shared" si="6"/>
        <v>LichaczPiotr</v>
      </c>
      <c r="B192" s="12" t="str">
        <f t="shared" si="7"/>
        <v>0400348206</v>
      </c>
      <c r="C192" s="14">
        <f t="shared" si="8"/>
        <v>6253</v>
      </c>
      <c r="D192" s="14">
        <v>182</v>
      </c>
      <c r="E192" s="12" t="s">
        <v>6668</v>
      </c>
      <c r="F192" s="12" t="s">
        <v>1402</v>
      </c>
      <c r="G192" s="14">
        <v>6253</v>
      </c>
      <c r="H192" s="14">
        <v>0</v>
      </c>
      <c r="I192" s="12" t="s">
        <v>6669</v>
      </c>
      <c r="J192" s="12" t="s">
        <v>6670</v>
      </c>
      <c r="K192" s="15">
        <v>45740</v>
      </c>
      <c r="L192" s="12" t="s">
        <v>8566</v>
      </c>
      <c r="M192" s="12" t="s">
        <v>8623</v>
      </c>
      <c r="N192" s="12" t="s">
        <v>8676</v>
      </c>
      <c r="O192" s="12" t="s">
        <v>8583</v>
      </c>
      <c r="P192" s="12" t="s">
        <v>3023</v>
      </c>
      <c r="Q192" s="12" t="s">
        <v>8729</v>
      </c>
    </row>
    <row r="193" spans="1:17" x14ac:dyDescent="0.25">
      <c r="A193" s="12" t="str">
        <f t="shared" si="6"/>
        <v>IwanekRafal</v>
      </c>
      <c r="B193" s="12" t="str">
        <f t="shared" si="7"/>
        <v>000000</v>
      </c>
      <c r="C193" s="14">
        <f t="shared" si="8"/>
        <v>6260</v>
      </c>
      <c r="D193" s="14">
        <v>183</v>
      </c>
      <c r="E193" s="12" t="s">
        <v>6688</v>
      </c>
      <c r="F193" s="12" t="s">
        <v>4016</v>
      </c>
      <c r="G193" s="14">
        <v>6260</v>
      </c>
      <c r="H193" s="14">
        <v>0</v>
      </c>
      <c r="I193" s="12" t="s">
        <v>4357</v>
      </c>
      <c r="J193" s="12" t="s">
        <v>6689</v>
      </c>
      <c r="K193" s="15">
        <v>45743</v>
      </c>
      <c r="L193" s="15">
        <v>73050</v>
      </c>
      <c r="M193" s="12" t="s">
        <v>8548</v>
      </c>
      <c r="N193" s="12" t="s">
        <v>8548</v>
      </c>
      <c r="O193" s="12" t="s">
        <v>8712</v>
      </c>
      <c r="P193" s="12" t="s">
        <v>3052</v>
      </c>
      <c r="Q193" s="12" t="s">
        <v>8585</v>
      </c>
    </row>
    <row r="194" spans="1:17" x14ac:dyDescent="0.25">
      <c r="A194" s="12" t="str">
        <f t="shared" si="6"/>
        <v>AdamczewskiAmadeusz</v>
      </c>
      <c r="B194" s="12" t="str">
        <f t="shared" si="7"/>
        <v>0013210313</v>
      </c>
      <c r="C194" s="14">
        <f t="shared" si="8"/>
        <v>6275</v>
      </c>
      <c r="D194" s="14">
        <v>184</v>
      </c>
      <c r="E194" s="12" t="s">
        <v>6726</v>
      </c>
      <c r="F194" s="12" t="s">
        <v>4786</v>
      </c>
      <c r="G194" s="14">
        <v>6275</v>
      </c>
      <c r="H194" s="14">
        <v>0</v>
      </c>
      <c r="I194" s="12" t="s">
        <v>1188</v>
      </c>
      <c r="J194" s="12" t="s">
        <v>6727</v>
      </c>
      <c r="K194" s="15">
        <v>45748</v>
      </c>
      <c r="L194" s="15">
        <v>73050</v>
      </c>
      <c r="M194" s="12" t="s">
        <v>8548</v>
      </c>
      <c r="N194" s="12" t="s">
        <v>8548</v>
      </c>
      <c r="O194" s="12" t="s">
        <v>8584</v>
      </c>
      <c r="P194" s="12" t="s">
        <v>2729</v>
      </c>
    </row>
    <row r="195" spans="1:17" x14ac:dyDescent="0.25">
      <c r="A195" s="12" t="str">
        <f t="shared" si="6"/>
        <v>SzopaDaniel</v>
      </c>
      <c r="B195" s="12" t="str">
        <f t="shared" si="7"/>
        <v>0400329390</v>
      </c>
      <c r="C195" s="14">
        <f t="shared" si="8"/>
        <v>6282</v>
      </c>
      <c r="D195" s="14">
        <v>185</v>
      </c>
      <c r="E195" s="12" t="s">
        <v>4460</v>
      </c>
      <c r="F195" s="12" t="s">
        <v>800</v>
      </c>
      <c r="G195" s="14">
        <v>6282</v>
      </c>
      <c r="H195" s="14">
        <v>0</v>
      </c>
      <c r="I195" s="12" t="s">
        <v>6759</v>
      </c>
      <c r="J195" s="12" t="s">
        <v>6760</v>
      </c>
      <c r="K195" s="15">
        <v>45754</v>
      </c>
      <c r="L195" s="12" t="s">
        <v>8566</v>
      </c>
      <c r="M195" s="12" t="s">
        <v>8623</v>
      </c>
      <c r="N195" s="12" t="s">
        <v>8722</v>
      </c>
      <c r="O195" s="12" t="s">
        <v>8583</v>
      </c>
      <c r="P195" s="12" t="s">
        <v>3023</v>
      </c>
      <c r="Q195" s="12" t="s">
        <v>8730</v>
      </c>
    </row>
    <row r="196" spans="1:17" x14ac:dyDescent="0.25">
      <c r="A196" s="12" t="str">
        <f t="shared" ref="A196:A259" si="9">E196&amp;F196</f>
        <v>GawelKrystian</v>
      </c>
      <c r="B196" s="12">
        <f t="shared" ref="B196:B259" si="10">I196</f>
        <v>0</v>
      </c>
      <c r="C196" s="14">
        <f t="shared" ref="C196:C259" si="11">G196</f>
        <v>6292</v>
      </c>
      <c r="D196" s="14">
        <v>187</v>
      </c>
      <c r="E196" s="12" t="s">
        <v>6785</v>
      </c>
      <c r="F196" s="12" t="s">
        <v>2960</v>
      </c>
      <c r="G196" s="14">
        <v>6292</v>
      </c>
      <c r="H196" s="14">
        <v>0</v>
      </c>
      <c r="I196" s="14">
        <v>0</v>
      </c>
      <c r="J196" s="12" t="s">
        <v>6786</v>
      </c>
      <c r="K196" s="15">
        <v>45757</v>
      </c>
      <c r="L196" s="15">
        <v>73050</v>
      </c>
      <c r="M196" s="12" t="s">
        <v>8548</v>
      </c>
      <c r="N196" s="12" t="s">
        <v>8548</v>
      </c>
      <c r="O196" s="12" t="s">
        <v>8583</v>
      </c>
      <c r="P196" s="12" t="s">
        <v>1216</v>
      </c>
    </row>
    <row r="197" spans="1:17" x14ac:dyDescent="0.25">
      <c r="A197" s="12" t="str">
        <f t="shared" si="9"/>
        <v>KordowskiHenryk</v>
      </c>
      <c r="B197" s="12" t="str">
        <f t="shared" si="10"/>
        <v>0400223833</v>
      </c>
      <c r="C197" s="14">
        <f t="shared" si="11"/>
        <v>6317</v>
      </c>
      <c r="D197" s="14">
        <v>188</v>
      </c>
      <c r="E197" s="12" t="s">
        <v>6848</v>
      </c>
      <c r="F197" s="12" t="s">
        <v>4593</v>
      </c>
      <c r="G197" s="14">
        <v>6317</v>
      </c>
      <c r="H197" s="12" t="s">
        <v>569</v>
      </c>
      <c r="I197" s="12" t="s">
        <v>6849</v>
      </c>
      <c r="J197" s="12" t="s">
        <v>6850</v>
      </c>
      <c r="K197" s="15">
        <v>45769</v>
      </c>
      <c r="L197" s="12" t="s">
        <v>8566</v>
      </c>
      <c r="M197" s="12" t="s">
        <v>8623</v>
      </c>
      <c r="N197" s="12" t="s">
        <v>8731</v>
      </c>
      <c r="O197" s="12" t="s">
        <v>8584</v>
      </c>
      <c r="P197" s="12" t="s">
        <v>493</v>
      </c>
      <c r="Q197" s="12" t="s">
        <v>8732</v>
      </c>
    </row>
    <row r="198" spans="1:17" x14ac:dyDescent="0.25">
      <c r="A198" s="12" t="str">
        <f t="shared" si="9"/>
        <v>RudnickaMarta</v>
      </c>
      <c r="B198" s="12" t="str">
        <f t="shared" si="10"/>
        <v>0009316348</v>
      </c>
      <c r="C198" s="14">
        <f t="shared" si="11"/>
        <v>6318</v>
      </c>
      <c r="D198" s="14">
        <v>189</v>
      </c>
      <c r="E198" s="12" t="s">
        <v>6880</v>
      </c>
      <c r="F198" s="12" t="s">
        <v>2903</v>
      </c>
      <c r="G198" s="14">
        <v>6318</v>
      </c>
      <c r="H198" s="14">
        <v>0</v>
      </c>
      <c r="I198" s="12" t="s">
        <v>6881</v>
      </c>
      <c r="J198" s="12" t="s">
        <v>6882</v>
      </c>
      <c r="K198" s="15">
        <v>45770</v>
      </c>
      <c r="L198" s="15">
        <v>73050</v>
      </c>
      <c r="M198" s="12" t="s">
        <v>8586</v>
      </c>
      <c r="N198" s="12" t="s">
        <v>8628</v>
      </c>
      <c r="O198" s="12" t="s">
        <v>8580</v>
      </c>
      <c r="P198" s="12" t="s">
        <v>1216</v>
      </c>
      <c r="Q198" s="12" t="s">
        <v>8733</v>
      </c>
    </row>
    <row r="199" spans="1:17" x14ac:dyDescent="0.25">
      <c r="A199" s="12" t="str">
        <f t="shared" si="9"/>
        <v>JaroszMariusz</v>
      </c>
      <c r="B199" s="12" t="str">
        <f t="shared" si="10"/>
        <v>0400209523</v>
      </c>
      <c r="C199" s="14">
        <f t="shared" si="11"/>
        <v>6327</v>
      </c>
      <c r="D199" s="14">
        <v>190</v>
      </c>
      <c r="E199" s="12" t="s">
        <v>6907</v>
      </c>
      <c r="F199" s="12" t="s">
        <v>3533</v>
      </c>
      <c r="G199" s="14">
        <v>6327</v>
      </c>
      <c r="H199" s="12" t="s">
        <v>357</v>
      </c>
      <c r="I199" s="12" t="s">
        <v>6908</v>
      </c>
      <c r="J199" s="12" t="s">
        <v>6909</v>
      </c>
      <c r="K199" s="15">
        <v>45775</v>
      </c>
      <c r="L199" s="12" t="s">
        <v>8566</v>
      </c>
      <c r="M199" s="12" t="s">
        <v>8623</v>
      </c>
      <c r="N199" s="12" t="s">
        <v>8660</v>
      </c>
      <c r="O199" s="12" t="s">
        <v>8583</v>
      </c>
      <c r="P199" s="12" t="s">
        <v>493</v>
      </c>
      <c r="Q199" s="12" t="s">
        <v>8734</v>
      </c>
    </row>
    <row r="200" spans="1:17" x14ac:dyDescent="0.25">
      <c r="A200" s="12" t="str">
        <f t="shared" si="9"/>
        <v>BieniekKrystian</v>
      </c>
      <c r="B200" s="12" t="str">
        <f t="shared" si="10"/>
        <v>0400218349</v>
      </c>
      <c r="C200" s="14">
        <f t="shared" si="11"/>
        <v>6329</v>
      </c>
      <c r="D200" s="14">
        <v>191</v>
      </c>
      <c r="E200" s="12" t="s">
        <v>3527</v>
      </c>
      <c r="F200" s="12" t="s">
        <v>2960</v>
      </c>
      <c r="G200" s="14">
        <v>6329</v>
      </c>
      <c r="H200" s="12" t="s">
        <v>357</v>
      </c>
      <c r="I200" s="12" t="s">
        <v>6912</v>
      </c>
      <c r="J200" s="12" t="s">
        <v>6913</v>
      </c>
      <c r="K200" s="15">
        <v>45775</v>
      </c>
      <c r="L200" s="12" t="s">
        <v>8566</v>
      </c>
      <c r="M200" s="12" t="s">
        <v>8575</v>
      </c>
      <c r="N200" s="12" t="s">
        <v>8613</v>
      </c>
      <c r="O200" s="12" t="s">
        <v>8580</v>
      </c>
      <c r="P200" s="12" t="s">
        <v>493</v>
      </c>
      <c r="Q200" s="12" t="s">
        <v>8735</v>
      </c>
    </row>
    <row r="201" spans="1:17" x14ac:dyDescent="0.25">
      <c r="A201" s="12" t="str">
        <f t="shared" si="9"/>
        <v>TrzmielowskiAdrian Adam</v>
      </c>
      <c r="B201" s="12" t="str">
        <f t="shared" si="10"/>
        <v>0400333071</v>
      </c>
      <c r="C201" s="14">
        <f t="shared" si="11"/>
        <v>6336</v>
      </c>
      <c r="D201" s="14">
        <v>192</v>
      </c>
      <c r="E201" s="12" t="s">
        <v>4569</v>
      </c>
      <c r="F201" s="12" t="s">
        <v>6933</v>
      </c>
      <c r="G201" s="14">
        <v>6336</v>
      </c>
      <c r="H201" s="12" t="s">
        <v>569</v>
      </c>
      <c r="I201" s="12" t="s">
        <v>6934</v>
      </c>
      <c r="J201" s="12" t="s">
        <v>4570</v>
      </c>
      <c r="K201" s="15">
        <v>45782</v>
      </c>
      <c r="L201" s="12" t="s">
        <v>8566</v>
      </c>
      <c r="M201" s="12" t="s">
        <v>8548</v>
      </c>
      <c r="N201" s="12" t="s">
        <v>8548</v>
      </c>
      <c r="O201" s="12" t="s">
        <v>8583</v>
      </c>
      <c r="P201" s="12" t="s">
        <v>493</v>
      </c>
      <c r="Q201" s="12" t="s">
        <v>8621</v>
      </c>
    </row>
    <row r="202" spans="1:17" x14ac:dyDescent="0.25">
      <c r="A202" s="12" t="str">
        <f t="shared" si="9"/>
        <v>SkierkaDariusz</v>
      </c>
      <c r="B202" s="12" t="str">
        <f t="shared" si="10"/>
        <v>0400329906</v>
      </c>
      <c r="C202" s="14">
        <f t="shared" si="11"/>
        <v>6344</v>
      </c>
      <c r="D202" s="14">
        <v>193</v>
      </c>
      <c r="E202" s="12" t="s">
        <v>6976</v>
      </c>
      <c r="F202" s="12" t="s">
        <v>2607</v>
      </c>
      <c r="G202" s="14">
        <v>6344</v>
      </c>
      <c r="H202" s="12" t="s">
        <v>357</v>
      </c>
      <c r="I202" s="12" t="s">
        <v>6977</v>
      </c>
      <c r="J202" s="12" t="s">
        <v>6978</v>
      </c>
      <c r="K202" s="15">
        <v>45783</v>
      </c>
      <c r="L202" s="12" t="s">
        <v>8566</v>
      </c>
      <c r="O202" s="12" t="s">
        <v>8598</v>
      </c>
      <c r="P202" s="12" t="s">
        <v>493</v>
      </c>
    </row>
    <row r="203" spans="1:17" x14ac:dyDescent="0.25">
      <c r="A203" s="12" t="str">
        <f t="shared" si="9"/>
        <v>SzrejderSebastian</v>
      </c>
      <c r="B203" s="12" t="str">
        <f t="shared" si="10"/>
        <v>0400335141</v>
      </c>
      <c r="C203" s="14">
        <f t="shared" si="11"/>
        <v>6350</v>
      </c>
      <c r="D203" s="14">
        <v>195</v>
      </c>
      <c r="E203" s="12" t="s">
        <v>7009</v>
      </c>
      <c r="F203" s="12" t="s">
        <v>743</v>
      </c>
      <c r="G203" s="14">
        <v>6350</v>
      </c>
      <c r="H203" s="12" t="s">
        <v>569</v>
      </c>
      <c r="I203" s="12" t="s">
        <v>7010</v>
      </c>
      <c r="J203" s="12" t="s">
        <v>7011</v>
      </c>
      <c r="K203" s="15">
        <v>45789</v>
      </c>
      <c r="L203" s="12" t="s">
        <v>8566</v>
      </c>
      <c r="M203" s="12" t="s">
        <v>8575</v>
      </c>
      <c r="N203" s="12" t="s">
        <v>8613</v>
      </c>
      <c r="O203" s="12" t="s">
        <v>8583</v>
      </c>
      <c r="P203" s="12" t="s">
        <v>493</v>
      </c>
    </row>
    <row r="204" spans="1:17" x14ac:dyDescent="0.25">
      <c r="A204" s="12" t="str">
        <f t="shared" si="9"/>
        <v>OpydMarzena</v>
      </c>
      <c r="B204" s="12" t="str">
        <f t="shared" si="10"/>
        <v>0000404695</v>
      </c>
      <c r="C204" s="14">
        <f t="shared" si="11"/>
        <v>6352</v>
      </c>
      <c r="D204" s="14">
        <v>194</v>
      </c>
      <c r="E204" s="12" t="s">
        <v>7002</v>
      </c>
      <c r="F204" s="12" t="s">
        <v>4899</v>
      </c>
      <c r="G204" s="14">
        <v>6352</v>
      </c>
      <c r="H204" s="12" t="s">
        <v>357</v>
      </c>
      <c r="I204" s="12" t="s">
        <v>7003</v>
      </c>
      <c r="J204" s="12" t="s">
        <v>7004</v>
      </c>
      <c r="K204" s="15">
        <v>45789</v>
      </c>
      <c r="L204" s="15">
        <v>73050</v>
      </c>
      <c r="M204" s="12" t="s">
        <v>8571</v>
      </c>
      <c r="N204" s="12" t="s">
        <v>8633</v>
      </c>
      <c r="O204" s="12" t="s">
        <v>8580</v>
      </c>
      <c r="P204" s="12" t="s">
        <v>47</v>
      </c>
    </row>
    <row r="205" spans="1:17" x14ac:dyDescent="0.25">
      <c r="A205" s="12" t="str">
        <f t="shared" si="9"/>
        <v>HabierskaMaja</v>
      </c>
      <c r="B205" s="12">
        <f t="shared" si="10"/>
        <v>0</v>
      </c>
      <c r="C205" s="14">
        <f t="shared" si="11"/>
        <v>6368</v>
      </c>
      <c r="D205" s="14">
        <v>197</v>
      </c>
      <c r="E205" s="12" t="s">
        <v>1425</v>
      </c>
      <c r="F205" s="12" t="s">
        <v>7056</v>
      </c>
      <c r="G205" s="14">
        <v>6368</v>
      </c>
      <c r="H205" s="14">
        <v>0</v>
      </c>
      <c r="I205" s="14">
        <v>0</v>
      </c>
      <c r="J205" s="12" t="s">
        <v>7057</v>
      </c>
      <c r="K205" s="15">
        <v>45790</v>
      </c>
      <c r="L205" s="15">
        <v>73050</v>
      </c>
      <c r="M205" s="12" t="s">
        <v>8548</v>
      </c>
      <c r="N205" s="12" t="s">
        <v>8548</v>
      </c>
      <c r="O205" s="12" t="s">
        <v>8583</v>
      </c>
      <c r="P205" s="12" t="s">
        <v>1216</v>
      </c>
    </row>
    <row r="206" spans="1:17" x14ac:dyDescent="0.25">
      <c r="A206" s="12" t="str">
        <f t="shared" si="9"/>
        <v>MeyerBeata</v>
      </c>
      <c r="B206" s="12" t="str">
        <f t="shared" si="10"/>
        <v>0001243947</v>
      </c>
      <c r="C206" s="14">
        <f t="shared" si="11"/>
        <v>6376</v>
      </c>
      <c r="D206" s="14">
        <v>198</v>
      </c>
      <c r="E206" s="12" t="s">
        <v>1787</v>
      </c>
      <c r="F206" s="12" t="s">
        <v>633</v>
      </c>
      <c r="G206" s="14">
        <v>6376</v>
      </c>
      <c r="H206" s="12" t="s">
        <v>569</v>
      </c>
      <c r="I206" s="12" t="s">
        <v>7079</v>
      </c>
      <c r="J206" s="12" t="s">
        <v>7080</v>
      </c>
      <c r="K206" s="15">
        <v>45803</v>
      </c>
      <c r="L206" s="15">
        <v>73050</v>
      </c>
      <c r="M206" s="12" t="s">
        <v>8581</v>
      </c>
      <c r="N206" s="12" t="s">
        <v>8699</v>
      </c>
      <c r="O206" s="12" t="s">
        <v>8584</v>
      </c>
      <c r="P206" s="12" t="s">
        <v>47</v>
      </c>
    </row>
    <row r="207" spans="1:17" x14ac:dyDescent="0.25">
      <c r="A207" s="12" t="str">
        <f t="shared" si="9"/>
        <v>WodykPiotr</v>
      </c>
      <c r="B207" s="12">
        <f t="shared" si="10"/>
        <v>0</v>
      </c>
      <c r="C207" s="14">
        <f t="shared" si="11"/>
        <v>6388</v>
      </c>
      <c r="D207" s="14">
        <v>201</v>
      </c>
      <c r="E207" s="12" t="s">
        <v>2314</v>
      </c>
      <c r="F207" s="12" t="s">
        <v>1402</v>
      </c>
      <c r="G207" s="14">
        <v>6388</v>
      </c>
      <c r="H207" s="14">
        <v>0</v>
      </c>
      <c r="I207" s="14">
        <v>0</v>
      </c>
      <c r="J207" s="12" t="s">
        <v>7131</v>
      </c>
      <c r="K207" s="15">
        <v>45814</v>
      </c>
      <c r="L207" s="15">
        <v>73050</v>
      </c>
      <c r="M207" s="12" t="s">
        <v>8548</v>
      </c>
      <c r="N207" s="12" t="s">
        <v>8548</v>
      </c>
      <c r="O207" s="12" t="s">
        <v>8580</v>
      </c>
      <c r="P207" s="12" t="s">
        <v>1216</v>
      </c>
    </row>
    <row r="208" spans="1:17" x14ac:dyDescent="0.25">
      <c r="A208" s="12" t="str">
        <f t="shared" si="9"/>
        <v>SiekierskiFilip</v>
      </c>
      <c r="B208" s="12" t="str">
        <f t="shared" si="10"/>
        <v>0001164442</v>
      </c>
      <c r="C208" s="14">
        <f t="shared" si="11"/>
        <v>6394</v>
      </c>
      <c r="D208" s="14">
        <v>202</v>
      </c>
      <c r="E208" s="12" t="s">
        <v>3656</v>
      </c>
      <c r="F208" s="12" t="s">
        <v>3657</v>
      </c>
      <c r="G208" s="14">
        <v>6394</v>
      </c>
      <c r="H208" s="12" t="s">
        <v>569</v>
      </c>
      <c r="I208" s="12" t="s">
        <v>7147</v>
      </c>
      <c r="J208" s="12" t="s">
        <v>3659</v>
      </c>
      <c r="K208" s="15">
        <v>45818</v>
      </c>
      <c r="L208" s="12" t="s">
        <v>8566</v>
      </c>
      <c r="M208" s="12" t="s">
        <v>8571</v>
      </c>
      <c r="N208" s="12" t="s">
        <v>8633</v>
      </c>
      <c r="O208" s="12" t="s">
        <v>8583</v>
      </c>
      <c r="P208" s="12" t="s">
        <v>7149</v>
      </c>
    </row>
    <row r="209" spans="1:17" x14ac:dyDescent="0.25">
      <c r="A209" s="12" t="str">
        <f t="shared" si="9"/>
        <v>RakSławomir</v>
      </c>
      <c r="B209" s="12" t="str">
        <f t="shared" si="10"/>
        <v>00</v>
      </c>
      <c r="C209" s="14">
        <f t="shared" si="11"/>
        <v>6408</v>
      </c>
      <c r="D209" s="14">
        <v>205</v>
      </c>
      <c r="E209" s="12" t="s">
        <v>2918</v>
      </c>
      <c r="F209" s="12" t="s">
        <v>3055</v>
      </c>
      <c r="G209" s="14">
        <v>6408</v>
      </c>
      <c r="H209" s="12" t="s">
        <v>357</v>
      </c>
      <c r="I209" s="12" t="s">
        <v>357</v>
      </c>
      <c r="J209" s="12" t="s">
        <v>7219</v>
      </c>
      <c r="K209" s="15">
        <v>45832</v>
      </c>
      <c r="L209" s="12" t="s">
        <v>8566</v>
      </c>
      <c r="M209" s="12" t="s">
        <v>8548</v>
      </c>
      <c r="N209" s="12" t="s">
        <v>8548</v>
      </c>
      <c r="O209" s="12" t="s">
        <v>8567</v>
      </c>
      <c r="P209" s="12" t="s">
        <v>3052</v>
      </c>
      <c r="Q209" s="12" t="s">
        <v>8585</v>
      </c>
    </row>
    <row r="210" spans="1:17" x14ac:dyDescent="0.25">
      <c r="A210" s="12" t="str">
        <f t="shared" si="9"/>
        <v>MarekwicaAdrian</v>
      </c>
      <c r="B210" s="12" t="str">
        <f t="shared" si="10"/>
        <v>000</v>
      </c>
      <c r="C210" s="14">
        <f t="shared" si="11"/>
        <v>6409</v>
      </c>
      <c r="D210" s="14">
        <v>204</v>
      </c>
      <c r="E210" s="12" t="s">
        <v>7199</v>
      </c>
      <c r="F210" s="12" t="s">
        <v>1744</v>
      </c>
      <c r="G210" s="14">
        <v>6409</v>
      </c>
      <c r="H210" s="12" t="s">
        <v>569</v>
      </c>
      <c r="I210" s="12" t="s">
        <v>569</v>
      </c>
      <c r="J210" s="12" t="s">
        <v>7200</v>
      </c>
      <c r="K210" s="15">
        <v>45831</v>
      </c>
      <c r="L210" s="15">
        <v>73050</v>
      </c>
      <c r="M210" s="12" t="s">
        <v>8548</v>
      </c>
      <c r="N210" s="12" t="s">
        <v>8548</v>
      </c>
      <c r="O210" s="12" t="s">
        <v>8584</v>
      </c>
      <c r="P210" s="12" t="s">
        <v>5988</v>
      </c>
      <c r="Q210" s="12" t="s">
        <v>8585</v>
      </c>
    </row>
    <row r="211" spans="1:17" x14ac:dyDescent="0.25">
      <c r="A211" s="12" t="str">
        <f t="shared" si="9"/>
        <v>GiedziunMonika</v>
      </c>
      <c r="B211" s="12" t="str">
        <f t="shared" si="10"/>
        <v>0001164432</v>
      </c>
      <c r="C211" s="14">
        <f t="shared" si="11"/>
        <v>6418</v>
      </c>
      <c r="D211" s="14">
        <v>206</v>
      </c>
      <c r="E211" s="12" t="s">
        <v>7076</v>
      </c>
      <c r="F211" s="12" t="s">
        <v>725</v>
      </c>
      <c r="G211" s="14">
        <v>6418</v>
      </c>
      <c r="H211" s="14">
        <v>0</v>
      </c>
      <c r="I211" s="12" t="s">
        <v>7027</v>
      </c>
      <c r="J211" s="12" t="s">
        <v>7077</v>
      </c>
      <c r="K211" s="15">
        <v>45832</v>
      </c>
      <c r="L211" s="15">
        <v>73050</v>
      </c>
      <c r="M211" s="12" t="s">
        <v>8548</v>
      </c>
      <c r="N211" s="12" t="s">
        <v>8548</v>
      </c>
      <c r="O211" s="12" t="s">
        <v>8712</v>
      </c>
      <c r="P211" s="12" t="s">
        <v>3052</v>
      </c>
      <c r="Q211" s="12" t="s">
        <v>8585</v>
      </c>
    </row>
    <row r="212" spans="1:17" x14ac:dyDescent="0.25">
      <c r="A212" s="12" t="str">
        <f t="shared" si="9"/>
        <v>SzmytDariusz</v>
      </c>
      <c r="B212" s="12" t="str">
        <f t="shared" si="10"/>
        <v>0400246529</v>
      </c>
      <c r="C212" s="14">
        <f t="shared" si="11"/>
        <v>6419</v>
      </c>
      <c r="D212" s="14">
        <v>207</v>
      </c>
      <c r="E212" s="12" t="s">
        <v>7227</v>
      </c>
      <c r="F212" s="12" t="s">
        <v>2607</v>
      </c>
      <c r="G212" s="14">
        <v>6419</v>
      </c>
      <c r="H212" s="12" t="s">
        <v>569</v>
      </c>
      <c r="I212" s="12" t="s">
        <v>7228</v>
      </c>
      <c r="J212" s="12" t="s">
        <v>7229</v>
      </c>
      <c r="K212" s="15">
        <v>45832</v>
      </c>
      <c r="L212" s="12" t="s">
        <v>8566</v>
      </c>
      <c r="M212" s="12" t="s">
        <v>8575</v>
      </c>
      <c r="N212" s="12" t="s">
        <v>8736</v>
      </c>
      <c r="O212" s="12" t="s">
        <v>8584</v>
      </c>
      <c r="P212" s="12" t="s">
        <v>493</v>
      </c>
    </row>
    <row r="213" spans="1:17" x14ac:dyDescent="0.25">
      <c r="A213" s="12" t="str">
        <f t="shared" si="9"/>
        <v>MałczakKrzysztof</v>
      </c>
      <c r="B213" s="12" t="str">
        <f t="shared" si="10"/>
        <v>0012090153</v>
      </c>
      <c r="C213" s="14">
        <f t="shared" si="11"/>
        <v>6431</v>
      </c>
      <c r="D213" s="14">
        <v>209</v>
      </c>
      <c r="E213" s="12" t="s">
        <v>7302</v>
      </c>
      <c r="F213" s="12" t="s">
        <v>3373</v>
      </c>
      <c r="G213" s="14">
        <v>6431</v>
      </c>
      <c r="H213" s="14">
        <v>0</v>
      </c>
      <c r="I213" s="12" t="s">
        <v>7303</v>
      </c>
      <c r="J213" s="12" t="s">
        <v>7304</v>
      </c>
      <c r="K213" s="15">
        <v>45839</v>
      </c>
      <c r="L213" s="12" t="s">
        <v>8566</v>
      </c>
      <c r="M213" s="12" t="s">
        <v>8586</v>
      </c>
      <c r="N213" s="12" t="s">
        <v>8611</v>
      </c>
      <c r="O213" s="12" t="s">
        <v>8712</v>
      </c>
      <c r="P213" s="12" t="s">
        <v>3052</v>
      </c>
    </row>
    <row r="214" spans="1:17" x14ac:dyDescent="0.25">
      <c r="A214" s="12" t="str">
        <f t="shared" si="9"/>
        <v>LebiediewSławomir</v>
      </c>
      <c r="B214" s="12" t="str">
        <f t="shared" si="10"/>
        <v>0013418262</v>
      </c>
      <c r="C214" s="14">
        <f t="shared" si="11"/>
        <v>6437</v>
      </c>
      <c r="D214" s="14">
        <v>208</v>
      </c>
      <c r="E214" s="12" t="s">
        <v>7274</v>
      </c>
      <c r="F214" s="12" t="s">
        <v>3055</v>
      </c>
      <c r="G214" s="14">
        <v>6437</v>
      </c>
      <c r="H214" s="14">
        <v>0</v>
      </c>
      <c r="I214" s="12" t="s">
        <v>7275</v>
      </c>
      <c r="J214" s="12" t="s">
        <v>7276</v>
      </c>
      <c r="K214" s="15">
        <v>45839</v>
      </c>
      <c r="L214" s="15">
        <v>73050</v>
      </c>
      <c r="M214" s="12" t="s">
        <v>8568</v>
      </c>
      <c r="N214" s="12" t="s">
        <v>8596</v>
      </c>
      <c r="O214" s="12" t="s">
        <v>8606</v>
      </c>
      <c r="P214" s="12" t="s">
        <v>3052</v>
      </c>
      <c r="Q214" s="12" t="s">
        <v>8737</v>
      </c>
    </row>
    <row r="215" spans="1:17" x14ac:dyDescent="0.25">
      <c r="A215" s="12" t="str">
        <f t="shared" si="9"/>
        <v>ŚwiętyCzesław</v>
      </c>
      <c r="B215" s="12" t="str">
        <f t="shared" si="10"/>
        <v>0400328807</v>
      </c>
      <c r="C215" s="14">
        <f t="shared" si="11"/>
        <v>6440</v>
      </c>
      <c r="D215" s="14">
        <v>210</v>
      </c>
      <c r="E215" s="12" t="s">
        <v>7312</v>
      </c>
      <c r="F215" s="12" t="s">
        <v>7313</v>
      </c>
      <c r="G215" s="14">
        <v>6440</v>
      </c>
      <c r="H215" s="12" t="s">
        <v>569</v>
      </c>
      <c r="I215" s="12" t="s">
        <v>7314</v>
      </c>
      <c r="J215" s="12" t="s">
        <v>7315</v>
      </c>
      <c r="K215" s="15">
        <v>45839</v>
      </c>
      <c r="L215" s="12" t="s">
        <v>8566</v>
      </c>
      <c r="M215" s="12" t="s">
        <v>8575</v>
      </c>
      <c r="N215" s="12" t="s">
        <v>8738</v>
      </c>
      <c r="O215" s="12" t="s">
        <v>8583</v>
      </c>
      <c r="P215" s="12" t="s">
        <v>493</v>
      </c>
      <c r="Q215" s="12" t="s">
        <v>8739</v>
      </c>
    </row>
    <row r="216" spans="1:17" x14ac:dyDescent="0.25">
      <c r="A216" s="12" t="str">
        <f t="shared" si="9"/>
        <v>BurzykBartlomiej</v>
      </c>
      <c r="B216" s="12" t="str">
        <f t="shared" si="10"/>
        <v>0006462731</v>
      </c>
      <c r="C216" s="14">
        <f t="shared" si="11"/>
        <v>6445</v>
      </c>
      <c r="D216" s="14">
        <v>266</v>
      </c>
      <c r="E216" s="12" t="s">
        <v>8098</v>
      </c>
      <c r="F216" s="12" t="s">
        <v>3976</v>
      </c>
      <c r="G216" s="14">
        <v>6445</v>
      </c>
      <c r="H216" s="12" t="s">
        <v>569</v>
      </c>
      <c r="I216" s="12" t="s">
        <v>8099</v>
      </c>
      <c r="J216" s="12" t="s">
        <v>8100</v>
      </c>
      <c r="K216" s="15">
        <v>45979</v>
      </c>
      <c r="L216" s="12" t="s">
        <v>8566</v>
      </c>
      <c r="M216" s="12" t="s">
        <v>8623</v>
      </c>
      <c r="N216" s="12" t="s">
        <v>8740</v>
      </c>
      <c r="O216" s="12" t="s">
        <v>8583</v>
      </c>
      <c r="P216" s="12" t="s">
        <v>493</v>
      </c>
    </row>
    <row r="217" spans="1:17" x14ac:dyDescent="0.25">
      <c r="A217" s="12" t="str">
        <f t="shared" si="9"/>
        <v>ChojnackiPiotr</v>
      </c>
      <c r="B217" s="12" t="str">
        <f t="shared" si="10"/>
        <v>0400257948</v>
      </c>
      <c r="C217" s="14">
        <f t="shared" si="11"/>
        <v>6447</v>
      </c>
      <c r="D217" s="14">
        <v>211</v>
      </c>
      <c r="E217" s="12" t="s">
        <v>7325</v>
      </c>
      <c r="F217" s="12" t="s">
        <v>1402</v>
      </c>
      <c r="G217" s="14">
        <v>6447</v>
      </c>
      <c r="H217" s="12" t="s">
        <v>357</v>
      </c>
      <c r="I217" s="12" t="s">
        <v>7326</v>
      </c>
      <c r="J217" s="12" t="s">
        <v>7327</v>
      </c>
      <c r="K217" s="15">
        <v>45846</v>
      </c>
      <c r="L217" s="12" t="s">
        <v>8566</v>
      </c>
      <c r="M217" s="12" t="s">
        <v>8741</v>
      </c>
      <c r="N217" s="12" t="s">
        <v>8742</v>
      </c>
      <c r="O217" s="12" t="s">
        <v>8583</v>
      </c>
      <c r="P217" s="12" t="s">
        <v>493</v>
      </c>
    </row>
    <row r="218" spans="1:17" x14ac:dyDescent="0.25">
      <c r="A218" s="12" t="str">
        <f t="shared" si="9"/>
        <v>SzwedaKrzysztof</v>
      </c>
      <c r="B218" s="12" t="str">
        <f t="shared" si="10"/>
        <v>0001186182</v>
      </c>
      <c r="C218" s="14">
        <f t="shared" si="11"/>
        <v>6471</v>
      </c>
      <c r="D218" s="14">
        <v>212</v>
      </c>
      <c r="E218" s="12" t="s">
        <v>7435</v>
      </c>
      <c r="F218" s="12" t="s">
        <v>3373</v>
      </c>
      <c r="G218" s="14">
        <v>6471</v>
      </c>
      <c r="H218" s="14">
        <v>0</v>
      </c>
      <c r="I218" s="12" t="s">
        <v>7436</v>
      </c>
      <c r="J218" s="12" t="s">
        <v>7437</v>
      </c>
      <c r="K218" s="15">
        <v>45861</v>
      </c>
      <c r="L218" s="12" t="s">
        <v>8566</v>
      </c>
      <c r="M218" s="12" t="s">
        <v>8743</v>
      </c>
      <c r="N218" s="12" t="s">
        <v>8744</v>
      </c>
      <c r="O218" s="12" t="s">
        <v>8584</v>
      </c>
      <c r="P218" s="12" t="s">
        <v>7412</v>
      </c>
      <c r="Q218" s="12" t="s">
        <v>8659</v>
      </c>
    </row>
    <row r="219" spans="1:17" x14ac:dyDescent="0.25">
      <c r="A219" s="12" t="str">
        <f t="shared" si="9"/>
        <v>GorkaDawid</v>
      </c>
      <c r="B219" s="12" t="str">
        <f t="shared" si="10"/>
        <v>0012109172</v>
      </c>
      <c r="C219" s="14">
        <f t="shared" si="11"/>
        <v>6473</v>
      </c>
      <c r="D219" s="14">
        <v>213</v>
      </c>
      <c r="E219" s="12" t="s">
        <v>6180</v>
      </c>
      <c r="F219" s="12" t="s">
        <v>3048</v>
      </c>
      <c r="G219" s="14">
        <v>6473</v>
      </c>
      <c r="H219" s="14">
        <v>0</v>
      </c>
      <c r="I219" s="12" t="s">
        <v>7444</v>
      </c>
      <c r="J219" s="12" t="s">
        <v>7445</v>
      </c>
      <c r="K219" s="15">
        <v>45860</v>
      </c>
      <c r="L219" s="15">
        <v>73050</v>
      </c>
      <c r="M219" s="12" t="s">
        <v>8571</v>
      </c>
      <c r="N219" s="12" t="s">
        <v>8633</v>
      </c>
      <c r="O219" s="12" t="s">
        <v>8580</v>
      </c>
      <c r="P219" s="12" t="s">
        <v>2381</v>
      </c>
      <c r="Q219" s="12" t="s">
        <v>8745</v>
      </c>
    </row>
    <row r="220" spans="1:17" x14ac:dyDescent="0.25">
      <c r="A220" s="12" t="str">
        <f t="shared" si="9"/>
        <v>RojekDaniel</v>
      </c>
      <c r="B220" s="12" t="str">
        <f t="shared" si="10"/>
        <v>0013406272</v>
      </c>
      <c r="C220" s="14">
        <f t="shared" si="11"/>
        <v>6485</v>
      </c>
      <c r="D220" s="14">
        <v>214</v>
      </c>
      <c r="E220" s="12" t="s">
        <v>7493</v>
      </c>
      <c r="F220" s="12" t="s">
        <v>800</v>
      </c>
      <c r="G220" s="14">
        <v>6485</v>
      </c>
      <c r="H220" s="14">
        <v>0</v>
      </c>
      <c r="I220" s="12" t="s">
        <v>7494</v>
      </c>
      <c r="J220" s="12" t="s">
        <v>7495</v>
      </c>
      <c r="K220" s="15">
        <v>45870</v>
      </c>
      <c r="L220" s="12" t="s">
        <v>8566</v>
      </c>
      <c r="M220" s="12" t="s">
        <v>8623</v>
      </c>
      <c r="N220" s="12" t="s">
        <v>8731</v>
      </c>
      <c r="O220" s="12" t="s">
        <v>8583</v>
      </c>
      <c r="P220" s="12" t="s">
        <v>493</v>
      </c>
      <c r="Q220" s="12" t="s">
        <v>8746</v>
      </c>
    </row>
    <row r="221" spans="1:17" x14ac:dyDescent="0.25">
      <c r="A221" s="12" t="str">
        <f t="shared" si="9"/>
        <v>FojcikMarzena</v>
      </c>
      <c r="B221" s="12" t="str">
        <f t="shared" si="10"/>
        <v>0005121719</v>
      </c>
      <c r="C221" s="14">
        <f t="shared" si="11"/>
        <v>6487</v>
      </c>
      <c r="D221" s="14">
        <v>215</v>
      </c>
      <c r="E221" s="12" t="s">
        <v>7508</v>
      </c>
      <c r="F221" s="12" t="s">
        <v>4899</v>
      </c>
      <c r="G221" s="14">
        <v>6487</v>
      </c>
      <c r="H221" s="12" t="s">
        <v>569</v>
      </c>
      <c r="I221" s="12" t="s">
        <v>4186</v>
      </c>
      <c r="J221" s="12" t="s">
        <v>7509</v>
      </c>
      <c r="K221" s="15">
        <v>45873</v>
      </c>
      <c r="L221" s="12" t="s">
        <v>8566</v>
      </c>
      <c r="M221" s="12" t="s">
        <v>8586</v>
      </c>
      <c r="N221" s="12" t="s">
        <v>8747</v>
      </c>
      <c r="O221" s="12" t="s">
        <v>8580</v>
      </c>
      <c r="P221" s="12" t="s">
        <v>1216</v>
      </c>
    </row>
    <row r="222" spans="1:17" x14ac:dyDescent="0.25">
      <c r="A222" s="12" t="str">
        <f t="shared" si="9"/>
        <v>PenkalaPiotr</v>
      </c>
      <c r="B222" s="12" t="str">
        <f t="shared" si="10"/>
        <v>0000359749</v>
      </c>
      <c r="C222" s="14">
        <f t="shared" si="11"/>
        <v>6488</v>
      </c>
      <c r="D222" s="14">
        <v>216</v>
      </c>
      <c r="E222" s="12" t="s">
        <v>6312</v>
      </c>
      <c r="F222" s="12" t="s">
        <v>1402</v>
      </c>
      <c r="G222" s="14">
        <v>6488</v>
      </c>
      <c r="H222" s="12" t="s">
        <v>357</v>
      </c>
      <c r="I222" s="12" t="s">
        <v>7512</v>
      </c>
      <c r="J222" s="12" t="s">
        <v>7513</v>
      </c>
      <c r="K222" s="15">
        <v>45873</v>
      </c>
      <c r="L222" s="12" t="s">
        <v>8566</v>
      </c>
      <c r="M222" s="12" t="s">
        <v>8568</v>
      </c>
      <c r="N222" s="12" t="s">
        <v>8516</v>
      </c>
      <c r="O222" s="12" t="s">
        <v>8580</v>
      </c>
      <c r="P222" s="12" t="s">
        <v>1216</v>
      </c>
    </row>
    <row r="223" spans="1:17" x14ac:dyDescent="0.25">
      <c r="A223" s="12" t="str">
        <f t="shared" si="9"/>
        <v>OstafinKlaudia</v>
      </c>
      <c r="B223" s="12" t="str">
        <f t="shared" si="10"/>
        <v>0013398346</v>
      </c>
      <c r="C223" s="14">
        <f t="shared" si="11"/>
        <v>6507</v>
      </c>
      <c r="D223" s="14">
        <v>218</v>
      </c>
      <c r="E223" s="12" t="s">
        <v>539</v>
      </c>
      <c r="F223" s="12" t="s">
        <v>3638</v>
      </c>
      <c r="G223" s="14">
        <v>6507</v>
      </c>
      <c r="H223" s="12" t="s">
        <v>569</v>
      </c>
      <c r="I223" s="12" t="s">
        <v>7379</v>
      </c>
      <c r="J223" s="12" t="s">
        <v>7568</v>
      </c>
      <c r="K223" s="15">
        <v>45887</v>
      </c>
      <c r="L223" s="15">
        <v>73050</v>
      </c>
      <c r="M223" s="12" t="s">
        <v>8571</v>
      </c>
      <c r="N223" s="12" t="s">
        <v>8619</v>
      </c>
      <c r="O223" s="12" t="s">
        <v>8583</v>
      </c>
      <c r="P223" s="12" t="s">
        <v>47</v>
      </c>
      <c r="Q223" s="12" t="s">
        <v>8748</v>
      </c>
    </row>
    <row r="224" spans="1:17" x14ac:dyDescent="0.25">
      <c r="A224" s="12" t="str">
        <f t="shared" si="9"/>
        <v>BaszczynskiBogdan</v>
      </c>
      <c r="B224" s="12" t="str">
        <f t="shared" si="10"/>
        <v>00</v>
      </c>
      <c r="C224" s="14">
        <f t="shared" si="11"/>
        <v>6508</v>
      </c>
      <c r="D224" s="14">
        <v>217</v>
      </c>
      <c r="E224" s="12" t="s">
        <v>1231</v>
      </c>
      <c r="F224" s="12" t="s">
        <v>749</v>
      </c>
      <c r="G224" s="14">
        <v>6508</v>
      </c>
      <c r="H224" s="12" t="s">
        <v>357</v>
      </c>
      <c r="I224" s="12" t="s">
        <v>357</v>
      </c>
      <c r="J224" s="12" t="s">
        <v>7565</v>
      </c>
      <c r="K224" s="15">
        <v>45887</v>
      </c>
      <c r="L224" s="15">
        <v>73050</v>
      </c>
      <c r="M224" s="12" t="s">
        <v>8548</v>
      </c>
      <c r="N224" s="12" t="s">
        <v>8548</v>
      </c>
      <c r="O224" s="12" t="s">
        <v>8584</v>
      </c>
      <c r="P224" s="12" t="s">
        <v>1216</v>
      </c>
      <c r="Q224" s="12" t="s">
        <v>8585</v>
      </c>
    </row>
    <row r="225" spans="1:17" x14ac:dyDescent="0.25">
      <c r="A225" s="12" t="str">
        <f t="shared" si="9"/>
        <v>NiewiadomskiMichal</v>
      </c>
      <c r="B225" s="12" t="str">
        <f t="shared" si="10"/>
        <v>0000353976</v>
      </c>
      <c r="C225" s="14">
        <f t="shared" si="11"/>
        <v>6514</v>
      </c>
      <c r="D225" s="14">
        <v>220</v>
      </c>
      <c r="E225" s="12" t="s">
        <v>7100</v>
      </c>
      <c r="F225" s="12" t="s">
        <v>671</v>
      </c>
      <c r="G225" s="14">
        <v>6514</v>
      </c>
      <c r="H225" s="12" t="s">
        <v>569</v>
      </c>
      <c r="I225" s="12" t="s">
        <v>7582</v>
      </c>
      <c r="J225" s="12" t="s">
        <v>7583</v>
      </c>
      <c r="K225" s="15">
        <v>45889</v>
      </c>
      <c r="L225" s="15">
        <v>73050</v>
      </c>
      <c r="M225" s="12" t="s">
        <v>8568</v>
      </c>
      <c r="N225" s="12" t="s">
        <v>8594</v>
      </c>
      <c r="O225" s="12" t="s">
        <v>8712</v>
      </c>
      <c r="P225" s="12" t="s">
        <v>3052</v>
      </c>
      <c r="Q225" s="12" t="s">
        <v>8749</v>
      </c>
    </row>
    <row r="226" spans="1:17" x14ac:dyDescent="0.25">
      <c r="A226" s="12" t="str">
        <f t="shared" si="9"/>
        <v>NowakowskaMagdalena</v>
      </c>
      <c r="B226" s="12" t="str">
        <f t="shared" si="10"/>
        <v>0000336184</v>
      </c>
      <c r="C226" s="14">
        <f t="shared" si="11"/>
        <v>6516</v>
      </c>
      <c r="D226" s="14">
        <v>221</v>
      </c>
      <c r="E226" s="12" t="s">
        <v>7589</v>
      </c>
      <c r="F226" s="12" t="s">
        <v>770</v>
      </c>
      <c r="G226" s="14">
        <v>6516</v>
      </c>
      <c r="H226" s="12" t="s">
        <v>569</v>
      </c>
      <c r="I226" s="12" t="s">
        <v>7590</v>
      </c>
      <c r="J226" s="12" t="s">
        <v>7591</v>
      </c>
      <c r="K226" s="15">
        <v>45889</v>
      </c>
      <c r="L226" s="15">
        <v>73050</v>
      </c>
      <c r="M226" s="12" t="s">
        <v>8586</v>
      </c>
      <c r="N226" s="12" t="s">
        <v>8611</v>
      </c>
      <c r="O226" s="12" t="s">
        <v>8606</v>
      </c>
      <c r="P226" s="12" t="s">
        <v>3052</v>
      </c>
    </row>
    <row r="227" spans="1:17" x14ac:dyDescent="0.25">
      <c r="A227" s="12" t="str">
        <f t="shared" si="9"/>
        <v>BakaPrzemyslaw</v>
      </c>
      <c r="B227" s="12" t="str">
        <f t="shared" si="10"/>
        <v>0011066856</v>
      </c>
      <c r="C227" s="14">
        <f t="shared" si="11"/>
        <v>6537</v>
      </c>
      <c r="D227" s="14">
        <v>222</v>
      </c>
      <c r="E227" s="12" t="s">
        <v>6455</v>
      </c>
      <c r="F227" s="12" t="s">
        <v>3717</v>
      </c>
      <c r="G227" s="14">
        <v>6537</v>
      </c>
      <c r="H227" s="12" t="s">
        <v>569</v>
      </c>
      <c r="I227" s="12" t="s">
        <v>7671</v>
      </c>
      <c r="J227" s="12" t="s">
        <v>7672</v>
      </c>
      <c r="K227" s="15">
        <v>45901</v>
      </c>
      <c r="L227" s="15">
        <v>73050</v>
      </c>
      <c r="M227" s="12" t="s">
        <v>8568</v>
      </c>
      <c r="N227" s="12" t="s">
        <v>8591</v>
      </c>
      <c r="O227" s="12" t="s">
        <v>8584</v>
      </c>
      <c r="P227" s="12" t="s">
        <v>1216</v>
      </c>
      <c r="Q227" s="12" t="s">
        <v>8750</v>
      </c>
    </row>
    <row r="228" spans="1:17" x14ac:dyDescent="0.25">
      <c r="A228" s="12" t="str">
        <f t="shared" si="9"/>
        <v>HakJoanna</v>
      </c>
      <c r="B228" s="12" t="str">
        <f t="shared" si="10"/>
        <v>0000375023</v>
      </c>
      <c r="C228" s="14">
        <f t="shared" si="11"/>
        <v>6541</v>
      </c>
      <c r="D228" s="14">
        <v>223</v>
      </c>
      <c r="E228" s="12" t="s">
        <v>7690</v>
      </c>
      <c r="F228" s="12" t="s">
        <v>593</v>
      </c>
      <c r="G228" s="14">
        <v>6541</v>
      </c>
      <c r="H228" s="12" t="s">
        <v>357</v>
      </c>
      <c r="I228" s="12" t="s">
        <v>7691</v>
      </c>
      <c r="J228" s="12" t="s">
        <v>7692</v>
      </c>
      <c r="K228" s="15">
        <v>45904</v>
      </c>
      <c r="L228" s="15">
        <v>73050</v>
      </c>
      <c r="M228" s="12" t="s">
        <v>8568</v>
      </c>
      <c r="N228" s="12" t="s">
        <v>8664</v>
      </c>
      <c r="O228" s="12" t="s">
        <v>8567</v>
      </c>
      <c r="P228" s="12" t="s">
        <v>3052</v>
      </c>
    </row>
    <row r="229" spans="1:17" x14ac:dyDescent="0.25">
      <c r="A229" s="12" t="str">
        <f t="shared" si="9"/>
        <v>GrzywaczKlaudia</v>
      </c>
      <c r="B229" s="12" t="str">
        <f t="shared" si="10"/>
        <v>0000343116</v>
      </c>
      <c r="C229" s="14">
        <f t="shared" si="11"/>
        <v>6543</v>
      </c>
      <c r="D229" s="14">
        <v>224</v>
      </c>
      <c r="E229" s="12" t="s">
        <v>4596</v>
      </c>
      <c r="F229" s="12" t="s">
        <v>3638</v>
      </c>
      <c r="G229" s="14">
        <v>6543</v>
      </c>
      <c r="H229" s="12" t="s">
        <v>357</v>
      </c>
      <c r="I229" s="12" t="s">
        <v>7699</v>
      </c>
      <c r="J229" s="12" t="s">
        <v>7700</v>
      </c>
      <c r="K229" s="15">
        <v>45904</v>
      </c>
      <c r="L229" s="15">
        <v>73050</v>
      </c>
      <c r="M229" s="12" t="s">
        <v>8586</v>
      </c>
      <c r="N229" s="12" t="s">
        <v>8611</v>
      </c>
      <c r="O229" s="12" t="s">
        <v>8567</v>
      </c>
      <c r="P229" s="12" t="s">
        <v>3052</v>
      </c>
    </row>
    <row r="230" spans="1:17" x14ac:dyDescent="0.25">
      <c r="A230" s="12" t="str">
        <f t="shared" si="9"/>
        <v>ZymelkaKrzysztof</v>
      </c>
      <c r="B230" s="12" t="str">
        <f t="shared" si="10"/>
        <v>0001170190</v>
      </c>
      <c r="C230" s="14">
        <f t="shared" si="11"/>
        <v>6558</v>
      </c>
      <c r="D230" s="14">
        <v>226</v>
      </c>
      <c r="E230" s="12" t="s">
        <v>7742</v>
      </c>
      <c r="F230" s="12" t="s">
        <v>3373</v>
      </c>
      <c r="G230" s="14">
        <v>6558</v>
      </c>
      <c r="H230" s="12" t="s">
        <v>357</v>
      </c>
      <c r="I230" s="12" t="s">
        <v>7743</v>
      </c>
      <c r="J230" s="12" t="s">
        <v>7744</v>
      </c>
      <c r="K230" s="15">
        <v>45911</v>
      </c>
      <c r="L230" s="12" t="s">
        <v>8566</v>
      </c>
      <c r="M230" s="12" t="s">
        <v>8586</v>
      </c>
      <c r="N230" s="12" t="s">
        <v>8611</v>
      </c>
      <c r="O230" s="12" t="s">
        <v>8712</v>
      </c>
      <c r="P230" s="12" t="s">
        <v>3052</v>
      </c>
    </row>
    <row r="231" spans="1:17" x14ac:dyDescent="0.25">
      <c r="A231" s="12" t="str">
        <f t="shared" si="9"/>
        <v>MielczarekPatrycjusz</v>
      </c>
      <c r="B231" s="12" t="str">
        <f t="shared" si="10"/>
        <v>0000367854</v>
      </c>
      <c r="C231" s="14">
        <f t="shared" si="11"/>
        <v>6559</v>
      </c>
      <c r="D231" s="14">
        <v>225</v>
      </c>
      <c r="E231" s="12" t="s">
        <v>5714</v>
      </c>
      <c r="F231" s="12" t="s">
        <v>5715</v>
      </c>
      <c r="G231" s="14">
        <v>6559</v>
      </c>
      <c r="H231" s="12" t="s">
        <v>357</v>
      </c>
      <c r="I231" s="12" t="s">
        <v>7729</v>
      </c>
      <c r="J231" s="12" t="s">
        <v>5716</v>
      </c>
      <c r="K231" s="15">
        <v>45911</v>
      </c>
      <c r="L231" s="15">
        <v>73050</v>
      </c>
      <c r="M231" s="12" t="s">
        <v>8586</v>
      </c>
      <c r="N231" s="12" t="s">
        <v>8590</v>
      </c>
      <c r="O231" s="12" t="s">
        <v>8583</v>
      </c>
      <c r="P231" s="12" t="s">
        <v>1216</v>
      </c>
    </row>
    <row r="232" spans="1:17" x14ac:dyDescent="0.25">
      <c r="A232" s="12" t="str">
        <f t="shared" si="9"/>
        <v>DolezychLidia</v>
      </c>
      <c r="B232" s="12" t="str">
        <f t="shared" si="10"/>
        <v>0391211437</v>
      </c>
      <c r="C232" s="14">
        <f t="shared" si="11"/>
        <v>6568</v>
      </c>
      <c r="D232" s="14">
        <v>227</v>
      </c>
      <c r="E232" s="12" t="s">
        <v>7771</v>
      </c>
      <c r="F232" s="12" t="s">
        <v>7772</v>
      </c>
      <c r="G232" s="14">
        <v>6568</v>
      </c>
      <c r="H232" s="12" t="s">
        <v>569</v>
      </c>
      <c r="I232" s="12" t="s">
        <v>7773</v>
      </c>
      <c r="J232" s="12" t="s">
        <v>7774</v>
      </c>
      <c r="K232" s="15">
        <v>45915</v>
      </c>
      <c r="L232" s="12" t="s">
        <v>8566</v>
      </c>
      <c r="M232" s="12" t="s">
        <v>8581</v>
      </c>
      <c r="N232" s="12" t="s">
        <v>8699</v>
      </c>
      <c r="O232" s="12" t="s">
        <v>8598</v>
      </c>
      <c r="P232" s="12" t="s">
        <v>47</v>
      </c>
    </row>
    <row r="233" spans="1:17" x14ac:dyDescent="0.25">
      <c r="A233" s="12" t="str">
        <f t="shared" si="9"/>
        <v>ButurlaBozena</v>
      </c>
      <c r="B233" s="12" t="str">
        <f t="shared" si="10"/>
        <v>0391112974</v>
      </c>
      <c r="C233" s="14">
        <f t="shared" si="11"/>
        <v>6573</v>
      </c>
      <c r="D233" s="14">
        <v>229</v>
      </c>
      <c r="E233" s="12" t="s">
        <v>7806</v>
      </c>
      <c r="F233" s="12" t="s">
        <v>7807</v>
      </c>
      <c r="G233" s="14">
        <v>6573</v>
      </c>
      <c r="H233" s="12" t="s">
        <v>357</v>
      </c>
      <c r="I233" s="12" t="s">
        <v>7808</v>
      </c>
      <c r="J233" s="12" t="s">
        <v>7809</v>
      </c>
      <c r="K233" s="15">
        <v>45922</v>
      </c>
      <c r="L233" s="15">
        <v>73050</v>
      </c>
      <c r="M233" s="12" t="s">
        <v>8571</v>
      </c>
      <c r="N233" s="12" t="s">
        <v>8622</v>
      </c>
      <c r="O233" s="12" t="s">
        <v>8583</v>
      </c>
      <c r="P233" s="12" t="s">
        <v>47</v>
      </c>
      <c r="Q233" s="12" t="s">
        <v>8751</v>
      </c>
    </row>
    <row r="234" spans="1:17" x14ac:dyDescent="0.25">
      <c r="A234" s="12" t="str">
        <f t="shared" si="9"/>
        <v>MarczakJoanna</v>
      </c>
      <c r="B234" s="12" t="str">
        <f t="shared" si="10"/>
        <v>0391211325</v>
      </c>
      <c r="C234" s="14">
        <f t="shared" si="11"/>
        <v>6574</v>
      </c>
      <c r="D234" s="14">
        <v>228</v>
      </c>
      <c r="E234" s="12" t="s">
        <v>343</v>
      </c>
      <c r="F234" s="12" t="s">
        <v>593</v>
      </c>
      <c r="G234" s="14">
        <v>6574</v>
      </c>
      <c r="H234" s="12" t="s">
        <v>357</v>
      </c>
      <c r="I234" s="12" t="s">
        <v>7802</v>
      </c>
      <c r="J234" s="12" t="s">
        <v>7803</v>
      </c>
      <c r="K234" s="15">
        <v>45922</v>
      </c>
      <c r="L234" s="15">
        <v>73050</v>
      </c>
      <c r="M234" s="12" t="s">
        <v>8571</v>
      </c>
      <c r="N234" s="12" t="s">
        <v>8622</v>
      </c>
      <c r="O234" s="12" t="s">
        <v>8583</v>
      </c>
      <c r="P234" s="12" t="s">
        <v>47</v>
      </c>
      <c r="Q234" s="12" t="s">
        <v>8752</v>
      </c>
    </row>
    <row r="235" spans="1:17" x14ac:dyDescent="0.25">
      <c r="A235" s="12" t="str">
        <f t="shared" si="9"/>
        <v>ChciukLukasz</v>
      </c>
      <c r="B235" s="12" t="str">
        <f t="shared" si="10"/>
        <v>000</v>
      </c>
      <c r="C235" s="14">
        <f t="shared" si="11"/>
        <v>6580</v>
      </c>
      <c r="D235" s="14">
        <v>231</v>
      </c>
      <c r="E235" s="12" t="s">
        <v>7825</v>
      </c>
      <c r="F235" s="12" t="s">
        <v>1947</v>
      </c>
      <c r="G235" s="14">
        <v>6580</v>
      </c>
      <c r="H235" s="12" t="s">
        <v>569</v>
      </c>
      <c r="I235" s="12" t="s">
        <v>569</v>
      </c>
      <c r="J235" s="12" t="s">
        <v>7826</v>
      </c>
      <c r="K235" s="15">
        <v>45929</v>
      </c>
      <c r="L235" s="15">
        <v>73050</v>
      </c>
      <c r="M235" s="12" t="s">
        <v>8548</v>
      </c>
      <c r="N235" s="12" t="s">
        <v>8548</v>
      </c>
      <c r="O235" s="12" t="s">
        <v>8584</v>
      </c>
      <c r="P235" s="12" t="s">
        <v>1216</v>
      </c>
      <c r="Q235" s="12" t="s">
        <v>8585</v>
      </c>
    </row>
    <row r="236" spans="1:17" x14ac:dyDescent="0.25">
      <c r="A236" s="12" t="str">
        <f t="shared" si="9"/>
        <v>DerlaczPiotr</v>
      </c>
      <c r="B236" s="12">
        <f t="shared" si="10"/>
        <v>6581</v>
      </c>
      <c r="C236" s="14">
        <f t="shared" si="11"/>
        <v>6581</v>
      </c>
      <c r="D236" s="14">
        <v>230</v>
      </c>
      <c r="E236" s="12" t="s">
        <v>5556</v>
      </c>
      <c r="F236" s="12" t="s">
        <v>1402</v>
      </c>
      <c r="G236" s="14">
        <v>6581</v>
      </c>
      <c r="H236" s="12" t="s">
        <v>569</v>
      </c>
      <c r="I236" s="14">
        <v>6581</v>
      </c>
      <c r="J236" s="12" t="s">
        <v>5557</v>
      </c>
      <c r="K236" s="15">
        <v>45929</v>
      </c>
      <c r="L236" s="12" t="s">
        <v>8566</v>
      </c>
      <c r="M236" s="12" t="s">
        <v>8571</v>
      </c>
      <c r="N236" s="12" t="s">
        <v>8690</v>
      </c>
      <c r="O236" s="12" t="s">
        <v>8580</v>
      </c>
      <c r="P236" s="12" t="s">
        <v>47</v>
      </c>
    </row>
    <row r="237" spans="1:17" x14ac:dyDescent="0.25">
      <c r="A237" s="12" t="str">
        <f t="shared" si="9"/>
        <v>LebokKarolina</v>
      </c>
      <c r="B237" s="12" t="str">
        <f t="shared" si="10"/>
        <v>0000339616</v>
      </c>
      <c r="C237" s="14">
        <f t="shared" si="11"/>
        <v>6584</v>
      </c>
      <c r="D237" s="14">
        <v>233</v>
      </c>
      <c r="E237" s="12" t="s">
        <v>7844</v>
      </c>
      <c r="F237" s="12" t="s">
        <v>568</v>
      </c>
      <c r="G237" s="14">
        <v>6584</v>
      </c>
      <c r="H237" s="12" t="s">
        <v>569</v>
      </c>
      <c r="I237" s="12" t="s">
        <v>7725</v>
      </c>
      <c r="J237" s="12" t="s">
        <v>7845</v>
      </c>
      <c r="K237" s="15">
        <v>45931</v>
      </c>
      <c r="L237" s="15">
        <v>73050</v>
      </c>
      <c r="M237" s="12" t="s">
        <v>8672</v>
      </c>
      <c r="N237" s="12" t="s">
        <v>8673</v>
      </c>
      <c r="O237" s="12" t="s">
        <v>8583</v>
      </c>
      <c r="P237" s="12" t="s">
        <v>2729</v>
      </c>
      <c r="Q237" s="12" t="s">
        <v>8753</v>
      </c>
    </row>
    <row r="238" spans="1:17" x14ac:dyDescent="0.25">
      <c r="A238" s="12" t="str">
        <f t="shared" si="9"/>
        <v>KlonowskiPiotr</v>
      </c>
      <c r="B238" s="12" t="str">
        <f t="shared" si="10"/>
        <v>0006451572</v>
      </c>
      <c r="C238" s="14">
        <f t="shared" si="11"/>
        <v>6587</v>
      </c>
      <c r="D238" s="14">
        <v>232</v>
      </c>
      <c r="E238" s="12" t="s">
        <v>7829</v>
      </c>
      <c r="F238" s="12" t="s">
        <v>1402</v>
      </c>
      <c r="G238" s="14">
        <v>6587</v>
      </c>
      <c r="H238" s="12" t="s">
        <v>569</v>
      </c>
      <c r="I238" s="12" t="s">
        <v>7830</v>
      </c>
      <c r="J238" s="12" t="s">
        <v>7831</v>
      </c>
      <c r="K238" s="15">
        <v>45931</v>
      </c>
      <c r="L238" s="12" t="s">
        <v>8566</v>
      </c>
      <c r="M238" s="12" t="s">
        <v>8623</v>
      </c>
      <c r="N238" s="12" t="s">
        <v>8740</v>
      </c>
      <c r="O238" s="12" t="s">
        <v>8583</v>
      </c>
      <c r="P238" s="12" t="s">
        <v>493</v>
      </c>
      <c r="Q238" s="12" t="s">
        <v>8754</v>
      </c>
    </row>
    <row r="239" spans="1:17" x14ac:dyDescent="0.25">
      <c r="A239" s="12" t="str">
        <f t="shared" si="9"/>
        <v>SzalamachaWojciech</v>
      </c>
      <c r="B239" s="12" t="str">
        <f t="shared" si="10"/>
        <v>0006472071</v>
      </c>
      <c r="C239" s="14">
        <f t="shared" si="11"/>
        <v>6588</v>
      </c>
      <c r="D239" s="14">
        <v>235</v>
      </c>
      <c r="E239" s="12" t="s">
        <v>7853</v>
      </c>
      <c r="F239" s="12" t="s">
        <v>3152</v>
      </c>
      <c r="G239" s="14">
        <v>6588</v>
      </c>
      <c r="H239" s="12" t="s">
        <v>569</v>
      </c>
      <c r="I239" s="12" t="s">
        <v>7858</v>
      </c>
      <c r="J239" s="12" t="s">
        <v>7859</v>
      </c>
      <c r="K239" s="15">
        <v>45931</v>
      </c>
      <c r="L239" s="12" t="s">
        <v>8566</v>
      </c>
      <c r="M239" s="12" t="s">
        <v>8623</v>
      </c>
      <c r="N239" s="12" t="s">
        <v>8720</v>
      </c>
      <c r="O239" s="12" t="s">
        <v>8580</v>
      </c>
      <c r="P239" s="12" t="s">
        <v>3023</v>
      </c>
    </row>
    <row r="240" spans="1:17" x14ac:dyDescent="0.25">
      <c r="A240" s="12" t="str">
        <f t="shared" si="9"/>
        <v>SzalamachaMaciej</v>
      </c>
      <c r="B240" s="12" t="str">
        <f t="shared" si="10"/>
        <v>0006470456</v>
      </c>
      <c r="C240" s="14">
        <f t="shared" si="11"/>
        <v>6589</v>
      </c>
      <c r="D240" s="14">
        <v>234</v>
      </c>
      <c r="E240" s="12" t="s">
        <v>7853</v>
      </c>
      <c r="F240" s="12" t="s">
        <v>2096</v>
      </c>
      <c r="G240" s="14">
        <v>6589</v>
      </c>
      <c r="H240" s="12" t="s">
        <v>569</v>
      </c>
      <c r="I240" s="12" t="s">
        <v>7854</v>
      </c>
      <c r="J240" s="12" t="s">
        <v>7855</v>
      </c>
      <c r="K240" s="15">
        <v>45931</v>
      </c>
      <c r="L240" s="12" t="s">
        <v>8566</v>
      </c>
      <c r="M240" s="12" t="s">
        <v>8623</v>
      </c>
      <c r="N240" s="12" t="s">
        <v>8720</v>
      </c>
      <c r="O240" s="12" t="s">
        <v>8580</v>
      </c>
      <c r="P240" s="12" t="s">
        <v>3023</v>
      </c>
    </row>
    <row r="241" spans="1:17" x14ac:dyDescent="0.25">
      <c r="A241" s="12" t="str">
        <f t="shared" si="9"/>
        <v>JaworskiDariusz</v>
      </c>
      <c r="B241" s="12">
        <f t="shared" si="10"/>
        <v>6590</v>
      </c>
      <c r="C241" s="14">
        <f t="shared" si="11"/>
        <v>6590</v>
      </c>
      <c r="D241" s="14">
        <v>236</v>
      </c>
      <c r="E241" s="12" t="s">
        <v>7862</v>
      </c>
      <c r="F241" s="12" t="s">
        <v>2607</v>
      </c>
      <c r="G241" s="14">
        <v>6590</v>
      </c>
      <c r="H241" s="12" t="s">
        <v>569</v>
      </c>
      <c r="I241" s="14">
        <v>6590</v>
      </c>
      <c r="J241" s="12" t="s">
        <v>7863</v>
      </c>
      <c r="K241" s="15">
        <v>45931</v>
      </c>
      <c r="L241" s="12" t="s">
        <v>8566</v>
      </c>
      <c r="M241" s="12" t="s">
        <v>8623</v>
      </c>
      <c r="N241" s="12" t="s">
        <v>8670</v>
      </c>
      <c r="O241" s="12" t="s">
        <v>8580</v>
      </c>
      <c r="P241" s="12" t="s">
        <v>3023</v>
      </c>
    </row>
    <row r="242" spans="1:17" x14ac:dyDescent="0.25">
      <c r="A242" s="12" t="str">
        <f t="shared" si="9"/>
        <v>LuczkowskiArtur</v>
      </c>
      <c r="B242" s="12" t="str">
        <f t="shared" si="10"/>
        <v>0013406272</v>
      </c>
      <c r="C242" s="14">
        <f t="shared" si="11"/>
        <v>6593</v>
      </c>
      <c r="D242" s="14">
        <v>237</v>
      </c>
      <c r="E242" s="12" t="s">
        <v>7866</v>
      </c>
      <c r="F242" s="12" t="s">
        <v>643</v>
      </c>
      <c r="G242" s="14">
        <v>6593</v>
      </c>
      <c r="H242" s="12" t="s">
        <v>569</v>
      </c>
      <c r="I242" s="12" t="s">
        <v>7494</v>
      </c>
      <c r="J242" s="12" t="s">
        <v>7867</v>
      </c>
      <c r="K242" s="15">
        <v>45936</v>
      </c>
      <c r="L242" s="15">
        <v>73050</v>
      </c>
      <c r="M242" s="12" t="s">
        <v>8586</v>
      </c>
      <c r="N242" s="12" t="s">
        <v>8611</v>
      </c>
      <c r="O242" s="12" t="s">
        <v>8584</v>
      </c>
      <c r="P242" s="12" t="s">
        <v>1216</v>
      </c>
      <c r="Q242" s="12" t="s">
        <v>8755</v>
      </c>
    </row>
    <row r="243" spans="1:17" x14ac:dyDescent="0.25">
      <c r="A243" s="12" t="str">
        <f t="shared" si="9"/>
        <v>PawlakKatarzyna</v>
      </c>
      <c r="B243" s="12" t="str">
        <f t="shared" si="10"/>
        <v>0001184819</v>
      </c>
      <c r="C243" s="14">
        <f t="shared" si="11"/>
        <v>6596</v>
      </c>
      <c r="D243" s="14">
        <v>238</v>
      </c>
      <c r="E243" s="12" t="s">
        <v>1902</v>
      </c>
      <c r="F243" s="12" t="s">
        <v>182</v>
      </c>
      <c r="G243" s="14">
        <v>6596</v>
      </c>
      <c r="H243" s="12" t="s">
        <v>357</v>
      </c>
      <c r="I243" s="12" t="s">
        <v>7878</v>
      </c>
      <c r="J243" s="12" t="s">
        <v>7879</v>
      </c>
      <c r="K243" s="15">
        <v>45936</v>
      </c>
      <c r="L243" s="15">
        <v>73050</v>
      </c>
      <c r="M243" s="12" t="s">
        <v>8568</v>
      </c>
      <c r="N243" s="12" t="s">
        <v>8594</v>
      </c>
      <c r="O243" s="12" t="s">
        <v>8583</v>
      </c>
      <c r="P243" s="12" t="s">
        <v>1216</v>
      </c>
    </row>
    <row r="244" spans="1:17" x14ac:dyDescent="0.25">
      <c r="A244" s="12" t="str">
        <f t="shared" si="9"/>
        <v>SzymanowiczSzymon</v>
      </c>
      <c r="B244" s="12" t="str">
        <f t="shared" si="10"/>
        <v>0012820241</v>
      </c>
      <c r="C244" s="14">
        <f t="shared" si="11"/>
        <v>6599</v>
      </c>
      <c r="D244" s="14">
        <v>240</v>
      </c>
      <c r="E244" s="12" t="s">
        <v>7901</v>
      </c>
      <c r="F244" s="12" t="s">
        <v>3223</v>
      </c>
      <c r="G244" s="14">
        <v>6599</v>
      </c>
      <c r="H244" s="12" t="s">
        <v>569</v>
      </c>
      <c r="I244" s="12" t="s">
        <v>7902</v>
      </c>
      <c r="J244" s="12" t="s">
        <v>7903</v>
      </c>
      <c r="K244" s="15">
        <v>45944</v>
      </c>
      <c r="L244" s="15">
        <v>73050</v>
      </c>
      <c r="O244" s="12" t="s">
        <v>8583</v>
      </c>
      <c r="P244" s="12" t="s">
        <v>3023</v>
      </c>
    </row>
    <row r="245" spans="1:17" x14ac:dyDescent="0.25">
      <c r="A245" s="12" t="str">
        <f t="shared" si="9"/>
        <v>LabiukPawel</v>
      </c>
      <c r="B245" s="12" t="str">
        <f t="shared" si="10"/>
        <v>0012913254</v>
      </c>
      <c r="C245" s="14">
        <f t="shared" si="11"/>
        <v>6603</v>
      </c>
      <c r="D245" s="14">
        <v>241</v>
      </c>
      <c r="E245" s="12" t="s">
        <v>7906</v>
      </c>
      <c r="F245" s="12" t="s">
        <v>2966</v>
      </c>
      <c r="G245" s="14">
        <v>6603</v>
      </c>
      <c r="H245" s="12" t="s">
        <v>569</v>
      </c>
      <c r="I245" s="12" t="s">
        <v>7907</v>
      </c>
      <c r="J245" s="12" t="s">
        <v>7908</v>
      </c>
      <c r="K245" s="15">
        <v>45944</v>
      </c>
      <c r="L245" s="15">
        <v>73050</v>
      </c>
      <c r="O245" s="12" t="s">
        <v>8583</v>
      </c>
      <c r="P245" s="12" t="s">
        <v>3023</v>
      </c>
    </row>
    <row r="246" spans="1:17" x14ac:dyDescent="0.25">
      <c r="A246" s="12" t="str">
        <f t="shared" si="9"/>
        <v>Obodzinska-BlazicekAgnieszka</v>
      </c>
      <c r="B246" s="12" t="str">
        <f t="shared" si="10"/>
        <v>0011694250</v>
      </c>
      <c r="C246" s="14">
        <f t="shared" si="11"/>
        <v>6604</v>
      </c>
      <c r="D246" s="14">
        <v>244</v>
      </c>
      <c r="E246" s="12" t="s">
        <v>7923</v>
      </c>
      <c r="F246" s="12" t="s">
        <v>574</v>
      </c>
      <c r="G246" s="14">
        <v>6604</v>
      </c>
      <c r="H246" s="12" t="s">
        <v>569</v>
      </c>
      <c r="I246" s="12" t="s">
        <v>7924</v>
      </c>
      <c r="J246" s="12" t="s">
        <v>7925</v>
      </c>
      <c r="K246" s="15">
        <v>45945</v>
      </c>
      <c r="L246" s="12" t="s">
        <v>8566</v>
      </c>
      <c r="M246" s="12" t="s">
        <v>8577</v>
      </c>
      <c r="N246" s="12" t="s">
        <v>8756</v>
      </c>
      <c r="O246" s="12" t="s">
        <v>8584</v>
      </c>
      <c r="P246" s="12" t="s">
        <v>62</v>
      </c>
    </row>
    <row r="247" spans="1:17" x14ac:dyDescent="0.25">
      <c r="A247" s="12" t="str">
        <f t="shared" si="9"/>
        <v>JezewskiDawid</v>
      </c>
      <c r="B247" s="12" t="str">
        <f t="shared" si="10"/>
        <v>0008369783</v>
      </c>
      <c r="C247" s="14">
        <f t="shared" si="11"/>
        <v>6605</v>
      </c>
      <c r="D247" s="14">
        <v>242</v>
      </c>
      <c r="E247" s="12" t="s">
        <v>7913</v>
      </c>
      <c r="F247" s="12" t="s">
        <v>3048</v>
      </c>
      <c r="G247" s="14">
        <v>6605</v>
      </c>
      <c r="H247" s="12" t="s">
        <v>569</v>
      </c>
      <c r="I247" s="12" t="s">
        <v>7914</v>
      </c>
      <c r="J247" s="12" t="s">
        <v>7915</v>
      </c>
      <c r="K247" s="15">
        <v>45945</v>
      </c>
      <c r="L247" s="12" t="s">
        <v>8566</v>
      </c>
      <c r="O247" s="12" t="s">
        <v>8583</v>
      </c>
      <c r="P247" s="12" t="s">
        <v>3023</v>
      </c>
      <c r="Q247" s="12" t="s">
        <v>8757</v>
      </c>
    </row>
    <row r="248" spans="1:17" x14ac:dyDescent="0.25">
      <c r="A248" s="12" t="str">
        <f t="shared" si="9"/>
        <v>ChudekRafal</v>
      </c>
      <c r="B248" s="12" t="str">
        <f t="shared" si="10"/>
        <v>0006414168</v>
      </c>
      <c r="C248" s="14">
        <f t="shared" si="11"/>
        <v>6606</v>
      </c>
      <c r="D248" s="14">
        <v>243</v>
      </c>
      <c r="E248" s="12" t="s">
        <v>6175</v>
      </c>
      <c r="F248" s="12" t="s">
        <v>4016</v>
      </c>
      <c r="G248" s="14">
        <v>6606</v>
      </c>
      <c r="H248" s="12" t="s">
        <v>569</v>
      </c>
      <c r="I248" s="12" t="s">
        <v>7919</v>
      </c>
      <c r="J248" s="12" t="s">
        <v>7920</v>
      </c>
      <c r="K248" s="15">
        <v>45945</v>
      </c>
      <c r="L248" s="12" t="s">
        <v>8566</v>
      </c>
      <c r="M248" s="12" t="s">
        <v>8741</v>
      </c>
      <c r="N248" s="12" t="s">
        <v>8758</v>
      </c>
      <c r="O248" s="12" t="s">
        <v>8583</v>
      </c>
      <c r="P248" s="12" t="s">
        <v>3023</v>
      </c>
      <c r="Q248" s="12" t="s">
        <v>8759</v>
      </c>
    </row>
    <row r="249" spans="1:17" x14ac:dyDescent="0.25">
      <c r="A249" s="12" t="str">
        <f t="shared" si="9"/>
        <v>ZajacTomasz</v>
      </c>
      <c r="B249" s="12" t="str">
        <f t="shared" si="10"/>
        <v>0006490788</v>
      </c>
      <c r="C249" s="14">
        <f t="shared" si="11"/>
        <v>6607</v>
      </c>
      <c r="D249" s="14">
        <v>246</v>
      </c>
      <c r="E249" s="12" t="s">
        <v>2327</v>
      </c>
      <c r="F249" s="12" t="s">
        <v>755</v>
      </c>
      <c r="G249" s="14">
        <v>6607</v>
      </c>
      <c r="H249" s="12" t="s">
        <v>569</v>
      </c>
      <c r="I249" s="12" t="s">
        <v>7940</v>
      </c>
      <c r="J249" s="12" t="s">
        <v>6327</v>
      </c>
      <c r="K249" s="15">
        <v>45950</v>
      </c>
      <c r="L249" s="12" t="s">
        <v>8566</v>
      </c>
      <c r="M249" s="12" t="s">
        <v>8575</v>
      </c>
      <c r="N249" s="12" t="s">
        <v>8720</v>
      </c>
      <c r="O249" s="12" t="s">
        <v>8583</v>
      </c>
      <c r="P249" s="12" t="s">
        <v>3023</v>
      </c>
    </row>
    <row r="250" spans="1:17" x14ac:dyDescent="0.25">
      <c r="A250" s="12" t="str">
        <f t="shared" si="9"/>
        <v>NiewrzalMateusz</v>
      </c>
      <c r="B250" s="12" t="str">
        <f t="shared" si="10"/>
        <v>0006458189</v>
      </c>
      <c r="C250" s="14">
        <f t="shared" si="11"/>
        <v>6608</v>
      </c>
      <c r="D250" s="14">
        <v>247</v>
      </c>
      <c r="E250" s="12" t="s">
        <v>7944</v>
      </c>
      <c r="F250" s="12" t="s">
        <v>2613</v>
      </c>
      <c r="G250" s="14">
        <v>6608</v>
      </c>
      <c r="H250" s="12" t="s">
        <v>569</v>
      </c>
      <c r="I250" s="12" t="s">
        <v>7945</v>
      </c>
      <c r="J250" s="12" t="s">
        <v>7946</v>
      </c>
      <c r="K250" s="15">
        <v>45950</v>
      </c>
      <c r="L250" s="12" t="s">
        <v>8566</v>
      </c>
      <c r="M250" s="12" t="s">
        <v>8623</v>
      </c>
      <c r="N250" s="12" t="s">
        <v>8760</v>
      </c>
      <c r="O250" s="12" t="s">
        <v>8583</v>
      </c>
      <c r="P250" s="12" t="s">
        <v>3023</v>
      </c>
    </row>
    <row r="251" spans="1:17" x14ac:dyDescent="0.25">
      <c r="A251" s="12" t="str">
        <f t="shared" si="9"/>
        <v>MojAgata</v>
      </c>
      <c r="B251" s="12" t="str">
        <f t="shared" si="10"/>
        <v>0011678881</v>
      </c>
      <c r="C251" s="14">
        <f t="shared" si="11"/>
        <v>6613</v>
      </c>
      <c r="D251" s="14">
        <v>248</v>
      </c>
      <c r="E251" s="12" t="s">
        <v>5178</v>
      </c>
      <c r="F251" s="12" t="s">
        <v>923</v>
      </c>
      <c r="G251" s="14">
        <v>6613</v>
      </c>
      <c r="H251" s="12" t="s">
        <v>569</v>
      </c>
      <c r="I251" s="12" t="s">
        <v>7952</v>
      </c>
      <c r="J251" s="12" t="s">
        <v>5180</v>
      </c>
      <c r="K251" s="15">
        <v>45954</v>
      </c>
      <c r="L251" s="12" t="s">
        <v>8566</v>
      </c>
      <c r="M251" s="12" t="s">
        <v>8672</v>
      </c>
      <c r="N251" s="12" t="s">
        <v>8701</v>
      </c>
      <c r="O251" s="12" t="s">
        <v>8583</v>
      </c>
      <c r="P251" s="12" t="s">
        <v>62</v>
      </c>
      <c r="Q251" s="12" t="s">
        <v>8761</v>
      </c>
    </row>
    <row r="252" spans="1:17" x14ac:dyDescent="0.25">
      <c r="A252" s="12" t="str">
        <f t="shared" si="9"/>
        <v>BajakaRafal</v>
      </c>
      <c r="B252" s="12" t="str">
        <f t="shared" si="10"/>
        <v>0006408475</v>
      </c>
      <c r="C252" s="14">
        <f t="shared" si="11"/>
        <v>6614</v>
      </c>
      <c r="D252" s="14">
        <v>251</v>
      </c>
      <c r="E252" s="12" t="s">
        <v>7972</v>
      </c>
      <c r="F252" s="12" t="s">
        <v>4016</v>
      </c>
      <c r="G252" s="14">
        <v>6614</v>
      </c>
      <c r="H252" s="12" t="s">
        <v>569</v>
      </c>
      <c r="I252" s="12" t="s">
        <v>7973</v>
      </c>
      <c r="J252" s="12" t="s">
        <v>7974</v>
      </c>
      <c r="K252" s="15">
        <v>45960</v>
      </c>
      <c r="L252" s="12" t="s">
        <v>8566</v>
      </c>
      <c r="M252" s="12" t="s">
        <v>8623</v>
      </c>
      <c r="N252" s="12" t="s">
        <v>8762</v>
      </c>
      <c r="O252" s="12" t="s">
        <v>8580</v>
      </c>
      <c r="P252" s="12" t="s">
        <v>3023</v>
      </c>
      <c r="Q252" s="12" t="s">
        <v>8763</v>
      </c>
    </row>
    <row r="253" spans="1:17" x14ac:dyDescent="0.25">
      <c r="A253" s="12" t="str">
        <f t="shared" si="9"/>
        <v>KurowskiKamil Jan</v>
      </c>
      <c r="B253" s="12" t="str">
        <f t="shared" si="10"/>
        <v>0400329999</v>
      </c>
      <c r="C253" s="14">
        <f t="shared" si="11"/>
        <v>6617</v>
      </c>
      <c r="D253" s="14">
        <v>252</v>
      </c>
      <c r="E253" s="12" t="s">
        <v>7978</v>
      </c>
      <c r="F253" s="12" t="s">
        <v>7979</v>
      </c>
      <c r="G253" s="14">
        <v>6617</v>
      </c>
      <c r="H253" s="12" t="s">
        <v>569</v>
      </c>
      <c r="I253" s="12" t="s">
        <v>7980</v>
      </c>
      <c r="J253" s="12" t="s">
        <v>7981</v>
      </c>
      <c r="K253" s="15">
        <v>45960</v>
      </c>
      <c r="L253" s="12" t="s">
        <v>8566</v>
      </c>
      <c r="M253" s="12" t="s">
        <v>8623</v>
      </c>
      <c r="N253" s="12" t="s">
        <v>8740</v>
      </c>
      <c r="O253" s="12" t="s">
        <v>8583</v>
      </c>
      <c r="P253" s="12" t="s">
        <v>3023</v>
      </c>
    </row>
    <row r="254" spans="1:17" x14ac:dyDescent="0.25">
      <c r="A254" s="12" t="str">
        <f t="shared" si="9"/>
        <v>CieslaDariusz Wojciech</v>
      </c>
      <c r="B254" s="12" t="str">
        <f t="shared" si="10"/>
        <v>0400214702</v>
      </c>
      <c r="C254" s="14">
        <f t="shared" si="11"/>
        <v>6620</v>
      </c>
      <c r="D254" s="14">
        <v>249</v>
      </c>
      <c r="E254" s="12" t="s">
        <v>7960</v>
      </c>
      <c r="F254" s="12" t="s">
        <v>7961</v>
      </c>
      <c r="G254" s="14">
        <v>6620</v>
      </c>
      <c r="H254" s="12" t="s">
        <v>569</v>
      </c>
      <c r="I254" s="12" t="s">
        <v>7962</v>
      </c>
      <c r="J254" s="12" t="s">
        <v>7963</v>
      </c>
      <c r="K254" s="15">
        <v>45960</v>
      </c>
      <c r="L254" s="12" t="s">
        <v>8566</v>
      </c>
      <c r="M254" s="12" t="s">
        <v>8623</v>
      </c>
      <c r="N254" s="12" t="s">
        <v>8670</v>
      </c>
      <c r="O254" s="12" t="s">
        <v>8583</v>
      </c>
      <c r="P254" s="12" t="s">
        <v>3023</v>
      </c>
      <c r="Q254" s="12" t="s">
        <v>8764</v>
      </c>
    </row>
    <row r="255" spans="1:17" x14ac:dyDescent="0.25">
      <c r="A255" s="12" t="str">
        <f t="shared" si="9"/>
        <v>PaszendaAdrian Leszek</v>
      </c>
      <c r="B255" s="12" t="str">
        <f t="shared" si="10"/>
        <v>0006472534</v>
      </c>
      <c r="C255" s="14">
        <f t="shared" si="11"/>
        <v>6621</v>
      </c>
      <c r="D255" s="14">
        <v>250</v>
      </c>
      <c r="E255" s="12" t="s">
        <v>3075</v>
      </c>
      <c r="F255" s="12" t="s">
        <v>7966</v>
      </c>
      <c r="G255" s="14">
        <v>6621</v>
      </c>
      <c r="H255" s="12" t="s">
        <v>569</v>
      </c>
      <c r="I255" s="12" t="s">
        <v>7967</v>
      </c>
      <c r="J255" s="12" t="s">
        <v>7968</v>
      </c>
      <c r="K255" s="15">
        <v>45960</v>
      </c>
      <c r="L255" s="12" t="s">
        <v>8566</v>
      </c>
      <c r="M255" s="12" t="s">
        <v>8575</v>
      </c>
      <c r="N255" s="12" t="s">
        <v>8666</v>
      </c>
      <c r="O255" s="12" t="s">
        <v>8583</v>
      </c>
      <c r="P255" s="12" t="s">
        <v>3023</v>
      </c>
    </row>
    <row r="256" spans="1:17" x14ac:dyDescent="0.25">
      <c r="A256" s="12" t="str">
        <f t="shared" si="9"/>
        <v>WardzalaKasandra</v>
      </c>
      <c r="B256" s="12" t="str">
        <f t="shared" si="10"/>
        <v>0012948486</v>
      </c>
      <c r="C256" s="14">
        <f t="shared" si="11"/>
        <v>6622</v>
      </c>
      <c r="D256" s="14">
        <v>253</v>
      </c>
      <c r="E256" s="12" t="s">
        <v>3785</v>
      </c>
      <c r="F256" s="12" t="s">
        <v>7999</v>
      </c>
      <c r="G256" s="14">
        <v>6622</v>
      </c>
      <c r="H256" s="12" t="s">
        <v>569</v>
      </c>
      <c r="I256" s="12" t="s">
        <v>8000</v>
      </c>
      <c r="J256" s="12" t="s">
        <v>8001</v>
      </c>
      <c r="K256" s="15">
        <v>45965</v>
      </c>
      <c r="L256" s="12" t="s">
        <v>8566</v>
      </c>
      <c r="M256" s="12" t="s">
        <v>8672</v>
      </c>
      <c r="N256" s="12" t="s">
        <v>8673</v>
      </c>
      <c r="O256" s="12" t="s">
        <v>8580</v>
      </c>
      <c r="P256" s="12" t="s">
        <v>62</v>
      </c>
      <c r="Q256" s="12" t="s">
        <v>8765</v>
      </c>
    </row>
    <row r="257" spans="1:17" x14ac:dyDescent="0.25">
      <c r="A257" s="12" t="str">
        <f t="shared" si="9"/>
        <v>ZawadaKrystian</v>
      </c>
      <c r="B257" s="12" t="str">
        <f t="shared" si="10"/>
        <v>0006407166</v>
      </c>
      <c r="C257" s="14">
        <f t="shared" si="11"/>
        <v>6625</v>
      </c>
      <c r="D257" s="14">
        <v>257</v>
      </c>
      <c r="E257" s="12" t="s">
        <v>2657</v>
      </c>
      <c r="F257" s="12" t="s">
        <v>2960</v>
      </c>
      <c r="G257" s="14">
        <v>6625</v>
      </c>
      <c r="H257" s="12" t="s">
        <v>569</v>
      </c>
      <c r="I257" s="12" t="s">
        <v>8042</v>
      </c>
      <c r="J257" s="12" t="s">
        <v>6927</v>
      </c>
      <c r="K257" s="15">
        <v>45973</v>
      </c>
      <c r="L257" s="12" t="s">
        <v>8566</v>
      </c>
      <c r="M257" s="12" t="s">
        <v>8623</v>
      </c>
      <c r="N257" s="12" t="s">
        <v>8731</v>
      </c>
      <c r="O257" s="12" t="s">
        <v>8580</v>
      </c>
      <c r="P257" s="12" t="s">
        <v>493</v>
      </c>
      <c r="Q257" s="12" t="s">
        <v>8766</v>
      </c>
    </row>
    <row r="258" spans="1:17" x14ac:dyDescent="0.25">
      <c r="A258" s="12" t="str">
        <f t="shared" si="9"/>
        <v>ZokDenis</v>
      </c>
      <c r="B258" s="12" t="str">
        <f t="shared" si="10"/>
        <v>0006409517</v>
      </c>
      <c r="C258" s="14">
        <f t="shared" si="11"/>
        <v>6626</v>
      </c>
      <c r="D258" s="14">
        <v>256</v>
      </c>
      <c r="E258" s="12" t="s">
        <v>8032</v>
      </c>
      <c r="F258" s="12" t="s">
        <v>5683</v>
      </c>
      <c r="G258" s="14">
        <v>6626</v>
      </c>
      <c r="H258" s="12" t="s">
        <v>569</v>
      </c>
      <c r="I258" s="12" t="s">
        <v>8033</v>
      </c>
      <c r="J258" s="12" t="s">
        <v>8034</v>
      </c>
      <c r="K258" s="15">
        <v>45971</v>
      </c>
      <c r="L258" s="12" t="s">
        <v>8566</v>
      </c>
      <c r="M258" s="12" t="s">
        <v>8741</v>
      </c>
      <c r="N258" s="12" t="s">
        <v>8767</v>
      </c>
      <c r="O258" s="12" t="s">
        <v>8584</v>
      </c>
      <c r="P258" s="12" t="s">
        <v>493</v>
      </c>
    </row>
    <row r="259" spans="1:17" x14ac:dyDescent="0.25">
      <c r="A259" s="12" t="str">
        <f t="shared" si="9"/>
        <v>ZawartowiczMiroslaw</v>
      </c>
      <c r="B259" s="12" t="str">
        <f t="shared" si="10"/>
        <v>0006436361</v>
      </c>
      <c r="C259" s="14">
        <f t="shared" si="11"/>
        <v>6632</v>
      </c>
      <c r="D259" s="14">
        <v>255</v>
      </c>
      <c r="E259" s="12" t="s">
        <v>8013</v>
      </c>
      <c r="F259" s="12" t="s">
        <v>4461</v>
      </c>
      <c r="G259" s="14">
        <v>6632</v>
      </c>
      <c r="H259" s="12" t="s">
        <v>569</v>
      </c>
      <c r="I259" s="12" t="s">
        <v>8014</v>
      </c>
      <c r="J259" s="12" t="s">
        <v>8015</v>
      </c>
      <c r="K259" s="15">
        <v>45973</v>
      </c>
      <c r="L259" s="12" t="s">
        <v>8566</v>
      </c>
      <c r="M259" s="12" t="s">
        <v>8575</v>
      </c>
      <c r="N259" s="12" t="s">
        <v>8666</v>
      </c>
      <c r="O259" s="12" t="s">
        <v>8583</v>
      </c>
      <c r="P259" s="12" t="s">
        <v>493</v>
      </c>
    </row>
    <row r="260" spans="1:17" x14ac:dyDescent="0.25">
      <c r="A260" s="12" t="str">
        <f t="shared" ref="A260:A294" si="12">E260&amp;F260</f>
        <v>SzukajDariusz</v>
      </c>
      <c r="B260" s="12" t="str">
        <f t="shared" ref="B260:B294" si="13">I260</f>
        <v>0006445716</v>
      </c>
      <c r="C260" s="14">
        <f t="shared" ref="C260:C294" si="14">G260</f>
        <v>6633</v>
      </c>
      <c r="D260" s="14">
        <v>254</v>
      </c>
      <c r="E260" s="12" t="s">
        <v>8008</v>
      </c>
      <c r="F260" s="12" t="s">
        <v>2607</v>
      </c>
      <c r="G260" s="14">
        <v>6633</v>
      </c>
      <c r="H260" s="12" t="s">
        <v>569</v>
      </c>
      <c r="I260" s="12" t="s">
        <v>8009</v>
      </c>
      <c r="J260" s="12" t="s">
        <v>8010</v>
      </c>
      <c r="K260" s="15">
        <v>45971</v>
      </c>
      <c r="L260" s="12" t="s">
        <v>8566</v>
      </c>
      <c r="M260" s="12" t="s">
        <v>8623</v>
      </c>
      <c r="N260" s="12" t="s">
        <v>8762</v>
      </c>
      <c r="O260" s="12" t="s">
        <v>8580</v>
      </c>
      <c r="P260" s="12" t="s">
        <v>493</v>
      </c>
      <c r="Q260" s="12" t="s">
        <v>8768</v>
      </c>
    </row>
    <row r="261" spans="1:17" x14ac:dyDescent="0.25">
      <c r="A261" s="12" t="str">
        <f t="shared" si="12"/>
        <v>MularskiMichael</v>
      </c>
      <c r="B261" s="12">
        <f t="shared" si="13"/>
        <v>6634</v>
      </c>
      <c r="C261" s="14">
        <f t="shared" si="14"/>
        <v>6634</v>
      </c>
      <c r="D261" s="14">
        <v>260</v>
      </c>
      <c r="E261" s="12" t="s">
        <v>8054</v>
      </c>
      <c r="F261" s="12" t="s">
        <v>8055</v>
      </c>
      <c r="G261" s="14">
        <v>6634</v>
      </c>
      <c r="H261" s="12" t="s">
        <v>569</v>
      </c>
      <c r="I261" s="14">
        <v>6634</v>
      </c>
      <c r="J261" s="12" t="s">
        <v>8056</v>
      </c>
      <c r="K261" s="15">
        <v>45979</v>
      </c>
      <c r="L261" s="12" t="s">
        <v>8566</v>
      </c>
      <c r="M261" s="12" t="s">
        <v>8581</v>
      </c>
      <c r="N261" s="12" t="s">
        <v>8582</v>
      </c>
      <c r="O261" s="12" t="s">
        <v>8584</v>
      </c>
      <c r="P261" s="12" t="s">
        <v>47</v>
      </c>
    </row>
    <row r="262" spans="1:17" x14ac:dyDescent="0.25">
      <c r="A262" s="12" t="str">
        <f t="shared" si="12"/>
        <v>KucharskiIreneusz</v>
      </c>
      <c r="B262" s="12">
        <f t="shared" si="13"/>
        <v>6638</v>
      </c>
      <c r="C262" s="14">
        <f t="shared" si="14"/>
        <v>6638</v>
      </c>
      <c r="D262" s="14">
        <v>261</v>
      </c>
      <c r="E262" s="12" t="s">
        <v>3875</v>
      </c>
      <c r="F262" s="12" t="s">
        <v>4305</v>
      </c>
      <c r="G262" s="14">
        <v>6638</v>
      </c>
      <c r="H262" s="12" t="s">
        <v>569</v>
      </c>
      <c r="I262" s="14">
        <v>6638</v>
      </c>
      <c r="J262" s="12" t="s">
        <v>8066</v>
      </c>
      <c r="K262" s="15">
        <v>45979</v>
      </c>
      <c r="L262" s="12" t="s">
        <v>8566</v>
      </c>
      <c r="M262" s="12" t="s">
        <v>8571</v>
      </c>
      <c r="N262" s="12" t="s">
        <v>8633</v>
      </c>
      <c r="O262" s="12" t="s">
        <v>8580</v>
      </c>
      <c r="P262" s="12" t="s">
        <v>47</v>
      </c>
    </row>
    <row r="263" spans="1:17" x14ac:dyDescent="0.25">
      <c r="A263" s="12" t="str">
        <f t="shared" si="12"/>
        <v>BierskiWieslaw</v>
      </c>
      <c r="B263" s="12" t="str">
        <f t="shared" si="13"/>
        <v>0006413421</v>
      </c>
      <c r="C263" s="14">
        <f t="shared" si="14"/>
        <v>6639</v>
      </c>
      <c r="D263" s="14">
        <v>262</v>
      </c>
      <c r="E263" s="12" t="s">
        <v>8069</v>
      </c>
      <c r="F263" s="12" t="s">
        <v>8070</v>
      </c>
      <c r="G263" s="14">
        <v>6639</v>
      </c>
      <c r="H263" s="12" t="s">
        <v>569</v>
      </c>
      <c r="I263" s="12" t="s">
        <v>8071</v>
      </c>
      <c r="J263" s="12" t="s">
        <v>8072</v>
      </c>
      <c r="K263" s="15">
        <v>45979</v>
      </c>
      <c r="L263" s="12" t="s">
        <v>8566</v>
      </c>
      <c r="M263" s="12" t="s">
        <v>8623</v>
      </c>
      <c r="N263" s="12" t="s">
        <v>8731</v>
      </c>
      <c r="O263" s="12" t="s">
        <v>8583</v>
      </c>
      <c r="P263" s="12" t="s">
        <v>3023</v>
      </c>
      <c r="Q263" s="12" t="s">
        <v>8769</v>
      </c>
    </row>
    <row r="264" spans="1:17" x14ac:dyDescent="0.25">
      <c r="A264" s="12" t="str">
        <f t="shared" si="12"/>
        <v>KuskaLukasz</v>
      </c>
      <c r="B264" s="12" t="str">
        <f t="shared" si="13"/>
        <v>0006412548</v>
      </c>
      <c r="C264" s="14">
        <f t="shared" si="14"/>
        <v>6640</v>
      </c>
      <c r="D264" s="14">
        <v>264</v>
      </c>
      <c r="E264" s="12" t="s">
        <v>8082</v>
      </c>
      <c r="F264" s="12" t="s">
        <v>1947</v>
      </c>
      <c r="G264" s="14">
        <v>6640</v>
      </c>
      <c r="H264" s="12" t="s">
        <v>569</v>
      </c>
      <c r="I264" s="12" t="s">
        <v>8083</v>
      </c>
      <c r="J264" s="12" t="s">
        <v>8084</v>
      </c>
      <c r="K264" s="15">
        <v>45979</v>
      </c>
      <c r="L264" s="12" t="s">
        <v>8566</v>
      </c>
      <c r="M264" s="12" t="s">
        <v>8575</v>
      </c>
      <c r="N264" s="12" t="s">
        <v>8770</v>
      </c>
      <c r="O264" s="12" t="s">
        <v>8583</v>
      </c>
      <c r="P264" s="12" t="s">
        <v>3023</v>
      </c>
    </row>
    <row r="265" spans="1:17" x14ac:dyDescent="0.25">
      <c r="A265" s="12" t="str">
        <f t="shared" si="12"/>
        <v>NiewiarowskiLucjan</v>
      </c>
      <c r="B265" s="12">
        <f t="shared" si="13"/>
        <v>6641</v>
      </c>
      <c r="C265" s="14">
        <f t="shared" si="14"/>
        <v>6641</v>
      </c>
      <c r="D265" s="14">
        <v>259</v>
      </c>
      <c r="E265" s="12" t="s">
        <v>8050</v>
      </c>
      <c r="F265" s="12" t="s">
        <v>8051</v>
      </c>
      <c r="G265" s="14">
        <v>6641</v>
      </c>
      <c r="H265" s="12" t="s">
        <v>569</v>
      </c>
      <c r="I265" s="14">
        <v>6641</v>
      </c>
      <c r="J265" s="12" t="s">
        <v>8052</v>
      </c>
      <c r="K265" s="15">
        <v>45979</v>
      </c>
      <c r="L265" s="12" t="s">
        <v>8566</v>
      </c>
      <c r="M265" s="12" t="s">
        <v>8581</v>
      </c>
      <c r="N265" s="12" t="s">
        <v>8699</v>
      </c>
      <c r="O265" s="12" t="s">
        <v>8583</v>
      </c>
      <c r="P265" s="12" t="s">
        <v>2381</v>
      </c>
    </row>
    <row r="266" spans="1:17" x14ac:dyDescent="0.25">
      <c r="A266" s="12" t="str">
        <f t="shared" si="12"/>
        <v>PlaczekMichal</v>
      </c>
      <c r="B266" s="12">
        <f t="shared" si="13"/>
        <v>6642</v>
      </c>
      <c r="C266" s="14">
        <f t="shared" si="14"/>
        <v>6642</v>
      </c>
      <c r="D266" s="14">
        <v>258</v>
      </c>
      <c r="E266" s="12" t="s">
        <v>6590</v>
      </c>
      <c r="F266" s="12" t="s">
        <v>671</v>
      </c>
      <c r="G266" s="14">
        <v>6642</v>
      </c>
      <c r="H266" s="12" t="s">
        <v>569</v>
      </c>
      <c r="I266" s="14">
        <v>6642</v>
      </c>
      <c r="J266" s="12" t="s">
        <v>6591</v>
      </c>
      <c r="K266" s="15">
        <v>45979</v>
      </c>
      <c r="L266" s="12" t="s">
        <v>8566</v>
      </c>
      <c r="M266" s="12" t="s">
        <v>8581</v>
      </c>
      <c r="N266" s="12" t="s">
        <v>8699</v>
      </c>
      <c r="O266" s="12" t="s">
        <v>8583</v>
      </c>
      <c r="P266" s="12" t="s">
        <v>2381</v>
      </c>
    </row>
    <row r="267" spans="1:17" x14ac:dyDescent="0.25">
      <c r="A267" s="12" t="str">
        <f t="shared" si="12"/>
        <v>TarkaKacper</v>
      </c>
      <c r="B267" s="12" t="str">
        <f t="shared" si="13"/>
        <v>0006426523</v>
      </c>
      <c r="C267" s="14">
        <f t="shared" si="14"/>
        <v>6644</v>
      </c>
      <c r="D267" s="14">
        <v>265</v>
      </c>
      <c r="E267" s="12" t="s">
        <v>8093</v>
      </c>
      <c r="F267" s="12" t="s">
        <v>3432</v>
      </c>
      <c r="G267" s="14">
        <v>6644</v>
      </c>
      <c r="H267" s="12" t="s">
        <v>569</v>
      </c>
      <c r="I267" s="12" t="s">
        <v>8094</v>
      </c>
      <c r="J267" s="12" t="s">
        <v>8095</v>
      </c>
      <c r="K267" s="15">
        <v>45979</v>
      </c>
      <c r="L267" s="12" t="s">
        <v>8566</v>
      </c>
      <c r="M267" s="12" t="s">
        <v>8623</v>
      </c>
      <c r="N267" s="12" t="s">
        <v>8720</v>
      </c>
      <c r="O267" s="12" t="s">
        <v>8583</v>
      </c>
      <c r="P267" s="12" t="s">
        <v>493</v>
      </c>
    </row>
    <row r="268" spans="1:17" x14ac:dyDescent="0.25">
      <c r="A268" s="12" t="str">
        <f t="shared" si="12"/>
        <v>WichniarekLeszek</v>
      </c>
      <c r="B268" s="12" t="str">
        <f t="shared" si="13"/>
        <v>0006465280</v>
      </c>
      <c r="C268" s="14">
        <f t="shared" si="14"/>
        <v>6646</v>
      </c>
      <c r="D268" s="14">
        <v>263</v>
      </c>
      <c r="E268" s="12" t="s">
        <v>8076</v>
      </c>
      <c r="F268" s="12" t="s">
        <v>2807</v>
      </c>
      <c r="G268" s="14">
        <v>6646</v>
      </c>
      <c r="H268" s="12" t="s">
        <v>569</v>
      </c>
      <c r="I268" s="12" t="s">
        <v>8077</v>
      </c>
      <c r="J268" s="12" t="s">
        <v>8078</v>
      </c>
      <c r="K268" s="15">
        <v>45979</v>
      </c>
      <c r="L268" s="12" t="s">
        <v>8566</v>
      </c>
      <c r="M268" s="12" t="s">
        <v>8623</v>
      </c>
      <c r="N268" s="12" t="s">
        <v>8720</v>
      </c>
      <c r="O268" s="12" t="s">
        <v>8583</v>
      </c>
      <c r="P268" s="12" t="s">
        <v>493</v>
      </c>
      <c r="Q268" s="12" t="s">
        <v>8771</v>
      </c>
    </row>
    <row r="269" spans="1:17" x14ac:dyDescent="0.25">
      <c r="A269" s="12" t="str">
        <f t="shared" si="12"/>
        <v>SzoltysKatarzyna Anna</v>
      </c>
      <c r="B269" s="12">
        <f t="shared" si="13"/>
        <v>6649</v>
      </c>
      <c r="C269" s="14">
        <f t="shared" si="14"/>
        <v>6649</v>
      </c>
      <c r="D269" s="14">
        <v>267</v>
      </c>
      <c r="E269" s="12" t="s">
        <v>8104</v>
      </c>
      <c r="F269" s="12" t="s">
        <v>8105</v>
      </c>
      <c r="G269" s="14">
        <v>6649</v>
      </c>
      <c r="H269" s="12" t="s">
        <v>569</v>
      </c>
      <c r="I269" s="14">
        <v>6649</v>
      </c>
      <c r="J269" s="12" t="s">
        <v>8106</v>
      </c>
      <c r="K269" s="15">
        <v>45985</v>
      </c>
      <c r="L269" s="12" t="s">
        <v>8566</v>
      </c>
      <c r="M269" s="12" t="s">
        <v>8581</v>
      </c>
      <c r="N269" s="12" t="s">
        <v>8582</v>
      </c>
      <c r="O269" s="12" t="s">
        <v>8583</v>
      </c>
      <c r="P269" s="12" t="s">
        <v>47</v>
      </c>
      <c r="Q269" s="12" t="s">
        <v>8772</v>
      </c>
    </row>
    <row r="270" spans="1:17" x14ac:dyDescent="0.25">
      <c r="A270" s="12" t="str">
        <f t="shared" si="12"/>
        <v>UrbasJerzy</v>
      </c>
      <c r="B270" s="12">
        <f t="shared" si="13"/>
        <v>6650</v>
      </c>
      <c r="C270" s="14">
        <f t="shared" si="14"/>
        <v>6650</v>
      </c>
      <c r="D270" s="14">
        <v>268</v>
      </c>
      <c r="E270" s="12" t="s">
        <v>523</v>
      </c>
      <c r="F270" s="12" t="s">
        <v>5966</v>
      </c>
      <c r="G270" s="14">
        <v>6650</v>
      </c>
      <c r="H270" s="12" t="s">
        <v>569</v>
      </c>
      <c r="I270" s="14">
        <v>6650</v>
      </c>
      <c r="J270" s="12" t="s">
        <v>8112</v>
      </c>
      <c r="K270" s="15">
        <v>45985</v>
      </c>
      <c r="L270" s="12" t="s">
        <v>8566</v>
      </c>
      <c r="M270" s="12" t="s">
        <v>8623</v>
      </c>
      <c r="N270" s="12" t="s">
        <v>8676</v>
      </c>
      <c r="O270" s="12" t="s">
        <v>8583</v>
      </c>
      <c r="P270" s="12" t="s">
        <v>493</v>
      </c>
      <c r="Q270" s="12" t="s">
        <v>8773</v>
      </c>
    </row>
    <row r="271" spans="1:17" x14ac:dyDescent="0.25">
      <c r="A271" s="12" t="str">
        <f t="shared" si="12"/>
        <v>LuczkowskiDawid</v>
      </c>
      <c r="B271" s="12">
        <f t="shared" si="13"/>
        <v>6651</v>
      </c>
      <c r="C271" s="14">
        <f t="shared" si="14"/>
        <v>6651</v>
      </c>
      <c r="D271" s="14">
        <v>270</v>
      </c>
      <c r="E271" s="12" t="s">
        <v>7866</v>
      </c>
      <c r="F271" s="12" t="s">
        <v>3048</v>
      </c>
      <c r="G271" s="14">
        <v>6651</v>
      </c>
      <c r="H271" s="12" t="s">
        <v>357</v>
      </c>
      <c r="I271" s="14">
        <v>6651</v>
      </c>
      <c r="J271" s="12" t="s">
        <v>8128</v>
      </c>
      <c r="K271" s="15">
        <v>45985</v>
      </c>
      <c r="L271" s="12" t="s">
        <v>8566</v>
      </c>
      <c r="M271" s="12" t="s">
        <v>8623</v>
      </c>
      <c r="N271" s="12" t="s">
        <v>8624</v>
      </c>
      <c r="O271" s="12" t="s">
        <v>8583</v>
      </c>
      <c r="P271" s="12" t="s">
        <v>493</v>
      </c>
      <c r="Q271" s="12" t="s">
        <v>8774</v>
      </c>
    </row>
    <row r="272" spans="1:17" x14ac:dyDescent="0.25">
      <c r="A272" s="12" t="str">
        <f t="shared" si="12"/>
        <v>KubicaPiotr</v>
      </c>
      <c r="B272" s="12">
        <f t="shared" si="13"/>
        <v>6653</v>
      </c>
      <c r="C272" s="14">
        <f t="shared" si="14"/>
        <v>6653</v>
      </c>
      <c r="D272" s="14">
        <v>269</v>
      </c>
      <c r="E272" s="12" t="s">
        <v>8116</v>
      </c>
      <c r="F272" s="12" t="s">
        <v>1402</v>
      </c>
      <c r="G272" s="14">
        <v>6653</v>
      </c>
      <c r="H272" s="12" t="s">
        <v>357</v>
      </c>
      <c r="I272" s="14">
        <v>6653</v>
      </c>
      <c r="J272" s="12" t="s">
        <v>8117</v>
      </c>
      <c r="K272" s="15">
        <v>45985</v>
      </c>
      <c r="L272" s="12" t="s">
        <v>8566</v>
      </c>
      <c r="M272" s="12" t="s">
        <v>8575</v>
      </c>
      <c r="N272" s="12" t="s">
        <v>8576</v>
      </c>
      <c r="O272" s="12" t="s">
        <v>8583</v>
      </c>
      <c r="P272" s="12" t="s">
        <v>493</v>
      </c>
      <c r="Q272" s="12" t="s">
        <v>8775</v>
      </c>
    </row>
    <row r="273" spans="1:17" x14ac:dyDescent="0.25">
      <c r="A273" s="12" t="str">
        <f t="shared" si="12"/>
        <v>KubeckiKrzysztof</v>
      </c>
      <c r="B273" s="12">
        <f t="shared" si="13"/>
        <v>6656</v>
      </c>
      <c r="C273" s="14">
        <f t="shared" si="14"/>
        <v>6656</v>
      </c>
      <c r="D273" s="14">
        <v>272</v>
      </c>
      <c r="E273" s="12" t="s">
        <v>3633</v>
      </c>
      <c r="F273" s="12" t="s">
        <v>3373</v>
      </c>
      <c r="G273" s="14">
        <v>6656</v>
      </c>
      <c r="H273" s="12" t="s">
        <v>357</v>
      </c>
      <c r="I273" s="14">
        <v>6656</v>
      </c>
      <c r="J273" s="12" t="s">
        <v>3634</v>
      </c>
      <c r="K273" s="15">
        <v>45987</v>
      </c>
      <c r="L273" s="12" t="s">
        <v>8566</v>
      </c>
      <c r="M273" s="12" t="s">
        <v>8568</v>
      </c>
      <c r="N273" s="12" t="s">
        <v>8642</v>
      </c>
      <c r="O273" s="12" t="s">
        <v>8567</v>
      </c>
      <c r="P273" s="12" t="s">
        <v>3052</v>
      </c>
    </row>
    <row r="274" spans="1:17" x14ac:dyDescent="0.25">
      <c r="A274" s="12" t="str">
        <f t="shared" si="12"/>
        <v>WeinreichPiotr</v>
      </c>
      <c r="B274" s="12">
        <f t="shared" si="13"/>
        <v>6658</v>
      </c>
      <c r="C274" s="14">
        <f t="shared" si="14"/>
        <v>6658</v>
      </c>
      <c r="D274" s="14">
        <v>271</v>
      </c>
      <c r="E274" s="12" t="s">
        <v>2619</v>
      </c>
      <c r="F274" s="12" t="s">
        <v>1402</v>
      </c>
      <c r="G274" s="14">
        <v>6658</v>
      </c>
      <c r="H274" s="12" t="s">
        <v>357</v>
      </c>
      <c r="I274" s="14">
        <v>6658</v>
      </c>
      <c r="J274" s="12" t="s">
        <v>8136</v>
      </c>
      <c r="K274" s="15">
        <v>45987</v>
      </c>
      <c r="L274" s="12" t="s">
        <v>8566</v>
      </c>
      <c r="M274" s="12" t="s">
        <v>8586</v>
      </c>
      <c r="N274" s="12" t="s">
        <v>8628</v>
      </c>
      <c r="O274" s="12" t="s">
        <v>8712</v>
      </c>
      <c r="P274" s="12" t="s">
        <v>3052</v>
      </c>
    </row>
    <row r="275" spans="1:17" x14ac:dyDescent="0.25">
      <c r="A275" s="12" t="str">
        <f t="shared" si="12"/>
        <v>PaduchAndrzej</v>
      </c>
      <c r="B275" s="12">
        <f t="shared" si="13"/>
        <v>6660</v>
      </c>
      <c r="C275" s="14">
        <f t="shared" si="14"/>
        <v>6660</v>
      </c>
      <c r="D275" s="14">
        <v>274</v>
      </c>
      <c r="E275" s="12" t="s">
        <v>6121</v>
      </c>
      <c r="F275" s="12" t="s">
        <v>761</v>
      </c>
      <c r="G275" s="14">
        <v>6660</v>
      </c>
      <c r="H275" s="12" t="s">
        <v>357</v>
      </c>
      <c r="I275" s="14">
        <v>6660</v>
      </c>
      <c r="J275" s="12" t="s">
        <v>6122</v>
      </c>
      <c r="K275" s="15">
        <v>45988</v>
      </c>
      <c r="L275" s="12" t="s">
        <v>8566</v>
      </c>
      <c r="M275" s="12" t="s">
        <v>8571</v>
      </c>
      <c r="N275" s="12" t="s">
        <v>8615</v>
      </c>
      <c r="O275" s="12" t="s">
        <v>8583</v>
      </c>
      <c r="P275" s="12" t="s">
        <v>5988</v>
      </c>
      <c r="Q275" s="12" t="s">
        <v>8776</v>
      </c>
    </row>
    <row r="276" spans="1:17" x14ac:dyDescent="0.25">
      <c r="A276" s="12" t="str">
        <f t="shared" si="12"/>
        <v>PustelnikDamian</v>
      </c>
      <c r="B276" s="12">
        <f t="shared" si="13"/>
        <v>6661</v>
      </c>
      <c r="C276" s="14">
        <f t="shared" si="14"/>
        <v>6661</v>
      </c>
      <c r="D276" s="14">
        <v>273</v>
      </c>
      <c r="E276" s="12" t="s">
        <v>1994</v>
      </c>
      <c r="F276" s="12" t="s">
        <v>2156</v>
      </c>
      <c r="G276" s="14">
        <v>6661</v>
      </c>
      <c r="H276" s="12" t="s">
        <v>569</v>
      </c>
      <c r="I276" s="14">
        <v>6661</v>
      </c>
      <c r="J276" s="12" t="s">
        <v>8145</v>
      </c>
      <c r="K276" s="15">
        <v>45988</v>
      </c>
      <c r="L276" s="12" t="s">
        <v>8566</v>
      </c>
      <c r="M276" s="12" t="s">
        <v>8571</v>
      </c>
      <c r="N276" s="12" t="s">
        <v>8619</v>
      </c>
      <c r="O276" s="12" t="s">
        <v>8583</v>
      </c>
      <c r="P276" s="12" t="s">
        <v>5988</v>
      </c>
      <c r="Q276" s="12" t="s">
        <v>8777</v>
      </c>
    </row>
    <row r="277" spans="1:17" x14ac:dyDescent="0.25">
      <c r="A277" s="12" t="str">
        <f t="shared" si="12"/>
        <v>BrudnyBeata</v>
      </c>
      <c r="B277" s="12">
        <f t="shared" si="13"/>
        <v>6662</v>
      </c>
      <c r="C277" s="14">
        <f t="shared" si="14"/>
        <v>6662</v>
      </c>
      <c r="D277" s="14">
        <v>275</v>
      </c>
      <c r="E277" s="12" t="s">
        <v>8155</v>
      </c>
      <c r="F277" s="12" t="s">
        <v>633</v>
      </c>
      <c r="G277" s="14">
        <v>6662</v>
      </c>
      <c r="H277" s="12" t="s">
        <v>357</v>
      </c>
      <c r="I277" s="14">
        <v>6662</v>
      </c>
      <c r="J277" s="12" t="s">
        <v>8156</v>
      </c>
      <c r="K277" s="15">
        <v>45988</v>
      </c>
      <c r="L277" s="12" t="s">
        <v>8566</v>
      </c>
      <c r="M277" s="12" t="s">
        <v>8571</v>
      </c>
      <c r="N277" s="12" t="s">
        <v>8619</v>
      </c>
      <c r="O277" s="12" t="s">
        <v>8583</v>
      </c>
      <c r="P277" s="12" t="s">
        <v>5988</v>
      </c>
    </row>
    <row r="278" spans="1:17" x14ac:dyDescent="0.25">
      <c r="A278" s="12" t="str">
        <f t="shared" si="12"/>
        <v>PlutaSzymon</v>
      </c>
      <c r="B278" s="12">
        <f t="shared" si="13"/>
        <v>6663</v>
      </c>
      <c r="C278" s="14">
        <f t="shared" si="14"/>
        <v>6663</v>
      </c>
      <c r="D278" s="14">
        <v>276</v>
      </c>
      <c r="E278" s="12" t="s">
        <v>5256</v>
      </c>
      <c r="F278" s="12" t="s">
        <v>3223</v>
      </c>
      <c r="G278" s="14">
        <v>6663</v>
      </c>
      <c r="H278" s="12" t="s">
        <v>569</v>
      </c>
      <c r="I278" s="14">
        <v>6663</v>
      </c>
      <c r="J278" s="12" t="s">
        <v>5257</v>
      </c>
      <c r="K278" s="15">
        <v>45988</v>
      </c>
      <c r="L278" s="12" t="s">
        <v>8566</v>
      </c>
      <c r="M278" s="12" t="s">
        <v>8581</v>
      </c>
      <c r="N278" s="12" t="s">
        <v>8644</v>
      </c>
      <c r="O278" s="12" t="s">
        <v>8583</v>
      </c>
      <c r="P278" s="12" t="s">
        <v>5988</v>
      </c>
      <c r="Q278" s="12" t="s">
        <v>8778</v>
      </c>
    </row>
    <row r="279" spans="1:17" x14ac:dyDescent="0.25">
      <c r="A279" s="12" t="str">
        <f t="shared" si="12"/>
        <v>KuzmaKarina</v>
      </c>
      <c r="B279" s="12">
        <f t="shared" si="13"/>
        <v>6664</v>
      </c>
      <c r="C279" s="14">
        <f t="shared" si="14"/>
        <v>6664</v>
      </c>
      <c r="D279" s="14">
        <v>277</v>
      </c>
      <c r="E279" s="12" t="s">
        <v>8161</v>
      </c>
      <c r="F279" s="12" t="s">
        <v>683</v>
      </c>
      <c r="G279" s="14">
        <v>6664</v>
      </c>
      <c r="H279" s="12" t="s">
        <v>357</v>
      </c>
      <c r="I279" s="14">
        <v>6664</v>
      </c>
      <c r="J279" s="12" t="s">
        <v>8162</v>
      </c>
      <c r="K279" s="15">
        <v>45988</v>
      </c>
      <c r="L279" s="12" t="s">
        <v>8566</v>
      </c>
      <c r="M279" s="12" t="s">
        <v>8571</v>
      </c>
      <c r="N279" s="12" t="s">
        <v>8779</v>
      </c>
      <c r="O279" s="12" t="s">
        <v>8583</v>
      </c>
      <c r="P279" s="12" t="s">
        <v>5988</v>
      </c>
    </row>
    <row r="280" spans="1:17" x14ac:dyDescent="0.25">
      <c r="A280" s="12" t="str">
        <f t="shared" si="12"/>
        <v>DlugoszMateusz</v>
      </c>
      <c r="B280" s="12">
        <f t="shared" si="13"/>
        <v>6665</v>
      </c>
      <c r="C280" s="14">
        <f t="shared" si="14"/>
        <v>6665</v>
      </c>
      <c r="D280" s="14">
        <v>279</v>
      </c>
      <c r="E280" s="12" t="s">
        <v>6957</v>
      </c>
      <c r="F280" s="12" t="s">
        <v>2613</v>
      </c>
      <c r="G280" s="14">
        <v>6665</v>
      </c>
      <c r="H280" s="12" t="s">
        <v>569</v>
      </c>
      <c r="I280" s="14">
        <v>6665</v>
      </c>
      <c r="J280" s="12" t="s">
        <v>8175</v>
      </c>
      <c r="K280" s="15">
        <v>45992</v>
      </c>
      <c r="L280" s="12" t="s">
        <v>8566</v>
      </c>
      <c r="M280" s="12" t="s">
        <v>8581</v>
      </c>
      <c r="N280" s="12" t="s">
        <v>8699</v>
      </c>
      <c r="O280" s="12" t="s">
        <v>8583</v>
      </c>
      <c r="P280" s="12" t="s">
        <v>47</v>
      </c>
      <c r="Q280" s="12" t="s">
        <v>8780</v>
      </c>
    </row>
    <row r="281" spans="1:17" x14ac:dyDescent="0.25">
      <c r="A281" s="12" t="str">
        <f t="shared" si="12"/>
        <v>MojMartyna</v>
      </c>
      <c r="B281" s="12">
        <f t="shared" si="13"/>
        <v>6666</v>
      </c>
      <c r="C281" s="14">
        <f t="shared" si="14"/>
        <v>6666</v>
      </c>
      <c r="D281" s="14">
        <v>278</v>
      </c>
      <c r="E281" s="12" t="s">
        <v>5178</v>
      </c>
      <c r="F281" s="12" t="s">
        <v>7760</v>
      </c>
      <c r="G281" s="14">
        <v>6666</v>
      </c>
      <c r="H281" s="12" t="s">
        <v>569</v>
      </c>
      <c r="I281" s="14">
        <v>6666</v>
      </c>
      <c r="J281" s="12" t="s">
        <v>8172</v>
      </c>
      <c r="K281" s="15">
        <v>45992</v>
      </c>
      <c r="L281" s="12" t="s">
        <v>8566</v>
      </c>
      <c r="M281" s="12" t="s">
        <v>8571</v>
      </c>
      <c r="N281" s="12" t="s">
        <v>8690</v>
      </c>
      <c r="O281" s="12" t="s">
        <v>8598</v>
      </c>
      <c r="P281" s="12" t="s">
        <v>47</v>
      </c>
      <c r="Q281" s="12" t="s">
        <v>8781</v>
      </c>
    </row>
    <row r="282" spans="1:17" x14ac:dyDescent="0.25">
      <c r="A282" s="12" t="str">
        <f t="shared" si="12"/>
        <v>BernatAnastazja</v>
      </c>
      <c r="B282" s="12">
        <f t="shared" si="13"/>
        <v>6668</v>
      </c>
      <c r="C282" s="14">
        <f t="shared" si="14"/>
        <v>6668</v>
      </c>
      <c r="D282" s="14">
        <v>281</v>
      </c>
      <c r="E282" s="12" t="s">
        <v>8183</v>
      </c>
      <c r="F282" s="12" t="s">
        <v>5991</v>
      </c>
      <c r="G282" s="14">
        <v>6668</v>
      </c>
      <c r="H282" s="12" t="s">
        <v>569</v>
      </c>
      <c r="I282" s="14">
        <v>6668</v>
      </c>
      <c r="J282" s="12" t="s">
        <v>8184</v>
      </c>
      <c r="K282" s="15">
        <v>45992</v>
      </c>
      <c r="L282" s="12" t="s">
        <v>8566</v>
      </c>
      <c r="M282" s="12" t="s">
        <v>8571</v>
      </c>
      <c r="N282" s="12" t="s">
        <v>8622</v>
      </c>
      <c r="O282" s="12" t="s">
        <v>8583</v>
      </c>
      <c r="P282" s="12" t="s">
        <v>47</v>
      </c>
    </row>
    <row r="283" spans="1:17" x14ac:dyDescent="0.25">
      <c r="A283" s="12" t="str">
        <f t="shared" si="12"/>
        <v>OrzechMaciej</v>
      </c>
      <c r="B283" s="12">
        <f t="shared" si="13"/>
        <v>6671</v>
      </c>
      <c r="C283" s="14">
        <f t="shared" si="14"/>
        <v>6671</v>
      </c>
      <c r="D283" s="14">
        <v>280</v>
      </c>
      <c r="E283" s="12" t="s">
        <v>8179</v>
      </c>
      <c r="F283" s="12" t="s">
        <v>2096</v>
      </c>
      <c r="G283" s="14">
        <v>6671</v>
      </c>
      <c r="H283" s="12" t="s">
        <v>357</v>
      </c>
      <c r="I283" s="14">
        <v>6671</v>
      </c>
      <c r="J283" s="12" t="s">
        <v>8180</v>
      </c>
      <c r="K283" s="15">
        <v>45993</v>
      </c>
      <c r="L283" s="12" t="s">
        <v>8566</v>
      </c>
      <c r="M283" s="12" t="s">
        <v>8548</v>
      </c>
      <c r="N283" s="12" t="s">
        <v>8548</v>
      </c>
      <c r="O283" s="12" t="s">
        <v>8583</v>
      </c>
      <c r="P283" s="12" t="s">
        <v>1216</v>
      </c>
    </row>
    <row r="284" spans="1:17" x14ac:dyDescent="0.25">
      <c r="A284" s="12" t="str">
        <f t="shared" si="12"/>
        <v>LazarKamil</v>
      </c>
      <c r="B284" s="12">
        <f t="shared" si="13"/>
        <v>6672</v>
      </c>
      <c r="C284" s="14">
        <f t="shared" si="14"/>
        <v>6672</v>
      </c>
      <c r="D284" s="14">
        <v>282</v>
      </c>
      <c r="E284" s="12" t="s">
        <v>8190</v>
      </c>
      <c r="F284" s="12" t="s">
        <v>1509</v>
      </c>
      <c r="G284" s="14">
        <v>6672</v>
      </c>
      <c r="H284" s="12" t="s">
        <v>569</v>
      </c>
      <c r="I284" s="14">
        <v>6672</v>
      </c>
      <c r="J284" s="12" t="s">
        <v>8191</v>
      </c>
      <c r="K284" s="15">
        <v>45992</v>
      </c>
      <c r="L284" s="12" t="s">
        <v>8566</v>
      </c>
      <c r="M284" s="12" t="s">
        <v>8623</v>
      </c>
      <c r="N284" s="12" t="s">
        <v>8655</v>
      </c>
      <c r="O284" s="12" t="s">
        <v>8583</v>
      </c>
      <c r="P284" s="12" t="s">
        <v>493</v>
      </c>
    </row>
    <row r="285" spans="1:17" x14ac:dyDescent="0.25">
      <c r="A285" s="12" t="str">
        <f t="shared" si="12"/>
        <v>BresMichal</v>
      </c>
      <c r="B285" s="12">
        <f t="shared" si="13"/>
        <v>6673</v>
      </c>
      <c r="C285" s="14">
        <f t="shared" si="14"/>
        <v>6673</v>
      </c>
      <c r="D285" s="14">
        <v>283</v>
      </c>
      <c r="E285" s="12" t="s">
        <v>8197</v>
      </c>
      <c r="F285" s="12" t="s">
        <v>671</v>
      </c>
      <c r="G285" s="14">
        <v>6673</v>
      </c>
      <c r="H285" s="12" t="s">
        <v>569</v>
      </c>
      <c r="I285" s="14">
        <v>6673</v>
      </c>
      <c r="J285" s="12" t="s">
        <v>8198</v>
      </c>
      <c r="K285" s="15">
        <v>45992</v>
      </c>
      <c r="L285" s="12" t="s">
        <v>8566</v>
      </c>
      <c r="M285" s="12" t="s">
        <v>8623</v>
      </c>
      <c r="N285" s="12" t="s">
        <v>8720</v>
      </c>
      <c r="O285" s="12" t="s">
        <v>8583</v>
      </c>
      <c r="P285" s="12" t="s">
        <v>493</v>
      </c>
    </row>
    <row r="286" spans="1:17" x14ac:dyDescent="0.25">
      <c r="A286" s="12" t="str">
        <f t="shared" si="12"/>
        <v>BieniaMarek Ryszard</v>
      </c>
      <c r="B286" s="12">
        <f t="shared" si="13"/>
        <v>6676</v>
      </c>
      <c r="C286" s="14">
        <f t="shared" si="14"/>
        <v>6676</v>
      </c>
      <c r="D286" s="14">
        <v>285</v>
      </c>
      <c r="E286" s="12" t="s">
        <v>8204</v>
      </c>
      <c r="F286" s="12" t="s">
        <v>8205</v>
      </c>
      <c r="G286" s="14">
        <v>6676</v>
      </c>
      <c r="H286" s="12" t="s">
        <v>357</v>
      </c>
      <c r="I286" s="14">
        <v>6676</v>
      </c>
      <c r="J286" s="12" t="s">
        <v>8206</v>
      </c>
      <c r="K286" s="15">
        <v>46000</v>
      </c>
      <c r="L286" s="12" t="s">
        <v>8566</v>
      </c>
      <c r="M286" s="12" t="s">
        <v>8586</v>
      </c>
      <c r="N286" s="12" t="s">
        <v>8648</v>
      </c>
      <c r="O286" s="12" t="s">
        <v>8584</v>
      </c>
      <c r="P286" s="12" t="s">
        <v>1216</v>
      </c>
    </row>
    <row r="287" spans="1:17" x14ac:dyDescent="0.25">
      <c r="A287" s="12" t="str">
        <f t="shared" si="12"/>
        <v>LaszekBogdan Krzysztof</v>
      </c>
      <c r="B287" s="12">
        <f t="shared" si="13"/>
        <v>6677</v>
      </c>
      <c r="C287" s="14">
        <f t="shared" si="14"/>
        <v>6677</v>
      </c>
      <c r="D287" s="14">
        <v>286</v>
      </c>
      <c r="E287" s="12" t="s">
        <v>8209</v>
      </c>
      <c r="F287" s="12" t="s">
        <v>8210</v>
      </c>
      <c r="G287" s="14">
        <v>6677</v>
      </c>
      <c r="H287" s="12" t="s">
        <v>357</v>
      </c>
      <c r="I287" s="14">
        <v>6677</v>
      </c>
      <c r="J287" s="12" t="s">
        <v>8211</v>
      </c>
      <c r="K287" s="15">
        <v>45999</v>
      </c>
      <c r="L287" s="12" t="s">
        <v>8566</v>
      </c>
      <c r="M287" s="12" t="s">
        <v>8581</v>
      </c>
      <c r="N287" s="12" t="s">
        <v>8582</v>
      </c>
      <c r="O287" s="12" t="s">
        <v>8583</v>
      </c>
      <c r="P287" s="12" t="s">
        <v>47</v>
      </c>
    </row>
    <row r="288" spans="1:17" x14ac:dyDescent="0.25">
      <c r="A288" s="12" t="str">
        <f t="shared" si="12"/>
        <v>PiekarArtur Rafal</v>
      </c>
      <c r="B288" s="12">
        <f t="shared" si="13"/>
        <v>6678</v>
      </c>
      <c r="C288" s="14">
        <f t="shared" si="14"/>
        <v>6678</v>
      </c>
      <c r="D288" s="14">
        <v>287</v>
      </c>
      <c r="E288" s="12" t="s">
        <v>5946</v>
      </c>
      <c r="F288" s="12" t="s">
        <v>8214</v>
      </c>
      <c r="G288" s="14">
        <v>6678</v>
      </c>
      <c r="H288" s="12" t="s">
        <v>569</v>
      </c>
      <c r="I288" s="14">
        <v>6678</v>
      </c>
      <c r="J288" s="12" t="s">
        <v>5947</v>
      </c>
      <c r="K288" s="15">
        <v>45999</v>
      </c>
      <c r="L288" s="12" t="s">
        <v>8566</v>
      </c>
      <c r="M288" s="12" t="s">
        <v>8581</v>
      </c>
      <c r="N288" s="12" t="s">
        <v>8644</v>
      </c>
      <c r="O288" s="12" t="s">
        <v>8583</v>
      </c>
      <c r="P288" s="12" t="s">
        <v>47</v>
      </c>
    </row>
    <row r="289" spans="1:17" x14ac:dyDescent="0.25">
      <c r="A289" s="12" t="str">
        <f t="shared" si="12"/>
        <v>CebulaJanusz</v>
      </c>
      <c r="B289" s="12">
        <f t="shared" si="13"/>
        <v>6681</v>
      </c>
      <c r="C289" s="14">
        <f t="shared" si="14"/>
        <v>6681</v>
      </c>
      <c r="D289" s="14">
        <v>288</v>
      </c>
      <c r="E289" s="12" t="s">
        <v>8225</v>
      </c>
      <c r="F289" s="12" t="s">
        <v>2131</v>
      </c>
      <c r="G289" s="14">
        <v>6681</v>
      </c>
      <c r="H289" s="14">
        <v>0</v>
      </c>
      <c r="I289" s="14">
        <v>6681</v>
      </c>
      <c r="J289" s="12" t="s">
        <v>8226</v>
      </c>
      <c r="K289" s="15">
        <v>46002</v>
      </c>
      <c r="L289" s="12" t="s">
        <v>8566</v>
      </c>
      <c r="M289" s="12" t="s">
        <v>8581</v>
      </c>
      <c r="N289" s="12" t="s">
        <v>8699</v>
      </c>
      <c r="O289" s="12" t="s">
        <v>8583</v>
      </c>
      <c r="P289" s="12" t="s">
        <v>5988</v>
      </c>
      <c r="Q289" s="12" t="s">
        <v>8782</v>
      </c>
    </row>
    <row r="290" spans="1:17" x14ac:dyDescent="0.25">
      <c r="A290" s="12" t="str">
        <f t="shared" si="12"/>
        <v>WojtczakDaniel Szymon</v>
      </c>
      <c r="B290" s="12">
        <f t="shared" si="13"/>
        <v>6682</v>
      </c>
      <c r="C290" s="14">
        <f t="shared" si="14"/>
        <v>6682</v>
      </c>
      <c r="D290" s="14">
        <v>289</v>
      </c>
      <c r="E290" s="12" t="s">
        <v>8229</v>
      </c>
      <c r="F290" s="12" t="s">
        <v>8230</v>
      </c>
      <c r="G290" s="14">
        <v>6682</v>
      </c>
      <c r="H290" s="12" t="s">
        <v>357</v>
      </c>
      <c r="I290" s="14">
        <v>6682</v>
      </c>
      <c r="J290" s="12" t="s">
        <v>8231</v>
      </c>
      <c r="K290" s="15">
        <v>46002</v>
      </c>
      <c r="L290" s="12" t="s">
        <v>8566</v>
      </c>
      <c r="M290" s="12" t="s">
        <v>8581</v>
      </c>
      <c r="N290" s="12" t="s">
        <v>8699</v>
      </c>
      <c r="O290" s="12" t="s">
        <v>8583</v>
      </c>
      <c r="P290" s="12" t="s">
        <v>5988</v>
      </c>
      <c r="Q290" s="12" t="s">
        <v>8783</v>
      </c>
    </row>
    <row r="291" spans="1:17" x14ac:dyDescent="0.25">
      <c r="A291" s="12" t="str">
        <f t="shared" si="12"/>
        <v>KąsekMagdalena</v>
      </c>
      <c r="B291" s="12">
        <f t="shared" si="13"/>
        <v>6685</v>
      </c>
      <c r="C291" s="14">
        <f t="shared" si="14"/>
        <v>6685</v>
      </c>
      <c r="D291" s="14">
        <v>291</v>
      </c>
      <c r="E291" s="12" t="s">
        <v>8242</v>
      </c>
      <c r="F291" s="12" t="s">
        <v>770</v>
      </c>
      <c r="G291" s="14">
        <v>6685</v>
      </c>
      <c r="H291" s="12" t="s">
        <v>357</v>
      </c>
      <c r="I291" s="14">
        <v>6685</v>
      </c>
      <c r="J291" s="12" t="s">
        <v>8243</v>
      </c>
      <c r="K291" s="15">
        <v>46003</v>
      </c>
      <c r="L291" s="12" t="s">
        <v>8566</v>
      </c>
      <c r="M291" s="12" t="s">
        <v>8586</v>
      </c>
      <c r="N291" s="12" t="s">
        <v>8626</v>
      </c>
      <c r="O291" s="12" t="s">
        <v>8584</v>
      </c>
      <c r="P291" s="12" t="s">
        <v>1216</v>
      </c>
      <c r="Q291" s="12" t="s">
        <v>8784</v>
      </c>
    </row>
    <row r="292" spans="1:17" x14ac:dyDescent="0.25">
      <c r="A292" s="12" t="str">
        <f t="shared" si="12"/>
        <v>OrdzinskaEwa</v>
      </c>
      <c r="B292" s="12" t="str">
        <f t="shared" si="13"/>
        <v>0000353488</v>
      </c>
      <c r="C292" s="14">
        <f t="shared" si="14"/>
        <v>7989</v>
      </c>
      <c r="D292" s="14">
        <v>71</v>
      </c>
      <c r="E292" s="12" t="s">
        <v>1858</v>
      </c>
      <c r="F292" s="12" t="s">
        <v>737</v>
      </c>
      <c r="G292" s="14">
        <v>7989</v>
      </c>
      <c r="H292" s="12" t="s">
        <v>1394</v>
      </c>
      <c r="I292" s="12" t="s">
        <v>1859</v>
      </c>
      <c r="J292" s="12" t="s">
        <v>1860</v>
      </c>
      <c r="K292" s="15">
        <v>45145</v>
      </c>
      <c r="L292" s="15">
        <v>73050</v>
      </c>
      <c r="M292" s="12" t="s">
        <v>8568</v>
      </c>
      <c r="N292" s="12" t="s">
        <v>8596</v>
      </c>
      <c r="O292" s="12" t="s">
        <v>8584</v>
      </c>
      <c r="P292" s="12" t="s">
        <v>1216</v>
      </c>
      <c r="Q292" s="12" t="s">
        <v>8785</v>
      </c>
    </row>
    <row r="293" spans="1:17" x14ac:dyDescent="0.25">
      <c r="A293" s="12" t="str">
        <f t="shared" si="12"/>
        <v>SlupikAnna</v>
      </c>
      <c r="B293" s="12" t="str">
        <f t="shared" si="13"/>
        <v>0001353621</v>
      </c>
      <c r="C293" s="14">
        <f t="shared" si="14"/>
        <v>9812</v>
      </c>
      <c r="D293" s="14">
        <v>83</v>
      </c>
      <c r="E293" s="12" t="s">
        <v>2119</v>
      </c>
      <c r="F293" s="12" t="s">
        <v>2120</v>
      </c>
      <c r="G293" s="14">
        <v>9812</v>
      </c>
      <c r="H293" s="12" t="s">
        <v>1394</v>
      </c>
      <c r="I293" s="12" t="s">
        <v>2121</v>
      </c>
      <c r="J293" s="12" t="s">
        <v>2122</v>
      </c>
      <c r="K293" s="15">
        <v>44964</v>
      </c>
      <c r="L293" s="15">
        <v>73050</v>
      </c>
      <c r="M293" s="12" t="s">
        <v>8568</v>
      </c>
      <c r="N293" s="12" t="s">
        <v>8664</v>
      </c>
      <c r="O293" s="12" t="s">
        <v>8584</v>
      </c>
      <c r="P293" s="12" t="s">
        <v>1216</v>
      </c>
      <c r="Q293" s="12" t="s">
        <v>8659</v>
      </c>
    </row>
    <row r="294" spans="1:17" x14ac:dyDescent="0.25">
      <c r="A294" s="12" t="str">
        <f t="shared" si="12"/>
        <v>Janik-RurarzIzabela</v>
      </c>
      <c r="B294" s="12" t="str">
        <f t="shared" si="13"/>
        <v>0001192974</v>
      </c>
      <c r="C294" s="14" t="str">
        <f t="shared" si="14"/>
        <v>00</v>
      </c>
      <c r="D294" s="14">
        <v>219</v>
      </c>
      <c r="E294" s="12" t="s">
        <v>7569</v>
      </c>
      <c r="F294" s="12" t="s">
        <v>5282</v>
      </c>
      <c r="G294" s="12" t="s">
        <v>357</v>
      </c>
      <c r="H294" s="12" t="s">
        <v>357</v>
      </c>
      <c r="I294" s="12" t="s">
        <v>7570</v>
      </c>
      <c r="J294" s="12" t="s">
        <v>7571</v>
      </c>
      <c r="K294" s="15">
        <v>45887</v>
      </c>
      <c r="L294" s="12" t="s">
        <v>8566</v>
      </c>
      <c r="M294" s="12" t="s">
        <v>8571</v>
      </c>
      <c r="N294" s="12" t="s">
        <v>8622</v>
      </c>
      <c r="O294" s="12" t="s">
        <v>8580</v>
      </c>
      <c r="P294" s="12" t="s">
        <v>47</v>
      </c>
    </row>
  </sheetData>
  <autoFilter ref="D2:R294" xr:uid="{00000000-0001-0000-0000-000000000000}">
    <sortState xmlns:xlrd2="http://schemas.microsoft.com/office/spreadsheetml/2017/richdata2" ref="D3:R294">
      <sortCondition ref="G2:G294"/>
    </sortState>
  </autoFilter>
  <mergeCells count="1">
    <mergeCell ref="D1:R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zamestnanci</vt:lpstr>
      <vt:lpstr>zastavky</vt:lpstr>
      <vt:lpstr>15,12-AKTIV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phpMyAdmin 5.2.3</dc:creator>
  <cp:lastModifiedBy>Aleš Kadlec</cp:lastModifiedBy>
  <dcterms:created xsi:type="dcterms:W3CDTF">2025-12-15T08:56:26Z</dcterms:created>
  <dcterms:modified xsi:type="dcterms:W3CDTF">2025-12-17T13:15:48Z</dcterms:modified>
</cp:coreProperties>
</file>