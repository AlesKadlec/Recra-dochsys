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05.4\intranet\recra\data\"/>
    </mc:Choice>
  </mc:AlternateContent>
  <xr:revisionPtr revIDLastSave="0" documentId="13_ncr:1_{A503FDD2-3656-47A6-80EB-8475960B1BED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personal_" sheetId="1" r:id="rId1"/>
  </sheets>
  <definedNames>
    <definedName name="_xlnm.Database">personal_!$A$1:$H$6</definedName>
  </definedNames>
  <calcPr calcId="191029"/>
</workbook>
</file>

<file path=xl/calcChain.xml><?xml version="1.0" encoding="utf-8"?>
<calcChain xmlns="http://schemas.openxmlformats.org/spreadsheetml/2006/main">
  <c r="L3" i="1" l="1"/>
  <c r="L4" i="1"/>
  <c r="L5" i="1"/>
  <c r="L6" i="1"/>
  <c r="L2" i="1"/>
</calcChain>
</file>

<file path=xl/sharedStrings.xml><?xml version="1.0" encoding="utf-8"?>
<sst xmlns="http://schemas.openxmlformats.org/spreadsheetml/2006/main" count="48" uniqueCount="48">
  <si>
    <t>Berešová</t>
  </si>
  <si>
    <t>Jana</t>
  </si>
  <si>
    <t>739 089 447</t>
  </si>
  <si>
    <t>Jana Čapka</t>
  </si>
  <si>
    <t>3082</t>
  </si>
  <si>
    <t>Frýdek-Místek, Frýdek</t>
  </si>
  <si>
    <t>738 01</t>
  </si>
  <si>
    <t>Fuglewicz</t>
  </si>
  <si>
    <t>Marek</t>
  </si>
  <si>
    <t>778 502 080</t>
  </si>
  <si>
    <t>Tř. Osvobození</t>
  </si>
  <si>
    <t>1561/40</t>
  </si>
  <si>
    <t>Karviná - Nové Město</t>
  </si>
  <si>
    <t>735 06</t>
  </si>
  <si>
    <t>Peterková</t>
  </si>
  <si>
    <t>Dagmar</t>
  </si>
  <si>
    <t>+420 725 538 081</t>
  </si>
  <si>
    <t>Lipová</t>
  </si>
  <si>
    <t>329</t>
  </si>
  <si>
    <t>Orlová - Poruba</t>
  </si>
  <si>
    <t>73514</t>
  </si>
  <si>
    <t>Pokuta</t>
  </si>
  <si>
    <t>Miroslav</t>
  </si>
  <si>
    <t>Dělnická</t>
  </si>
  <si>
    <t>515/45</t>
  </si>
  <si>
    <t>Havířov - Prostřední Suchá</t>
  </si>
  <si>
    <t>735 64</t>
  </si>
  <si>
    <t>Ramachandran</t>
  </si>
  <si>
    <t>Vimalraj</t>
  </si>
  <si>
    <t>+420 777 544 964</t>
  </si>
  <si>
    <t>Kamandiyamman Kovil Street</t>
  </si>
  <si>
    <t>50</t>
  </si>
  <si>
    <t>Tamil Nadu</t>
  </si>
  <si>
    <t>621803</t>
  </si>
  <si>
    <t>Příjmení</t>
  </si>
  <si>
    <t>Jméno</t>
  </si>
  <si>
    <t>Číslo</t>
  </si>
  <si>
    <t>Telefon</t>
  </si>
  <si>
    <t>Ulice</t>
  </si>
  <si>
    <t>číslo popisné</t>
  </si>
  <si>
    <t>Město</t>
  </si>
  <si>
    <t>PSČ</t>
  </si>
  <si>
    <t>RDIF</t>
  </si>
  <si>
    <t>0013122639</t>
  </si>
  <si>
    <t>0013390473</t>
  </si>
  <si>
    <t>0013363035</t>
  </si>
  <si>
    <t>0012020053</t>
  </si>
  <si>
    <t>0013358486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</si>
</sst>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8"/>
      <color theme="3"/>
      <name val="Calibri Light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57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  <font>
      <sz val="8"/>
      <color theme="1"/>
      <name val="Calibri"/>
      <family val="2"/>
      <charset val="238"/>
      <scheme val="minor"/>
    </font>
    <font>
      <sz val="8"/>
      <color indexed="9"/>
      <name val="Calibri"/>
      <family val="2"/>
      <charset val="238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23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49" fontId="18" fillId="0" borderId="0" xfId="0" applyNumberFormat="1" applyFont="1"/>
    <xf numFmtId="1" fontId="18" fillId="0" borderId="0" xfId="0" applyNumberFormat="1" applyFont="1" applyAlignment="1">
      <alignment horizontal="center"/>
    </xf>
    <xf numFmtId="49" fontId="18" fillId="0" borderId="0" xfId="0" applyNumberFormat="1" applyFont="1" applyAlignment="1">
      <alignment horizontal="center"/>
    </xf>
    <xf numFmtId="49" fontId="19" fillId="33" borderId="10" xfId="0" quotePrefix="1" applyNumberFormat="1" applyFont="1" applyFill="1" applyBorder="1" applyAlignment="1">
      <alignment horizontal="center"/>
    </xf>
    <xf numFmtId="49" fontId="19" fillId="33" borderId="10" xfId="0" applyNumberFormat="1" applyFont="1" applyFill="1" applyBorder="1" applyAlignment="1">
      <alignment horizontal="center"/>
    </xf>
    <xf numFmtId="49" fontId="18" fillId="0" borderId="10" xfId="0" applyNumberFormat="1" applyFont="1" applyBorder="1"/>
    <xf numFmtId="1" fontId="18" fillId="0" borderId="10" xfId="0" applyNumberFormat="1" applyFont="1" applyBorder="1" applyAlignment="1">
      <alignment horizontal="center"/>
    </xf>
    <xf numFmtId="49" fontId="18" fillId="0" borderId="10" xfId="0" applyNumberFormat="1" applyFont="1" applyBorder="1" applyAlignment="1">
      <alignment horizontal="center"/>
    </xf>
    <xf numFmtId="49" fontId="0" fillId="0" borderId="10" xfId="0" applyNumberFormat="1" applyBorder="1"/>
  </cellXfs>
  <cellStyles count="42">
    <cellStyle name="20 % – Zvýraznění 1" xfId="19" builtinId="30" customBuiltin="1"/>
    <cellStyle name="20 % – Zvýraznění 2" xfId="23" builtinId="34" customBuiltin="1"/>
    <cellStyle name="20 % – Zvýraznění 3" xfId="27" builtinId="38" customBuiltin="1"/>
    <cellStyle name="20 % – Zvýraznění 4" xfId="31" builtinId="42" customBuiltin="1"/>
    <cellStyle name="20 % – Zvýraznění 5" xfId="35" builtinId="46" customBuiltin="1"/>
    <cellStyle name="20 % – Zvýraznění 6" xfId="39" builtinId="50" customBuiltin="1"/>
    <cellStyle name="40 % – Zvýraznění 1" xfId="20" builtinId="31" customBuiltin="1"/>
    <cellStyle name="40 % – Zvýraznění 2" xfId="24" builtinId="35" customBuiltin="1"/>
    <cellStyle name="40 % – Zvýraznění 3" xfId="28" builtinId="39" customBuiltin="1"/>
    <cellStyle name="40 % – Zvýraznění 4" xfId="32" builtinId="43" customBuiltin="1"/>
    <cellStyle name="40 % – Zvýraznění 5" xfId="36" builtinId="47" customBuiltin="1"/>
    <cellStyle name="40 % – Zvýraznění 6" xfId="40" builtinId="51" customBuiltin="1"/>
    <cellStyle name="60 % – Zvýraznění 1" xfId="21" builtinId="32" customBuiltin="1"/>
    <cellStyle name="60 % – Zvýraznění 2" xfId="25" builtinId="36" customBuiltin="1"/>
    <cellStyle name="60 % – Zvýraznění 3" xfId="29" builtinId="40" customBuiltin="1"/>
    <cellStyle name="60 % – Zvýraznění 4" xfId="33" builtinId="44" customBuiltin="1"/>
    <cellStyle name="60 % – Zvýraznění 5" xfId="37" builtinId="48" customBuiltin="1"/>
    <cellStyle name="60 % – Zvýraznění 6" xfId="41" builtinId="52" customBuiltin="1"/>
    <cellStyle name="Celkem" xfId="17" builtinId="25" customBuiltin="1"/>
    <cellStyle name="Kontrolní buňka" xfId="13" builtinId="23" customBuiltin="1"/>
    <cellStyle name="Nadpis 1" xfId="2" builtinId="16" customBuiltin="1"/>
    <cellStyle name="Nadpis 2" xfId="3" builtinId="17" customBuiltin="1"/>
    <cellStyle name="Nadpis 3" xfId="4" builtinId="18" customBuiltin="1"/>
    <cellStyle name="Nadpis 4" xfId="5" builtinId="19" customBuiltin="1"/>
    <cellStyle name="Název" xfId="1" builtinId="15" customBuiltin="1"/>
    <cellStyle name="Neutrální" xfId="8" builtinId="28" customBuiltin="1"/>
    <cellStyle name="Normální" xfId="0" builtinId="0"/>
    <cellStyle name="Poznámka" xfId="15" builtinId="10" customBuiltin="1"/>
    <cellStyle name="Propojená buňka" xfId="12" builtinId="24" customBuiltin="1"/>
    <cellStyle name="Správně" xfId="6" builtinId="26" customBuiltin="1"/>
    <cellStyle name="Špatně" xfId="7" builtinId="27" customBuiltin="1"/>
    <cellStyle name="Text upozornění" xfId="14" builtinId="11" customBuiltin="1"/>
    <cellStyle name="Vstup" xfId="9" builtinId="20" customBuiltin="1"/>
    <cellStyle name="Výpočet" xfId="11" builtinId="22" customBuiltin="1"/>
    <cellStyle name="Výstup" xfId="10" builtinId="21" customBuiltin="1"/>
    <cellStyle name="Vysvětlující text" xfId="16" builtinId="53" customBuiltin="1"/>
    <cellStyle name="Zvýraznění 1" xfId="18" builtinId="29" customBuiltin="1"/>
    <cellStyle name="Zvýraznění 2" xfId="22" builtinId="33" customBuiltin="1"/>
    <cellStyle name="Zvýraznění 3" xfId="26" builtinId="37" customBuiltin="1"/>
    <cellStyle name="Zvýraznění 4" xfId="30" builtinId="41" customBuiltin="1"/>
    <cellStyle name="Zvýraznění 5" xfId="34" builtinId="45" customBuiltin="1"/>
    <cellStyle name="Zvýraznění 6" xfId="38" builtinId="4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"/>
  <sheetViews>
    <sheetView showZeros="0" tabSelected="1" topLeftCell="H1" workbookViewId="0">
      <selection activeCell="L2" sqref="L2:L6"/>
    </sheetView>
  </sheetViews>
  <sheetFormatPr defaultRowHeight="15" x14ac:dyDescent="0.25"/>
  <cols>
    <col min="1" max="1" width="13.140625" style="1" customWidth="1"/>
    <col min="2" max="2" width="9.42578125" style="1" customWidth="1"/>
    <col min="3" max="3" width="8.85546875" style="2" customWidth="1"/>
    <col min="4" max="4" width="15.5703125" style="1" customWidth="1"/>
    <col min="5" max="5" width="22" style="1" customWidth="1"/>
    <col min="6" max="6" width="9.7109375" style="3" customWidth="1"/>
    <col min="7" max="7" width="19.42578125" style="1" customWidth="1"/>
    <col min="8" max="8" width="9.7109375" style="3" customWidth="1"/>
    <col min="9" max="9" width="22.7109375" customWidth="1"/>
  </cols>
  <sheetData>
    <row r="1" spans="1:12" x14ac:dyDescent="0.25">
      <c r="A1" s="4" t="s">
        <v>34</v>
      </c>
      <c r="B1" s="4" t="s">
        <v>35</v>
      </c>
      <c r="C1" s="4" t="s">
        <v>36</v>
      </c>
      <c r="D1" s="4" t="s">
        <v>37</v>
      </c>
      <c r="E1" s="4" t="s">
        <v>38</v>
      </c>
      <c r="F1" s="4" t="s">
        <v>39</v>
      </c>
      <c r="G1" s="4" t="s">
        <v>40</v>
      </c>
      <c r="H1" s="4" t="s">
        <v>41</v>
      </c>
      <c r="I1" s="5" t="s">
        <v>42</v>
      </c>
    </row>
    <row r="2" spans="1:12" x14ac:dyDescent="0.25">
      <c r="A2" s="6" t="s">
        <v>0</v>
      </c>
      <c r="B2" s="6" t="s">
        <v>1</v>
      </c>
      <c r="C2" s="7">
        <v>4931</v>
      </c>
      <c r="D2" s="6" t="s">
        <v>2</v>
      </c>
      <c r="E2" s="6" t="s">
        <v>3</v>
      </c>
      <c r="F2" s="8" t="s">
        <v>4</v>
      </c>
      <c r="G2" s="6" t="s">
        <v>5</v>
      </c>
      <c r="H2" s="8" t="s">
        <v>6</v>
      </c>
      <c r="I2" s="9" t="s">
        <v>43</v>
      </c>
      <c r="L2" t="str">
        <f>"insert into zamestnanci (os_cislo,prijmeni,jmeno,rfid,telefon,adresa,firma,smena,aktivni) values ('" &amp; C2 &amp; "','" &amp; A2 &amp; "','" &amp; B2 &amp; "','" &amp; I2 &amp; "','" &amp; D2 &amp; "','" &amp; E2 &amp; " " &amp; F2 &amp; ", " &amp;G2 &amp; " " &amp; H2 &amp; "','7','R','1');"</f>
        <v>insert into zamestnanci (os_cislo,prijmeni,jmeno,rfid,telefon,adresa,firma,smena,aktivni) values ('4931','Berešová','Jana','0013122639','739 089 447','Jana Čapka 3082, Frýdek-Místek, Frýdek 738 01','7','R','1');</v>
      </c>
    </row>
    <row r="3" spans="1:12" x14ac:dyDescent="0.25">
      <c r="A3" s="6" t="s">
        <v>7</v>
      </c>
      <c r="B3" s="6" t="s">
        <v>8</v>
      </c>
      <c r="C3" s="7">
        <v>4059</v>
      </c>
      <c r="D3" s="6" t="s">
        <v>9</v>
      </c>
      <c r="E3" s="6" t="s">
        <v>10</v>
      </c>
      <c r="F3" s="8" t="s">
        <v>11</v>
      </c>
      <c r="G3" s="6" t="s">
        <v>12</v>
      </c>
      <c r="H3" s="8" t="s">
        <v>13</v>
      </c>
      <c r="I3" s="9" t="s">
        <v>44</v>
      </c>
      <c r="L3" t="str">
        <f t="shared" ref="L3:L6" si="0">"insert into zamestnanci (os_cislo,prijmeni,jmeno,rfid,telefon,adresa,firma,smena,aktivni) values ('" &amp; C3 &amp; "','" &amp; A3 &amp; "','" &amp; B3 &amp; "','" &amp; I3 &amp; "','" &amp; D3 &amp; "','" &amp; E3 &amp; " " &amp; F3 &amp; ", " &amp;G3 &amp; " " &amp; H3 &amp; "','7','R','1');"</f>
        <v>insert into zamestnanci (os_cislo,prijmeni,jmeno,rfid,telefon,adresa,firma,smena,aktivni) values ('4059','Fuglewicz','Marek','0013390473','778 502 080','Tř. Osvobození 1561/40, Karviná - Nové Město 735 06','7','R','1');</v>
      </c>
    </row>
    <row r="4" spans="1:12" x14ac:dyDescent="0.25">
      <c r="A4" s="6" t="s">
        <v>14</v>
      </c>
      <c r="B4" s="6" t="s">
        <v>15</v>
      </c>
      <c r="C4" s="7">
        <v>2518</v>
      </c>
      <c r="D4" s="6" t="s">
        <v>16</v>
      </c>
      <c r="E4" s="6" t="s">
        <v>17</v>
      </c>
      <c r="F4" s="8" t="s">
        <v>18</v>
      </c>
      <c r="G4" s="6" t="s">
        <v>19</v>
      </c>
      <c r="H4" s="8" t="s">
        <v>20</v>
      </c>
      <c r="I4" s="9" t="s">
        <v>45</v>
      </c>
      <c r="L4" t="str">
        <f t="shared" si="0"/>
        <v>insert into zamestnanci (os_cislo,prijmeni,jmeno,rfid,telefon,adresa,firma,smena,aktivni) values ('2518','Peterková','Dagmar','0013363035','+420 725 538 081','Lipová 329, Orlová - Poruba 73514','7','R','1');</v>
      </c>
    </row>
    <row r="5" spans="1:12" x14ac:dyDescent="0.25">
      <c r="A5" s="6" t="s">
        <v>21</v>
      </c>
      <c r="B5" s="6" t="s">
        <v>22</v>
      </c>
      <c r="C5" s="7">
        <v>4071</v>
      </c>
      <c r="D5" s="6"/>
      <c r="E5" s="6" t="s">
        <v>23</v>
      </c>
      <c r="F5" s="8" t="s">
        <v>24</v>
      </c>
      <c r="G5" s="6" t="s">
        <v>25</v>
      </c>
      <c r="H5" s="8" t="s">
        <v>26</v>
      </c>
      <c r="I5" s="9" t="s">
        <v>46</v>
      </c>
      <c r="L5" t="str">
        <f t="shared" si="0"/>
        <v>insert into zamestnanci (os_cislo,prijmeni,jmeno,rfid,telefon,adresa,firma,smena,aktivni) values ('4071','Pokuta','Miroslav','0012020053','','Dělnická 515/45, Havířov - Prostřední Suchá 735 64','7','R','1');</v>
      </c>
    </row>
    <row r="6" spans="1:12" x14ac:dyDescent="0.25">
      <c r="A6" s="6" t="s">
        <v>27</v>
      </c>
      <c r="B6" s="6" t="s">
        <v>28</v>
      </c>
      <c r="C6" s="7">
        <v>4598</v>
      </c>
      <c r="D6" s="6" t="s">
        <v>29</v>
      </c>
      <c r="E6" s="6" t="s">
        <v>30</v>
      </c>
      <c r="F6" s="8" t="s">
        <v>31</v>
      </c>
      <c r="G6" s="6" t="s">
        <v>32</v>
      </c>
      <c r="H6" s="8" t="s">
        <v>33</v>
      </c>
      <c r="I6" s="9" t="s">
        <v>47</v>
      </c>
      <c r="L6" t="str">
        <f t="shared" si="0"/>
        <v>insert into zamestnanci (os_cislo,prijmeni,jmeno,rfid,telefon,adresa,firma,smena,aktivni) values ('4598','Ramachandran','Vimalraj','0013358486','+420 777 544 964','Kamandiyamman Kovil Street 50, Tamil Nadu 621803','7','R','1');</v>
      </c>
    </row>
  </sheetData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Listy</vt:lpstr>
      </vt:variant>
      <vt:variant>
        <vt:i4>1</vt:i4>
      </vt:variant>
      <vt:variant>
        <vt:lpstr>Pojmenované oblasti</vt:lpstr>
      </vt:variant>
      <vt:variant>
        <vt:i4>1</vt:i4>
      </vt:variant>
    </vt:vector>
  </HeadingPairs>
  <TitlesOfParts>
    <vt:vector size="2" baseType="lpstr">
      <vt:lpstr>personal_</vt:lpstr>
      <vt:lpstr>Databaze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Helena Slavíková</dc:creator>
  <cp:lastModifiedBy>Aleš Kadlec</cp:lastModifiedBy>
  <dcterms:created xsi:type="dcterms:W3CDTF">2023-10-20T10:06:00Z</dcterms:created>
  <dcterms:modified xsi:type="dcterms:W3CDTF">2023-10-20T10:38:54Z</dcterms:modified>
</cp:coreProperties>
</file>