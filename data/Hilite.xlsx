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5.4\intranet\recra\data\"/>
    </mc:Choice>
  </mc:AlternateContent>
  <xr:revisionPtr revIDLastSave="0" documentId="13_ncr:1_{97D243D9-F548-46DB-B24D-93328E35CE0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ersonal_" sheetId="1" r:id="rId1"/>
  </sheets>
  <definedNames>
    <definedName name="_xlnm.Database">personal_!$B$1:$J$41</definedName>
  </definedNames>
  <calcPr calcId="191029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2" i="1"/>
</calcChain>
</file>

<file path=xl/sharedStrings.xml><?xml version="1.0" encoding="utf-8"?>
<sst xmlns="http://schemas.openxmlformats.org/spreadsheetml/2006/main" count="370" uniqueCount="280">
  <si>
    <t>Bartoszewska</t>
  </si>
  <si>
    <t>Justyna Anna</t>
  </si>
  <si>
    <t>+48603109477</t>
  </si>
  <si>
    <t>Generala Okulickiego</t>
  </si>
  <si>
    <t>51N</t>
  </si>
  <si>
    <t>Rybnik</t>
  </si>
  <si>
    <t>44-274</t>
  </si>
  <si>
    <t>PL</t>
  </si>
  <si>
    <t>Bason</t>
  </si>
  <si>
    <t>Bartosz Pawel</t>
  </si>
  <si>
    <t>+48 881 513 086</t>
  </si>
  <si>
    <t>Modrzewiowa</t>
  </si>
  <si>
    <t>20</t>
  </si>
  <si>
    <t>Kleszczowka</t>
  </si>
  <si>
    <t>44-240</t>
  </si>
  <si>
    <t>Biezunski</t>
  </si>
  <si>
    <t>Janusz Leszek</t>
  </si>
  <si>
    <t>+48 692 565 321</t>
  </si>
  <si>
    <t>Os. Pawlikowskiego</t>
  </si>
  <si>
    <t>3G/2</t>
  </si>
  <si>
    <t>Zory</t>
  </si>
  <si>
    <t>Bogucka</t>
  </si>
  <si>
    <t>Marta Monika</t>
  </si>
  <si>
    <t>+48 665 874 506</t>
  </si>
  <si>
    <t>Ludwika Warynskiego</t>
  </si>
  <si>
    <t>4/11</t>
  </si>
  <si>
    <t>Wodzislaw Slaski</t>
  </si>
  <si>
    <t>44-300</t>
  </si>
  <si>
    <t>Cieslar</t>
  </si>
  <si>
    <t>Daniel</t>
  </si>
  <si>
    <t>+48 731 712 224</t>
  </si>
  <si>
    <t>Szarych Szeregow</t>
  </si>
  <si>
    <t>18/8</t>
  </si>
  <si>
    <t>Jastrzebie Zdroj</t>
  </si>
  <si>
    <t>44-330</t>
  </si>
  <si>
    <t>Ewa</t>
  </si>
  <si>
    <t>+48 533 913 980</t>
  </si>
  <si>
    <t>Cygon</t>
  </si>
  <si>
    <t>Adam Marek</t>
  </si>
  <si>
    <t>+48 690 822 113</t>
  </si>
  <si>
    <t>ks. Henryka Joski</t>
  </si>
  <si>
    <t>27b/2</t>
  </si>
  <si>
    <t>44-217</t>
  </si>
  <si>
    <t>Gozdur</t>
  </si>
  <si>
    <t>Oliwia Katarzyna</t>
  </si>
  <si>
    <t>+48 791 369 259</t>
  </si>
  <si>
    <t>Wroclawska</t>
  </si>
  <si>
    <t>15/33</t>
  </si>
  <si>
    <t>44-335</t>
  </si>
  <si>
    <t>Grabiec</t>
  </si>
  <si>
    <t>Joanna Ewelina</t>
  </si>
  <si>
    <t>+48 792 586 210</t>
  </si>
  <si>
    <t>Zorska</t>
  </si>
  <si>
    <t>83</t>
  </si>
  <si>
    <t>Orzesze</t>
  </si>
  <si>
    <t>43-180</t>
  </si>
  <si>
    <t>Guzowska</t>
  </si>
  <si>
    <t>Danuta Maria</t>
  </si>
  <si>
    <t>+48 693 063 451</t>
  </si>
  <si>
    <t>Prusa</t>
  </si>
  <si>
    <t>3/1</t>
  </si>
  <si>
    <t>Herman</t>
  </si>
  <si>
    <t>Zaneta Katarzyna</t>
  </si>
  <si>
    <t>661 051 789</t>
  </si>
  <si>
    <t>Irysowa</t>
  </si>
  <si>
    <t>13 B m.9</t>
  </si>
  <si>
    <t>Radlin</t>
  </si>
  <si>
    <t>44-310</t>
  </si>
  <si>
    <t>Hyla</t>
  </si>
  <si>
    <t>Mariola Weronika</t>
  </si>
  <si>
    <t>+48 697 411 499</t>
  </si>
  <si>
    <t>Gronowa</t>
  </si>
  <si>
    <t>9I</t>
  </si>
  <si>
    <t>44-251</t>
  </si>
  <si>
    <t>Chrobok</t>
  </si>
  <si>
    <t>Aldona Paulina</t>
  </si>
  <si>
    <t>+48 797 351 014</t>
  </si>
  <si>
    <t>Gen. Leopolda Okulickiego</t>
  </si>
  <si>
    <t>51Y</t>
  </si>
  <si>
    <t>Kamený</t>
  </si>
  <si>
    <t>Ivo</t>
  </si>
  <si>
    <t>702 644 247</t>
  </si>
  <si>
    <t>Václava Košaře</t>
  </si>
  <si>
    <t>123/3</t>
  </si>
  <si>
    <t>Ostrava - Dubina</t>
  </si>
  <si>
    <t>700 30</t>
  </si>
  <si>
    <t>Kastelik</t>
  </si>
  <si>
    <t>Malgorzata Barbara</t>
  </si>
  <si>
    <t>+48 888 830 956</t>
  </si>
  <si>
    <t>Katowicka</t>
  </si>
  <si>
    <t>22/35</t>
  </si>
  <si>
    <t>Kolanowski</t>
  </si>
  <si>
    <t>Dawid Piotr</t>
  </si>
  <si>
    <t>+48 510 141 501</t>
  </si>
  <si>
    <t>Ruchu Oporu</t>
  </si>
  <si>
    <t>35 m.6</t>
  </si>
  <si>
    <t>Jastrzebie-Zdrój</t>
  </si>
  <si>
    <t>Kolodziejczak</t>
  </si>
  <si>
    <t>Bartosz Szymon</t>
  </si>
  <si>
    <t>+48 506 338 175</t>
  </si>
  <si>
    <t>Dębowa</t>
  </si>
  <si>
    <t>9</t>
  </si>
  <si>
    <t>Marklowice</t>
  </si>
  <si>
    <t>44-321</t>
  </si>
  <si>
    <t>Kosak</t>
  </si>
  <si>
    <t>Dawid Wieslaw</t>
  </si>
  <si>
    <t>+48 660 645 044</t>
  </si>
  <si>
    <t>Zamkowa</t>
  </si>
  <si>
    <t>33</t>
  </si>
  <si>
    <t>Tworkow</t>
  </si>
  <si>
    <t>47-451</t>
  </si>
  <si>
    <t>Krzeminska</t>
  </si>
  <si>
    <t>Justyna Sylwia</t>
  </si>
  <si>
    <t>+48 726 770 619</t>
  </si>
  <si>
    <t>Stefana Batorego</t>
  </si>
  <si>
    <t>19/1</t>
  </si>
  <si>
    <t>Leszczynska</t>
  </si>
  <si>
    <t>Ewa Stefania</t>
  </si>
  <si>
    <t>+48 697 524 225</t>
  </si>
  <si>
    <t>Gustawa Morcinka</t>
  </si>
  <si>
    <t>13A/2</t>
  </si>
  <si>
    <t>44-273</t>
  </si>
  <si>
    <t>Malina</t>
  </si>
  <si>
    <t>Kinga Laura</t>
  </si>
  <si>
    <t>+48 728 715 619</t>
  </si>
  <si>
    <t>9K</t>
  </si>
  <si>
    <t>Merta</t>
  </si>
  <si>
    <t>Nikola Dorota</t>
  </si>
  <si>
    <t>+48 782 786 694</t>
  </si>
  <si>
    <t>Dabrowki</t>
  </si>
  <si>
    <t>15E/30</t>
  </si>
  <si>
    <t>44-210</t>
  </si>
  <si>
    <t>Michalik</t>
  </si>
  <si>
    <t>Maryla Irena</t>
  </si>
  <si>
    <t>+48 691 900 888</t>
  </si>
  <si>
    <t>Wielkopolska</t>
  </si>
  <si>
    <t>49</t>
  </si>
  <si>
    <t>Moch</t>
  </si>
  <si>
    <t>Roman</t>
  </si>
  <si>
    <t>604 577 499</t>
  </si>
  <si>
    <t>Těšínská</t>
  </si>
  <si>
    <t>87/281</t>
  </si>
  <si>
    <t>Ostrava - Radvanice</t>
  </si>
  <si>
    <t>716 00</t>
  </si>
  <si>
    <t>CZ</t>
  </si>
  <si>
    <t>Ogon</t>
  </si>
  <si>
    <t>Agata</t>
  </si>
  <si>
    <t>+48 532 571 498</t>
  </si>
  <si>
    <t>Osiedle Pawlikowskiego</t>
  </si>
  <si>
    <t>5E/3</t>
  </si>
  <si>
    <t>Paszek</t>
  </si>
  <si>
    <t>Marta Agnieszka</t>
  </si>
  <si>
    <t>+48 514 186 557</t>
  </si>
  <si>
    <t>Jozefa Pukowca</t>
  </si>
  <si>
    <t>10/3</t>
  </si>
  <si>
    <t>44-206</t>
  </si>
  <si>
    <t>Pawliczek</t>
  </si>
  <si>
    <t>Malgorzata Anna</t>
  </si>
  <si>
    <t>+48 504 160 397</t>
  </si>
  <si>
    <t>Piaskowa</t>
  </si>
  <si>
    <t>12</t>
  </si>
  <si>
    <t>Jankowice</t>
  </si>
  <si>
    <t>44-264</t>
  </si>
  <si>
    <t>Piecha</t>
  </si>
  <si>
    <t>Edyta</t>
  </si>
  <si>
    <t>+48 661 732 025</t>
  </si>
  <si>
    <t>Jastrzebia</t>
  </si>
  <si>
    <t>2/1</t>
  </si>
  <si>
    <t>Piechaczek</t>
  </si>
  <si>
    <t>Wieslaw Jan</t>
  </si>
  <si>
    <t>+48 668 428 354</t>
  </si>
  <si>
    <t>Chrobrego</t>
  </si>
  <si>
    <t>15</t>
  </si>
  <si>
    <t>44-313</t>
  </si>
  <si>
    <t>Pietrasz</t>
  </si>
  <si>
    <t>Wiktoria Grazyna</t>
  </si>
  <si>
    <t>+48 501 148 289</t>
  </si>
  <si>
    <t>Raciborska</t>
  </si>
  <si>
    <t>21</t>
  </si>
  <si>
    <t>Pírková</t>
  </si>
  <si>
    <t>Šárka</t>
  </si>
  <si>
    <t>+420 702 974 157</t>
  </si>
  <si>
    <t>Šimáčkova</t>
  </si>
  <si>
    <t>1011/25</t>
  </si>
  <si>
    <t>Ostrava - Mariánské Hory</t>
  </si>
  <si>
    <t>709 00</t>
  </si>
  <si>
    <t>Poterala</t>
  </si>
  <si>
    <t>Anna Ewa</t>
  </si>
  <si>
    <t>+48 576 090 507</t>
  </si>
  <si>
    <t>Osiedle 700-Lecia</t>
  </si>
  <si>
    <t>4B/2</t>
  </si>
  <si>
    <t>Puchalska</t>
  </si>
  <si>
    <t>Monika Maria</t>
  </si>
  <si>
    <t>+48 798 789 269</t>
  </si>
  <si>
    <t>20A/22</t>
  </si>
  <si>
    <t>Rowinski</t>
  </si>
  <si>
    <t>Rafal Jacek</t>
  </si>
  <si>
    <t>+48 791 363 746</t>
  </si>
  <si>
    <t>Przemyslawa</t>
  </si>
  <si>
    <t>18E/6</t>
  </si>
  <si>
    <t>Szulik</t>
  </si>
  <si>
    <t>Aleksandra Beata</t>
  </si>
  <si>
    <t>+48 503 065 201</t>
  </si>
  <si>
    <t>Orzepowicka</t>
  </si>
  <si>
    <t>Szymanska</t>
  </si>
  <si>
    <t>Alina Barbara</t>
  </si>
  <si>
    <t>+48 793 385 840</t>
  </si>
  <si>
    <t>Rericha</t>
  </si>
  <si>
    <t>38</t>
  </si>
  <si>
    <t>Šlehoferová</t>
  </si>
  <si>
    <t>Veronika</t>
  </si>
  <si>
    <t>+420 721 012 374</t>
  </si>
  <si>
    <t>Žižice</t>
  </si>
  <si>
    <t>31</t>
  </si>
  <si>
    <t>273 21</t>
  </si>
  <si>
    <t>Tychowski</t>
  </si>
  <si>
    <t>Lukasz Tadeusz</t>
  </si>
  <si>
    <t>+31 623 247 402</t>
  </si>
  <si>
    <t>37/37</t>
  </si>
  <si>
    <t>Wezka</t>
  </si>
  <si>
    <t>Iwona</t>
  </si>
  <si>
    <t>+48 726 855 893</t>
  </si>
  <si>
    <t>Slaska</t>
  </si>
  <si>
    <t>17/60</t>
  </si>
  <si>
    <t>Wojak</t>
  </si>
  <si>
    <t>Karolina</t>
  </si>
  <si>
    <t>+48 788 892 082</t>
  </si>
  <si>
    <t>Gornicza</t>
  </si>
  <si>
    <t>46/8</t>
  </si>
  <si>
    <t>44-307</t>
  </si>
  <si>
    <t>Příjmení</t>
  </si>
  <si>
    <t>Jméno</t>
  </si>
  <si>
    <t>Číslo</t>
  </si>
  <si>
    <t>Telefon</t>
  </si>
  <si>
    <t>Ulice</t>
  </si>
  <si>
    <t>číslo popisné</t>
  </si>
  <si>
    <t>Město</t>
  </si>
  <si>
    <t>PSČ</t>
  </si>
  <si>
    <t>Stát</t>
  </si>
  <si>
    <t>RDIF</t>
  </si>
  <si>
    <t>0011601691</t>
  </si>
  <si>
    <t>0011642700</t>
  </si>
  <si>
    <t>0012955543</t>
  </si>
  <si>
    <t>0011686343</t>
  </si>
  <si>
    <t>0011675122</t>
  </si>
  <si>
    <t>0012985653</t>
  </si>
  <si>
    <t>0013067733</t>
  </si>
  <si>
    <t>0013058765</t>
  </si>
  <si>
    <t>0012991063</t>
  </si>
  <si>
    <t>0011598583</t>
  </si>
  <si>
    <t>0012971953</t>
  </si>
  <si>
    <t>0012946852</t>
  </si>
  <si>
    <t>0013083707</t>
  </si>
  <si>
    <t>0013076933</t>
  </si>
  <si>
    <t>0011609291</t>
  </si>
  <si>
    <t>0011675538</t>
  </si>
  <si>
    <t>0011704646</t>
  </si>
  <si>
    <t>0013013030</t>
  </si>
  <si>
    <t>0011642035</t>
  </si>
  <si>
    <t>0011766449</t>
  </si>
  <si>
    <t>0011765266</t>
  </si>
  <si>
    <t>0013050746</t>
  </si>
  <si>
    <t>0013049688</t>
  </si>
  <si>
    <t>0012001867</t>
  </si>
  <si>
    <t>0013390528</t>
  </si>
  <si>
    <t>0011962568</t>
  </si>
  <si>
    <t>0013390743</t>
  </si>
  <si>
    <t>0013384755</t>
  </si>
  <si>
    <t>0013308933</t>
  </si>
  <si>
    <t>0011995107</t>
  </si>
  <si>
    <t>0013373156</t>
  </si>
  <si>
    <t>0013335643</t>
  </si>
  <si>
    <t>0011842666</t>
  </si>
  <si>
    <t>0013055194</t>
  </si>
  <si>
    <t>0013069516</t>
  </si>
  <si>
    <t>0013068368</t>
  </si>
  <si>
    <t>0013122215</t>
  </si>
  <si>
    <t>0013027539</t>
  </si>
  <si>
    <t>0011613672</t>
  </si>
  <si>
    <t>0012017941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</si>
</sst>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8"/>
      <color indexed="9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" fontId="18" fillId="0" borderId="0" xfId="0" applyNumberFormat="1" applyFont="1"/>
    <xf numFmtId="49" fontId="18" fillId="0" borderId="0" xfId="0" applyNumberFormat="1" applyFont="1"/>
    <xf numFmtId="49" fontId="19" fillId="33" borderId="10" xfId="0" quotePrefix="1" applyNumberFormat="1" applyFont="1" applyFill="1" applyBorder="1" applyAlignment="1">
      <alignment horizontal="center"/>
    </xf>
    <xf numFmtId="49" fontId="18" fillId="0" borderId="10" xfId="0" applyNumberFormat="1" applyFont="1" applyBorder="1"/>
    <xf numFmtId="1" fontId="18" fillId="0" borderId="10" xfId="0" applyNumberFormat="1" applyFont="1" applyBorder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showZeros="0" tabSelected="1" workbookViewId="0">
      <selection activeCell="I8" sqref="I8"/>
    </sheetView>
  </sheetViews>
  <sheetFormatPr defaultRowHeight="15" x14ac:dyDescent="0.25"/>
  <cols>
    <col min="1" max="1" width="5.7109375" style="1" customWidth="1"/>
    <col min="2" max="2" width="18.7109375" style="2" customWidth="1"/>
    <col min="3" max="4" width="15.140625" style="2" customWidth="1"/>
    <col min="5" max="5" width="12.85546875" style="2" customWidth="1"/>
    <col min="6" max="6" width="18.7109375" style="2" customWidth="1"/>
    <col min="7" max="7" width="7.7109375" style="2" customWidth="1"/>
    <col min="8" max="8" width="14.85546875" style="2" customWidth="1"/>
    <col min="9" max="10" width="9.7109375" style="2" customWidth="1"/>
  </cols>
  <sheetData>
    <row r="1" spans="1:11" x14ac:dyDescent="0.25">
      <c r="A1" s="3" t="s">
        <v>232</v>
      </c>
      <c r="B1" s="3" t="s">
        <v>230</v>
      </c>
      <c r="C1" s="3" t="s">
        <v>231</v>
      </c>
      <c r="D1" s="3" t="s">
        <v>239</v>
      </c>
      <c r="E1" s="3" t="s">
        <v>233</v>
      </c>
      <c r="F1" s="3" t="s">
        <v>234</v>
      </c>
      <c r="G1" s="3" t="s">
        <v>235</v>
      </c>
      <c r="H1" s="3" t="s">
        <v>236</v>
      </c>
      <c r="I1" s="3" t="s">
        <v>237</v>
      </c>
      <c r="J1" s="3" t="s">
        <v>238</v>
      </c>
    </row>
    <row r="2" spans="1:11" x14ac:dyDescent="0.25">
      <c r="A2" s="1">
        <v>4568</v>
      </c>
      <c r="B2" s="2" t="s">
        <v>0</v>
      </c>
      <c r="C2" s="2" t="s">
        <v>1</v>
      </c>
      <c r="D2" s="2" t="s">
        <v>240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t="str">
        <f>"insert into zamestnanci (os_cislo,prijmeni,jmeno,rfid,telefon,adresa,firma,smena,aktivni) values ('" &amp; A2 &amp; "','" &amp; B2 &amp; "','" &amp; C2 &amp; "','" &amp; D2 &amp; "','" &amp; E2 &amp; "','" &amp; F2 &amp; ", " &amp; G2 &amp; ", " &amp; H2 &amp; ", " &amp; I2 &amp; ", " &amp; J2 &amp; "','4','R','1');"</f>
        <v>insert into zamestnanci (os_cislo,prijmeni,jmeno,rfid,telefon,adresa,firma,smena,aktivni) values ('4568','Bartoszewska','Justyna Anna','0011601691','+48603109477','Generala Okulickiego, 51N, Rybnik, 44-274, PL','4','R','1');</v>
      </c>
    </row>
    <row r="3" spans="1:11" x14ac:dyDescent="0.25">
      <c r="A3" s="1">
        <v>5074</v>
      </c>
      <c r="B3" s="2" t="s">
        <v>8</v>
      </c>
      <c r="C3" s="2" t="s">
        <v>9</v>
      </c>
      <c r="D3" s="2" t="s">
        <v>241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7</v>
      </c>
      <c r="K3" t="str">
        <f t="shared" ref="K3:K41" si="0">"insert into zamestnanci (os_cislo,prijmeni,jmeno,rfid,telefon,adresa,firma,smena,aktivni) values ('" &amp; A3 &amp; "','" &amp; B3 &amp; "','" &amp; C3 &amp; "','" &amp; D3 &amp; "','" &amp; E3 &amp; "','" &amp; F3 &amp; ", " &amp; G3 &amp; ", " &amp; H3 &amp; ", " &amp; I3 &amp; ", " &amp; J3 &amp; "','4','R','1');"</f>
        <v>insert into zamestnanci (os_cislo,prijmeni,jmeno,rfid,telefon,adresa,firma,smena,aktivni) values ('5074','Bason','Bartosz Pawel','0011642700','+48 881 513 086','Modrzewiowa, 20, Kleszczowka, 44-240, PL','4','R','1');</v>
      </c>
    </row>
    <row r="4" spans="1:11" x14ac:dyDescent="0.25">
      <c r="A4" s="1">
        <v>5126</v>
      </c>
      <c r="B4" s="2" t="s">
        <v>15</v>
      </c>
      <c r="C4" s="2" t="s">
        <v>16</v>
      </c>
      <c r="D4" s="2" t="s">
        <v>242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14</v>
      </c>
      <c r="J4" s="2" t="s">
        <v>7</v>
      </c>
      <c r="K4" t="str">
        <f t="shared" si="0"/>
        <v>insert into zamestnanci (os_cislo,prijmeni,jmeno,rfid,telefon,adresa,firma,smena,aktivni) values ('5126','Biezunski','Janusz Leszek','0012955543','+48 692 565 321','Os. Pawlikowskiego, 3G/2, Zory, 44-240, PL','4','R','1');</v>
      </c>
    </row>
    <row r="5" spans="1:11" x14ac:dyDescent="0.25">
      <c r="A5" s="1">
        <v>5112</v>
      </c>
      <c r="B5" s="2" t="s">
        <v>21</v>
      </c>
      <c r="C5" s="2" t="s">
        <v>22</v>
      </c>
      <c r="D5" s="2" t="s">
        <v>243</v>
      </c>
      <c r="E5" s="2" t="s">
        <v>23</v>
      </c>
      <c r="F5" s="2" t="s">
        <v>24</v>
      </c>
      <c r="G5" s="2" t="s">
        <v>25</v>
      </c>
      <c r="H5" s="2" t="s">
        <v>26</v>
      </c>
      <c r="I5" s="2" t="s">
        <v>27</v>
      </c>
      <c r="J5" s="2" t="s">
        <v>7</v>
      </c>
      <c r="K5" t="str">
        <f t="shared" si="0"/>
        <v>insert into zamestnanci (os_cislo,prijmeni,jmeno,rfid,telefon,adresa,firma,smena,aktivni) values ('5112','Bogucka','Marta Monika','0011686343','+48 665 874 506','Ludwika Warynskiego, 4/11, Wodzislaw Slaski, 44-300, PL','4','R','1');</v>
      </c>
    </row>
    <row r="6" spans="1:11" x14ac:dyDescent="0.25">
      <c r="A6" s="1">
        <v>5073</v>
      </c>
      <c r="B6" s="2" t="s">
        <v>28</v>
      </c>
      <c r="C6" s="2" t="s">
        <v>29</v>
      </c>
      <c r="D6" s="2" t="s">
        <v>244</v>
      </c>
      <c r="E6" s="2" t="s">
        <v>30</v>
      </c>
      <c r="F6" s="2" t="s">
        <v>31</v>
      </c>
      <c r="G6" s="2" t="s">
        <v>32</v>
      </c>
      <c r="H6" s="2" t="s">
        <v>33</v>
      </c>
      <c r="I6" s="2" t="s">
        <v>34</v>
      </c>
      <c r="J6" s="2" t="s">
        <v>7</v>
      </c>
      <c r="K6" t="str">
        <f t="shared" si="0"/>
        <v>insert into zamestnanci (os_cislo,prijmeni,jmeno,rfid,telefon,adresa,firma,smena,aktivni) values ('5073','Cieslar','Daniel','0011675122','+48 731 712 224','Szarych Szeregow, 18/8, Jastrzebie Zdroj, 44-330, PL','4','R','1');</v>
      </c>
    </row>
    <row r="7" spans="1:11" x14ac:dyDescent="0.25">
      <c r="A7" s="1">
        <v>5072</v>
      </c>
      <c r="B7" s="2" t="s">
        <v>28</v>
      </c>
      <c r="C7" s="2" t="s">
        <v>35</v>
      </c>
      <c r="D7" s="2" t="s">
        <v>245</v>
      </c>
      <c r="E7" s="2" t="s">
        <v>36</v>
      </c>
      <c r="F7" s="2" t="s">
        <v>31</v>
      </c>
      <c r="G7" s="2" t="s">
        <v>32</v>
      </c>
      <c r="H7" s="2" t="s">
        <v>33</v>
      </c>
      <c r="I7" s="2" t="s">
        <v>34</v>
      </c>
      <c r="J7" s="2" t="s">
        <v>7</v>
      </c>
      <c r="K7" t="str">
        <f t="shared" si="0"/>
        <v>insert into zamestnanci (os_cislo,prijmeni,jmeno,rfid,telefon,adresa,firma,smena,aktivni) values ('5072','Cieslar','Ewa','0012985653','+48 533 913 980','Szarych Szeregow, 18/8, Jastrzebie Zdroj, 44-330, PL','4','R','1');</v>
      </c>
    </row>
    <row r="8" spans="1:11" x14ac:dyDescent="0.25">
      <c r="A8" s="1">
        <v>4988</v>
      </c>
      <c r="B8" s="2" t="s">
        <v>37</v>
      </c>
      <c r="C8" s="2" t="s">
        <v>38</v>
      </c>
      <c r="D8" s="2" t="s">
        <v>246</v>
      </c>
      <c r="E8" s="2" t="s">
        <v>39</v>
      </c>
      <c r="F8" s="2" t="s">
        <v>40</v>
      </c>
      <c r="G8" s="2" t="s">
        <v>41</v>
      </c>
      <c r="H8" s="2" t="s">
        <v>5</v>
      </c>
      <c r="I8" s="2" t="s">
        <v>42</v>
      </c>
      <c r="J8" s="2" t="s">
        <v>7</v>
      </c>
      <c r="K8" t="str">
        <f t="shared" si="0"/>
        <v>insert into zamestnanci (os_cislo,prijmeni,jmeno,rfid,telefon,adresa,firma,smena,aktivni) values ('4988','Cygon','Adam Marek','0013067733','+48 690 822 113','ks. Henryka Joski, 27b/2, Rybnik, 44-217, PL','4','R','1');</v>
      </c>
    </row>
    <row r="9" spans="1:11" x14ac:dyDescent="0.25">
      <c r="A9" s="1">
        <v>5023</v>
      </c>
      <c r="B9" s="2" t="s">
        <v>43</v>
      </c>
      <c r="C9" s="2" t="s">
        <v>44</v>
      </c>
      <c r="D9" s="2" t="s">
        <v>247</v>
      </c>
      <c r="E9" s="2" t="s">
        <v>45</v>
      </c>
      <c r="F9" s="2" t="s">
        <v>46</v>
      </c>
      <c r="G9" s="2" t="s">
        <v>47</v>
      </c>
      <c r="H9" s="2" t="s">
        <v>33</v>
      </c>
      <c r="I9" s="2" t="s">
        <v>48</v>
      </c>
      <c r="J9" s="2" t="s">
        <v>7</v>
      </c>
      <c r="K9" t="str">
        <f t="shared" si="0"/>
        <v>insert into zamestnanci (os_cislo,prijmeni,jmeno,rfid,telefon,adresa,firma,smena,aktivni) values ('5023','Gozdur','Oliwia Katarzyna','0013058765','+48 791 369 259','Wroclawska, 15/33, Jastrzebie Zdroj, 44-335, PL','4','R','1');</v>
      </c>
    </row>
    <row r="10" spans="1:11" x14ac:dyDescent="0.25">
      <c r="A10" s="1">
        <v>4808</v>
      </c>
      <c r="B10" s="2" t="s">
        <v>49</v>
      </c>
      <c r="C10" s="2" t="s">
        <v>50</v>
      </c>
      <c r="D10" s="2" t="s">
        <v>248</v>
      </c>
      <c r="E10" s="2" t="s">
        <v>51</v>
      </c>
      <c r="F10" s="2" t="s">
        <v>52</v>
      </c>
      <c r="G10" s="2" t="s">
        <v>53</v>
      </c>
      <c r="H10" s="2" t="s">
        <v>54</v>
      </c>
      <c r="I10" s="2" t="s">
        <v>55</v>
      </c>
      <c r="J10" s="2" t="s">
        <v>7</v>
      </c>
      <c r="K10" t="str">
        <f t="shared" si="0"/>
        <v>insert into zamestnanci (os_cislo,prijmeni,jmeno,rfid,telefon,adresa,firma,smena,aktivni) values ('4808','Grabiec','Joanna Ewelina','0012991063','+48 792 586 210','Zorska, 83, Orzesze, 43-180, PL','4','R','1');</v>
      </c>
    </row>
    <row r="11" spans="1:11" x14ac:dyDescent="0.25">
      <c r="A11" s="1">
        <v>5068</v>
      </c>
      <c r="B11" s="2" t="s">
        <v>56</v>
      </c>
      <c r="C11" s="2" t="s">
        <v>57</v>
      </c>
      <c r="D11" s="2" t="s">
        <v>249</v>
      </c>
      <c r="E11" s="2" t="s">
        <v>58</v>
      </c>
      <c r="F11" s="2" t="s">
        <v>59</v>
      </c>
      <c r="G11" s="2" t="s">
        <v>60</v>
      </c>
      <c r="H11" s="2" t="s">
        <v>26</v>
      </c>
      <c r="I11" s="2" t="s">
        <v>27</v>
      </c>
      <c r="J11" s="2" t="s">
        <v>7</v>
      </c>
      <c r="K11" t="str">
        <f t="shared" si="0"/>
        <v>insert into zamestnanci (os_cislo,prijmeni,jmeno,rfid,telefon,adresa,firma,smena,aktivni) values ('5068','Guzowska','Danuta Maria','0011598583','+48 693 063 451','Prusa, 3/1, Wodzislaw Slaski, 44-300, PL','4','R','1');</v>
      </c>
    </row>
    <row r="12" spans="1:11" x14ac:dyDescent="0.25">
      <c r="A12" s="1">
        <v>4639</v>
      </c>
      <c r="B12" s="2" t="s">
        <v>61</v>
      </c>
      <c r="C12" s="2" t="s">
        <v>62</v>
      </c>
      <c r="D12" s="2" t="s">
        <v>250</v>
      </c>
      <c r="E12" s="2" t="s">
        <v>63</v>
      </c>
      <c r="F12" s="2" t="s">
        <v>64</v>
      </c>
      <c r="G12" s="2" t="s">
        <v>65</v>
      </c>
      <c r="H12" s="2" t="s">
        <v>66</v>
      </c>
      <c r="I12" s="2" t="s">
        <v>67</v>
      </c>
      <c r="J12" s="2" t="s">
        <v>7</v>
      </c>
      <c r="K12" t="str">
        <f t="shared" si="0"/>
        <v>insert into zamestnanci (os_cislo,prijmeni,jmeno,rfid,telefon,adresa,firma,smena,aktivni) values ('4639','Herman','Zaneta Katarzyna','0012971953','661 051 789','Irysowa, 13 B m.9, Radlin, 44-310, PL','4','R','1');</v>
      </c>
    </row>
    <row r="13" spans="1:11" x14ac:dyDescent="0.25">
      <c r="A13" s="1">
        <v>4691</v>
      </c>
      <c r="B13" s="2" t="s">
        <v>68</v>
      </c>
      <c r="C13" s="2" t="s">
        <v>69</v>
      </c>
      <c r="D13" s="2" t="s">
        <v>251</v>
      </c>
      <c r="E13" s="2" t="s">
        <v>70</v>
      </c>
      <c r="F13" s="2" t="s">
        <v>71</v>
      </c>
      <c r="G13" s="2" t="s">
        <v>72</v>
      </c>
      <c r="H13" s="2" t="s">
        <v>5</v>
      </c>
      <c r="I13" s="2" t="s">
        <v>73</v>
      </c>
      <c r="J13" s="2" t="s">
        <v>7</v>
      </c>
      <c r="K13" t="str">
        <f t="shared" si="0"/>
        <v>insert into zamestnanci (os_cislo,prijmeni,jmeno,rfid,telefon,adresa,firma,smena,aktivni) values ('4691','Hyla','Mariola Weronika','0012946852','+48 697 411 499','Gronowa, 9I, Rybnik, 44-251, PL','4','R','1');</v>
      </c>
    </row>
    <row r="14" spans="1:11" x14ac:dyDescent="0.25">
      <c r="A14" s="1">
        <v>4712</v>
      </c>
      <c r="B14" s="2" t="s">
        <v>74</v>
      </c>
      <c r="C14" s="2" t="s">
        <v>75</v>
      </c>
      <c r="D14" s="2" t="s">
        <v>252</v>
      </c>
      <c r="E14" s="2" t="s">
        <v>76</v>
      </c>
      <c r="F14" s="2" t="s">
        <v>77</v>
      </c>
      <c r="G14" s="2" t="s">
        <v>78</v>
      </c>
      <c r="H14" s="2" t="s">
        <v>5</v>
      </c>
      <c r="I14" s="2" t="s">
        <v>6</v>
      </c>
      <c r="J14" s="2" t="s">
        <v>7</v>
      </c>
      <c r="K14" t="str">
        <f t="shared" si="0"/>
        <v>insert into zamestnanci (os_cislo,prijmeni,jmeno,rfid,telefon,adresa,firma,smena,aktivni) values ('4712','Chrobok','Aldona Paulina','0013083707','+48 797 351 014','Gen. Leopolda Okulickiego, 51Y, Rybnik, 44-274, PL','4','R','1');</v>
      </c>
    </row>
    <row r="15" spans="1:11" x14ac:dyDescent="0.25">
      <c r="A15" s="1">
        <v>4417</v>
      </c>
      <c r="B15" s="2" t="s">
        <v>79</v>
      </c>
      <c r="C15" s="2" t="s">
        <v>80</v>
      </c>
      <c r="D15" s="2" t="s">
        <v>253</v>
      </c>
      <c r="E15" s="2" t="s">
        <v>81</v>
      </c>
      <c r="F15" s="2" t="s">
        <v>82</v>
      </c>
      <c r="G15" s="2" t="s">
        <v>83</v>
      </c>
      <c r="H15" s="2" t="s">
        <v>84</v>
      </c>
      <c r="I15" s="2" t="s">
        <v>85</v>
      </c>
      <c r="J15" s="2" t="s">
        <v>144</v>
      </c>
      <c r="K15" t="str">
        <f t="shared" si="0"/>
        <v>insert into zamestnanci (os_cislo,prijmeni,jmeno,rfid,telefon,adresa,firma,smena,aktivni) values ('4417','Kamený','Ivo','0013076933','702 644 247','Václava Košaře, 123/3, Ostrava - Dubina, 700 30, CZ','4','R','1');</v>
      </c>
    </row>
    <row r="16" spans="1:11" x14ac:dyDescent="0.25">
      <c r="A16" s="1">
        <v>4567</v>
      </c>
      <c r="B16" s="2" t="s">
        <v>86</v>
      </c>
      <c r="C16" s="2" t="s">
        <v>87</v>
      </c>
      <c r="D16" s="2" t="s">
        <v>254</v>
      </c>
      <c r="E16" s="2" t="s">
        <v>88</v>
      </c>
      <c r="F16" s="2" t="s">
        <v>89</v>
      </c>
      <c r="G16" s="2" t="s">
        <v>90</v>
      </c>
      <c r="H16" s="2" t="s">
        <v>33</v>
      </c>
      <c r="I16" s="2" t="s">
        <v>48</v>
      </c>
      <c r="J16" s="2" t="s">
        <v>7</v>
      </c>
      <c r="K16" t="str">
        <f t="shared" si="0"/>
        <v>insert into zamestnanci (os_cislo,prijmeni,jmeno,rfid,telefon,adresa,firma,smena,aktivni) values ('4567','Kastelik','Malgorzata Barbara','0011609291','+48 888 830 956','Katowicka, 22/35, Jastrzebie Zdroj, 44-335, PL','4','R','1');</v>
      </c>
    </row>
    <row r="17" spans="1:11" x14ac:dyDescent="0.25">
      <c r="A17" s="1">
        <v>4651</v>
      </c>
      <c r="B17" s="2" t="s">
        <v>91</v>
      </c>
      <c r="C17" s="2" t="s">
        <v>92</v>
      </c>
      <c r="D17" s="2" t="s">
        <v>255</v>
      </c>
      <c r="E17" s="2" t="s">
        <v>93</v>
      </c>
      <c r="F17" s="2" t="s">
        <v>94</v>
      </c>
      <c r="G17" s="2" t="s">
        <v>95</v>
      </c>
      <c r="H17" s="2" t="s">
        <v>96</v>
      </c>
      <c r="I17" s="2" t="s">
        <v>48</v>
      </c>
      <c r="J17" s="2" t="s">
        <v>7</v>
      </c>
      <c r="K17" t="str">
        <f t="shared" si="0"/>
        <v>insert into zamestnanci (os_cislo,prijmeni,jmeno,rfid,telefon,adresa,firma,smena,aktivni) values ('4651','Kolanowski','Dawid Piotr','0011675538','+48 510 141 501','Ruchu Oporu, 35 m.6, Jastrzebie-Zdrój, 44-335, PL','4','R','1');</v>
      </c>
    </row>
    <row r="18" spans="1:11" x14ac:dyDescent="0.25">
      <c r="A18" s="1">
        <v>4648</v>
      </c>
      <c r="B18" s="2" t="s">
        <v>97</v>
      </c>
      <c r="C18" s="2" t="s">
        <v>98</v>
      </c>
      <c r="D18" s="2" t="s">
        <v>256</v>
      </c>
      <c r="E18" s="2" t="s">
        <v>99</v>
      </c>
      <c r="F18" s="2" t="s">
        <v>100</v>
      </c>
      <c r="G18" s="2" t="s">
        <v>101</v>
      </c>
      <c r="H18" s="2" t="s">
        <v>102</v>
      </c>
      <c r="I18" s="2" t="s">
        <v>103</v>
      </c>
      <c r="J18" s="2" t="s">
        <v>7</v>
      </c>
      <c r="K18" t="str">
        <f t="shared" si="0"/>
        <v>insert into zamestnanci (os_cislo,prijmeni,jmeno,rfid,telefon,adresa,firma,smena,aktivni) values ('4648','Kolodziejczak','Bartosz Szymon','0011704646','+48 506 338 175','Dębowa, 9, Marklowice, 44-321, PL','4','R','1');</v>
      </c>
    </row>
    <row r="19" spans="1:11" x14ac:dyDescent="0.25">
      <c r="A19" s="1">
        <v>5032</v>
      </c>
      <c r="B19" s="2" t="s">
        <v>104</v>
      </c>
      <c r="C19" s="2" t="s">
        <v>105</v>
      </c>
      <c r="D19" s="2" t="s">
        <v>257</v>
      </c>
      <c r="E19" s="2" t="s">
        <v>106</v>
      </c>
      <c r="F19" s="2" t="s">
        <v>107</v>
      </c>
      <c r="G19" s="2" t="s">
        <v>108</v>
      </c>
      <c r="H19" s="2" t="s">
        <v>109</v>
      </c>
      <c r="I19" s="2" t="s">
        <v>110</v>
      </c>
      <c r="J19" s="2" t="s">
        <v>7</v>
      </c>
      <c r="K19" t="str">
        <f t="shared" si="0"/>
        <v>insert into zamestnanci (os_cislo,prijmeni,jmeno,rfid,telefon,adresa,firma,smena,aktivni) values ('5032','Kosak','Dawid Wieslaw','0013013030','+48 660 645 044','Zamkowa, 33, Tworkow, 47-451, PL','4','R','1');</v>
      </c>
    </row>
    <row r="20" spans="1:11" x14ac:dyDescent="0.25">
      <c r="A20" s="1">
        <v>4572</v>
      </c>
      <c r="B20" s="2" t="s">
        <v>111</v>
      </c>
      <c r="C20" s="2" t="s">
        <v>112</v>
      </c>
      <c r="D20" s="2" t="s">
        <v>258</v>
      </c>
      <c r="E20" s="2" t="s">
        <v>113</v>
      </c>
      <c r="F20" s="2" t="s">
        <v>114</v>
      </c>
      <c r="G20" s="2" t="s">
        <v>115</v>
      </c>
      <c r="H20" s="2" t="s">
        <v>26</v>
      </c>
      <c r="I20" s="2" t="s">
        <v>27</v>
      </c>
      <c r="J20" s="2" t="s">
        <v>7</v>
      </c>
      <c r="K20" t="str">
        <f t="shared" si="0"/>
        <v>insert into zamestnanci (os_cislo,prijmeni,jmeno,rfid,telefon,adresa,firma,smena,aktivni) values ('4572','Krzeminska','Justyna Sylwia','0011642035','+48 726 770 619','Stefana Batorego, 19/1, Wodzislaw Slaski, 44-300, PL','4','R','1');</v>
      </c>
    </row>
    <row r="21" spans="1:11" x14ac:dyDescent="0.25">
      <c r="A21" s="1">
        <v>5060</v>
      </c>
      <c r="B21" s="2" t="s">
        <v>116</v>
      </c>
      <c r="C21" s="2" t="s">
        <v>117</v>
      </c>
      <c r="D21" s="2" t="s">
        <v>259</v>
      </c>
      <c r="E21" s="2" t="s">
        <v>118</v>
      </c>
      <c r="F21" s="2" t="s">
        <v>119</v>
      </c>
      <c r="G21" s="2" t="s">
        <v>120</v>
      </c>
      <c r="H21" s="2" t="s">
        <v>5</v>
      </c>
      <c r="I21" s="2" t="s">
        <v>121</v>
      </c>
      <c r="J21" s="2" t="s">
        <v>7</v>
      </c>
      <c r="K21" t="str">
        <f t="shared" si="0"/>
        <v>insert into zamestnanci (os_cislo,prijmeni,jmeno,rfid,telefon,adresa,firma,smena,aktivni) values ('5060','Leszczynska','Ewa Stefania','0011766449','+48 697 524 225','Gustawa Morcinka, 13A/2, Rybnik, 44-273, PL','4','R','1');</v>
      </c>
    </row>
    <row r="22" spans="1:11" x14ac:dyDescent="0.25">
      <c r="A22" s="1">
        <v>4693</v>
      </c>
      <c r="B22" s="2" t="s">
        <v>122</v>
      </c>
      <c r="C22" s="2" t="s">
        <v>123</v>
      </c>
      <c r="D22" s="2" t="s">
        <v>260</v>
      </c>
      <c r="E22" s="2" t="s">
        <v>124</v>
      </c>
      <c r="F22" s="2" t="s">
        <v>71</v>
      </c>
      <c r="G22" s="2" t="s">
        <v>125</v>
      </c>
      <c r="H22" s="2" t="s">
        <v>5</v>
      </c>
      <c r="I22" s="2" t="s">
        <v>73</v>
      </c>
      <c r="J22" s="2" t="s">
        <v>7</v>
      </c>
      <c r="K22" t="str">
        <f t="shared" si="0"/>
        <v>insert into zamestnanci (os_cislo,prijmeni,jmeno,rfid,telefon,adresa,firma,smena,aktivni) values ('4693','Malina','Kinga Laura','0011765266','+48 728 715 619','Gronowa, 9K, Rybnik, 44-251, PL','4','R','1');</v>
      </c>
    </row>
    <row r="23" spans="1:11" x14ac:dyDescent="0.25">
      <c r="A23" s="1">
        <v>5067</v>
      </c>
      <c r="B23" s="2" t="s">
        <v>126</v>
      </c>
      <c r="C23" s="2" t="s">
        <v>127</v>
      </c>
      <c r="D23" s="2" t="s">
        <v>261</v>
      </c>
      <c r="E23" s="2" t="s">
        <v>128</v>
      </c>
      <c r="F23" s="2" t="s">
        <v>129</v>
      </c>
      <c r="G23" s="2" t="s">
        <v>130</v>
      </c>
      <c r="H23" s="2" t="s">
        <v>5</v>
      </c>
      <c r="I23" s="2" t="s">
        <v>131</v>
      </c>
      <c r="J23" s="2" t="s">
        <v>7</v>
      </c>
      <c r="K23" t="str">
        <f t="shared" si="0"/>
        <v>insert into zamestnanci (os_cislo,prijmeni,jmeno,rfid,telefon,adresa,firma,smena,aktivni) values ('5067','Merta','Nikola Dorota','0013050746','+48 782 786 694','Dabrowki, 15E/30, Rybnik, 44-210, PL','4','R','1');</v>
      </c>
    </row>
    <row r="24" spans="1:11" x14ac:dyDescent="0.25">
      <c r="A24" s="1">
        <v>5115</v>
      </c>
      <c r="B24" s="2" t="s">
        <v>132</v>
      </c>
      <c r="C24" s="2" t="s">
        <v>133</v>
      </c>
      <c r="D24" s="2" t="s">
        <v>262</v>
      </c>
      <c r="E24" s="2" t="s">
        <v>134</v>
      </c>
      <c r="F24" s="2" t="s">
        <v>135</v>
      </c>
      <c r="G24" s="2" t="s">
        <v>136</v>
      </c>
      <c r="H24" s="2" t="s">
        <v>33</v>
      </c>
      <c r="I24" s="2" t="s">
        <v>48</v>
      </c>
      <c r="J24" s="2" t="s">
        <v>7</v>
      </c>
      <c r="K24" t="str">
        <f t="shared" si="0"/>
        <v>insert into zamestnanci (os_cislo,prijmeni,jmeno,rfid,telefon,adresa,firma,smena,aktivni) values ('5115','Michalik','Maryla Irena','0013049688','+48 691 900 888','Wielkopolska, 49, Jastrzebie Zdroj, 44-335, PL','4','R','1');</v>
      </c>
    </row>
    <row r="25" spans="1:11" x14ac:dyDescent="0.25">
      <c r="A25" s="1">
        <v>3582</v>
      </c>
      <c r="B25" s="2" t="s">
        <v>137</v>
      </c>
      <c r="C25" s="2" t="s">
        <v>138</v>
      </c>
      <c r="D25" s="2" t="s">
        <v>263</v>
      </c>
      <c r="E25" s="2" t="s">
        <v>139</v>
      </c>
      <c r="F25" s="2" t="s">
        <v>140</v>
      </c>
      <c r="G25" s="2" t="s">
        <v>141</v>
      </c>
      <c r="H25" s="2" t="s">
        <v>142</v>
      </c>
      <c r="I25" s="2" t="s">
        <v>143</v>
      </c>
      <c r="J25" s="2" t="s">
        <v>144</v>
      </c>
      <c r="K25" t="str">
        <f t="shared" si="0"/>
        <v>insert into zamestnanci (os_cislo,prijmeni,jmeno,rfid,telefon,adresa,firma,smena,aktivni) values ('3582','Moch','Roman','0012001867','604 577 499','Těšínská, 87/281, Ostrava - Radvanice, 716 00, CZ','4','R','1');</v>
      </c>
    </row>
    <row r="26" spans="1:11" x14ac:dyDescent="0.25">
      <c r="A26" s="1">
        <v>5022</v>
      </c>
      <c r="B26" s="2" t="s">
        <v>145</v>
      </c>
      <c r="C26" s="2" t="s">
        <v>146</v>
      </c>
      <c r="D26" s="2" t="s">
        <v>264</v>
      </c>
      <c r="E26" s="2" t="s">
        <v>147</v>
      </c>
      <c r="F26" s="2" t="s">
        <v>148</v>
      </c>
      <c r="G26" s="2" t="s">
        <v>149</v>
      </c>
      <c r="H26" s="2" t="s">
        <v>20</v>
      </c>
      <c r="I26" s="2" t="s">
        <v>14</v>
      </c>
      <c r="J26" s="2" t="s">
        <v>7</v>
      </c>
      <c r="K26" t="str">
        <f t="shared" si="0"/>
        <v>insert into zamestnanci (os_cislo,prijmeni,jmeno,rfid,telefon,adresa,firma,smena,aktivni) values ('5022','Ogon','Agata','0013390528','+48 532 571 498','Osiedle Pawlikowskiego, 5E/3, Zory, 44-240, PL','4','R','1');</v>
      </c>
    </row>
    <row r="27" spans="1:11" x14ac:dyDescent="0.25">
      <c r="A27" s="1">
        <v>5016</v>
      </c>
      <c r="B27" s="2" t="s">
        <v>150</v>
      </c>
      <c r="C27" s="2" t="s">
        <v>151</v>
      </c>
      <c r="D27" s="2" t="s">
        <v>265</v>
      </c>
      <c r="E27" s="2" t="s">
        <v>152</v>
      </c>
      <c r="F27" s="2" t="s">
        <v>153</v>
      </c>
      <c r="G27" s="2" t="s">
        <v>154</v>
      </c>
      <c r="H27" s="2" t="s">
        <v>5</v>
      </c>
      <c r="I27" s="2" t="s">
        <v>155</v>
      </c>
      <c r="J27" s="2" t="s">
        <v>7</v>
      </c>
      <c r="K27" t="str">
        <f t="shared" si="0"/>
        <v>insert into zamestnanci (os_cislo,prijmeni,jmeno,rfid,telefon,adresa,firma,smena,aktivni) values ('5016','Paszek','Marta Agnieszka','0011962568','+48 514 186 557','Jozefa Pukowca, 10/3, Rybnik, 44-206, PL','4','R','1');</v>
      </c>
    </row>
    <row r="28" spans="1:11" x14ac:dyDescent="0.25">
      <c r="A28" s="1">
        <v>4909</v>
      </c>
      <c r="B28" s="2" t="s">
        <v>156</v>
      </c>
      <c r="C28" s="2" t="s">
        <v>157</v>
      </c>
      <c r="D28" s="2" t="s">
        <v>266</v>
      </c>
      <c r="E28" s="2" t="s">
        <v>158</v>
      </c>
      <c r="F28" s="2" t="s">
        <v>159</v>
      </c>
      <c r="G28" s="2" t="s">
        <v>160</v>
      </c>
      <c r="H28" s="2" t="s">
        <v>161</v>
      </c>
      <c r="I28" s="2" t="s">
        <v>162</v>
      </c>
      <c r="J28" s="2" t="s">
        <v>7</v>
      </c>
      <c r="K28" t="str">
        <f t="shared" si="0"/>
        <v>insert into zamestnanci (os_cislo,prijmeni,jmeno,rfid,telefon,adresa,firma,smena,aktivni) values ('4909','Pawliczek','Malgorzata Anna','0013390743','+48 504 160 397','Piaskowa, 12, Jankowice, 44-264, PL','4','R','1');</v>
      </c>
    </row>
    <row r="29" spans="1:11" x14ac:dyDescent="0.25">
      <c r="A29" s="1">
        <v>4972</v>
      </c>
      <c r="B29" s="2" t="s">
        <v>163</v>
      </c>
      <c r="C29" s="2" t="s">
        <v>164</v>
      </c>
      <c r="D29" s="2" t="s">
        <v>267</v>
      </c>
      <c r="E29" s="2" t="s">
        <v>165</v>
      </c>
      <c r="F29" s="2" t="s">
        <v>166</v>
      </c>
      <c r="G29" s="2" t="s">
        <v>167</v>
      </c>
      <c r="H29" s="2" t="s">
        <v>20</v>
      </c>
      <c r="I29" s="2" t="s">
        <v>14</v>
      </c>
      <c r="J29" s="2" t="s">
        <v>7</v>
      </c>
      <c r="K29" t="str">
        <f t="shared" si="0"/>
        <v>insert into zamestnanci (os_cislo,prijmeni,jmeno,rfid,telefon,adresa,firma,smena,aktivni) values ('4972','Piecha','Edyta','0013384755','+48 661 732 025','Jastrzebia, 2/1, Zory, 44-240, PL','4','R','1');</v>
      </c>
    </row>
    <row r="30" spans="1:11" x14ac:dyDescent="0.25">
      <c r="A30" s="1">
        <v>4989</v>
      </c>
      <c r="B30" s="2" t="s">
        <v>168</v>
      </c>
      <c r="C30" s="2" t="s">
        <v>169</v>
      </c>
      <c r="D30" s="2" t="s">
        <v>268</v>
      </c>
      <c r="E30" s="2" t="s">
        <v>170</v>
      </c>
      <c r="F30" s="2" t="s">
        <v>171</v>
      </c>
      <c r="G30" s="2" t="s">
        <v>172</v>
      </c>
      <c r="H30" s="2" t="s">
        <v>26</v>
      </c>
      <c r="I30" s="2" t="s">
        <v>173</v>
      </c>
      <c r="J30" s="2" t="s">
        <v>7</v>
      </c>
      <c r="K30" t="str">
        <f t="shared" si="0"/>
        <v>insert into zamestnanci (os_cislo,prijmeni,jmeno,rfid,telefon,adresa,firma,smena,aktivni) values ('4989','Piechaczek','Wieslaw Jan','0013308933','+48 668 428 354','Chrobrego, 15, Wodzislaw Slaski, 44-313, PL','4','R','1');</v>
      </c>
    </row>
    <row r="31" spans="1:11" x14ac:dyDescent="0.25">
      <c r="A31" s="1">
        <v>5031</v>
      </c>
      <c r="B31" s="2" t="s">
        <v>174</v>
      </c>
      <c r="C31" s="2" t="s">
        <v>175</v>
      </c>
      <c r="D31" s="2" t="s">
        <v>269</v>
      </c>
      <c r="E31" s="2" t="s">
        <v>176</v>
      </c>
      <c r="F31" s="2" t="s">
        <v>177</v>
      </c>
      <c r="G31" s="2" t="s">
        <v>178</v>
      </c>
      <c r="H31" s="2" t="s">
        <v>109</v>
      </c>
      <c r="I31" s="2" t="s">
        <v>110</v>
      </c>
      <c r="J31" s="2" t="s">
        <v>7</v>
      </c>
      <c r="K31" t="str">
        <f t="shared" si="0"/>
        <v>insert into zamestnanci (os_cislo,prijmeni,jmeno,rfid,telefon,adresa,firma,smena,aktivni) values ('5031','Pietrasz','Wiktoria Grazyna','0011995107','+48 501 148 289','Raciborska, 21, Tworkow, 47-451, PL','4','R','1');</v>
      </c>
    </row>
    <row r="32" spans="1:11" x14ac:dyDescent="0.25">
      <c r="A32" s="1">
        <v>5116</v>
      </c>
      <c r="B32" s="2" t="s">
        <v>179</v>
      </c>
      <c r="C32" s="2" t="s">
        <v>180</v>
      </c>
      <c r="D32" s="2" t="s">
        <v>270</v>
      </c>
      <c r="E32" s="2" t="s">
        <v>181</v>
      </c>
      <c r="F32" s="2" t="s">
        <v>182</v>
      </c>
      <c r="G32" s="2" t="s">
        <v>183</v>
      </c>
      <c r="H32" s="2" t="s">
        <v>184</v>
      </c>
      <c r="I32" s="2" t="s">
        <v>185</v>
      </c>
      <c r="J32" s="2" t="s">
        <v>144</v>
      </c>
      <c r="K32" t="str">
        <f t="shared" si="0"/>
        <v>insert into zamestnanci (os_cislo,prijmeni,jmeno,rfid,telefon,adresa,firma,smena,aktivni) values ('5116','Pírková','Šárka','0013373156','+420 702 974 157','Šimáčkova, 1011/25, Ostrava - Mariánské Hory, 709 00, CZ','4','R','1');</v>
      </c>
    </row>
    <row r="33" spans="1:11" x14ac:dyDescent="0.25">
      <c r="A33" s="1">
        <v>5019</v>
      </c>
      <c r="B33" s="2" t="s">
        <v>186</v>
      </c>
      <c r="C33" s="2" t="s">
        <v>187</v>
      </c>
      <c r="D33" s="2" t="s">
        <v>271</v>
      </c>
      <c r="E33" s="2" t="s">
        <v>188</v>
      </c>
      <c r="F33" s="2" t="s">
        <v>189</v>
      </c>
      <c r="G33" s="2" t="s">
        <v>190</v>
      </c>
      <c r="H33" s="2" t="s">
        <v>20</v>
      </c>
      <c r="I33" s="2" t="s">
        <v>14</v>
      </c>
      <c r="J33" s="2" t="s">
        <v>7</v>
      </c>
      <c r="K33" t="str">
        <f t="shared" si="0"/>
        <v>insert into zamestnanci (os_cislo,prijmeni,jmeno,rfid,telefon,adresa,firma,smena,aktivni) values ('5019','Poterala','Anna Ewa','0013335643','+48 576 090 507','Osiedle 700-Lecia, 4B/2, Zory, 44-240, PL','4','R','1');</v>
      </c>
    </row>
    <row r="34" spans="1:11" x14ac:dyDescent="0.25">
      <c r="A34" s="1">
        <v>4973</v>
      </c>
      <c r="B34" s="2" t="s">
        <v>191</v>
      </c>
      <c r="C34" s="2" t="s">
        <v>192</v>
      </c>
      <c r="D34" s="2" t="s">
        <v>272</v>
      </c>
      <c r="E34" s="2" t="s">
        <v>193</v>
      </c>
      <c r="F34" s="2" t="s">
        <v>18</v>
      </c>
      <c r="G34" s="2" t="s">
        <v>194</v>
      </c>
      <c r="H34" s="2" t="s">
        <v>20</v>
      </c>
      <c r="I34" s="2" t="s">
        <v>14</v>
      </c>
      <c r="J34" s="2" t="s">
        <v>7</v>
      </c>
      <c r="K34" t="str">
        <f t="shared" si="0"/>
        <v>insert into zamestnanci (os_cislo,prijmeni,jmeno,rfid,telefon,adresa,firma,smena,aktivni) values ('4973','Puchalska','Monika Maria','0011842666','+48 798 789 269','Os. Pawlikowskiego, 20A/22, Zory, 44-240, PL','4','R','1');</v>
      </c>
    </row>
    <row r="35" spans="1:11" x14ac:dyDescent="0.25">
      <c r="A35" s="1">
        <v>4900</v>
      </c>
      <c r="B35" s="2" t="s">
        <v>195</v>
      </c>
      <c r="C35" s="2" t="s">
        <v>196</v>
      </c>
      <c r="D35" s="2" t="s">
        <v>273</v>
      </c>
      <c r="E35" s="2" t="s">
        <v>197</v>
      </c>
      <c r="F35" s="2" t="s">
        <v>198</v>
      </c>
      <c r="G35" s="2" t="s">
        <v>199</v>
      </c>
      <c r="H35" s="2" t="s">
        <v>26</v>
      </c>
      <c r="I35" s="2" t="s">
        <v>27</v>
      </c>
      <c r="J35" s="2" t="s">
        <v>7</v>
      </c>
      <c r="K35" t="str">
        <f t="shared" si="0"/>
        <v>insert into zamestnanci (os_cislo,prijmeni,jmeno,rfid,telefon,adresa,firma,smena,aktivni) values ('4900','Rowinski','Rafal Jacek','0013055194','+48 791 363 746','Przemyslawa, 18E/6, Wodzislaw Slaski, 44-300, PL','4','R','1');</v>
      </c>
    </row>
    <row r="36" spans="1:11" x14ac:dyDescent="0.25">
      <c r="A36" s="1">
        <v>4969</v>
      </c>
      <c r="B36" s="2" t="s">
        <v>200</v>
      </c>
      <c r="C36" s="2" t="s">
        <v>201</v>
      </c>
      <c r="D36" s="2" t="s">
        <v>274</v>
      </c>
      <c r="E36" s="2" t="s">
        <v>202</v>
      </c>
      <c r="F36" s="2" t="s">
        <v>203</v>
      </c>
      <c r="G36" s="2" t="s">
        <v>108</v>
      </c>
      <c r="H36" s="2" t="s">
        <v>5</v>
      </c>
      <c r="I36" s="2" t="s">
        <v>42</v>
      </c>
      <c r="J36" s="2" t="s">
        <v>7</v>
      </c>
      <c r="K36" t="str">
        <f t="shared" si="0"/>
        <v>insert into zamestnanci (os_cislo,prijmeni,jmeno,rfid,telefon,adresa,firma,smena,aktivni) values ('4969','Szulik','Aleksandra Beata','0013069516','+48 503 065 201','Orzepowicka, 33, Rybnik, 44-217, PL','4','R','1');</v>
      </c>
    </row>
    <row r="37" spans="1:11" x14ac:dyDescent="0.25">
      <c r="A37" s="1">
        <v>4711</v>
      </c>
      <c r="B37" s="2" t="s">
        <v>204</v>
      </c>
      <c r="C37" s="2" t="s">
        <v>205</v>
      </c>
      <c r="D37" s="2" t="s">
        <v>275</v>
      </c>
      <c r="E37" s="2" t="s">
        <v>206</v>
      </c>
      <c r="F37" s="2" t="s">
        <v>207</v>
      </c>
      <c r="G37" s="2" t="s">
        <v>208</v>
      </c>
      <c r="H37" s="2" t="s">
        <v>5</v>
      </c>
      <c r="I37" s="2" t="s">
        <v>6</v>
      </c>
      <c r="J37" s="2" t="s">
        <v>7</v>
      </c>
      <c r="K37" t="str">
        <f t="shared" si="0"/>
        <v>insert into zamestnanci (os_cislo,prijmeni,jmeno,rfid,telefon,adresa,firma,smena,aktivni) values ('4711','Szymanska','Alina Barbara','0013068368','+48 793 385 840','Rericha, 38, Rybnik, 44-274, PL','4','R','1');</v>
      </c>
    </row>
    <row r="38" spans="1:11" x14ac:dyDescent="0.25">
      <c r="A38" s="1">
        <v>4538</v>
      </c>
      <c r="B38" s="2" t="s">
        <v>209</v>
      </c>
      <c r="C38" s="2" t="s">
        <v>210</v>
      </c>
      <c r="D38" s="2" t="s">
        <v>276</v>
      </c>
      <c r="E38" s="2" t="s">
        <v>211</v>
      </c>
      <c r="F38" s="2" t="s">
        <v>212</v>
      </c>
      <c r="G38" s="2" t="s">
        <v>213</v>
      </c>
      <c r="H38" s="2" t="s">
        <v>212</v>
      </c>
      <c r="I38" s="2" t="s">
        <v>214</v>
      </c>
      <c r="J38" s="2" t="s">
        <v>144</v>
      </c>
      <c r="K38" t="str">
        <f t="shared" si="0"/>
        <v>insert into zamestnanci (os_cislo,prijmeni,jmeno,rfid,telefon,adresa,firma,smena,aktivni) values ('4538','Šlehoferová','Veronika','0013122215','+420 721 012 374','Žižice, 31, Žižice, 273 21, CZ','4','R','1');</v>
      </c>
    </row>
    <row r="39" spans="1:11" x14ac:dyDescent="0.25">
      <c r="A39" s="1">
        <v>4999</v>
      </c>
      <c r="B39" s="2" t="s">
        <v>215</v>
      </c>
      <c r="C39" s="2" t="s">
        <v>216</v>
      </c>
      <c r="D39" s="2" t="s">
        <v>277</v>
      </c>
      <c r="E39" s="2" t="s">
        <v>217</v>
      </c>
      <c r="F39" s="2" t="s">
        <v>119</v>
      </c>
      <c r="G39" s="2" t="s">
        <v>218</v>
      </c>
      <c r="H39" s="2" t="s">
        <v>5</v>
      </c>
      <c r="I39" s="2" t="s">
        <v>121</v>
      </c>
      <c r="J39" s="2" t="s">
        <v>7</v>
      </c>
      <c r="K39" t="str">
        <f t="shared" si="0"/>
        <v>insert into zamestnanci (os_cislo,prijmeni,jmeno,rfid,telefon,adresa,firma,smena,aktivni) values ('4999','Tychowski','Lukasz Tadeusz','0013027539','+31 623 247 402','Gustawa Morcinka, 37/37, Rybnik, 44-273, PL','4','R','1');</v>
      </c>
    </row>
    <row r="40" spans="1:11" x14ac:dyDescent="0.25">
      <c r="A40" s="1">
        <v>4884</v>
      </c>
      <c r="B40" s="2" t="s">
        <v>219</v>
      </c>
      <c r="C40" s="2" t="s">
        <v>220</v>
      </c>
      <c r="D40" s="2" t="s">
        <v>278</v>
      </c>
      <c r="E40" s="2" t="s">
        <v>221</v>
      </c>
      <c r="F40" s="2" t="s">
        <v>222</v>
      </c>
      <c r="G40" s="2" t="s">
        <v>223</v>
      </c>
      <c r="H40" s="2" t="s">
        <v>33</v>
      </c>
      <c r="I40" s="2" t="s">
        <v>48</v>
      </c>
      <c r="J40" s="2" t="s">
        <v>7</v>
      </c>
      <c r="K40" t="str">
        <f t="shared" si="0"/>
        <v>insert into zamestnanci (os_cislo,prijmeni,jmeno,rfid,telefon,adresa,firma,smena,aktivni) values ('4884','Wezka','Iwona','0011613672','+48 726 855 893','Slaska, 17/60, Jastrzebie Zdroj, 44-335, PL','4','R','1');</v>
      </c>
    </row>
    <row r="41" spans="1:11" x14ac:dyDescent="0.25">
      <c r="A41" s="5">
        <v>5048</v>
      </c>
      <c r="B41" s="4" t="s">
        <v>224</v>
      </c>
      <c r="C41" s="4" t="s">
        <v>225</v>
      </c>
      <c r="D41" s="4" t="s">
        <v>279</v>
      </c>
      <c r="E41" s="4" t="s">
        <v>226</v>
      </c>
      <c r="F41" s="4" t="s">
        <v>227</v>
      </c>
      <c r="G41" s="4" t="s">
        <v>228</v>
      </c>
      <c r="H41" s="4" t="s">
        <v>26</v>
      </c>
      <c r="I41" s="4" t="s">
        <v>229</v>
      </c>
      <c r="J41" s="4" t="s">
        <v>7</v>
      </c>
      <c r="K41" t="str">
        <f t="shared" si="0"/>
        <v>insert into zamestnanci (os_cislo,prijmeni,jmeno,rfid,telefon,adresa,firma,smena,aktivni) values ('5048','Wojak','Karolina','0012017941','+48 788 892 082','Gornicza, 46/8, Wodzislaw Slaski, 44-307, PL','4','R','1');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personal_</vt:lpstr>
      <vt:lpstr>Databaze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Slavíková</dc:creator>
  <cp:lastModifiedBy>Aleš Kadlec</cp:lastModifiedBy>
  <dcterms:created xsi:type="dcterms:W3CDTF">2023-10-11T11:25:50Z</dcterms:created>
  <dcterms:modified xsi:type="dcterms:W3CDTF">2023-10-12T07:33:22Z</dcterms:modified>
</cp:coreProperties>
</file>