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426919c80abe814/Dokumenty/"/>
    </mc:Choice>
  </mc:AlternateContent>
  <xr:revisionPtr revIDLastSave="0" documentId="8_{88096F20-0E35-49FC-8A19-D81D36E20792}" xr6:coauthVersionLast="47" xr6:coauthVersionMax="47" xr10:uidLastSave="{00000000-0000-0000-0000-000000000000}"/>
  <bookViews>
    <workbookView xWindow="-120" yWindow="-120" windowWidth="29040" windowHeight="15840" activeTab="1" xr2:uid="{AB5F7C42-9F4D-4988-BA6E-8D5EB6D8D1CD}"/>
  </bookViews>
  <sheets>
    <sheet name="DATA" sheetId="1" r:id="rId1"/>
    <sheet name="2025" sheetId="2" r:id="rId2"/>
    <sheet name="PIVOT" sheetId="3" r:id="rId3"/>
  </sheets>
  <definedNames>
    <definedName name="_xlnm._FilterDatabase" localSheetId="1" hidden="1">'2025'!$A$1:$A$9992</definedName>
    <definedName name="_xlnm._FilterDatabase" localSheetId="0" hidden="1">DATA!$E$1:$P$141</definedName>
    <definedName name="A">DATA!$AZ$2:$AZ$9</definedName>
    <definedName name="ExternalData_1" localSheetId="0" hidden="1">DATA!$S$1:$S$102</definedName>
    <definedName name="ExternalData_2" localSheetId="0" hidden="1">DATA!$T$1:$T$47</definedName>
    <definedName name="ExternalData_3" localSheetId="0" hidden="1">DATA!$U$1:$U$20</definedName>
    <definedName name="ExternalData_4" localSheetId="0" hidden="1">DATA!$V$1:$V$71</definedName>
    <definedName name="ExternalData_5" localSheetId="0" hidden="1">DATA!$W$1:$W$4</definedName>
    <definedName name="ExternalData_6" localSheetId="0" hidden="1">DATA!$X$1:$X$22</definedName>
    <definedName name="ExternalData_7" localSheetId="0" hidden="1">DATA!$Y$1:$Y$39</definedName>
    <definedName name="ExternalData_8" localSheetId="0" hidden="1">DATA!$Z$1:$Z$5</definedName>
    <definedName name="Firma">DATA!$R$3:$R$10</definedName>
    <definedName name="Průřez_Absence">#N/A</definedName>
    <definedName name="Průřez_Doprava">#N/A</definedName>
    <definedName name="Průřez_Přítomnost___Směna">#N/A</definedName>
    <definedName name="Směny">DATA!$AY$2:$AY$6</definedName>
    <definedName name="Úvazek">DATA!$AX$2:$AX$3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0" i="1" l="1"/>
  <c r="A301" i="1"/>
  <c r="A302" i="1"/>
  <c r="A303" i="1"/>
  <c r="A1959" i="2" l="1"/>
  <c r="A2" i="1"/>
  <c r="A3" i="1"/>
  <c r="A4" i="1"/>
  <c r="A5" i="1"/>
  <c r="A6" i="1"/>
  <c r="A7" i="1"/>
  <c r="B281" i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A5017" i="2"/>
  <c r="A5018" i="2"/>
  <c r="A5019" i="2"/>
  <c r="A5020" i="2"/>
  <c r="A5021" i="2"/>
  <c r="A5022" i="2"/>
  <c r="A5023" i="2"/>
  <c r="A5024" i="2"/>
  <c r="A5025" i="2"/>
  <c r="A5026" i="2"/>
  <c r="A5027" i="2"/>
  <c r="A5028" i="2"/>
  <c r="A5029" i="2"/>
  <c r="A5030" i="2"/>
  <c r="A5031" i="2"/>
  <c r="A5032" i="2"/>
  <c r="A5033" i="2"/>
  <c r="A5034" i="2"/>
  <c r="A5035" i="2"/>
  <c r="A5036" i="2"/>
  <c r="A5037" i="2"/>
  <c r="A5038" i="2"/>
  <c r="A5039" i="2"/>
  <c r="A5040" i="2"/>
  <c r="A5041" i="2"/>
  <c r="A5042" i="2"/>
  <c r="A5043" i="2"/>
  <c r="A5044" i="2"/>
  <c r="A5045" i="2"/>
  <c r="A5046" i="2"/>
  <c r="A5047" i="2"/>
  <c r="A5048" i="2"/>
  <c r="A5049" i="2"/>
  <c r="A5050" i="2"/>
  <c r="A5051" i="2"/>
  <c r="A5052" i="2"/>
  <c r="A5053" i="2"/>
  <c r="A5054" i="2"/>
  <c r="A5055" i="2"/>
  <c r="A5056" i="2"/>
  <c r="A5057" i="2"/>
  <c r="A5058" i="2"/>
  <c r="A5059" i="2"/>
  <c r="A5060" i="2"/>
  <c r="A5061" i="2"/>
  <c r="A5062" i="2"/>
  <c r="A5063" i="2"/>
  <c r="A5064" i="2"/>
  <c r="A5065" i="2"/>
  <c r="A5066" i="2"/>
  <c r="A5067" i="2"/>
  <c r="A5068" i="2"/>
  <c r="A5069" i="2"/>
  <c r="A5070" i="2"/>
  <c r="A5071" i="2"/>
  <c r="A5072" i="2"/>
  <c r="A5073" i="2"/>
  <c r="A5074" i="2"/>
  <c r="A5075" i="2"/>
  <c r="A5076" i="2"/>
  <c r="A5077" i="2"/>
  <c r="A5078" i="2"/>
  <c r="A5079" i="2"/>
  <c r="A5080" i="2"/>
  <c r="A5081" i="2"/>
  <c r="A5082" i="2"/>
  <c r="A5083" i="2"/>
  <c r="A5084" i="2"/>
  <c r="A5085" i="2"/>
  <c r="A5086" i="2"/>
  <c r="A5087" i="2"/>
  <c r="A5088" i="2"/>
  <c r="A5089" i="2"/>
  <c r="A5090" i="2"/>
  <c r="A5091" i="2"/>
  <c r="A5092" i="2"/>
  <c r="A5093" i="2"/>
  <c r="A5094" i="2"/>
  <c r="A5095" i="2"/>
  <c r="A5096" i="2"/>
  <c r="A5097" i="2"/>
  <c r="A5098" i="2"/>
  <c r="A5099" i="2"/>
  <c r="A5100" i="2"/>
  <c r="A5101" i="2"/>
  <c r="A5102" i="2"/>
  <c r="A5103" i="2"/>
  <c r="A5104" i="2"/>
  <c r="A5105" i="2"/>
  <c r="A5106" i="2"/>
  <c r="A5107" i="2"/>
  <c r="A5108" i="2"/>
  <c r="A5109" i="2"/>
  <c r="A5110" i="2"/>
  <c r="A5111" i="2"/>
  <c r="A5112" i="2"/>
  <c r="A5113" i="2"/>
  <c r="A5114" i="2"/>
  <c r="A5115" i="2"/>
  <c r="A5116" i="2"/>
  <c r="A5117" i="2"/>
  <c r="A5118" i="2"/>
  <c r="A5119" i="2"/>
  <c r="A5120" i="2"/>
  <c r="A5121" i="2"/>
  <c r="A5122" i="2"/>
  <c r="A5123" i="2"/>
  <c r="A5124" i="2"/>
  <c r="A5125" i="2"/>
  <c r="A5126" i="2"/>
  <c r="A5127" i="2"/>
  <c r="A5128" i="2"/>
  <c r="A5129" i="2"/>
  <c r="A5130" i="2"/>
  <c r="A5131" i="2"/>
  <c r="A5132" i="2"/>
  <c r="A5133" i="2"/>
  <c r="A5134" i="2"/>
  <c r="A5135" i="2"/>
  <c r="A5136" i="2"/>
  <c r="A5137" i="2"/>
  <c r="A5138" i="2"/>
  <c r="A5139" i="2"/>
  <c r="A5140" i="2"/>
  <c r="A5141" i="2"/>
  <c r="A5142" i="2"/>
  <c r="A5143" i="2"/>
  <c r="A5144" i="2"/>
  <c r="A5145" i="2"/>
  <c r="A5146" i="2"/>
  <c r="A5147" i="2"/>
  <c r="A5148" i="2"/>
  <c r="A5149" i="2"/>
  <c r="A5150" i="2"/>
  <c r="A5151" i="2"/>
  <c r="A5152" i="2"/>
  <c r="A5153" i="2"/>
  <c r="A5154" i="2"/>
  <c r="A5155" i="2"/>
  <c r="A5156" i="2"/>
  <c r="A5157" i="2"/>
  <c r="A5158" i="2"/>
  <c r="A5159" i="2"/>
  <c r="A5160" i="2"/>
  <c r="A5161" i="2"/>
  <c r="A5162" i="2"/>
  <c r="A5163" i="2"/>
  <c r="A5164" i="2"/>
  <c r="A5165" i="2"/>
  <c r="A5166" i="2"/>
  <c r="A5167" i="2"/>
  <c r="A5168" i="2"/>
  <c r="A5169" i="2"/>
  <c r="A5170" i="2"/>
  <c r="A5171" i="2"/>
  <c r="A5172" i="2"/>
  <c r="A5173" i="2"/>
  <c r="A5174" i="2"/>
  <c r="A5175" i="2"/>
  <c r="A5176" i="2"/>
  <c r="A5177" i="2"/>
  <c r="A5178" i="2"/>
  <c r="A5179" i="2"/>
  <c r="A5180" i="2"/>
  <c r="A5181" i="2"/>
  <c r="A5182" i="2"/>
  <c r="A5183" i="2"/>
  <c r="A5184" i="2"/>
  <c r="A5185" i="2"/>
  <c r="A5186" i="2"/>
  <c r="A5187" i="2"/>
  <c r="A5188" i="2"/>
  <c r="A5189" i="2"/>
  <c r="A5190" i="2"/>
  <c r="A5191" i="2"/>
  <c r="A5192" i="2"/>
  <c r="A5193" i="2"/>
  <c r="A5194" i="2"/>
  <c r="A5195" i="2"/>
  <c r="A5196" i="2"/>
  <c r="A5197" i="2"/>
  <c r="A5198" i="2"/>
  <c r="A5199" i="2"/>
  <c r="A5200" i="2"/>
  <c r="A5201" i="2"/>
  <c r="A5202" i="2"/>
  <c r="A5203" i="2"/>
  <c r="A5204" i="2"/>
  <c r="A5205" i="2"/>
  <c r="A5206" i="2"/>
  <c r="A5207" i="2"/>
  <c r="A5208" i="2"/>
  <c r="A5209" i="2"/>
  <c r="A5210" i="2"/>
  <c r="A5211" i="2"/>
  <c r="A5212" i="2"/>
  <c r="A5213" i="2"/>
  <c r="A5214" i="2"/>
  <c r="A5215" i="2"/>
  <c r="A5216" i="2"/>
  <c r="A5217" i="2"/>
  <c r="A5218" i="2"/>
  <c r="A5219" i="2"/>
  <c r="A5220" i="2"/>
  <c r="A5221" i="2"/>
  <c r="A5222" i="2"/>
  <c r="A5223" i="2"/>
  <c r="A5224" i="2"/>
  <c r="A5225" i="2"/>
  <c r="A5226" i="2"/>
  <c r="A5227" i="2"/>
  <c r="A5228" i="2"/>
  <c r="A5229" i="2"/>
  <c r="A5230" i="2"/>
  <c r="A5231" i="2"/>
  <c r="A5232" i="2"/>
  <c r="A5233" i="2"/>
  <c r="A5234" i="2"/>
  <c r="A5235" i="2"/>
  <c r="A5236" i="2"/>
  <c r="A5237" i="2"/>
  <c r="A5238" i="2"/>
  <c r="A5239" i="2"/>
  <c r="A5240" i="2"/>
  <c r="A5241" i="2"/>
  <c r="A5242" i="2"/>
  <c r="A5243" i="2"/>
  <c r="A5244" i="2"/>
  <c r="A5245" i="2"/>
  <c r="A5246" i="2"/>
  <c r="A5247" i="2"/>
  <c r="A5248" i="2"/>
  <c r="A5249" i="2"/>
  <c r="A5250" i="2"/>
  <c r="A5251" i="2"/>
  <c r="A5252" i="2"/>
  <c r="A5253" i="2"/>
  <c r="A5254" i="2"/>
  <c r="A5255" i="2"/>
  <c r="A5256" i="2"/>
  <c r="A5257" i="2"/>
  <c r="A5258" i="2"/>
  <c r="A5259" i="2"/>
  <c r="A5260" i="2"/>
  <c r="A5261" i="2"/>
  <c r="A5262" i="2"/>
  <c r="A5263" i="2"/>
  <c r="A5264" i="2"/>
  <c r="A5265" i="2"/>
  <c r="A5266" i="2"/>
  <c r="A5267" i="2"/>
  <c r="A5268" i="2"/>
  <c r="A5269" i="2"/>
  <c r="A5270" i="2"/>
  <c r="A5271" i="2"/>
  <c r="A5272" i="2"/>
  <c r="A5273" i="2"/>
  <c r="A5274" i="2"/>
  <c r="A5275" i="2"/>
  <c r="A5276" i="2"/>
  <c r="A5277" i="2"/>
  <c r="A5278" i="2"/>
  <c r="A5279" i="2"/>
  <c r="A5280" i="2"/>
  <c r="A5281" i="2"/>
  <c r="A5282" i="2"/>
  <c r="A5283" i="2"/>
  <c r="A5284" i="2"/>
  <c r="A5285" i="2"/>
  <c r="A5286" i="2"/>
  <c r="A5287" i="2"/>
  <c r="A5288" i="2"/>
  <c r="A5289" i="2"/>
  <c r="A5290" i="2"/>
  <c r="A5291" i="2"/>
  <c r="A5292" i="2"/>
  <c r="A5293" i="2"/>
  <c r="A5294" i="2"/>
  <c r="A5295" i="2"/>
  <c r="A5296" i="2"/>
  <c r="A5297" i="2"/>
  <c r="A5298" i="2"/>
  <c r="A5299" i="2"/>
  <c r="A5300" i="2"/>
  <c r="A5301" i="2"/>
  <c r="A5302" i="2"/>
  <c r="A5303" i="2"/>
  <c r="A5304" i="2"/>
  <c r="A5305" i="2"/>
  <c r="A5306" i="2"/>
  <c r="A5307" i="2"/>
  <c r="A5308" i="2"/>
  <c r="A5309" i="2"/>
  <c r="A5310" i="2"/>
  <c r="A5311" i="2"/>
  <c r="A5312" i="2"/>
  <c r="A5313" i="2"/>
  <c r="A5314" i="2"/>
  <c r="A5315" i="2"/>
  <c r="A5316" i="2"/>
  <c r="A5317" i="2"/>
  <c r="A5318" i="2"/>
  <c r="A5319" i="2"/>
  <c r="A5320" i="2"/>
  <c r="A5321" i="2"/>
  <c r="A5322" i="2"/>
  <c r="A5323" i="2"/>
  <c r="A5324" i="2"/>
  <c r="A5325" i="2"/>
  <c r="A5326" i="2"/>
  <c r="A5327" i="2"/>
  <c r="A5328" i="2"/>
  <c r="A5329" i="2"/>
  <c r="A5330" i="2"/>
  <c r="A5331" i="2"/>
  <c r="A5332" i="2"/>
  <c r="A5333" i="2"/>
  <c r="A5334" i="2"/>
  <c r="A5335" i="2"/>
  <c r="A5336" i="2"/>
  <c r="A5337" i="2"/>
  <c r="A5338" i="2"/>
  <c r="A5339" i="2"/>
  <c r="A5340" i="2"/>
  <c r="A5341" i="2"/>
  <c r="A5342" i="2"/>
  <c r="A5343" i="2"/>
  <c r="A5344" i="2"/>
  <c r="A5345" i="2"/>
  <c r="A5346" i="2"/>
  <c r="A5347" i="2"/>
  <c r="A5348" i="2"/>
  <c r="A5349" i="2"/>
  <c r="A5350" i="2"/>
  <c r="A5351" i="2"/>
  <c r="A5352" i="2"/>
  <c r="A5353" i="2"/>
  <c r="A5354" i="2"/>
  <c r="A5355" i="2"/>
  <c r="A5356" i="2"/>
  <c r="A5357" i="2"/>
  <c r="A5358" i="2"/>
  <c r="A5359" i="2"/>
  <c r="A5360" i="2"/>
  <c r="A5361" i="2"/>
  <c r="A5362" i="2"/>
  <c r="A5363" i="2"/>
  <c r="A5364" i="2"/>
  <c r="A5365" i="2"/>
  <c r="A5366" i="2"/>
  <c r="A5367" i="2"/>
  <c r="A5368" i="2"/>
  <c r="A5369" i="2"/>
  <c r="A5370" i="2"/>
  <c r="A5371" i="2"/>
  <c r="A5372" i="2"/>
  <c r="A5373" i="2"/>
  <c r="A5374" i="2"/>
  <c r="A5375" i="2"/>
  <c r="A5376" i="2"/>
  <c r="A5377" i="2"/>
  <c r="A5378" i="2"/>
  <c r="A5379" i="2"/>
  <c r="A5380" i="2"/>
  <c r="A5381" i="2"/>
  <c r="A5382" i="2"/>
  <c r="A5383" i="2"/>
  <c r="A5384" i="2"/>
  <c r="A5385" i="2"/>
  <c r="A5386" i="2"/>
  <c r="A5387" i="2"/>
  <c r="A5388" i="2"/>
  <c r="A5389" i="2"/>
  <c r="A5390" i="2"/>
  <c r="A5391" i="2"/>
  <c r="A5392" i="2"/>
  <c r="A5393" i="2"/>
  <c r="A5394" i="2"/>
  <c r="A5395" i="2"/>
  <c r="A5396" i="2"/>
  <c r="A5397" i="2"/>
  <c r="A5398" i="2"/>
  <c r="A5399" i="2"/>
  <c r="A5400" i="2"/>
  <c r="A5401" i="2"/>
  <c r="A5402" i="2"/>
  <c r="A5403" i="2"/>
  <c r="A5404" i="2"/>
  <c r="A5405" i="2"/>
  <c r="A5406" i="2"/>
  <c r="A5407" i="2"/>
  <c r="A5408" i="2"/>
  <c r="A5409" i="2"/>
  <c r="A5410" i="2"/>
  <c r="A5411" i="2"/>
  <c r="A5412" i="2"/>
  <c r="A5413" i="2"/>
  <c r="A5414" i="2"/>
  <c r="A5415" i="2"/>
  <c r="A5416" i="2"/>
  <c r="A5417" i="2"/>
  <c r="A5418" i="2"/>
  <c r="A5419" i="2"/>
  <c r="A5420" i="2"/>
  <c r="A5421" i="2"/>
  <c r="A5422" i="2"/>
  <c r="A5423" i="2"/>
  <c r="A5424" i="2"/>
  <c r="A5425" i="2"/>
  <c r="A5426" i="2"/>
  <c r="A5427" i="2"/>
  <c r="A5428" i="2"/>
  <c r="A5429" i="2"/>
  <c r="A5430" i="2"/>
  <c r="A5431" i="2"/>
  <c r="A5432" i="2"/>
  <c r="A5433" i="2"/>
  <c r="A5434" i="2"/>
  <c r="A5435" i="2"/>
  <c r="A5436" i="2"/>
  <c r="A5437" i="2"/>
  <c r="A5438" i="2"/>
  <c r="A5439" i="2"/>
  <c r="A5440" i="2"/>
  <c r="A5441" i="2"/>
  <c r="A5442" i="2"/>
  <c r="A5443" i="2"/>
  <c r="A5444" i="2"/>
  <c r="A5445" i="2"/>
  <c r="A5446" i="2"/>
  <c r="A5447" i="2"/>
  <c r="A5448" i="2"/>
  <c r="A5449" i="2"/>
  <c r="A5450" i="2"/>
  <c r="A5451" i="2"/>
  <c r="A5452" i="2"/>
  <c r="A5453" i="2"/>
  <c r="A5454" i="2"/>
  <c r="A5455" i="2"/>
  <c r="A5456" i="2"/>
  <c r="A5457" i="2"/>
  <c r="A5458" i="2"/>
  <c r="A5459" i="2"/>
  <c r="A5460" i="2"/>
  <c r="A5461" i="2"/>
  <c r="A5462" i="2"/>
  <c r="A5463" i="2"/>
  <c r="A5464" i="2"/>
  <c r="A5465" i="2"/>
  <c r="A5466" i="2"/>
  <c r="A5467" i="2"/>
  <c r="A5468" i="2"/>
  <c r="A5469" i="2"/>
  <c r="A5470" i="2"/>
  <c r="A5471" i="2"/>
  <c r="A5472" i="2"/>
  <c r="A5473" i="2"/>
  <c r="A5474" i="2"/>
  <c r="A5475" i="2"/>
  <c r="A5476" i="2"/>
  <c r="A5477" i="2"/>
  <c r="A5478" i="2"/>
  <c r="A5479" i="2"/>
  <c r="A5480" i="2"/>
  <c r="A5481" i="2"/>
  <c r="A5482" i="2"/>
  <c r="A5483" i="2"/>
  <c r="A5484" i="2"/>
  <c r="A5485" i="2"/>
  <c r="A5486" i="2"/>
  <c r="A5487" i="2"/>
  <c r="A5488" i="2"/>
  <c r="A5489" i="2"/>
  <c r="A5490" i="2"/>
  <c r="A5491" i="2"/>
  <c r="A5492" i="2"/>
  <c r="A5493" i="2"/>
  <c r="A5494" i="2"/>
  <c r="A5495" i="2"/>
  <c r="A5496" i="2"/>
  <c r="A5497" i="2"/>
  <c r="A5498" i="2"/>
  <c r="A5499" i="2"/>
  <c r="A5500" i="2"/>
  <c r="A5501" i="2"/>
  <c r="A5502" i="2"/>
  <c r="A5503" i="2"/>
  <c r="A5504" i="2"/>
  <c r="A5505" i="2"/>
  <c r="A5506" i="2"/>
  <c r="A5507" i="2"/>
  <c r="A5508" i="2"/>
  <c r="A5509" i="2"/>
  <c r="A5510" i="2"/>
  <c r="A5511" i="2"/>
  <c r="A5512" i="2"/>
  <c r="A5513" i="2"/>
  <c r="A5514" i="2"/>
  <c r="A5515" i="2"/>
  <c r="A5516" i="2"/>
  <c r="A5517" i="2"/>
  <c r="A5518" i="2"/>
  <c r="A5519" i="2"/>
  <c r="A5520" i="2"/>
  <c r="A5521" i="2"/>
  <c r="A5522" i="2"/>
  <c r="A5523" i="2"/>
  <c r="A5524" i="2"/>
  <c r="A5525" i="2"/>
  <c r="A5526" i="2"/>
  <c r="A5527" i="2"/>
  <c r="A5528" i="2"/>
  <c r="A5529" i="2"/>
  <c r="A5530" i="2"/>
  <c r="A5531" i="2"/>
  <c r="A5532" i="2"/>
  <c r="A5533" i="2"/>
  <c r="A5534" i="2"/>
  <c r="A5535" i="2"/>
  <c r="A5536" i="2"/>
  <c r="A5537" i="2"/>
  <c r="A5538" i="2"/>
  <c r="A5539" i="2"/>
  <c r="A5540" i="2"/>
  <c r="A5541" i="2"/>
  <c r="A5542" i="2"/>
  <c r="A5543" i="2"/>
  <c r="A5544" i="2"/>
  <c r="A5545" i="2"/>
  <c r="A5546" i="2"/>
  <c r="A5547" i="2"/>
  <c r="A5548" i="2"/>
  <c r="A5549" i="2"/>
  <c r="A5550" i="2"/>
  <c r="A5551" i="2"/>
  <c r="A5552" i="2"/>
  <c r="A5553" i="2"/>
  <c r="A5554" i="2"/>
  <c r="A5555" i="2"/>
  <c r="A5556" i="2"/>
  <c r="A5557" i="2"/>
  <c r="A5558" i="2"/>
  <c r="A5559" i="2"/>
  <c r="A5560" i="2"/>
  <c r="A5561" i="2"/>
  <c r="A5562" i="2"/>
  <c r="A5563" i="2"/>
  <c r="A5564" i="2"/>
  <c r="A5565" i="2"/>
  <c r="A5566" i="2"/>
  <c r="A5567" i="2"/>
  <c r="A5568" i="2"/>
  <c r="A5569" i="2"/>
  <c r="A5570" i="2"/>
  <c r="A5571" i="2"/>
  <c r="A5572" i="2"/>
  <c r="A5573" i="2"/>
  <c r="A5574" i="2"/>
  <c r="A5575" i="2"/>
  <c r="A5576" i="2"/>
  <c r="A5577" i="2"/>
  <c r="A5578" i="2"/>
  <c r="A5579" i="2"/>
  <c r="A5580" i="2"/>
  <c r="A5581" i="2"/>
  <c r="A5582" i="2"/>
  <c r="A5583" i="2"/>
  <c r="A5584" i="2"/>
  <c r="A5585" i="2"/>
  <c r="A5586" i="2"/>
  <c r="A5587" i="2"/>
  <c r="A5588" i="2"/>
  <c r="A5589" i="2"/>
  <c r="A5590" i="2"/>
  <c r="A5591" i="2"/>
  <c r="A5592" i="2"/>
  <c r="A5593" i="2"/>
  <c r="A5594" i="2"/>
  <c r="A5595" i="2"/>
  <c r="A5596" i="2"/>
  <c r="A5597" i="2"/>
  <c r="A5598" i="2"/>
  <c r="A5599" i="2"/>
  <c r="A5600" i="2"/>
  <c r="A5601" i="2"/>
  <c r="A5602" i="2"/>
  <c r="A5603" i="2"/>
  <c r="A5604" i="2"/>
  <c r="A5605" i="2"/>
  <c r="A5606" i="2"/>
  <c r="A5607" i="2"/>
  <c r="A5608" i="2"/>
  <c r="A5609" i="2"/>
  <c r="A5610" i="2"/>
  <c r="A5611" i="2"/>
  <c r="A5612" i="2"/>
  <c r="A5613" i="2"/>
  <c r="A5614" i="2"/>
  <c r="A5615" i="2"/>
  <c r="A5616" i="2"/>
  <c r="A5617" i="2"/>
  <c r="A5618" i="2"/>
  <c r="A5619" i="2"/>
  <c r="A5620" i="2"/>
  <c r="A5621" i="2"/>
  <c r="A5622" i="2"/>
  <c r="A5623" i="2"/>
  <c r="A5624" i="2"/>
  <c r="A5625" i="2"/>
  <c r="A5626" i="2"/>
  <c r="A5627" i="2"/>
  <c r="A5628" i="2"/>
  <c r="A5629" i="2"/>
  <c r="A5630" i="2"/>
  <c r="A5631" i="2"/>
  <c r="A5632" i="2"/>
  <c r="A5633" i="2"/>
  <c r="A5634" i="2"/>
  <c r="A5635" i="2"/>
  <c r="A5636" i="2"/>
  <c r="A5637" i="2"/>
  <c r="A5638" i="2"/>
  <c r="A5639" i="2"/>
  <c r="A5640" i="2"/>
  <c r="A5641" i="2"/>
  <c r="A5642" i="2"/>
  <c r="A5643" i="2"/>
  <c r="A5644" i="2"/>
  <c r="A5645" i="2"/>
  <c r="A5646" i="2"/>
  <c r="A5647" i="2"/>
  <c r="A5648" i="2"/>
  <c r="A5649" i="2"/>
  <c r="A5650" i="2"/>
  <c r="A5651" i="2"/>
  <c r="A5652" i="2"/>
  <c r="A5653" i="2"/>
  <c r="A5654" i="2"/>
  <c r="A5655" i="2"/>
  <c r="A5656" i="2"/>
  <c r="A5657" i="2"/>
  <c r="A5658" i="2"/>
  <c r="A5659" i="2"/>
  <c r="A5660" i="2"/>
  <c r="A5661" i="2"/>
  <c r="A5662" i="2"/>
  <c r="A5663" i="2"/>
  <c r="A5664" i="2"/>
  <c r="A5665" i="2"/>
  <c r="A5666" i="2"/>
  <c r="A5667" i="2"/>
  <c r="A5668" i="2"/>
  <c r="A5669" i="2"/>
  <c r="A5670" i="2"/>
  <c r="A5671" i="2"/>
  <c r="A5672" i="2"/>
  <c r="A5673" i="2"/>
  <c r="A5674" i="2"/>
  <c r="A5675" i="2"/>
  <c r="A5676" i="2"/>
  <c r="A5677" i="2"/>
  <c r="A5678" i="2"/>
  <c r="A5679" i="2"/>
  <c r="A5680" i="2"/>
  <c r="A5681" i="2"/>
  <c r="A5682" i="2"/>
  <c r="A5683" i="2"/>
  <c r="A5684" i="2"/>
  <c r="A5685" i="2"/>
  <c r="A5686" i="2"/>
  <c r="A5687" i="2"/>
  <c r="A5688" i="2"/>
  <c r="A5689" i="2"/>
  <c r="A5690" i="2"/>
  <c r="A5691" i="2"/>
  <c r="A5692" i="2"/>
  <c r="A5693" i="2"/>
  <c r="A5694" i="2"/>
  <c r="A5695" i="2"/>
  <c r="A5696" i="2"/>
  <c r="A5697" i="2"/>
  <c r="A5698" i="2"/>
  <c r="A5699" i="2"/>
  <c r="A5700" i="2"/>
  <c r="A5701" i="2"/>
  <c r="A5702" i="2"/>
  <c r="A5703" i="2"/>
  <c r="A5704" i="2"/>
  <c r="A5705" i="2"/>
  <c r="A5706" i="2"/>
  <c r="A5707" i="2"/>
  <c r="A5708" i="2"/>
  <c r="A5709" i="2"/>
  <c r="A5710" i="2"/>
  <c r="A5711" i="2"/>
  <c r="A5712" i="2"/>
  <c r="A5713" i="2"/>
  <c r="A5714" i="2"/>
  <c r="A5715" i="2"/>
  <c r="A5716" i="2"/>
  <c r="A5717" i="2"/>
  <c r="A5718" i="2"/>
  <c r="A5719" i="2"/>
  <c r="A5720" i="2"/>
  <c r="A5721" i="2"/>
  <c r="A5722" i="2"/>
  <c r="A5723" i="2"/>
  <c r="A5724" i="2"/>
  <c r="A5725" i="2"/>
  <c r="A5726" i="2"/>
  <c r="A5727" i="2"/>
  <c r="A5728" i="2"/>
  <c r="A5729" i="2"/>
  <c r="A5730" i="2"/>
  <c r="A5731" i="2"/>
  <c r="A5732" i="2"/>
  <c r="A5733" i="2"/>
  <c r="A5734" i="2"/>
  <c r="A5735" i="2"/>
  <c r="A5736" i="2"/>
  <c r="A5737" i="2"/>
  <c r="A5738" i="2"/>
  <c r="A5739" i="2"/>
  <c r="A5740" i="2"/>
  <c r="A5741" i="2"/>
  <c r="A5742" i="2"/>
  <c r="A5743" i="2"/>
  <c r="A5744" i="2"/>
  <c r="A5745" i="2"/>
  <c r="A5746" i="2"/>
  <c r="A5747" i="2"/>
  <c r="A5748" i="2"/>
  <c r="A5749" i="2"/>
  <c r="A5750" i="2"/>
  <c r="A5751" i="2"/>
  <c r="A5752" i="2"/>
  <c r="A5753" i="2"/>
  <c r="A5754" i="2"/>
  <c r="A5755" i="2"/>
  <c r="A5756" i="2"/>
  <c r="A5757" i="2"/>
  <c r="A5758" i="2"/>
  <c r="A5759" i="2"/>
  <c r="A5760" i="2"/>
  <c r="A5761" i="2"/>
  <c r="A5762" i="2"/>
  <c r="A5763" i="2"/>
  <c r="A5764" i="2"/>
  <c r="A5765" i="2"/>
  <c r="A5766" i="2"/>
  <c r="A5767" i="2"/>
  <c r="A5768" i="2"/>
  <c r="A5769" i="2"/>
  <c r="A5770" i="2"/>
  <c r="A5771" i="2"/>
  <c r="A5772" i="2"/>
  <c r="A5773" i="2"/>
  <c r="A5774" i="2"/>
  <c r="A5775" i="2"/>
  <c r="A5776" i="2"/>
  <c r="A5777" i="2"/>
  <c r="A5778" i="2"/>
  <c r="A5779" i="2"/>
  <c r="A5780" i="2"/>
  <c r="A5781" i="2"/>
  <c r="A5782" i="2"/>
  <c r="A5783" i="2"/>
  <c r="A5784" i="2"/>
  <c r="A5785" i="2"/>
  <c r="A5786" i="2"/>
  <c r="A5787" i="2"/>
  <c r="A5788" i="2"/>
  <c r="A5789" i="2"/>
  <c r="A5790" i="2"/>
  <c r="A5791" i="2"/>
  <c r="A5792" i="2"/>
  <c r="A5793" i="2"/>
  <c r="A5794" i="2"/>
  <c r="A5795" i="2"/>
  <c r="A5796" i="2"/>
  <c r="A5797" i="2"/>
  <c r="A5798" i="2"/>
  <c r="A5799" i="2"/>
  <c r="A5800" i="2"/>
  <c r="A5801" i="2"/>
  <c r="A5802" i="2"/>
  <c r="A5803" i="2"/>
  <c r="A5804" i="2"/>
  <c r="A5805" i="2"/>
  <c r="A5806" i="2"/>
  <c r="A5807" i="2"/>
  <c r="A5808" i="2"/>
  <c r="A5809" i="2"/>
  <c r="A5810" i="2"/>
  <c r="A5811" i="2"/>
  <c r="A5812" i="2"/>
  <c r="A5813" i="2"/>
  <c r="A5814" i="2"/>
  <c r="A5815" i="2"/>
  <c r="A5816" i="2"/>
  <c r="A5817" i="2"/>
  <c r="A5818" i="2"/>
  <c r="A5819" i="2"/>
  <c r="A5820" i="2"/>
  <c r="A5821" i="2"/>
  <c r="A5822" i="2"/>
  <c r="A5823" i="2"/>
  <c r="A5824" i="2"/>
  <c r="A5825" i="2"/>
  <c r="A5826" i="2"/>
  <c r="A5827" i="2"/>
  <c r="A5828" i="2"/>
  <c r="A5829" i="2"/>
  <c r="A5830" i="2"/>
  <c r="A5831" i="2"/>
  <c r="A5832" i="2"/>
  <c r="A5833" i="2"/>
  <c r="A5834" i="2"/>
  <c r="A5835" i="2"/>
  <c r="A5836" i="2"/>
  <c r="A5837" i="2"/>
  <c r="A5838" i="2"/>
  <c r="A5839" i="2"/>
  <c r="A5840" i="2"/>
  <c r="A5841" i="2"/>
  <c r="A5842" i="2"/>
  <c r="A5843" i="2"/>
  <c r="A5844" i="2"/>
  <c r="A5845" i="2"/>
  <c r="A5846" i="2"/>
  <c r="A5847" i="2"/>
  <c r="A5848" i="2"/>
  <c r="A5849" i="2"/>
  <c r="A5850" i="2"/>
  <c r="A5851" i="2"/>
  <c r="A5852" i="2"/>
  <c r="A5853" i="2"/>
  <c r="A5854" i="2"/>
  <c r="A5855" i="2"/>
  <c r="A5856" i="2"/>
  <c r="A5857" i="2"/>
  <c r="A5858" i="2"/>
  <c r="A5859" i="2"/>
  <c r="A5860" i="2"/>
  <c r="A5861" i="2"/>
  <c r="A5862" i="2"/>
  <c r="A5863" i="2"/>
  <c r="A5864" i="2"/>
  <c r="A5865" i="2"/>
  <c r="A5866" i="2"/>
  <c r="A5867" i="2"/>
  <c r="A5868" i="2"/>
  <c r="A5869" i="2"/>
  <c r="A5870" i="2"/>
  <c r="A5871" i="2"/>
  <c r="A5872" i="2"/>
  <c r="A5873" i="2"/>
  <c r="A5874" i="2"/>
  <c r="A5875" i="2"/>
  <c r="A5876" i="2"/>
  <c r="A5877" i="2"/>
  <c r="A5878" i="2"/>
  <c r="A5879" i="2"/>
  <c r="A5880" i="2"/>
  <c r="A5881" i="2"/>
  <c r="A5882" i="2"/>
  <c r="A5883" i="2"/>
  <c r="A5884" i="2"/>
  <c r="A5885" i="2"/>
  <c r="A5886" i="2"/>
  <c r="A5887" i="2"/>
  <c r="A5888" i="2"/>
  <c r="A5889" i="2"/>
  <c r="A5890" i="2"/>
  <c r="A5891" i="2"/>
  <c r="A5892" i="2"/>
  <c r="A5893" i="2"/>
  <c r="A5894" i="2"/>
  <c r="A5895" i="2"/>
  <c r="A5896" i="2"/>
  <c r="A5897" i="2"/>
  <c r="A5898" i="2"/>
  <c r="A5899" i="2"/>
  <c r="A5900" i="2"/>
  <c r="A5901" i="2"/>
  <c r="A5902" i="2"/>
  <c r="A5903" i="2"/>
  <c r="A5904" i="2"/>
  <c r="A5905" i="2"/>
  <c r="A5906" i="2"/>
  <c r="A5907" i="2"/>
  <c r="A5908" i="2"/>
  <c r="A5909" i="2"/>
  <c r="A5910" i="2"/>
  <c r="A5911" i="2"/>
  <c r="A5912" i="2"/>
  <c r="A5913" i="2"/>
  <c r="A5914" i="2"/>
  <c r="A5915" i="2"/>
  <c r="A5916" i="2"/>
  <c r="A5917" i="2"/>
  <c r="A5918" i="2"/>
  <c r="A5919" i="2"/>
  <c r="A5920" i="2"/>
  <c r="A5921" i="2"/>
  <c r="A5922" i="2"/>
  <c r="A5923" i="2"/>
  <c r="A5924" i="2"/>
  <c r="A5925" i="2"/>
  <c r="A5926" i="2"/>
  <c r="A5927" i="2"/>
  <c r="A5928" i="2"/>
  <c r="A5929" i="2"/>
  <c r="A5930" i="2"/>
  <c r="A5931" i="2"/>
  <c r="A5932" i="2"/>
  <c r="A5933" i="2"/>
  <c r="A5934" i="2"/>
  <c r="A5935" i="2"/>
  <c r="A5936" i="2"/>
  <c r="A5937" i="2"/>
  <c r="A5938" i="2"/>
  <c r="A5939" i="2"/>
  <c r="A5940" i="2"/>
  <c r="A5941" i="2"/>
  <c r="A5942" i="2"/>
  <c r="A5943" i="2"/>
  <c r="A5944" i="2"/>
  <c r="A5945" i="2"/>
  <c r="A5946" i="2"/>
  <c r="A5947" i="2"/>
  <c r="A5948" i="2"/>
  <c r="A5949" i="2"/>
  <c r="A5950" i="2"/>
  <c r="A5951" i="2"/>
  <c r="A5952" i="2"/>
  <c r="A5953" i="2"/>
  <c r="A5954" i="2"/>
  <c r="A5955" i="2"/>
  <c r="A5956" i="2"/>
  <c r="A5957" i="2"/>
  <c r="A5958" i="2"/>
  <c r="A5959" i="2"/>
  <c r="A5960" i="2"/>
  <c r="A5961" i="2"/>
  <c r="A5962" i="2"/>
  <c r="A5963" i="2"/>
  <c r="A5964" i="2"/>
  <c r="A5965" i="2"/>
  <c r="A5966" i="2"/>
  <c r="A5967" i="2"/>
  <c r="A5968" i="2"/>
  <c r="A5969" i="2"/>
  <c r="A5970" i="2"/>
  <c r="A5971" i="2"/>
  <c r="A5972" i="2"/>
  <c r="A5973" i="2"/>
  <c r="A5974" i="2"/>
  <c r="A5975" i="2"/>
  <c r="A5976" i="2"/>
  <c r="A5977" i="2"/>
  <c r="A5978" i="2"/>
  <c r="A5979" i="2"/>
  <c r="A5980" i="2"/>
  <c r="A5981" i="2"/>
  <c r="A5982" i="2"/>
  <c r="A5983" i="2"/>
  <c r="A5984" i="2"/>
  <c r="A5985" i="2"/>
  <c r="A5986" i="2"/>
  <c r="A5987" i="2"/>
  <c r="A5988" i="2"/>
  <c r="A5989" i="2"/>
  <c r="A5990" i="2"/>
  <c r="A5991" i="2"/>
  <c r="A5992" i="2"/>
  <c r="A5993" i="2"/>
  <c r="A5994" i="2"/>
  <c r="A5995" i="2"/>
  <c r="A5996" i="2"/>
  <c r="A5997" i="2"/>
  <c r="A5998" i="2"/>
  <c r="A5999" i="2"/>
  <c r="A6000" i="2"/>
  <c r="A6001" i="2"/>
  <c r="A6002" i="2"/>
  <c r="A6003" i="2"/>
  <c r="A6004" i="2"/>
  <c r="A6005" i="2"/>
  <c r="A6006" i="2"/>
  <c r="A6007" i="2"/>
  <c r="A6008" i="2"/>
  <c r="A6009" i="2"/>
  <c r="A6010" i="2"/>
  <c r="A6011" i="2"/>
  <c r="A6012" i="2"/>
  <c r="A6013" i="2"/>
  <c r="A6014" i="2"/>
  <c r="A6015" i="2"/>
  <c r="A6016" i="2"/>
  <c r="A6017" i="2"/>
  <c r="A6018" i="2"/>
  <c r="A6019" i="2"/>
  <c r="A6020" i="2"/>
  <c r="A6021" i="2"/>
  <c r="A6022" i="2"/>
  <c r="A6023" i="2"/>
  <c r="A6024" i="2"/>
  <c r="A6025" i="2"/>
  <c r="A6026" i="2"/>
  <c r="A6027" i="2"/>
  <c r="A6028" i="2"/>
  <c r="A6029" i="2"/>
  <c r="A6030" i="2"/>
  <c r="A6031" i="2"/>
  <c r="A6032" i="2"/>
  <c r="A6033" i="2"/>
  <c r="A6034" i="2"/>
  <c r="A6035" i="2"/>
  <c r="A6036" i="2"/>
  <c r="A6037" i="2"/>
  <c r="A6038" i="2"/>
  <c r="A6039" i="2"/>
  <c r="A6040" i="2"/>
  <c r="A6041" i="2"/>
  <c r="A6042" i="2"/>
  <c r="A6043" i="2"/>
  <c r="A6044" i="2"/>
  <c r="A6045" i="2"/>
  <c r="A6046" i="2"/>
  <c r="A6047" i="2"/>
  <c r="A6048" i="2"/>
  <c r="A6049" i="2"/>
  <c r="A6050" i="2"/>
  <c r="A6051" i="2"/>
  <c r="A6052" i="2"/>
  <c r="A6053" i="2"/>
  <c r="A6054" i="2"/>
  <c r="A6055" i="2"/>
  <c r="A6056" i="2"/>
  <c r="A6057" i="2"/>
  <c r="A6058" i="2"/>
  <c r="A6059" i="2"/>
  <c r="A6060" i="2"/>
  <c r="A6061" i="2"/>
  <c r="A6062" i="2"/>
  <c r="A6063" i="2"/>
  <c r="A6064" i="2"/>
  <c r="A6065" i="2"/>
  <c r="A6066" i="2"/>
  <c r="A6067" i="2"/>
  <c r="A6068" i="2"/>
  <c r="A6069" i="2"/>
  <c r="A6070" i="2"/>
  <c r="A6071" i="2"/>
  <c r="A6072" i="2"/>
  <c r="A6073" i="2"/>
  <c r="A6074" i="2"/>
  <c r="A6075" i="2"/>
  <c r="A6076" i="2"/>
  <c r="A6077" i="2"/>
  <c r="A6078" i="2"/>
  <c r="A6079" i="2"/>
  <c r="A6080" i="2"/>
  <c r="A6081" i="2"/>
  <c r="A6082" i="2"/>
  <c r="A6083" i="2"/>
  <c r="A6084" i="2"/>
  <c r="A6085" i="2"/>
  <c r="A6086" i="2"/>
  <c r="A6087" i="2"/>
  <c r="A6088" i="2"/>
  <c r="A6089" i="2"/>
  <c r="A6090" i="2"/>
  <c r="A6091" i="2"/>
  <c r="A6092" i="2"/>
  <c r="A6093" i="2"/>
  <c r="A6094" i="2"/>
  <c r="A6095" i="2"/>
  <c r="A6096" i="2"/>
  <c r="A6097" i="2"/>
  <c r="A6098" i="2"/>
  <c r="A6099" i="2"/>
  <c r="A6100" i="2"/>
  <c r="A6101" i="2"/>
  <c r="A6102" i="2"/>
  <c r="A6103" i="2"/>
  <c r="A6104" i="2"/>
  <c r="A6105" i="2"/>
  <c r="A6106" i="2"/>
  <c r="A6107" i="2"/>
  <c r="A6108" i="2"/>
  <c r="A6109" i="2"/>
  <c r="A6110" i="2"/>
  <c r="A6111" i="2"/>
  <c r="A6112" i="2"/>
  <c r="A6113" i="2"/>
  <c r="A6114" i="2"/>
  <c r="A6115" i="2"/>
  <c r="A6116" i="2"/>
  <c r="A6117" i="2"/>
  <c r="A6118" i="2"/>
  <c r="A6119" i="2"/>
  <c r="A6120" i="2"/>
  <c r="A6121" i="2"/>
  <c r="A6122" i="2"/>
  <c r="A6123" i="2"/>
  <c r="A6124" i="2"/>
  <c r="A6125" i="2"/>
  <c r="A6126" i="2"/>
  <c r="A6127" i="2"/>
  <c r="A6128" i="2"/>
  <c r="A6129" i="2"/>
  <c r="A6130" i="2"/>
  <c r="A6131" i="2"/>
  <c r="A6132" i="2"/>
  <c r="A6133" i="2"/>
  <c r="A6134" i="2"/>
  <c r="A6135" i="2"/>
  <c r="A6136" i="2"/>
  <c r="A6137" i="2"/>
  <c r="A6138" i="2"/>
  <c r="A6139" i="2"/>
  <c r="A6140" i="2"/>
  <c r="A6141" i="2"/>
  <c r="A6142" i="2"/>
  <c r="A6143" i="2"/>
  <c r="A6144" i="2"/>
  <c r="A6145" i="2"/>
  <c r="A6146" i="2"/>
  <c r="A6147" i="2"/>
  <c r="A6148" i="2"/>
  <c r="A6149" i="2"/>
  <c r="A6150" i="2"/>
  <c r="A6151" i="2"/>
  <c r="A6152" i="2"/>
  <c r="A6153" i="2"/>
  <c r="A6154" i="2"/>
  <c r="A6155" i="2"/>
  <c r="A6156" i="2"/>
  <c r="A6157" i="2"/>
  <c r="A6158" i="2"/>
  <c r="A6159" i="2"/>
  <c r="A6160" i="2"/>
  <c r="A6161" i="2"/>
  <c r="A6162" i="2"/>
  <c r="A6163" i="2"/>
  <c r="A6164" i="2"/>
  <c r="A6165" i="2"/>
  <c r="A6166" i="2"/>
  <c r="A6167" i="2"/>
  <c r="A6168" i="2"/>
  <c r="A6169" i="2"/>
  <c r="A6170" i="2"/>
  <c r="A6171" i="2"/>
  <c r="A6172" i="2"/>
  <c r="A6173" i="2"/>
  <c r="A6174" i="2"/>
  <c r="A6175" i="2"/>
  <c r="A6176" i="2"/>
  <c r="A6177" i="2"/>
  <c r="A6178" i="2"/>
  <c r="A6179" i="2"/>
  <c r="A6180" i="2"/>
  <c r="A6181" i="2"/>
  <c r="A6182" i="2"/>
  <c r="A6183" i="2"/>
  <c r="A6184" i="2"/>
  <c r="A6185" i="2"/>
  <c r="A6186" i="2"/>
  <c r="A6187" i="2"/>
  <c r="A6188" i="2"/>
  <c r="A6189" i="2"/>
  <c r="A6190" i="2"/>
  <c r="A6191" i="2"/>
  <c r="A6192" i="2"/>
  <c r="A6193" i="2"/>
  <c r="A6194" i="2"/>
  <c r="A6195" i="2"/>
  <c r="A6196" i="2"/>
  <c r="A6197" i="2"/>
  <c r="A6198" i="2"/>
  <c r="A6199" i="2"/>
  <c r="A6200" i="2"/>
  <c r="A6201" i="2"/>
  <c r="A6202" i="2"/>
  <c r="A6203" i="2"/>
  <c r="A6204" i="2"/>
  <c r="A6205" i="2"/>
  <c r="A6206" i="2"/>
  <c r="A6207" i="2"/>
  <c r="A6208" i="2"/>
  <c r="A6209" i="2"/>
  <c r="A6210" i="2"/>
  <c r="A6211" i="2"/>
  <c r="A6212" i="2"/>
  <c r="A6213" i="2"/>
  <c r="A6214" i="2"/>
  <c r="A6215" i="2"/>
  <c r="A6216" i="2"/>
  <c r="A6217" i="2"/>
  <c r="A6218" i="2"/>
  <c r="A6219" i="2"/>
  <c r="A6220" i="2"/>
  <c r="A6221" i="2"/>
  <c r="A6222" i="2"/>
  <c r="A6223" i="2"/>
  <c r="A6224" i="2"/>
  <c r="A6225" i="2"/>
  <c r="A6226" i="2"/>
  <c r="A6227" i="2"/>
  <c r="A6228" i="2"/>
  <c r="A6229" i="2"/>
  <c r="A6230" i="2"/>
  <c r="A6231" i="2"/>
  <c r="A6232" i="2"/>
  <c r="A6233" i="2"/>
  <c r="A6234" i="2"/>
  <c r="A6235" i="2"/>
  <c r="A6236" i="2"/>
  <c r="A6237" i="2"/>
  <c r="A6238" i="2"/>
  <c r="A6239" i="2"/>
  <c r="A6240" i="2"/>
  <c r="A6241" i="2"/>
  <c r="A6242" i="2"/>
  <c r="A6243" i="2"/>
  <c r="A6244" i="2"/>
  <c r="A6245" i="2"/>
  <c r="A6246" i="2"/>
  <c r="A6247" i="2"/>
  <c r="A6248" i="2"/>
  <c r="A6249" i="2"/>
  <c r="A6250" i="2"/>
  <c r="A6251" i="2"/>
  <c r="A6252" i="2"/>
  <c r="A6253" i="2"/>
  <c r="A6254" i="2"/>
  <c r="A6255" i="2"/>
  <c r="A6256" i="2"/>
  <c r="A6257" i="2"/>
  <c r="A6258" i="2"/>
  <c r="A6259" i="2"/>
  <c r="A6260" i="2"/>
  <c r="A6261" i="2"/>
  <c r="A6262" i="2"/>
  <c r="A6263" i="2"/>
  <c r="A6264" i="2"/>
  <c r="A6265" i="2"/>
  <c r="A6266" i="2"/>
  <c r="A6267" i="2"/>
  <c r="A6268" i="2"/>
  <c r="A6269" i="2"/>
  <c r="A6270" i="2"/>
  <c r="A6271" i="2"/>
  <c r="A6272" i="2"/>
  <c r="A6273" i="2"/>
  <c r="A6274" i="2"/>
  <c r="A6275" i="2"/>
  <c r="A6276" i="2"/>
  <c r="A6277" i="2"/>
  <c r="A6278" i="2"/>
  <c r="A6279" i="2"/>
  <c r="A6280" i="2"/>
  <c r="A6281" i="2"/>
  <c r="A6282" i="2"/>
  <c r="A6283" i="2"/>
  <c r="A6284" i="2"/>
  <c r="A6285" i="2"/>
  <c r="A6286" i="2"/>
  <c r="A6287" i="2"/>
  <c r="A6288" i="2"/>
  <c r="A6289" i="2"/>
  <c r="A6290" i="2"/>
  <c r="A6291" i="2"/>
  <c r="A6292" i="2"/>
  <c r="A6293" i="2"/>
  <c r="A6294" i="2"/>
  <c r="A6295" i="2"/>
  <c r="A6296" i="2"/>
  <c r="A6297" i="2"/>
  <c r="A6298" i="2"/>
  <c r="A6299" i="2"/>
  <c r="A6300" i="2"/>
  <c r="A6301" i="2"/>
  <c r="A6302" i="2"/>
  <c r="A6303" i="2"/>
  <c r="A6304" i="2"/>
  <c r="A6305" i="2"/>
  <c r="A6306" i="2"/>
  <c r="A6307" i="2"/>
  <c r="A6308" i="2"/>
  <c r="A6309" i="2"/>
  <c r="A6310" i="2"/>
  <c r="A6311" i="2"/>
  <c r="A6312" i="2"/>
  <c r="A6313" i="2"/>
  <c r="A6314" i="2"/>
  <c r="A6315" i="2"/>
  <c r="A6316" i="2"/>
  <c r="A6317" i="2"/>
  <c r="A6318" i="2"/>
  <c r="A6319" i="2"/>
  <c r="A6320" i="2"/>
  <c r="A6321" i="2"/>
  <c r="A6322" i="2"/>
  <c r="A6323" i="2"/>
  <c r="A6324" i="2"/>
  <c r="A6325" i="2"/>
  <c r="A6326" i="2"/>
  <c r="A6327" i="2"/>
  <c r="A6328" i="2"/>
  <c r="A6329" i="2"/>
  <c r="A6330" i="2"/>
  <c r="A6331" i="2"/>
  <c r="A6332" i="2"/>
  <c r="A6333" i="2"/>
  <c r="A6334" i="2"/>
  <c r="A6335" i="2"/>
  <c r="A6336" i="2"/>
  <c r="A6337" i="2"/>
  <c r="A6338" i="2"/>
  <c r="A6339" i="2"/>
  <c r="A6340" i="2"/>
  <c r="A6341" i="2"/>
  <c r="A6342" i="2"/>
  <c r="A6343" i="2"/>
  <c r="A6344" i="2"/>
  <c r="A6345" i="2"/>
  <c r="A6346" i="2"/>
  <c r="A6347" i="2"/>
  <c r="A6348" i="2"/>
  <c r="A6349" i="2"/>
  <c r="A6350" i="2"/>
  <c r="A6351" i="2"/>
  <c r="A6352" i="2"/>
  <c r="A6353" i="2"/>
  <c r="A6354" i="2"/>
  <c r="A6355" i="2"/>
  <c r="A6356" i="2"/>
  <c r="A6357" i="2"/>
  <c r="A6358" i="2"/>
  <c r="A6359" i="2"/>
  <c r="A6360" i="2"/>
  <c r="A6361" i="2"/>
  <c r="A6362" i="2"/>
  <c r="A6363" i="2"/>
  <c r="A6364" i="2"/>
  <c r="A6365" i="2"/>
  <c r="A6366" i="2"/>
  <c r="A6367" i="2"/>
  <c r="A6368" i="2"/>
  <c r="A6369" i="2"/>
  <c r="A6370" i="2"/>
  <c r="A6371" i="2"/>
  <c r="A6372" i="2"/>
  <c r="A6373" i="2"/>
  <c r="A6374" i="2"/>
  <c r="A6375" i="2"/>
  <c r="A6376" i="2"/>
  <c r="A6377" i="2"/>
  <c r="A6378" i="2"/>
  <c r="A6379" i="2"/>
  <c r="A6380" i="2"/>
  <c r="A6381" i="2"/>
  <c r="A6382" i="2"/>
  <c r="A6383" i="2"/>
  <c r="A6384" i="2"/>
  <c r="A6385" i="2"/>
  <c r="A6386" i="2"/>
  <c r="A6387" i="2"/>
  <c r="A6388" i="2"/>
  <c r="A6389" i="2"/>
  <c r="A6390" i="2"/>
  <c r="A6391" i="2"/>
  <c r="A6392" i="2"/>
  <c r="A6393" i="2"/>
  <c r="A6394" i="2"/>
  <c r="A6395" i="2"/>
  <c r="A6396" i="2"/>
  <c r="A6397" i="2"/>
  <c r="A6398" i="2"/>
  <c r="A6399" i="2"/>
  <c r="A6400" i="2"/>
  <c r="A6401" i="2"/>
  <c r="A6402" i="2"/>
  <c r="A6403" i="2"/>
  <c r="A6404" i="2"/>
  <c r="A6405" i="2"/>
  <c r="A6406" i="2"/>
  <c r="A6407" i="2"/>
  <c r="A6408" i="2"/>
  <c r="A6409" i="2"/>
  <c r="A6410" i="2"/>
  <c r="A6411" i="2"/>
  <c r="A6412" i="2"/>
  <c r="A6413" i="2"/>
  <c r="A6414" i="2"/>
  <c r="A6415" i="2"/>
  <c r="A6416" i="2"/>
  <c r="A6417" i="2"/>
  <c r="A6418" i="2"/>
  <c r="A6419" i="2"/>
  <c r="A6420" i="2"/>
  <c r="A6421" i="2"/>
  <c r="A6422" i="2"/>
  <c r="A6423" i="2"/>
  <c r="A6424" i="2"/>
  <c r="A6425" i="2"/>
  <c r="A6426" i="2"/>
  <c r="A6427" i="2"/>
  <c r="A6428" i="2"/>
  <c r="A6429" i="2"/>
  <c r="A6430" i="2"/>
  <c r="A6431" i="2"/>
  <c r="A6432" i="2"/>
  <c r="A6433" i="2"/>
  <c r="A6434" i="2"/>
  <c r="A6435" i="2"/>
  <c r="A6436" i="2"/>
  <c r="A6437" i="2"/>
  <c r="A6438" i="2"/>
  <c r="A6439" i="2"/>
  <c r="A6440" i="2"/>
  <c r="A6441" i="2"/>
  <c r="A6442" i="2"/>
  <c r="A6443" i="2"/>
  <c r="A6444" i="2"/>
  <c r="A6445" i="2"/>
  <c r="A6446" i="2"/>
  <c r="A6447" i="2"/>
  <c r="A6448" i="2"/>
  <c r="A6449" i="2"/>
  <c r="A6450" i="2"/>
  <c r="A6451" i="2"/>
  <c r="A6452" i="2"/>
  <c r="A6453" i="2"/>
  <c r="A6454" i="2"/>
  <c r="A6455" i="2"/>
  <c r="A6456" i="2"/>
  <c r="A6457" i="2"/>
  <c r="A6458" i="2"/>
  <c r="A6459" i="2"/>
  <c r="A6460" i="2"/>
  <c r="A6461" i="2"/>
  <c r="A6462" i="2"/>
  <c r="A6463" i="2"/>
  <c r="A6464" i="2"/>
  <c r="A6465" i="2"/>
  <c r="A6466" i="2"/>
  <c r="A6467" i="2"/>
  <c r="A6468" i="2"/>
  <c r="A6469" i="2"/>
  <c r="A6470" i="2"/>
  <c r="A6471" i="2"/>
  <c r="A6472" i="2"/>
  <c r="A6473" i="2"/>
  <c r="A6474" i="2"/>
  <c r="A6475" i="2"/>
  <c r="A6476" i="2"/>
  <c r="A6477" i="2"/>
  <c r="A6478" i="2"/>
  <c r="A6479" i="2"/>
  <c r="A6480" i="2"/>
  <c r="A6481" i="2"/>
  <c r="A6482" i="2"/>
  <c r="A6483" i="2"/>
  <c r="A6484" i="2"/>
  <c r="A6485" i="2"/>
  <c r="A6486" i="2"/>
  <c r="A6487" i="2"/>
  <c r="A6488" i="2"/>
  <c r="A6489" i="2"/>
  <c r="A6490" i="2"/>
  <c r="A6491" i="2"/>
  <c r="A6492" i="2"/>
  <c r="A6493" i="2"/>
  <c r="A6494" i="2"/>
  <c r="A6495" i="2"/>
  <c r="A6496" i="2"/>
  <c r="A6497" i="2"/>
  <c r="A6498" i="2"/>
  <c r="A6499" i="2"/>
  <c r="A6500" i="2"/>
  <c r="A6501" i="2"/>
  <c r="A6502" i="2"/>
  <c r="A6503" i="2"/>
  <c r="A6504" i="2"/>
  <c r="A6505" i="2"/>
  <c r="A6506" i="2"/>
  <c r="A6507" i="2"/>
  <c r="A6508" i="2"/>
  <c r="A6509" i="2"/>
  <c r="A6510" i="2"/>
  <c r="A6511" i="2"/>
  <c r="A6512" i="2"/>
  <c r="A6513" i="2"/>
  <c r="A6514" i="2"/>
  <c r="A6515" i="2"/>
  <c r="A6516" i="2"/>
  <c r="A6517" i="2"/>
  <c r="A6518" i="2"/>
  <c r="A6519" i="2"/>
  <c r="A6520" i="2"/>
  <c r="A6521" i="2"/>
  <c r="A6522" i="2"/>
  <c r="A6523" i="2"/>
  <c r="A6524" i="2"/>
  <c r="A6525" i="2"/>
  <c r="A6526" i="2"/>
  <c r="A6527" i="2"/>
  <c r="A6528" i="2"/>
  <c r="A6529" i="2"/>
  <c r="A6530" i="2"/>
  <c r="A6531" i="2"/>
  <c r="A6532" i="2"/>
  <c r="A6533" i="2"/>
  <c r="A6534" i="2"/>
  <c r="A6535" i="2"/>
  <c r="A6536" i="2"/>
  <c r="A6537" i="2"/>
  <c r="A6538" i="2"/>
  <c r="A6539" i="2"/>
  <c r="A6540" i="2"/>
  <c r="A6541" i="2"/>
  <c r="A6542" i="2"/>
  <c r="A6543" i="2"/>
  <c r="A6544" i="2"/>
  <c r="A6545" i="2"/>
  <c r="A6546" i="2"/>
  <c r="A6547" i="2"/>
  <c r="A6548" i="2"/>
  <c r="A6549" i="2"/>
  <c r="A6550" i="2"/>
  <c r="A6551" i="2"/>
  <c r="A6552" i="2"/>
  <c r="A6553" i="2"/>
  <c r="A6554" i="2"/>
  <c r="A6555" i="2"/>
  <c r="A6556" i="2"/>
  <c r="A6557" i="2"/>
  <c r="A6558" i="2"/>
  <c r="A6559" i="2"/>
  <c r="A6560" i="2"/>
  <c r="A6561" i="2"/>
  <c r="A6562" i="2"/>
  <c r="A6563" i="2"/>
  <c r="A6564" i="2"/>
  <c r="A6565" i="2"/>
  <c r="A6566" i="2"/>
  <c r="A6567" i="2"/>
  <c r="A6568" i="2"/>
  <c r="A6569" i="2"/>
  <c r="A6570" i="2"/>
  <c r="A6571" i="2"/>
  <c r="A6572" i="2"/>
  <c r="A6573" i="2"/>
  <c r="A6574" i="2"/>
  <c r="A6575" i="2"/>
  <c r="A6576" i="2"/>
  <c r="A6577" i="2"/>
  <c r="A6578" i="2"/>
  <c r="A6579" i="2"/>
  <c r="A6580" i="2"/>
  <c r="A6581" i="2"/>
  <c r="A6582" i="2"/>
  <c r="A6583" i="2"/>
  <c r="A6584" i="2"/>
  <c r="A6585" i="2"/>
  <c r="A6586" i="2"/>
  <c r="A6587" i="2"/>
  <c r="A6588" i="2"/>
  <c r="A6589" i="2"/>
  <c r="A6590" i="2"/>
  <c r="A6591" i="2"/>
  <c r="A6592" i="2"/>
  <c r="A6593" i="2"/>
  <c r="A6594" i="2"/>
  <c r="A6595" i="2"/>
  <c r="A6596" i="2"/>
  <c r="A6597" i="2"/>
  <c r="A6598" i="2"/>
  <c r="A6599" i="2"/>
  <c r="A6600" i="2"/>
  <c r="A6601" i="2"/>
  <c r="A6602" i="2"/>
  <c r="A6603" i="2"/>
  <c r="A6604" i="2"/>
  <c r="A6605" i="2"/>
  <c r="A6606" i="2"/>
  <c r="A6607" i="2"/>
  <c r="A6608" i="2"/>
  <c r="A6609" i="2"/>
  <c r="A6610" i="2"/>
  <c r="A6611" i="2"/>
  <c r="A6612" i="2"/>
  <c r="A6613" i="2"/>
  <c r="A6614" i="2"/>
  <c r="A6615" i="2"/>
  <c r="A6616" i="2"/>
  <c r="A6617" i="2"/>
  <c r="A6618" i="2"/>
  <c r="A6619" i="2"/>
  <c r="A6620" i="2"/>
  <c r="A6621" i="2"/>
  <c r="A6622" i="2"/>
  <c r="A6623" i="2"/>
  <c r="A6624" i="2"/>
  <c r="A6625" i="2"/>
  <c r="A6626" i="2"/>
  <c r="A6627" i="2"/>
  <c r="A6628" i="2"/>
  <c r="A6629" i="2"/>
  <c r="A6630" i="2"/>
  <c r="A6631" i="2"/>
  <c r="A6632" i="2"/>
  <c r="A6633" i="2"/>
  <c r="A6634" i="2"/>
  <c r="A6635" i="2"/>
  <c r="A6636" i="2"/>
  <c r="A6637" i="2"/>
  <c r="A6638" i="2"/>
  <c r="A6639" i="2"/>
  <c r="A6640" i="2"/>
  <c r="A6641" i="2"/>
  <c r="A6642" i="2"/>
  <c r="A6643" i="2"/>
  <c r="A6644" i="2"/>
  <c r="A6645" i="2"/>
  <c r="A6646" i="2"/>
  <c r="A6647" i="2"/>
  <c r="A6648" i="2"/>
  <c r="A6649" i="2"/>
  <c r="A6650" i="2"/>
  <c r="A6651" i="2"/>
  <c r="A6652" i="2"/>
  <c r="A6653" i="2"/>
  <c r="A6654" i="2"/>
  <c r="A6655" i="2"/>
  <c r="A6656" i="2"/>
  <c r="A6657" i="2"/>
  <c r="A6658" i="2"/>
  <c r="A6659" i="2"/>
  <c r="A6660" i="2"/>
  <c r="A6661" i="2"/>
  <c r="A6662" i="2"/>
  <c r="A6663" i="2"/>
  <c r="A6664" i="2"/>
  <c r="A6665" i="2"/>
  <c r="A6666" i="2"/>
  <c r="A6667" i="2"/>
  <c r="A6668" i="2"/>
  <c r="A6669" i="2"/>
  <c r="A6670" i="2"/>
  <c r="A6671" i="2"/>
  <c r="A6672" i="2"/>
  <c r="A6673" i="2"/>
  <c r="A6674" i="2"/>
  <c r="A6675" i="2"/>
  <c r="A6676" i="2"/>
  <c r="A6677" i="2"/>
  <c r="A6678" i="2"/>
  <c r="A6679" i="2"/>
  <c r="A6680" i="2"/>
  <c r="A6681" i="2"/>
  <c r="A6682" i="2"/>
  <c r="A6683" i="2"/>
  <c r="A6684" i="2"/>
  <c r="A6685" i="2"/>
  <c r="A6686" i="2"/>
  <c r="A6687" i="2"/>
  <c r="A6688" i="2"/>
  <c r="A6689" i="2"/>
  <c r="A6690" i="2"/>
  <c r="A6691" i="2"/>
  <c r="A6692" i="2"/>
  <c r="A6693" i="2"/>
  <c r="A6694" i="2"/>
  <c r="A6695" i="2"/>
  <c r="A6696" i="2"/>
  <c r="A6697" i="2"/>
  <c r="A6698" i="2"/>
  <c r="A6699" i="2"/>
  <c r="A6700" i="2"/>
  <c r="A6701" i="2"/>
  <c r="A6702" i="2"/>
  <c r="A6703" i="2"/>
  <c r="A6704" i="2"/>
  <c r="A6705" i="2"/>
  <c r="A6706" i="2"/>
  <c r="A6707" i="2"/>
  <c r="A6708" i="2"/>
  <c r="A6709" i="2"/>
  <c r="A6710" i="2"/>
  <c r="A6711" i="2"/>
  <c r="A6712" i="2"/>
  <c r="A6713" i="2"/>
  <c r="A6714" i="2"/>
  <c r="A6715" i="2"/>
  <c r="A6716" i="2"/>
  <c r="A6717" i="2"/>
  <c r="A6718" i="2"/>
  <c r="A6719" i="2"/>
  <c r="A6720" i="2"/>
  <c r="A6721" i="2"/>
  <c r="A6722" i="2"/>
  <c r="A6723" i="2"/>
  <c r="A6724" i="2"/>
  <c r="A6725" i="2"/>
  <c r="A6726" i="2"/>
  <c r="A6727" i="2"/>
  <c r="A6728" i="2"/>
  <c r="A6729" i="2"/>
  <c r="A6730" i="2"/>
  <c r="A6731" i="2"/>
  <c r="A6732" i="2"/>
  <c r="A6733" i="2"/>
  <c r="A6734" i="2"/>
  <c r="A6735" i="2"/>
  <c r="A6736" i="2"/>
  <c r="A6737" i="2"/>
  <c r="A6738" i="2"/>
  <c r="A6739" i="2"/>
  <c r="A6740" i="2"/>
  <c r="A6741" i="2"/>
  <c r="A6742" i="2"/>
  <c r="A6743" i="2"/>
  <c r="A6744" i="2"/>
  <c r="A6745" i="2"/>
  <c r="A6746" i="2"/>
  <c r="A6747" i="2"/>
  <c r="A6748" i="2"/>
  <c r="A6749" i="2"/>
  <c r="A6750" i="2"/>
  <c r="A6751" i="2"/>
  <c r="A6752" i="2"/>
  <c r="A6753" i="2"/>
  <c r="A6754" i="2"/>
  <c r="A6755" i="2"/>
  <c r="A6756" i="2"/>
  <c r="A6757" i="2"/>
  <c r="A6758" i="2"/>
  <c r="A6759" i="2"/>
  <c r="A6760" i="2"/>
  <c r="A6761" i="2"/>
  <c r="A6762" i="2"/>
  <c r="A6763" i="2"/>
  <c r="A6764" i="2"/>
  <c r="A6765" i="2"/>
  <c r="A6766" i="2"/>
  <c r="A6767" i="2"/>
  <c r="A6768" i="2"/>
  <c r="A6769" i="2"/>
  <c r="A6770" i="2"/>
  <c r="A6771" i="2"/>
  <c r="A6772" i="2"/>
  <c r="A6773" i="2"/>
  <c r="A6774" i="2"/>
  <c r="A6775" i="2"/>
  <c r="A6776" i="2"/>
  <c r="A6777" i="2"/>
  <c r="A6778" i="2"/>
  <c r="A6779" i="2"/>
  <c r="A6780" i="2"/>
  <c r="A6781" i="2"/>
  <c r="A6782" i="2"/>
  <c r="A6783" i="2"/>
  <c r="A6784" i="2"/>
  <c r="A6785" i="2"/>
  <c r="A6786" i="2"/>
  <c r="A6787" i="2"/>
  <c r="A6788" i="2"/>
  <c r="A6789" i="2"/>
  <c r="A6790" i="2"/>
  <c r="A6791" i="2"/>
  <c r="A6792" i="2"/>
  <c r="A6793" i="2"/>
  <c r="A6794" i="2"/>
  <c r="A6795" i="2"/>
  <c r="A6796" i="2"/>
  <c r="A6797" i="2"/>
  <c r="A6798" i="2"/>
  <c r="A6799" i="2"/>
  <c r="A6800" i="2"/>
  <c r="A6801" i="2"/>
  <c r="A6802" i="2"/>
  <c r="A6803" i="2"/>
  <c r="A6804" i="2"/>
  <c r="A6805" i="2"/>
  <c r="A6806" i="2"/>
  <c r="A6807" i="2"/>
  <c r="A6808" i="2"/>
  <c r="A6809" i="2"/>
  <c r="A6810" i="2"/>
  <c r="A6811" i="2"/>
  <c r="A6812" i="2"/>
  <c r="A6813" i="2"/>
  <c r="A6814" i="2"/>
  <c r="A6815" i="2"/>
  <c r="A6816" i="2"/>
  <c r="A6817" i="2"/>
  <c r="A6818" i="2"/>
  <c r="A6819" i="2"/>
  <c r="A6820" i="2"/>
  <c r="A6821" i="2"/>
  <c r="A6822" i="2"/>
  <c r="A6823" i="2"/>
  <c r="A6824" i="2"/>
  <c r="A6825" i="2"/>
  <c r="A6826" i="2"/>
  <c r="A6827" i="2"/>
  <c r="A6828" i="2"/>
  <c r="A6829" i="2"/>
  <c r="A6830" i="2"/>
  <c r="A6831" i="2"/>
  <c r="A6832" i="2"/>
  <c r="A6833" i="2"/>
  <c r="A6834" i="2"/>
  <c r="A6835" i="2"/>
  <c r="A6836" i="2"/>
  <c r="A6837" i="2"/>
  <c r="A6838" i="2"/>
  <c r="A6839" i="2"/>
  <c r="A6840" i="2"/>
  <c r="A6841" i="2"/>
  <c r="A6842" i="2"/>
  <c r="A6843" i="2"/>
  <c r="A6844" i="2"/>
  <c r="A6845" i="2"/>
  <c r="A6846" i="2"/>
  <c r="A6847" i="2"/>
  <c r="A6848" i="2"/>
  <c r="A6849" i="2"/>
  <c r="A6850" i="2"/>
  <c r="A6851" i="2"/>
  <c r="A6852" i="2"/>
  <c r="A6853" i="2"/>
  <c r="A6854" i="2"/>
  <c r="A6855" i="2"/>
  <c r="A6856" i="2"/>
  <c r="A6857" i="2"/>
  <c r="A6858" i="2"/>
  <c r="A6859" i="2"/>
  <c r="A6860" i="2"/>
  <c r="A6861" i="2"/>
  <c r="A6862" i="2"/>
  <c r="A6863" i="2"/>
  <c r="A6864" i="2"/>
  <c r="A6865" i="2"/>
  <c r="A6866" i="2"/>
  <c r="A6867" i="2"/>
  <c r="A6868" i="2"/>
  <c r="A6869" i="2"/>
  <c r="A6870" i="2"/>
  <c r="A6871" i="2"/>
  <c r="A6872" i="2"/>
  <c r="A6873" i="2"/>
  <c r="A6874" i="2"/>
  <c r="A6875" i="2"/>
  <c r="A6876" i="2"/>
  <c r="A6877" i="2"/>
  <c r="A6878" i="2"/>
  <c r="A6879" i="2"/>
  <c r="A6880" i="2"/>
  <c r="A6881" i="2"/>
  <c r="A6882" i="2"/>
  <c r="A6883" i="2"/>
  <c r="A6884" i="2"/>
  <c r="A6885" i="2"/>
  <c r="A6886" i="2"/>
  <c r="A6887" i="2"/>
  <c r="A6888" i="2"/>
  <c r="A6889" i="2"/>
  <c r="A6890" i="2"/>
  <c r="A6891" i="2"/>
  <c r="A6892" i="2"/>
  <c r="A6893" i="2"/>
  <c r="A6894" i="2"/>
  <c r="A6895" i="2"/>
  <c r="A6896" i="2"/>
  <c r="A6897" i="2"/>
  <c r="A6898" i="2"/>
  <c r="A6899" i="2"/>
  <c r="A6900" i="2"/>
  <c r="A6901" i="2"/>
  <c r="A6902" i="2"/>
  <c r="A6903" i="2"/>
  <c r="A6904" i="2"/>
  <c r="A6905" i="2"/>
  <c r="A6906" i="2"/>
  <c r="A6907" i="2"/>
  <c r="A6908" i="2"/>
  <c r="A6909" i="2"/>
  <c r="A6910" i="2"/>
  <c r="A6911" i="2"/>
  <c r="A6912" i="2"/>
  <c r="A6913" i="2"/>
  <c r="A6914" i="2"/>
  <c r="A6915" i="2"/>
  <c r="A6916" i="2"/>
  <c r="A6917" i="2"/>
  <c r="A6918" i="2"/>
  <c r="A6919" i="2"/>
  <c r="A6920" i="2"/>
  <c r="A6921" i="2"/>
  <c r="A6922" i="2"/>
  <c r="A6923" i="2"/>
  <c r="A6924" i="2"/>
  <c r="A6925" i="2"/>
  <c r="A6926" i="2"/>
  <c r="A6927" i="2"/>
  <c r="A6928" i="2"/>
  <c r="A6929" i="2"/>
  <c r="A6930" i="2"/>
  <c r="A6931" i="2"/>
  <c r="A6932" i="2"/>
  <c r="A6933" i="2"/>
  <c r="A6934" i="2"/>
  <c r="A6935" i="2"/>
  <c r="A6936" i="2"/>
  <c r="A6937" i="2"/>
  <c r="A6938" i="2"/>
  <c r="A6939" i="2"/>
  <c r="A6940" i="2"/>
  <c r="A6941" i="2"/>
  <c r="A6942" i="2"/>
  <c r="A6943" i="2"/>
  <c r="A6944" i="2"/>
  <c r="A6945" i="2"/>
  <c r="A6946" i="2"/>
  <c r="A6947" i="2"/>
  <c r="A6948" i="2"/>
  <c r="A6949" i="2"/>
  <c r="A6950" i="2"/>
  <c r="A6951" i="2"/>
  <c r="A6952" i="2"/>
  <c r="A6953" i="2"/>
  <c r="A6954" i="2"/>
  <c r="A6955" i="2"/>
  <c r="A6956" i="2"/>
  <c r="A6957" i="2"/>
  <c r="A6958" i="2"/>
  <c r="A6959" i="2"/>
  <c r="A6960" i="2"/>
  <c r="A6961" i="2"/>
  <c r="A6962" i="2"/>
  <c r="A6963" i="2"/>
  <c r="A6964" i="2"/>
  <c r="A6965" i="2"/>
  <c r="A6966" i="2"/>
  <c r="A6967" i="2"/>
  <c r="A6968" i="2"/>
  <c r="A6969" i="2"/>
  <c r="A6970" i="2"/>
  <c r="A6971" i="2"/>
  <c r="A6972" i="2"/>
  <c r="A6973" i="2"/>
  <c r="A6974" i="2"/>
  <c r="A6975" i="2"/>
  <c r="A6976" i="2"/>
  <c r="A6977" i="2"/>
  <c r="A6978" i="2"/>
  <c r="A6979" i="2"/>
  <c r="A6980" i="2"/>
  <c r="A6981" i="2"/>
  <c r="A6982" i="2"/>
  <c r="A6983" i="2"/>
  <c r="A6984" i="2"/>
  <c r="A6985" i="2"/>
  <c r="A6986" i="2"/>
  <c r="A6987" i="2"/>
  <c r="A6988" i="2"/>
  <c r="A6989" i="2"/>
  <c r="A6990" i="2"/>
  <c r="A6991" i="2"/>
  <c r="A6992" i="2"/>
  <c r="A6993" i="2"/>
  <c r="A6994" i="2"/>
  <c r="A6995" i="2"/>
  <c r="A6996" i="2"/>
  <c r="A6997" i="2"/>
  <c r="A6998" i="2"/>
  <c r="A6999" i="2"/>
  <c r="A7000" i="2"/>
  <c r="A7001" i="2"/>
  <c r="A7002" i="2"/>
  <c r="A7003" i="2"/>
  <c r="A7004" i="2"/>
  <c r="A7005" i="2"/>
  <c r="A7006" i="2"/>
  <c r="A7007" i="2"/>
  <c r="A7008" i="2"/>
  <c r="A7009" i="2"/>
  <c r="A7010" i="2"/>
  <c r="A7011" i="2"/>
  <c r="A7012" i="2"/>
  <c r="A7013" i="2"/>
  <c r="A7014" i="2"/>
  <c r="A7015" i="2"/>
  <c r="A7016" i="2"/>
  <c r="A7017" i="2"/>
  <c r="A7018" i="2"/>
  <c r="A7019" i="2"/>
  <c r="A7020" i="2"/>
  <c r="A7021" i="2"/>
  <c r="A7022" i="2"/>
  <c r="A7023" i="2"/>
  <c r="A7024" i="2"/>
  <c r="A7025" i="2"/>
  <c r="A7026" i="2"/>
  <c r="A7027" i="2"/>
  <c r="A7028" i="2"/>
  <c r="A7029" i="2"/>
  <c r="A7030" i="2"/>
  <c r="A7031" i="2"/>
  <c r="A7032" i="2"/>
  <c r="A7033" i="2"/>
  <c r="A7034" i="2"/>
  <c r="A7035" i="2"/>
  <c r="A7036" i="2"/>
  <c r="A7037" i="2"/>
  <c r="A7038" i="2"/>
  <c r="A7039" i="2"/>
  <c r="A7040" i="2"/>
  <c r="A7041" i="2"/>
  <c r="A7042" i="2"/>
  <c r="A7043" i="2"/>
  <c r="A7044" i="2"/>
  <c r="A7045" i="2"/>
  <c r="A7046" i="2"/>
  <c r="A7047" i="2"/>
  <c r="A7048" i="2"/>
  <c r="A7049" i="2"/>
  <c r="A7050" i="2"/>
  <c r="A7051" i="2"/>
  <c r="A7052" i="2"/>
  <c r="A7053" i="2"/>
  <c r="A7054" i="2"/>
  <c r="A7055" i="2"/>
  <c r="A7056" i="2"/>
  <c r="A7057" i="2"/>
  <c r="A7058" i="2"/>
  <c r="A7059" i="2"/>
  <c r="A7060" i="2"/>
  <c r="A7061" i="2"/>
  <c r="A7062" i="2"/>
  <c r="A7063" i="2"/>
  <c r="A7064" i="2"/>
  <c r="A7065" i="2"/>
  <c r="A7066" i="2"/>
  <c r="A7067" i="2"/>
  <c r="A7068" i="2"/>
  <c r="A7069" i="2"/>
  <c r="A7070" i="2"/>
  <c r="A7071" i="2"/>
  <c r="A7072" i="2"/>
  <c r="A7073" i="2"/>
  <c r="A7074" i="2"/>
  <c r="A7075" i="2"/>
  <c r="A7076" i="2"/>
  <c r="A7077" i="2"/>
  <c r="A7078" i="2"/>
  <c r="A7079" i="2"/>
  <c r="A7080" i="2"/>
  <c r="A7081" i="2"/>
  <c r="A7082" i="2"/>
  <c r="A7083" i="2"/>
  <c r="A7084" i="2"/>
  <c r="A7085" i="2"/>
  <c r="A7086" i="2"/>
  <c r="A7087" i="2"/>
  <c r="A7088" i="2"/>
  <c r="A7089" i="2"/>
  <c r="A7090" i="2"/>
  <c r="A7091" i="2"/>
  <c r="A7092" i="2"/>
  <c r="A7093" i="2"/>
  <c r="A7094" i="2"/>
  <c r="A7095" i="2"/>
  <c r="A7096" i="2"/>
  <c r="A7097" i="2"/>
  <c r="A7098" i="2"/>
  <c r="A7099" i="2"/>
  <c r="A7100" i="2"/>
  <c r="A7101" i="2"/>
  <c r="A7102" i="2"/>
  <c r="A7103" i="2"/>
  <c r="A7104" i="2"/>
  <c r="A7105" i="2"/>
  <c r="A7106" i="2"/>
  <c r="A7107" i="2"/>
  <c r="A7108" i="2"/>
  <c r="A7109" i="2"/>
  <c r="A7110" i="2"/>
  <c r="A7111" i="2"/>
  <c r="A7112" i="2"/>
  <c r="A7113" i="2"/>
  <c r="A7114" i="2"/>
  <c r="A7115" i="2"/>
  <c r="A7116" i="2"/>
  <c r="A7117" i="2"/>
  <c r="A7118" i="2"/>
  <c r="A7119" i="2"/>
  <c r="A7120" i="2"/>
  <c r="A7121" i="2"/>
  <c r="A7122" i="2"/>
  <c r="A7123" i="2"/>
  <c r="A7124" i="2"/>
  <c r="A7125" i="2"/>
  <c r="A7126" i="2"/>
  <c r="A7127" i="2"/>
  <c r="A7128" i="2"/>
  <c r="A7129" i="2"/>
  <c r="A7130" i="2"/>
  <c r="A7131" i="2"/>
  <c r="A7132" i="2"/>
  <c r="A7133" i="2"/>
  <c r="A7134" i="2"/>
  <c r="A7135" i="2"/>
  <c r="A7136" i="2"/>
  <c r="A7137" i="2"/>
  <c r="A7138" i="2"/>
  <c r="A7139" i="2"/>
  <c r="A7140" i="2"/>
  <c r="A7141" i="2"/>
  <c r="A7142" i="2"/>
  <c r="A7143" i="2"/>
  <c r="A7144" i="2"/>
  <c r="A7145" i="2"/>
  <c r="A7146" i="2"/>
  <c r="A7147" i="2"/>
  <c r="A7148" i="2"/>
  <c r="A7149" i="2"/>
  <c r="A7150" i="2"/>
  <c r="A7151" i="2"/>
  <c r="A7152" i="2"/>
  <c r="A7153" i="2"/>
  <c r="A7154" i="2"/>
  <c r="A7155" i="2"/>
  <c r="A7156" i="2"/>
  <c r="A7157" i="2"/>
  <c r="A7158" i="2"/>
  <c r="A7159" i="2"/>
  <c r="A7160" i="2"/>
  <c r="A7161" i="2"/>
  <c r="A7162" i="2"/>
  <c r="A7163" i="2"/>
  <c r="A7164" i="2"/>
  <c r="A7165" i="2"/>
  <c r="A7166" i="2"/>
  <c r="A7167" i="2"/>
  <c r="A7168" i="2"/>
  <c r="A7169" i="2"/>
  <c r="A7170" i="2"/>
  <c r="A7171" i="2"/>
  <c r="A7172" i="2"/>
  <c r="A7173" i="2"/>
  <c r="A7174" i="2"/>
  <c r="A7175" i="2"/>
  <c r="A7176" i="2"/>
  <c r="A7177" i="2"/>
  <c r="A7178" i="2"/>
  <c r="A7179" i="2"/>
  <c r="A7180" i="2"/>
  <c r="A7181" i="2"/>
  <c r="A7182" i="2"/>
  <c r="A7183" i="2"/>
  <c r="A7184" i="2"/>
  <c r="A7185" i="2"/>
  <c r="A7186" i="2"/>
  <c r="A7187" i="2"/>
  <c r="A7188" i="2"/>
  <c r="A7189" i="2"/>
  <c r="A7190" i="2"/>
  <c r="A7191" i="2"/>
  <c r="A7192" i="2"/>
  <c r="A7193" i="2"/>
  <c r="A7194" i="2"/>
  <c r="A7195" i="2"/>
  <c r="A7196" i="2"/>
  <c r="A7197" i="2"/>
  <c r="A7198" i="2"/>
  <c r="A7199" i="2"/>
  <c r="A7200" i="2"/>
  <c r="A7201" i="2"/>
  <c r="A7202" i="2"/>
  <c r="A7203" i="2"/>
  <c r="A7204" i="2"/>
  <c r="A7205" i="2"/>
  <c r="A7206" i="2"/>
  <c r="A7207" i="2"/>
  <c r="A7208" i="2"/>
  <c r="A7209" i="2"/>
  <c r="A7210" i="2"/>
  <c r="A7211" i="2"/>
  <c r="A7212" i="2"/>
  <c r="A7213" i="2"/>
  <c r="A7214" i="2"/>
  <c r="A7215" i="2"/>
  <c r="A7216" i="2"/>
  <c r="A7217" i="2"/>
  <c r="A7218" i="2"/>
  <c r="A7219" i="2"/>
  <c r="A7220" i="2"/>
  <c r="A7221" i="2"/>
  <c r="A7222" i="2"/>
  <c r="A7223" i="2"/>
  <c r="A7224" i="2"/>
  <c r="A7225" i="2"/>
  <c r="A7226" i="2"/>
  <c r="A7227" i="2"/>
  <c r="A7228" i="2"/>
  <c r="A7229" i="2"/>
  <c r="A7230" i="2"/>
  <c r="A7231" i="2"/>
  <c r="A7232" i="2"/>
  <c r="A7233" i="2"/>
  <c r="A7234" i="2"/>
  <c r="A7235" i="2"/>
  <c r="A7236" i="2"/>
  <c r="A7237" i="2"/>
  <c r="A7238" i="2"/>
  <c r="A7239" i="2"/>
  <c r="A7240" i="2"/>
  <c r="A7241" i="2"/>
  <c r="A7242" i="2"/>
  <c r="A7243" i="2"/>
  <c r="A7244" i="2"/>
  <c r="A7245" i="2"/>
  <c r="A7246" i="2"/>
  <c r="A7247" i="2"/>
  <c r="A7248" i="2"/>
  <c r="A7249" i="2"/>
  <c r="A7250" i="2"/>
  <c r="A7251" i="2"/>
  <c r="A7252" i="2"/>
  <c r="A7253" i="2"/>
  <c r="A7254" i="2"/>
  <c r="A7255" i="2"/>
  <c r="A7256" i="2"/>
  <c r="A7257" i="2"/>
  <c r="A7258" i="2"/>
  <c r="A7259" i="2"/>
  <c r="A7260" i="2"/>
  <c r="A7261" i="2"/>
  <c r="A7262" i="2"/>
  <c r="A7263" i="2"/>
  <c r="A7264" i="2"/>
  <c r="A7265" i="2"/>
  <c r="A7266" i="2"/>
  <c r="A7267" i="2"/>
  <c r="A7268" i="2"/>
  <c r="A7269" i="2"/>
  <c r="A7270" i="2"/>
  <c r="A7271" i="2"/>
  <c r="A7272" i="2"/>
  <c r="A7273" i="2"/>
  <c r="A7274" i="2"/>
  <c r="A7275" i="2"/>
  <c r="A7276" i="2"/>
  <c r="A7277" i="2"/>
  <c r="A7278" i="2"/>
  <c r="A7279" i="2"/>
  <c r="A7280" i="2"/>
  <c r="A7281" i="2"/>
  <c r="A7282" i="2"/>
  <c r="A7283" i="2"/>
  <c r="A7284" i="2"/>
  <c r="A7285" i="2"/>
  <c r="A7286" i="2"/>
  <c r="A7287" i="2"/>
  <c r="A7288" i="2"/>
  <c r="A7289" i="2"/>
  <c r="A7290" i="2"/>
  <c r="A7291" i="2"/>
  <c r="A7292" i="2"/>
  <c r="A7293" i="2"/>
  <c r="A7294" i="2"/>
  <c r="A7295" i="2"/>
  <c r="A7296" i="2"/>
  <c r="A7297" i="2"/>
  <c r="A7298" i="2"/>
  <c r="A7299" i="2"/>
  <c r="A7300" i="2"/>
  <c r="A7301" i="2"/>
  <c r="A7302" i="2"/>
  <c r="A7303" i="2"/>
  <c r="A7304" i="2"/>
  <c r="A7305" i="2"/>
  <c r="A7306" i="2"/>
  <c r="A7307" i="2"/>
  <c r="A7308" i="2"/>
  <c r="A7309" i="2"/>
  <c r="A7310" i="2"/>
  <c r="A7311" i="2"/>
  <c r="A7312" i="2"/>
  <c r="A7313" i="2"/>
  <c r="A7314" i="2"/>
  <c r="A7315" i="2"/>
  <c r="A7316" i="2"/>
  <c r="A7317" i="2"/>
  <c r="A7318" i="2"/>
  <c r="A7319" i="2"/>
  <c r="A7320" i="2"/>
  <c r="A7321" i="2"/>
  <c r="A7322" i="2"/>
  <c r="A7323" i="2"/>
  <c r="A7324" i="2"/>
  <c r="A7325" i="2"/>
  <c r="A7326" i="2"/>
  <c r="A7327" i="2"/>
  <c r="A7328" i="2"/>
  <c r="A7329" i="2"/>
  <c r="A7330" i="2"/>
  <c r="A7331" i="2"/>
  <c r="A7332" i="2"/>
  <c r="A7333" i="2"/>
  <c r="A7334" i="2"/>
  <c r="A7335" i="2"/>
  <c r="A7336" i="2"/>
  <c r="A7337" i="2"/>
  <c r="A7338" i="2"/>
  <c r="A7339" i="2"/>
  <c r="A7340" i="2"/>
  <c r="A7341" i="2"/>
  <c r="A7342" i="2"/>
  <c r="A7343" i="2"/>
  <c r="A7344" i="2"/>
  <c r="A7345" i="2"/>
  <c r="A7346" i="2"/>
  <c r="A7347" i="2"/>
  <c r="A7348" i="2"/>
  <c r="A7349" i="2"/>
  <c r="A7350" i="2"/>
  <c r="A7351" i="2"/>
  <c r="A7352" i="2"/>
  <c r="A7353" i="2"/>
  <c r="A7354" i="2"/>
  <c r="A7355" i="2"/>
  <c r="A7356" i="2"/>
  <c r="A7357" i="2"/>
  <c r="A7358" i="2"/>
  <c r="A7359" i="2"/>
  <c r="A7360" i="2"/>
  <c r="A7361" i="2"/>
  <c r="A7362" i="2"/>
  <c r="A7363" i="2"/>
  <c r="A7364" i="2"/>
  <c r="A7365" i="2"/>
  <c r="A7366" i="2"/>
  <c r="A7367" i="2"/>
  <c r="A7368" i="2"/>
  <c r="A7369" i="2"/>
  <c r="A7370" i="2"/>
  <c r="A7371" i="2"/>
  <c r="A7372" i="2"/>
  <c r="A7373" i="2"/>
  <c r="A7374" i="2"/>
  <c r="A7375" i="2"/>
  <c r="A7376" i="2"/>
  <c r="A7377" i="2"/>
  <c r="A7378" i="2"/>
  <c r="A7379" i="2"/>
  <c r="A7380" i="2"/>
  <c r="A7381" i="2"/>
  <c r="A7382" i="2"/>
  <c r="A7383" i="2"/>
  <c r="A7384" i="2"/>
  <c r="A7385" i="2"/>
  <c r="A7386" i="2"/>
  <c r="A7387" i="2"/>
  <c r="A7388" i="2"/>
  <c r="A7389" i="2"/>
  <c r="A7390" i="2"/>
  <c r="A7391" i="2"/>
  <c r="A7392" i="2"/>
  <c r="A7393" i="2"/>
  <c r="A7394" i="2"/>
  <c r="A7395" i="2"/>
  <c r="A7396" i="2"/>
  <c r="A7397" i="2"/>
  <c r="A7398" i="2"/>
  <c r="A7399" i="2"/>
  <c r="A7400" i="2"/>
  <c r="A7401" i="2"/>
  <c r="A7402" i="2"/>
  <c r="A7403" i="2"/>
  <c r="A7404" i="2"/>
  <c r="A7405" i="2"/>
  <c r="A7406" i="2"/>
  <c r="A7407" i="2"/>
  <c r="A7408" i="2"/>
  <c r="A7409" i="2"/>
  <c r="A7410" i="2"/>
  <c r="A7411" i="2"/>
  <c r="A7412" i="2"/>
  <c r="A7413" i="2"/>
  <c r="A7414" i="2"/>
  <c r="A7415" i="2"/>
  <c r="A7416" i="2"/>
  <c r="A7417" i="2"/>
  <c r="A7418" i="2"/>
  <c r="A7419" i="2"/>
  <c r="A7420" i="2"/>
  <c r="A7421" i="2"/>
  <c r="A7422" i="2"/>
  <c r="A7423" i="2"/>
  <c r="A7424" i="2"/>
  <c r="A7425" i="2"/>
  <c r="A7426" i="2"/>
  <c r="A7427" i="2"/>
  <c r="A7428" i="2"/>
  <c r="A7429" i="2"/>
  <c r="A7430" i="2"/>
  <c r="A7431" i="2"/>
  <c r="A7432" i="2"/>
  <c r="A7433" i="2"/>
  <c r="A7434" i="2"/>
  <c r="A7435" i="2"/>
  <c r="A7436" i="2"/>
  <c r="A7437" i="2"/>
  <c r="A7438" i="2"/>
  <c r="A7439" i="2"/>
  <c r="A7440" i="2"/>
  <c r="A7441" i="2"/>
  <c r="A7442" i="2"/>
  <c r="A7443" i="2"/>
  <c r="A7444" i="2"/>
  <c r="A7445" i="2"/>
  <c r="A7446" i="2"/>
  <c r="A7447" i="2"/>
  <c r="A7448" i="2"/>
  <c r="A7449" i="2"/>
  <c r="A7450" i="2"/>
  <c r="A7451" i="2"/>
  <c r="A7452" i="2"/>
  <c r="A7453" i="2"/>
  <c r="A7454" i="2"/>
  <c r="A7455" i="2"/>
  <c r="A7456" i="2"/>
  <c r="A7457" i="2"/>
  <c r="A7458" i="2"/>
  <c r="A7459" i="2"/>
  <c r="A7460" i="2"/>
  <c r="A7461" i="2"/>
  <c r="A7462" i="2"/>
  <c r="A7463" i="2"/>
  <c r="A7464" i="2"/>
  <c r="A7465" i="2"/>
  <c r="A7466" i="2"/>
  <c r="A7467" i="2"/>
  <c r="A7468" i="2"/>
  <c r="A7469" i="2"/>
  <c r="A7470" i="2"/>
  <c r="A7471" i="2"/>
  <c r="A7472" i="2"/>
  <c r="A7473" i="2"/>
  <c r="A7474" i="2"/>
  <c r="A7475" i="2"/>
  <c r="A7476" i="2"/>
  <c r="A7477" i="2"/>
  <c r="A7478" i="2"/>
  <c r="A7479" i="2"/>
  <c r="A7480" i="2"/>
  <c r="A7481" i="2"/>
  <c r="A7482" i="2"/>
  <c r="A7483" i="2"/>
  <c r="A7484" i="2"/>
  <c r="A7485" i="2"/>
  <c r="A7486" i="2"/>
  <c r="A7487" i="2"/>
  <c r="A7488" i="2"/>
  <c r="A7489" i="2"/>
  <c r="A7490" i="2"/>
  <c r="A7491" i="2"/>
  <c r="A7492" i="2"/>
  <c r="A7493" i="2"/>
  <c r="A7494" i="2"/>
  <c r="A7495" i="2"/>
  <c r="A7496" i="2"/>
  <c r="A7497" i="2"/>
  <c r="A7498" i="2"/>
  <c r="A7499" i="2"/>
  <c r="A7500" i="2"/>
  <c r="A7501" i="2"/>
  <c r="A7502" i="2"/>
  <c r="A7503" i="2"/>
  <c r="A7504" i="2"/>
  <c r="A7505" i="2"/>
  <c r="A7506" i="2"/>
  <c r="A7507" i="2"/>
  <c r="A7508" i="2"/>
  <c r="A7509" i="2"/>
  <c r="A7510" i="2"/>
  <c r="A7511" i="2"/>
  <c r="A7512" i="2"/>
  <c r="A7513" i="2"/>
  <c r="A7514" i="2"/>
  <c r="A7515" i="2"/>
  <c r="A7516" i="2"/>
  <c r="A7517" i="2"/>
  <c r="A7518" i="2"/>
  <c r="A7519" i="2"/>
  <c r="A7520" i="2"/>
  <c r="A7521" i="2"/>
  <c r="A7522" i="2"/>
  <c r="A7523" i="2"/>
  <c r="A7524" i="2"/>
  <c r="A7525" i="2"/>
  <c r="A7526" i="2"/>
  <c r="A7527" i="2"/>
  <c r="A7528" i="2"/>
  <c r="A7529" i="2"/>
  <c r="A7530" i="2"/>
  <c r="A7531" i="2"/>
  <c r="A7532" i="2"/>
  <c r="A7533" i="2"/>
  <c r="A7534" i="2"/>
  <c r="A7535" i="2"/>
  <c r="A7536" i="2"/>
  <c r="A7537" i="2"/>
  <c r="A7538" i="2"/>
  <c r="A7539" i="2"/>
  <c r="A7540" i="2"/>
  <c r="A7541" i="2"/>
  <c r="A7542" i="2"/>
  <c r="A7543" i="2"/>
  <c r="A7544" i="2"/>
  <c r="A7545" i="2"/>
  <c r="A7546" i="2"/>
  <c r="A7547" i="2"/>
  <c r="A7548" i="2"/>
  <c r="A7549" i="2"/>
  <c r="A7550" i="2"/>
  <c r="A7551" i="2"/>
  <c r="A7552" i="2"/>
  <c r="A7553" i="2"/>
  <c r="A7554" i="2"/>
  <c r="A7555" i="2"/>
  <c r="A7556" i="2"/>
  <c r="A7557" i="2"/>
  <c r="A7558" i="2"/>
  <c r="A7559" i="2"/>
  <c r="A7560" i="2"/>
  <c r="A7561" i="2"/>
  <c r="A7562" i="2"/>
  <c r="A7563" i="2"/>
  <c r="A7564" i="2"/>
  <c r="A7565" i="2"/>
  <c r="A7566" i="2"/>
  <c r="A7567" i="2"/>
  <c r="A7568" i="2"/>
  <c r="A7569" i="2"/>
  <c r="A7570" i="2"/>
  <c r="A7571" i="2"/>
  <c r="A7572" i="2"/>
  <c r="A7573" i="2"/>
  <c r="A7574" i="2"/>
  <c r="A7575" i="2"/>
  <c r="A7576" i="2"/>
  <c r="A7577" i="2"/>
  <c r="A7578" i="2"/>
  <c r="A7579" i="2"/>
  <c r="A7580" i="2"/>
  <c r="A7581" i="2"/>
  <c r="A7582" i="2"/>
  <c r="A7583" i="2"/>
  <c r="A7584" i="2"/>
  <c r="A7585" i="2"/>
  <c r="A7586" i="2"/>
  <c r="A7587" i="2"/>
  <c r="A7588" i="2"/>
  <c r="A7589" i="2"/>
  <c r="A7590" i="2"/>
  <c r="A7591" i="2"/>
  <c r="A7592" i="2"/>
  <c r="A7593" i="2"/>
  <c r="A7594" i="2"/>
  <c r="A7595" i="2"/>
  <c r="A7596" i="2"/>
  <c r="A7597" i="2"/>
  <c r="A7598" i="2"/>
  <c r="A7599" i="2"/>
  <c r="A7600" i="2"/>
  <c r="A7601" i="2"/>
  <c r="A7602" i="2"/>
  <c r="A7603" i="2"/>
  <c r="A7604" i="2"/>
  <c r="A7605" i="2"/>
  <c r="A7606" i="2"/>
  <c r="A7607" i="2"/>
  <c r="A7608" i="2"/>
  <c r="A7609" i="2"/>
  <c r="A7610" i="2"/>
  <c r="A7611" i="2"/>
  <c r="A7612" i="2"/>
  <c r="A7613" i="2"/>
  <c r="A7614" i="2"/>
  <c r="A7615" i="2"/>
  <c r="A7616" i="2"/>
  <c r="A7617" i="2"/>
  <c r="A7618" i="2"/>
  <c r="A7619" i="2"/>
  <c r="A7620" i="2"/>
  <c r="A7621" i="2"/>
  <c r="A7622" i="2"/>
  <c r="A7623" i="2"/>
  <c r="A7624" i="2"/>
  <c r="A7625" i="2"/>
  <c r="A7626" i="2"/>
  <c r="A7627" i="2"/>
  <c r="A7628" i="2"/>
  <c r="A7629" i="2"/>
  <c r="A7630" i="2"/>
  <c r="A7631" i="2"/>
  <c r="A7632" i="2"/>
  <c r="A7633" i="2"/>
  <c r="A7634" i="2"/>
  <c r="A7635" i="2"/>
  <c r="A7636" i="2"/>
  <c r="A7637" i="2"/>
  <c r="A7638" i="2"/>
  <c r="A7639" i="2"/>
  <c r="A7640" i="2"/>
  <c r="A7641" i="2"/>
  <c r="A7642" i="2"/>
  <c r="A7643" i="2"/>
  <c r="A7644" i="2"/>
  <c r="A7645" i="2"/>
  <c r="A7646" i="2"/>
  <c r="A7647" i="2"/>
  <c r="A7648" i="2"/>
  <c r="A7649" i="2"/>
  <c r="A7650" i="2"/>
  <c r="A7651" i="2"/>
  <c r="A7652" i="2"/>
  <c r="A7653" i="2"/>
  <c r="A7654" i="2"/>
  <c r="A7655" i="2"/>
  <c r="A7656" i="2"/>
  <c r="A7657" i="2"/>
  <c r="A7658" i="2"/>
  <c r="A7659" i="2"/>
  <c r="A7660" i="2"/>
  <c r="A7661" i="2"/>
  <c r="A7662" i="2"/>
  <c r="A7663" i="2"/>
  <c r="A7664" i="2"/>
  <c r="A7665" i="2"/>
  <c r="A7666" i="2"/>
  <c r="A7667" i="2"/>
  <c r="A7668" i="2"/>
  <c r="A7669" i="2"/>
  <c r="A7670" i="2"/>
  <c r="A7671" i="2"/>
  <c r="A7672" i="2"/>
  <c r="A7673" i="2"/>
  <c r="A7674" i="2"/>
  <c r="A7675" i="2"/>
  <c r="A7676" i="2"/>
  <c r="A7677" i="2"/>
  <c r="A7678" i="2"/>
  <c r="A7679" i="2"/>
  <c r="A7680" i="2"/>
  <c r="A7681" i="2"/>
  <c r="A7682" i="2"/>
  <c r="A7683" i="2"/>
  <c r="A7684" i="2"/>
  <c r="A7685" i="2"/>
  <c r="A7686" i="2"/>
  <c r="A7687" i="2"/>
  <c r="A7688" i="2"/>
  <c r="A7689" i="2"/>
  <c r="A7690" i="2"/>
  <c r="A7691" i="2"/>
  <c r="A7692" i="2"/>
  <c r="A7693" i="2"/>
  <c r="A7694" i="2"/>
  <c r="A7695" i="2"/>
  <c r="A7696" i="2"/>
  <c r="A7697" i="2"/>
  <c r="A7698" i="2"/>
  <c r="A7699" i="2"/>
  <c r="A7700" i="2"/>
  <c r="A7701" i="2"/>
  <c r="A7702" i="2"/>
  <c r="A7703" i="2"/>
  <c r="A7704" i="2"/>
  <c r="A7705" i="2"/>
  <c r="A7706" i="2"/>
  <c r="A7707" i="2"/>
  <c r="A7708" i="2"/>
  <c r="A7709" i="2"/>
  <c r="A7710" i="2"/>
  <c r="A7711" i="2"/>
  <c r="A7712" i="2"/>
  <c r="A7713" i="2"/>
  <c r="A7714" i="2"/>
  <c r="A7715" i="2"/>
  <c r="A7716" i="2"/>
  <c r="A7717" i="2"/>
  <c r="A7718" i="2"/>
  <c r="A7719" i="2"/>
  <c r="A7720" i="2"/>
  <c r="A7721" i="2"/>
  <c r="A7722" i="2"/>
  <c r="A7723" i="2"/>
  <c r="A7724" i="2"/>
  <c r="A7725" i="2"/>
  <c r="A7726" i="2"/>
  <c r="A7727" i="2"/>
  <c r="A7728" i="2"/>
  <c r="A7729" i="2"/>
  <c r="A7730" i="2"/>
  <c r="A7731" i="2"/>
  <c r="A7732" i="2"/>
  <c r="A7733" i="2"/>
  <c r="A7734" i="2"/>
  <c r="A7735" i="2"/>
  <c r="A7736" i="2"/>
  <c r="A7737" i="2"/>
  <c r="A7738" i="2"/>
  <c r="A7739" i="2"/>
  <c r="A7740" i="2"/>
  <c r="A7741" i="2"/>
  <c r="A7742" i="2"/>
  <c r="A7743" i="2"/>
  <c r="A7744" i="2"/>
  <c r="A7745" i="2"/>
  <c r="A7746" i="2"/>
  <c r="A7747" i="2"/>
  <c r="A7748" i="2"/>
  <c r="A7749" i="2"/>
  <c r="A7750" i="2"/>
  <c r="A7751" i="2"/>
  <c r="A7752" i="2"/>
  <c r="A7753" i="2"/>
  <c r="A7754" i="2"/>
  <c r="A7755" i="2"/>
  <c r="A7756" i="2"/>
  <c r="A7757" i="2"/>
  <c r="A7758" i="2"/>
  <c r="A7759" i="2"/>
  <c r="A7760" i="2"/>
  <c r="A7761" i="2"/>
  <c r="A7762" i="2"/>
  <c r="A7763" i="2"/>
  <c r="A7764" i="2"/>
  <c r="A7765" i="2"/>
  <c r="A7766" i="2"/>
  <c r="A7767" i="2"/>
  <c r="A7768" i="2"/>
  <c r="A7769" i="2"/>
  <c r="A7770" i="2"/>
  <c r="A7771" i="2"/>
  <c r="A7772" i="2"/>
  <c r="A7773" i="2"/>
  <c r="A7774" i="2"/>
  <c r="A7775" i="2"/>
  <c r="A7776" i="2"/>
  <c r="A7777" i="2"/>
  <c r="A7778" i="2"/>
  <c r="A7779" i="2"/>
  <c r="A7780" i="2"/>
  <c r="A7781" i="2"/>
  <c r="A7782" i="2"/>
  <c r="A7783" i="2"/>
  <c r="A7784" i="2"/>
  <c r="A7785" i="2"/>
  <c r="A7786" i="2"/>
  <c r="A7787" i="2"/>
  <c r="A7788" i="2"/>
  <c r="A7789" i="2"/>
  <c r="A7790" i="2"/>
  <c r="A7791" i="2"/>
  <c r="A7792" i="2"/>
  <c r="A7793" i="2"/>
  <c r="A7794" i="2"/>
  <c r="A7795" i="2"/>
  <c r="A7796" i="2"/>
  <c r="A7797" i="2"/>
  <c r="A7798" i="2"/>
  <c r="A7799" i="2"/>
  <c r="A7800" i="2"/>
  <c r="A7801" i="2"/>
  <c r="A7802" i="2"/>
  <c r="A7803" i="2"/>
  <c r="A7804" i="2"/>
  <c r="A7805" i="2"/>
  <c r="A7806" i="2"/>
  <c r="A7807" i="2"/>
  <c r="A7808" i="2"/>
  <c r="A7809" i="2"/>
  <c r="A7810" i="2"/>
  <c r="A7811" i="2"/>
  <c r="A7812" i="2"/>
  <c r="A7813" i="2"/>
  <c r="A7814" i="2"/>
  <c r="A7815" i="2"/>
  <c r="A7816" i="2"/>
  <c r="A7817" i="2"/>
  <c r="A7818" i="2"/>
  <c r="A7819" i="2"/>
  <c r="A7820" i="2"/>
  <c r="A7821" i="2"/>
  <c r="A7822" i="2"/>
  <c r="A7823" i="2"/>
  <c r="A7824" i="2"/>
  <c r="A7825" i="2"/>
  <c r="A7826" i="2"/>
  <c r="A7827" i="2"/>
  <c r="A7828" i="2"/>
  <c r="A7829" i="2"/>
  <c r="A7830" i="2"/>
  <c r="A7831" i="2"/>
  <c r="A7832" i="2"/>
  <c r="A7833" i="2"/>
  <c r="A7834" i="2"/>
  <c r="A7835" i="2"/>
  <c r="A7836" i="2"/>
  <c r="A7837" i="2"/>
  <c r="A7838" i="2"/>
  <c r="A7839" i="2"/>
  <c r="A7840" i="2"/>
  <c r="A7841" i="2"/>
  <c r="A7842" i="2"/>
  <c r="A7843" i="2"/>
  <c r="A7844" i="2"/>
  <c r="A7845" i="2"/>
  <c r="A7846" i="2"/>
  <c r="A7847" i="2"/>
  <c r="A7848" i="2"/>
  <c r="A7849" i="2"/>
  <c r="A7850" i="2"/>
  <c r="A7851" i="2"/>
  <c r="A7852" i="2"/>
  <c r="A7853" i="2"/>
  <c r="A7854" i="2"/>
  <c r="A7855" i="2"/>
  <c r="A7856" i="2"/>
  <c r="A7857" i="2"/>
  <c r="A7858" i="2"/>
  <c r="A7859" i="2"/>
  <c r="A7860" i="2"/>
  <c r="A7861" i="2"/>
  <c r="A7862" i="2"/>
  <c r="A7863" i="2"/>
  <c r="A7864" i="2"/>
  <c r="A7865" i="2"/>
  <c r="A7866" i="2"/>
  <c r="A7867" i="2"/>
  <c r="A7868" i="2"/>
  <c r="A7869" i="2"/>
  <c r="A7870" i="2"/>
  <c r="A7871" i="2"/>
  <c r="A7872" i="2"/>
  <c r="A7873" i="2"/>
  <c r="A7874" i="2"/>
  <c r="A7875" i="2"/>
  <c r="A7876" i="2"/>
  <c r="A7877" i="2"/>
  <c r="A7878" i="2"/>
  <c r="A7879" i="2"/>
  <c r="A7880" i="2"/>
  <c r="A7881" i="2"/>
  <c r="A7882" i="2"/>
  <c r="A7883" i="2"/>
  <c r="A7884" i="2"/>
  <c r="A7885" i="2"/>
  <c r="A7886" i="2"/>
  <c r="A7887" i="2"/>
  <c r="A7888" i="2"/>
  <c r="A7889" i="2"/>
  <c r="A7890" i="2"/>
  <c r="A7891" i="2"/>
  <c r="A7892" i="2"/>
  <c r="A7893" i="2"/>
  <c r="A7894" i="2"/>
  <c r="A7895" i="2"/>
  <c r="A7896" i="2"/>
  <c r="A7897" i="2"/>
  <c r="A7898" i="2"/>
  <c r="A7899" i="2"/>
  <c r="A7900" i="2"/>
  <c r="A7901" i="2"/>
  <c r="A7902" i="2"/>
  <c r="A7903" i="2"/>
  <c r="A7904" i="2"/>
  <c r="A7905" i="2"/>
  <c r="A7906" i="2"/>
  <c r="A7907" i="2"/>
  <c r="A7908" i="2"/>
  <c r="A7909" i="2"/>
  <c r="A7910" i="2"/>
  <c r="A7911" i="2"/>
  <c r="A7912" i="2"/>
  <c r="A7913" i="2"/>
  <c r="A7914" i="2"/>
  <c r="A7915" i="2"/>
  <c r="A7916" i="2"/>
  <c r="A7917" i="2"/>
  <c r="A7918" i="2"/>
  <c r="A7919" i="2"/>
  <c r="A7920" i="2"/>
  <c r="A7921" i="2"/>
  <c r="A7922" i="2"/>
  <c r="A7923" i="2"/>
  <c r="A7924" i="2"/>
  <c r="A7925" i="2"/>
  <c r="A7926" i="2"/>
  <c r="A7927" i="2"/>
  <c r="A7928" i="2"/>
  <c r="A7929" i="2"/>
  <c r="A7930" i="2"/>
  <c r="A7931" i="2"/>
  <c r="A7932" i="2"/>
  <c r="A7933" i="2"/>
  <c r="A7934" i="2"/>
  <c r="A7935" i="2"/>
  <c r="A7936" i="2"/>
  <c r="A7937" i="2"/>
  <c r="A7938" i="2"/>
  <c r="A7939" i="2"/>
  <c r="A7940" i="2"/>
  <c r="A7941" i="2"/>
  <c r="A7942" i="2"/>
  <c r="A7943" i="2"/>
  <c r="A7944" i="2"/>
  <c r="A7945" i="2"/>
  <c r="A7946" i="2"/>
  <c r="A7947" i="2"/>
  <c r="A7948" i="2"/>
  <c r="A7949" i="2"/>
  <c r="A7950" i="2"/>
  <c r="A7951" i="2"/>
  <c r="A7952" i="2"/>
  <c r="A7953" i="2"/>
  <c r="A7954" i="2"/>
  <c r="A7955" i="2"/>
  <c r="A7956" i="2"/>
  <c r="A7957" i="2"/>
  <c r="A7958" i="2"/>
  <c r="A7959" i="2"/>
  <c r="A7960" i="2"/>
  <c r="A7961" i="2"/>
  <c r="A7962" i="2"/>
  <c r="A7963" i="2"/>
  <c r="A7964" i="2"/>
  <c r="A7965" i="2"/>
  <c r="A7966" i="2"/>
  <c r="A7967" i="2"/>
  <c r="A7968" i="2"/>
  <c r="A7969" i="2"/>
  <c r="A7970" i="2"/>
  <c r="A7971" i="2"/>
  <c r="A7972" i="2"/>
  <c r="A7973" i="2"/>
  <c r="A7974" i="2"/>
  <c r="A7975" i="2"/>
  <c r="A7976" i="2"/>
  <c r="A7977" i="2"/>
  <c r="A7978" i="2"/>
  <c r="A7979" i="2"/>
  <c r="A7980" i="2"/>
  <c r="A7981" i="2"/>
  <c r="A7982" i="2"/>
  <c r="A7983" i="2"/>
  <c r="A7984" i="2"/>
  <c r="A7985" i="2"/>
  <c r="A7986" i="2"/>
  <c r="A7987" i="2"/>
  <c r="A7988" i="2"/>
  <c r="A7989" i="2"/>
  <c r="A7990" i="2"/>
  <c r="A7991" i="2"/>
  <c r="A7992" i="2"/>
  <c r="A7993" i="2"/>
  <c r="A7994" i="2"/>
  <c r="A7995" i="2"/>
  <c r="A7996" i="2"/>
  <c r="A7997" i="2"/>
  <c r="A7998" i="2"/>
  <c r="A7999" i="2"/>
  <c r="A8000" i="2"/>
  <c r="A8001" i="2"/>
  <c r="A8002" i="2"/>
  <c r="A8003" i="2"/>
  <c r="A8004" i="2"/>
  <c r="A8005" i="2"/>
  <c r="A8006" i="2"/>
  <c r="A8007" i="2"/>
  <c r="A8008" i="2"/>
  <c r="A8009" i="2"/>
  <c r="A8010" i="2"/>
  <c r="A8011" i="2"/>
  <c r="A8012" i="2"/>
  <c r="A8013" i="2"/>
  <c r="A8014" i="2"/>
  <c r="A8015" i="2"/>
  <c r="A8016" i="2"/>
  <c r="A8017" i="2"/>
  <c r="A8018" i="2"/>
  <c r="A8019" i="2"/>
  <c r="A8020" i="2"/>
  <c r="A8021" i="2"/>
  <c r="A8022" i="2"/>
  <c r="A8023" i="2"/>
  <c r="A8024" i="2"/>
  <c r="A8025" i="2"/>
  <c r="A8026" i="2"/>
  <c r="A8027" i="2"/>
  <c r="A8028" i="2"/>
  <c r="A8029" i="2"/>
  <c r="A8030" i="2"/>
  <c r="A8031" i="2"/>
  <c r="A8032" i="2"/>
  <c r="A8033" i="2"/>
  <c r="A8034" i="2"/>
  <c r="A8035" i="2"/>
  <c r="A8036" i="2"/>
  <c r="A8037" i="2"/>
  <c r="A8038" i="2"/>
  <c r="A8039" i="2"/>
  <c r="A8040" i="2"/>
  <c r="A8041" i="2"/>
  <c r="A8042" i="2"/>
  <c r="A8043" i="2"/>
  <c r="A8044" i="2"/>
  <c r="A8045" i="2"/>
  <c r="A8046" i="2"/>
  <c r="A8047" i="2"/>
  <c r="A8048" i="2"/>
  <c r="A8049" i="2"/>
  <c r="A8050" i="2"/>
  <c r="A8051" i="2"/>
  <c r="A8052" i="2"/>
  <c r="A8053" i="2"/>
  <c r="A8054" i="2"/>
  <c r="A8055" i="2"/>
  <c r="A8056" i="2"/>
  <c r="A8057" i="2"/>
  <c r="A8058" i="2"/>
  <c r="A8059" i="2"/>
  <c r="A8060" i="2"/>
  <c r="A8061" i="2"/>
  <c r="A8062" i="2"/>
  <c r="A8063" i="2"/>
  <c r="A8064" i="2"/>
  <c r="A8065" i="2"/>
  <c r="A8066" i="2"/>
  <c r="A8067" i="2"/>
  <c r="A8068" i="2"/>
  <c r="A8069" i="2"/>
  <c r="A8070" i="2"/>
  <c r="A8071" i="2"/>
  <c r="A8072" i="2"/>
  <c r="A8073" i="2"/>
  <c r="A8074" i="2"/>
  <c r="A8075" i="2"/>
  <c r="A8076" i="2"/>
  <c r="A8077" i="2"/>
  <c r="A8078" i="2"/>
  <c r="A8079" i="2"/>
  <c r="A8080" i="2"/>
  <c r="A8081" i="2"/>
  <c r="A8082" i="2"/>
  <c r="A8083" i="2"/>
  <c r="A8084" i="2"/>
  <c r="A8085" i="2"/>
  <c r="A8086" i="2"/>
  <c r="A8087" i="2"/>
  <c r="A8088" i="2"/>
  <c r="A8089" i="2"/>
  <c r="A8090" i="2"/>
  <c r="A8091" i="2"/>
  <c r="A8092" i="2"/>
  <c r="A8093" i="2"/>
  <c r="A8094" i="2"/>
  <c r="A8095" i="2"/>
  <c r="A8096" i="2"/>
  <c r="A8097" i="2"/>
  <c r="A8098" i="2"/>
  <c r="A8099" i="2"/>
  <c r="A8100" i="2"/>
  <c r="A8101" i="2"/>
  <c r="A8102" i="2"/>
  <c r="A8103" i="2"/>
  <c r="A8104" i="2"/>
  <c r="A8105" i="2"/>
  <c r="A8106" i="2"/>
  <c r="A8107" i="2"/>
  <c r="A8108" i="2"/>
  <c r="A8109" i="2"/>
  <c r="A8110" i="2"/>
  <c r="A8111" i="2"/>
  <c r="A8112" i="2"/>
  <c r="A8113" i="2"/>
  <c r="A8114" i="2"/>
  <c r="A8115" i="2"/>
  <c r="A8116" i="2"/>
  <c r="A8117" i="2"/>
  <c r="A8118" i="2"/>
  <c r="A8119" i="2"/>
  <c r="A8120" i="2"/>
  <c r="A8121" i="2"/>
  <c r="A8122" i="2"/>
  <c r="A8123" i="2"/>
  <c r="A8124" i="2"/>
  <c r="A8125" i="2"/>
  <c r="A8126" i="2"/>
  <c r="A8127" i="2"/>
  <c r="A8128" i="2"/>
  <c r="A8129" i="2"/>
  <c r="A8130" i="2"/>
  <c r="A8131" i="2"/>
  <c r="A8132" i="2"/>
  <c r="A8133" i="2"/>
  <c r="A8134" i="2"/>
  <c r="A8135" i="2"/>
  <c r="A8136" i="2"/>
  <c r="A8137" i="2"/>
  <c r="A8138" i="2"/>
  <c r="A8139" i="2"/>
  <c r="A8140" i="2"/>
  <c r="A8141" i="2"/>
  <c r="A8142" i="2"/>
  <c r="A8143" i="2"/>
  <c r="A8144" i="2"/>
  <c r="A8145" i="2"/>
  <c r="A8146" i="2"/>
  <c r="A8147" i="2"/>
  <c r="A8148" i="2"/>
  <c r="A8149" i="2"/>
  <c r="A8150" i="2"/>
  <c r="A8151" i="2"/>
  <c r="A8152" i="2"/>
  <c r="A8153" i="2"/>
  <c r="A8154" i="2"/>
  <c r="A8155" i="2"/>
  <c r="A8156" i="2"/>
  <c r="A8157" i="2"/>
  <c r="A8158" i="2"/>
  <c r="A8159" i="2"/>
  <c r="A8160" i="2"/>
  <c r="A8161" i="2"/>
  <c r="A8162" i="2"/>
  <c r="A8163" i="2"/>
  <c r="A8164" i="2"/>
  <c r="A8165" i="2"/>
  <c r="A8166" i="2"/>
  <c r="A8167" i="2"/>
  <c r="A8168" i="2"/>
  <c r="A8169" i="2"/>
  <c r="A8170" i="2"/>
  <c r="A8171" i="2"/>
  <c r="A8172" i="2"/>
  <c r="A8173" i="2"/>
  <c r="A8174" i="2"/>
  <c r="A8175" i="2"/>
  <c r="A8176" i="2"/>
  <c r="A8177" i="2"/>
  <c r="A8178" i="2"/>
  <c r="A8179" i="2"/>
  <c r="A8180" i="2"/>
  <c r="A8181" i="2"/>
  <c r="A8182" i="2"/>
  <c r="A8183" i="2"/>
  <c r="A8184" i="2"/>
  <c r="A8185" i="2"/>
  <c r="A8186" i="2"/>
  <c r="A8187" i="2"/>
  <c r="A8188" i="2"/>
  <c r="A8189" i="2"/>
  <c r="A8190" i="2"/>
  <c r="A8191" i="2"/>
  <c r="A8192" i="2"/>
  <c r="A8193" i="2"/>
  <c r="A8194" i="2"/>
  <c r="A8195" i="2"/>
  <c r="A8196" i="2"/>
  <c r="A8197" i="2"/>
  <c r="A8198" i="2"/>
  <c r="A8199" i="2"/>
  <c r="A8200" i="2"/>
  <c r="A8201" i="2"/>
  <c r="A8202" i="2"/>
  <c r="A8203" i="2"/>
  <c r="A8204" i="2"/>
  <c r="A8205" i="2"/>
  <c r="A8206" i="2"/>
  <c r="A8207" i="2"/>
  <c r="A8208" i="2"/>
  <c r="A8209" i="2"/>
  <c r="A8210" i="2"/>
  <c r="A8211" i="2"/>
  <c r="A8212" i="2"/>
  <c r="A8213" i="2"/>
  <c r="A8214" i="2"/>
  <c r="A8215" i="2"/>
  <c r="A8216" i="2"/>
  <c r="A8217" i="2"/>
  <c r="A8218" i="2"/>
  <c r="A8219" i="2"/>
  <c r="A8220" i="2"/>
  <c r="A8221" i="2"/>
  <c r="A8222" i="2"/>
  <c r="A8223" i="2"/>
  <c r="A8224" i="2"/>
  <c r="A8225" i="2"/>
  <c r="A8226" i="2"/>
  <c r="A8227" i="2"/>
  <c r="A8228" i="2"/>
  <c r="A8229" i="2"/>
  <c r="A8230" i="2"/>
  <c r="A8231" i="2"/>
  <c r="A8232" i="2"/>
  <c r="A8233" i="2"/>
  <c r="A8234" i="2"/>
  <c r="A8235" i="2"/>
  <c r="A8236" i="2"/>
  <c r="A8237" i="2"/>
  <c r="A8238" i="2"/>
  <c r="A8239" i="2"/>
  <c r="A8240" i="2"/>
  <c r="A8241" i="2"/>
  <c r="A8242" i="2"/>
  <c r="A8243" i="2"/>
  <c r="A8244" i="2"/>
  <c r="A8245" i="2"/>
  <c r="A8246" i="2"/>
  <c r="A8247" i="2"/>
  <c r="A8248" i="2"/>
  <c r="A8249" i="2"/>
  <c r="A8250" i="2"/>
  <c r="A8251" i="2"/>
  <c r="A8252" i="2"/>
  <c r="A8253" i="2"/>
  <c r="A8254" i="2"/>
  <c r="A8255" i="2"/>
  <c r="A8256" i="2"/>
  <c r="A8257" i="2"/>
  <c r="A8258" i="2"/>
  <c r="A8259" i="2"/>
  <c r="A8260" i="2"/>
  <c r="A8261" i="2"/>
  <c r="A8262" i="2"/>
  <c r="A8263" i="2"/>
  <c r="A8264" i="2"/>
  <c r="A8265" i="2"/>
  <c r="A8266" i="2"/>
  <c r="A8267" i="2"/>
  <c r="A8268" i="2"/>
  <c r="A8269" i="2"/>
  <c r="A8270" i="2"/>
  <c r="A8271" i="2"/>
  <c r="A8272" i="2"/>
  <c r="A8273" i="2"/>
  <c r="A8274" i="2"/>
  <c r="A8275" i="2"/>
  <c r="A8276" i="2"/>
  <c r="A8277" i="2"/>
  <c r="A8278" i="2"/>
  <c r="A8279" i="2"/>
  <c r="A8280" i="2"/>
  <c r="A8281" i="2"/>
  <c r="A8282" i="2"/>
  <c r="A8283" i="2"/>
  <c r="A8284" i="2"/>
  <c r="A8285" i="2"/>
  <c r="A8286" i="2"/>
  <c r="A8287" i="2"/>
  <c r="A8288" i="2"/>
  <c r="A8289" i="2"/>
  <c r="A8290" i="2"/>
  <c r="A8291" i="2"/>
  <c r="A8292" i="2"/>
  <c r="A8293" i="2"/>
  <c r="A8294" i="2"/>
  <c r="A8295" i="2"/>
  <c r="A8296" i="2"/>
  <c r="A8297" i="2"/>
  <c r="A8298" i="2"/>
  <c r="A8299" i="2"/>
  <c r="A8300" i="2"/>
  <c r="A8301" i="2"/>
  <c r="A8302" i="2"/>
  <c r="A8303" i="2"/>
  <c r="A8304" i="2"/>
  <c r="A8305" i="2"/>
  <c r="A8306" i="2"/>
  <c r="A8307" i="2"/>
  <c r="A8308" i="2"/>
  <c r="A8309" i="2"/>
  <c r="A8310" i="2"/>
  <c r="A8311" i="2"/>
  <c r="A8312" i="2"/>
  <c r="A8313" i="2"/>
  <c r="A8314" i="2"/>
  <c r="A8315" i="2"/>
  <c r="A8316" i="2"/>
  <c r="A8317" i="2"/>
  <c r="A8318" i="2"/>
  <c r="A8319" i="2"/>
  <c r="A8320" i="2"/>
  <c r="A8321" i="2"/>
  <c r="A8322" i="2"/>
  <c r="A8323" i="2"/>
  <c r="A8324" i="2"/>
  <c r="A8325" i="2"/>
  <c r="A8326" i="2"/>
  <c r="A8327" i="2"/>
  <c r="A8328" i="2"/>
  <c r="A8329" i="2"/>
  <c r="A8330" i="2"/>
  <c r="A8331" i="2"/>
  <c r="A8332" i="2"/>
  <c r="A8333" i="2"/>
  <c r="A8334" i="2"/>
  <c r="A8335" i="2"/>
  <c r="A8336" i="2"/>
  <c r="A8337" i="2"/>
  <c r="A8338" i="2"/>
  <c r="A8339" i="2"/>
  <c r="A8340" i="2"/>
  <c r="A8341" i="2"/>
  <c r="A8342" i="2"/>
  <c r="A8343" i="2"/>
  <c r="A8344" i="2"/>
  <c r="A8345" i="2"/>
  <c r="A8346" i="2"/>
  <c r="A8347" i="2"/>
  <c r="A8348" i="2"/>
  <c r="A8349" i="2"/>
  <c r="A8350" i="2"/>
  <c r="A8351" i="2"/>
  <c r="A8352" i="2"/>
  <c r="A8353" i="2"/>
  <c r="A8354" i="2"/>
  <c r="A8355" i="2"/>
  <c r="A8356" i="2"/>
  <c r="A8357" i="2"/>
  <c r="A8358" i="2"/>
  <c r="A8359" i="2"/>
  <c r="A8360" i="2"/>
  <c r="A8361" i="2"/>
  <c r="A8362" i="2"/>
  <c r="A8363" i="2"/>
  <c r="A8364" i="2"/>
  <c r="A8365" i="2"/>
  <c r="A8366" i="2"/>
  <c r="A8367" i="2"/>
  <c r="A8368" i="2"/>
  <c r="A8369" i="2"/>
  <c r="A8370" i="2"/>
  <c r="A8371" i="2"/>
  <c r="A8372" i="2"/>
  <c r="A8373" i="2"/>
  <c r="A8374" i="2"/>
  <c r="A8375" i="2"/>
  <c r="A8376" i="2"/>
  <c r="A8377" i="2"/>
  <c r="A8378" i="2"/>
  <c r="A8379" i="2"/>
  <c r="A8380" i="2"/>
  <c r="A8381" i="2"/>
  <c r="A8382" i="2"/>
  <c r="A8383" i="2"/>
  <c r="A8384" i="2"/>
  <c r="A8385" i="2"/>
  <c r="A8386" i="2"/>
  <c r="A8387" i="2"/>
  <c r="A8388" i="2"/>
  <c r="A8389" i="2"/>
  <c r="A8390" i="2"/>
  <c r="A8391" i="2"/>
  <c r="A8392" i="2"/>
  <c r="A8393" i="2"/>
  <c r="A8394" i="2"/>
  <c r="A8395" i="2"/>
  <c r="A8396" i="2"/>
  <c r="A8397" i="2"/>
  <c r="A8398" i="2"/>
  <c r="A8399" i="2"/>
  <c r="A8400" i="2"/>
  <c r="A8401" i="2"/>
  <c r="A8402" i="2"/>
  <c r="A8403" i="2"/>
  <c r="A8404" i="2"/>
  <c r="A8405" i="2"/>
  <c r="A8406" i="2"/>
  <c r="A8407" i="2"/>
  <c r="A8408" i="2"/>
  <c r="A8409" i="2"/>
  <c r="A8410" i="2"/>
  <c r="A8411" i="2"/>
  <c r="A8412" i="2"/>
  <c r="A8413" i="2"/>
  <c r="A8414" i="2"/>
  <c r="A8415" i="2"/>
  <c r="A8416" i="2"/>
  <c r="A8417" i="2"/>
  <c r="A8418" i="2"/>
  <c r="A8419" i="2"/>
  <c r="A8420" i="2"/>
  <c r="A8421" i="2"/>
  <c r="A8422" i="2"/>
  <c r="A8423" i="2"/>
  <c r="A8424" i="2"/>
  <c r="A8425" i="2"/>
  <c r="A8426" i="2"/>
  <c r="A8427" i="2"/>
  <c r="A8428" i="2"/>
  <c r="A8429" i="2"/>
  <c r="A8430" i="2"/>
  <c r="A8431" i="2"/>
  <c r="A8432" i="2"/>
  <c r="A8433" i="2"/>
  <c r="A8434" i="2"/>
  <c r="A8435" i="2"/>
  <c r="A8436" i="2"/>
  <c r="A8437" i="2"/>
  <c r="A8438" i="2"/>
  <c r="A8439" i="2"/>
  <c r="A8440" i="2"/>
  <c r="A8441" i="2"/>
  <c r="A8442" i="2"/>
  <c r="A8443" i="2"/>
  <c r="A8444" i="2"/>
  <c r="A8445" i="2"/>
  <c r="A8446" i="2"/>
  <c r="A8447" i="2"/>
  <c r="A8448" i="2"/>
  <c r="A8449" i="2"/>
  <c r="A8450" i="2"/>
  <c r="A8451" i="2"/>
  <c r="A8452" i="2"/>
  <c r="A8453" i="2"/>
  <c r="A8454" i="2"/>
  <c r="A8455" i="2"/>
  <c r="A8456" i="2"/>
  <c r="A8457" i="2"/>
  <c r="A8458" i="2"/>
  <c r="A8459" i="2"/>
  <c r="A8460" i="2"/>
  <c r="A8461" i="2"/>
  <c r="A8462" i="2"/>
  <c r="A8463" i="2"/>
  <c r="A8464" i="2"/>
  <c r="A8465" i="2"/>
  <c r="A8466" i="2"/>
  <c r="A8467" i="2"/>
  <c r="A8468" i="2"/>
  <c r="A8469" i="2"/>
  <c r="A8470" i="2"/>
  <c r="A8471" i="2"/>
  <c r="A8472" i="2"/>
  <c r="A8473" i="2"/>
  <c r="A8474" i="2"/>
  <c r="A8475" i="2"/>
  <c r="A8476" i="2"/>
  <c r="A8477" i="2"/>
  <c r="A8478" i="2"/>
  <c r="A8479" i="2"/>
  <c r="A8480" i="2"/>
  <c r="A8481" i="2"/>
  <c r="A8482" i="2"/>
  <c r="A8483" i="2"/>
  <c r="A8484" i="2"/>
  <c r="A8485" i="2"/>
  <c r="A8486" i="2"/>
  <c r="A8487" i="2"/>
  <c r="A8488" i="2"/>
  <c r="A8489" i="2"/>
  <c r="A8490" i="2"/>
  <c r="A8491" i="2"/>
  <c r="A8492" i="2"/>
  <c r="A8493" i="2"/>
  <c r="A8494" i="2"/>
  <c r="A8495" i="2"/>
  <c r="A8496" i="2"/>
  <c r="A8497" i="2"/>
  <c r="A8498" i="2"/>
  <c r="A8499" i="2"/>
  <c r="A8500" i="2"/>
  <c r="A8501" i="2"/>
  <c r="A8502" i="2"/>
  <c r="A8503" i="2"/>
  <c r="A8504" i="2"/>
  <c r="A8505" i="2"/>
  <c r="A8506" i="2"/>
  <c r="A8507" i="2"/>
  <c r="A8508" i="2"/>
  <c r="A8509" i="2"/>
  <c r="A8510" i="2"/>
  <c r="A8511" i="2"/>
  <c r="A8512" i="2"/>
  <c r="A8513" i="2"/>
  <c r="A8514" i="2"/>
  <c r="A8515" i="2"/>
  <c r="A8516" i="2"/>
  <c r="A8517" i="2"/>
  <c r="A8518" i="2"/>
  <c r="A8519" i="2"/>
  <c r="A8520" i="2"/>
  <c r="A8521" i="2"/>
  <c r="A8522" i="2"/>
  <c r="A8523" i="2"/>
  <c r="A8524" i="2"/>
  <c r="A8525" i="2"/>
  <c r="A8526" i="2"/>
  <c r="A8527" i="2"/>
  <c r="A8528" i="2"/>
  <c r="A8529" i="2"/>
  <c r="A8530" i="2"/>
  <c r="A8531" i="2"/>
  <c r="A8532" i="2"/>
  <c r="A8533" i="2"/>
  <c r="A8534" i="2"/>
  <c r="A8535" i="2"/>
  <c r="A8536" i="2"/>
  <c r="A8537" i="2"/>
  <c r="A8538" i="2"/>
  <c r="A8539" i="2"/>
  <c r="A8540" i="2"/>
  <c r="A8541" i="2"/>
  <c r="A8542" i="2"/>
  <c r="A8543" i="2"/>
  <c r="A8544" i="2"/>
  <c r="A8545" i="2"/>
  <c r="A8546" i="2"/>
  <c r="A8547" i="2"/>
  <c r="A8548" i="2"/>
  <c r="A8549" i="2"/>
  <c r="A8550" i="2"/>
  <c r="A8551" i="2"/>
  <c r="A8552" i="2"/>
  <c r="A8553" i="2"/>
  <c r="A8554" i="2"/>
  <c r="A8555" i="2"/>
  <c r="A8556" i="2"/>
  <c r="A8557" i="2"/>
  <c r="A8558" i="2"/>
  <c r="A8559" i="2"/>
  <c r="A8560" i="2"/>
  <c r="A8561" i="2"/>
  <c r="A8562" i="2"/>
  <c r="A8563" i="2"/>
  <c r="A8564" i="2"/>
  <c r="A8565" i="2"/>
  <c r="A8566" i="2"/>
  <c r="A8567" i="2"/>
  <c r="A8568" i="2"/>
  <c r="A8569" i="2"/>
  <c r="A8570" i="2"/>
  <c r="A8571" i="2"/>
  <c r="A8572" i="2"/>
  <c r="A8573" i="2"/>
  <c r="A8574" i="2"/>
  <c r="A8575" i="2"/>
  <c r="A8576" i="2"/>
  <c r="A8577" i="2"/>
  <c r="A8578" i="2"/>
  <c r="A8579" i="2"/>
  <c r="A8580" i="2"/>
  <c r="A8581" i="2"/>
  <c r="A8582" i="2"/>
  <c r="A8583" i="2"/>
  <c r="A8584" i="2"/>
  <c r="A8585" i="2"/>
  <c r="A8586" i="2"/>
  <c r="A8587" i="2"/>
  <c r="A8588" i="2"/>
  <c r="A8589" i="2"/>
  <c r="A8590" i="2"/>
  <c r="A8591" i="2"/>
  <c r="A8592" i="2"/>
  <c r="A8593" i="2"/>
  <c r="A8594" i="2"/>
  <c r="A8595" i="2"/>
  <c r="A8596" i="2"/>
  <c r="A8597" i="2"/>
  <c r="A8598" i="2"/>
  <c r="A8599" i="2"/>
  <c r="A8600" i="2"/>
  <c r="A8601" i="2"/>
  <c r="A8602" i="2"/>
  <c r="A8603" i="2"/>
  <c r="A8604" i="2"/>
  <c r="A8605" i="2"/>
  <c r="A8606" i="2"/>
  <c r="A8607" i="2"/>
  <c r="A8608" i="2"/>
  <c r="A8609" i="2"/>
  <c r="A8610" i="2"/>
  <c r="A8611" i="2"/>
  <c r="A8612" i="2"/>
  <c r="A8613" i="2"/>
  <c r="A8614" i="2"/>
  <c r="A8615" i="2"/>
  <c r="A8616" i="2"/>
  <c r="A8617" i="2"/>
  <c r="A8618" i="2"/>
  <c r="A8619" i="2"/>
  <c r="A8620" i="2"/>
  <c r="A8621" i="2"/>
  <c r="A8622" i="2"/>
  <c r="A8623" i="2"/>
  <c r="A8624" i="2"/>
  <c r="A8625" i="2"/>
  <c r="A8626" i="2"/>
  <c r="A8627" i="2"/>
  <c r="A8628" i="2"/>
  <c r="A8629" i="2"/>
  <c r="A8630" i="2"/>
  <c r="A8631" i="2"/>
  <c r="A8632" i="2"/>
  <c r="A8633" i="2"/>
  <c r="A8634" i="2"/>
  <c r="A8635" i="2"/>
  <c r="A8636" i="2"/>
  <c r="A8637" i="2"/>
  <c r="A8638" i="2"/>
  <c r="A8639" i="2"/>
  <c r="A8640" i="2"/>
  <c r="A8641" i="2"/>
  <c r="A8642" i="2"/>
  <c r="A8643" i="2"/>
  <c r="A8644" i="2"/>
  <c r="A8645" i="2"/>
  <c r="A8646" i="2"/>
  <c r="A8647" i="2"/>
  <c r="A8648" i="2"/>
  <c r="A8649" i="2"/>
  <c r="A8650" i="2"/>
  <c r="A8651" i="2"/>
  <c r="A8652" i="2"/>
  <c r="A8653" i="2"/>
  <c r="A8654" i="2"/>
  <c r="A8655" i="2"/>
  <c r="A8656" i="2"/>
  <c r="A8657" i="2"/>
  <c r="A8658" i="2"/>
  <c r="A8659" i="2"/>
  <c r="A8660" i="2"/>
  <c r="A8661" i="2"/>
  <c r="A8662" i="2"/>
  <c r="A8663" i="2"/>
  <c r="A8664" i="2"/>
  <c r="A8665" i="2"/>
  <c r="A8666" i="2"/>
  <c r="A8667" i="2"/>
  <c r="A8668" i="2"/>
  <c r="A8669" i="2"/>
  <c r="A8670" i="2"/>
  <c r="A8671" i="2"/>
  <c r="A8672" i="2"/>
  <c r="A8673" i="2"/>
  <c r="A8674" i="2"/>
  <c r="A8675" i="2"/>
  <c r="A8676" i="2"/>
  <c r="A8677" i="2"/>
  <c r="A8678" i="2"/>
  <c r="A8679" i="2"/>
  <c r="A8680" i="2"/>
  <c r="A8681" i="2"/>
  <c r="A8682" i="2"/>
  <c r="A8683" i="2"/>
  <c r="A8684" i="2"/>
  <c r="A8685" i="2"/>
  <c r="A8686" i="2"/>
  <c r="A8687" i="2"/>
  <c r="A8688" i="2"/>
  <c r="A8689" i="2"/>
  <c r="A8690" i="2"/>
  <c r="A8691" i="2"/>
  <c r="A8692" i="2"/>
  <c r="A8693" i="2"/>
  <c r="A8694" i="2"/>
  <c r="A8695" i="2"/>
  <c r="A8696" i="2"/>
  <c r="A8697" i="2"/>
  <c r="A8698" i="2"/>
  <c r="A8699" i="2"/>
  <c r="A8700" i="2"/>
  <c r="A8701" i="2"/>
  <c r="A8702" i="2"/>
  <c r="A8703" i="2"/>
  <c r="A8704" i="2"/>
  <c r="A8705" i="2"/>
  <c r="A8706" i="2"/>
  <c r="A8707" i="2"/>
  <c r="A8708" i="2"/>
  <c r="A8709" i="2"/>
  <c r="A8710" i="2"/>
  <c r="A8711" i="2"/>
  <c r="A8712" i="2"/>
  <c r="A8713" i="2"/>
  <c r="A8714" i="2"/>
  <c r="A8715" i="2"/>
  <c r="A8716" i="2"/>
  <c r="A8717" i="2"/>
  <c r="A8718" i="2"/>
  <c r="A8719" i="2"/>
  <c r="A8720" i="2"/>
  <c r="A8721" i="2"/>
  <c r="A8722" i="2"/>
  <c r="A8723" i="2"/>
  <c r="A8724" i="2"/>
  <c r="A8725" i="2"/>
  <c r="A8726" i="2"/>
  <c r="A8727" i="2"/>
  <c r="A8728" i="2"/>
  <c r="A8729" i="2"/>
  <c r="A8730" i="2"/>
  <c r="A8731" i="2"/>
  <c r="A8732" i="2"/>
  <c r="A8733" i="2"/>
  <c r="A8734" i="2"/>
  <c r="A8735" i="2"/>
  <c r="A8736" i="2"/>
  <c r="A8737" i="2"/>
  <c r="A8738" i="2"/>
  <c r="A8739" i="2"/>
  <c r="A8740" i="2"/>
  <c r="A8741" i="2"/>
  <c r="A8742" i="2"/>
  <c r="A8743" i="2"/>
  <c r="A8744" i="2"/>
  <c r="A8745" i="2"/>
  <c r="A8746" i="2"/>
  <c r="A8747" i="2"/>
  <c r="A8748" i="2"/>
  <c r="A8749" i="2"/>
  <c r="A8750" i="2"/>
  <c r="A8751" i="2"/>
  <c r="A8752" i="2"/>
  <c r="A8753" i="2"/>
  <c r="A8754" i="2"/>
  <c r="A8755" i="2"/>
  <c r="A8756" i="2"/>
  <c r="A8757" i="2"/>
  <c r="A8758" i="2"/>
  <c r="A8759" i="2"/>
  <c r="A8760" i="2"/>
  <c r="A8761" i="2"/>
  <c r="A8762" i="2"/>
  <c r="A8763" i="2"/>
  <c r="A8764" i="2"/>
  <c r="A8765" i="2"/>
  <c r="A8766" i="2"/>
  <c r="A8767" i="2"/>
  <c r="A8768" i="2"/>
  <c r="A8769" i="2"/>
  <c r="A8770" i="2"/>
  <c r="A8771" i="2"/>
  <c r="A8772" i="2"/>
  <c r="A8773" i="2"/>
  <c r="A8774" i="2"/>
  <c r="A8775" i="2"/>
  <c r="A8776" i="2"/>
  <c r="A8777" i="2"/>
  <c r="A8778" i="2"/>
  <c r="A8779" i="2"/>
  <c r="A8780" i="2"/>
  <c r="A8781" i="2"/>
  <c r="A8782" i="2"/>
  <c r="A8783" i="2"/>
  <c r="A8784" i="2"/>
  <c r="A8785" i="2"/>
  <c r="A8786" i="2"/>
  <c r="A8787" i="2"/>
  <c r="A8788" i="2"/>
  <c r="A8789" i="2"/>
  <c r="A8790" i="2"/>
  <c r="A8791" i="2"/>
  <c r="A8792" i="2"/>
  <c r="A8793" i="2"/>
  <c r="A8794" i="2"/>
  <c r="A8795" i="2"/>
  <c r="A8796" i="2"/>
  <c r="A8797" i="2"/>
  <c r="A8798" i="2"/>
  <c r="A8799" i="2"/>
  <c r="A8800" i="2"/>
  <c r="A8801" i="2"/>
  <c r="A8802" i="2"/>
  <c r="A8803" i="2"/>
  <c r="A8804" i="2"/>
  <c r="A8805" i="2"/>
  <c r="A8806" i="2"/>
  <c r="A8807" i="2"/>
  <c r="A8808" i="2"/>
  <c r="A8809" i="2"/>
  <c r="A8810" i="2"/>
  <c r="A8811" i="2"/>
  <c r="A8812" i="2"/>
  <c r="A8813" i="2"/>
  <c r="A8814" i="2"/>
  <c r="A8815" i="2"/>
  <c r="A8816" i="2"/>
  <c r="A8817" i="2"/>
  <c r="A8818" i="2"/>
  <c r="A8819" i="2"/>
  <c r="A8820" i="2"/>
  <c r="A8821" i="2"/>
  <c r="A8822" i="2"/>
  <c r="A8823" i="2"/>
  <c r="A8824" i="2"/>
  <c r="A8825" i="2"/>
  <c r="A8826" i="2"/>
  <c r="A8827" i="2"/>
  <c r="A8828" i="2"/>
  <c r="A8829" i="2"/>
  <c r="A8830" i="2"/>
  <c r="A8831" i="2"/>
  <c r="A8832" i="2"/>
  <c r="A8833" i="2"/>
  <c r="A8834" i="2"/>
  <c r="A8835" i="2"/>
  <c r="A8836" i="2"/>
  <c r="A8837" i="2"/>
  <c r="A8838" i="2"/>
  <c r="A8839" i="2"/>
  <c r="A8840" i="2"/>
  <c r="A8841" i="2"/>
  <c r="A8842" i="2"/>
  <c r="A8843" i="2"/>
  <c r="A8844" i="2"/>
  <c r="A8845" i="2"/>
  <c r="A8846" i="2"/>
  <c r="A8847" i="2"/>
  <c r="A8848" i="2"/>
  <c r="A8849" i="2"/>
  <c r="A8850" i="2"/>
  <c r="A8851" i="2"/>
  <c r="A8852" i="2"/>
  <c r="A8853" i="2"/>
  <c r="A8854" i="2"/>
  <c r="A8855" i="2"/>
  <c r="A8856" i="2"/>
  <c r="A8857" i="2"/>
  <c r="A8858" i="2"/>
  <c r="A8859" i="2"/>
  <c r="A8860" i="2"/>
  <c r="A8861" i="2"/>
  <c r="A8862" i="2"/>
  <c r="A8863" i="2"/>
  <c r="A8864" i="2"/>
  <c r="A8865" i="2"/>
  <c r="A8866" i="2"/>
  <c r="A8867" i="2"/>
  <c r="A8868" i="2"/>
  <c r="A8869" i="2"/>
  <c r="A8870" i="2"/>
  <c r="A8871" i="2"/>
  <c r="A8872" i="2"/>
  <c r="A8873" i="2"/>
  <c r="A8874" i="2"/>
  <c r="A8875" i="2"/>
  <c r="A8876" i="2"/>
  <c r="A8877" i="2"/>
  <c r="A8878" i="2"/>
  <c r="A8879" i="2"/>
  <c r="A8880" i="2"/>
  <c r="A8881" i="2"/>
  <c r="A8882" i="2"/>
  <c r="A8883" i="2"/>
  <c r="A8884" i="2"/>
  <c r="A8885" i="2"/>
  <c r="A8886" i="2"/>
  <c r="A8887" i="2"/>
  <c r="A8888" i="2"/>
  <c r="A8889" i="2"/>
  <c r="A8890" i="2"/>
  <c r="A8891" i="2"/>
  <c r="A8892" i="2"/>
  <c r="A8893" i="2"/>
  <c r="A8894" i="2"/>
  <c r="A8895" i="2"/>
  <c r="A8896" i="2"/>
  <c r="A8897" i="2"/>
  <c r="A8898" i="2"/>
  <c r="A8899" i="2"/>
  <c r="A8900" i="2"/>
  <c r="A8901" i="2"/>
  <c r="A8902" i="2"/>
  <c r="A8903" i="2"/>
  <c r="A8904" i="2"/>
  <c r="A8905" i="2"/>
  <c r="A8906" i="2"/>
  <c r="A8907" i="2"/>
  <c r="A8908" i="2"/>
  <c r="A8909" i="2"/>
  <c r="A8910" i="2"/>
  <c r="A8911" i="2"/>
  <c r="A8912" i="2"/>
  <c r="A8913" i="2"/>
  <c r="A8914" i="2"/>
  <c r="A8915" i="2"/>
  <c r="A8916" i="2"/>
  <c r="A8917" i="2"/>
  <c r="A8918" i="2"/>
  <c r="A8919" i="2"/>
  <c r="A8920" i="2"/>
  <c r="A8921" i="2"/>
  <c r="A8922" i="2"/>
  <c r="A8923" i="2"/>
  <c r="A8924" i="2"/>
  <c r="A8925" i="2"/>
  <c r="A8926" i="2"/>
  <c r="A8927" i="2"/>
  <c r="A8928" i="2"/>
  <c r="A8929" i="2"/>
  <c r="A8930" i="2"/>
  <c r="A8931" i="2"/>
  <c r="A8932" i="2"/>
  <c r="A8933" i="2"/>
  <c r="A8934" i="2"/>
  <c r="A8935" i="2"/>
  <c r="A8936" i="2"/>
  <c r="A8937" i="2"/>
  <c r="A8938" i="2"/>
  <c r="A8939" i="2"/>
  <c r="A8940" i="2"/>
  <c r="A8941" i="2"/>
  <c r="A8942" i="2"/>
  <c r="A8943" i="2"/>
  <c r="A8944" i="2"/>
  <c r="A8945" i="2"/>
  <c r="A8946" i="2"/>
  <c r="A8947" i="2"/>
  <c r="A8948" i="2"/>
  <c r="A8949" i="2"/>
  <c r="A8950" i="2"/>
  <c r="A8951" i="2"/>
  <c r="A8952" i="2"/>
  <c r="A8953" i="2"/>
  <c r="A8954" i="2"/>
  <c r="A8955" i="2"/>
  <c r="A8956" i="2"/>
  <c r="A8957" i="2"/>
  <c r="A8958" i="2"/>
  <c r="A8959" i="2"/>
  <c r="A8960" i="2"/>
  <c r="A8961" i="2"/>
  <c r="A8962" i="2"/>
  <c r="A8963" i="2"/>
  <c r="A8964" i="2"/>
  <c r="A8965" i="2"/>
  <c r="A8966" i="2"/>
  <c r="A8967" i="2"/>
  <c r="A8968" i="2"/>
  <c r="A8969" i="2"/>
  <c r="A8970" i="2"/>
  <c r="A8971" i="2"/>
  <c r="A8972" i="2"/>
  <c r="A8973" i="2"/>
  <c r="A8974" i="2"/>
  <c r="A8975" i="2"/>
  <c r="A8976" i="2"/>
  <c r="A8977" i="2"/>
  <c r="A8978" i="2"/>
  <c r="A8979" i="2"/>
  <c r="A8980" i="2"/>
  <c r="A8981" i="2"/>
  <c r="A8982" i="2"/>
  <c r="A8983" i="2"/>
  <c r="A8984" i="2"/>
  <c r="A8985" i="2"/>
  <c r="A8986" i="2"/>
  <c r="A8987" i="2"/>
  <c r="A8988" i="2"/>
  <c r="A8989" i="2"/>
  <c r="A8990" i="2"/>
  <c r="A8991" i="2"/>
  <c r="A8992" i="2"/>
  <c r="A8993" i="2"/>
  <c r="A8994" i="2"/>
  <c r="A8995" i="2"/>
  <c r="A8996" i="2"/>
  <c r="A8997" i="2"/>
  <c r="A8998" i="2"/>
  <c r="A8999" i="2"/>
  <c r="A9000" i="2"/>
  <c r="A9001" i="2"/>
  <c r="A9002" i="2"/>
  <c r="A9003" i="2"/>
  <c r="A9004" i="2"/>
  <c r="A9005" i="2"/>
  <c r="A9006" i="2"/>
  <c r="A9007" i="2"/>
  <c r="A9008" i="2"/>
  <c r="A9009" i="2"/>
  <c r="A9010" i="2"/>
  <c r="A9011" i="2"/>
  <c r="A9012" i="2"/>
  <c r="A9013" i="2"/>
  <c r="A9014" i="2"/>
  <c r="A9015" i="2"/>
  <c r="A9016" i="2"/>
  <c r="A9017" i="2"/>
  <c r="A9018" i="2"/>
  <c r="A9019" i="2"/>
  <c r="A9020" i="2"/>
  <c r="A9021" i="2"/>
  <c r="A9022" i="2"/>
  <c r="A9023" i="2"/>
  <c r="A9024" i="2"/>
  <c r="A9025" i="2"/>
  <c r="A9026" i="2"/>
  <c r="A9027" i="2"/>
  <c r="A9028" i="2"/>
  <c r="A9029" i="2"/>
  <c r="A9030" i="2"/>
  <c r="A9031" i="2"/>
  <c r="A9032" i="2"/>
  <c r="A9033" i="2"/>
  <c r="A9034" i="2"/>
  <c r="A9035" i="2"/>
  <c r="A9036" i="2"/>
  <c r="A9037" i="2"/>
  <c r="A9038" i="2"/>
  <c r="A9039" i="2"/>
  <c r="A9040" i="2"/>
  <c r="A9041" i="2"/>
  <c r="A9042" i="2"/>
  <c r="A9043" i="2"/>
  <c r="A9044" i="2"/>
  <c r="A9045" i="2"/>
  <c r="A9046" i="2"/>
  <c r="A9047" i="2"/>
  <c r="A9048" i="2"/>
  <c r="A9049" i="2"/>
  <c r="A9050" i="2"/>
  <c r="A9051" i="2"/>
  <c r="A9052" i="2"/>
  <c r="A9053" i="2"/>
  <c r="A9054" i="2"/>
  <c r="A9055" i="2"/>
  <c r="A9056" i="2"/>
  <c r="A9057" i="2"/>
  <c r="A9058" i="2"/>
  <c r="A9059" i="2"/>
  <c r="A9060" i="2"/>
  <c r="A9061" i="2"/>
  <c r="A9062" i="2"/>
  <c r="A9063" i="2"/>
  <c r="A9064" i="2"/>
  <c r="A9065" i="2"/>
  <c r="A9066" i="2"/>
  <c r="A9067" i="2"/>
  <c r="A9068" i="2"/>
  <c r="A9069" i="2"/>
  <c r="A9070" i="2"/>
  <c r="A9071" i="2"/>
  <c r="A9072" i="2"/>
  <c r="A9073" i="2"/>
  <c r="A9074" i="2"/>
  <c r="A9075" i="2"/>
  <c r="A9076" i="2"/>
  <c r="A9077" i="2"/>
  <c r="A9078" i="2"/>
  <c r="A9079" i="2"/>
  <c r="A9080" i="2"/>
  <c r="A9081" i="2"/>
  <c r="A9082" i="2"/>
  <c r="A9083" i="2"/>
  <c r="A9084" i="2"/>
  <c r="A9085" i="2"/>
  <c r="A9086" i="2"/>
  <c r="A9087" i="2"/>
  <c r="A9088" i="2"/>
  <c r="A9089" i="2"/>
  <c r="A9090" i="2"/>
  <c r="A9091" i="2"/>
  <c r="A9092" i="2"/>
  <c r="A9093" i="2"/>
  <c r="A9094" i="2"/>
  <c r="A9095" i="2"/>
  <c r="A9096" i="2"/>
  <c r="A9097" i="2"/>
  <c r="A9098" i="2"/>
  <c r="A9099" i="2"/>
  <c r="A9100" i="2"/>
  <c r="A9101" i="2"/>
  <c r="A9102" i="2"/>
  <c r="A9103" i="2"/>
  <c r="A9104" i="2"/>
  <c r="A9105" i="2"/>
  <c r="A9106" i="2"/>
  <c r="A9107" i="2"/>
  <c r="A9108" i="2"/>
  <c r="A9109" i="2"/>
  <c r="A9110" i="2"/>
  <c r="A9111" i="2"/>
  <c r="A9112" i="2"/>
  <c r="A9113" i="2"/>
  <c r="A9114" i="2"/>
  <c r="A9115" i="2"/>
  <c r="A9116" i="2"/>
  <c r="A9117" i="2"/>
  <c r="A9118" i="2"/>
  <c r="A9119" i="2"/>
  <c r="A9120" i="2"/>
  <c r="A9121" i="2"/>
  <c r="A9122" i="2"/>
  <c r="A9123" i="2"/>
  <c r="A9124" i="2"/>
  <c r="A9125" i="2"/>
  <c r="A9126" i="2"/>
  <c r="A9127" i="2"/>
  <c r="A9128" i="2"/>
  <c r="A9129" i="2"/>
  <c r="A9130" i="2"/>
  <c r="A9131" i="2"/>
  <c r="A9132" i="2"/>
  <c r="A9133" i="2"/>
  <c r="A9134" i="2"/>
  <c r="A9135" i="2"/>
  <c r="A9136" i="2"/>
  <c r="A9137" i="2"/>
  <c r="A9138" i="2"/>
  <c r="A9139" i="2"/>
  <c r="A9140" i="2"/>
  <c r="A9141" i="2"/>
  <c r="A9142" i="2"/>
  <c r="A9143" i="2"/>
  <c r="A9144" i="2"/>
  <c r="A9145" i="2"/>
  <c r="A9146" i="2"/>
  <c r="A9147" i="2"/>
  <c r="A9148" i="2"/>
  <c r="A9149" i="2"/>
  <c r="A9150" i="2"/>
  <c r="A9151" i="2"/>
  <c r="A9152" i="2"/>
  <c r="A9153" i="2"/>
  <c r="A9154" i="2"/>
  <c r="A9155" i="2"/>
  <c r="A9156" i="2"/>
  <c r="A9157" i="2"/>
  <c r="A9158" i="2"/>
  <c r="A9159" i="2"/>
  <c r="A9160" i="2"/>
  <c r="A9161" i="2"/>
  <c r="A9162" i="2"/>
  <c r="A9163" i="2"/>
  <c r="A9164" i="2"/>
  <c r="A9165" i="2"/>
  <c r="A9166" i="2"/>
  <c r="A9167" i="2"/>
  <c r="A9168" i="2"/>
  <c r="A9169" i="2"/>
  <c r="A9170" i="2"/>
  <c r="A9171" i="2"/>
  <c r="A9172" i="2"/>
  <c r="A9173" i="2"/>
  <c r="A9174" i="2"/>
  <c r="A9175" i="2"/>
  <c r="A9176" i="2"/>
  <c r="A9177" i="2"/>
  <c r="A9178" i="2"/>
  <c r="A9179" i="2"/>
  <c r="A9180" i="2"/>
  <c r="A9181" i="2"/>
  <c r="A9182" i="2"/>
  <c r="A9183" i="2"/>
  <c r="A9184" i="2"/>
  <c r="A9185" i="2"/>
  <c r="A9186" i="2"/>
  <c r="A9187" i="2"/>
  <c r="A9188" i="2"/>
  <c r="A9189" i="2"/>
  <c r="A9190" i="2"/>
  <c r="A9191" i="2"/>
  <c r="A9192" i="2"/>
  <c r="A9193" i="2"/>
  <c r="A9194" i="2"/>
  <c r="A9195" i="2"/>
  <c r="A9196" i="2"/>
  <c r="A9197" i="2"/>
  <c r="A9198" i="2"/>
  <c r="A9199" i="2"/>
  <c r="A9200" i="2"/>
  <c r="A9201" i="2"/>
  <c r="A9202" i="2"/>
  <c r="A9203" i="2"/>
  <c r="A9204" i="2"/>
  <c r="A9205" i="2"/>
  <c r="A9206" i="2"/>
  <c r="A9207" i="2"/>
  <c r="A9208" i="2"/>
  <c r="A9209" i="2"/>
  <c r="A9210" i="2"/>
  <c r="A9211" i="2"/>
  <c r="A9212" i="2"/>
  <c r="A9213" i="2"/>
  <c r="A9214" i="2"/>
  <c r="A9215" i="2"/>
  <c r="A9216" i="2"/>
  <c r="A9217" i="2"/>
  <c r="A9218" i="2"/>
  <c r="A9219" i="2"/>
  <c r="A9220" i="2"/>
  <c r="A9221" i="2"/>
  <c r="A9222" i="2"/>
  <c r="A9223" i="2"/>
  <c r="A9224" i="2"/>
  <c r="A9225" i="2"/>
  <c r="A9226" i="2"/>
  <c r="A9227" i="2"/>
  <c r="A9228" i="2"/>
  <c r="A9229" i="2"/>
  <c r="A9230" i="2"/>
  <c r="A9231" i="2"/>
  <c r="A9232" i="2"/>
  <c r="A9233" i="2"/>
  <c r="A9234" i="2"/>
  <c r="A9235" i="2"/>
  <c r="A9236" i="2"/>
  <c r="A9237" i="2"/>
  <c r="A9238" i="2"/>
  <c r="A9239" i="2"/>
  <c r="A9240" i="2"/>
  <c r="A9241" i="2"/>
  <c r="A9242" i="2"/>
  <c r="A9243" i="2"/>
  <c r="A9244" i="2"/>
  <c r="A9245" i="2"/>
  <c r="A9246" i="2"/>
  <c r="A9247" i="2"/>
  <c r="A9248" i="2"/>
  <c r="A9249" i="2"/>
  <c r="A9250" i="2"/>
  <c r="A9251" i="2"/>
  <c r="A9252" i="2"/>
  <c r="A9253" i="2"/>
  <c r="A9254" i="2"/>
  <c r="A9255" i="2"/>
  <c r="A9256" i="2"/>
  <c r="A9257" i="2"/>
  <c r="A9258" i="2"/>
  <c r="A9259" i="2"/>
  <c r="A9260" i="2"/>
  <c r="A9261" i="2"/>
  <c r="A9262" i="2"/>
  <c r="A9263" i="2"/>
  <c r="A9264" i="2"/>
  <c r="A9265" i="2"/>
  <c r="A9266" i="2"/>
  <c r="A9267" i="2"/>
  <c r="A9268" i="2"/>
  <c r="A9269" i="2"/>
  <c r="A9270" i="2"/>
  <c r="A9271" i="2"/>
  <c r="A9272" i="2"/>
  <c r="A9273" i="2"/>
  <c r="A9274" i="2"/>
  <c r="A9275" i="2"/>
  <c r="A9276" i="2"/>
  <c r="A9277" i="2"/>
  <c r="A9278" i="2"/>
  <c r="A9279" i="2"/>
  <c r="A9280" i="2"/>
  <c r="A9281" i="2"/>
  <c r="A9282" i="2"/>
  <c r="A9283" i="2"/>
  <c r="A9284" i="2"/>
  <c r="A9285" i="2"/>
  <c r="A9286" i="2"/>
  <c r="A9287" i="2"/>
  <c r="A9288" i="2"/>
  <c r="A9289" i="2"/>
  <c r="A9290" i="2"/>
  <c r="A9291" i="2"/>
  <c r="A9292" i="2"/>
  <c r="A9293" i="2"/>
  <c r="A9294" i="2"/>
  <c r="A9295" i="2"/>
  <c r="A9296" i="2"/>
  <c r="A9297" i="2"/>
  <c r="A9298" i="2"/>
  <c r="A9299" i="2"/>
  <c r="A9300" i="2"/>
  <c r="A9301" i="2"/>
  <c r="A9302" i="2"/>
  <c r="A9303" i="2"/>
  <c r="A9304" i="2"/>
  <c r="A9305" i="2"/>
  <c r="A9306" i="2"/>
  <c r="A9307" i="2"/>
  <c r="A9308" i="2"/>
  <c r="A9309" i="2"/>
  <c r="A9310" i="2"/>
  <c r="A9311" i="2"/>
  <c r="A9312" i="2"/>
  <c r="A9313" i="2"/>
  <c r="A9314" i="2"/>
  <c r="A9315" i="2"/>
  <c r="A9316" i="2"/>
  <c r="A9317" i="2"/>
  <c r="A9318" i="2"/>
  <c r="A9319" i="2"/>
  <c r="A9320" i="2"/>
  <c r="A9321" i="2"/>
  <c r="A9322" i="2"/>
  <c r="A9323" i="2"/>
  <c r="A9324" i="2"/>
  <c r="A9325" i="2"/>
  <c r="A9326" i="2"/>
  <c r="A9327" i="2"/>
  <c r="A9328" i="2"/>
  <c r="A9329" i="2"/>
  <c r="A9330" i="2"/>
  <c r="A9331" i="2"/>
  <c r="A9332" i="2"/>
  <c r="A9333" i="2"/>
  <c r="A9334" i="2"/>
  <c r="A9335" i="2"/>
  <c r="A9336" i="2"/>
  <c r="A9337" i="2"/>
  <c r="A9338" i="2"/>
  <c r="A9339" i="2"/>
  <c r="A9340" i="2"/>
  <c r="A9341" i="2"/>
  <c r="A9342" i="2"/>
  <c r="A9343" i="2"/>
  <c r="A9344" i="2"/>
  <c r="A9345" i="2"/>
  <c r="A9346" i="2"/>
  <c r="A9347" i="2"/>
  <c r="A9348" i="2"/>
  <c r="A9349" i="2"/>
  <c r="A9350" i="2"/>
  <c r="A9351" i="2"/>
  <c r="A9352" i="2"/>
  <c r="A9353" i="2"/>
  <c r="A9354" i="2"/>
  <c r="A9355" i="2"/>
  <c r="A9356" i="2"/>
  <c r="A9357" i="2"/>
  <c r="A9358" i="2"/>
  <c r="A9359" i="2"/>
  <c r="A9360" i="2"/>
  <c r="A9361" i="2"/>
  <c r="A9362" i="2"/>
  <c r="A9363" i="2"/>
  <c r="A9364" i="2"/>
  <c r="A9365" i="2"/>
  <c r="A9366" i="2"/>
  <c r="A9367" i="2"/>
  <c r="A9368" i="2"/>
  <c r="A9369" i="2"/>
  <c r="A9370" i="2"/>
  <c r="A9371" i="2"/>
  <c r="A9372" i="2"/>
  <c r="A9373" i="2"/>
  <c r="A9374" i="2"/>
  <c r="A9375" i="2"/>
  <c r="A9376" i="2"/>
  <c r="A9377" i="2"/>
  <c r="A9378" i="2"/>
  <c r="A9379" i="2"/>
  <c r="A9380" i="2"/>
  <c r="A9381" i="2"/>
  <c r="A9382" i="2"/>
  <c r="A9383" i="2"/>
  <c r="A9384" i="2"/>
  <c r="A9385" i="2"/>
  <c r="A9386" i="2"/>
  <c r="A9387" i="2"/>
  <c r="A9388" i="2"/>
  <c r="A9389" i="2"/>
  <c r="A9390" i="2"/>
  <c r="A9391" i="2"/>
  <c r="A9392" i="2"/>
  <c r="A9393" i="2"/>
  <c r="A9394" i="2"/>
  <c r="A9395" i="2"/>
  <c r="A9396" i="2"/>
  <c r="A9397" i="2"/>
  <c r="A9398" i="2"/>
  <c r="A9399" i="2"/>
  <c r="A9400" i="2"/>
  <c r="A9401" i="2"/>
  <c r="A9402" i="2"/>
  <c r="A9403" i="2"/>
  <c r="A9404" i="2"/>
  <c r="A9405" i="2"/>
  <c r="A9406" i="2"/>
  <c r="A9407" i="2"/>
  <c r="A9408" i="2"/>
  <c r="A9409" i="2"/>
  <c r="A9410" i="2"/>
  <c r="A9411" i="2"/>
  <c r="A9412" i="2"/>
  <c r="A9413" i="2"/>
  <c r="A9414" i="2"/>
  <c r="A9415" i="2"/>
  <c r="A9416" i="2"/>
  <c r="A9417" i="2"/>
  <c r="A9418" i="2"/>
  <c r="A9419" i="2"/>
  <c r="A9420" i="2"/>
  <c r="A9421" i="2"/>
  <c r="A9422" i="2"/>
  <c r="A9423" i="2"/>
  <c r="A9424" i="2"/>
  <c r="A9425" i="2"/>
  <c r="A9426" i="2"/>
  <c r="A9427" i="2"/>
  <c r="A9428" i="2"/>
  <c r="A9429" i="2"/>
  <c r="A9430" i="2"/>
  <c r="A9431" i="2"/>
  <c r="A9432" i="2"/>
  <c r="A9433" i="2"/>
  <c r="A9434" i="2"/>
  <c r="A9435" i="2"/>
  <c r="A9436" i="2"/>
  <c r="A9437" i="2"/>
  <c r="A9438" i="2"/>
  <c r="A9439" i="2"/>
  <c r="A9440" i="2"/>
  <c r="A9441" i="2"/>
  <c r="A9442" i="2"/>
  <c r="A9443" i="2"/>
  <c r="A9444" i="2"/>
  <c r="A9445" i="2"/>
  <c r="A9446" i="2"/>
  <c r="A9447" i="2"/>
  <c r="A9448" i="2"/>
  <c r="A9449" i="2"/>
  <c r="A9450" i="2"/>
  <c r="A9451" i="2"/>
  <c r="A9452" i="2"/>
  <c r="A9453" i="2"/>
  <c r="A9454" i="2"/>
  <c r="A9455" i="2"/>
  <c r="A9456" i="2"/>
  <c r="A9457" i="2"/>
  <c r="A9458" i="2"/>
  <c r="A9459" i="2"/>
  <c r="A9460" i="2"/>
  <c r="A9461" i="2"/>
  <c r="A9462" i="2"/>
  <c r="A9463" i="2"/>
  <c r="A9464" i="2"/>
  <c r="A9465" i="2"/>
  <c r="A9466" i="2"/>
  <c r="A9467" i="2"/>
  <c r="A9468" i="2"/>
  <c r="A9469" i="2"/>
  <c r="A9470" i="2"/>
  <c r="A9471" i="2"/>
  <c r="A9472" i="2"/>
  <c r="A9473" i="2"/>
  <c r="A9474" i="2"/>
  <c r="A9475" i="2"/>
  <c r="A9476" i="2"/>
  <c r="A9477" i="2"/>
  <c r="A9478" i="2"/>
  <c r="A9479" i="2"/>
  <c r="A9480" i="2"/>
  <c r="A9481" i="2"/>
  <c r="A9482" i="2"/>
  <c r="A9483" i="2"/>
  <c r="A9484" i="2"/>
  <c r="A9485" i="2"/>
  <c r="A9486" i="2"/>
  <c r="A9487" i="2"/>
  <c r="A9488" i="2"/>
  <c r="A9489" i="2"/>
  <c r="A9490" i="2"/>
  <c r="A9491" i="2"/>
  <c r="A9492" i="2"/>
  <c r="A9493" i="2"/>
  <c r="A9494" i="2"/>
  <c r="A9495" i="2"/>
  <c r="A9496" i="2"/>
  <c r="A9497" i="2"/>
  <c r="A9498" i="2"/>
  <c r="A9499" i="2"/>
  <c r="A9500" i="2"/>
  <c r="A9501" i="2"/>
  <c r="A9502" i="2"/>
  <c r="A9503" i="2"/>
  <c r="A9504" i="2"/>
  <c r="A9505" i="2"/>
  <c r="A9506" i="2"/>
  <c r="A9507" i="2"/>
  <c r="A9508" i="2"/>
  <c r="A9509" i="2"/>
  <c r="A9510" i="2"/>
  <c r="A9511" i="2"/>
  <c r="A9512" i="2"/>
  <c r="A9513" i="2"/>
  <c r="A9514" i="2"/>
  <c r="A9515" i="2"/>
  <c r="A9516" i="2"/>
  <c r="A9517" i="2"/>
  <c r="A9518" i="2"/>
  <c r="A9519" i="2"/>
  <c r="A9520" i="2"/>
  <c r="A9521" i="2"/>
  <c r="A9522" i="2"/>
  <c r="A9523" i="2"/>
  <c r="A9524" i="2"/>
  <c r="A9525" i="2"/>
  <c r="A9526" i="2"/>
  <c r="A9527" i="2"/>
  <c r="A9528" i="2"/>
  <c r="A9529" i="2"/>
  <c r="A9530" i="2"/>
  <c r="A9531" i="2"/>
  <c r="A9532" i="2"/>
  <c r="A9533" i="2"/>
  <c r="A9534" i="2"/>
  <c r="A9535" i="2"/>
  <c r="A9536" i="2"/>
  <c r="A9537" i="2"/>
  <c r="A9538" i="2"/>
  <c r="A9539" i="2"/>
  <c r="A9540" i="2"/>
  <c r="A9541" i="2"/>
  <c r="A9542" i="2"/>
  <c r="A9543" i="2"/>
  <c r="A9544" i="2"/>
  <c r="A9545" i="2"/>
  <c r="A9546" i="2"/>
  <c r="A9547" i="2"/>
  <c r="A9548" i="2"/>
  <c r="A9549" i="2"/>
  <c r="A9550" i="2"/>
  <c r="A9551" i="2"/>
  <c r="A9552" i="2"/>
  <c r="A9553" i="2"/>
  <c r="A9554" i="2"/>
  <c r="A9555" i="2"/>
  <c r="A9556" i="2"/>
  <c r="A9557" i="2"/>
  <c r="A9558" i="2"/>
  <c r="A9559" i="2"/>
  <c r="A9560" i="2"/>
  <c r="A9561" i="2"/>
  <c r="A9562" i="2"/>
  <c r="A9563" i="2"/>
  <c r="A9564" i="2"/>
  <c r="A9565" i="2"/>
  <c r="A9566" i="2"/>
  <c r="A9567" i="2"/>
  <c r="A9568" i="2"/>
  <c r="A9569" i="2"/>
  <c r="A9570" i="2"/>
  <c r="A9571" i="2"/>
  <c r="A9572" i="2"/>
  <c r="A9573" i="2"/>
  <c r="A9574" i="2"/>
  <c r="A9575" i="2"/>
  <c r="A9576" i="2"/>
  <c r="A9577" i="2"/>
  <c r="A9578" i="2"/>
  <c r="A9579" i="2"/>
  <c r="A9580" i="2"/>
  <c r="A9581" i="2"/>
  <c r="A9582" i="2"/>
  <c r="A9583" i="2"/>
  <c r="A9584" i="2"/>
  <c r="A9585" i="2"/>
  <c r="A9586" i="2"/>
  <c r="A9587" i="2"/>
  <c r="A9588" i="2"/>
  <c r="A9589" i="2"/>
  <c r="A9590" i="2"/>
  <c r="A9591" i="2"/>
  <c r="A9592" i="2"/>
  <c r="A9593" i="2"/>
  <c r="A9594" i="2"/>
  <c r="A9595" i="2"/>
  <c r="A9596" i="2"/>
  <c r="A9597" i="2"/>
  <c r="A9598" i="2"/>
  <c r="A9599" i="2"/>
  <c r="A9600" i="2"/>
  <c r="A9601" i="2"/>
  <c r="A9602" i="2"/>
  <c r="A9603" i="2"/>
  <c r="A9604" i="2"/>
  <c r="A9605" i="2"/>
  <c r="A9606" i="2"/>
  <c r="A9607" i="2"/>
  <c r="A9608" i="2"/>
  <c r="A9609" i="2"/>
  <c r="A9610" i="2"/>
  <c r="A9611" i="2"/>
  <c r="A9612" i="2"/>
  <c r="A9613" i="2"/>
  <c r="A9614" i="2"/>
  <c r="A9615" i="2"/>
  <c r="A9616" i="2"/>
  <c r="A9617" i="2"/>
  <c r="A9618" i="2"/>
  <c r="A9619" i="2"/>
  <c r="A9620" i="2"/>
  <c r="A9621" i="2"/>
  <c r="A9622" i="2"/>
  <c r="A9623" i="2"/>
  <c r="A9624" i="2"/>
  <c r="A9625" i="2"/>
  <c r="A9626" i="2"/>
  <c r="A9627" i="2"/>
  <c r="A9628" i="2"/>
  <c r="A9629" i="2"/>
  <c r="A9630" i="2"/>
  <c r="A9631" i="2"/>
  <c r="A9632" i="2"/>
  <c r="A9633" i="2"/>
  <c r="A9634" i="2"/>
  <c r="A9635" i="2"/>
  <c r="A9636" i="2"/>
  <c r="A9637" i="2"/>
  <c r="A9638" i="2"/>
  <c r="A9639" i="2"/>
  <c r="A9640" i="2"/>
  <c r="A9641" i="2"/>
  <c r="A9642" i="2"/>
  <c r="A9643" i="2"/>
  <c r="A9644" i="2"/>
  <c r="A9645" i="2"/>
  <c r="A9646" i="2"/>
  <c r="A9647" i="2"/>
  <c r="A9648" i="2"/>
  <c r="A9649" i="2"/>
  <c r="A9650" i="2"/>
  <c r="A9651" i="2"/>
  <c r="A9652" i="2"/>
  <c r="A9653" i="2"/>
  <c r="A9654" i="2"/>
  <c r="A9655" i="2"/>
  <c r="A9656" i="2"/>
  <c r="A9657" i="2"/>
  <c r="A9658" i="2"/>
  <c r="A9659" i="2"/>
  <c r="A9660" i="2"/>
  <c r="A9661" i="2"/>
  <c r="A9662" i="2"/>
  <c r="A9663" i="2"/>
  <c r="A9664" i="2"/>
  <c r="A9665" i="2"/>
  <c r="A9666" i="2"/>
  <c r="A9667" i="2"/>
  <c r="A9668" i="2"/>
  <c r="A9669" i="2"/>
  <c r="A9670" i="2"/>
  <c r="A9671" i="2"/>
  <c r="A9672" i="2"/>
  <c r="A9673" i="2"/>
  <c r="A9674" i="2"/>
  <c r="A9675" i="2"/>
  <c r="A9676" i="2"/>
  <c r="A9677" i="2"/>
  <c r="A9678" i="2"/>
  <c r="A9679" i="2"/>
  <c r="A9680" i="2"/>
  <c r="A9681" i="2"/>
  <c r="A9682" i="2"/>
  <c r="A9683" i="2"/>
  <c r="A9684" i="2"/>
  <c r="A9685" i="2"/>
  <c r="A9686" i="2"/>
  <c r="A9687" i="2"/>
  <c r="A9688" i="2"/>
  <c r="A9689" i="2"/>
  <c r="A9690" i="2"/>
  <c r="A9691" i="2"/>
  <c r="A9692" i="2"/>
  <c r="A9693" i="2"/>
  <c r="A9694" i="2"/>
  <c r="A9695" i="2"/>
  <c r="A9696" i="2"/>
  <c r="A9697" i="2"/>
  <c r="A9698" i="2"/>
  <c r="A9699" i="2"/>
  <c r="A9700" i="2"/>
  <c r="A9701" i="2"/>
  <c r="A9702" i="2"/>
  <c r="A9703" i="2"/>
  <c r="A9704" i="2"/>
  <c r="A9705" i="2"/>
  <c r="A9706" i="2"/>
  <c r="A9707" i="2"/>
  <c r="A9708" i="2"/>
  <c r="A9709" i="2"/>
  <c r="A9710" i="2"/>
  <c r="A9711" i="2"/>
  <c r="A9712" i="2"/>
  <c r="A9713" i="2"/>
  <c r="A9714" i="2"/>
  <c r="A9715" i="2"/>
  <c r="A9716" i="2"/>
  <c r="A9717" i="2"/>
  <c r="A9718" i="2"/>
  <c r="A9719" i="2"/>
  <c r="A9720" i="2"/>
  <c r="A9721" i="2"/>
  <c r="A9722" i="2"/>
  <c r="A9723" i="2"/>
  <c r="A9724" i="2"/>
  <c r="A9725" i="2"/>
  <c r="A9726" i="2"/>
  <c r="A9727" i="2"/>
  <c r="A9728" i="2"/>
  <c r="A9729" i="2"/>
  <c r="A9730" i="2"/>
  <c r="A9731" i="2"/>
  <c r="A9732" i="2"/>
  <c r="A9733" i="2"/>
  <c r="A9734" i="2"/>
  <c r="A9735" i="2"/>
  <c r="A9736" i="2"/>
  <c r="A9737" i="2"/>
  <c r="A9738" i="2"/>
  <c r="A9739" i="2"/>
  <c r="A9740" i="2"/>
  <c r="A9741" i="2"/>
  <c r="A9742" i="2"/>
  <c r="A9743" i="2"/>
  <c r="A9744" i="2"/>
  <c r="A9745" i="2"/>
  <c r="A9746" i="2"/>
  <c r="A9747" i="2"/>
  <c r="A9748" i="2"/>
  <c r="A9749" i="2"/>
  <c r="A9750" i="2"/>
  <c r="A9751" i="2"/>
  <c r="A9752" i="2"/>
  <c r="A9753" i="2"/>
  <c r="A9754" i="2"/>
  <c r="A9755" i="2"/>
  <c r="A9756" i="2"/>
  <c r="A9757" i="2"/>
  <c r="A9758" i="2"/>
  <c r="A9759" i="2"/>
  <c r="A9760" i="2"/>
  <c r="A9761" i="2"/>
  <c r="A9762" i="2"/>
  <c r="A9763" i="2"/>
  <c r="A9764" i="2"/>
  <c r="A9765" i="2"/>
  <c r="A9766" i="2"/>
  <c r="A9767" i="2"/>
  <c r="A9768" i="2"/>
  <c r="A9769" i="2"/>
  <c r="A9770" i="2"/>
  <c r="A9771" i="2"/>
  <c r="A9772" i="2"/>
  <c r="A9773" i="2"/>
  <c r="A9774" i="2"/>
  <c r="A9775" i="2"/>
  <c r="A9776" i="2"/>
  <c r="A9777" i="2"/>
  <c r="A9778" i="2"/>
  <c r="A9779" i="2"/>
  <c r="A9780" i="2"/>
  <c r="A9781" i="2"/>
  <c r="A9782" i="2"/>
  <c r="A9783" i="2"/>
  <c r="A9784" i="2"/>
  <c r="A9785" i="2"/>
  <c r="A9786" i="2"/>
  <c r="A9787" i="2"/>
  <c r="A9788" i="2"/>
  <c r="A9789" i="2"/>
  <c r="A9790" i="2"/>
  <c r="A9791" i="2"/>
  <c r="A9792" i="2"/>
  <c r="A9793" i="2"/>
  <c r="A9794" i="2"/>
  <c r="A9795" i="2"/>
  <c r="A9796" i="2"/>
  <c r="A9797" i="2"/>
  <c r="A9798" i="2"/>
  <c r="A9799" i="2"/>
  <c r="A9800" i="2"/>
  <c r="A9801" i="2"/>
  <c r="A9802" i="2"/>
  <c r="A9803" i="2"/>
  <c r="A9804" i="2"/>
  <c r="A9805" i="2"/>
  <c r="A9806" i="2"/>
  <c r="A9807" i="2"/>
  <c r="A9808" i="2"/>
  <c r="A9809" i="2"/>
  <c r="A9810" i="2"/>
  <c r="A9811" i="2"/>
  <c r="A9812" i="2"/>
  <c r="A9813" i="2"/>
  <c r="A9814" i="2"/>
  <c r="A9815" i="2"/>
  <c r="A9816" i="2"/>
  <c r="A9817" i="2"/>
  <c r="A9818" i="2"/>
  <c r="A9819" i="2"/>
  <c r="A9820" i="2"/>
  <c r="A9821" i="2"/>
  <c r="A9822" i="2"/>
  <c r="A9823" i="2"/>
  <c r="A9824" i="2"/>
  <c r="A9825" i="2"/>
  <c r="A9826" i="2"/>
  <c r="A9827" i="2"/>
  <c r="A9828" i="2"/>
  <c r="A9829" i="2"/>
  <c r="A9830" i="2"/>
  <c r="A9831" i="2"/>
  <c r="A9832" i="2"/>
  <c r="A9833" i="2"/>
  <c r="A9834" i="2"/>
  <c r="A9835" i="2"/>
  <c r="A9836" i="2"/>
  <c r="A9837" i="2"/>
  <c r="A9838" i="2"/>
  <c r="A9839" i="2"/>
  <c r="A9840" i="2"/>
  <c r="A9841" i="2"/>
  <c r="A9842" i="2"/>
  <c r="A9843" i="2"/>
  <c r="A9844" i="2"/>
  <c r="A9845" i="2"/>
  <c r="A9846" i="2"/>
  <c r="A9847" i="2"/>
  <c r="A9848" i="2"/>
  <c r="A9849" i="2"/>
  <c r="A9850" i="2"/>
  <c r="A9851" i="2"/>
  <c r="A9852" i="2"/>
  <c r="A9853" i="2"/>
  <c r="A9854" i="2"/>
  <c r="A9855" i="2"/>
  <c r="A9856" i="2"/>
  <c r="A9857" i="2"/>
  <c r="A9858" i="2"/>
  <c r="A9859" i="2"/>
  <c r="A9860" i="2"/>
  <c r="A9861" i="2"/>
  <c r="A9862" i="2"/>
  <c r="A9863" i="2"/>
  <c r="A9864" i="2"/>
  <c r="A9865" i="2"/>
  <c r="A9866" i="2"/>
  <c r="A9867" i="2"/>
  <c r="A9868" i="2"/>
  <c r="A9869" i="2"/>
  <c r="A9870" i="2"/>
  <c r="A9871" i="2"/>
  <c r="A9872" i="2"/>
  <c r="A9873" i="2"/>
  <c r="A9874" i="2"/>
  <c r="A9875" i="2"/>
  <c r="A9876" i="2"/>
  <c r="A9877" i="2"/>
  <c r="A9878" i="2"/>
  <c r="A9879" i="2"/>
  <c r="A9880" i="2"/>
  <c r="A9881" i="2"/>
  <c r="A9882" i="2"/>
  <c r="A9883" i="2"/>
  <c r="A9884" i="2"/>
  <c r="A9885" i="2"/>
  <c r="A9886" i="2"/>
  <c r="A9887" i="2"/>
  <c r="A9888" i="2"/>
  <c r="A9889" i="2"/>
  <c r="A9890" i="2"/>
  <c r="A9891" i="2"/>
  <c r="A9892" i="2"/>
  <c r="A9893" i="2"/>
  <c r="A9894" i="2"/>
  <c r="A9895" i="2"/>
  <c r="A9896" i="2"/>
  <c r="A9897" i="2"/>
  <c r="A9898" i="2"/>
  <c r="A9899" i="2"/>
  <c r="A9900" i="2"/>
  <c r="A9901" i="2"/>
  <c r="A9902" i="2"/>
  <c r="A9903" i="2"/>
  <c r="A9904" i="2"/>
  <c r="A9905" i="2"/>
  <c r="A9906" i="2"/>
  <c r="A9907" i="2"/>
  <c r="A9908" i="2"/>
  <c r="A9909" i="2"/>
  <c r="A9910" i="2"/>
  <c r="A9911" i="2"/>
  <c r="A9912" i="2"/>
  <c r="A9913" i="2"/>
  <c r="A9914" i="2"/>
  <c r="A9915" i="2"/>
  <c r="A9916" i="2"/>
  <c r="A9917" i="2"/>
  <c r="A9918" i="2"/>
  <c r="A9919" i="2"/>
  <c r="A9920" i="2"/>
  <c r="A9921" i="2"/>
  <c r="A9922" i="2"/>
  <c r="A9923" i="2"/>
  <c r="A9924" i="2"/>
  <c r="A9925" i="2"/>
  <c r="A9926" i="2"/>
  <c r="A9927" i="2"/>
  <c r="A9928" i="2"/>
  <c r="A9929" i="2"/>
  <c r="A9930" i="2"/>
  <c r="A9931" i="2"/>
  <c r="A9932" i="2"/>
  <c r="A9933" i="2"/>
  <c r="A9934" i="2"/>
  <c r="A9935" i="2"/>
  <c r="A9936" i="2"/>
  <c r="A9937" i="2"/>
  <c r="A9938" i="2"/>
  <c r="A9939" i="2"/>
  <c r="A9940" i="2"/>
  <c r="A9941" i="2"/>
  <c r="A9942" i="2"/>
  <c r="A9943" i="2"/>
  <c r="A9944" i="2"/>
  <c r="A9945" i="2"/>
  <c r="A9946" i="2"/>
  <c r="A9947" i="2"/>
  <c r="A9948" i="2"/>
  <c r="A9949" i="2"/>
  <c r="A9950" i="2"/>
  <c r="A9951" i="2"/>
  <c r="A9952" i="2"/>
  <c r="A9953" i="2"/>
  <c r="A9954" i="2"/>
  <c r="A9955" i="2"/>
  <c r="A9956" i="2"/>
  <c r="A9957" i="2"/>
  <c r="A9958" i="2"/>
  <c r="A9959" i="2"/>
  <c r="A9960" i="2"/>
  <c r="A9961" i="2"/>
  <c r="A9962" i="2"/>
  <c r="A9963" i="2"/>
  <c r="A9964" i="2"/>
  <c r="A9965" i="2"/>
  <c r="A9966" i="2"/>
  <c r="A9967" i="2"/>
  <c r="A9968" i="2"/>
  <c r="A9969" i="2"/>
  <c r="A9970" i="2"/>
  <c r="A9971" i="2"/>
  <c r="A9972" i="2"/>
  <c r="A9973" i="2"/>
  <c r="A9974" i="2"/>
  <c r="A9975" i="2"/>
  <c r="A9976" i="2"/>
  <c r="A9977" i="2"/>
  <c r="A9978" i="2"/>
  <c r="A9979" i="2"/>
  <c r="A9980" i="2"/>
  <c r="A9981" i="2"/>
  <c r="A9982" i="2"/>
  <c r="A9983" i="2"/>
  <c r="A9984" i="2"/>
  <c r="A9985" i="2"/>
  <c r="A9986" i="2"/>
  <c r="A9987" i="2"/>
  <c r="A9988" i="2"/>
  <c r="A9989" i="2"/>
  <c r="A9990" i="2"/>
  <c r="A9991" i="2"/>
  <c r="A9992" i="2"/>
  <c r="A3" i="2"/>
  <c r="A4" i="2"/>
  <c r="A5" i="2"/>
  <c r="A2" i="2"/>
  <c r="E3" i="2" l="1"/>
  <c r="E7" i="2"/>
  <c r="E11" i="2"/>
  <c r="E15" i="2"/>
  <c r="E19" i="2"/>
  <c r="E27" i="2"/>
  <c r="E31" i="2"/>
  <c r="E35" i="2"/>
  <c r="E43" i="2"/>
  <c r="E51" i="2"/>
  <c r="E55" i="2"/>
  <c r="E59" i="2"/>
  <c r="E63" i="2"/>
  <c r="E67" i="2"/>
  <c r="E71" i="2"/>
  <c r="E75" i="2"/>
  <c r="E79" i="2"/>
  <c r="E83" i="2"/>
  <c r="E91" i="2"/>
  <c r="E95" i="2"/>
  <c r="E99" i="2"/>
  <c r="E107" i="2"/>
  <c r="E111" i="2"/>
  <c r="E119" i="2"/>
  <c r="E123" i="2"/>
  <c r="E127" i="2"/>
  <c r="E131" i="2"/>
  <c r="E135" i="2"/>
  <c r="E139" i="2"/>
  <c r="E143" i="2"/>
  <c r="E4" i="2"/>
  <c r="E8" i="2"/>
  <c r="E12" i="2"/>
  <c r="E16" i="2"/>
  <c r="E20" i="2"/>
  <c r="E24" i="2"/>
  <c r="E32" i="2"/>
  <c r="E36" i="2"/>
  <c r="E40" i="2"/>
  <c r="E44" i="2"/>
  <c r="E48" i="2"/>
  <c r="E52" i="2"/>
  <c r="E56" i="2"/>
  <c r="E64" i="2"/>
  <c r="E68" i="2"/>
  <c r="E72" i="2"/>
  <c r="E76" i="2"/>
  <c r="E80" i="2"/>
  <c r="E84" i="2"/>
  <c r="E92" i="2"/>
  <c r="E100" i="2"/>
  <c r="E104" i="2"/>
  <c r="E120" i="2"/>
  <c r="E124" i="2"/>
  <c r="E128" i="2"/>
  <c r="E132" i="2"/>
  <c r="E136" i="2"/>
  <c r="E140" i="2"/>
  <c r="E144" i="2"/>
  <c r="E148" i="2"/>
  <c r="E152" i="2"/>
  <c r="E156" i="2"/>
  <c r="E160" i="2"/>
  <c r="E164" i="2"/>
  <c r="E168" i="2"/>
  <c r="E172" i="2"/>
  <c r="E176" i="2"/>
  <c r="E5" i="2"/>
  <c r="E9" i="2"/>
  <c r="E13" i="2"/>
  <c r="E17" i="2"/>
  <c r="E21" i="2"/>
  <c r="E25" i="2"/>
  <c r="E29" i="2"/>
  <c r="E33" i="2"/>
  <c r="E37" i="2"/>
  <c r="E45" i="2"/>
  <c r="E49" i="2"/>
  <c r="E53" i="2"/>
  <c r="E57" i="2"/>
  <c r="E14" i="2"/>
  <c r="E30" i="2"/>
  <c r="E46" i="2"/>
  <c r="E61" i="2"/>
  <c r="E69" i="2"/>
  <c r="E77" i="2"/>
  <c r="E85" i="2"/>
  <c r="E93" i="2"/>
  <c r="E117" i="2"/>
  <c r="E125" i="2"/>
  <c r="E133" i="2"/>
  <c r="E141" i="2"/>
  <c r="E147" i="2"/>
  <c r="E153" i="2"/>
  <c r="E158" i="2"/>
  <c r="E169" i="2"/>
  <c r="E174" i="2"/>
  <c r="E179" i="2"/>
  <c r="E183" i="2"/>
  <c r="E187" i="2"/>
  <c r="E191" i="2"/>
  <c r="E195" i="2"/>
  <c r="E199" i="2"/>
  <c r="E203" i="2"/>
  <c r="E207" i="2"/>
  <c r="E211" i="2"/>
  <c r="E215" i="2"/>
  <c r="E219" i="2"/>
  <c r="E223" i="2"/>
  <c r="E227" i="2"/>
  <c r="E235" i="2"/>
  <c r="E239" i="2"/>
  <c r="E243" i="2"/>
  <c r="E247" i="2"/>
  <c r="E251" i="2"/>
  <c r="E255" i="2"/>
  <c r="E259" i="2"/>
  <c r="E267" i="2"/>
  <c r="E271" i="2"/>
  <c r="E275" i="2"/>
  <c r="E279" i="2"/>
  <c r="E283" i="2"/>
  <c r="E287" i="2"/>
  <c r="E295" i="2"/>
  <c r="E303" i="2"/>
  <c r="E307" i="2"/>
  <c r="E319" i="2"/>
  <c r="E323" i="2"/>
  <c r="E327" i="2"/>
  <c r="E331" i="2"/>
  <c r="E335" i="2"/>
  <c r="E339" i="2"/>
  <c r="E343" i="2"/>
  <c r="E347" i="2"/>
  <c r="E351" i="2"/>
  <c r="E355" i="2"/>
  <c r="E359" i="2"/>
  <c r="E363" i="2"/>
  <c r="E367" i="2"/>
  <c r="E371" i="2"/>
  <c r="E375" i="2"/>
  <c r="E379" i="2"/>
  <c r="E383" i="2"/>
  <c r="E387" i="2"/>
  <c r="E391" i="2"/>
  <c r="E395" i="2"/>
  <c r="E399" i="2"/>
  <c r="E403" i="2"/>
  <c r="E407" i="2"/>
  <c r="E411" i="2"/>
  <c r="E415" i="2"/>
  <c r="E419" i="2"/>
  <c r="E423" i="2"/>
  <c r="E427" i="2"/>
  <c r="E431" i="2"/>
  <c r="E435" i="2"/>
  <c r="E439" i="2"/>
  <c r="E443" i="2"/>
  <c r="E447" i="2"/>
  <c r="E455" i="2"/>
  <c r="E459" i="2"/>
  <c r="E463" i="2"/>
  <c r="E467" i="2"/>
  <c r="E471" i="2"/>
  <c r="E475" i="2"/>
  <c r="E479" i="2"/>
  <c r="E483" i="2"/>
  <c r="E487" i="2"/>
  <c r="E491" i="2"/>
  <c r="E495" i="2"/>
  <c r="E499" i="2"/>
  <c r="E503" i="2"/>
  <c r="E511" i="2"/>
  <c r="E519" i="2"/>
  <c r="E523" i="2"/>
  <c r="E527" i="2"/>
  <c r="E531" i="2"/>
  <c r="E535" i="2"/>
  <c r="E539" i="2"/>
  <c r="E543" i="2"/>
  <c r="E547" i="2"/>
  <c r="E551" i="2"/>
  <c r="E555" i="2"/>
  <c r="E559" i="2"/>
  <c r="E563" i="2"/>
  <c r="E567" i="2"/>
  <c r="E571" i="2"/>
  <c r="E575" i="2"/>
  <c r="E579" i="2"/>
  <c r="E583" i="2"/>
  <c r="E587" i="2"/>
  <c r="E591" i="2"/>
  <c r="E595" i="2"/>
  <c r="E599" i="2"/>
  <c r="E603" i="2"/>
  <c r="E607" i="2"/>
  <c r="E611" i="2"/>
  <c r="E615" i="2"/>
  <c r="E619" i="2"/>
  <c r="E623" i="2"/>
  <c r="E627" i="2"/>
  <c r="E631" i="2"/>
  <c r="E635" i="2"/>
  <c r="E639" i="2"/>
  <c r="E643" i="2"/>
  <c r="E647" i="2"/>
  <c r="E655" i="2"/>
  <c r="E659" i="2"/>
  <c r="E663" i="2"/>
  <c r="E667" i="2"/>
  <c r="E671" i="2"/>
  <c r="E675" i="2"/>
  <c r="E679" i="2"/>
  <c r="E683" i="2"/>
  <c r="E687" i="2"/>
  <c r="E691" i="2"/>
  <c r="E695" i="2"/>
  <c r="E699" i="2"/>
  <c r="E703" i="2"/>
  <c r="E18" i="2"/>
  <c r="E34" i="2"/>
  <c r="E50" i="2"/>
  <c r="E62" i="2"/>
  <c r="E70" i="2"/>
  <c r="E86" i="2"/>
  <c r="E94" i="2"/>
  <c r="E102" i="2"/>
  <c r="E118" i="2"/>
  <c r="E126" i="2"/>
  <c r="E134" i="2"/>
  <c r="E142" i="2"/>
  <c r="E149" i="2"/>
  <c r="E154" i="2"/>
  <c r="E165" i="2"/>
  <c r="E170" i="2"/>
  <c r="E175" i="2"/>
  <c r="E180" i="2"/>
  <c r="E184" i="2"/>
  <c r="E188" i="2"/>
  <c r="E192" i="2"/>
  <c r="E196" i="2"/>
  <c r="E200" i="2"/>
  <c r="E204" i="2"/>
  <c r="E208" i="2"/>
  <c r="E212" i="2"/>
  <c r="E216" i="2"/>
  <c r="E220" i="2"/>
  <c r="E224" i="2"/>
  <c r="E228" i="2"/>
  <c r="E232" i="2"/>
  <c r="E236" i="2"/>
  <c r="E240" i="2"/>
  <c r="E248" i="2"/>
  <c r="E252" i="2"/>
  <c r="E256" i="2"/>
  <c r="E260" i="2"/>
  <c r="E264" i="2"/>
  <c r="E268" i="2"/>
  <c r="E272" i="2"/>
  <c r="E276" i="2"/>
  <c r="E280" i="2"/>
  <c r="E284" i="2"/>
  <c r="E288" i="2"/>
  <c r="E292" i="2"/>
  <c r="E296" i="2"/>
  <c r="E300" i="2"/>
  <c r="E308" i="2"/>
  <c r="E316" i="2"/>
  <c r="E320" i="2"/>
  <c r="E324" i="2"/>
  <c r="E328" i="2"/>
  <c r="E332" i="2"/>
  <c r="E336" i="2"/>
  <c r="E340" i="2"/>
  <c r="E344" i="2"/>
  <c r="E348" i="2"/>
  <c r="E352" i="2"/>
  <c r="E356" i="2"/>
  <c r="E360" i="2"/>
  <c r="E364" i="2"/>
  <c r="E368" i="2"/>
  <c r="E372" i="2"/>
  <c r="E376" i="2"/>
  <c r="E380" i="2"/>
  <c r="E384" i="2"/>
  <c r="E388" i="2"/>
  <c r="E392" i="2"/>
  <c r="E396" i="2"/>
  <c r="E400" i="2"/>
  <c r="E404" i="2"/>
  <c r="E408" i="2"/>
  <c r="E412" i="2"/>
  <c r="E416" i="2"/>
  <c r="E420" i="2"/>
  <c r="E424" i="2"/>
  <c r="E428" i="2"/>
  <c r="E432" i="2"/>
  <c r="E436" i="2"/>
  <c r="E440" i="2"/>
  <c r="E444" i="2"/>
  <c r="E452" i="2"/>
  <c r="E456" i="2"/>
  <c r="E460" i="2"/>
  <c r="E464" i="2"/>
  <c r="E468" i="2"/>
  <c r="E472" i="2"/>
  <c r="E476" i="2"/>
  <c r="E480" i="2"/>
  <c r="E488" i="2"/>
  <c r="E492" i="2"/>
  <c r="E500" i="2"/>
  <c r="E504" i="2"/>
  <c r="E508" i="2"/>
  <c r="E512" i="2"/>
  <c r="E520" i="2"/>
  <c r="E524" i="2"/>
  <c r="E528" i="2"/>
  <c r="E532" i="2"/>
  <c r="E536" i="2"/>
  <c r="E540" i="2"/>
  <c r="E544" i="2"/>
  <c r="E548" i="2"/>
  <c r="E552" i="2"/>
  <c r="E556" i="2"/>
  <c r="E560" i="2"/>
  <c r="E564" i="2"/>
  <c r="E568" i="2"/>
  <c r="E572" i="2"/>
  <c r="E576" i="2"/>
  <c r="E580" i="2"/>
  <c r="E588" i="2"/>
  <c r="E592" i="2"/>
  <c r="E596" i="2"/>
  <c r="E600" i="2"/>
  <c r="E604" i="2"/>
  <c r="E608" i="2"/>
  <c r="E612" i="2"/>
  <c r="E616" i="2"/>
  <c r="E620" i="2"/>
  <c r="E624" i="2"/>
  <c r="E628" i="2"/>
  <c r="E632" i="2"/>
  <c r="E640" i="2"/>
  <c r="E644" i="2"/>
  <c r="E648" i="2"/>
  <c r="E656" i="2"/>
  <c r="E664" i="2"/>
  <c r="E668" i="2"/>
  <c r="E672" i="2"/>
  <c r="E676" i="2"/>
  <c r="E680" i="2"/>
  <c r="E684" i="2"/>
  <c r="E692" i="2"/>
  <c r="E696" i="2"/>
  <c r="E704" i="2"/>
  <c r="E6" i="2"/>
  <c r="E22" i="2"/>
  <c r="E54" i="2"/>
  <c r="E65" i="2"/>
  <c r="E73" i="2"/>
  <c r="E81" i="2"/>
  <c r="E89" i="2"/>
  <c r="E97" i="2"/>
  <c r="E105" i="2"/>
  <c r="E113" i="2"/>
  <c r="E121" i="2"/>
  <c r="E129" i="2"/>
  <c r="E137" i="2"/>
  <c r="E145" i="2"/>
  <c r="E150" i="2"/>
  <c r="E155" i="2"/>
  <c r="E161" i="2"/>
  <c r="E166" i="2"/>
  <c r="E171" i="2"/>
  <c r="E177" i="2"/>
  <c r="E181" i="2"/>
  <c r="E185" i="2"/>
  <c r="E189" i="2"/>
  <c r="E193" i="2"/>
  <c r="E197" i="2"/>
  <c r="E201" i="2"/>
  <c r="E205" i="2"/>
  <c r="E209" i="2"/>
  <c r="E213" i="2"/>
  <c r="E217" i="2"/>
  <c r="E221" i="2"/>
  <c r="E225" i="2"/>
  <c r="E229" i="2"/>
  <c r="E233" i="2"/>
  <c r="E237" i="2"/>
  <c r="E245" i="2"/>
  <c r="E249" i="2"/>
  <c r="E253" i="2"/>
  <c r="E257" i="2"/>
  <c r="E261" i="2"/>
  <c r="E265" i="2"/>
  <c r="E269" i="2"/>
  <c r="E273" i="2"/>
  <c r="E277" i="2"/>
  <c r="E285" i="2"/>
  <c r="E289" i="2"/>
  <c r="E297" i="2"/>
  <c r="E301" i="2"/>
  <c r="E305" i="2"/>
  <c r="E309" i="2"/>
  <c r="E317" i="2"/>
  <c r="E321" i="2"/>
  <c r="E325" i="2"/>
  <c r="E329" i="2"/>
  <c r="E333" i="2"/>
  <c r="E337" i="2"/>
  <c r="E341" i="2"/>
  <c r="E345" i="2"/>
  <c r="E349" i="2"/>
  <c r="E353" i="2"/>
  <c r="E357" i="2"/>
  <c r="E361" i="2"/>
  <c r="E365" i="2"/>
  <c r="E369" i="2"/>
  <c r="E373" i="2"/>
  <c r="E377" i="2"/>
  <c r="E385" i="2"/>
  <c r="E389" i="2"/>
  <c r="E393" i="2"/>
  <c r="E397" i="2"/>
  <c r="E401" i="2"/>
  <c r="E405" i="2"/>
  <c r="E409" i="2"/>
  <c r="E413" i="2"/>
  <c r="E417" i="2"/>
  <c r="E421" i="2"/>
  <c r="E425" i="2"/>
  <c r="E429" i="2"/>
  <c r="E437" i="2"/>
  <c r="E441" i="2"/>
  <c r="E445" i="2"/>
  <c r="E453" i="2"/>
  <c r="E461" i="2"/>
  <c r="E465" i="2"/>
  <c r="E469" i="2"/>
  <c r="E473" i="2"/>
  <c r="E477" i="2"/>
  <c r="E481" i="2"/>
  <c r="E485" i="2"/>
  <c r="E489" i="2"/>
  <c r="E497" i="2"/>
  <c r="E501" i="2"/>
  <c r="E505" i="2"/>
  <c r="E513" i="2"/>
  <c r="E517" i="2"/>
  <c r="E525" i="2"/>
  <c r="E529" i="2"/>
  <c r="E533" i="2"/>
  <c r="E537" i="2"/>
  <c r="E541" i="2"/>
  <c r="E545" i="2"/>
  <c r="E549" i="2"/>
  <c r="E553" i="2"/>
  <c r="E557" i="2"/>
  <c r="E561" i="2"/>
  <c r="E573" i="2"/>
  <c r="E577" i="2"/>
  <c r="E581" i="2"/>
  <c r="E585" i="2"/>
  <c r="E589" i="2"/>
  <c r="E10" i="2"/>
  <c r="E66" i="2"/>
  <c r="E98" i="2"/>
  <c r="E130" i="2"/>
  <c r="E157" i="2"/>
  <c r="E194" i="2"/>
  <c r="E210" i="2"/>
  <c r="E258" i="2"/>
  <c r="E274" i="2"/>
  <c r="E322" i="2"/>
  <c r="E338" i="2"/>
  <c r="E354" i="2"/>
  <c r="E370" i="2"/>
  <c r="E386" i="2"/>
  <c r="E402" i="2"/>
  <c r="E418" i="2"/>
  <c r="E434" i="2"/>
  <c r="E450" i="2"/>
  <c r="E466" i="2"/>
  <c r="E482" i="2"/>
  <c r="E498" i="2"/>
  <c r="E530" i="2"/>
  <c r="E546" i="2"/>
  <c r="E562" i="2"/>
  <c r="E578" i="2"/>
  <c r="E593" i="2"/>
  <c r="E601" i="2"/>
  <c r="E609" i="2"/>
  <c r="E617" i="2"/>
  <c r="E625" i="2"/>
  <c r="E633" i="2"/>
  <c r="E649" i="2"/>
  <c r="E657" i="2"/>
  <c r="E665" i="2"/>
  <c r="E681" i="2"/>
  <c r="E689" i="2"/>
  <c r="E705" i="2"/>
  <c r="E709" i="2"/>
  <c r="E717" i="2"/>
  <c r="E721" i="2"/>
  <c r="E729" i="2"/>
  <c r="E733" i="2"/>
  <c r="E737" i="2"/>
  <c r="E741" i="2"/>
  <c r="E745" i="2"/>
  <c r="E749" i="2"/>
  <c r="E753" i="2"/>
  <c r="E757" i="2"/>
  <c r="E761" i="2"/>
  <c r="E765" i="2"/>
  <c r="E777" i="2"/>
  <c r="E781" i="2"/>
  <c r="E785" i="2"/>
  <c r="E789" i="2"/>
  <c r="E793" i="2"/>
  <c r="E797" i="2"/>
  <c r="E801" i="2"/>
  <c r="E805" i="2"/>
  <c r="E809" i="2"/>
  <c r="E813" i="2"/>
  <c r="E817" i="2"/>
  <c r="E821" i="2"/>
  <c r="E825" i="2"/>
  <c r="E829" i="2"/>
  <c r="E833" i="2"/>
  <c r="E837" i="2"/>
  <c r="E841" i="2"/>
  <c r="E845" i="2"/>
  <c r="E849" i="2"/>
  <c r="E853" i="2"/>
  <c r="E861" i="2"/>
  <c r="E865" i="2"/>
  <c r="E869" i="2"/>
  <c r="E873" i="2"/>
  <c r="E877" i="2"/>
  <c r="E881" i="2"/>
  <c r="E885" i="2"/>
  <c r="E889" i="2"/>
  <c r="E893" i="2"/>
  <c r="E897" i="2"/>
  <c r="E901" i="2"/>
  <c r="E905" i="2"/>
  <c r="E909" i="2"/>
  <c r="E913" i="2"/>
  <c r="E921" i="2"/>
  <c r="E929" i="2"/>
  <c r="E933" i="2"/>
  <c r="E937" i="2"/>
  <c r="E941" i="2"/>
  <c r="E945" i="2"/>
  <c r="E949" i="2"/>
  <c r="E953" i="2"/>
  <c r="E957" i="2"/>
  <c r="E961" i="2"/>
  <c r="E965" i="2"/>
  <c r="E969" i="2"/>
  <c r="E973" i="2"/>
  <c r="E977" i="2"/>
  <c r="E981" i="2"/>
  <c r="E985" i="2"/>
  <c r="E989" i="2"/>
  <c r="E993" i="2"/>
  <c r="E997" i="2"/>
  <c r="E1001" i="2"/>
  <c r="E1005" i="2"/>
  <c r="E1009" i="2"/>
  <c r="E1013" i="2"/>
  <c r="E1017" i="2"/>
  <c r="E1021" i="2"/>
  <c r="E1025" i="2"/>
  <c r="E1029" i="2"/>
  <c r="E1033" i="2"/>
  <c r="E1037" i="2"/>
  <c r="E1041" i="2"/>
  <c r="E1045" i="2"/>
  <c r="E1049" i="2"/>
  <c r="E1053" i="2"/>
  <c r="E1057" i="2"/>
  <c r="E1061" i="2"/>
  <c r="E1065" i="2"/>
  <c r="E1069" i="2"/>
  <c r="E1073" i="2"/>
  <c r="E1077" i="2"/>
  <c r="E1081" i="2"/>
  <c r="E1085" i="2"/>
  <c r="E1089" i="2"/>
  <c r="E1093" i="2"/>
  <c r="E1097" i="2"/>
  <c r="E1101" i="2"/>
  <c r="E1105" i="2"/>
  <c r="E1109" i="2"/>
  <c r="E1113" i="2"/>
  <c r="E26" i="2"/>
  <c r="E74" i="2"/>
  <c r="E106" i="2"/>
  <c r="E138" i="2"/>
  <c r="E162" i="2"/>
  <c r="E182" i="2"/>
  <c r="E198" i="2"/>
  <c r="E214" i="2"/>
  <c r="E230" i="2"/>
  <c r="E246" i="2"/>
  <c r="E262" i="2"/>
  <c r="E278" i="2"/>
  <c r="E294" i="2"/>
  <c r="E310" i="2"/>
  <c r="E326" i="2"/>
  <c r="E342" i="2"/>
  <c r="E358" i="2"/>
  <c r="E374" i="2"/>
  <c r="E390" i="2"/>
  <c r="E406" i="2"/>
  <c r="E422" i="2"/>
  <c r="E454" i="2"/>
  <c r="E486" i="2"/>
  <c r="E534" i="2"/>
  <c r="E550" i="2"/>
  <c r="E566" i="2"/>
  <c r="E582" i="2"/>
  <c r="E594" i="2"/>
  <c r="E602" i="2"/>
  <c r="E610" i="2"/>
  <c r="E618" i="2"/>
  <c r="E626" i="2"/>
  <c r="E634" i="2"/>
  <c r="E642" i="2"/>
  <c r="E650" i="2"/>
  <c r="E658" i="2"/>
  <c r="E666" i="2"/>
  <c r="E674" i="2"/>
  <c r="E682" i="2"/>
  <c r="E690" i="2"/>
  <c r="E710" i="2"/>
  <c r="E714" i="2"/>
  <c r="E726" i="2"/>
  <c r="E730" i="2"/>
  <c r="E734" i="2"/>
  <c r="E738" i="2"/>
  <c r="E742" i="2"/>
  <c r="E746" i="2"/>
  <c r="E750" i="2"/>
  <c r="E754" i="2"/>
  <c r="E758" i="2"/>
  <c r="E762" i="2"/>
  <c r="E766" i="2"/>
  <c r="E770" i="2"/>
  <c r="E774" i="2"/>
  <c r="E778" i="2"/>
  <c r="E782" i="2"/>
  <c r="E786" i="2"/>
  <c r="E790" i="2"/>
  <c r="E794" i="2"/>
  <c r="E798" i="2"/>
  <c r="E802" i="2"/>
  <c r="E806" i="2"/>
  <c r="E810" i="2"/>
  <c r="E814" i="2"/>
  <c r="E818" i="2"/>
  <c r="E822" i="2"/>
  <c r="E826" i="2"/>
  <c r="E830" i="2"/>
  <c r="E834" i="2"/>
  <c r="E838" i="2"/>
  <c r="E846" i="2"/>
  <c r="E850" i="2"/>
  <c r="E854" i="2"/>
  <c r="E862" i="2"/>
  <c r="E870" i="2"/>
  <c r="E874" i="2"/>
  <c r="E878" i="2"/>
  <c r="E882" i="2"/>
  <c r="E886" i="2"/>
  <c r="E890" i="2"/>
  <c r="E898" i="2"/>
  <c r="E902" i="2"/>
  <c r="E910" i="2"/>
  <c r="E914" i="2"/>
  <c r="E918" i="2"/>
  <c r="E922" i="2"/>
  <c r="E930" i="2"/>
  <c r="E934" i="2"/>
  <c r="E938" i="2"/>
  <c r="E942" i="2"/>
  <c r="E946" i="2"/>
  <c r="E950" i="2"/>
  <c r="E954" i="2"/>
  <c r="E958" i="2"/>
  <c r="E962" i="2"/>
  <c r="E966" i="2"/>
  <c r="E970" i="2"/>
  <c r="E974" i="2"/>
  <c r="E978" i="2"/>
  <c r="E982" i="2"/>
  <c r="E986" i="2"/>
  <c r="E990" i="2"/>
  <c r="E998" i="2"/>
  <c r="E1002" i="2"/>
  <c r="E1006" i="2"/>
  <c r="E1010" i="2"/>
  <c r="E1014" i="2"/>
  <c r="E1018" i="2"/>
  <c r="E1022" i="2"/>
  <c r="E1026" i="2"/>
  <c r="E1030" i="2"/>
  <c r="E1034" i="2"/>
  <c r="E1038" i="2"/>
  <c r="E1042" i="2"/>
  <c r="E1046" i="2"/>
  <c r="E1050" i="2"/>
  <c r="E1054" i="2"/>
  <c r="E1058" i="2"/>
  <c r="E1062" i="2"/>
  <c r="E1070" i="2"/>
  <c r="E1074" i="2"/>
  <c r="E1078" i="2"/>
  <c r="E1082" i="2"/>
  <c r="E1086" i="2"/>
  <c r="E1090" i="2"/>
  <c r="E1094" i="2"/>
  <c r="E1098" i="2"/>
  <c r="E1102" i="2"/>
  <c r="E1106" i="2"/>
  <c r="E1110" i="2"/>
  <c r="E1114" i="2"/>
  <c r="E1118" i="2"/>
  <c r="E1122" i="2"/>
  <c r="E1126" i="2"/>
  <c r="E1130" i="2"/>
  <c r="E1134" i="2"/>
  <c r="E1138" i="2"/>
  <c r="E1142" i="2"/>
  <c r="E1146" i="2"/>
  <c r="E1150" i="2"/>
  <c r="E1154" i="2"/>
  <c r="E1158" i="2"/>
  <c r="E1162" i="2"/>
  <c r="E1166" i="2"/>
  <c r="E1170" i="2"/>
  <c r="E1174" i="2"/>
  <c r="E1178" i="2"/>
  <c r="E1182" i="2"/>
  <c r="E1186" i="2"/>
  <c r="E1190" i="2"/>
  <c r="E1194" i="2"/>
  <c r="E1198" i="2"/>
  <c r="E1202" i="2"/>
  <c r="E1206" i="2"/>
  <c r="E42" i="2"/>
  <c r="E82" i="2"/>
  <c r="E114" i="2"/>
  <c r="E146" i="2"/>
  <c r="E167" i="2"/>
  <c r="E186" i="2"/>
  <c r="E202" i="2"/>
  <c r="E218" i="2"/>
  <c r="E234" i="2"/>
  <c r="E266" i="2"/>
  <c r="E282" i="2"/>
  <c r="E298" i="2"/>
  <c r="E314" i="2"/>
  <c r="E330" i="2"/>
  <c r="E346" i="2"/>
  <c r="E378" i="2"/>
  <c r="E394" i="2"/>
  <c r="E410" i="2"/>
  <c r="E426" i="2"/>
  <c r="E442" i="2"/>
  <c r="E458" i="2"/>
  <c r="E474" i="2"/>
  <c r="E490" i="2"/>
  <c r="E506" i="2"/>
  <c r="E522" i="2"/>
  <c r="E538" i="2"/>
  <c r="E554" i="2"/>
  <c r="E570" i="2"/>
  <c r="E586" i="2"/>
  <c r="E597" i="2"/>
  <c r="E605" i="2"/>
  <c r="E613" i="2"/>
  <c r="E621" i="2"/>
  <c r="E629" i="2"/>
  <c r="E637" i="2"/>
  <c r="E645" i="2"/>
  <c r="E653" i="2"/>
  <c r="E661" i="2"/>
  <c r="E669" i="2"/>
  <c r="E677" i="2"/>
  <c r="E685" i="2"/>
  <c r="E693" i="2"/>
  <c r="E701" i="2"/>
  <c r="E707" i="2"/>
  <c r="E715" i="2"/>
  <c r="E723" i="2"/>
  <c r="E727" i="2"/>
  <c r="E731" i="2"/>
  <c r="E735" i="2"/>
  <c r="E739" i="2"/>
  <c r="E743" i="2"/>
  <c r="E747" i="2"/>
  <c r="E751" i="2"/>
  <c r="E755" i="2"/>
  <c r="E759" i="2"/>
  <c r="E763" i="2"/>
  <c r="E767" i="2"/>
  <c r="E771" i="2"/>
  <c r="E775" i="2"/>
  <c r="E779" i="2"/>
  <c r="E783" i="2"/>
  <c r="E787" i="2"/>
  <c r="E791" i="2"/>
  <c r="E795" i="2"/>
  <c r="E799" i="2"/>
  <c r="E803" i="2"/>
  <c r="E807" i="2"/>
  <c r="E811" i="2"/>
  <c r="E815" i="2"/>
  <c r="E819" i="2"/>
  <c r="E823" i="2"/>
  <c r="E827" i="2"/>
  <c r="E831" i="2"/>
  <c r="E835" i="2"/>
  <c r="E839" i="2"/>
  <c r="E843" i="2"/>
  <c r="E851" i="2"/>
  <c r="E855" i="2"/>
  <c r="E859" i="2"/>
  <c r="E863" i="2"/>
  <c r="E867" i="2"/>
  <c r="E871" i="2"/>
  <c r="E875" i="2"/>
  <c r="E883" i="2"/>
  <c r="E887" i="2"/>
  <c r="E891" i="2"/>
  <c r="E895" i="2"/>
  <c r="E899" i="2"/>
  <c r="E907" i="2"/>
  <c r="E911" i="2"/>
  <c r="E915" i="2"/>
  <c r="E923" i="2"/>
  <c r="E927" i="2"/>
  <c r="E935" i="2"/>
  <c r="E939" i="2"/>
  <c r="E943" i="2"/>
  <c r="E947" i="2"/>
  <c r="E951" i="2"/>
  <c r="E955" i="2"/>
  <c r="E959" i="2"/>
  <c r="E963" i="2"/>
  <c r="E967" i="2"/>
  <c r="E971" i="2"/>
  <c r="E983" i="2"/>
  <c r="E987" i="2"/>
  <c r="E991" i="2"/>
  <c r="E995" i="2"/>
  <c r="E999" i="2"/>
  <c r="E1003" i="2"/>
  <c r="E1007" i="2"/>
  <c r="E1011" i="2"/>
  <c r="E1015" i="2"/>
  <c r="E1019" i="2"/>
  <c r="E1023" i="2"/>
  <c r="E1027" i="2"/>
  <c r="E1031" i="2"/>
  <c r="E1035" i="2"/>
  <c r="E1039" i="2"/>
  <c r="E1043" i="2"/>
  <c r="E1047" i="2"/>
  <c r="E1051" i="2"/>
  <c r="E1055" i="2"/>
  <c r="E1059" i="2"/>
  <c r="E1063" i="2"/>
  <c r="E1067" i="2"/>
  <c r="E1071" i="2"/>
  <c r="E1075" i="2"/>
  <c r="E1079" i="2"/>
  <c r="E1083" i="2"/>
  <c r="E1087" i="2"/>
  <c r="E1091" i="2"/>
  <c r="E1095" i="2"/>
  <c r="E1099" i="2"/>
  <c r="E1103" i="2"/>
  <c r="E1107" i="2"/>
  <c r="E1111" i="2"/>
  <c r="E1115" i="2"/>
  <c r="E1119" i="2"/>
  <c r="E1123" i="2"/>
  <c r="E1127" i="2"/>
  <c r="E1131" i="2"/>
  <c r="E1135" i="2"/>
  <c r="E1139" i="2"/>
  <c r="E1143" i="2"/>
  <c r="E1147" i="2"/>
  <c r="E1151" i="2"/>
  <c r="E1155" i="2"/>
  <c r="E1159" i="2"/>
  <c r="E1163" i="2"/>
  <c r="E1167" i="2"/>
  <c r="E1171" i="2"/>
  <c r="E1175" i="2"/>
  <c r="E1179" i="2"/>
  <c r="E1183" i="2"/>
  <c r="E1187" i="2"/>
  <c r="E190" i="2"/>
  <c r="E254" i="2"/>
  <c r="E382" i="2"/>
  <c r="E446" i="2"/>
  <c r="E510" i="2"/>
  <c r="E574" i="2"/>
  <c r="E614" i="2"/>
  <c r="E646" i="2"/>
  <c r="E678" i="2"/>
  <c r="E708" i="2"/>
  <c r="E724" i="2"/>
  <c r="E740" i="2"/>
  <c r="E756" i="2"/>
  <c r="E772" i="2"/>
  <c r="E804" i="2"/>
  <c r="E820" i="2"/>
  <c r="E836" i="2"/>
  <c r="E852" i="2"/>
  <c r="E868" i="2"/>
  <c r="E884" i="2"/>
  <c r="E900" i="2"/>
  <c r="E916" i="2"/>
  <c r="E932" i="2"/>
  <c r="E948" i="2"/>
  <c r="E964" i="2"/>
  <c r="E980" i="2"/>
  <c r="E996" i="2"/>
  <c r="E1012" i="2"/>
  <c r="E1028" i="2"/>
  <c r="E1044" i="2"/>
  <c r="E1060" i="2"/>
  <c r="E1076" i="2"/>
  <c r="E1092" i="2"/>
  <c r="E1108" i="2"/>
  <c r="E1120" i="2"/>
  <c r="E1128" i="2"/>
  <c r="E1136" i="2"/>
  <c r="E1144" i="2"/>
  <c r="E1152" i="2"/>
  <c r="E1160" i="2"/>
  <c r="E1168" i="2"/>
  <c r="E1176" i="2"/>
  <c r="E1184" i="2"/>
  <c r="E1191" i="2"/>
  <c r="E1196" i="2"/>
  <c r="E1201" i="2"/>
  <c r="E1207" i="2"/>
  <c r="E1211" i="2"/>
  <c r="E1215" i="2"/>
  <c r="E1219" i="2"/>
  <c r="E1223" i="2"/>
  <c r="E1227" i="2"/>
  <c r="E1231" i="2"/>
  <c r="E1235" i="2"/>
  <c r="E1239" i="2"/>
  <c r="E1243" i="2"/>
  <c r="E1247" i="2"/>
  <c r="E1251" i="2"/>
  <c r="E1255" i="2"/>
  <c r="E1259" i="2"/>
  <c r="E1263" i="2"/>
  <c r="E1267" i="2"/>
  <c r="E1271" i="2"/>
  <c r="E1275" i="2"/>
  <c r="E1279" i="2"/>
  <c r="E1283" i="2"/>
  <c r="E1287" i="2"/>
  <c r="E1291" i="2"/>
  <c r="E1295" i="2"/>
  <c r="E1299" i="2"/>
  <c r="E1303" i="2"/>
  <c r="E1307" i="2"/>
  <c r="E1311" i="2"/>
  <c r="E1315" i="2"/>
  <c r="E1319" i="2"/>
  <c r="E1323" i="2"/>
  <c r="E1327" i="2"/>
  <c r="E1331" i="2"/>
  <c r="E1335" i="2"/>
  <c r="E1339" i="2"/>
  <c r="E1343" i="2"/>
  <c r="E1347" i="2"/>
  <c r="E1351" i="2"/>
  <c r="E1355" i="2"/>
  <c r="E1359" i="2"/>
  <c r="E1363" i="2"/>
  <c r="E1367" i="2"/>
  <c r="E1371" i="2"/>
  <c r="E1375" i="2"/>
  <c r="E1379" i="2"/>
  <c r="E1383" i="2"/>
  <c r="E1387" i="2"/>
  <c r="E1391" i="2"/>
  <c r="E1395" i="2"/>
  <c r="E1399" i="2"/>
  <c r="E1403" i="2"/>
  <c r="E1407" i="2"/>
  <c r="E1411" i="2"/>
  <c r="E1415" i="2"/>
  <c r="E1419" i="2"/>
  <c r="E1423" i="2"/>
  <c r="E1427" i="2"/>
  <c r="E1431" i="2"/>
  <c r="E1435" i="2"/>
  <c r="E1439" i="2"/>
  <c r="E1443" i="2"/>
  <c r="E1447" i="2"/>
  <c r="E1451" i="2"/>
  <c r="E1455" i="2"/>
  <c r="E1459" i="2"/>
  <c r="E1463" i="2"/>
  <c r="E1467" i="2"/>
  <c r="E1471" i="2"/>
  <c r="E1475" i="2"/>
  <c r="E1479" i="2"/>
  <c r="E1483" i="2"/>
  <c r="E1487" i="2"/>
  <c r="E1491" i="2"/>
  <c r="E1495" i="2"/>
  <c r="E1499" i="2"/>
  <c r="E1503" i="2"/>
  <c r="E1507" i="2"/>
  <c r="E1511" i="2"/>
  <c r="E1515" i="2"/>
  <c r="E1519" i="2"/>
  <c r="E1523" i="2"/>
  <c r="E1527" i="2"/>
  <c r="E1531" i="2"/>
  <c r="E1535" i="2"/>
  <c r="E1539" i="2"/>
  <c r="E1543" i="2"/>
  <c r="E1547" i="2"/>
  <c r="E1551" i="2"/>
  <c r="E1555" i="2"/>
  <c r="E1559" i="2"/>
  <c r="E1563" i="2"/>
  <c r="E1567" i="2"/>
  <c r="E1571" i="2"/>
  <c r="E1575" i="2"/>
  <c r="E1579" i="2"/>
  <c r="E1583" i="2"/>
  <c r="E1587" i="2"/>
  <c r="E1591" i="2"/>
  <c r="E1595" i="2"/>
  <c r="E1599" i="2"/>
  <c r="E1603" i="2"/>
  <c r="E1607" i="2"/>
  <c r="E1611" i="2"/>
  <c r="E1615" i="2"/>
  <c r="E1619" i="2"/>
  <c r="E1623" i="2"/>
  <c r="E1627" i="2"/>
  <c r="E1631" i="2"/>
  <c r="E1635" i="2"/>
  <c r="E1639" i="2"/>
  <c r="E1643" i="2"/>
  <c r="E1647" i="2"/>
  <c r="E1651" i="2"/>
  <c r="E1655" i="2"/>
  <c r="E1659" i="2"/>
  <c r="E1663" i="2"/>
  <c r="E1667" i="2"/>
  <c r="E1671" i="2"/>
  <c r="E1675" i="2"/>
  <c r="E1679" i="2"/>
  <c r="E1683" i="2"/>
  <c r="E122" i="2"/>
  <c r="E206" i="2"/>
  <c r="E270" i="2"/>
  <c r="E334" i="2"/>
  <c r="E398" i="2"/>
  <c r="E462" i="2"/>
  <c r="E526" i="2"/>
  <c r="E590" i="2"/>
  <c r="E622" i="2"/>
  <c r="E686" i="2"/>
  <c r="E712" i="2"/>
  <c r="E728" i="2"/>
  <c r="E744" i="2"/>
  <c r="E760" i="2"/>
  <c r="E776" i="2"/>
  <c r="E792" i="2"/>
  <c r="E808" i="2"/>
  <c r="E824" i="2"/>
  <c r="E840" i="2"/>
  <c r="E856" i="2"/>
  <c r="E872" i="2"/>
  <c r="E888" i="2"/>
  <c r="E920" i="2"/>
  <c r="E936" i="2"/>
  <c r="E952" i="2"/>
  <c r="E968" i="2"/>
  <c r="E984" i="2"/>
  <c r="E1000" i="2"/>
  <c r="E1016" i="2"/>
  <c r="E1032" i="2"/>
  <c r="E1048" i="2"/>
  <c r="E1064" i="2"/>
  <c r="E1080" i="2"/>
  <c r="E1096" i="2"/>
  <c r="E1112" i="2"/>
  <c r="E1129" i="2"/>
  <c r="E1137" i="2"/>
  <c r="E1145" i="2"/>
  <c r="E1153" i="2"/>
  <c r="E1161" i="2"/>
  <c r="E1169" i="2"/>
  <c r="E1177" i="2"/>
  <c r="E1185" i="2"/>
  <c r="E1192" i="2"/>
  <c r="E1197" i="2"/>
  <c r="E1203" i="2"/>
  <c r="E1208" i="2"/>
  <c r="E1212" i="2"/>
  <c r="E1216" i="2"/>
  <c r="E1220" i="2"/>
  <c r="E1224" i="2"/>
  <c r="E1228" i="2"/>
  <c r="E1232" i="2"/>
  <c r="E1236" i="2"/>
  <c r="E1240" i="2"/>
  <c r="E1244" i="2"/>
  <c r="E1248" i="2"/>
  <c r="E1256" i="2"/>
  <c r="E1260" i="2"/>
  <c r="E1264" i="2"/>
  <c r="E1268" i="2"/>
  <c r="E1272" i="2"/>
  <c r="E1276" i="2"/>
  <c r="E1280" i="2"/>
  <c r="E1284" i="2"/>
  <c r="E1288" i="2"/>
  <c r="E1292" i="2"/>
  <c r="E1296" i="2"/>
  <c r="E1300" i="2"/>
  <c r="E1304" i="2"/>
  <c r="E1308" i="2"/>
  <c r="E1312" i="2"/>
  <c r="E1316" i="2"/>
  <c r="E1320" i="2"/>
  <c r="E1324" i="2"/>
  <c r="E1328" i="2"/>
  <c r="E1332" i="2"/>
  <c r="E1336" i="2"/>
  <c r="E1340" i="2"/>
  <c r="E1344" i="2"/>
  <c r="E1348" i="2"/>
  <c r="E1352" i="2"/>
  <c r="E1356" i="2"/>
  <c r="E1360" i="2"/>
  <c r="E1364" i="2"/>
  <c r="E1368" i="2"/>
  <c r="E1372" i="2"/>
  <c r="E1376" i="2"/>
  <c r="E1380" i="2"/>
  <c r="E1384" i="2"/>
  <c r="E1388" i="2"/>
  <c r="E1392" i="2"/>
  <c r="E1396" i="2"/>
  <c r="E1400" i="2"/>
  <c r="E1404" i="2"/>
  <c r="E1408" i="2"/>
  <c r="E1412" i="2"/>
  <c r="E1416" i="2"/>
  <c r="E1420" i="2"/>
  <c r="E1424" i="2"/>
  <c r="E1428" i="2"/>
  <c r="E1432" i="2"/>
  <c r="E1436" i="2"/>
  <c r="E1440" i="2"/>
  <c r="E1444" i="2"/>
  <c r="E1448" i="2"/>
  <c r="E1452" i="2"/>
  <c r="E1456" i="2"/>
  <c r="E1460" i="2"/>
  <c r="E1464" i="2"/>
  <c r="E1468" i="2"/>
  <c r="E1472" i="2"/>
  <c r="E1476" i="2"/>
  <c r="E1480" i="2"/>
  <c r="E1484" i="2"/>
  <c r="E1488" i="2"/>
  <c r="E1492" i="2"/>
  <c r="E1496" i="2"/>
  <c r="E1500" i="2"/>
  <c r="E1504" i="2"/>
  <c r="E1508" i="2"/>
  <c r="E1512" i="2"/>
  <c r="E1516" i="2"/>
  <c r="E1520" i="2"/>
  <c r="E1524" i="2"/>
  <c r="E1528" i="2"/>
  <c r="E1532" i="2"/>
  <c r="E1536" i="2"/>
  <c r="E1540" i="2"/>
  <c r="E1544" i="2"/>
  <c r="E1548" i="2"/>
  <c r="E1552" i="2"/>
  <c r="E1556" i="2"/>
  <c r="E1560" i="2"/>
  <c r="E1564" i="2"/>
  <c r="E1568" i="2"/>
  <c r="E1572" i="2"/>
  <c r="E1576" i="2"/>
  <c r="E1580" i="2"/>
  <c r="E1584" i="2"/>
  <c r="E1588" i="2"/>
  <c r="E1592" i="2"/>
  <c r="E1596" i="2"/>
  <c r="E1600" i="2"/>
  <c r="E1604" i="2"/>
  <c r="E1608" i="2"/>
  <c r="E1612" i="2"/>
  <c r="E1616" i="2"/>
  <c r="E1620" i="2"/>
  <c r="E1624" i="2"/>
  <c r="E1628" i="2"/>
  <c r="E1632" i="2"/>
  <c r="E1636" i="2"/>
  <c r="E1640" i="2"/>
  <c r="E1644" i="2"/>
  <c r="E1648" i="2"/>
  <c r="E1652" i="2"/>
  <c r="E1656" i="2"/>
  <c r="E1660" i="2"/>
  <c r="E1664" i="2"/>
  <c r="E1668" i="2"/>
  <c r="E1672" i="2"/>
  <c r="E1676" i="2"/>
  <c r="E1680" i="2"/>
  <c r="E1684" i="2"/>
  <c r="E1688" i="2"/>
  <c r="E1692" i="2"/>
  <c r="E1696" i="2"/>
  <c r="E1700" i="2"/>
  <c r="E1704" i="2"/>
  <c r="E1708" i="2"/>
  <c r="E1712" i="2"/>
  <c r="E1716" i="2"/>
  <c r="E1720" i="2"/>
  <c r="E1724" i="2"/>
  <c r="E1728" i="2"/>
  <c r="E1732" i="2"/>
  <c r="E1736" i="2"/>
  <c r="E1740" i="2"/>
  <c r="E1744" i="2"/>
  <c r="E1748" i="2"/>
  <c r="E1752" i="2"/>
  <c r="E1756" i="2"/>
  <c r="E151" i="2"/>
  <c r="E222" i="2"/>
  <c r="E286" i="2"/>
  <c r="E350" i="2"/>
  <c r="E414" i="2"/>
  <c r="E478" i="2"/>
  <c r="E542" i="2"/>
  <c r="E598" i="2"/>
  <c r="E630" i="2"/>
  <c r="E662" i="2"/>
  <c r="E694" i="2"/>
  <c r="E716" i="2"/>
  <c r="E732" i="2"/>
  <c r="E748" i="2"/>
  <c r="E764" i="2"/>
  <c r="E780" i="2"/>
  <c r="E796" i="2"/>
  <c r="E812" i="2"/>
  <c r="E828" i="2"/>
  <c r="E844" i="2"/>
  <c r="E876" i="2"/>
  <c r="E892" i="2"/>
  <c r="E908" i="2"/>
  <c r="E940" i="2"/>
  <c r="E956" i="2"/>
  <c r="E972" i="2"/>
  <c r="E988" i="2"/>
  <c r="E1004" i="2"/>
  <c r="E1020" i="2"/>
  <c r="E1036" i="2"/>
  <c r="E1052" i="2"/>
  <c r="E1068" i="2"/>
  <c r="E1084" i="2"/>
  <c r="E1100" i="2"/>
  <c r="E1116" i="2"/>
  <c r="E1124" i="2"/>
  <c r="E1132" i="2"/>
  <c r="E1140" i="2"/>
  <c r="E1148" i="2"/>
  <c r="E1156" i="2"/>
  <c r="E1164" i="2"/>
  <c r="E1172" i="2"/>
  <c r="E1180" i="2"/>
  <c r="E1188" i="2"/>
  <c r="E1193" i="2"/>
  <c r="E1199" i="2"/>
  <c r="E1204" i="2"/>
  <c r="E1209" i="2"/>
  <c r="E1213" i="2"/>
  <c r="E1217" i="2"/>
  <c r="E1221" i="2"/>
  <c r="E1225" i="2"/>
  <c r="E1229" i="2"/>
  <c r="E1233" i="2"/>
  <c r="E1237" i="2"/>
  <c r="E1241" i="2"/>
  <c r="E1245" i="2"/>
  <c r="E1249" i="2"/>
  <c r="E1253" i="2"/>
  <c r="E1257" i="2"/>
  <c r="E1261" i="2"/>
  <c r="E1265" i="2"/>
  <c r="E1269" i="2"/>
  <c r="E1273" i="2"/>
  <c r="E1277" i="2"/>
  <c r="E1281" i="2"/>
  <c r="E1285" i="2"/>
  <c r="E1289" i="2"/>
  <c r="E1293" i="2"/>
  <c r="E1297" i="2"/>
  <c r="E1301" i="2"/>
  <c r="E1305" i="2"/>
  <c r="E1309" i="2"/>
  <c r="E1313" i="2"/>
  <c r="E1317" i="2"/>
  <c r="E1321" i="2"/>
  <c r="E1325" i="2"/>
  <c r="E1329" i="2"/>
  <c r="E1333" i="2"/>
  <c r="E1337" i="2"/>
  <c r="E1341" i="2"/>
  <c r="E1345" i="2"/>
  <c r="E1349" i="2"/>
  <c r="E1353" i="2"/>
  <c r="E1357" i="2"/>
  <c r="E1361" i="2"/>
  <c r="E1365" i="2"/>
  <c r="E1369" i="2"/>
  <c r="E1373" i="2"/>
  <c r="E1377" i="2"/>
  <c r="E1381" i="2"/>
  <c r="E1385" i="2"/>
  <c r="E1389" i="2"/>
  <c r="E1393" i="2"/>
  <c r="E1397" i="2"/>
  <c r="E1401" i="2"/>
  <c r="E1405" i="2"/>
  <c r="E1409" i="2"/>
  <c r="E1413" i="2"/>
  <c r="E1417" i="2"/>
  <c r="E1421" i="2"/>
  <c r="E1425" i="2"/>
  <c r="E1429" i="2"/>
  <c r="E1433" i="2"/>
  <c r="E1441" i="2"/>
  <c r="E1445" i="2"/>
  <c r="E1449" i="2"/>
  <c r="E1453" i="2"/>
  <c r="E1457" i="2"/>
  <c r="E1461" i="2"/>
  <c r="E58" i="2"/>
  <c r="E606" i="2"/>
  <c r="E784" i="2"/>
  <c r="E848" i="2"/>
  <c r="E976" i="2"/>
  <c r="E1040" i="2"/>
  <c r="E1104" i="2"/>
  <c r="E1141" i="2"/>
  <c r="E1173" i="2"/>
  <c r="E1200" i="2"/>
  <c r="E1218" i="2"/>
  <c r="E1234" i="2"/>
  <c r="E1250" i="2"/>
  <c r="E1266" i="2"/>
  <c r="E1282" i="2"/>
  <c r="E1298" i="2"/>
  <c r="E1314" i="2"/>
  <c r="E1330" i="2"/>
  <c r="E1346" i="2"/>
  <c r="E1362" i="2"/>
  <c r="E1378" i="2"/>
  <c r="E1394" i="2"/>
  <c r="E1410" i="2"/>
  <c r="E1426" i="2"/>
  <c r="E1442" i="2"/>
  <c r="E1458" i="2"/>
  <c r="E1469" i="2"/>
  <c r="E1477" i="2"/>
  <c r="E1485" i="2"/>
  <c r="E1493" i="2"/>
  <c r="E1501" i="2"/>
  <c r="E1509" i="2"/>
  <c r="E1517" i="2"/>
  <c r="E1525" i="2"/>
  <c r="E1533" i="2"/>
  <c r="E1541" i="2"/>
  <c r="E1549" i="2"/>
  <c r="E1557" i="2"/>
  <c r="E1565" i="2"/>
  <c r="E1573" i="2"/>
  <c r="E1581" i="2"/>
  <c r="E1589" i="2"/>
  <c r="E1597" i="2"/>
  <c r="E1605" i="2"/>
  <c r="E1613" i="2"/>
  <c r="E1621" i="2"/>
  <c r="E1629" i="2"/>
  <c r="E1637" i="2"/>
  <c r="E1645" i="2"/>
  <c r="E1653" i="2"/>
  <c r="E1661" i="2"/>
  <c r="E1669" i="2"/>
  <c r="E1677" i="2"/>
  <c r="E1685" i="2"/>
  <c r="E1690" i="2"/>
  <c r="E1695" i="2"/>
  <c r="E1701" i="2"/>
  <c r="E1706" i="2"/>
  <c r="E1711" i="2"/>
  <c r="E1717" i="2"/>
  <c r="E1722" i="2"/>
  <c r="E1727" i="2"/>
  <c r="E1733" i="2"/>
  <c r="E1738" i="2"/>
  <c r="E1743" i="2"/>
  <c r="E1749" i="2"/>
  <c r="E1754" i="2"/>
  <c r="E1759" i="2"/>
  <c r="E1763" i="2"/>
  <c r="E1767" i="2"/>
  <c r="E1771" i="2"/>
  <c r="E1775" i="2"/>
  <c r="E1779" i="2"/>
  <c r="E1783" i="2"/>
  <c r="E1787" i="2"/>
  <c r="E1791" i="2"/>
  <c r="E1795" i="2"/>
  <c r="E1799" i="2"/>
  <c r="E1803" i="2"/>
  <c r="E1807" i="2"/>
  <c r="E1811" i="2"/>
  <c r="E1815" i="2"/>
  <c r="E1819" i="2"/>
  <c r="E1823" i="2"/>
  <c r="E1827" i="2"/>
  <c r="E1831" i="2"/>
  <c r="E1835" i="2"/>
  <c r="E1839" i="2"/>
  <c r="E1843" i="2"/>
  <c r="E1847" i="2"/>
  <c r="E1851" i="2"/>
  <c r="E1855" i="2"/>
  <c r="E1859" i="2"/>
  <c r="E1863" i="2"/>
  <c r="E1867" i="2"/>
  <c r="E1871" i="2"/>
  <c r="E1875" i="2"/>
  <c r="E1879" i="2"/>
  <c r="E1883" i="2"/>
  <c r="E1887" i="2"/>
  <c r="E1891" i="2"/>
  <c r="E1895" i="2"/>
  <c r="E1899" i="2"/>
  <c r="E1903" i="2"/>
  <c r="E1907" i="2"/>
  <c r="E1911" i="2"/>
  <c r="E1915" i="2"/>
  <c r="E1919" i="2"/>
  <c r="E1923" i="2"/>
  <c r="E1927" i="2"/>
  <c r="E1931" i="2"/>
  <c r="E1935" i="2"/>
  <c r="E1939" i="2"/>
  <c r="E1943" i="2"/>
  <c r="E1947" i="2"/>
  <c r="E1951" i="2"/>
  <c r="E1955" i="2"/>
  <c r="I6" i="2"/>
  <c r="I10" i="2"/>
  <c r="I14" i="2"/>
  <c r="I18" i="2"/>
  <c r="I22" i="2"/>
  <c r="I26" i="2"/>
  <c r="I30" i="2"/>
  <c r="I34" i="2"/>
  <c r="I42" i="2"/>
  <c r="I46" i="2"/>
  <c r="I50" i="2"/>
  <c r="I54" i="2"/>
  <c r="I58" i="2"/>
  <c r="I62" i="2"/>
  <c r="I66" i="2"/>
  <c r="I70" i="2"/>
  <c r="I74" i="2"/>
  <c r="I82" i="2"/>
  <c r="I86" i="2"/>
  <c r="I94" i="2"/>
  <c r="I98" i="2"/>
  <c r="I102" i="2"/>
  <c r="I106" i="2"/>
  <c r="I114" i="2"/>
  <c r="I118" i="2"/>
  <c r="I122" i="2"/>
  <c r="I126" i="2"/>
  <c r="I130" i="2"/>
  <c r="I134" i="2"/>
  <c r="I138" i="2"/>
  <c r="I142" i="2"/>
  <c r="I146" i="2"/>
  <c r="I150" i="2"/>
  <c r="I154" i="2"/>
  <c r="I158" i="2"/>
  <c r="I162" i="2"/>
  <c r="I166" i="2"/>
  <c r="I170" i="2"/>
  <c r="I174" i="2"/>
  <c r="I182" i="2"/>
  <c r="I186" i="2"/>
  <c r="I190" i="2"/>
  <c r="I194" i="2"/>
  <c r="I198" i="2"/>
  <c r="I202" i="2"/>
  <c r="I206" i="2"/>
  <c r="I210" i="2"/>
  <c r="I214" i="2"/>
  <c r="I218" i="2"/>
  <c r="I222" i="2"/>
  <c r="I230" i="2"/>
  <c r="I234" i="2"/>
  <c r="I238" i="2"/>
  <c r="I246" i="2"/>
  <c r="I254" i="2"/>
  <c r="I258" i="2"/>
  <c r="I262" i="2"/>
  <c r="I266" i="2"/>
  <c r="I270" i="2"/>
  <c r="I274" i="2"/>
  <c r="I278" i="2"/>
  <c r="I282" i="2"/>
  <c r="I286" i="2"/>
  <c r="I294" i="2"/>
  <c r="I298" i="2"/>
  <c r="I302" i="2"/>
  <c r="I310" i="2"/>
  <c r="I314" i="2"/>
  <c r="I322" i="2"/>
  <c r="I326" i="2"/>
  <c r="E173" i="2"/>
  <c r="E430" i="2"/>
  <c r="E638" i="2"/>
  <c r="E736" i="2"/>
  <c r="E800" i="2"/>
  <c r="E864" i="2"/>
  <c r="E992" i="2"/>
  <c r="E1056" i="2"/>
  <c r="E1117" i="2"/>
  <c r="E1149" i="2"/>
  <c r="E1181" i="2"/>
  <c r="E1205" i="2"/>
  <c r="E1222" i="2"/>
  <c r="E1238" i="2"/>
  <c r="E1254" i="2"/>
  <c r="E1270" i="2"/>
  <c r="E1286" i="2"/>
  <c r="E1302" i="2"/>
  <c r="E1318" i="2"/>
  <c r="E1334" i="2"/>
  <c r="E1350" i="2"/>
  <c r="E1366" i="2"/>
  <c r="E1382" i="2"/>
  <c r="E1398" i="2"/>
  <c r="E1414" i="2"/>
  <c r="E1430" i="2"/>
  <c r="E1446" i="2"/>
  <c r="E1462" i="2"/>
  <c r="E1470" i="2"/>
  <c r="E1478" i="2"/>
  <c r="E1486" i="2"/>
  <c r="E1494" i="2"/>
  <c r="E1502" i="2"/>
  <c r="E1510" i="2"/>
  <c r="E1518" i="2"/>
  <c r="E1526" i="2"/>
  <c r="E1534" i="2"/>
  <c r="E1542" i="2"/>
  <c r="E1550" i="2"/>
  <c r="E1558" i="2"/>
  <c r="E1566" i="2"/>
  <c r="E1574" i="2"/>
  <c r="E1582" i="2"/>
  <c r="E1590" i="2"/>
  <c r="E1598" i="2"/>
  <c r="E1606" i="2"/>
  <c r="E1614" i="2"/>
  <c r="E1630" i="2"/>
  <c r="E1638" i="2"/>
  <c r="E1646" i="2"/>
  <c r="E1654" i="2"/>
  <c r="E1662" i="2"/>
  <c r="E1670" i="2"/>
  <c r="E1678" i="2"/>
  <c r="E1686" i="2"/>
  <c r="E1691" i="2"/>
  <c r="E1697" i="2"/>
  <c r="E1702" i="2"/>
  <c r="E1707" i="2"/>
  <c r="E1713" i="2"/>
  <c r="E1718" i="2"/>
  <c r="E1723" i="2"/>
  <c r="E1729" i="2"/>
  <c r="E1734" i="2"/>
  <c r="E1739" i="2"/>
  <c r="E1745" i="2"/>
  <c r="E1750" i="2"/>
  <c r="E1755" i="2"/>
  <c r="E1760" i="2"/>
  <c r="E1764" i="2"/>
  <c r="E1768" i="2"/>
  <c r="E1772" i="2"/>
  <c r="E1776" i="2"/>
  <c r="E1780" i="2"/>
  <c r="E1784" i="2"/>
  <c r="E1788" i="2"/>
  <c r="E1792" i="2"/>
  <c r="E1796" i="2"/>
  <c r="E1800" i="2"/>
  <c r="E1804" i="2"/>
  <c r="E1808" i="2"/>
  <c r="E1812" i="2"/>
  <c r="E1816" i="2"/>
  <c r="E1820" i="2"/>
  <c r="E1824" i="2"/>
  <c r="E1828" i="2"/>
  <c r="E1832" i="2"/>
  <c r="E1836" i="2"/>
  <c r="E1840" i="2"/>
  <c r="E1844" i="2"/>
  <c r="E1848" i="2"/>
  <c r="E1852" i="2"/>
  <c r="E1856" i="2"/>
  <c r="E1860" i="2"/>
  <c r="E1864" i="2"/>
  <c r="E1868" i="2"/>
  <c r="E1872" i="2"/>
  <c r="E1876" i="2"/>
  <c r="E1880" i="2"/>
  <c r="E1884" i="2"/>
  <c r="E1888" i="2"/>
  <c r="E1892" i="2"/>
  <c r="E1896" i="2"/>
  <c r="E1900" i="2"/>
  <c r="E1904" i="2"/>
  <c r="E1908" i="2"/>
  <c r="E1912" i="2"/>
  <c r="E1916" i="2"/>
  <c r="E1920" i="2"/>
  <c r="E1924" i="2"/>
  <c r="E1928" i="2"/>
  <c r="E1932" i="2"/>
  <c r="E1936" i="2"/>
  <c r="E1940" i="2"/>
  <c r="E1944" i="2"/>
  <c r="E1948" i="2"/>
  <c r="E1952" i="2"/>
  <c r="E1956" i="2"/>
  <c r="I3" i="2"/>
  <c r="I7" i="2"/>
  <c r="I11" i="2"/>
  <c r="I15" i="2"/>
  <c r="I19" i="2"/>
  <c r="I27" i="2"/>
  <c r="I31" i="2"/>
  <c r="I35" i="2"/>
  <c r="I43" i="2"/>
  <c r="I51" i="2"/>
  <c r="I55" i="2"/>
  <c r="I59" i="2"/>
  <c r="I63" i="2"/>
  <c r="I67" i="2"/>
  <c r="I71" i="2"/>
  <c r="I75" i="2"/>
  <c r="I79" i="2"/>
  <c r="I83" i="2"/>
  <c r="I91" i="2"/>
  <c r="I95" i="2"/>
  <c r="I99" i="2"/>
  <c r="I107" i="2"/>
  <c r="I111" i="2"/>
  <c r="I119" i="2"/>
  <c r="I123" i="2"/>
  <c r="I127" i="2"/>
  <c r="I131" i="2"/>
  <c r="I135" i="2"/>
  <c r="I139" i="2"/>
  <c r="I143" i="2"/>
  <c r="I147" i="2"/>
  <c r="I151" i="2"/>
  <c r="I155" i="2"/>
  <c r="I167" i="2"/>
  <c r="I171" i="2"/>
  <c r="I175" i="2"/>
  <c r="I179" i="2"/>
  <c r="I183" i="2"/>
  <c r="I187" i="2"/>
  <c r="I191" i="2"/>
  <c r="I195" i="2"/>
  <c r="I199" i="2"/>
  <c r="I203" i="2"/>
  <c r="I207" i="2"/>
  <c r="I211" i="2"/>
  <c r="I215" i="2"/>
  <c r="I219" i="2"/>
  <c r="I223" i="2"/>
  <c r="I227" i="2"/>
  <c r="I235" i="2"/>
  <c r="I239" i="2"/>
  <c r="I243" i="2"/>
  <c r="I247" i="2"/>
  <c r="I251" i="2"/>
  <c r="I255" i="2"/>
  <c r="I259" i="2"/>
  <c r="I267" i="2"/>
  <c r="I271" i="2"/>
  <c r="I275" i="2"/>
  <c r="I279" i="2"/>
  <c r="I283" i="2"/>
  <c r="I287" i="2"/>
  <c r="I295" i="2"/>
  <c r="I303" i="2"/>
  <c r="I307" i="2"/>
  <c r="I319" i="2"/>
  <c r="I323" i="2"/>
  <c r="I327" i="2"/>
  <c r="I331" i="2"/>
  <c r="I335" i="2"/>
  <c r="I339" i="2"/>
  <c r="I343" i="2"/>
  <c r="I347" i="2"/>
  <c r="I351" i="2"/>
  <c r="I355" i="2"/>
  <c r="I359" i="2"/>
  <c r="I363" i="2"/>
  <c r="I367" i="2"/>
  <c r="I371" i="2"/>
  <c r="I375" i="2"/>
  <c r="I379" i="2"/>
  <c r="I383" i="2"/>
  <c r="I387" i="2"/>
  <c r="I391" i="2"/>
  <c r="I395" i="2"/>
  <c r="I399" i="2"/>
  <c r="I403" i="2"/>
  <c r="I407" i="2"/>
  <c r="I411" i="2"/>
  <c r="I415" i="2"/>
  <c r="I419" i="2"/>
  <c r="I423" i="2"/>
  <c r="I427" i="2"/>
  <c r="I431" i="2"/>
  <c r="I435" i="2"/>
  <c r="I439" i="2"/>
  <c r="I443" i="2"/>
  <c r="I447" i="2"/>
  <c r="I455" i="2"/>
  <c r="I459" i="2"/>
  <c r="I463" i="2"/>
  <c r="I467" i="2"/>
  <c r="I471" i="2"/>
  <c r="I475" i="2"/>
  <c r="I479" i="2"/>
  <c r="I483" i="2"/>
  <c r="I487" i="2"/>
  <c r="I491" i="2"/>
  <c r="I495" i="2"/>
  <c r="I499" i="2"/>
  <c r="I503" i="2"/>
  <c r="I511" i="2"/>
  <c r="I519" i="2"/>
  <c r="I523" i="2"/>
  <c r="I527" i="2"/>
  <c r="I531" i="2"/>
  <c r="I535" i="2"/>
  <c r="I539" i="2"/>
  <c r="I543" i="2"/>
  <c r="I547" i="2"/>
  <c r="I551" i="2"/>
  <c r="I555" i="2"/>
  <c r="I559" i="2"/>
  <c r="I563" i="2"/>
  <c r="I567" i="2"/>
  <c r="I571" i="2"/>
  <c r="I575" i="2"/>
  <c r="I579" i="2"/>
  <c r="I583" i="2"/>
  <c r="I587" i="2"/>
  <c r="I591" i="2"/>
  <c r="I595" i="2"/>
  <c r="I599" i="2"/>
  <c r="I603" i="2"/>
  <c r="I607" i="2"/>
  <c r="I611" i="2"/>
  <c r="I615" i="2"/>
  <c r="I619" i="2"/>
  <c r="I623" i="2"/>
  <c r="I627" i="2"/>
  <c r="I631" i="2"/>
  <c r="E238" i="2"/>
  <c r="E670" i="2"/>
  <c r="E752" i="2"/>
  <c r="E816" i="2"/>
  <c r="E880" i="2"/>
  <c r="E944" i="2"/>
  <c r="E1008" i="2"/>
  <c r="E1072" i="2"/>
  <c r="E1125" i="2"/>
  <c r="E1157" i="2"/>
  <c r="E1189" i="2"/>
  <c r="E1210" i="2"/>
  <c r="E1226" i="2"/>
  <c r="E1242" i="2"/>
  <c r="E1258" i="2"/>
  <c r="E1274" i="2"/>
  <c r="E1290" i="2"/>
  <c r="E1306" i="2"/>
  <c r="E1322" i="2"/>
  <c r="E1338" i="2"/>
  <c r="E1354" i="2"/>
  <c r="E1370" i="2"/>
  <c r="E1386" i="2"/>
  <c r="E1402" i="2"/>
  <c r="E1418" i="2"/>
  <c r="E1434" i="2"/>
  <c r="E1450" i="2"/>
  <c r="E1465" i="2"/>
  <c r="E1473" i="2"/>
  <c r="E1481" i="2"/>
  <c r="E1489" i="2"/>
  <c r="E1497" i="2"/>
  <c r="E1505" i="2"/>
  <c r="E1513" i="2"/>
  <c r="E1521" i="2"/>
  <c r="E1529" i="2"/>
  <c r="E1537" i="2"/>
  <c r="E1545" i="2"/>
  <c r="E1553" i="2"/>
  <c r="E1561" i="2"/>
  <c r="E1569" i="2"/>
  <c r="E1577" i="2"/>
  <c r="E1585" i="2"/>
  <c r="E1593" i="2"/>
  <c r="E1601" i="2"/>
  <c r="E1609" i="2"/>
  <c r="E1617" i="2"/>
  <c r="E1625" i="2"/>
  <c r="E1633" i="2"/>
  <c r="E1641" i="2"/>
  <c r="E1649" i="2"/>
  <c r="E1657" i="2"/>
  <c r="E1665" i="2"/>
  <c r="E1673" i="2"/>
  <c r="E1681" i="2"/>
  <c r="E1687" i="2"/>
  <c r="E1693" i="2"/>
  <c r="E1698" i="2"/>
  <c r="E1703" i="2"/>
  <c r="E1709" i="2"/>
  <c r="E1714" i="2"/>
  <c r="E1719" i="2"/>
  <c r="E1725" i="2"/>
  <c r="E1730" i="2"/>
  <c r="E1735" i="2"/>
  <c r="E1741" i="2"/>
  <c r="E1746" i="2"/>
  <c r="E1751" i="2"/>
  <c r="E1757" i="2"/>
  <c r="E1761" i="2"/>
  <c r="E1765" i="2"/>
  <c r="E1769" i="2"/>
  <c r="E1773" i="2"/>
  <c r="E1777" i="2"/>
  <c r="E1781" i="2"/>
  <c r="E1785" i="2"/>
  <c r="E1789" i="2"/>
  <c r="E1793" i="2"/>
  <c r="E1797" i="2"/>
  <c r="E1801" i="2"/>
  <c r="E1805" i="2"/>
  <c r="E1809" i="2"/>
  <c r="E1813" i="2"/>
  <c r="E1817" i="2"/>
  <c r="E1821" i="2"/>
  <c r="E1825" i="2"/>
  <c r="E1829" i="2"/>
  <c r="E1833" i="2"/>
  <c r="E1837" i="2"/>
  <c r="E1841" i="2"/>
  <c r="E1845" i="2"/>
  <c r="E1849" i="2"/>
  <c r="E1853" i="2"/>
  <c r="E1857" i="2"/>
  <c r="E1861" i="2"/>
  <c r="E1865" i="2"/>
  <c r="E1869" i="2"/>
  <c r="E1873" i="2"/>
  <c r="E1877" i="2"/>
  <c r="E1881" i="2"/>
  <c r="E1885" i="2"/>
  <c r="E1889" i="2"/>
  <c r="E1893" i="2"/>
  <c r="E1897" i="2"/>
  <c r="E1901" i="2"/>
  <c r="E1905" i="2"/>
  <c r="E1909" i="2"/>
  <c r="E1913" i="2"/>
  <c r="E1917" i="2"/>
  <c r="E1921" i="2"/>
  <c r="E1925" i="2"/>
  <c r="E1929" i="2"/>
  <c r="E1933" i="2"/>
  <c r="E1937" i="2"/>
  <c r="E1941" i="2"/>
  <c r="E1945" i="2"/>
  <c r="E1949" i="2"/>
  <c r="E1953" i="2"/>
  <c r="E1957" i="2"/>
  <c r="I4" i="2"/>
  <c r="I8" i="2"/>
  <c r="I12" i="2"/>
  <c r="I16" i="2"/>
  <c r="I20" i="2"/>
  <c r="I24" i="2"/>
  <c r="I32" i="2"/>
  <c r="I36" i="2"/>
  <c r="I40" i="2"/>
  <c r="I44" i="2"/>
  <c r="I48" i="2"/>
  <c r="I52" i="2"/>
  <c r="I56" i="2"/>
  <c r="I64" i="2"/>
  <c r="I68" i="2"/>
  <c r="I72" i="2"/>
  <c r="I76" i="2"/>
  <c r="I80" i="2"/>
  <c r="I84" i="2"/>
  <c r="I92" i="2"/>
  <c r="I100" i="2"/>
  <c r="I104" i="2"/>
  <c r="I120" i="2"/>
  <c r="I124" i="2"/>
  <c r="I128" i="2"/>
  <c r="I132" i="2"/>
  <c r="I136" i="2"/>
  <c r="I140" i="2"/>
  <c r="I144" i="2"/>
  <c r="I148" i="2"/>
  <c r="I152" i="2"/>
  <c r="I156" i="2"/>
  <c r="I160" i="2"/>
  <c r="I164" i="2"/>
  <c r="I168" i="2"/>
  <c r="I172" i="2"/>
  <c r="I176" i="2"/>
  <c r="I180" i="2"/>
  <c r="I184" i="2"/>
  <c r="I188" i="2"/>
  <c r="I192" i="2"/>
  <c r="I196" i="2"/>
  <c r="I200" i="2"/>
  <c r="I204" i="2"/>
  <c r="I208" i="2"/>
  <c r="I212" i="2"/>
  <c r="I216" i="2"/>
  <c r="I220" i="2"/>
  <c r="I224" i="2"/>
  <c r="I228" i="2"/>
  <c r="I232" i="2"/>
  <c r="I236" i="2"/>
  <c r="I240" i="2"/>
  <c r="I248" i="2"/>
  <c r="I252" i="2"/>
  <c r="I256" i="2"/>
  <c r="I260" i="2"/>
  <c r="I264" i="2"/>
  <c r="I268" i="2"/>
  <c r="I272" i="2"/>
  <c r="I276" i="2"/>
  <c r="I280" i="2"/>
  <c r="I284" i="2"/>
  <c r="I288" i="2"/>
  <c r="I292" i="2"/>
  <c r="I296" i="2"/>
  <c r="I300" i="2"/>
  <c r="I308" i="2"/>
  <c r="I316" i="2"/>
  <c r="I320" i="2"/>
  <c r="I324" i="2"/>
  <c r="I328" i="2"/>
  <c r="I332" i="2"/>
  <c r="I336" i="2"/>
  <c r="I340" i="2"/>
  <c r="I344" i="2"/>
  <c r="I348" i="2"/>
  <c r="I352" i="2"/>
  <c r="I356" i="2"/>
  <c r="I360" i="2"/>
  <c r="I364" i="2"/>
  <c r="I368" i="2"/>
  <c r="I372" i="2"/>
  <c r="I376" i="2"/>
  <c r="I380" i="2"/>
  <c r="I384" i="2"/>
  <c r="I388" i="2"/>
  <c r="I392" i="2"/>
  <c r="I396" i="2"/>
  <c r="I400" i="2"/>
  <c r="I404" i="2"/>
  <c r="I408" i="2"/>
  <c r="I412" i="2"/>
  <c r="I416" i="2"/>
  <c r="I420" i="2"/>
  <c r="I424" i="2"/>
  <c r="I428" i="2"/>
  <c r="I432" i="2"/>
  <c r="I436" i="2"/>
  <c r="I440" i="2"/>
  <c r="I444" i="2"/>
  <c r="I452" i="2"/>
  <c r="I456" i="2"/>
  <c r="I460" i="2"/>
  <c r="I464" i="2"/>
  <c r="I468" i="2"/>
  <c r="I472" i="2"/>
  <c r="I476" i="2"/>
  <c r="I480" i="2"/>
  <c r="I488" i="2"/>
  <c r="I492" i="2"/>
  <c r="I500" i="2"/>
  <c r="I504" i="2"/>
  <c r="I508" i="2"/>
  <c r="I512" i="2"/>
  <c r="I520" i="2"/>
  <c r="I524" i="2"/>
  <c r="I528" i="2"/>
  <c r="I532" i="2"/>
  <c r="I536" i="2"/>
  <c r="I540" i="2"/>
  <c r="I544" i="2"/>
  <c r="I548" i="2"/>
  <c r="I552" i="2"/>
  <c r="I556" i="2"/>
  <c r="I560" i="2"/>
  <c r="I564" i="2"/>
  <c r="E558" i="2"/>
  <c r="E896" i="2"/>
  <c r="E1133" i="2"/>
  <c r="E1230" i="2"/>
  <c r="E1294" i="2"/>
  <c r="E1358" i="2"/>
  <c r="E1422" i="2"/>
  <c r="E1474" i="2"/>
  <c r="E1506" i="2"/>
  <c r="E1538" i="2"/>
  <c r="E1570" i="2"/>
  <c r="E1602" i="2"/>
  <c r="E1634" i="2"/>
  <c r="E1666" i="2"/>
  <c r="E1694" i="2"/>
  <c r="E1715" i="2"/>
  <c r="E1737" i="2"/>
  <c r="E1758" i="2"/>
  <c r="E1774" i="2"/>
  <c r="E1790" i="2"/>
  <c r="E1806" i="2"/>
  <c r="E1822" i="2"/>
  <c r="E1838" i="2"/>
  <c r="E1854" i="2"/>
  <c r="E1870" i="2"/>
  <c r="E1886" i="2"/>
  <c r="E1902" i="2"/>
  <c r="E1918" i="2"/>
  <c r="E1934" i="2"/>
  <c r="E1950" i="2"/>
  <c r="I13" i="2"/>
  <c r="I29" i="2"/>
  <c r="I45" i="2"/>
  <c r="I61" i="2"/>
  <c r="I77" i="2"/>
  <c r="I93" i="2"/>
  <c r="I125" i="2"/>
  <c r="I141" i="2"/>
  <c r="I157" i="2"/>
  <c r="I173" i="2"/>
  <c r="I189" i="2"/>
  <c r="I205" i="2"/>
  <c r="I221" i="2"/>
  <c r="I237" i="2"/>
  <c r="I253" i="2"/>
  <c r="I269" i="2"/>
  <c r="I285" i="2"/>
  <c r="I301" i="2"/>
  <c r="I317" i="2"/>
  <c r="I330" i="2"/>
  <c r="I338" i="2"/>
  <c r="I346" i="2"/>
  <c r="I354" i="2"/>
  <c r="I370" i="2"/>
  <c r="I378" i="2"/>
  <c r="I386" i="2"/>
  <c r="I394" i="2"/>
  <c r="I402" i="2"/>
  <c r="I410" i="2"/>
  <c r="I418" i="2"/>
  <c r="I426" i="2"/>
  <c r="I434" i="2"/>
  <c r="I442" i="2"/>
  <c r="I450" i="2"/>
  <c r="I458" i="2"/>
  <c r="I466" i="2"/>
  <c r="I474" i="2"/>
  <c r="I482" i="2"/>
  <c r="I490" i="2"/>
  <c r="I498" i="2"/>
  <c r="I506" i="2"/>
  <c r="I522" i="2"/>
  <c r="I530" i="2"/>
  <c r="I538" i="2"/>
  <c r="I546" i="2"/>
  <c r="I554" i="2"/>
  <c r="I562" i="2"/>
  <c r="I574" i="2"/>
  <c r="I580" i="2"/>
  <c r="I585" i="2"/>
  <c r="I590" i="2"/>
  <c r="I596" i="2"/>
  <c r="I601" i="2"/>
  <c r="I606" i="2"/>
  <c r="I612" i="2"/>
  <c r="I617" i="2"/>
  <c r="I622" i="2"/>
  <c r="I628" i="2"/>
  <c r="I633" i="2"/>
  <c r="I637" i="2"/>
  <c r="I645" i="2"/>
  <c r="I649" i="2"/>
  <c r="I653" i="2"/>
  <c r="I657" i="2"/>
  <c r="I661" i="2"/>
  <c r="I665" i="2"/>
  <c r="I669" i="2"/>
  <c r="I677" i="2"/>
  <c r="I681" i="2"/>
  <c r="I685" i="2"/>
  <c r="I689" i="2"/>
  <c r="I693" i="2"/>
  <c r="I701" i="2"/>
  <c r="I705" i="2"/>
  <c r="I709" i="2"/>
  <c r="I717" i="2"/>
  <c r="I721" i="2"/>
  <c r="I729" i="2"/>
  <c r="I733" i="2"/>
  <c r="I737" i="2"/>
  <c r="I741" i="2"/>
  <c r="I745" i="2"/>
  <c r="I749" i="2"/>
  <c r="I753" i="2"/>
  <c r="I757" i="2"/>
  <c r="I761" i="2"/>
  <c r="I765" i="2"/>
  <c r="I777" i="2"/>
  <c r="I781" i="2"/>
  <c r="I785" i="2"/>
  <c r="I789" i="2"/>
  <c r="I793" i="2"/>
  <c r="I797" i="2"/>
  <c r="I801" i="2"/>
  <c r="I805" i="2"/>
  <c r="I809" i="2"/>
  <c r="I813" i="2"/>
  <c r="I817" i="2"/>
  <c r="I821" i="2"/>
  <c r="I825" i="2"/>
  <c r="I829" i="2"/>
  <c r="I833" i="2"/>
  <c r="I837" i="2"/>
  <c r="I841" i="2"/>
  <c r="I845" i="2"/>
  <c r="I849" i="2"/>
  <c r="I853" i="2"/>
  <c r="I861" i="2"/>
  <c r="I865" i="2"/>
  <c r="I869" i="2"/>
  <c r="I873" i="2"/>
  <c r="I877" i="2"/>
  <c r="I881" i="2"/>
  <c r="I885" i="2"/>
  <c r="I889" i="2"/>
  <c r="I893" i="2"/>
  <c r="I897" i="2"/>
  <c r="I901" i="2"/>
  <c r="I905" i="2"/>
  <c r="I909" i="2"/>
  <c r="I913" i="2"/>
  <c r="I921" i="2"/>
  <c r="I929" i="2"/>
  <c r="I933" i="2"/>
  <c r="I937" i="2"/>
  <c r="I941" i="2"/>
  <c r="I945" i="2"/>
  <c r="I949" i="2"/>
  <c r="I953" i="2"/>
  <c r="I957" i="2"/>
  <c r="I961" i="2"/>
  <c r="I965" i="2"/>
  <c r="I969" i="2"/>
  <c r="I973" i="2"/>
  <c r="I977" i="2"/>
  <c r="I981" i="2"/>
  <c r="I985" i="2"/>
  <c r="I989" i="2"/>
  <c r="I993" i="2"/>
  <c r="I997" i="2"/>
  <c r="I1001" i="2"/>
  <c r="I1005" i="2"/>
  <c r="I1009" i="2"/>
  <c r="I1013" i="2"/>
  <c r="I1017" i="2"/>
  <c r="I1021" i="2"/>
  <c r="I1025" i="2"/>
  <c r="I1029" i="2"/>
  <c r="I1033" i="2"/>
  <c r="I1037" i="2"/>
  <c r="I1041" i="2"/>
  <c r="I1045" i="2"/>
  <c r="I1049" i="2"/>
  <c r="I1053" i="2"/>
  <c r="I1057" i="2"/>
  <c r="I1061" i="2"/>
  <c r="I1065" i="2"/>
  <c r="I1069" i="2"/>
  <c r="I1073" i="2"/>
  <c r="I1077" i="2"/>
  <c r="I1081" i="2"/>
  <c r="I1085" i="2"/>
  <c r="I1089" i="2"/>
  <c r="I1093" i="2"/>
  <c r="I1097" i="2"/>
  <c r="I1101" i="2"/>
  <c r="I1105" i="2"/>
  <c r="I1109" i="2"/>
  <c r="I1113" i="2"/>
  <c r="I1117" i="2"/>
  <c r="I1125" i="2"/>
  <c r="I1129" i="2"/>
  <c r="I1133" i="2"/>
  <c r="I1137" i="2"/>
  <c r="I1141" i="2"/>
  <c r="I1145" i="2"/>
  <c r="I1149" i="2"/>
  <c r="I1153" i="2"/>
  <c r="I1157" i="2"/>
  <c r="I1161" i="2"/>
  <c r="I1165" i="2"/>
  <c r="I1169" i="2"/>
  <c r="I1173" i="2"/>
  <c r="E702" i="2"/>
  <c r="E960" i="2"/>
  <c r="E1165" i="2"/>
  <c r="E1246" i="2"/>
  <c r="E1310" i="2"/>
  <c r="E1374" i="2"/>
  <c r="E1438" i="2"/>
  <c r="E1482" i="2"/>
  <c r="E1514" i="2"/>
  <c r="E1546" i="2"/>
  <c r="E1578" i="2"/>
  <c r="E1610" i="2"/>
  <c r="E1642" i="2"/>
  <c r="E1674" i="2"/>
  <c r="E1699" i="2"/>
  <c r="E1721" i="2"/>
  <c r="E1742" i="2"/>
  <c r="E1762" i="2"/>
  <c r="E1778" i="2"/>
  <c r="E1794" i="2"/>
  <c r="E1810" i="2"/>
  <c r="E1826" i="2"/>
  <c r="E1842" i="2"/>
  <c r="E1858" i="2"/>
  <c r="E1874" i="2"/>
  <c r="E1890" i="2"/>
  <c r="E1906" i="2"/>
  <c r="E1922" i="2"/>
  <c r="E1938" i="2"/>
  <c r="E1954" i="2"/>
  <c r="I17" i="2"/>
  <c r="I33" i="2"/>
  <c r="I49" i="2"/>
  <c r="I65" i="2"/>
  <c r="I81" i="2"/>
  <c r="I97" i="2"/>
  <c r="I113" i="2"/>
  <c r="I129" i="2"/>
  <c r="I145" i="2"/>
  <c r="I161" i="2"/>
  <c r="I177" i="2"/>
  <c r="I193" i="2"/>
  <c r="I209" i="2"/>
  <c r="I225" i="2"/>
  <c r="I257" i="2"/>
  <c r="I273" i="2"/>
  <c r="I289" i="2"/>
  <c r="I305" i="2"/>
  <c r="I321" i="2"/>
  <c r="I333" i="2"/>
  <c r="I341" i="2"/>
  <c r="I349" i="2"/>
  <c r="I357" i="2"/>
  <c r="I365" i="2"/>
  <c r="I373" i="2"/>
  <c r="I389" i="2"/>
  <c r="I397" i="2"/>
  <c r="I405" i="2"/>
  <c r="I413" i="2"/>
  <c r="I421" i="2"/>
  <c r="I429" i="2"/>
  <c r="I437" i="2"/>
  <c r="I445" i="2"/>
  <c r="I453" i="2"/>
  <c r="I461" i="2"/>
  <c r="I469" i="2"/>
  <c r="I477" i="2"/>
  <c r="I485" i="2"/>
  <c r="I501" i="2"/>
  <c r="I517" i="2"/>
  <c r="I525" i="2"/>
  <c r="I533" i="2"/>
  <c r="I541" i="2"/>
  <c r="I549" i="2"/>
  <c r="I557" i="2"/>
  <c r="I570" i="2"/>
  <c r="I576" i="2"/>
  <c r="I581" i="2"/>
  <c r="I586" i="2"/>
  <c r="I592" i="2"/>
  <c r="I597" i="2"/>
  <c r="I602" i="2"/>
  <c r="I608" i="2"/>
  <c r="I613" i="2"/>
  <c r="I618" i="2"/>
  <c r="I624" i="2"/>
  <c r="I629" i="2"/>
  <c r="I634" i="2"/>
  <c r="I638" i="2"/>
  <c r="I642" i="2"/>
  <c r="I646" i="2"/>
  <c r="I650" i="2"/>
  <c r="I658" i="2"/>
  <c r="I662" i="2"/>
  <c r="I666" i="2"/>
  <c r="I670" i="2"/>
  <c r="I674" i="2"/>
  <c r="I678" i="2"/>
  <c r="I682" i="2"/>
  <c r="I686" i="2"/>
  <c r="I690" i="2"/>
  <c r="I694" i="2"/>
  <c r="I702" i="2"/>
  <c r="I710" i="2"/>
  <c r="I714" i="2"/>
  <c r="I726" i="2"/>
  <c r="I730" i="2"/>
  <c r="I734" i="2"/>
  <c r="I738" i="2"/>
  <c r="I742" i="2"/>
  <c r="I746" i="2"/>
  <c r="I750" i="2"/>
  <c r="I754" i="2"/>
  <c r="I758" i="2"/>
  <c r="I762" i="2"/>
  <c r="I766" i="2"/>
  <c r="I770" i="2"/>
  <c r="I774" i="2"/>
  <c r="I778" i="2"/>
  <c r="I782" i="2"/>
  <c r="I786" i="2"/>
  <c r="I790" i="2"/>
  <c r="I794" i="2"/>
  <c r="I798" i="2"/>
  <c r="I802" i="2"/>
  <c r="I806" i="2"/>
  <c r="I810" i="2"/>
  <c r="I814" i="2"/>
  <c r="I818" i="2"/>
  <c r="I822" i="2"/>
  <c r="I826" i="2"/>
  <c r="I830" i="2"/>
  <c r="I834" i="2"/>
  <c r="I838" i="2"/>
  <c r="I846" i="2"/>
  <c r="I850" i="2"/>
  <c r="I854" i="2"/>
  <c r="I862" i="2"/>
  <c r="I870" i="2"/>
  <c r="I874" i="2"/>
  <c r="I878" i="2"/>
  <c r="I882" i="2"/>
  <c r="I886" i="2"/>
  <c r="I890" i="2"/>
  <c r="I898" i="2"/>
  <c r="I902" i="2"/>
  <c r="I910" i="2"/>
  <c r="I914" i="2"/>
  <c r="I918" i="2"/>
  <c r="I922" i="2"/>
  <c r="I930" i="2"/>
  <c r="I934" i="2"/>
  <c r="I938" i="2"/>
  <c r="I942" i="2"/>
  <c r="I946" i="2"/>
  <c r="I950" i="2"/>
  <c r="I954" i="2"/>
  <c r="I958" i="2"/>
  <c r="I962" i="2"/>
  <c r="I966" i="2"/>
  <c r="I970" i="2"/>
  <c r="I974" i="2"/>
  <c r="I978" i="2"/>
  <c r="I982" i="2"/>
  <c r="I986" i="2"/>
  <c r="I990" i="2"/>
  <c r="I998" i="2"/>
  <c r="I1002" i="2"/>
  <c r="I1006" i="2"/>
  <c r="I1010" i="2"/>
  <c r="I1014" i="2"/>
  <c r="I1018" i="2"/>
  <c r="I1022" i="2"/>
  <c r="I1026" i="2"/>
  <c r="I1030" i="2"/>
  <c r="I1034" i="2"/>
  <c r="I1038" i="2"/>
  <c r="I1042" i="2"/>
  <c r="I1046" i="2"/>
  <c r="I1050" i="2"/>
  <c r="I1054" i="2"/>
  <c r="I1058" i="2"/>
  <c r="I1062" i="2"/>
  <c r="I1070" i="2"/>
  <c r="I1074" i="2"/>
  <c r="I1078" i="2"/>
  <c r="I1082" i="2"/>
  <c r="I1086" i="2"/>
  <c r="I1090" i="2"/>
  <c r="I1094" i="2"/>
  <c r="I1098" i="2"/>
  <c r="I1102" i="2"/>
  <c r="I1106" i="2"/>
  <c r="I1110" i="2"/>
  <c r="I1114" i="2"/>
  <c r="I1118" i="2"/>
  <c r="I1122" i="2"/>
  <c r="I1126" i="2"/>
  <c r="I1130" i="2"/>
  <c r="I1134" i="2"/>
  <c r="I1138" i="2"/>
  <c r="I1142" i="2"/>
  <c r="I1146" i="2"/>
  <c r="I1150" i="2"/>
  <c r="I1154" i="2"/>
  <c r="I1158" i="2"/>
  <c r="I1162" i="2"/>
  <c r="I1166" i="2"/>
  <c r="I1170" i="2"/>
  <c r="I1174" i="2"/>
  <c r="I1178" i="2"/>
  <c r="I1182" i="2"/>
  <c r="I1186" i="2"/>
  <c r="I1190" i="2"/>
  <c r="I1194" i="2"/>
  <c r="I1198" i="2"/>
  <c r="I1202" i="2"/>
  <c r="I1206" i="2"/>
  <c r="I1210" i="2"/>
  <c r="I1214" i="2"/>
  <c r="I1218" i="2"/>
  <c r="I1222" i="2"/>
  <c r="I1226" i="2"/>
  <c r="I1230" i="2"/>
  <c r="I1234" i="2"/>
  <c r="I1238" i="2"/>
  <c r="I1242" i="2"/>
  <c r="I1246" i="2"/>
  <c r="I1250" i="2"/>
  <c r="I1254" i="2"/>
  <c r="I1258" i="2"/>
  <c r="I1262" i="2"/>
  <c r="I1266" i="2"/>
  <c r="I1270" i="2"/>
  <c r="I1274" i="2"/>
  <c r="I1278" i="2"/>
  <c r="I1282" i="2"/>
  <c r="I1286" i="2"/>
  <c r="I1290" i="2"/>
  <c r="I1294" i="2"/>
  <c r="I1298" i="2"/>
  <c r="I1302" i="2"/>
  <c r="I1306" i="2"/>
  <c r="I1310" i="2"/>
  <c r="I1314" i="2"/>
  <c r="I1318" i="2"/>
  <c r="I1322" i="2"/>
  <c r="I1326" i="2"/>
  <c r="I1330" i="2"/>
  <c r="I1334" i="2"/>
  <c r="I1338" i="2"/>
  <c r="I1342" i="2"/>
  <c r="I1346" i="2"/>
  <c r="I1350" i="2"/>
  <c r="I1354" i="2"/>
  <c r="I1358" i="2"/>
  <c r="I1362" i="2"/>
  <c r="I1366" i="2"/>
  <c r="I1370" i="2"/>
  <c r="I1374" i="2"/>
  <c r="I1378" i="2"/>
  <c r="I1382" i="2"/>
  <c r="I1386" i="2"/>
  <c r="I1390" i="2"/>
  <c r="I1394" i="2"/>
  <c r="I1398" i="2"/>
  <c r="I1402" i="2"/>
  <c r="I1406" i="2"/>
  <c r="I1410" i="2"/>
  <c r="I1414" i="2"/>
  <c r="I1418" i="2"/>
  <c r="I1422" i="2"/>
  <c r="I1426" i="2"/>
  <c r="I1430" i="2"/>
  <c r="I1434" i="2"/>
  <c r="I1438" i="2"/>
  <c r="I1442" i="2"/>
  <c r="I1446" i="2"/>
  <c r="I1450" i="2"/>
  <c r="I1454" i="2"/>
  <c r="I1458" i="2"/>
  <c r="I1462" i="2"/>
  <c r="I1466" i="2"/>
  <c r="I1470" i="2"/>
  <c r="I1474" i="2"/>
  <c r="I1478" i="2"/>
  <c r="I1482" i="2"/>
  <c r="I1486" i="2"/>
  <c r="I1490" i="2"/>
  <c r="I1494" i="2"/>
  <c r="I1498" i="2"/>
  <c r="I1502" i="2"/>
  <c r="I1506" i="2"/>
  <c r="I1510" i="2"/>
  <c r="I1514" i="2"/>
  <c r="I1518" i="2"/>
  <c r="I1522" i="2"/>
  <c r="I1526" i="2"/>
  <c r="I1530" i="2"/>
  <c r="I1534" i="2"/>
  <c r="I1538" i="2"/>
  <c r="I1542" i="2"/>
  <c r="I1546" i="2"/>
  <c r="E768" i="2"/>
  <c r="E1024" i="2"/>
  <c r="E1195" i="2"/>
  <c r="E1262" i="2"/>
  <c r="E1326" i="2"/>
  <c r="E1390" i="2"/>
  <c r="E1454" i="2"/>
  <c r="E1490" i="2"/>
  <c r="E1522" i="2"/>
  <c r="E1554" i="2"/>
  <c r="E1586" i="2"/>
  <c r="E1618" i="2"/>
  <c r="E1650" i="2"/>
  <c r="E1682" i="2"/>
  <c r="E1705" i="2"/>
  <c r="E1726" i="2"/>
  <c r="E1747" i="2"/>
  <c r="E1766" i="2"/>
  <c r="E1782" i="2"/>
  <c r="E1798" i="2"/>
  <c r="E1814" i="2"/>
  <c r="E1830" i="2"/>
  <c r="E1846" i="2"/>
  <c r="E1862" i="2"/>
  <c r="E1878" i="2"/>
  <c r="E1894" i="2"/>
  <c r="E1910" i="2"/>
  <c r="E1926" i="2"/>
  <c r="E1942" i="2"/>
  <c r="E1958" i="2"/>
  <c r="I5" i="2"/>
  <c r="I21" i="2"/>
  <c r="I37" i="2"/>
  <c r="I53" i="2"/>
  <c r="I69" i="2"/>
  <c r="I85" i="2"/>
  <c r="I117" i="2"/>
  <c r="I133" i="2"/>
  <c r="I149" i="2"/>
  <c r="I165" i="2"/>
  <c r="I181" i="2"/>
  <c r="I197" i="2"/>
  <c r="I213" i="2"/>
  <c r="I229" i="2"/>
  <c r="I245" i="2"/>
  <c r="I261" i="2"/>
  <c r="I277" i="2"/>
  <c r="I309" i="2"/>
  <c r="I325" i="2"/>
  <c r="I334" i="2"/>
  <c r="I342" i="2"/>
  <c r="I350" i="2"/>
  <c r="I358" i="2"/>
  <c r="I374" i="2"/>
  <c r="I382" i="2"/>
  <c r="I390" i="2"/>
  <c r="I398" i="2"/>
  <c r="I406" i="2"/>
  <c r="I414" i="2"/>
  <c r="I422" i="2"/>
  <c r="I430" i="2"/>
  <c r="I446" i="2"/>
  <c r="I454" i="2"/>
  <c r="I462" i="2"/>
  <c r="I478" i="2"/>
  <c r="I486" i="2"/>
  <c r="I510" i="2"/>
  <c r="I526" i="2"/>
  <c r="I534" i="2"/>
  <c r="I542" i="2"/>
  <c r="I550" i="2"/>
  <c r="I558" i="2"/>
  <c r="I566" i="2"/>
  <c r="I572" i="2"/>
  <c r="I577" i="2"/>
  <c r="I582" i="2"/>
  <c r="I588" i="2"/>
  <c r="I593" i="2"/>
  <c r="I598" i="2"/>
  <c r="I604" i="2"/>
  <c r="I609" i="2"/>
  <c r="I614" i="2"/>
  <c r="I620" i="2"/>
  <c r="I625" i="2"/>
  <c r="I630" i="2"/>
  <c r="I635" i="2"/>
  <c r="I639" i="2"/>
  <c r="I643" i="2"/>
  <c r="I647" i="2"/>
  <c r="I655" i="2"/>
  <c r="I659" i="2"/>
  <c r="I663" i="2"/>
  <c r="I667" i="2"/>
  <c r="I671" i="2"/>
  <c r="I675" i="2"/>
  <c r="I679" i="2"/>
  <c r="I683" i="2"/>
  <c r="I687" i="2"/>
  <c r="I691" i="2"/>
  <c r="I695" i="2"/>
  <c r="I699" i="2"/>
  <c r="I703" i="2"/>
  <c r="I707" i="2"/>
  <c r="I715" i="2"/>
  <c r="I723" i="2"/>
  <c r="I727" i="2"/>
  <c r="I731" i="2"/>
  <c r="I735" i="2"/>
  <c r="I739" i="2"/>
  <c r="I743" i="2"/>
  <c r="I747" i="2"/>
  <c r="I751" i="2"/>
  <c r="I755" i="2"/>
  <c r="I759" i="2"/>
  <c r="I763" i="2"/>
  <c r="I767" i="2"/>
  <c r="I771" i="2"/>
  <c r="I775" i="2"/>
  <c r="I779" i="2"/>
  <c r="I783" i="2"/>
  <c r="I787" i="2"/>
  <c r="I791" i="2"/>
  <c r="I795" i="2"/>
  <c r="I799" i="2"/>
  <c r="I803" i="2"/>
  <c r="I807" i="2"/>
  <c r="I811" i="2"/>
  <c r="I815" i="2"/>
  <c r="I819" i="2"/>
  <c r="I823" i="2"/>
  <c r="I827" i="2"/>
  <c r="I831" i="2"/>
  <c r="I835" i="2"/>
  <c r="I839" i="2"/>
  <c r="I843" i="2"/>
  <c r="I851" i="2"/>
  <c r="I855" i="2"/>
  <c r="I859" i="2"/>
  <c r="I863" i="2"/>
  <c r="I867" i="2"/>
  <c r="I871" i="2"/>
  <c r="I875" i="2"/>
  <c r="I883" i="2"/>
  <c r="I887" i="2"/>
  <c r="I891" i="2"/>
  <c r="I895" i="2"/>
  <c r="I899" i="2"/>
  <c r="I907" i="2"/>
  <c r="I911" i="2"/>
  <c r="I915" i="2"/>
  <c r="I923" i="2"/>
  <c r="I927" i="2"/>
  <c r="I935" i="2"/>
  <c r="I939" i="2"/>
  <c r="I943" i="2"/>
  <c r="I947" i="2"/>
  <c r="I951" i="2"/>
  <c r="I955" i="2"/>
  <c r="I959" i="2"/>
  <c r="I963" i="2"/>
  <c r="I967" i="2"/>
  <c r="I971" i="2"/>
  <c r="I983" i="2"/>
  <c r="I987" i="2"/>
  <c r="I991" i="2"/>
  <c r="I995" i="2"/>
  <c r="I999" i="2"/>
  <c r="I1003" i="2"/>
  <c r="I1007" i="2"/>
  <c r="I1011" i="2"/>
  <c r="I1015" i="2"/>
  <c r="I1019" i="2"/>
  <c r="I1023" i="2"/>
  <c r="I1027" i="2"/>
  <c r="I1031" i="2"/>
  <c r="I1035" i="2"/>
  <c r="I1039" i="2"/>
  <c r="I1043" i="2"/>
  <c r="I1047" i="2"/>
  <c r="I1051" i="2"/>
  <c r="I1055" i="2"/>
  <c r="I1059" i="2"/>
  <c r="I1063" i="2"/>
  <c r="I1067" i="2"/>
  <c r="I1071" i="2"/>
  <c r="I1075" i="2"/>
  <c r="I1079" i="2"/>
  <c r="I1083" i="2"/>
  <c r="I1087" i="2"/>
  <c r="I1091" i="2"/>
  <c r="I1095" i="2"/>
  <c r="I1099" i="2"/>
  <c r="I1103" i="2"/>
  <c r="I1107" i="2"/>
  <c r="I1111" i="2"/>
  <c r="I1115" i="2"/>
  <c r="I1119" i="2"/>
  <c r="I1123" i="2"/>
  <c r="I1127" i="2"/>
  <c r="I1131" i="2"/>
  <c r="I1135" i="2"/>
  <c r="I1139" i="2"/>
  <c r="I1143" i="2"/>
  <c r="I1147" i="2"/>
  <c r="I1151" i="2"/>
  <c r="I1155" i="2"/>
  <c r="I1159" i="2"/>
  <c r="I1163" i="2"/>
  <c r="I1167" i="2"/>
  <c r="I1171" i="2"/>
  <c r="I1175" i="2"/>
  <c r="I1179" i="2"/>
  <c r="I1183" i="2"/>
  <c r="I1187" i="2"/>
  <c r="I1191" i="2"/>
  <c r="I1195" i="2"/>
  <c r="I1199" i="2"/>
  <c r="I1203" i="2"/>
  <c r="I1207" i="2"/>
  <c r="I1211" i="2"/>
  <c r="I1215" i="2"/>
  <c r="I1219" i="2"/>
  <c r="I1223" i="2"/>
  <c r="I1227" i="2"/>
  <c r="I1231" i="2"/>
  <c r="I1235" i="2"/>
  <c r="I1239" i="2"/>
  <c r="I1243" i="2"/>
  <c r="I1247" i="2"/>
  <c r="I1251" i="2"/>
  <c r="I1255" i="2"/>
  <c r="I1259" i="2"/>
  <c r="I1263" i="2"/>
  <c r="I1267" i="2"/>
  <c r="I1271" i="2"/>
  <c r="I1275" i="2"/>
  <c r="I1279" i="2"/>
  <c r="I1283" i="2"/>
  <c r="I1287" i="2"/>
  <c r="I1291" i="2"/>
  <c r="I1295" i="2"/>
  <c r="I1299" i="2"/>
  <c r="I1303" i="2"/>
  <c r="I1307" i="2"/>
  <c r="I1311" i="2"/>
  <c r="I1315" i="2"/>
  <c r="I1319" i="2"/>
  <c r="I1323" i="2"/>
  <c r="I1327" i="2"/>
  <c r="I1331" i="2"/>
  <c r="I1335" i="2"/>
  <c r="I1339" i="2"/>
  <c r="I1343" i="2"/>
  <c r="I1347" i="2"/>
  <c r="I1351" i="2"/>
  <c r="I1355" i="2"/>
  <c r="I1359" i="2"/>
  <c r="I1363" i="2"/>
  <c r="I1367" i="2"/>
  <c r="I1371" i="2"/>
  <c r="I1375" i="2"/>
  <c r="I1379" i="2"/>
  <c r="I1383" i="2"/>
  <c r="I1387" i="2"/>
  <c r="I1391" i="2"/>
  <c r="I1395" i="2"/>
  <c r="I1399" i="2"/>
  <c r="I1403" i="2"/>
  <c r="I1407" i="2"/>
  <c r="I1411" i="2"/>
  <c r="I1415" i="2"/>
  <c r="I1419" i="2"/>
  <c r="I1423" i="2"/>
  <c r="I1427" i="2"/>
  <c r="I1431" i="2"/>
  <c r="I1435" i="2"/>
  <c r="I1439" i="2"/>
  <c r="I1443" i="2"/>
  <c r="I1447" i="2"/>
  <c r="I1451" i="2"/>
  <c r="I1455" i="2"/>
  <c r="I1459" i="2"/>
  <c r="I1463" i="2"/>
  <c r="I1467" i="2"/>
  <c r="I1471" i="2"/>
  <c r="I1475" i="2"/>
  <c r="I1479" i="2"/>
  <c r="I1483" i="2"/>
  <c r="I1487" i="2"/>
  <c r="I1491" i="2"/>
  <c r="I1495" i="2"/>
  <c r="I1499" i="2"/>
  <c r="I1503" i="2"/>
  <c r="I1507" i="2"/>
  <c r="I1511" i="2"/>
  <c r="I1515" i="2"/>
  <c r="I1519" i="2"/>
  <c r="I1523" i="2"/>
  <c r="I1527" i="2"/>
  <c r="I1531" i="2"/>
  <c r="I1535" i="2"/>
  <c r="I1539" i="2"/>
  <c r="I1543" i="2"/>
  <c r="I1547" i="2"/>
  <c r="I1551" i="2"/>
  <c r="I1555" i="2"/>
  <c r="I1559" i="2"/>
  <c r="I1563" i="2"/>
  <c r="E832" i="2"/>
  <c r="E1342" i="2"/>
  <c r="E1530" i="2"/>
  <c r="E1658" i="2"/>
  <c r="E1753" i="2"/>
  <c r="E1818" i="2"/>
  <c r="E1882" i="2"/>
  <c r="E1946" i="2"/>
  <c r="I57" i="2"/>
  <c r="I121" i="2"/>
  <c r="I185" i="2"/>
  <c r="I249" i="2"/>
  <c r="I353" i="2"/>
  <c r="I385" i="2"/>
  <c r="I417" i="2"/>
  <c r="I481" i="2"/>
  <c r="I513" i="2"/>
  <c r="I545" i="2"/>
  <c r="I573" i="2"/>
  <c r="I594" i="2"/>
  <c r="I616" i="2"/>
  <c r="I668" i="2"/>
  <c r="I684" i="2"/>
  <c r="I716" i="2"/>
  <c r="I732" i="2"/>
  <c r="I748" i="2"/>
  <c r="I764" i="2"/>
  <c r="I780" i="2"/>
  <c r="I796" i="2"/>
  <c r="I812" i="2"/>
  <c r="I828" i="2"/>
  <c r="I844" i="2"/>
  <c r="I876" i="2"/>
  <c r="I892" i="2"/>
  <c r="I908" i="2"/>
  <c r="I940" i="2"/>
  <c r="I956" i="2"/>
  <c r="I972" i="2"/>
  <c r="I988" i="2"/>
  <c r="I1004" i="2"/>
  <c r="I1020" i="2"/>
  <c r="I1036" i="2"/>
  <c r="I1052" i="2"/>
  <c r="I1068" i="2"/>
  <c r="I1084" i="2"/>
  <c r="I1100" i="2"/>
  <c r="I1116" i="2"/>
  <c r="I1132" i="2"/>
  <c r="I1148" i="2"/>
  <c r="I1164" i="2"/>
  <c r="I1177" i="2"/>
  <c r="I1185" i="2"/>
  <c r="I1193" i="2"/>
  <c r="I1201" i="2"/>
  <c r="I1209" i="2"/>
  <c r="I1217" i="2"/>
  <c r="I1225" i="2"/>
  <c r="I1233" i="2"/>
  <c r="I1241" i="2"/>
  <c r="I1249" i="2"/>
  <c r="I1257" i="2"/>
  <c r="I1265" i="2"/>
  <c r="I1273" i="2"/>
  <c r="I1281" i="2"/>
  <c r="I1289" i="2"/>
  <c r="I1297" i="2"/>
  <c r="I1305" i="2"/>
  <c r="I1313" i="2"/>
  <c r="I1321" i="2"/>
  <c r="I1329" i="2"/>
  <c r="I1337" i="2"/>
  <c r="I1345" i="2"/>
  <c r="I1353" i="2"/>
  <c r="I1361" i="2"/>
  <c r="I1369" i="2"/>
  <c r="I1377" i="2"/>
  <c r="I1385" i="2"/>
  <c r="I1393" i="2"/>
  <c r="I1401" i="2"/>
  <c r="I1409" i="2"/>
  <c r="I1417" i="2"/>
  <c r="I1425" i="2"/>
  <c r="I1433" i="2"/>
  <c r="I1441" i="2"/>
  <c r="I1449" i="2"/>
  <c r="I1457" i="2"/>
  <c r="I1465" i="2"/>
  <c r="I1473" i="2"/>
  <c r="I1481" i="2"/>
  <c r="I1489" i="2"/>
  <c r="I1497" i="2"/>
  <c r="I1505" i="2"/>
  <c r="I1513" i="2"/>
  <c r="I1521" i="2"/>
  <c r="I1529" i="2"/>
  <c r="I1537" i="2"/>
  <c r="I1545" i="2"/>
  <c r="I1552" i="2"/>
  <c r="I1557" i="2"/>
  <c r="I1562" i="2"/>
  <c r="I1567" i="2"/>
  <c r="I1571" i="2"/>
  <c r="I1575" i="2"/>
  <c r="I1579" i="2"/>
  <c r="I1583" i="2"/>
  <c r="I1587" i="2"/>
  <c r="I1591" i="2"/>
  <c r="I1595" i="2"/>
  <c r="I1599" i="2"/>
  <c r="I1603" i="2"/>
  <c r="I1607" i="2"/>
  <c r="I1611" i="2"/>
  <c r="I1615" i="2"/>
  <c r="I1619" i="2"/>
  <c r="I1623" i="2"/>
  <c r="I1627" i="2"/>
  <c r="I1631" i="2"/>
  <c r="I1635" i="2"/>
  <c r="I1639" i="2"/>
  <c r="I1643" i="2"/>
  <c r="I1647" i="2"/>
  <c r="I1651" i="2"/>
  <c r="I1655" i="2"/>
  <c r="I1659" i="2"/>
  <c r="I1663" i="2"/>
  <c r="I1667" i="2"/>
  <c r="I1671" i="2"/>
  <c r="I1675" i="2"/>
  <c r="I1679" i="2"/>
  <c r="I1683" i="2"/>
  <c r="I1687" i="2"/>
  <c r="I1691" i="2"/>
  <c r="I1695" i="2"/>
  <c r="I1699" i="2"/>
  <c r="I1703" i="2"/>
  <c r="I1707" i="2"/>
  <c r="I1711" i="2"/>
  <c r="I1715" i="2"/>
  <c r="I1719" i="2"/>
  <c r="I1723" i="2"/>
  <c r="I1727" i="2"/>
  <c r="I1731" i="2"/>
  <c r="I1735" i="2"/>
  <c r="I1739" i="2"/>
  <c r="I1743" i="2"/>
  <c r="I1747" i="2"/>
  <c r="I1751" i="2"/>
  <c r="I1755" i="2"/>
  <c r="I1759" i="2"/>
  <c r="I1763" i="2"/>
  <c r="I1767" i="2"/>
  <c r="I1771" i="2"/>
  <c r="I1775" i="2"/>
  <c r="I1779" i="2"/>
  <c r="I1783" i="2"/>
  <c r="I1787" i="2"/>
  <c r="I1791" i="2"/>
  <c r="I1795" i="2"/>
  <c r="I1799" i="2"/>
  <c r="I1803" i="2"/>
  <c r="I1807" i="2"/>
  <c r="I1811" i="2"/>
  <c r="I1815" i="2"/>
  <c r="I1819" i="2"/>
  <c r="I1823" i="2"/>
  <c r="I1827" i="2"/>
  <c r="I1831" i="2"/>
  <c r="I1835" i="2"/>
  <c r="I1839" i="2"/>
  <c r="I1843" i="2"/>
  <c r="I1847" i="2"/>
  <c r="I1851" i="2"/>
  <c r="I1855" i="2"/>
  <c r="I1859" i="2"/>
  <c r="I1863" i="2"/>
  <c r="I1867" i="2"/>
  <c r="I1871" i="2"/>
  <c r="I1875" i="2"/>
  <c r="I1879" i="2"/>
  <c r="I1883" i="2"/>
  <c r="I1887" i="2"/>
  <c r="I1891" i="2"/>
  <c r="I1895" i="2"/>
  <c r="I1899" i="2"/>
  <c r="I1903" i="2"/>
  <c r="I1907" i="2"/>
  <c r="I1911" i="2"/>
  <c r="I1915" i="2"/>
  <c r="I1919" i="2"/>
  <c r="I1923" i="2"/>
  <c r="I1927" i="2"/>
  <c r="I1931" i="2"/>
  <c r="I1935" i="2"/>
  <c r="I1939" i="2"/>
  <c r="I1943" i="2"/>
  <c r="I1947" i="2"/>
  <c r="I1951" i="2"/>
  <c r="I1955" i="2"/>
  <c r="E1278" i="2"/>
  <c r="E1626" i="2"/>
  <c r="E1866" i="2"/>
  <c r="I233" i="2"/>
  <c r="I345" i="2"/>
  <c r="I409" i="2"/>
  <c r="I505" i="2"/>
  <c r="I568" i="2"/>
  <c r="I610" i="2"/>
  <c r="I648" i="2"/>
  <c r="I696" i="2"/>
  <c r="I728" i="2"/>
  <c r="I776" i="2"/>
  <c r="I856" i="2"/>
  <c r="I952" i="2"/>
  <c r="I1000" i="2"/>
  <c r="I1080" i="2"/>
  <c r="I1128" i="2"/>
  <c r="I1176" i="2"/>
  <c r="I1208" i="2"/>
  <c r="I1240" i="2"/>
  <c r="I1264" i="2"/>
  <c r="I1296" i="2"/>
  <c r="I1328" i="2"/>
  <c r="I1352" i="2"/>
  <c r="I1384" i="2"/>
  <c r="I1416" i="2"/>
  <c r="I1440" i="2"/>
  <c r="I1464" i="2"/>
  <c r="I1496" i="2"/>
  <c r="I1520" i="2"/>
  <c r="I1544" i="2"/>
  <c r="I1561" i="2"/>
  <c r="I1574" i="2"/>
  <c r="I1586" i="2"/>
  <c r="I1598" i="2"/>
  <c r="I1610" i="2"/>
  <c r="I1626" i="2"/>
  <c r="I1642" i="2"/>
  <c r="I1654" i="2"/>
  <c r="I1666" i="2"/>
  <c r="I1678" i="2"/>
  <c r="I1694" i="2"/>
  <c r="I1710" i="2"/>
  <c r="I1722" i="2"/>
  <c r="I1734" i="2"/>
  <c r="I1746" i="2"/>
  <c r="I1766" i="2"/>
  <c r="I1778" i="2"/>
  <c r="I1790" i="2"/>
  <c r="I1802" i="2"/>
  <c r="I1822" i="2"/>
  <c r="E1088" i="2"/>
  <c r="E1406" i="2"/>
  <c r="E1562" i="2"/>
  <c r="E1689" i="2"/>
  <c r="E1770" i="2"/>
  <c r="E1834" i="2"/>
  <c r="E1898" i="2"/>
  <c r="I9" i="2"/>
  <c r="I73" i="2"/>
  <c r="I137" i="2"/>
  <c r="I201" i="2"/>
  <c r="I265" i="2"/>
  <c r="I329" i="2"/>
  <c r="I361" i="2"/>
  <c r="I393" i="2"/>
  <c r="I425" i="2"/>
  <c r="I489" i="2"/>
  <c r="I553" i="2"/>
  <c r="I578" i="2"/>
  <c r="I600" i="2"/>
  <c r="I621" i="2"/>
  <c r="I640" i="2"/>
  <c r="I656" i="2"/>
  <c r="I672" i="2"/>
  <c r="I704" i="2"/>
  <c r="I736" i="2"/>
  <c r="I752" i="2"/>
  <c r="I768" i="2"/>
  <c r="I784" i="2"/>
  <c r="I800" i="2"/>
  <c r="I816" i="2"/>
  <c r="I832" i="2"/>
  <c r="I848" i="2"/>
  <c r="I864" i="2"/>
  <c r="I880" i="2"/>
  <c r="I896" i="2"/>
  <c r="I944" i="2"/>
  <c r="I960" i="2"/>
  <c r="I976" i="2"/>
  <c r="I992" i="2"/>
  <c r="I1008" i="2"/>
  <c r="I1024" i="2"/>
  <c r="I1040" i="2"/>
  <c r="I1056" i="2"/>
  <c r="I1072" i="2"/>
  <c r="I1088" i="2"/>
  <c r="I1104" i="2"/>
  <c r="I1120" i="2"/>
  <c r="I1136" i="2"/>
  <c r="I1152" i="2"/>
  <c r="I1168" i="2"/>
  <c r="I1180" i="2"/>
  <c r="I1188" i="2"/>
  <c r="I1196" i="2"/>
  <c r="I1204" i="2"/>
  <c r="I1212" i="2"/>
  <c r="I1220" i="2"/>
  <c r="I1228" i="2"/>
  <c r="I1236" i="2"/>
  <c r="I1244" i="2"/>
  <c r="I1260" i="2"/>
  <c r="I1268" i="2"/>
  <c r="I1276" i="2"/>
  <c r="I1284" i="2"/>
  <c r="I1292" i="2"/>
  <c r="I1300" i="2"/>
  <c r="I1308" i="2"/>
  <c r="I1316" i="2"/>
  <c r="I1324" i="2"/>
  <c r="I1332" i="2"/>
  <c r="I1340" i="2"/>
  <c r="I1348" i="2"/>
  <c r="I1356" i="2"/>
  <c r="I1364" i="2"/>
  <c r="I1372" i="2"/>
  <c r="I1380" i="2"/>
  <c r="I1388" i="2"/>
  <c r="I1396" i="2"/>
  <c r="I1404" i="2"/>
  <c r="I1412" i="2"/>
  <c r="I1420" i="2"/>
  <c r="I1428" i="2"/>
  <c r="I1436" i="2"/>
  <c r="I1444" i="2"/>
  <c r="I1452" i="2"/>
  <c r="I1460" i="2"/>
  <c r="I1468" i="2"/>
  <c r="I1476" i="2"/>
  <c r="I1484" i="2"/>
  <c r="I1492" i="2"/>
  <c r="I1500" i="2"/>
  <c r="I1508" i="2"/>
  <c r="I1516" i="2"/>
  <c r="I1524" i="2"/>
  <c r="I1532" i="2"/>
  <c r="I1540" i="2"/>
  <c r="I1548" i="2"/>
  <c r="I1553" i="2"/>
  <c r="I1558" i="2"/>
  <c r="I1564" i="2"/>
  <c r="I1568" i="2"/>
  <c r="I1572" i="2"/>
  <c r="I1576" i="2"/>
  <c r="I1580" i="2"/>
  <c r="I1584" i="2"/>
  <c r="I1588" i="2"/>
  <c r="I1592" i="2"/>
  <c r="I1596" i="2"/>
  <c r="I1600" i="2"/>
  <c r="I1604" i="2"/>
  <c r="I1608" i="2"/>
  <c r="I1612" i="2"/>
  <c r="I1616" i="2"/>
  <c r="I1620" i="2"/>
  <c r="I1624" i="2"/>
  <c r="I1628" i="2"/>
  <c r="I1632" i="2"/>
  <c r="I1636" i="2"/>
  <c r="I1640" i="2"/>
  <c r="I1644" i="2"/>
  <c r="I1648" i="2"/>
  <c r="I1652" i="2"/>
  <c r="I1656" i="2"/>
  <c r="I1660" i="2"/>
  <c r="I1664" i="2"/>
  <c r="I1668" i="2"/>
  <c r="I1672" i="2"/>
  <c r="I1676" i="2"/>
  <c r="I1680" i="2"/>
  <c r="I1684" i="2"/>
  <c r="I1688" i="2"/>
  <c r="I1692" i="2"/>
  <c r="I1696" i="2"/>
  <c r="I1700" i="2"/>
  <c r="I1704" i="2"/>
  <c r="I1708" i="2"/>
  <c r="I1712" i="2"/>
  <c r="I1716" i="2"/>
  <c r="I1720" i="2"/>
  <c r="I1724" i="2"/>
  <c r="I1728" i="2"/>
  <c r="I1732" i="2"/>
  <c r="I1736" i="2"/>
  <c r="I1740" i="2"/>
  <c r="I1744" i="2"/>
  <c r="I1748" i="2"/>
  <c r="I1752" i="2"/>
  <c r="I1756" i="2"/>
  <c r="I1760" i="2"/>
  <c r="I1764" i="2"/>
  <c r="I1768" i="2"/>
  <c r="I1772" i="2"/>
  <c r="I1776" i="2"/>
  <c r="I1780" i="2"/>
  <c r="I1784" i="2"/>
  <c r="I1788" i="2"/>
  <c r="I1792" i="2"/>
  <c r="I1796" i="2"/>
  <c r="I1800" i="2"/>
  <c r="I1804" i="2"/>
  <c r="I1808" i="2"/>
  <c r="I1812" i="2"/>
  <c r="I1816" i="2"/>
  <c r="I1820" i="2"/>
  <c r="I1824" i="2"/>
  <c r="I1828" i="2"/>
  <c r="I1832" i="2"/>
  <c r="I1836" i="2"/>
  <c r="I1840" i="2"/>
  <c r="I1844" i="2"/>
  <c r="I1848" i="2"/>
  <c r="I1852" i="2"/>
  <c r="I1856" i="2"/>
  <c r="I1860" i="2"/>
  <c r="I1864" i="2"/>
  <c r="I1868" i="2"/>
  <c r="I1872" i="2"/>
  <c r="I1876" i="2"/>
  <c r="I1880" i="2"/>
  <c r="I1884" i="2"/>
  <c r="I1888" i="2"/>
  <c r="I1892" i="2"/>
  <c r="I1896" i="2"/>
  <c r="I1900" i="2"/>
  <c r="I1904" i="2"/>
  <c r="I1908" i="2"/>
  <c r="I1912" i="2"/>
  <c r="I1916" i="2"/>
  <c r="I1920" i="2"/>
  <c r="I1924" i="2"/>
  <c r="I1928" i="2"/>
  <c r="I1932" i="2"/>
  <c r="I1936" i="2"/>
  <c r="I1940" i="2"/>
  <c r="I1944" i="2"/>
  <c r="I1948" i="2"/>
  <c r="I1952" i="2"/>
  <c r="I1956" i="2"/>
  <c r="I2" i="2"/>
  <c r="I1933" i="2"/>
  <c r="I1937" i="2"/>
  <c r="I1941" i="2"/>
  <c r="I1949" i="2"/>
  <c r="I1957" i="2"/>
  <c r="E302" i="2"/>
  <c r="E1498" i="2"/>
  <c r="E1802" i="2"/>
  <c r="E1930" i="2"/>
  <c r="I105" i="2"/>
  <c r="I169" i="2"/>
  <c r="I297" i="2"/>
  <c r="I377" i="2"/>
  <c r="I441" i="2"/>
  <c r="I473" i="2"/>
  <c r="I537" i="2"/>
  <c r="I589" i="2"/>
  <c r="I632" i="2"/>
  <c r="I664" i="2"/>
  <c r="I712" i="2"/>
  <c r="I744" i="2"/>
  <c r="I792" i="2"/>
  <c r="I824" i="2"/>
  <c r="I872" i="2"/>
  <c r="I920" i="2"/>
  <c r="I984" i="2"/>
  <c r="I1016" i="2"/>
  <c r="I1048" i="2"/>
  <c r="I1096" i="2"/>
  <c r="I1160" i="2"/>
  <c r="I1192" i="2"/>
  <c r="I1216" i="2"/>
  <c r="I1232" i="2"/>
  <c r="I1256" i="2"/>
  <c r="I1280" i="2"/>
  <c r="I1304" i="2"/>
  <c r="I1320" i="2"/>
  <c r="I1344" i="2"/>
  <c r="I1368" i="2"/>
  <c r="I1392" i="2"/>
  <c r="I1408" i="2"/>
  <c r="I1424" i="2"/>
  <c r="I1448" i="2"/>
  <c r="I1480" i="2"/>
  <c r="I1504" i="2"/>
  <c r="I1528" i="2"/>
  <c r="I1550" i="2"/>
  <c r="I1566" i="2"/>
  <c r="I1578" i="2"/>
  <c r="I1590" i="2"/>
  <c r="I1602" i="2"/>
  <c r="I1614" i="2"/>
  <c r="I1634" i="2"/>
  <c r="I1650" i="2"/>
  <c r="I1662" i="2"/>
  <c r="I1674" i="2"/>
  <c r="I1686" i="2"/>
  <c r="I1698" i="2"/>
  <c r="I1702" i="2"/>
  <c r="I1714" i="2"/>
  <c r="I1726" i="2"/>
  <c r="I1738" i="2"/>
  <c r="I1750" i="2"/>
  <c r="I1758" i="2"/>
  <c r="I1770" i="2"/>
  <c r="I1786" i="2"/>
  <c r="I1798" i="2"/>
  <c r="I1806" i="2"/>
  <c r="I1814" i="2"/>
  <c r="I1826" i="2"/>
  <c r="E1214" i="2"/>
  <c r="E1466" i="2"/>
  <c r="E1594" i="2"/>
  <c r="E1710" i="2"/>
  <c r="E1786" i="2"/>
  <c r="E1850" i="2"/>
  <c r="E1914" i="2"/>
  <c r="I25" i="2"/>
  <c r="I89" i="2"/>
  <c r="I153" i="2"/>
  <c r="I217" i="2"/>
  <c r="I337" i="2"/>
  <c r="I369" i="2"/>
  <c r="I401" i="2"/>
  <c r="I465" i="2"/>
  <c r="I497" i="2"/>
  <c r="I529" i="2"/>
  <c r="I561" i="2"/>
  <c r="I605" i="2"/>
  <c r="I626" i="2"/>
  <c r="I644" i="2"/>
  <c r="I676" i="2"/>
  <c r="I692" i="2"/>
  <c r="I708" i="2"/>
  <c r="I724" i="2"/>
  <c r="I740" i="2"/>
  <c r="I756" i="2"/>
  <c r="I772" i="2"/>
  <c r="I804" i="2"/>
  <c r="I820" i="2"/>
  <c r="I836" i="2"/>
  <c r="I852" i="2"/>
  <c r="I868" i="2"/>
  <c r="I884" i="2"/>
  <c r="I900" i="2"/>
  <c r="I916" i="2"/>
  <c r="I932" i="2"/>
  <c r="I948" i="2"/>
  <c r="I964" i="2"/>
  <c r="I980" i="2"/>
  <c r="I996" i="2"/>
  <c r="I1012" i="2"/>
  <c r="I1028" i="2"/>
  <c r="I1044" i="2"/>
  <c r="I1060" i="2"/>
  <c r="I1076" i="2"/>
  <c r="I1092" i="2"/>
  <c r="I1108" i="2"/>
  <c r="I1124" i="2"/>
  <c r="I1140" i="2"/>
  <c r="I1156" i="2"/>
  <c r="I1172" i="2"/>
  <c r="I1181" i="2"/>
  <c r="I1189" i="2"/>
  <c r="I1197" i="2"/>
  <c r="I1205" i="2"/>
  <c r="I1213" i="2"/>
  <c r="I1221" i="2"/>
  <c r="I1229" i="2"/>
  <c r="I1237" i="2"/>
  <c r="I1245" i="2"/>
  <c r="I1253" i="2"/>
  <c r="I1261" i="2"/>
  <c r="I1269" i="2"/>
  <c r="I1277" i="2"/>
  <c r="I1285" i="2"/>
  <c r="I1293" i="2"/>
  <c r="I1301" i="2"/>
  <c r="I1309" i="2"/>
  <c r="I1317" i="2"/>
  <c r="I1325" i="2"/>
  <c r="I1333" i="2"/>
  <c r="I1341" i="2"/>
  <c r="I1349" i="2"/>
  <c r="I1357" i="2"/>
  <c r="I1365" i="2"/>
  <c r="I1373" i="2"/>
  <c r="I1381" i="2"/>
  <c r="I1389" i="2"/>
  <c r="I1397" i="2"/>
  <c r="I1405" i="2"/>
  <c r="I1413" i="2"/>
  <c r="I1421" i="2"/>
  <c r="I1429" i="2"/>
  <c r="I1445" i="2"/>
  <c r="I1453" i="2"/>
  <c r="I1461" i="2"/>
  <c r="I1469" i="2"/>
  <c r="I1477" i="2"/>
  <c r="I1485" i="2"/>
  <c r="I1493" i="2"/>
  <c r="I1501" i="2"/>
  <c r="I1509" i="2"/>
  <c r="I1517" i="2"/>
  <c r="I1525" i="2"/>
  <c r="I1533" i="2"/>
  <c r="I1541" i="2"/>
  <c r="I1549" i="2"/>
  <c r="I1554" i="2"/>
  <c r="I1560" i="2"/>
  <c r="I1565" i="2"/>
  <c r="I1569" i="2"/>
  <c r="I1573" i="2"/>
  <c r="I1577" i="2"/>
  <c r="I1581" i="2"/>
  <c r="I1585" i="2"/>
  <c r="I1589" i="2"/>
  <c r="I1593" i="2"/>
  <c r="I1597" i="2"/>
  <c r="I1601" i="2"/>
  <c r="I1605" i="2"/>
  <c r="I1609" i="2"/>
  <c r="I1613" i="2"/>
  <c r="I1617" i="2"/>
  <c r="I1621" i="2"/>
  <c r="I1625" i="2"/>
  <c r="I1629" i="2"/>
  <c r="I1633" i="2"/>
  <c r="I1637" i="2"/>
  <c r="I1641" i="2"/>
  <c r="I1645" i="2"/>
  <c r="I1649" i="2"/>
  <c r="I1653" i="2"/>
  <c r="I1657" i="2"/>
  <c r="I1661" i="2"/>
  <c r="I1665" i="2"/>
  <c r="I1669" i="2"/>
  <c r="I1673" i="2"/>
  <c r="I1677" i="2"/>
  <c r="I1681" i="2"/>
  <c r="I1685" i="2"/>
  <c r="I1689" i="2"/>
  <c r="I1693" i="2"/>
  <c r="I1697" i="2"/>
  <c r="I1701" i="2"/>
  <c r="I1705" i="2"/>
  <c r="I1709" i="2"/>
  <c r="I1713" i="2"/>
  <c r="I1717" i="2"/>
  <c r="I1721" i="2"/>
  <c r="I1725" i="2"/>
  <c r="I1729" i="2"/>
  <c r="I1733" i="2"/>
  <c r="I1737" i="2"/>
  <c r="I1741" i="2"/>
  <c r="I1745" i="2"/>
  <c r="I1749" i="2"/>
  <c r="I1753" i="2"/>
  <c r="I1757" i="2"/>
  <c r="I1761" i="2"/>
  <c r="I1765" i="2"/>
  <c r="I1769" i="2"/>
  <c r="I1773" i="2"/>
  <c r="I1777" i="2"/>
  <c r="I1781" i="2"/>
  <c r="I1785" i="2"/>
  <c r="I1789" i="2"/>
  <c r="I1793" i="2"/>
  <c r="I1797" i="2"/>
  <c r="I1801" i="2"/>
  <c r="I1805" i="2"/>
  <c r="I1809" i="2"/>
  <c r="I1813" i="2"/>
  <c r="I1817" i="2"/>
  <c r="I1821" i="2"/>
  <c r="I1825" i="2"/>
  <c r="I1829" i="2"/>
  <c r="I1833" i="2"/>
  <c r="I1837" i="2"/>
  <c r="I1841" i="2"/>
  <c r="I1845" i="2"/>
  <c r="I1849" i="2"/>
  <c r="I1853" i="2"/>
  <c r="I1857" i="2"/>
  <c r="I1861" i="2"/>
  <c r="I1865" i="2"/>
  <c r="I1869" i="2"/>
  <c r="I1873" i="2"/>
  <c r="I1877" i="2"/>
  <c r="I1881" i="2"/>
  <c r="I1885" i="2"/>
  <c r="I1889" i="2"/>
  <c r="I1893" i="2"/>
  <c r="I1897" i="2"/>
  <c r="I1901" i="2"/>
  <c r="I1905" i="2"/>
  <c r="I1909" i="2"/>
  <c r="I1913" i="2"/>
  <c r="I1917" i="2"/>
  <c r="I1921" i="2"/>
  <c r="I1925" i="2"/>
  <c r="I1929" i="2"/>
  <c r="I1945" i="2"/>
  <c r="I1953" i="2"/>
  <c r="E2" i="2"/>
  <c r="E1731" i="2"/>
  <c r="I680" i="2"/>
  <c r="I760" i="2"/>
  <c r="I808" i="2"/>
  <c r="I840" i="2"/>
  <c r="I888" i="2"/>
  <c r="I936" i="2"/>
  <c r="I968" i="2"/>
  <c r="I1032" i="2"/>
  <c r="I1064" i="2"/>
  <c r="I1112" i="2"/>
  <c r="I1144" i="2"/>
  <c r="I1184" i="2"/>
  <c r="I1200" i="2"/>
  <c r="I1224" i="2"/>
  <c r="I1248" i="2"/>
  <c r="I1272" i="2"/>
  <c r="I1288" i="2"/>
  <c r="I1312" i="2"/>
  <c r="I1336" i="2"/>
  <c r="I1360" i="2"/>
  <c r="I1376" i="2"/>
  <c r="I1400" i="2"/>
  <c r="I1432" i="2"/>
  <c r="I1456" i="2"/>
  <c r="I1472" i="2"/>
  <c r="I1488" i="2"/>
  <c r="I1512" i="2"/>
  <c r="I1536" i="2"/>
  <c r="I1556" i="2"/>
  <c r="I1570" i="2"/>
  <c r="I1582" i="2"/>
  <c r="I1594" i="2"/>
  <c r="I1606" i="2"/>
  <c r="I1618" i="2"/>
  <c r="I1630" i="2"/>
  <c r="I1638" i="2"/>
  <c r="I1646" i="2"/>
  <c r="I1658" i="2"/>
  <c r="I1670" i="2"/>
  <c r="I1682" i="2"/>
  <c r="I1690" i="2"/>
  <c r="I1706" i="2"/>
  <c r="I1718" i="2"/>
  <c r="I1730" i="2"/>
  <c r="I1742" i="2"/>
  <c r="I1754" i="2"/>
  <c r="I1762" i="2"/>
  <c r="I1774" i="2"/>
  <c r="I1782" i="2"/>
  <c r="I1794" i="2"/>
  <c r="I1810" i="2"/>
  <c r="I1818" i="2"/>
  <c r="I1830" i="2"/>
  <c r="I1838" i="2"/>
  <c r="I1854" i="2"/>
  <c r="I1870" i="2"/>
  <c r="I1886" i="2"/>
  <c r="I1902" i="2"/>
  <c r="I1918" i="2"/>
  <c r="I1934" i="2"/>
  <c r="I1950" i="2"/>
  <c r="I1862" i="2"/>
  <c r="I1910" i="2"/>
  <c r="I1942" i="2"/>
  <c r="I1842" i="2"/>
  <c r="I1858" i="2"/>
  <c r="I1874" i="2"/>
  <c r="I1890" i="2"/>
  <c r="I1906" i="2"/>
  <c r="I1922" i="2"/>
  <c r="I1938" i="2"/>
  <c r="I1954" i="2"/>
  <c r="I1878" i="2"/>
  <c r="I1894" i="2"/>
  <c r="I1926" i="2"/>
  <c r="I1958" i="2"/>
  <c r="I1834" i="2"/>
  <c r="I1882" i="2"/>
  <c r="I1914" i="2"/>
  <c r="I1930" i="2"/>
  <c r="I1846" i="2"/>
  <c r="I1850" i="2"/>
  <c r="I1866" i="2"/>
  <c r="I1898" i="2"/>
  <c r="I1946" i="2"/>
  <c r="A282" i="1" l="1"/>
  <c r="A286" i="1"/>
  <c r="A290" i="1"/>
  <c r="A294" i="1"/>
  <c r="A298" i="1"/>
  <c r="A284" i="1"/>
  <c r="A289" i="1"/>
  <c r="A295" i="1"/>
  <c r="A299" i="1"/>
  <c r="A297" i="1"/>
  <c r="A296" i="1"/>
  <c r="A293" i="1"/>
  <c r="A292" i="1"/>
  <c r="A291" i="1"/>
  <c r="A288" i="1"/>
  <c r="A287" i="1"/>
  <c r="A285" i="1"/>
  <c r="A283" i="1"/>
  <c r="E2058" i="2" s="1"/>
  <c r="A281" i="1"/>
  <c r="I788" i="2" l="1"/>
  <c r="E1970" i="2"/>
  <c r="I2200" i="2"/>
  <c r="I928" i="2"/>
  <c r="I2069" i="2"/>
  <c r="I2187" i="2"/>
  <c r="I919" i="2"/>
  <c r="I2008" i="2"/>
  <c r="I470" i="2"/>
  <c r="I2138" i="2"/>
  <c r="I2072" i="2"/>
  <c r="I2123" i="2"/>
  <c r="E2182" i="2"/>
  <c r="I2102" i="2"/>
  <c r="I2059" i="2"/>
  <c r="E2194" i="2"/>
  <c r="I2157" i="2"/>
  <c r="E1982" i="2"/>
  <c r="I2116" i="2"/>
  <c r="I2167" i="2"/>
  <c r="E1974" i="2"/>
  <c r="I2210" i="2"/>
  <c r="I2153" i="2"/>
  <c r="E1994" i="2"/>
  <c r="I975" i="2"/>
  <c r="I857" i="2"/>
  <c r="I2090" i="2"/>
  <c r="I433" i="2"/>
  <c r="I2052" i="2"/>
  <c r="I2039" i="2"/>
  <c r="E2050" i="2"/>
  <c r="I2174" i="2"/>
  <c r="I2192" i="2"/>
  <c r="I2211" i="2"/>
  <c r="I994" i="2"/>
  <c r="I2169" i="2"/>
  <c r="I457" i="2"/>
  <c r="I1975" i="2"/>
  <c r="I725" i="2"/>
  <c r="I2142" i="2"/>
  <c r="I2128" i="2"/>
  <c r="I2147" i="2"/>
  <c r="E47" i="2"/>
  <c r="E2135" i="2"/>
  <c r="E2197" i="2"/>
  <c r="I2125" i="2"/>
  <c r="E860" i="2"/>
  <c r="E1252" i="2"/>
  <c r="E41" i="2"/>
  <c r="I263" i="2"/>
  <c r="E2045" i="2"/>
  <c r="E725" i="2"/>
  <c r="E1976" i="2"/>
  <c r="E438" i="2"/>
  <c r="E700" i="2"/>
  <c r="E2193" i="2"/>
  <c r="E2104" i="2"/>
  <c r="I1996" i="2"/>
  <c r="E115" i="2"/>
  <c r="E2051" i="2"/>
  <c r="E2071" i="2"/>
  <c r="E713" i="2"/>
  <c r="E2117" i="2"/>
  <c r="I2032" i="2"/>
  <c r="E110" i="2"/>
  <c r="E994" i="2"/>
  <c r="E2067" i="2"/>
  <c r="E1968" i="2"/>
  <c r="I47" i="2"/>
  <c r="E521" i="2"/>
  <c r="E2087" i="2"/>
  <c r="E2084" i="2"/>
  <c r="E2017" i="2"/>
  <c r="I448" i="2"/>
  <c r="E857" i="2"/>
  <c r="E1979" i="2"/>
  <c r="I250" i="2"/>
  <c r="E2184" i="2"/>
  <c r="E2133" i="2"/>
  <c r="E1999" i="2"/>
  <c r="E2206" i="2"/>
  <c r="I2189" i="2"/>
  <c r="I2160" i="2"/>
  <c r="I2106" i="2"/>
  <c r="E263" i="2"/>
  <c r="E706" i="2"/>
  <c r="E2019" i="2"/>
  <c r="I290" i="2"/>
  <c r="E2176" i="2"/>
  <c r="E281" i="2"/>
  <c r="E2039" i="2"/>
  <c r="E2036" i="2"/>
  <c r="E1969" i="2"/>
  <c r="I96" i="2"/>
  <c r="E493" i="2"/>
  <c r="E1437" i="2"/>
  <c r="E2187" i="2"/>
  <c r="E2136" i="2"/>
  <c r="E2069" i="2"/>
  <c r="E925" i="2"/>
  <c r="I88" i="2"/>
  <c r="I2124" i="2"/>
  <c r="I2115" i="2"/>
  <c r="I2089" i="2"/>
  <c r="E903" i="2"/>
  <c r="E2099" i="2"/>
  <c r="E2000" i="2"/>
  <c r="E494" i="2"/>
  <c r="E514" i="2"/>
  <c r="E2119" i="2"/>
  <c r="E2116" i="2"/>
  <c r="E2049" i="2"/>
  <c r="E23" i="2"/>
  <c r="E842" i="2"/>
  <c r="E2011" i="2"/>
  <c r="E1960" i="2"/>
  <c r="I23" i="2"/>
  <c r="E2181" i="2"/>
  <c r="E2127" i="2"/>
  <c r="I718" i="2"/>
  <c r="I2062" i="2"/>
  <c r="I2149" i="2"/>
  <c r="E2205" i="2"/>
  <c r="E2101" i="2"/>
  <c r="E159" i="2"/>
  <c r="E250" i="2"/>
  <c r="E2143" i="2"/>
  <c r="E919" i="2"/>
  <c r="E2065" i="2"/>
  <c r="E2191" i="2"/>
  <c r="E109" i="2"/>
  <c r="E2179" i="2"/>
  <c r="E2199" i="2"/>
  <c r="E719" i="2"/>
  <c r="E108" i="2"/>
  <c r="I931" i="2"/>
  <c r="E2132" i="2"/>
  <c r="I697" i="2"/>
  <c r="E1987" i="2"/>
  <c r="E2007" i="2"/>
  <c r="E688" i="2"/>
  <c r="E2021" i="2"/>
  <c r="I847" i="2"/>
  <c r="E311" i="2"/>
  <c r="E928" i="2"/>
  <c r="E2068" i="2"/>
  <c r="E1963" i="2"/>
  <c r="E318" i="2"/>
  <c r="I2006" i="2"/>
  <c r="E565" i="2"/>
  <c r="E90" i="2"/>
  <c r="E2131" i="2"/>
  <c r="E2032" i="2"/>
  <c r="E116" i="2"/>
  <c r="E773" i="2"/>
  <c r="E2151" i="2"/>
  <c r="E2148" i="2"/>
  <c r="E2081" i="2"/>
  <c r="E87" i="2"/>
  <c r="E906" i="2"/>
  <c r="E2043" i="2"/>
  <c r="E1992" i="2"/>
  <c r="I87" i="2"/>
  <c r="I116" i="2"/>
  <c r="I318" i="2"/>
  <c r="E2202" i="2"/>
  <c r="I2170" i="2"/>
  <c r="E1997" i="2"/>
  <c r="I842" i="2"/>
  <c r="E312" i="2"/>
  <c r="E711" i="2"/>
  <c r="E2083" i="2"/>
  <c r="E1984" i="2"/>
  <c r="I159" i="2"/>
  <c r="E569" i="2"/>
  <c r="E2103" i="2"/>
  <c r="E2100" i="2"/>
  <c r="E2033" i="2"/>
  <c r="I496" i="2"/>
  <c r="E470" i="2"/>
  <c r="E1995" i="2"/>
  <c r="E1622" i="2"/>
  <c r="E2200" i="2"/>
  <c r="E2149" i="2"/>
  <c r="E2063" i="2"/>
  <c r="E2082" i="2"/>
  <c r="I2001" i="2"/>
  <c r="I2081" i="2"/>
  <c r="I2134" i="2"/>
  <c r="E904" i="2"/>
  <c r="E2163" i="2"/>
  <c r="E2064" i="2"/>
  <c r="E315" i="2"/>
  <c r="E518" i="2"/>
  <c r="E2183" i="2"/>
  <c r="E2180" i="2"/>
  <c r="E2113" i="2"/>
  <c r="E88" i="2"/>
  <c r="E362" i="2"/>
  <c r="E2075" i="2"/>
  <c r="E2024" i="2"/>
  <c r="I231" i="2"/>
  <c r="E60" i="2"/>
  <c r="E2076" i="2"/>
  <c r="I2047" i="2"/>
  <c r="I1962" i="2"/>
  <c r="E2178" i="2"/>
  <c r="I2203" i="2"/>
  <c r="E2165" i="2"/>
  <c r="E660" i="2"/>
  <c r="E912" i="2"/>
  <c r="E2115" i="2"/>
  <c r="E39" i="2"/>
  <c r="E2070" i="2"/>
  <c r="E584" i="2"/>
  <c r="E2080" i="2"/>
  <c r="E2196" i="2"/>
  <c r="E2091" i="2"/>
  <c r="E2140" i="2"/>
  <c r="I2088" i="2"/>
  <c r="E858" i="2"/>
  <c r="E163" i="2"/>
  <c r="I226" i="2"/>
  <c r="E2004" i="2"/>
  <c r="E654" i="2"/>
  <c r="E516" i="2"/>
  <c r="I2020" i="2"/>
  <c r="E242" i="2"/>
  <c r="E2208" i="2"/>
  <c r="E2001" i="2"/>
  <c r="I90" i="2"/>
  <c r="I484" i="2"/>
  <c r="E96" i="2"/>
  <c r="E641" i="2"/>
  <c r="E924" i="2"/>
  <c r="E2195" i="2"/>
  <c r="E2096" i="2"/>
  <c r="E651" i="2"/>
  <c r="E1959" i="2"/>
  <c r="I38" i="2"/>
  <c r="I115" i="2"/>
  <c r="E2145" i="2"/>
  <c r="E304" i="2"/>
  <c r="E847" i="2"/>
  <c r="E2107" i="2"/>
  <c r="E2056" i="2"/>
  <c r="I311" i="2"/>
  <c r="E451" i="2"/>
  <c r="E2204" i="2"/>
  <c r="I2175" i="2"/>
  <c r="E2158" i="2"/>
  <c r="I2007" i="2"/>
  <c r="E2042" i="2"/>
  <c r="E178" i="2"/>
  <c r="E788" i="2"/>
  <c r="E2147" i="2"/>
  <c r="E2048" i="2"/>
  <c r="E299" i="2"/>
  <c r="E917" i="2"/>
  <c r="E2167" i="2"/>
  <c r="E2164" i="2"/>
  <c r="E2097" i="2"/>
  <c r="E103" i="2"/>
  <c r="E1066" i="2"/>
  <c r="E2059" i="2"/>
  <c r="E2008" i="2"/>
  <c r="I103" i="2"/>
  <c r="E28" i="2"/>
  <c r="E2012" i="2"/>
  <c r="I1983" i="2"/>
  <c r="I2078" i="2"/>
  <c r="E2110" i="2"/>
  <c r="E2138" i="2"/>
  <c r="E1971" i="2"/>
  <c r="I178" i="2"/>
  <c r="E2128" i="2"/>
  <c r="E652" i="2"/>
  <c r="E1991" i="2"/>
  <c r="E1988" i="2"/>
  <c r="I291" i="2"/>
  <c r="E2177" i="2"/>
  <c r="E496" i="2"/>
  <c r="E975" i="2"/>
  <c r="E2139" i="2"/>
  <c r="E2088" i="2"/>
  <c r="E2005" i="2"/>
  <c r="E484" i="2"/>
  <c r="E2025" i="2"/>
  <c r="I688" i="2"/>
  <c r="I722" i="2"/>
  <c r="E2122" i="2"/>
  <c r="E1973" i="2"/>
  <c r="I244" i="2"/>
  <c r="E2016" i="2"/>
  <c r="I39" i="2"/>
  <c r="I2034" i="2"/>
  <c r="E769" i="2"/>
  <c r="E507" i="2"/>
  <c r="E2129" i="2"/>
  <c r="E2040" i="2"/>
  <c r="I2111" i="2"/>
  <c r="E306" i="2"/>
  <c r="E2027" i="2"/>
  <c r="E293" i="2"/>
  <c r="E2144" i="2"/>
  <c r="I451" i="2"/>
  <c r="E2155" i="2"/>
  <c r="E2089" i="2"/>
  <c r="E78" i="2"/>
  <c r="E866" i="2"/>
  <c r="E457" i="2"/>
  <c r="I304" i="2"/>
  <c r="E2168" i="2"/>
  <c r="I2033" i="2"/>
  <c r="E231" i="2"/>
  <c r="E502" i="2"/>
  <c r="E2003" i="2"/>
  <c r="I242" i="2"/>
  <c r="E2160" i="2"/>
  <c r="E38" i="2"/>
  <c r="E2023" i="2"/>
  <c r="E2020" i="2"/>
  <c r="I515" i="2"/>
  <c r="E2209" i="2"/>
  <c r="E381" i="2"/>
  <c r="E1121" i="2"/>
  <c r="E2171" i="2"/>
  <c r="E2120" i="2"/>
  <c r="E2053" i="2"/>
  <c r="E449" i="2"/>
  <c r="E2153" i="2"/>
  <c r="I2060" i="2"/>
  <c r="I1987" i="2"/>
  <c r="I2148" i="2"/>
  <c r="E112" i="2"/>
  <c r="E673" i="2"/>
  <c r="E720" i="2"/>
  <c r="E2211" i="2"/>
  <c r="E2112" i="2"/>
  <c r="E636" i="2"/>
  <c r="E1975" i="2"/>
  <c r="E1972" i="2"/>
  <c r="I163" i="2"/>
  <c r="E2161" i="2"/>
  <c r="E448" i="2"/>
  <c r="E879" i="2"/>
  <c r="E2123" i="2"/>
  <c r="E2072" i="2"/>
  <c r="E1989" i="2"/>
  <c r="E515" i="2"/>
  <c r="E1961" i="2"/>
  <c r="I2129" i="2"/>
  <c r="I1121" i="2"/>
  <c r="I2135" i="2"/>
  <c r="E722" i="2"/>
  <c r="E2035" i="2"/>
  <c r="I306" i="2"/>
  <c r="E2192" i="2"/>
  <c r="E313" i="2"/>
  <c r="E2055" i="2"/>
  <c r="E2052" i="2"/>
  <c r="E1985" i="2"/>
  <c r="I112" i="2"/>
  <c r="E509" i="2"/>
  <c r="E366" i="2"/>
  <c r="E2203" i="2"/>
  <c r="E2152" i="2"/>
  <c r="E2085" i="2"/>
  <c r="E926" i="2"/>
  <c r="E2029" i="2"/>
  <c r="I2188" i="2"/>
  <c r="I2141" i="2"/>
  <c r="I2013" i="2"/>
  <c r="E2037" i="2"/>
  <c r="E101" i="2"/>
  <c r="E226" i="2"/>
  <c r="E2207" i="2"/>
  <c r="E2156" i="2"/>
  <c r="E2105" i="2"/>
  <c r="E2014" i="2"/>
  <c r="E2134" i="2"/>
  <c r="I2127" i="2"/>
  <c r="I2012" i="2"/>
  <c r="I2053" i="2"/>
  <c r="I2162" i="2"/>
  <c r="E2109" i="2"/>
  <c r="E2010" i="2"/>
  <c r="I2080" i="2"/>
  <c r="I2038" i="2"/>
  <c r="I860" i="2"/>
  <c r="I2068" i="2"/>
  <c r="I2066" i="2"/>
  <c r="E2002" i="2"/>
  <c r="I2152" i="2"/>
  <c r="E241" i="2"/>
  <c r="E1967" i="2"/>
  <c r="I78" i="2"/>
  <c r="E2172" i="2"/>
  <c r="E2121" i="2"/>
  <c r="E2078" i="2"/>
  <c r="E2198" i="2"/>
  <c r="I2143" i="2"/>
  <c r="I2028" i="2"/>
  <c r="I2105" i="2"/>
  <c r="I2022" i="2"/>
  <c r="E2173" i="2"/>
  <c r="I313" i="2"/>
  <c r="I2096" i="2"/>
  <c r="I2186" i="2"/>
  <c r="I924" i="2"/>
  <c r="I2084" i="2"/>
  <c r="I2130" i="2"/>
  <c r="E2066" i="2"/>
  <c r="I1989" i="2"/>
  <c r="E979" i="2"/>
  <c r="E2175" i="2"/>
  <c r="E2124" i="2"/>
  <c r="E2073" i="2"/>
  <c r="I108" i="2"/>
  <c r="E2006" i="2"/>
  <c r="I2095" i="2"/>
  <c r="I1980" i="2"/>
  <c r="I1997" i="2"/>
  <c r="I1970" i="2"/>
  <c r="I2042" i="2"/>
  <c r="I719" i="2"/>
  <c r="I2016" i="2"/>
  <c r="I1961" i="2"/>
  <c r="I494" i="2"/>
  <c r="I2004" i="2"/>
  <c r="I2158" i="2"/>
  <c r="I569" i="2"/>
  <c r="I2024" i="2"/>
  <c r="E2054" i="2"/>
  <c r="I2027" i="2"/>
  <c r="I904" i="2"/>
  <c r="I2168" i="2"/>
  <c r="I2110" i="2"/>
  <c r="I879" i="2"/>
  <c r="I2131" i="2"/>
  <c r="I2048" i="2"/>
  <c r="I2117" i="2"/>
  <c r="I2046" i="2"/>
  <c r="E2174" i="2"/>
  <c r="I979" i="2"/>
  <c r="I2151" i="2"/>
  <c r="I2036" i="2"/>
  <c r="I2121" i="2"/>
  <c r="I2182" i="2"/>
  <c r="I2026" i="2"/>
  <c r="I713" i="2"/>
  <c r="E2118" i="2"/>
  <c r="I2043" i="2"/>
  <c r="E2090" i="2"/>
  <c r="I2184" i="2"/>
  <c r="I2073" i="2"/>
  <c r="I2190" i="2"/>
  <c r="I2150" i="2"/>
  <c r="I641" i="2"/>
  <c r="I518" i="2"/>
  <c r="I2083" i="2"/>
  <c r="I2000" i="2"/>
  <c r="I2041" i="2"/>
  <c r="I2054" i="2"/>
  <c r="E1966" i="2"/>
  <c r="I366" i="2"/>
  <c r="I2103" i="2"/>
  <c r="I1988" i="2"/>
  <c r="I2045" i="2"/>
  <c r="I2094" i="2"/>
  <c r="I2018" i="2"/>
  <c r="I109" i="2"/>
  <c r="I1066" i="2"/>
  <c r="E698" i="2"/>
  <c r="E1964" i="2"/>
  <c r="I299" i="2"/>
  <c r="E2169" i="2"/>
  <c r="I514" i="2"/>
  <c r="I636" i="2"/>
  <c r="I2191" i="2"/>
  <c r="I2076" i="2"/>
  <c r="I1622" i="2"/>
  <c r="I2070" i="2"/>
  <c r="I362" i="2"/>
  <c r="I2035" i="2"/>
  <c r="I2208" i="2"/>
  <c r="E2189" i="2"/>
  <c r="I2055" i="2"/>
  <c r="I2196" i="2"/>
  <c r="I1993" i="2"/>
  <c r="E1990" i="2"/>
  <c r="I1982" i="2"/>
  <c r="E290" i="2"/>
  <c r="E2031" i="2"/>
  <c r="E1980" i="2"/>
  <c r="I315" i="2"/>
  <c r="E2185" i="2"/>
  <c r="I925" i="2"/>
  <c r="I700" i="2"/>
  <c r="I2207" i="2"/>
  <c r="I2092" i="2"/>
  <c r="E2106" i="2"/>
  <c r="I2010" i="2"/>
  <c r="I673" i="2"/>
  <c r="I2051" i="2"/>
  <c r="I1973" i="2"/>
  <c r="I28" i="2"/>
  <c r="I2071" i="2"/>
  <c r="I1981" i="2"/>
  <c r="I2021" i="2"/>
  <c r="I101" i="2"/>
  <c r="E433" i="2"/>
  <c r="E1983" i="2"/>
  <c r="I110" i="2"/>
  <c r="E2188" i="2"/>
  <c r="E2137" i="2"/>
  <c r="E2142" i="2"/>
  <c r="I651" i="2"/>
  <c r="I2159" i="2"/>
  <c r="I2044" i="2"/>
  <c r="I2145" i="2"/>
  <c r="I2166" i="2"/>
  <c r="E2094" i="2"/>
  <c r="I1971" i="2"/>
  <c r="I2144" i="2"/>
  <c r="I1978" i="2"/>
  <c r="I1991" i="2"/>
  <c r="I2132" i="2"/>
  <c r="I1994" i="2"/>
  <c r="I241" i="2"/>
  <c r="I2097" i="2"/>
  <c r="I293" i="2"/>
  <c r="I2091" i="2"/>
  <c r="I1976" i="2"/>
  <c r="I2025" i="2"/>
  <c r="E2162" i="2"/>
  <c r="I449" i="2"/>
  <c r="I2195" i="2"/>
  <c r="I2112" i="2"/>
  <c r="I1977" i="2"/>
  <c r="I2082" i="2"/>
  <c r="E1986" i="2"/>
  <c r="I1959" i="2"/>
  <c r="I2065" i="2"/>
  <c r="I2100" i="2"/>
  <c r="I281" i="2"/>
  <c r="I2194" i="2"/>
  <c r="E2013" i="2"/>
  <c r="E2130" i="2"/>
  <c r="I438" i="2"/>
  <c r="I2107" i="2"/>
  <c r="I1992" i="2"/>
  <c r="I2049" i="2"/>
  <c r="E2186" i="2"/>
  <c r="I2098" i="2"/>
  <c r="E2015" i="2"/>
  <c r="E2028" i="2"/>
  <c r="E1977" i="2"/>
  <c r="I312" i="2"/>
  <c r="E2146" i="2"/>
  <c r="I1999" i="2"/>
  <c r="I2185" i="2"/>
  <c r="I2140" i="2"/>
  <c r="I2029" i="2"/>
  <c r="I2206" i="2"/>
  <c r="E2034" i="2"/>
  <c r="I2163" i="2"/>
  <c r="I2197" i="2"/>
  <c r="I773" i="2"/>
  <c r="I2183" i="2"/>
  <c r="I2209" i="2"/>
  <c r="I1990" i="2"/>
  <c r="I2011" i="2"/>
  <c r="E291" i="2"/>
  <c r="E718" i="2"/>
  <c r="E2095" i="2"/>
  <c r="E2044" i="2"/>
  <c r="E1993" i="2"/>
  <c r="E1998" i="2"/>
  <c r="E2210" i="2"/>
  <c r="I2015" i="2"/>
  <c r="E2154" i="2"/>
  <c r="I2156" i="2"/>
  <c r="I2137" i="2"/>
  <c r="I1986" i="2"/>
  <c r="E2098" i="2"/>
  <c r="I2179" i="2"/>
  <c r="E2170" i="2"/>
  <c r="I917" i="2"/>
  <c r="I2199" i="2"/>
  <c r="E1978" i="2"/>
  <c r="I2122" i="2"/>
  <c r="I2075" i="2"/>
  <c r="E697" i="2"/>
  <c r="E2047" i="2"/>
  <c r="E1996" i="2"/>
  <c r="I507" i="2"/>
  <c r="E2201" i="2"/>
  <c r="E2018" i="2"/>
  <c r="I1967" i="2"/>
  <c r="I2085" i="2"/>
  <c r="I2108" i="2"/>
  <c r="I1437" i="2"/>
  <c r="I2014" i="2"/>
  <c r="I769" i="2"/>
  <c r="I2099" i="2"/>
  <c r="I2057" i="2"/>
  <c r="E2046" i="2"/>
  <c r="I2119" i="2"/>
  <c r="I2061" i="2"/>
  <c r="I2146" i="2"/>
  <c r="I502" i="2"/>
  <c r="I381" i="2"/>
  <c r="I711" i="2"/>
  <c r="I2155" i="2"/>
  <c r="I2040" i="2"/>
  <c r="I2133" i="2"/>
  <c r="I866" i="2"/>
  <c r="I2003" i="2"/>
  <c r="I2201" i="2"/>
  <c r="I2176" i="2"/>
  <c r="I2193" i="2"/>
  <c r="E2061" i="2"/>
  <c r="I565" i="2"/>
  <c r="I2023" i="2"/>
  <c r="E2026" i="2"/>
  <c r="I2164" i="2"/>
  <c r="I2109" i="2"/>
  <c r="I2198" i="2"/>
  <c r="I516" i="2"/>
  <c r="I509" i="2"/>
  <c r="I903" i="2"/>
  <c r="I2171" i="2"/>
  <c r="I2056" i="2"/>
  <c r="I2181" i="2"/>
  <c r="I1969" i="2"/>
  <c r="I2058" i="2"/>
  <c r="E1981" i="2"/>
  <c r="I493" i="2"/>
  <c r="I652" i="2"/>
  <c r="E2079" i="2"/>
  <c r="E2092" i="2"/>
  <c r="E2041" i="2"/>
  <c r="E2093" i="2"/>
  <c r="I894" i="2"/>
  <c r="I2063" i="2"/>
  <c r="I1252" i="2"/>
  <c r="I2204" i="2"/>
  <c r="I2126" i="2"/>
  <c r="I2202" i="2"/>
  <c r="E2022" i="2"/>
  <c r="E1962" i="2"/>
  <c r="I1974" i="2"/>
  <c r="E2038" i="2"/>
  <c r="I720" i="2"/>
  <c r="I2205" i="2"/>
  <c r="E2062" i="2"/>
  <c r="I41" i="2"/>
  <c r="E244" i="2"/>
  <c r="E931" i="2"/>
  <c r="E2159" i="2"/>
  <c r="E2108" i="2"/>
  <c r="E2057" i="2"/>
  <c r="E2157" i="2"/>
  <c r="I926" i="2"/>
  <c r="I2079" i="2"/>
  <c r="I1964" i="2"/>
  <c r="I1965" i="2"/>
  <c r="I2086" i="2"/>
  <c r="I2118" i="2"/>
  <c r="E2086" i="2"/>
  <c r="I1968" i="2"/>
  <c r="I2050" i="2"/>
  <c r="E2102" i="2"/>
  <c r="I912" i="2"/>
  <c r="I1966" i="2"/>
  <c r="E2126" i="2"/>
  <c r="I1960" i="2"/>
  <c r="E894" i="2"/>
  <c r="E2111" i="2"/>
  <c r="E2060" i="2"/>
  <c r="E2009" i="2"/>
  <c r="E1965" i="2"/>
  <c r="I654" i="2"/>
  <c r="I2031" i="2"/>
  <c r="I521" i="2"/>
  <c r="I2172" i="2"/>
  <c r="I1998" i="2"/>
  <c r="I2114" i="2"/>
  <c r="I706" i="2"/>
  <c r="I2093" i="2"/>
  <c r="I2037" i="2"/>
  <c r="E2114" i="2"/>
  <c r="I2161" i="2"/>
  <c r="I1985" i="2"/>
  <c r="E2141" i="2"/>
  <c r="I2139" i="2"/>
  <c r="I858" i="2"/>
  <c r="I1963" i="2"/>
  <c r="I2077" i="2"/>
  <c r="I2104" i="2"/>
  <c r="I584" i="2"/>
  <c r="E2150" i="2"/>
  <c r="I2067" i="2"/>
  <c r="I1984" i="2"/>
  <c r="I2005" i="2"/>
  <c r="I2178" i="2"/>
  <c r="I60" i="2"/>
  <c r="E2166" i="2"/>
  <c r="I2087" i="2"/>
  <c r="I1972" i="2"/>
  <c r="I2017" i="2"/>
  <c r="I2030" i="2"/>
  <c r="I2165" i="2"/>
  <c r="E2190" i="2"/>
  <c r="I906" i="2"/>
  <c r="I1979" i="2"/>
  <c r="I2113" i="2"/>
  <c r="I2120" i="2"/>
  <c r="I660" i="2"/>
  <c r="I2177" i="2"/>
  <c r="I2154" i="2"/>
  <c r="E2030" i="2"/>
  <c r="I2136" i="2"/>
  <c r="I2173" i="2"/>
  <c r="I1995" i="2"/>
  <c r="I698" i="2"/>
  <c r="E2077" i="2"/>
  <c r="I2002" i="2"/>
  <c r="I2180" i="2"/>
  <c r="I2101" i="2"/>
  <c r="E2074" i="2"/>
  <c r="E2125" i="2"/>
  <c r="I2009" i="2"/>
  <c r="I2064" i="2"/>
  <c r="I2019" i="2"/>
  <c r="I207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236C2F-AF55-4036-8C02-181111F10209}" keepAlive="1" name="Dotaz – ALLIANCE LAUNDRY" description="Připojení k dotazu produktu ALLIANCE LAUNDRY v sešitě" type="5" refreshedVersion="8" background="1" saveData="1">
    <dbPr connection="Provider=Microsoft.Mashup.OleDb.1;Data Source=$Workbook$;Location=&quot;ALLIANCE LAUNDRY&quot;;Extended Properties=&quot;&quot;" command="SELECT * FROM [ALLIANCE LAUNDRY]"/>
  </connection>
  <connection id="2" xr16:uid="{E9F846FC-479D-48D8-9747-34C16365E721}" keepAlive="1" name="Dotaz – BATZ" description="Připojení k dotazu produktu BATZ v sešitě" type="5" refreshedVersion="8" background="1" saveData="1">
    <dbPr connection="Provider=Microsoft.Mashup.OleDb.1;Data Source=$Workbook$;Location=BATZ;Extended Properties=&quot;&quot;" command="SELECT * FROM [BATZ]"/>
  </connection>
  <connection id="3" xr16:uid="{2C3A8A0A-49AA-41EB-98D0-339DF4208109}" keepAlive="1" name="Dotaz – DONGHEE" description="Připojení k dotazu produktu DONGHEE v sešitě" type="5" refreshedVersion="8" background="1" saveData="1">
    <dbPr connection="Provider=Microsoft.Mashup.OleDb.1;Data Source=$Workbook$;Location=DONGHEE;Extended Properties=&quot;&quot;" command="SELECT * FROM [DONGHEE]"/>
  </connection>
  <connection id="4" xr16:uid="{F9C0D858-A43D-4173-AA12-951FFA4251B6}" keepAlive="1" name="Dotaz – DSC" description="Připojení k dotazu produktu DSC v sešitě" type="5" refreshedVersion="8" background="1" saveData="1">
    <dbPr connection="Provider=Microsoft.Mashup.OleDb.1;Data Source=$Workbook$;Location=DSC;Extended Properties=&quot;&quot;" command="SELECT * FROM [DSC]"/>
  </connection>
  <connection id="5" xr16:uid="{EF6F4201-0171-4E56-99D8-4A587B8F4706}" keepAlive="1" name="Dotaz – GUZU" description="Připojení k dotazu produktu GUZU v sešitě" type="5" refreshedVersion="8" background="1" saveData="1">
    <dbPr connection="Provider=Microsoft.Mashup.OleDb.1;Data Source=$Workbook$;Location=GUZU;Extended Properties=&quot;&quot;" command="SELECT * FROM [GUZU]"/>
  </connection>
  <connection id="6" xr16:uid="{8DA5F69A-28D9-4BEB-BE0D-947E29AECA72}" keepAlive="1" name="Dotaz – HILITE" description="Připojení k dotazu produktu HILITE v sešitě" type="5" refreshedVersion="8" background="1" saveData="1">
    <dbPr connection="Provider=Microsoft.Mashup.OleDb.1;Data Source=$Workbook$;Location=HILITE;Extended Properties=&quot;&quot;" command="SELECT * FROM [HILITE]"/>
  </connection>
  <connection id="7" xr16:uid="{EF994B1F-B17F-41A9-81F4-34CCE849ABBD}" keepAlive="1" name="Dotaz – TATRA" description="Připojení k dotazu produktu TATRA v sešitě" type="5" refreshedVersion="8" background="1" saveData="1">
    <dbPr connection="Provider=Microsoft.Mashup.OleDb.1;Data Source=$Workbook$;Location=TATRA;Extended Properties=&quot;&quot;" command="SELECT * FROM [TATRA]"/>
  </connection>
  <connection id="8" xr16:uid="{EE4679B3-9F21-4C5E-8B1D-2785B9AD1902}" keepAlive="1" name="Dotaz – THERMA" description="Připojení k dotazu produktu THERMA v sešitě" type="5" refreshedVersion="8" background="1" saveData="1">
    <dbPr connection="Provider=Microsoft.Mashup.OleDb.1;Data Source=$Workbook$;Location=THERMA;Extended Properties=&quot;&quot;" command="SELECT * FROM [THERMA]"/>
  </connection>
</connections>
</file>

<file path=xl/sharedStrings.xml><?xml version="1.0" encoding="utf-8"?>
<sst xmlns="http://schemas.openxmlformats.org/spreadsheetml/2006/main" count="8476" uniqueCount="1052">
  <si>
    <t>ID</t>
  </si>
  <si>
    <t>Příjmení</t>
  </si>
  <si>
    <t>Jméno</t>
  </si>
  <si>
    <t>Os.č.</t>
  </si>
  <si>
    <t>Os.č.kl.</t>
  </si>
  <si>
    <t>RFID</t>
  </si>
  <si>
    <t>Telefon</t>
  </si>
  <si>
    <t>Vstup</t>
  </si>
  <si>
    <t>Výstup</t>
  </si>
  <si>
    <t>Doprava</t>
  </si>
  <si>
    <t>Nástup</t>
  </si>
  <si>
    <t>Směna</t>
  </si>
  <si>
    <t>Cílová st.</t>
  </si>
  <si>
    <t>Docházka</t>
  </si>
  <si>
    <t>Editace</t>
  </si>
  <si>
    <t>Adamczewski</t>
  </si>
  <si>
    <t>Amadeusz</t>
  </si>
  <si>
    <t>Vlastní auto</t>
  </si>
  <si>
    <t>R / N/A</t>
  </si>
  <si>
    <t>Hilite</t>
  </si>
  <si>
    <t>Adamiak</t>
  </si>
  <si>
    <t>Magdalena</t>
  </si>
  <si>
    <t>BATZ 2</t>
  </si>
  <si>
    <t>Źory - Sąd Rejonowy</t>
  </si>
  <si>
    <t>O / N/A</t>
  </si>
  <si>
    <t>BATZ</t>
  </si>
  <si>
    <t>DSC 2</t>
  </si>
  <si>
    <t>Źory - Zegar przystanek autobusowy Al. Niepodległości</t>
  </si>
  <si>
    <t>DSC</t>
  </si>
  <si>
    <t>Baka</t>
  </si>
  <si>
    <t>Przemyslaw</t>
  </si>
  <si>
    <t>Jastrzębie-Zdrój HALA przyst. autobus. Hala Sportowa</t>
  </si>
  <si>
    <t>Balwierz</t>
  </si>
  <si>
    <t>Piotr Marian</t>
  </si>
  <si>
    <t>HILITE 2</t>
  </si>
  <si>
    <t>Jastrzebie Zdrój McDonald (al. J. Pilsudskiego - przystanek)</t>
  </si>
  <si>
    <t>HILITE</t>
  </si>
  <si>
    <t>Banot</t>
  </si>
  <si>
    <t>Katarzyna</t>
  </si>
  <si>
    <t>R1225-01</t>
  </si>
  <si>
    <t>N / N/A</t>
  </si>
  <si>
    <t>Bartoň</t>
  </si>
  <si>
    <t>Edyta</t>
  </si>
  <si>
    <t>Ruptawa - Cisówka</t>
  </si>
  <si>
    <t>Bassler</t>
  </si>
  <si>
    <t>Lukáš</t>
  </si>
  <si>
    <t>R0878-01</t>
  </si>
  <si>
    <t>Baszczynski</t>
  </si>
  <si>
    <t>Bogdan</t>
  </si>
  <si>
    <t>Belej</t>
  </si>
  <si>
    <t>Karina</t>
  </si>
  <si>
    <t>BATZ 1</t>
  </si>
  <si>
    <t>Jastrzebie Zdroj Dworzec autobusowy</t>
  </si>
  <si>
    <t>Belica</t>
  </si>
  <si>
    <t>Bartosz</t>
  </si>
  <si>
    <t>Jastr.Zd. - Aleje Piłsudskiego SUPERSAM</t>
  </si>
  <si>
    <t>THERMA</t>
  </si>
  <si>
    <t>Bialas</t>
  </si>
  <si>
    <t>Elzbieta</t>
  </si>
  <si>
    <t>R0707-01</t>
  </si>
  <si>
    <t>Źory Bajerówka przyst. autobus. Al. Jana Pawła II Bajerówka</t>
  </si>
  <si>
    <t>Bialozyt</t>
  </si>
  <si>
    <t>Joanna</t>
  </si>
  <si>
    <t>R0993-01</t>
  </si>
  <si>
    <t>Bieniek</t>
  </si>
  <si>
    <t>Krystian</t>
  </si>
  <si>
    <t>TATRA METALURGIE</t>
  </si>
  <si>
    <t>Rybnik Dworek</t>
  </si>
  <si>
    <t>TATRA</t>
  </si>
  <si>
    <t>Bilicer</t>
  </si>
  <si>
    <t>Natalia</t>
  </si>
  <si>
    <t>Donghee</t>
  </si>
  <si>
    <t>Blonski</t>
  </si>
  <si>
    <t>Marcin Ireneusz</t>
  </si>
  <si>
    <t>Bochenek</t>
  </si>
  <si>
    <t>Damian Krzysztof</t>
  </si>
  <si>
    <t>R0709-01</t>
  </si>
  <si>
    <t>Adam Piotr</t>
  </si>
  <si>
    <t>R0936-01</t>
  </si>
  <si>
    <t>Bojda</t>
  </si>
  <si>
    <t>Lukasz</t>
  </si>
  <si>
    <t>ALLIANCE LAUNDRY 4</t>
  </si>
  <si>
    <t>Cieszyn Liburnia Starostwo</t>
  </si>
  <si>
    <t>ALLIANCE LAUNDRY</t>
  </si>
  <si>
    <t>Borska</t>
  </si>
  <si>
    <t>Ewa</t>
  </si>
  <si>
    <t>R0768-01</t>
  </si>
  <si>
    <t>Źory Sąd przyst. autobus. Al. Jana Pawła II Sąd</t>
  </si>
  <si>
    <t>Bortlik</t>
  </si>
  <si>
    <t>Dawid</t>
  </si>
  <si>
    <t>Boruszka</t>
  </si>
  <si>
    <t>Aneta Barbara</t>
  </si>
  <si>
    <t>R82</t>
  </si>
  <si>
    <t>Jastrzebie Zdrój - Szeroka Biedronka (ul. Powstancow slaskich - parking naprzeciwko Biedronki)</t>
  </si>
  <si>
    <t>Brachman</t>
  </si>
  <si>
    <t>Piotr Leszek</t>
  </si>
  <si>
    <t>DONGHEE</t>
  </si>
  <si>
    <t>Brewinski</t>
  </si>
  <si>
    <t>Zbigniew</t>
  </si>
  <si>
    <t>Wodzisław Śląski stacja paliw Circle K/McDonalds</t>
  </si>
  <si>
    <t>Brodowski</t>
  </si>
  <si>
    <t>Robert</t>
  </si>
  <si>
    <t>ALLIANCE LAUNDRY 3</t>
  </si>
  <si>
    <t>Radlin Centrum</t>
  </si>
  <si>
    <t>Bujak</t>
  </si>
  <si>
    <t>Beniamin Salamon</t>
  </si>
  <si>
    <t>Leszek Sylwester</t>
  </si>
  <si>
    <t>R0862-01</t>
  </si>
  <si>
    <t>Bujok</t>
  </si>
  <si>
    <t>Dominik</t>
  </si>
  <si>
    <t>Cieszyn Liburnia</t>
  </si>
  <si>
    <t>Bury</t>
  </si>
  <si>
    <t>Angelika</t>
  </si>
  <si>
    <t>Buturla</t>
  </si>
  <si>
    <t>Bozena</t>
  </si>
  <si>
    <t>Buza</t>
  </si>
  <si>
    <t>Grazyna Aniela</t>
  </si>
  <si>
    <t>Szeroka ul. Rybnicka</t>
  </si>
  <si>
    <t>Jan Ireneusz</t>
  </si>
  <si>
    <t>Ceglarski</t>
  </si>
  <si>
    <t>Wojciech</t>
  </si>
  <si>
    <t>Tatra</t>
  </si>
  <si>
    <t>Ciesielska</t>
  </si>
  <si>
    <t>Malgorzata</t>
  </si>
  <si>
    <t>Cwiklak</t>
  </si>
  <si>
    <t>Cwiklinska</t>
  </si>
  <si>
    <t>Alicja Katarzyna</t>
  </si>
  <si>
    <t>R0340-01</t>
  </si>
  <si>
    <t>DSC 1</t>
  </si>
  <si>
    <t>Radlin - Marcel przyst. autobus. Korfantego KWK</t>
  </si>
  <si>
    <t>Cyrzyk</t>
  </si>
  <si>
    <t>Grazyna Barbara</t>
  </si>
  <si>
    <t>Końzyce Male - Szkola</t>
  </si>
  <si>
    <t>GUZU 1</t>
  </si>
  <si>
    <t>GUZU</t>
  </si>
  <si>
    <t>Dalemula</t>
  </si>
  <si>
    <t>Krysztof Grzegorz</t>
  </si>
  <si>
    <t>Radoslaw Jakub</t>
  </si>
  <si>
    <t>Rydultowy Dworzec Autobusowy</t>
  </si>
  <si>
    <t>Damis</t>
  </si>
  <si>
    <t>Malgorzata Maria</t>
  </si>
  <si>
    <t>R0088-02</t>
  </si>
  <si>
    <t>Zebrzydowice</t>
  </si>
  <si>
    <t>Dolezych</t>
  </si>
  <si>
    <t>Lidia</t>
  </si>
  <si>
    <t>Doliński</t>
  </si>
  <si>
    <t>Roman</t>
  </si>
  <si>
    <t>Wodzislaw PKP, trasa 3</t>
  </si>
  <si>
    <t>Duraj</t>
  </si>
  <si>
    <t>Mateusz Jan</t>
  </si>
  <si>
    <t>Feszter</t>
  </si>
  <si>
    <t>Wilchwy przystanek autobusowy Osiedle</t>
  </si>
  <si>
    <t>Fitrzyková</t>
  </si>
  <si>
    <t>Jana</t>
  </si>
  <si>
    <t>Ostrava Dřevoprodej</t>
  </si>
  <si>
    <t>Fojcik</t>
  </si>
  <si>
    <t>Marzena</t>
  </si>
  <si>
    <t>Wodzisław Śląski - Dworzec PKP przystanek autobusowy</t>
  </si>
  <si>
    <t>Ganczorz</t>
  </si>
  <si>
    <t>Tomasz</t>
  </si>
  <si>
    <t>TATRA - ALS</t>
  </si>
  <si>
    <t>Rydultowy Dworzec</t>
  </si>
  <si>
    <t>Gawel</t>
  </si>
  <si>
    <t>Giedziun</t>
  </si>
  <si>
    <t>Monika</t>
  </si>
  <si>
    <t>Goik</t>
  </si>
  <si>
    <t>Andrzej</t>
  </si>
  <si>
    <t>Wodzisław PKP</t>
  </si>
  <si>
    <t>Golyszna</t>
  </si>
  <si>
    <t>Daria Anna</t>
  </si>
  <si>
    <t>Jastrzębie-Zdrój - SUPERSAM przyst. autobus. Al.Piłsudskiego - os. Staszica</t>
  </si>
  <si>
    <t>Gora</t>
  </si>
  <si>
    <t>Renata</t>
  </si>
  <si>
    <t>R1180-01</t>
  </si>
  <si>
    <t>Gordienko</t>
  </si>
  <si>
    <t>Adam</t>
  </si>
  <si>
    <t>A069</t>
  </si>
  <si>
    <t>Źory - Bajerowka</t>
  </si>
  <si>
    <t>Gorka</t>
  </si>
  <si>
    <t>Grzegorz</t>
  </si>
  <si>
    <t>Gozdur</t>
  </si>
  <si>
    <t>Oliwia Katarzyna</t>
  </si>
  <si>
    <t>Jastrzebie Zdrój - UM (al. J. Pilsudskiego - przystanek)</t>
  </si>
  <si>
    <t>Grabka</t>
  </si>
  <si>
    <t>Daniel</t>
  </si>
  <si>
    <t>Jastrzebie Urzad Skarbowy</t>
  </si>
  <si>
    <t>Groborz</t>
  </si>
  <si>
    <t>Paulina Dominika</t>
  </si>
  <si>
    <t>R1037-01</t>
  </si>
  <si>
    <t>Gromek</t>
  </si>
  <si>
    <t>Sylwia</t>
  </si>
  <si>
    <t>R1073-01</t>
  </si>
  <si>
    <t>Grzywacz</t>
  </si>
  <si>
    <t>Klaudia</t>
  </si>
  <si>
    <t>Habierska</t>
  </si>
  <si>
    <t>Maja</t>
  </si>
  <si>
    <t>Hak</t>
  </si>
  <si>
    <t>Agnieszka</t>
  </si>
  <si>
    <t>Halama</t>
  </si>
  <si>
    <t>Pawel</t>
  </si>
  <si>
    <t>Hernik</t>
  </si>
  <si>
    <t>Krzysztof</t>
  </si>
  <si>
    <t>Herok</t>
  </si>
  <si>
    <t>Natalia Magdalena</t>
  </si>
  <si>
    <t>R1021-01</t>
  </si>
  <si>
    <t>Holeksa</t>
  </si>
  <si>
    <t>Mariola</t>
  </si>
  <si>
    <t>Huptys</t>
  </si>
  <si>
    <t>Wieslawa</t>
  </si>
  <si>
    <t>HILITE 1</t>
  </si>
  <si>
    <t>Wodzisław Śląski - przystanek autobusowy PKP</t>
  </si>
  <si>
    <t>Chalimoniuk</t>
  </si>
  <si>
    <t>Igor</t>
  </si>
  <si>
    <t>Chlebek</t>
  </si>
  <si>
    <t>Aleksandra Ewa</t>
  </si>
  <si>
    <t>R0880-01</t>
  </si>
  <si>
    <t>Chodinský</t>
  </si>
  <si>
    <t>Rostislav</t>
  </si>
  <si>
    <t>Chodorowska</t>
  </si>
  <si>
    <t>Barbara Miroslawa</t>
  </si>
  <si>
    <t>R0799-01</t>
  </si>
  <si>
    <t>Chojnacki</t>
  </si>
  <si>
    <t>Piotr</t>
  </si>
  <si>
    <t>Jastrzębie Czarny Rycerz</t>
  </si>
  <si>
    <t>Rybnik - Stacja paliw BP ul. Budowlanych</t>
  </si>
  <si>
    <t>N/A / N/A</t>
  </si>
  <si>
    <t>Iwanek</t>
  </si>
  <si>
    <t>Rafal</t>
  </si>
  <si>
    <t>Jablonski</t>
  </si>
  <si>
    <t>Slawomir</t>
  </si>
  <si>
    <t>Jastrzebie Urzad Miasta Morcinka</t>
  </si>
  <si>
    <t>Sebastian</t>
  </si>
  <si>
    <t>Jakubiec</t>
  </si>
  <si>
    <t>Krzysztof Grzegorz</t>
  </si>
  <si>
    <t>R0942-01</t>
  </si>
  <si>
    <t>Rydultowy Orlowiec</t>
  </si>
  <si>
    <t>Jamry</t>
  </si>
  <si>
    <t>Kamil</t>
  </si>
  <si>
    <t>R0700-02</t>
  </si>
  <si>
    <t>Male Konczyce</t>
  </si>
  <si>
    <t>Janczuk</t>
  </si>
  <si>
    <t>Mariola Anna</t>
  </si>
  <si>
    <t>R0454-01</t>
  </si>
  <si>
    <t>Janiczek</t>
  </si>
  <si>
    <t>Kamil Patryk</t>
  </si>
  <si>
    <t>Żory Bajerówka</t>
  </si>
  <si>
    <t>Janik-Rurarz</t>
  </si>
  <si>
    <t>Izabela</t>
  </si>
  <si>
    <t>Jarosz</t>
  </si>
  <si>
    <t>Mariusz</t>
  </si>
  <si>
    <t>Jerchewicz</t>
  </si>
  <si>
    <t>Iwona</t>
  </si>
  <si>
    <t>Juszczak</t>
  </si>
  <si>
    <t>Jadwiga</t>
  </si>
  <si>
    <t>Kala</t>
  </si>
  <si>
    <t>Janusz Eryk</t>
  </si>
  <si>
    <t>Żory Sąd</t>
  </si>
  <si>
    <t>Kalisz</t>
  </si>
  <si>
    <t>Patrycja</t>
  </si>
  <si>
    <t>R1150-01</t>
  </si>
  <si>
    <t>Koblanski</t>
  </si>
  <si>
    <t>Kolanowski</t>
  </si>
  <si>
    <t>Dawid Piotr</t>
  </si>
  <si>
    <t>Jastrzebie Zdrój - Dubielec (ul. Rybnicka - przystanek)</t>
  </si>
  <si>
    <t>Konieczny</t>
  </si>
  <si>
    <t>Wodzisław Śląski Dworzec Autobus. Galeria Karuzela</t>
  </si>
  <si>
    <t>Korab</t>
  </si>
  <si>
    <t>Karina Weronika</t>
  </si>
  <si>
    <t>R0527-01</t>
  </si>
  <si>
    <t>Korcz</t>
  </si>
  <si>
    <t>Wioleta</t>
  </si>
  <si>
    <t>Źory Bajerówka (al. Jana Pawla - przystanek)</t>
  </si>
  <si>
    <t>Kordowski</t>
  </si>
  <si>
    <t>Henryk</t>
  </si>
  <si>
    <t>Kotas</t>
  </si>
  <si>
    <t>Barbara Mariola</t>
  </si>
  <si>
    <t>R0125-01</t>
  </si>
  <si>
    <t>Kotowski</t>
  </si>
  <si>
    <t>Zbigniew Marek</t>
  </si>
  <si>
    <t>Kovařčik</t>
  </si>
  <si>
    <t>Tomáš</t>
  </si>
  <si>
    <t>Kowaczik</t>
  </si>
  <si>
    <t>Bozena Jadwiga</t>
  </si>
  <si>
    <t>R0864-01</t>
  </si>
  <si>
    <t>Batz</t>
  </si>
  <si>
    <t>Kowalewski</t>
  </si>
  <si>
    <t>Marcin</t>
  </si>
  <si>
    <t>Damian</t>
  </si>
  <si>
    <t>Koza</t>
  </si>
  <si>
    <t>Jastrzębie McDonalds</t>
  </si>
  <si>
    <t>Kozielski</t>
  </si>
  <si>
    <t>Kozielski Andrzej Jozef</t>
  </si>
  <si>
    <t>Králová</t>
  </si>
  <si>
    <t>Eliška</t>
  </si>
  <si>
    <t>R1187-01</t>
  </si>
  <si>
    <t>Krensel</t>
  </si>
  <si>
    <t>Maria</t>
  </si>
  <si>
    <t>Krótki</t>
  </si>
  <si>
    <t>Gabriel</t>
  </si>
  <si>
    <t>Kuklińska</t>
  </si>
  <si>
    <t>Kuklinska</t>
  </si>
  <si>
    <t>Marlena</t>
  </si>
  <si>
    <t>Kurasik</t>
  </si>
  <si>
    <t>Monika Dorota</t>
  </si>
  <si>
    <t>R0734-01</t>
  </si>
  <si>
    <t>Latka</t>
  </si>
  <si>
    <t>Ewelina Ewa</t>
  </si>
  <si>
    <t>R0335-01</t>
  </si>
  <si>
    <t>Jastrzębie-Zdrój - KWK Zofiówka przystanek autobusowy</t>
  </si>
  <si>
    <t>Lebiediew</t>
  </si>
  <si>
    <t>Sławomir</t>
  </si>
  <si>
    <t>Jastrzębie-Zdrój - Urząd Miasta przyst. autobus. Al. Piłsudskiego - Os. Morcinka</t>
  </si>
  <si>
    <t>Lichacz</t>
  </si>
  <si>
    <t>Szeroka Gagarina</t>
  </si>
  <si>
    <t>Lorenc</t>
  </si>
  <si>
    <t>Pawel Jan</t>
  </si>
  <si>
    <t>Maciaczyk</t>
  </si>
  <si>
    <t>Urszula</t>
  </si>
  <si>
    <t>R1189-01</t>
  </si>
  <si>
    <t>Macura</t>
  </si>
  <si>
    <t>Kamil Damian</t>
  </si>
  <si>
    <t>R0877-01</t>
  </si>
  <si>
    <t>Madrzyk</t>
  </si>
  <si>
    <t>Ryszard</t>
  </si>
  <si>
    <t>Jastrzębie Wodzisławska Czarny Rycerz</t>
  </si>
  <si>
    <t>Machej</t>
  </si>
  <si>
    <t>Adrian</t>
  </si>
  <si>
    <t>R0982-01</t>
  </si>
  <si>
    <t>Majchrowicz</t>
  </si>
  <si>
    <t>Mateusz</t>
  </si>
  <si>
    <t>Małczak</t>
  </si>
  <si>
    <t>Małka</t>
  </si>
  <si>
    <t>Artur</t>
  </si>
  <si>
    <t>Marczak</t>
  </si>
  <si>
    <t>Maria Katarzyna</t>
  </si>
  <si>
    <t>Marczewski</t>
  </si>
  <si>
    <t>Robert Wieslaw</t>
  </si>
  <si>
    <t>Jastrzębie Supersam</t>
  </si>
  <si>
    <t>Marekwica</t>
  </si>
  <si>
    <t>Matusiak</t>
  </si>
  <si>
    <t>Orfeusz Marek</t>
  </si>
  <si>
    <t>Szeroka - Biedronka</t>
  </si>
  <si>
    <t>Wodzisław Wilchwy Blazy</t>
  </si>
  <si>
    <t>Meller</t>
  </si>
  <si>
    <t>Michal Stanislaw</t>
  </si>
  <si>
    <t>R0972-01</t>
  </si>
  <si>
    <t>Meyer</t>
  </si>
  <si>
    <t>Beata</t>
  </si>
  <si>
    <t>Mielczarek</t>
  </si>
  <si>
    <t>Patrycjusz</t>
  </si>
  <si>
    <t>Mienkowska</t>
  </si>
  <si>
    <t>Edyta Ewa</t>
  </si>
  <si>
    <t>R0348-01</t>
  </si>
  <si>
    <t>Michalec</t>
  </si>
  <si>
    <t>Regina</t>
  </si>
  <si>
    <t>Hażlach za rondo Crab</t>
  </si>
  <si>
    <t>Mikus</t>
  </si>
  <si>
    <t>R0564-01</t>
  </si>
  <si>
    <t>Milek</t>
  </si>
  <si>
    <t>Michal Jerzy</t>
  </si>
  <si>
    <t>Mochnacz</t>
  </si>
  <si>
    <t>Lukasz Teodor</t>
  </si>
  <si>
    <t>Mottlová</t>
  </si>
  <si>
    <t>Markéta</t>
  </si>
  <si>
    <t>Możdżeń</t>
  </si>
  <si>
    <t>Dariusz</t>
  </si>
  <si>
    <t>Mrozek</t>
  </si>
  <si>
    <t>Cieszyn Liburnia Kosciol</t>
  </si>
  <si>
    <t>Nawara</t>
  </si>
  <si>
    <t>Bartosz Pawel</t>
  </si>
  <si>
    <t>Niemczyk</t>
  </si>
  <si>
    <t>Daniel Marcin</t>
  </si>
  <si>
    <t>R0834-01</t>
  </si>
  <si>
    <t>Niepsuj</t>
  </si>
  <si>
    <t>Karolina Magdalena</t>
  </si>
  <si>
    <t>R1020-01</t>
  </si>
  <si>
    <t>Szeroka - Kaplica przystanek autobusowy</t>
  </si>
  <si>
    <t>Niewiadomski</t>
  </si>
  <si>
    <t>Michal</t>
  </si>
  <si>
    <t>Nowak</t>
  </si>
  <si>
    <t>Martyna</t>
  </si>
  <si>
    <t>Nowak-Michalecka</t>
  </si>
  <si>
    <t>Jastrzebie Zdrój - Rycerz (ul. Wodzislawska - przystanek w poblizu hotelu "Czarny Rycerz")</t>
  </si>
  <si>
    <t>Nowakowska</t>
  </si>
  <si>
    <t>Olszanecka</t>
  </si>
  <si>
    <t>Beata Magdalena</t>
  </si>
  <si>
    <t>R0021-02</t>
  </si>
  <si>
    <t>Onderka</t>
  </si>
  <si>
    <t>Jan</t>
  </si>
  <si>
    <t>TATRA - ALS - SPRINT</t>
  </si>
  <si>
    <t>15. Ostrava dřevoprodej</t>
  </si>
  <si>
    <t>Opyd</t>
  </si>
  <si>
    <t>Ordzinska</t>
  </si>
  <si>
    <t>Ostafin</t>
  </si>
  <si>
    <t>Jastr.Zd. - Al. Piłsudskiego - Os. Morcinka / Urząd Miasta</t>
  </si>
  <si>
    <t>Pajor</t>
  </si>
  <si>
    <t>Jolanta Wanda</t>
  </si>
  <si>
    <t>Palička</t>
  </si>
  <si>
    <t>Jiří</t>
  </si>
  <si>
    <t>Paprota</t>
  </si>
  <si>
    <t>Dominik Patryk</t>
  </si>
  <si>
    <t>R0781-01</t>
  </si>
  <si>
    <t>Pawlak</t>
  </si>
  <si>
    <t>Szymon</t>
  </si>
  <si>
    <t>R1077-01</t>
  </si>
  <si>
    <t>Lidia Marzena</t>
  </si>
  <si>
    <t>R0833-01</t>
  </si>
  <si>
    <t>Pawlas</t>
  </si>
  <si>
    <t>Klaudia Paulina</t>
  </si>
  <si>
    <t>R0774-01</t>
  </si>
  <si>
    <t>Pawlowski</t>
  </si>
  <si>
    <t>Cieszyn Orlen Katowicka</t>
  </si>
  <si>
    <t>Penkala</t>
  </si>
  <si>
    <t>Peterková</t>
  </si>
  <si>
    <t>Dagmar</t>
  </si>
  <si>
    <t>O / R</t>
  </si>
  <si>
    <t>Piechaczek</t>
  </si>
  <si>
    <t>Jastr.Zd. - Armii Krajowej</t>
  </si>
  <si>
    <t>Pitel</t>
  </si>
  <si>
    <t>Plichta</t>
  </si>
  <si>
    <t>R1034-01</t>
  </si>
  <si>
    <t>Plinta</t>
  </si>
  <si>
    <t>R1184-01</t>
  </si>
  <si>
    <t>Podżorski</t>
  </si>
  <si>
    <t>Polak</t>
  </si>
  <si>
    <t>R1192-01</t>
  </si>
  <si>
    <t>Poloczek</t>
  </si>
  <si>
    <t>Jadwiga Barbara</t>
  </si>
  <si>
    <t>Szeroka - Gagarina przyst.autobus.</t>
  </si>
  <si>
    <t>Polok</t>
  </si>
  <si>
    <t>Pracz</t>
  </si>
  <si>
    <t>Sonia</t>
  </si>
  <si>
    <t>R1125-01</t>
  </si>
  <si>
    <t>Prudel</t>
  </si>
  <si>
    <t>Mateusz Stanislaw</t>
  </si>
  <si>
    <t>Przybyla</t>
  </si>
  <si>
    <t>Danuta Anna</t>
  </si>
  <si>
    <t>R0129-01</t>
  </si>
  <si>
    <t>Ragus</t>
  </si>
  <si>
    <t>Wiktoria</t>
  </si>
  <si>
    <t>Rak</t>
  </si>
  <si>
    <t>Julia</t>
  </si>
  <si>
    <t>Mszana</t>
  </si>
  <si>
    <t>Barbara Irena</t>
  </si>
  <si>
    <t>Ratajczyk</t>
  </si>
  <si>
    <t>Patrycja Joanna</t>
  </si>
  <si>
    <t>R1018-01</t>
  </si>
  <si>
    <t>Rduch</t>
  </si>
  <si>
    <t>Mateusz Pawel</t>
  </si>
  <si>
    <t>R0761-01</t>
  </si>
  <si>
    <t>Regulski</t>
  </si>
  <si>
    <t>Rojek</t>
  </si>
  <si>
    <t>Zory Sad</t>
  </si>
  <si>
    <t>Rudnicka</t>
  </si>
  <si>
    <t>Marta</t>
  </si>
  <si>
    <t>Saganová</t>
  </si>
  <si>
    <t>Marie</t>
  </si>
  <si>
    <t>Salamon</t>
  </si>
  <si>
    <t>Salata</t>
  </si>
  <si>
    <t>Krzysztof Marek</t>
  </si>
  <si>
    <t>R69</t>
  </si>
  <si>
    <t>Szeroka Kaplica</t>
  </si>
  <si>
    <t>Satlawa</t>
  </si>
  <si>
    <t>Iwona Maria</t>
  </si>
  <si>
    <t>R0783-01</t>
  </si>
  <si>
    <t>Siedlok</t>
  </si>
  <si>
    <t>Siekierski</t>
  </si>
  <si>
    <t>Filip</t>
  </si>
  <si>
    <t>Therma</t>
  </si>
  <si>
    <t>Sikora</t>
  </si>
  <si>
    <t>Teresa Michalina</t>
  </si>
  <si>
    <t>Gorzyce Urząd Gminy</t>
  </si>
  <si>
    <t>Skawinska</t>
  </si>
  <si>
    <t>Dorota Bernadeta</t>
  </si>
  <si>
    <t>R0141-01</t>
  </si>
  <si>
    <t>Skierka</t>
  </si>
  <si>
    <t>Skolarus</t>
  </si>
  <si>
    <t>Slupik</t>
  </si>
  <si>
    <t>Anna</t>
  </si>
  <si>
    <t>Slusarczyk</t>
  </si>
  <si>
    <t>Jastrzebie McDonalds</t>
  </si>
  <si>
    <t>Smagon</t>
  </si>
  <si>
    <t>Zory Bajerowka</t>
  </si>
  <si>
    <t>Smietana</t>
  </si>
  <si>
    <t>Mirela Barbara</t>
  </si>
  <si>
    <t>Sobik</t>
  </si>
  <si>
    <t>Barbara</t>
  </si>
  <si>
    <t>Sosna</t>
  </si>
  <si>
    <t>Zaneta</t>
  </si>
  <si>
    <t>Sowa (Krzenek)</t>
  </si>
  <si>
    <t>Ryszarda</t>
  </si>
  <si>
    <t>Cieszyn McDonalds</t>
  </si>
  <si>
    <t>Spiewak</t>
  </si>
  <si>
    <t>Wioletta</t>
  </si>
  <si>
    <t>R1182-01</t>
  </si>
  <si>
    <t>Stafiej</t>
  </si>
  <si>
    <t>Lucyna Justyna</t>
  </si>
  <si>
    <t>R1041-01</t>
  </si>
  <si>
    <t>Stanek</t>
  </si>
  <si>
    <t>Martyna Katarzyna</t>
  </si>
  <si>
    <t>R0282-01</t>
  </si>
  <si>
    <t>Stanisz</t>
  </si>
  <si>
    <t>Pawel Piotr</t>
  </si>
  <si>
    <t>Starzyczny</t>
  </si>
  <si>
    <t>Stawowski</t>
  </si>
  <si>
    <t>Patryk Tomasz</t>
  </si>
  <si>
    <t>Stohandel</t>
  </si>
  <si>
    <t>Žory - Bajerowka</t>
  </si>
  <si>
    <t>Stryjska</t>
  </si>
  <si>
    <t>Beata Malgorzata</t>
  </si>
  <si>
    <t>Suchy</t>
  </si>
  <si>
    <t>Anna Katarzyna</t>
  </si>
  <si>
    <t>Surosz</t>
  </si>
  <si>
    <t>Święty</t>
  </si>
  <si>
    <t>Czesław</t>
  </si>
  <si>
    <t>Radlin przejazd - Wojciecha Korfantego naprzeciw Dworzec autobusowy</t>
  </si>
  <si>
    <t>Swoboda</t>
  </si>
  <si>
    <t>Martyna Alicja</t>
  </si>
  <si>
    <t>R0899-01</t>
  </si>
  <si>
    <t>Radlin - Centrum przystanek autobus. Korfantego</t>
  </si>
  <si>
    <t>Sypulek</t>
  </si>
  <si>
    <t>Szczesny</t>
  </si>
  <si>
    <t>Agnieszka Joanna</t>
  </si>
  <si>
    <t>R0240-01</t>
  </si>
  <si>
    <t>Szewczyk</t>
  </si>
  <si>
    <t>Radlin - Korfantego</t>
  </si>
  <si>
    <t>Szmyt</t>
  </si>
  <si>
    <t>Szopa</t>
  </si>
  <si>
    <t>Szpin</t>
  </si>
  <si>
    <t>R1158-01</t>
  </si>
  <si>
    <t>Szrejder</t>
  </si>
  <si>
    <t>Sztymelski</t>
  </si>
  <si>
    <t>Jastrzebie Supersam</t>
  </si>
  <si>
    <t>Szurman</t>
  </si>
  <si>
    <t>Cieszyn Katowicka Orlen</t>
  </si>
  <si>
    <t>Szweda</t>
  </si>
  <si>
    <t>Szymiczek</t>
  </si>
  <si>
    <t>Szymura</t>
  </si>
  <si>
    <t>Edyta Marzena</t>
  </si>
  <si>
    <t>Zebrzydowice Ośrodek Zdrowia</t>
  </si>
  <si>
    <t>Šoštá</t>
  </si>
  <si>
    <t>Ivana</t>
  </si>
  <si>
    <t>Tabor</t>
  </si>
  <si>
    <t>Konrad</t>
  </si>
  <si>
    <t>Tomica</t>
  </si>
  <si>
    <t>Janusz Franciszek</t>
  </si>
  <si>
    <t>R0944-01</t>
  </si>
  <si>
    <t>Halách Skrzyzowanie (Crab)</t>
  </si>
  <si>
    <t>Tomiczek</t>
  </si>
  <si>
    <t>Sara Beata</t>
  </si>
  <si>
    <t>R0765-01</t>
  </si>
  <si>
    <t>Trzmielowski</t>
  </si>
  <si>
    <t>Adrian Adam</t>
  </si>
  <si>
    <t>Tuna</t>
  </si>
  <si>
    <t>R0908-01</t>
  </si>
  <si>
    <t>Tworzydło</t>
  </si>
  <si>
    <t>Tyminska</t>
  </si>
  <si>
    <t>Sylvia Malgorzata</t>
  </si>
  <si>
    <t>Tytko</t>
  </si>
  <si>
    <t>Aleksandra Irmina</t>
  </si>
  <si>
    <t>R0406-01</t>
  </si>
  <si>
    <t>Jastrzębie Zdroj - parking ALDI Arki Bożka 1A</t>
  </si>
  <si>
    <t>Urbaczka</t>
  </si>
  <si>
    <t>Dominika</t>
  </si>
  <si>
    <t>R1157-01</t>
  </si>
  <si>
    <t>Urbanowicz</t>
  </si>
  <si>
    <t>Urbas</t>
  </si>
  <si>
    <t>Justyna</t>
  </si>
  <si>
    <t>R1151-01</t>
  </si>
  <si>
    <t>Monika Weronika</t>
  </si>
  <si>
    <t>Veselá</t>
  </si>
  <si>
    <t>Stanislava</t>
  </si>
  <si>
    <t>R1074-01</t>
  </si>
  <si>
    <t>Veselý</t>
  </si>
  <si>
    <t>Stanislav</t>
  </si>
  <si>
    <t>R0788-01</t>
  </si>
  <si>
    <t>Waclawczyk</t>
  </si>
  <si>
    <t>Adam Krzysztof</t>
  </si>
  <si>
    <t>R0715-01</t>
  </si>
  <si>
    <t>Wagner</t>
  </si>
  <si>
    <t>Irena Agnieszka</t>
  </si>
  <si>
    <t>R1008-01</t>
  </si>
  <si>
    <t>Wardzala</t>
  </si>
  <si>
    <t>Nicolla</t>
  </si>
  <si>
    <t>Wasik</t>
  </si>
  <si>
    <t>Jastrzebie Zdrój - Stokrotka (al. J. Pilsudskiego os. Staszica - przystanek)</t>
  </si>
  <si>
    <t>Waszut</t>
  </si>
  <si>
    <t>Watroba</t>
  </si>
  <si>
    <t>Leszek Stanislaw</t>
  </si>
  <si>
    <t>Wawrzyczek</t>
  </si>
  <si>
    <t>Arkadiusz</t>
  </si>
  <si>
    <t>Wawrzyczny</t>
  </si>
  <si>
    <t>Leszek Adam</t>
  </si>
  <si>
    <t>R0118-01</t>
  </si>
  <si>
    <t>Wodzisław Śląski Mrowka</t>
  </si>
  <si>
    <t>Wiącek</t>
  </si>
  <si>
    <t>Wieszolek</t>
  </si>
  <si>
    <t>Właśniak</t>
  </si>
  <si>
    <t>Wodyk</t>
  </si>
  <si>
    <t>Wojtowicz</t>
  </si>
  <si>
    <t>R1206-01</t>
  </si>
  <si>
    <t>Karolina</t>
  </si>
  <si>
    <t>R1205-01</t>
  </si>
  <si>
    <t>Wronka</t>
  </si>
  <si>
    <t>Wutzke</t>
  </si>
  <si>
    <t>Ewa Sabina</t>
  </si>
  <si>
    <t>Wywiol</t>
  </si>
  <si>
    <t>Romeusz</t>
  </si>
  <si>
    <t>Zajac</t>
  </si>
  <si>
    <t>Zarebska</t>
  </si>
  <si>
    <t>Wodzisław Śląski - Piekarnia Klos (ul. Radlinska - przystanek Os XXX - lecia)</t>
  </si>
  <si>
    <t>Zawada</t>
  </si>
  <si>
    <t>Zglenicka</t>
  </si>
  <si>
    <t>Zjadewicz</t>
  </si>
  <si>
    <t>Zlotkowski</t>
  </si>
  <si>
    <t>Miroslaw</t>
  </si>
  <si>
    <t>Czarny Rycerz Wodzislawska Jastrzebie</t>
  </si>
  <si>
    <t>Zmarzly</t>
  </si>
  <si>
    <t>Roksana Marzena</t>
  </si>
  <si>
    <t>R0630-01</t>
  </si>
  <si>
    <t>Rybnik - Stacja paliw AMIC Energy ul. Władysława Stanisława Reymonta 45</t>
  </si>
  <si>
    <t>Zubrzycka</t>
  </si>
  <si>
    <t>R0987-01</t>
  </si>
  <si>
    <t>Żwirek</t>
  </si>
  <si>
    <t>Zygadlinska</t>
  </si>
  <si>
    <t>Aneta</t>
  </si>
  <si>
    <t>R1053-01</t>
  </si>
  <si>
    <t>Zymelka</t>
  </si>
  <si>
    <t>Zynda</t>
  </si>
  <si>
    <t>Wieslaw Józef</t>
  </si>
  <si>
    <t>0000-00-00</t>
  </si>
  <si>
    <t>Datum</t>
  </si>
  <si>
    <t>Firma</t>
  </si>
  <si>
    <t>Pracovník</t>
  </si>
  <si>
    <t>Absence</t>
  </si>
  <si>
    <t>Přesčas</t>
  </si>
  <si>
    <t>Poznámka</t>
  </si>
  <si>
    <t>Popisky sloupců</t>
  </si>
  <si>
    <t>Celkový součet</t>
  </si>
  <si>
    <t>Popisky řádků</t>
  </si>
  <si>
    <t>R</t>
  </si>
  <si>
    <t>Bilicer Natalia</t>
  </si>
  <si>
    <t>Małka Artur</t>
  </si>
  <si>
    <t>Maciaczyk Urszula</t>
  </si>
  <si>
    <t>Janczuk Mariola Anna</t>
  </si>
  <si>
    <t>Os. Číslo</t>
  </si>
  <si>
    <t>Baka Przemyslaw</t>
  </si>
  <si>
    <t>IND#</t>
  </si>
  <si>
    <t>Banot Katarzyna</t>
  </si>
  <si>
    <t>Brachman Piotr Leszek</t>
  </si>
  <si>
    <t>Přítomnost / Směna</t>
  </si>
  <si>
    <t>Úvazek</t>
  </si>
  <si>
    <t>Směny</t>
  </si>
  <si>
    <t>A</t>
  </si>
  <si>
    <t>O</t>
  </si>
  <si>
    <t>N</t>
  </si>
  <si>
    <t>Dovolená</t>
  </si>
  <si>
    <t>Nemoc</t>
  </si>
  <si>
    <t>Lékař</t>
  </si>
  <si>
    <t>Neomluvená</t>
  </si>
  <si>
    <t>Bojda Lukasz</t>
  </si>
  <si>
    <t>Brodowski Robert</t>
  </si>
  <si>
    <t>Doliński Roman</t>
  </si>
  <si>
    <t>Grabka Daniel</t>
  </si>
  <si>
    <t>Jablonski Slawomir</t>
  </si>
  <si>
    <t>Koblanski Daniel</t>
  </si>
  <si>
    <t>Madrzyk Ryszard</t>
  </si>
  <si>
    <t>Mrozek Mateusz</t>
  </si>
  <si>
    <t>Podżorski Andrzej</t>
  </si>
  <si>
    <t>Salata Krzysztof Marek</t>
  </si>
  <si>
    <t>Slusarczyk Slawomir</t>
  </si>
  <si>
    <t>Smagon Damian</t>
  </si>
  <si>
    <t>Sztymelski Lukasz</t>
  </si>
  <si>
    <t>Szurman Krystian</t>
  </si>
  <si>
    <t>Tabor Konrad</t>
  </si>
  <si>
    <t>Tomica Artur</t>
  </si>
  <si>
    <t>Tworzydło Slawomir</t>
  </si>
  <si>
    <t>Żwirek Arkadiusz</t>
  </si>
  <si>
    <t>Żwirek Dawid</t>
  </si>
  <si>
    <t>Adamiak Magdalena</t>
  </si>
  <si>
    <t>Bartoň Edyta</t>
  </si>
  <si>
    <t>Belej Karina</t>
  </si>
  <si>
    <t>Bortlik Dawid</t>
  </si>
  <si>
    <t>Brewinski Zbigniew</t>
  </si>
  <si>
    <t>Bujok Dominik</t>
  </si>
  <si>
    <t>Bury Angelika</t>
  </si>
  <si>
    <t>Buturla Bozena</t>
  </si>
  <si>
    <t>Buza Grazyna Aniela</t>
  </si>
  <si>
    <t>Buza Jan Ireneusz</t>
  </si>
  <si>
    <t>Cwiklak Robert</t>
  </si>
  <si>
    <t>Cyrzyk Grazyna Barbara</t>
  </si>
  <si>
    <t>Dalemula Krysztof Grzegorz</t>
  </si>
  <si>
    <t>Dolezych Lidia</t>
  </si>
  <si>
    <t>Fitrzyková Jana</t>
  </si>
  <si>
    <t>Gorka Grzegorz</t>
  </si>
  <si>
    <t>Chodinský Rostislav</t>
  </si>
  <si>
    <t>Janik-Rurarz Izabela</t>
  </si>
  <si>
    <t>Juszczak Jadwiga</t>
  </si>
  <si>
    <t>Konieczny Joanna</t>
  </si>
  <si>
    <t>Kotowski Zbigniew Marek</t>
  </si>
  <si>
    <t>Kozielski Kozielski Andrzej Jozef</t>
  </si>
  <si>
    <t>Krensel Maria</t>
  </si>
  <si>
    <t>Krótki Gabriel</t>
  </si>
  <si>
    <t>Kuklińska Malgorzata</t>
  </si>
  <si>
    <t>Marczak Joanna</t>
  </si>
  <si>
    <t>Marczak Maria Katarzyna</t>
  </si>
  <si>
    <t>Marekwica Adrian</t>
  </si>
  <si>
    <t>Matusiak Orfeusz Marek</t>
  </si>
  <si>
    <t>Meyer Beata</t>
  </si>
  <si>
    <t>Michalec Regina</t>
  </si>
  <si>
    <t>Mottlová Markéta</t>
  </si>
  <si>
    <t>Nowak Martyna</t>
  </si>
  <si>
    <t>Opyd Marzena</t>
  </si>
  <si>
    <t>Ostafin Klaudia</t>
  </si>
  <si>
    <t>Pajor Jolanta Wanda</t>
  </si>
  <si>
    <t>Piechaczek Agnieszka</t>
  </si>
  <si>
    <t>Rak Barbara Irena</t>
  </si>
  <si>
    <t>Rak Julia</t>
  </si>
  <si>
    <t>Salamon Krzysztof</t>
  </si>
  <si>
    <t>Sikora Karina</t>
  </si>
  <si>
    <t>Sikora Teresa Michalina</t>
  </si>
  <si>
    <t>Skolarus Sebastian</t>
  </si>
  <si>
    <t>Smietana Mirela Barbara</t>
  </si>
  <si>
    <t>Sowa (Krzenek) Ryszarda</t>
  </si>
  <si>
    <t>Starzyczny Joanna</t>
  </si>
  <si>
    <t>Stawowski Patryk Tomasz</t>
  </si>
  <si>
    <t>Stryjska Beata Malgorzata</t>
  </si>
  <si>
    <t>Suchy Anna Katarzyna</t>
  </si>
  <si>
    <t>Surosz Zaneta</t>
  </si>
  <si>
    <t>Szymiczek Ewa</t>
  </si>
  <si>
    <t>Szymura Edyta Marzena</t>
  </si>
  <si>
    <t>Šoštá Ivana</t>
  </si>
  <si>
    <t>Tyminska Sylvia Malgorzata</t>
  </si>
  <si>
    <t>Urbanowicz Elzbieta</t>
  </si>
  <si>
    <t>Urbas Monika Weronika</t>
  </si>
  <si>
    <t>Watroba Leszek Stanislaw</t>
  </si>
  <si>
    <t>Wutzke Ewa Sabina</t>
  </si>
  <si>
    <t>Wywiol Romeusz</t>
  </si>
  <si>
    <t>Zawada Grzegorz</t>
  </si>
  <si>
    <t>Zglenicka Magdalena</t>
  </si>
  <si>
    <t>Zjadewicz Robert</t>
  </si>
  <si>
    <t>Bujak Beniamin Salamon</t>
  </si>
  <si>
    <t>Ciesielska Malgorzata</t>
  </si>
  <si>
    <t>Dalemula Radoslaw Jakub</t>
  </si>
  <si>
    <t>Duraj Mateusz Jan</t>
  </si>
  <si>
    <t>Giedziun Monika</t>
  </si>
  <si>
    <t>Grzywacz Klaudia</t>
  </si>
  <si>
    <t>Grzywacz Zbigniew</t>
  </si>
  <si>
    <t>Hak Joanna</t>
  </si>
  <si>
    <t>Halama Pawel</t>
  </si>
  <si>
    <t>Hernik Krzysztof</t>
  </si>
  <si>
    <t>Iwanek Rafal</t>
  </si>
  <si>
    <t>Kowalewski Marcin</t>
  </si>
  <si>
    <t>Kuklinska Marlena</t>
  </si>
  <si>
    <t>Lebiediew Sławomir</t>
  </si>
  <si>
    <t>Lorenc Pawel Jan</t>
  </si>
  <si>
    <t>Małczak Krzysztof</t>
  </si>
  <si>
    <t>Mielczarek Patrycjusz</t>
  </si>
  <si>
    <t>Milek Michal Jerzy</t>
  </si>
  <si>
    <t>Mochnacz Lukasz Teodor</t>
  </si>
  <si>
    <t>Niewiadomski Michal</t>
  </si>
  <si>
    <t>Nowakowska Magdalena</t>
  </si>
  <si>
    <t>Palička Jiří</t>
  </si>
  <si>
    <t>Pawlak Marcin</t>
  </si>
  <si>
    <t>Poloczek Jadwiga Barbara</t>
  </si>
  <si>
    <t>Poloczek Sebastian</t>
  </si>
  <si>
    <t>Rak Sławomir</t>
  </si>
  <si>
    <t>Regulski Adrian</t>
  </si>
  <si>
    <t>Stanisz Pawel Piotr</t>
  </si>
  <si>
    <t>Wawrzyczek Arkadiusz</t>
  </si>
  <si>
    <t>Zajac Tomasz</t>
  </si>
  <si>
    <t>Zymelka Krzysztof</t>
  </si>
  <si>
    <t>Bassler Lukáš</t>
  </si>
  <si>
    <t>Baszczynski Bogdan</t>
  </si>
  <si>
    <t>Bialas Elzbieta</t>
  </si>
  <si>
    <t>Bialozyt Joanna</t>
  </si>
  <si>
    <t>Bochenek Adam Piotr</t>
  </si>
  <si>
    <t>Bochenek Damian Krzysztof</t>
  </si>
  <si>
    <t>Borska Ewa</t>
  </si>
  <si>
    <t>Bujak Leszek Sylwester</t>
  </si>
  <si>
    <t>Cwiklinska Alicja Katarzyna</t>
  </si>
  <si>
    <t>Damis Malgorzata Maria</t>
  </si>
  <si>
    <t>Feszter Ewa</t>
  </si>
  <si>
    <t>Fojcik Marzena</t>
  </si>
  <si>
    <t>Gawel Krystian</t>
  </si>
  <si>
    <t>Golyszna Daria Anna</t>
  </si>
  <si>
    <t>Gora Renata</t>
  </si>
  <si>
    <t>Groborz Paulina Dominika</t>
  </si>
  <si>
    <t>Gromek Sylwia</t>
  </si>
  <si>
    <t>Habierska Maja</t>
  </si>
  <si>
    <t>Herok Natalia Magdalena</t>
  </si>
  <si>
    <t>Holeksa Mariola</t>
  </si>
  <si>
    <t>Chalimoniuk Igor</t>
  </si>
  <si>
    <t>Chlebek Aleksandra Ewa</t>
  </si>
  <si>
    <t>Chodorowska Barbara Miroslawa</t>
  </si>
  <si>
    <t>Jakubiec Krzysztof Grzegorz</t>
  </si>
  <si>
    <t>Jamry Kamil</t>
  </si>
  <si>
    <t>Kalisz Patrycja</t>
  </si>
  <si>
    <t>Korab Karina Weronika</t>
  </si>
  <si>
    <t>Kotas Barbara Mariola</t>
  </si>
  <si>
    <t>Kowaczik Bozena Jadwiga</t>
  </si>
  <si>
    <t>Králová Eliška</t>
  </si>
  <si>
    <t>Kurasik Monika Dorota</t>
  </si>
  <si>
    <t>Latka Ewelina Ewa</t>
  </si>
  <si>
    <t>Macura Kamil Damian</t>
  </si>
  <si>
    <t>Machej Adrian</t>
  </si>
  <si>
    <t>Majchrowicz Mateusz</t>
  </si>
  <si>
    <t>Meller Michal Stanislaw</t>
  </si>
  <si>
    <t>Mienkowska Edyta Ewa</t>
  </si>
  <si>
    <t>Mikus Roman</t>
  </si>
  <si>
    <t>Niemczyk Daniel Marcin</t>
  </si>
  <si>
    <t>Niepsuj Karolina Magdalena</t>
  </si>
  <si>
    <t>Olszanecka Beata Magdalena</t>
  </si>
  <si>
    <t>Ordzinska Ewa</t>
  </si>
  <si>
    <t>Paprota Dominik Patryk</t>
  </si>
  <si>
    <t>Pawlak Lidia Marzena</t>
  </si>
  <si>
    <t>Pawlak Szymon</t>
  </si>
  <si>
    <t>Pawlas Klaudia Paulina</t>
  </si>
  <si>
    <t>Penkala Piotr</t>
  </si>
  <si>
    <t>Plichta Lukasz</t>
  </si>
  <si>
    <t>Plinta Marcin</t>
  </si>
  <si>
    <t>Polak Renata</t>
  </si>
  <si>
    <t>Polok Marzena</t>
  </si>
  <si>
    <t>Pracz Sonia</t>
  </si>
  <si>
    <t>Przybyla Danuta Anna</t>
  </si>
  <si>
    <t>Ragus Wiktoria</t>
  </si>
  <si>
    <t>Ratajczyk Patrycja Joanna</t>
  </si>
  <si>
    <t>Rduch Mateusz Pawel</t>
  </si>
  <si>
    <t>Rudnicka Marta</t>
  </si>
  <si>
    <t>Saganová Marie</t>
  </si>
  <si>
    <t>Satlawa Iwona Maria</t>
  </si>
  <si>
    <t>Skawinska Dorota Bernadeta</t>
  </si>
  <si>
    <t>Slupik Anna</t>
  </si>
  <si>
    <t>Sobik Barbara</t>
  </si>
  <si>
    <t>Sosna Zaneta</t>
  </si>
  <si>
    <t>Spiewak Wioletta</t>
  </si>
  <si>
    <t>Stafiej Lucyna Justyna</t>
  </si>
  <si>
    <t>Stanek Martyna Katarzyna</t>
  </si>
  <si>
    <t>Swoboda Martyna Alicja</t>
  </si>
  <si>
    <t>Szczesny Agnieszka Joanna</t>
  </si>
  <si>
    <t>Szpin Mateusz</t>
  </si>
  <si>
    <t>Tomica Janusz Franciszek</t>
  </si>
  <si>
    <t>Tomiczek Sara Beata</t>
  </si>
  <si>
    <t>Tuna Lukáš</t>
  </si>
  <si>
    <t>Tytko Aleksandra Irmina</t>
  </si>
  <si>
    <t>Urbaczka Dominika</t>
  </si>
  <si>
    <t>Urbas Justyna</t>
  </si>
  <si>
    <t>Veselá Stanislava</t>
  </si>
  <si>
    <t>Veselý Stanislav</t>
  </si>
  <si>
    <t>Waclawczyk Adam Krzysztof</t>
  </si>
  <si>
    <t>Wagner Irena Agnieszka</t>
  </si>
  <si>
    <t>Wawrzyczny Leszek Adam</t>
  </si>
  <si>
    <t>Wodyk Piotr</t>
  </si>
  <si>
    <t>Wojtowicz Karolina</t>
  </si>
  <si>
    <t>Wojtowicz Wieslawa</t>
  </si>
  <si>
    <t>Wronka Rafal</t>
  </si>
  <si>
    <t>Zmarzly Roksana Marzena</t>
  </si>
  <si>
    <t>Zubrzycka Barbara</t>
  </si>
  <si>
    <t>Zygadlinska Aneta</t>
  </si>
  <si>
    <t>Rojek Daniel</t>
  </si>
  <si>
    <t>Szweda Krzysztof</t>
  </si>
  <si>
    <t>Zlotkowski Miroslaw</t>
  </si>
  <si>
    <t>Adamczewski Amadeusz</t>
  </si>
  <si>
    <t>Balwierz Piotr Marian</t>
  </si>
  <si>
    <t>Blonski Marcin Ireneusz</t>
  </si>
  <si>
    <t>Boruszka Aneta Barbara</t>
  </si>
  <si>
    <t>Gozdur Oliwia Katarzyna</t>
  </si>
  <si>
    <t>Huptys Wieslawa</t>
  </si>
  <si>
    <t>Jerchewicz Iwona</t>
  </si>
  <si>
    <t>Kolanowski Dawid Piotr</t>
  </si>
  <si>
    <t>Korcz Wioleta</t>
  </si>
  <si>
    <t>Nowak-Michalecka Katarzyna</t>
  </si>
  <si>
    <t>Peterková Dagmar</t>
  </si>
  <si>
    <t>Szewczyk Agnieszka</t>
  </si>
  <si>
    <t>Wardzala Nicolla</t>
  </si>
  <si>
    <t>Wasik Izabela</t>
  </si>
  <si>
    <t>Zarebska Ewa</t>
  </si>
  <si>
    <t>Bieniek Krystian</t>
  </si>
  <si>
    <t>Ceglarski Wojciech</t>
  </si>
  <si>
    <t>Ganczorz Tomasz</t>
  </si>
  <si>
    <t>Goik Andrzej</t>
  </si>
  <si>
    <t>Chojnacki Piotr</t>
  </si>
  <si>
    <t>Janiczek Kamil Patryk</t>
  </si>
  <si>
    <t>Jarosz Mariusz</t>
  </si>
  <si>
    <t>Kala Janusz Eryk</t>
  </si>
  <si>
    <t>Kordowski Henryk</t>
  </si>
  <si>
    <t>Kovařčik Tomáš</t>
  </si>
  <si>
    <t>Koza Adam</t>
  </si>
  <si>
    <t>Lichacz Piotr</t>
  </si>
  <si>
    <t>Marczewski Robert Wieslaw</t>
  </si>
  <si>
    <t>Możdżeń Dariusz</t>
  </si>
  <si>
    <t>Nawara Bartosz Pawel</t>
  </si>
  <si>
    <t>Onderka Jan</t>
  </si>
  <si>
    <t>Pawlowski Kamil</t>
  </si>
  <si>
    <t>Pitel Jiří</t>
  </si>
  <si>
    <t>Prudel Mateusz Stanislaw</t>
  </si>
  <si>
    <t>Siedlok Zbigniew</t>
  </si>
  <si>
    <t>Skierka Dariusz</t>
  </si>
  <si>
    <t>Stohandel Artur</t>
  </si>
  <si>
    <t>Święty Czesław</t>
  </si>
  <si>
    <t>Sypulek Dariusz</t>
  </si>
  <si>
    <t>Szmyt Dariusz</t>
  </si>
  <si>
    <t>Szopa Daniel</t>
  </si>
  <si>
    <t>Szrejder Sebastian</t>
  </si>
  <si>
    <t>Trzmielowski Adrian Adam</t>
  </si>
  <si>
    <t>Waszut Lukasz</t>
  </si>
  <si>
    <t>Wiącek Robert</t>
  </si>
  <si>
    <t>Wieszolek Adam</t>
  </si>
  <si>
    <t>Właśniak Dariusz</t>
  </si>
  <si>
    <t>Zynda Wieslaw Józef</t>
  </si>
  <si>
    <t>Belica Bartosz</t>
  </si>
  <si>
    <t>Gordienko Adam</t>
  </si>
  <si>
    <t>Gorka Dawid</t>
  </si>
  <si>
    <t>Siekierski Filip</t>
  </si>
  <si>
    <t>ALLIANCE</t>
  </si>
  <si>
    <t>Počet z Přítomnost / Směna</t>
  </si>
  <si>
    <t>Prostoj</t>
  </si>
  <si>
    <t>Narozeninový den</t>
  </si>
  <si>
    <t>Czajka Bartosz</t>
  </si>
  <si>
    <t>Czajka</t>
  </si>
  <si>
    <t>Wilchwy przystanek autobusowy Szkola</t>
  </si>
  <si>
    <t>Chciuk</t>
  </si>
  <si>
    <t>Chciuk Lukasz</t>
  </si>
  <si>
    <t>Derlacz</t>
  </si>
  <si>
    <t>Derlacz Piotr</t>
  </si>
  <si>
    <t>Omluvená-Paragraf</t>
  </si>
  <si>
    <t>Neplacené volno</t>
  </si>
  <si>
    <t>-</t>
  </si>
  <si>
    <t>Klonowski</t>
  </si>
  <si>
    <t>Jastrzębie Urząd Skarbowy</t>
  </si>
  <si>
    <t>Herok-Legec</t>
  </si>
  <si>
    <t>Jolanta</t>
  </si>
  <si>
    <t>Kaczmarczyk</t>
  </si>
  <si>
    <t>Jagna</t>
  </si>
  <si>
    <t>UNIWAR - parking obok Uniwaru</t>
  </si>
  <si>
    <t>Lebok</t>
  </si>
  <si>
    <t>Zeromska</t>
  </si>
  <si>
    <t>Aleksandra</t>
  </si>
  <si>
    <t>Szalamacha</t>
  </si>
  <si>
    <t>Maciej</t>
  </si>
  <si>
    <t>Jaworski</t>
  </si>
  <si>
    <t>Klonowski Piotr</t>
  </si>
  <si>
    <t>Szalamacha Maciej</t>
  </si>
  <si>
    <t>Szalamacha Wojciech</t>
  </si>
  <si>
    <t>Jaworski Dariusz</t>
  </si>
  <si>
    <t>Herok-Legec Jolanta</t>
  </si>
  <si>
    <t>Kaczmarczyk Jagna</t>
  </si>
  <si>
    <t>Lebok Karolina</t>
  </si>
  <si>
    <t>Zeromska Aleksandra</t>
  </si>
  <si>
    <t>N/A / R</t>
  </si>
  <si>
    <t>Ferszt</t>
  </si>
  <si>
    <t>Hodulík</t>
  </si>
  <si>
    <t>Mikuláš</t>
  </si>
  <si>
    <t>52607M</t>
  </si>
  <si>
    <t>52606P</t>
  </si>
  <si>
    <t>Luczkowski</t>
  </si>
  <si>
    <t>Mendrok</t>
  </si>
  <si>
    <t>Wanesa</t>
  </si>
  <si>
    <t>Cieszyn ul. Katowicka przystanek obok Biedronki</t>
  </si>
  <si>
    <t>52604B</t>
  </si>
  <si>
    <t>52605X</t>
  </si>
  <si>
    <t>Zybul</t>
  </si>
  <si>
    <t>Paweł</t>
  </si>
  <si>
    <t>52619X</t>
  </si>
  <si>
    <t>Ferszt Tomasz</t>
  </si>
  <si>
    <t>Luczkowski Artur</t>
  </si>
  <si>
    <t>Mendrok Wanesa</t>
  </si>
  <si>
    <t>Pawlak Katarzyna</t>
  </si>
  <si>
    <t>Zybul Paweł</t>
  </si>
  <si>
    <t>Hodulík Mikuláš</t>
  </si>
  <si>
    <t>Odpolední</t>
  </si>
  <si>
    <t>Kowalak Krzysztof</t>
  </si>
  <si>
    <t>Machnik Weronika</t>
  </si>
  <si>
    <t>ukončení k 30.9.2025</t>
  </si>
  <si>
    <t>Ostafin Andrzej Zbigniew</t>
  </si>
  <si>
    <t>Ostafin Hanna</t>
  </si>
  <si>
    <t>Paduch Andrzej</t>
  </si>
  <si>
    <t>Sienkowski Andrzej</t>
  </si>
  <si>
    <t>Szymura Mariola</t>
  </si>
  <si>
    <t>Z Thermy se dovídám až později zda měl dovolenou nebo si to naddělá</t>
  </si>
  <si>
    <t>Chrzanowska Danuta</t>
  </si>
  <si>
    <t>Hak Agnieszka</t>
  </si>
  <si>
    <t>Jachym Sebastian</t>
  </si>
  <si>
    <t>Kowalski Damian</t>
  </si>
  <si>
    <t>Murawski Kamil</t>
  </si>
  <si>
    <t>Paluch Joanna</t>
  </si>
  <si>
    <t>Placzek Michal</t>
  </si>
  <si>
    <t>Skibinski Adrian</t>
  </si>
  <si>
    <t>Szymiczek Filip</t>
  </si>
  <si>
    <t>Szybiak Tomasz</t>
  </si>
  <si>
    <t>Wysluch-Brzezek Anna</t>
  </si>
  <si>
    <t>Perlik Przemyslaw</t>
  </si>
  <si>
    <t>Ambroziewicz Hanna</t>
  </si>
  <si>
    <t xml:space="preserve">ukončena </t>
  </si>
  <si>
    <t>prostoj</t>
  </si>
  <si>
    <t>ranní</t>
  </si>
  <si>
    <t>Nowak-Plucińska Beata Renata</t>
  </si>
  <si>
    <t>Pasinska Barbara Beata</t>
  </si>
  <si>
    <t>Sikora Aleksandra Barbara</t>
  </si>
  <si>
    <t>končí 8.10.2025</t>
  </si>
  <si>
    <t>neplacené volno</t>
  </si>
  <si>
    <t>odpolední</t>
  </si>
  <si>
    <t>paragraf</t>
  </si>
  <si>
    <t>ukončena k 26.9.2025</t>
  </si>
  <si>
    <t>ukončen k 26.9.2025</t>
  </si>
  <si>
    <t>k 30.9.ukončen</t>
  </si>
  <si>
    <t>ukončen 26.9.2025</t>
  </si>
  <si>
    <t>ukončena 26.9.2025</t>
  </si>
  <si>
    <t>ukončen 30.9.</t>
  </si>
  <si>
    <t>mateřská dovolená, Batz si ji u sebe ukončil 30.9.</t>
  </si>
  <si>
    <t>OČR od 29.9.</t>
  </si>
  <si>
    <t>ukončen 30.9.2025</t>
  </si>
  <si>
    <t>ukončena 30.9.2025</t>
  </si>
  <si>
    <t>ukončena 1.10.2025</t>
  </si>
  <si>
    <t>ukončen k 1.10.2025</t>
  </si>
  <si>
    <t>ukončen k 15.10.</t>
  </si>
  <si>
    <t>přechod pod kmen k 1.10</t>
  </si>
  <si>
    <t>přechod pod kmen od 1.10</t>
  </si>
  <si>
    <t>ukončen 1.10</t>
  </si>
  <si>
    <t>nestihla autobus</t>
  </si>
  <si>
    <t>ukončen 6.10.2025</t>
  </si>
  <si>
    <t>Ambroziewicz</t>
  </si>
  <si>
    <t>Hanna</t>
  </si>
  <si>
    <t>Chrzanowska</t>
  </si>
  <si>
    <t>Danuta</t>
  </si>
  <si>
    <t>Jachym</t>
  </si>
  <si>
    <t>Kowalak</t>
  </si>
  <si>
    <t>Kowalski</t>
  </si>
  <si>
    <t>Radlin II. PKP</t>
  </si>
  <si>
    <t>Machnik</t>
  </si>
  <si>
    <t>Weronika</t>
  </si>
  <si>
    <t>Murawski</t>
  </si>
  <si>
    <t>Nowak-Plucińska</t>
  </si>
  <si>
    <t>Beata Renata</t>
  </si>
  <si>
    <t>R0625-01</t>
  </si>
  <si>
    <t>Andrzej Zbigniew</t>
  </si>
  <si>
    <t>Paduch</t>
  </si>
  <si>
    <t>Paluch</t>
  </si>
  <si>
    <t>Pasinska</t>
  </si>
  <si>
    <t>Barbara Beata</t>
  </si>
  <si>
    <t>R0983-01</t>
  </si>
  <si>
    <t>Perlik</t>
  </si>
  <si>
    <t>Placzek</t>
  </si>
  <si>
    <t>Sienkowski</t>
  </si>
  <si>
    <t>Jastr.Zd. - Pszczyńska/Rybnicka</t>
  </si>
  <si>
    <t>Aleksandra Barbara</t>
  </si>
  <si>
    <t>R0825-01</t>
  </si>
  <si>
    <t>Skibinski</t>
  </si>
  <si>
    <t>Szybiak</t>
  </si>
  <si>
    <t>Wysluch-Brzezek</t>
  </si>
  <si>
    <t>IX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</si>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</sst>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h:mm;@"/>
  </numFmts>
  <fonts count="3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3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0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4" fontId="2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4" xfId="0" applyFont="1" applyFill="1" applyBorder="1" applyAlignment="1" applyProtection="1">
      <alignment horizontal="left" vertical="center" wrapText="1" indent="1"/>
      <protection locked="0"/>
    </xf>
    <xf numFmtId="164" fontId="0" fillId="4" borderId="5" xfId="0" applyNumberFormat="1" applyFill="1" applyBorder="1" applyAlignment="1" applyProtection="1">
      <alignment horizontal="left" indent="1"/>
      <protection locked="0"/>
    </xf>
    <xf numFmtId="0" fontId="0" fillId="4" borderId="1" xfId="0" applyFill="1" applyBorder="1" applyAlignment="1" applyProtection="1">
      <alignment horizontal="left" indent="1"/>
      <protection locked="0"/>
    </xf>
    <xf numFmtId="0" fontId="0" fillId="3" borderId="1" xfId="0" applyFill="1" applyBorder="1" applyAlignment="1" applyProtection="1">
      <alignment horizontal="left" indent="1"/>
      <protection hidden="1"/>
    </xf>
    <xf numFmtId="165" fontId="0" fillId="4" borderId="1" xfId="0" applyNumberFormat="1" applyFill="1" applyBorder="1" applyAlignment="1" applyProtection="1">
      <alignment horizontal="left" indent="1"/>
      <protection locked="0"/>
    </xf>
    <xf numFmtId="0" fontId="0" fillId="4" borderId="6" xfId="0" applyFill="1" applyBorder="1" applyAlignment="1" applyProtection="1">
      <alignment horizontal="left" indent="1"/>
      <protection locked="0"/>
    </xf>
    <xf numFmtId="164" fontId="0" fillId="0" borderId="0" xfId="0" applyNumberFormat="1" applyAlignment="1" applyProtection="1">
      <alignment horizontal="left" indent="1"/>
      <protection locked="0"/>
    </xf>
    <xf numFmtId="0" fontId="0" fillId="0" borderId="0" xfId="0" applyAlignment="1" applyProtection="1">
      <alignment horizontal="left" indent="1"/>
      <protection locked="0"/>
    </xf>
    <xf numFmtId="164" fontId="0" fillId="4" borderId="8" xfId="0" applyNumberFormat="1" applyFill="1" applyBorder="1" applyAlignment="1" applyProtection="1">
      <alignment horizontal="left" indent="1"/>
      <protection locked="0"/>
    </xf>
    <xf numFmtId="0" fontId="0" fillId="4" borderId="9" xfId="0" applyFill="1" applyBorder="1" applyAlignment="1" applyProtection="1">
      <alignment horizontal="left" indent="1"/>
      <protection locked="0"/>
    </xf>
    <xf numFmtId="0" fontId="0" fillId="4" borderId="9" xfId="0" applyFill="1" applyBorder="1" applyAlignment="1" applyProtection="1">
      <alignment horizontal="center"/>
      <protection locked="0"/>
    </xf>
    <xf numFmtId="165" fontId="0" fillId="4" borderId="9" xfId="0" applyNumberFormat="1" applyFill="1" applyBorder="1" applyAlignment="1" applyProtection="1">
      <alignment horizontal="left" indent="1"/>
      <protection locked="0"/>
    </xf>
    <xf numFmtId="0" fontId="0" fillId="4" borderId="7" xfId="0" applyFill="1" applyBorder="1" applyAlignment="1" applyProtection="1">
      <alignment horizontal="left" indent="1"/>
      <protection locked="0"/>
    </xf>
    <xf numFmtId="165" fontId="0" fillId="3" borderId="1" xfId="0" applyNumberFormat="1" applyFill="1" applyBorder="1" applyAlignment="1" applyProtection="1">
      <alignment horizontal="left" indent="1"/>
      <protection locked="0"/>
    </xf>
    <xf numFmtId="20" fontId="0" fillId="4" borderId="1" xfId="0" applyNumberFormat="1" applyFill="1" applyBorder="1" applyAlignment="1" applyProtection="1">
      <alignment horizontal="left" indent="1"/>
      <protection locked="0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164" fontId="0" fillId="0" borderId="0" xfId="0" pivotButton="1" applyNumberFormat="1"/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/>
    <xf numFmtId="0" fontId="0" fillId="0" borderId="9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</cellXfs>
  <cellStyles count="1">
    <cellStyle name="Normální" xfId="0" builtinId="0"/>
  </cellStyles>
  <dxfs count="205"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dd/mm"/>
    </dxf>
    <dxf>
      <numFmt numFmtId="164" formatCode="dd/mm"/>
    </dxf>
    <dxf>
      <numFmt numFmtId="164" formatCode="dd/mm"/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dd/mm"/>
    </dxf>
    <dxf>
      <numFmt numFmtId="164" formatCode="dd/mm"/>
    </dxf>
    <dxf>
      <numFmt numFmtId="164" formatCode="dd/mm"/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dd/mm"/>
    </dxf>
    <dxf>
      <numFmt numFmtId="164" formatCode="dd/mm"/>
    </dxf>
    <dxf>
      <numFmt numFmtId="164" formatCode="dd/mm"/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dd/mm"/>
    </dxf>
    <dxf>
      <numFmt numFmtId="164" formatCode="dd/mm"/>
    </dxf>
    <dxf>
      <numFmt numFmtId="164" formatCode="dd/mm"/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dd/mm"/>
    </dxf>
    <dxf>
      <numFmt numFmtId="164" formatCode="dd/mm"/>
    </dxf>
    <dxf>
      <numFmt numFmtId="164" formatCode="dd/mm"/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dd/mm"/>
    </dxf>
    <dxf>
      <numFmt numFmtId="164" formatCode="dd/mm"/>
    </dxf>
    <dxf>
      <numFmt numFmtId="164" formatCode="dd/mm"/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dd/mm"/>
    </dxf>
    <dxf>
      <numFmt numFmtId="164" formatCode="dd/mm"/>
    </dxf>
    <dxf>
      <numFmt numFmtId="164" formatCode="dd/mm"/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dd/mm"/>
    </dxf>
    <dxf>
      <numFmt numFmtId="164" formatCode="dd/mm"/>
    </dxf>
    <dxf>
      <numFmt numFmtId="164" formatCode="dd/mm"/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dd/mm"/>
    </dxf>
    <dxf>
      <numFmt numFmtId="164" formatCode="dd/mm"/>
    </dxf>
    <dxf>
      <numFmt numFmtId="164" formatCode="dd/mm"/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dd/mm"/>
    </dxf>
    <dxf>
      <numFmt numFmtId="164" formatCode="dd/mm"/>
    </dxf>
    <dxf>
      <numFmt numFmtId="164" formatCode="dd/mm"/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dd/mm"/>
    </dxf>
    <dxf>
      <numFmt numFmtId="164" formatCode="dd/mm"/>
    </dxf>
    <dxf>
      <numFmt numFmtId="164" formatCode="dd/mm"/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dd/mm"/>
    </dxf>
    <dxf>
      <numFmt numFmtId="164" formatCode="dd/mm"/>
    </dxf>
    <dxf>
      <numFmt numFmtId="164" formatCode="dd/mm"/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dd/mm"/>
    </dxf>
    <dxf>
      <numFmt numFmtId="164" formatCode="dd/mm"/>
    </dxf>
    <dxf>
      <numFmt numFmtId="164" formatCode="dd/mm"/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dd/mm"/>
    </dxf>
    <dxf>
      <numFmt numFmtId="164" formatCode="dd/mm"/>
    </dxf>
    <dxf>
      <numFmt numFmtId="164" formatCode="dd/mm"/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dd/mm"/>
    </dxf>
    <dxf>
      <numFmt numFmtId="164" formatCode="dd/mm"/>
    </dxf>
    <dxf>
      <numFmt numFmtId="164" formatCode="dd/mm"/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dd/mm"/>
    </dxf>
    <dxf>
      <numFmt numFmtId="164" formatCode="dd/mm"/>
    </dxf>
    <dxf>
      <numFmt numFmtId="164" formatCode="dd/mm"/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dd/mm"/>
    </dxf>
    <dxf>
      <numFmt numFmtId="164" formatCode="dd/mm"/>
    </dxf>
    <dxf>
      <numFmt numFmtId="164" formatCode="dd/mm"/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dd/mm"/>
    </dxf>
    <dxf>
      <numFmt numFmtId="164" formatCode="dd/mm"/>
    </dxf>
    <dxf>
      <numFmt numFmtId="164" formatCode="dd/mm"/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dd/mm"/>
    </dxf>
    <dxf>
      <numFmt numFmtId="164" formatCode="dd/mm"/>
    </dxf>
    <dxf>
      <numFmt numFmtId="164" formatCode="dd/mm"/>
    </dxf>
    <dxf>
      <font>
        <color rgb="FF9C0006"/>
      </font>
      <fill>
        <patternFill>
          <bgColor rgb="FFFFC7CE"/>
        </patternFill>
      </fill>
    </dxf>
    <dxf>
      <numFmt numFmtId="164" formatCode="dd/mm"/>
    </dxf>
    <dxf>
      <numFmt numFmtId="164" formatCode="dd/mm"/>
    </dxf>
    <dxf>
      <numFmt numFmtId="164" formatCode="dd/mm"/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fill>
        <patternFill patternType="solid">
          <fgColor indexed="64"/>
          <bgColor rgb="FFCCFFCC"/>
        </patternFill>
      </fill>
      <alignment horizontal="left" vertical="bottom" textRotation="0" wrapText="0" indent="1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/>
        <horizontal/>
      </border>
      <protection locked="0" hidden="0"/>
    </dxf>
    <dxf>
      <fill>
        <patternFill patternType="solid">
          <fgColor indexed="64"/>
          <bgColor rgb="FFCCFFCC"/>
        </patternFill>
      </fill>
      <alignment horizontal="left" vertical="bottom" textRotation="0" wrapText="0" indent="1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0" hidden="0"/>
    </dxf>
    <dxf>
      <numFmt numFmtId="165" formatCode="h:mm;@"/>
      <fill>
        <patternFill patternType="solid">
          <fgColor indexed="64"/>
          <bgColor rgb="FFFFFFCC"/>
        </patternFill>
      </fill>
      <alignment horizontal="left" vertical="bottom" textRotation="0" wrapText="0" indent="1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0" hidden="0"/>
    </dxf>
    <dxf>
      <numFmt numFmtId="165" formatCode="h:mm;@"/>
      <fill>
        <patternFill patternType="solid">
          <fgColor indexed="64"/>
          <bgColor rgb="FFCCFFCC"/>
        </patternFill>
      </fill>
      <alignment horizontal="left" vertical="bottom" textRotation="0" wrapText="0" indent="1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0" hidden="0"/>
    </dxf>
    <dxf>
      <fill>
        <patternFill patternType="solid">
          <fgColor indexed="64"/>
          <bgColor rgb="FFCCFFCC"/>
        </patternFill>
      </fill>
      <alignment horizontal="left" vertical="bottom" textRotation="0" wrapText="0" indent="1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0" hidden="0"/>
    </dxf>
    <dxf>
      <fill>
        <patternFill patternType="solid">
          <fgColor indexed="64"/>
          <bgColor rgb="FFCCFFCC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0" hidden="0"/>
    </dxf>
    <dxf>
      <numFmt numFmtId="0" formatCode="General"/>
      <fill>
        <patternFill patternType="solid">
          <fgColor indexed="64"/>
          <bgColor rgb="FFFFFFCC"/>
        </patternFill>
      </fill>
      <alignment horizontal="left" vertical="bottom" textRotation="0" wrapText="0" indent="1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1"/>
    </dxf>
    <dxf>
      <fill>
        <patternFill patternType="solid">
          <fgColor indexed="64"/>
          <bgColor rgb="FFCCFFCC"/>
        </patternFill>
      </fill>
      <alignment horizontal="left" vertical="bottom" textRotation="0" wrapText="0" indent="1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0" hidden="0"/>
    </dxf>
    <dxf>
      <fill>
        <patternFill patternType="solid">
          <fgColor indexed="64"/>
          <bgColor rgb="FFCCFFCC"/>
        </patternFill>
      </fill>
      <alignment horizontal="left" vertical="bottom" textRotation="0" wrapText="0" indent="1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0" hidden="0"/>
    </dxf>
    <dxf>
      <numFmt numFmtId="164" formatCode="dd/mm"/>
      <fill>
        <patternFill patternType="solid">
          <fgColor indexed="64"/>
          <bgColor rgb="FFCCFFCC"/>
        </patternFill>
      </fill>
      <alignment horizontal="left" vertical="bottom" textRotation="0" wrapText="0" indent="1" justifyLastLine="0" shrinkToFit="0" readingOrder="0"/>
      <border diagonalUp="0" diagonalDown="0">
        <left/>
        <right style="hair">
          <color auto="1"/>
        </right>
        <top style="hair">
          <color auto="1"/>
        </top>
        <bottom/>
        <vertical/>
        <horizontal/>
      </border>
      <protection locked="0" hidden="0"/>
    </dxf>
    <dxf>
      <border>
        <top style="hair">
          <color auto="1"/>
        </top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bottom style="hair">
          <color auto="1"/>
        </bottom>
      </border>
    </dxf>
    <dxf>
      <font>
        <b/>
      </font>
      <fill>
        <patternFill patternType="solid">
          <fgColor indexed="64"/>
          <bgColor theme="4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</border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colors>
    <mruColors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421429</xdr:colOff>
      <xdr:row>10</xdr:row>
      <xdr:rowOff>143087</xdr:rowOff>
    </xdr:from>
    <xdr:to>
      <xdr:col>10</xdr:col>
      <xdr:colOff>107104</xdr:colOff>
      <xdr:row>24</xdr:row>
      <xdr:rowOff>143087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řítomnost / Směna">
              <a:extLst>
                <a:ext uri="{FF2B5EF4-FFF2-40B4-BE49-F238E27FC236}">
                  <a16:creationId xmlns:a16="http://schemas.microsoft.com/office/drawing/2014/main" id="{EF1FF2F2-DA6E-334A-3713-FD91B353AC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řítomnost / Smě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79846" y="2069254"/>
              <a:ext cx="1844675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s-CZ" sz="1100"/>
                <a:t>Tento obrazec představuje průřez. Průřezy se dají používat v Excelu 2010 nebo v novější verzi.
Průřez se nedá použít, pokud je obrazec upravený ve starší verzi Excelu nebo pokud je sešit uložený v Excelu 2003 nebo starší verzi.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216323</xdr:colOff>
      <xdr:row>10</xdr:row>
      <xdr:rowOff>143510</xdr:rowOff>
    </xdr:from>
    <xdr:to>
      <xdr:col>12</xdr:col>
      <xdr:colOff>616373</xdr:colOff>
      <xdr:row>24</xdr:row>
      <xdr:rowOff>172085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bsence">
              <a:extLst>
                <a:ext uri="{FF2B5EF4-FFF2-40B4-BE49-F238E27FC236}">
                  <a16:creationId xmlns:a16="http://schemas.microsoft.com/office/drawing/2014/main" id="{0D1A061D-98EF-95FF-C604-683F48B00C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bsenc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33740" y="2069677"/>
              <a:ext cx="1839383" cy="2695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s-CZ" sz="1100"/>
                <a:t>Tento obrazec představuje průřez. Průřezy se dají používat v Excelu 2010 nebo v novější verzi.
Průřez se nedá použít, pokud je obrazec upravený ve starší verzi Excelu nebo pokud je sešit uložený v Excelu 2003 nebo starší verzi.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730039</xdr:colOff>
      <xdr:row>10</xdr:row>
      <xdr:rowOff>161290</xdr:rowOff>
    </xdr:from>
    <xdr:to>
      <xdr:col>14</xdr:col>
      <xdr:colOff>558589</xdr:colOff>
      <xdr:row>24</xdr:row>
      <xdr:rowOff>189865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oprava">
              <a:extLst>
                <a:ext uri="{FF2B5EF4-FFF2-40B4-BE49-F238E27FC236}">
                  <a16:creationId xmlns:a16="http://schemas.microsoft.com/office/drawing/2014/main" id="{CCA0AD76-4802-2006-0A2A-0B501B6514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oprav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86789" y="2087457"/>
              <a:ext cx="1839383" cy="2695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s-CZ" sz="1100"/>
                <a:t>Tento obrazec představuje průřez. Průřezy se dají používat v Excelu 2010 nebo v novější verzi.
Průřez se nedá použít, pokud je obrazec upravený ve starší verzi Excelu nebo pokud je sešit uložený v Excelu 2003 nebo starší verzi.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f Šimko" refreshedDate="45938.631007291668" createdVersion="8" refreshedVersion="8" minRefreshableVersion="3" recordCount="2210" xr:uid="{2ADB07CB-3734-470E-BDA3-E64B045A6DE0}">
  <cacheSource type="worksheet">
    <worksheetSource name="Tabulka2"/>
  </cacheSource>
  <cacheFields count="12">
    <cacheField name="Datum" numFmtId="164">
      <sharedItems containsSemiMixedTypes="0" containsNonDate="0" containsDate="1" containsString="0" minDate="2025-09-24T00:00:00" maxDate="2025-10-08T00:00:00" count="10"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6T00:00:00"/>
        <d v="2025-10-07T00:00:00"/>
      </sharedItems>
      <fieldGroup par="11"/>
    </cacheField>
    <cacheField name="Firma" numFmtId="0">
      <sharedItems containsBlank="1" count="9">
        <s v="BATZ"/>
        <s v="THERMA"/>
        <s v="DONGHEE"/>
        <s v="DSC"/>
        <m/>
        <s v="GUZU" u="1"/>
        <s v="HILITE" u="1"/>
        <s v="ALLIANCE" u="1"/>
        <s v="TATRA" u="1"/>
      </sharedItems>
    </cacheField>
    <cacheField name="Pracovník" numFmtId="0">
      <sharedItems containsBlank="1" count="286">
        <s v="Adamiak Magdalena"/>
        <s v="Bartoň Edyta"/>
        <s v="Belej Karina"/>
        <s v="Bortlik Dawid"/>
        <s v="Brewinski Zbigniew"/>
        <s v="Bujok Dominik"/>
        <s v="Bury Angelika"/>
        <s v="Buturla Bozena"/>
        <s v="Buza Grazyna Aniela"/>
        <s v="Buza Jan Ireneusz"/>
        <s v="Cyrzyk Grazyna Barbara"/>
        <s v="Cwiklak Robert"/>
        <s v="Chodinský Rostislav"/>
        <s v="Dalemula Krysztof Grzegorz"/>
        <s v="Dolezych Lidia"/>
        <s v="Fitrzyková Jana"/>
        <s v="Gorka Grzegorz"/>
        <s v="Janik-Rurarz Izabela"/>
        <s v="Juszczak Jadwiga"/>
        <s v="Konieczny Joanna"/>
        <s v="Kotowski Zbigniew Marek"/>
        <s v="Kowalak Krzysztof"/>
        <s v="Kozielski Kozielski Andrzej Jozef"/>
        <s v="Krensel Maria"/>
        <s v="Krótki Gabriel"/>
        <s v="Kuklińska Malgorzata"/>
        <s v="Machnik Weronika"/>
        <s v="Marczak Joanna"/>
        <s v="Marczak Maria Katarzyna"/>
        <s v="Marekwica Adrian"/>
        <s v="Matusiak Orfeusz Marek"/>
        <s v="Meyer Beata"/>
        <s v="Michalec Regina"/>
        <s v="Mottlová Markéta"/>
        <s v="Nowak Martyna"/>
        <s v="Opyd Marzena"/>
        <s v="Ostafin Andrzej Zbigniew"/>
        <s v="Ostafin Hanna"/>
        <s v="Ostafin Klaudia"/>
        <s v="Paduch Andrzej"/>
        <s v="Pajor Jolanta Wanda"/>
        <s v="Piechaczek Agnieszka"/>
        <s v="Rak Barbara Irena"/>
        <s v="Rak Julia"/>
        <s v="Salamon Krzysztof"/>
        <s v="Sienkowski Andrzej"/>
        <s v="Sikora Karina"/>
        <s v="Sikora Teresa Michalina"/>
        <s v="Skolarus Sebastian"/>
        <s v="Smietana Mirela Barbara"/>
        <s v="Sowa (Krzenek) Ryszarda"/>
        <s v="Starzyczny Joanna"/>
        <s v="Stawowski Patryk Tomasz"/>
        <s v="Stryjska Beata Malgorzata"/>
        <s v="Suchy Anna Katarzyna"/>
        <s v="Surosz Zaneta"/>
        <s v="Szymiczek Ewa"/>
        <s v="Szymura Edyta Marzena"/>
        <s v="Szymura Mariola"/>
        <s v="Tyminska Sylvia Malgorzata"/>
        <s v="Urbanowicz Elzbieta"/>
        <s v="Urbas Monika Weronika"/>
        <s v="Watroba Leszek Stanislaw"/>
        <s v="Wutzke Ewa Sabina"/>
        <s v="Wywiol Romeusz"/>
        <s v="Zawada Grzegorz"/>
        <s v="Zglenicka Magdalena"/>
        <s v="Zjadewicz Robert"/>
        <s v="Šoštá Ivana"/>
        <s v="Siekierski Filip"/>
        <s v="Gordienko Adam"/>
        <s v="Belica Bartosz"/>
        <s v="Gorka Dawid"/>
        <s v="Bilicer Natalia"/>
        <s v="Brachman Piotr Leszek"/>
        <s v="Ciesielska Malgorzata"/>
        <s v="Chrzanowska Danuta"/>
        <s v="Duraj Mateusz Jan"/>
        <s v="Giedziun Monika"/>
        <s v="Grzywacz Zbigniew"/>
        <s v="Grzywacz Klaudia"/>
        <s v="Hak Joanna"/>
        <s v="Halama Pawel"/>
        <s v="Hernik Krzysztof"/>
        <s v="Iwanek Rafal"/>
        <s v="Hak Agnieszka"/>
        <s v="Jachym Sebastian"/>
        <s v="Kowalewski Marcin"/>
        <s v="Kowalski Damian"/>
        <s v="Kuklinska Marlena"/>
        <s v="Lebiediew Sławomir"/>
        <s v="Małczak Krzysztof"/>
        <s v="Małka Artur"/>
        <s v="Mielczarek Patrycjusz"/>
        <s v="Murawski Kamil"/>
        <s v="Milek Michal Jerzy"/>
        <s v="Niewiadomski Michal"/>
        <s v="Nowakowska Magdalena"/>
        <s v="Palička Jiří"/>
        <s v="Paluch Joanna"/>
        <s v="Pawlak Marcin"/>
        <s v="Placzek Michal"/>
        <s v="Poloczek Jadwiga Barbara"/>
        <s v="Poloczek Sebastian"/>
        <s v="Rak Sławomir"/>
        <s v="Regulski Adrian"/>
        <s v="Skibinski Adrian"/>
        <s v="Szymiczek Filip"/>
        <s v="Szybiak Tomasz"/>
        <s v="Wawrzyczek Arkadiusz"/>
        <s v="Wysluch-Brzezek Anna"/>
        <s v="Zajac Tomasz"/>
        <s v="Zymelka Krzysztof"/>
        <s v="Perlik Przemyslaw"/>
        <s v="Ambroziewicz Hanna"/>
        <s v="Baka Przemyslaw"/>
        <s v="Banot Katarzyna"/>
        <s v="Bassler Lukáš"/>
        <s v="Baszczynski Bogdan"/>
        <s v="Bialas Elzbieta"/>
        <s v="Bialozyt Joanna"/>
        <s v="Bochenek Damian Krzysztof"/>
        <s v="Bochenek Adam Piotr"/>
        <s v="Borska Ewa"/>
        <s v="Bujak Leszek Sylwester"/>
        <s v="Cwiklinska Alicja Katarzyna"/>
        <s v="Chalimoniuk Igor"/>
        <s v="Chlebek Aleksandra Ewa"/>
        <s v="Chodorowska Barbara Miroslawa"/>
        <s v="Damis Malgorzata Maria"/>
        <s v="Feszter Ewa"/>
        <s v="Fojcik Marzena"/>
        <s v="Gawel Krystian"/>
        <s v="Gromek Sylwia"/>
        <s v="Habierska Maja"/>
        <s v="Gora Renata"/>
        <s v="Jakubiec Krzysztof Grzegorz"/>
        <s v="Herok Natalia Magdalena"/>
        <s v="Holeksa Mariola"/>
        <s v="Jamry Kamil"/>
        <s v="Janczuk Mariola Anna"/>
        <s v="Kalisz Patrycja"/>
        <s v="Korab Karina Weronika"/>
        <s v="Kotas Barbara Mariola"/>
        <s v="Kowaczik Bozena Jadwiga"/>
        <s v="Králová Eliška"/>
        <s v="Kurasik Monika Dorota"/>
        <s v="Latka Ewelina Ewa"/>
        <s v="Maciaczyk Urszula"/>
        <s v="Macura Kamil Damian"/>
        <s v="Machej Adrian"/>
        <s v="Majchrowicz Mateusz"/>
        <s v="Meller Michal Stanislaw"/>
        <s v="Mienkowska Edyta Ewa"/>
        <s v="Mikus Roman"/>
        <s v="Niemczyk Daniel Marcin"/>
        <s v="Niepsuj Karolina Magdalena"/>
        <s v="Nowak-Plucińska Beata Renata"/>
        <s v="Ragus Wiktoria"/>
        <s v="Olszanecka Beata Magdalena"/>
        <s v="Paprota Dominik Patryk"/>
        <s v="Pasinska Barbara Beata"/>
        <s v="Pawlak Szymon"/>
        <s v="Pawlak Lidia Marzena"/>
        <s v="Pawlas Klaudia Paulina"/>
        <s v="Penkala Piotr"/>
        <s v="Plinta Marcin"/>
        <s v="Polak Renata"/>
        <s v="Polok Marzena"/>
        <s v="Pracz Sonia"/>
        <s v="Przybyla Danuta Anna"/>
        <s v="Ratajczyk Patrycja Joanna"/>
        <s v="Rduch Mateusz Pawel"/>
        <s v="Rudnicka Marta"/>
        <s v="Saganová Marie"/>
        <s v="Satlawa Iwona Maria"/>
        <s v="Sikora Aleksandra Barbara"/>
        <s v="Skawinska Dorota Bernadeta"/>
        <s v="Sobik Barbara"/>
        <s v="Sosna Zaneta"/>
        <s v="Spiewak Wioletta"/>
        <s v="Stafiej Lucyna Justyna"/>
        <s v="Stanek Martyna Katarzyna"/>
        <s v="Szczesny Agnieszka Joanna"/>
        <s v="Szpin Mateusz"/>
        <s v="Tomica Janusz Franciszek"/>
        <s v="Tuna Lukáš"/>
        <s v="Tomiczek Sara Beata"/>
        <s v="Tytko Aleksandra Irmina"/>
        <s v="Urbaczka Dominika"/>
        <s v="Urbas Justyna"/>
        <s v="Veselá Stanislava"/>
        <s v="Veselý Stanislav"/>
        <s v="Waclawczyk Adam Krzysztof"/>
        <s v="Wagner Irena Agnieszka"/>
        <s v="Wawrzyczny Leszek Adam"/>
        <s v="Wodyk Piotr"/>
        <s v="Wojtowicz Wieslawa"/>
        <s v="Wojtowicz Karolina"/>
        <s v="Wronka Rafal"/>
        <s v="Zmarzly Roksana Marzena"/>
        <s v="Zubrzycka Barbara"/>
        <s v="Swoboda Martyna Alicja"/>
        <s v="Derlacz Piotr"/>
        <s v="Czajka Bartosz"/>
        <s v="Chciuk Lukasz"/>
        <s v="Bujak Beniamin Salamon"/>
        <s v="Luczkowski Artur"/>
        <s v="Ferszt Tomasz"/>
        <s v="Pawlak Katarzyna"/>
        <s v="Mendrok Wanesa"/>
        <m/>
        <s v="Matusiewicz Sebastian" u="1"/>
        <s v="Rojek Daniel" u="1"/>
        <s v="Szweda Krzysztof" u="1"/>
        <s v="Zlotkowski Miroslaw" u="1"/>
        <s v="Adamczewski Amadeusz" u="1"/>
        <s v="Balwierz Piotr Marian" u="1"/>
        <s v="Blonski Marcin Ireneusz" u="1"/>
        <s v="Boruszka Aneta Barbara" u="1"/>
        <s v="Gozdur Oliwia Katarzyna" u="1"/>
        <s v="Huptys Wieslawa" u="1"/>
        <s v="Jerchewicz Iwona" u="1"/>
        <s v="Kolanowski Dawid Piotr" u="1"/>
        <s v="Korcz Wioleta" u="1"/>
        <s v="Moch Roman" u="1"/>
        <s v="Nowak-Michalecka Katarzyna" u="1"/>
        <s v="Peterková Dagmar" u="1"/>
        <s v="Szewczyk Agnieszka" u="1"/>
        <s v="Wardzala Nicolla" u="1"/>
        <s v="Wasik Izabela" u="1"/>
        <s v="Zarebska Ewa" u="1"/>
        <s v="Bojda Lukasz" u="1"/>
        <s v="Brodowski Robert" u="1"/>
        <s v="Doliński Roman" u="1"/>
        <s v="Grabka Daniel" u="1"/>
        <s v="Jablonski Slawomir" u="1"/>
        <s v="Koblanski Daniel" u="1"/>
        <s v="Madrzyk Ryszard" u="1"/>
        <s v="Mrozek Mateusz" u="1"/>
        <s v="Podżorski Andrzej" u="1"/>
        <s v="Salata Krzysztof Marek" u="1"/>
        <s v="Slusarczyk Slawomir" u="1"/>
        <s v="Smagon Damian" u="1"/>
        <s v="Sztymelski Lukasz" u="1"/>
        <s v="Szurman Krystian" u="1"/>
        <s v="Tabor Konrad" u="1"/>
        <s v="Tomica Artur" u="1"/>
        <s v="Tworzydło Slawomir" u="1"/>
        <s v="Żwirek Arkadiusz" u="1"/>
        <s v="Żwirek Dawid" u="1"/>
        <s v="Bieniek Krystian" u="1"/>
        <s v="Ceglarski Wojciech" u="1"/>
        <s v="Ganczorz Tomasz" u="1"/>
        <s v="Goik Andrzej" u="1"/>
        <s v="Chojnacki Piotr" u="1"/>
        <s v="Janiczek Kamil Patryk" u="1"/>
        <s v="Jarosz Mariusz" u="1"/>
        <s v="Kala Janusz Eryk" u="1"/>
        <s v="Kordowski Henryk" u="1"/>
        <s v="Kovařčik Tomáš" u="1"/>
        <s v="Koza Adam" u="1"/>
        <s v="Lichacz Piotr" u="1"/>
        <s v="Marczewski Robert Wieslaw" u="1"/>
        <s v="Możdżeń Dariusz" u="1"/>
        <s v="Možíšek Jiří" u="1"/>
        <s v="Nawara Bartosz Pawel" u="1"/>
        <s v="Onderka Jan" u="1"/>
        <s v="Pawlowski Kamil" u="1"/>
        <s v="Pitel Jiří" u="1"/>
        <s v="Prudel Mateusz Stanislaw" u="1"/>
        <s v="Siedlok Zbigniew" u="1"/>
        <s v="Skierka Dariusz" u="1"/>
        <s v="Stohandel Artur" u="1"/>
        <s v="Święty Czesław" u="1"/>
        <s v="Sypulek Dariusz" u="1"/>
        <s v="Szmyt Dariusz" u="1"/>
        <s v="Szopa Daniel" u="1"/>
        <s v="Szrejder Sebastian" u="1"/>
        <s v="Trzmielowski Adrian Adam" u="1"/>
        <s v="Ulita Robert" u="1"/>
        <s v="Waszut Lukasz" u="1"/>
        <s v="Wiącek Robert" u="1"/>
        <s v="Wieszolek Adam" u="1"/>
        <s v="Właśniak Dariusz" u="1"/>
        <s v="Zynda Wieslaw Józef" u="1"/>
      </sharedItems>
    </cacheField>
    <cacheField name="Os. Číslo" numFmtId="0">
      <sharedItems containsMixedTypes="1" containsNumber="1" containsInteger="1" minValue="0" maxValue="6597"/>
    </cacheField>
    <cacheField name="Přítomnost / Směna" numFmtId="0">
      <sharedItems containsBlank="1" count="6">
        <s v="O"/>
        <s v="N"/>
        <s v="R"/>
        <s v="A"/>
        <m/>
        <s v="-" u="1"/>
      </sharedItems>
    </cacheField>
    <cacheField name="Absence" numFmtId="0">
      <sharedItems containsBlank="1" count="9">
        <m/>
        <s v="Nemoc"/>
        <s v="Neomluvená"/>
        <s v="Dovolená"/>
        <s v="Narozeninový den"/>
        <s v="Prostoj"/>
        <s v="Lékař"/>
        <s v="Omluvená-Paragraf"/>
        <s v="Neplacené volno"/>
      </sharedItems>
    </cacheField>
    <cacheField name="Úvazek" numFmtId="165">
      <sharedItems containsNonDate="0" containsString="0" containsBlank="1"/>
    </cacheField>
    <cacheField name="Doprava" numFmtId="165">
      <sharedItems count="14">
        <s v="BATZ 2"/>
        <s v="BATZ 1"/>
        <s v="Vlastní auto"/>
        <s v="DSC 2"/>
        <s v="DSC 1"/>
        <s v=""/>
        <s v="GUZU 1" u="1"/>
        <s v="HILITE 2" u="1"/>
        <s v="HILITE 1" u="1"/>
        <s v="ALLIANCE LAUNDRY 4" u="1"/>
        <s v="ALLIANCE LAUNDRY 3" u="1"/>
        <s v="TATRA METALURGIE" u="1"/>
        <s v="TATRA - ALS" u="1"/>
        <s v="TATRA - ALS - SPRINT" u="1"/>
      </sharedItems>
    </cacheField>
    <cacheField name="Přesčas" numFmtId="0">
      <sharedItems containsBlank="1"/>
    </cacheField>
    <cacheField name="Poznámka" numFmtId="0">
      <sharedItems containsBlank="1"/>
    </cacheField>
    <cacheField name="Dny (Datum)" numFmtId="0" databaseField="0">
      <fieldGroup base="0">
        <rangePr groupBy="days" startDate="2025-09-24T00:00:00" endDate="2025-10-08T00:00:00"/>
        <groupItems count="368">
          <s v="&lt;24.09.2025"/>
          <s v="01.I"/>
          <s v="02.I"/>
          <s v="03.I"/>
          <s v="04.I"/>
          <s v="05.I"/>
          <s v="06.I"/>
          <s v="07.I"/>
          <s v="08.I"/>
          <s v="09.I"/>
          <s v="10.I"/>
          <s v="11.I"/>
          <s v="12.I"/>
          <s v="13.I"/>
          <s v="14.I"/>
          <s v="15.I"/>
          <s v="16.I"/>
          <s v="17.I"/>
          <s v="18.I"/>
          <s v="19.I"/>
          <s v="20.I"/>
          <s v="21.I"/>
          <s v="22.I"/>
          <s v="23.I"/>
          <s v="24.I"/>
          <s v="25.I"/>
          <s v="26.I"/>
          <s v="27.I"/>
          <s v="28.I"/>
          <s v="29.I"/>
          <s v="30.I"/>
          <s v="31.I"/>
          <s v="01.II"/>
          <s v="02.II"/>
          <s v="03.II"/>
          <s v="04.II"/>
          <s v="05.II"/>
          <s v="06.II"/>
          <s v="07.II"/>
          <s v="08.II"/>
          <s v="09.II"/>
          <s v="10.II"/>
          <s v="11.II"/>
          <s v="12.II"/>
          <s v="13.II"/>
          <s v="14.II"/>
          <s v="15.II"/>
          <s v="16.II"/>
          <s v="17.II"/>
          <s v="18.II"/>
          <s v="19.II"/>
          <s v="20.II"/>
          <s v="21.II"/>
          <s v="22.II"/>
          <s v="23.II"/>
          <s v="24.II"/>
          <s v="25.II"/>
          <s v="26.II"/>
          <s v="27.II"/>
          <s v="28.II"/>
          <s v="29.II"/>
          <s v="01.III"/>
          <s v="02.III"/>
          <s v="03.III"/>
          <s v="04.III"/>
          <s v="05.III"/>
          <s v="06.III"/>
          <s v="07.III"/>
          <s v="08.III"/>
          <s v="09.III"/>
          <s v="10.III"/>
          <s v="11.III"/>
          <s v="12.III"/>
          <s v="13.III"/>
          <s v="14.III"/>
          <s v="15.III"/>
          <s v="16.III"/>
          <s v="17.III"/>
          <s v="18.III"/>
          <s v="19.III"/>
          <s v="20.III"/>
          <s v="21.III"/>
          <s v="22.III"/>
          <s v="23.III"/>
          <s v="24.III"/>
          <s v="25.III"/>
          <s v="26.III"/>
          <s v="27.III"/>
          <s v="28.III"/>
          <s v="29.III"/>
          <s v="30.III"/>
          <s v="31.III"/>
          <s v="01.IV"/>
          <s v="02.IV"/>
          <s v="03.IV"/>
          <s v="04.IV"/>
          <s v="05.IV"/>
          <s v="06.IV"/>
          <s v="07.IV"/>
          <s v="08.IV"/>
          <s v="09.IV"/>
          <s v="10.IV"/>
          <s v="11.IV"/>
          <s v="12.IV"/>
          <s v="13.IV"/>
          <s v="14.IV"/>
          <s v="15.IV"/>
          <s v="16.IV"/>
          <s v="17.IV"/>
          <s v="18.IV"/>
          <s v="19.IV"/>
          <s v="20.IV"/>
          <s v="21.IV"/>
          <s v="22.IV"/>
          <s v="23.IV"/>
          <s v="24.IV"/>
          <s v="25.IV"/>
          <s v="26.IV"/>
          <s v="27.IV"/>
          <s v="28.IV"/>
          <s v="29.IV"/>
          <s v="30.IV"/>
          <s v="01.V"/>
          <s v="02.V"/>
          <s v="03.V"/>
          <s v="04.V"/>
          <s v="05.V"/>
          <s v="06.V"/>
          <s v="07.V"/>
          <s v="08.V"/>
          <s v="09.V"/>
          <s v="10.V"/>
          <s v="11.V"/>
          <s v="12.V"/>
          <s v="13.V"/>
          <s v="14.V"/>
          <s v="15.V"/>
          <s v="16.V"/>
          <s v="17.V"/>
          <s v="18.V"/>
          <s v="19.V"/>
          <s v="20.V"/>
          <s v="21.V"/>
          <s v="22.V"/>
          <s v="23.V"/>
          <s v="24.V"/>
          <s v="25.V"/>
          <s v="26.V"/>
          <s v="27.V"/>
          <s v="28.V"/>
          <s v="29.V"/>
          <s v="30.V"/>
          <s v="31.V"/>
          <s v="01.VI"/>
          <s v="02.VI"/>
          <s v="03.VI"/>
          <s v="04.VI"/>
          <s v="05.VI"/>
          <s v="06.VI"/>
          <s v="07.VI"/>
          <s v="08.VI"/>
          <s v="09.VI"/>
          <s v="10.VI"/>
          <s v="11.VI"/>
          <s v="12.VI"/>
          <s v="13.VI"/>
          <s v="14.VI"/>
          <s v="15.VI"/>
          <s v="16.VI"/>
          <s v="17.VI"/>
          <s v="18.VI"/>
          <s v="19.VI"/>
          <s v="20.VI"/>
          <s v="21.VI"/>
          <s v="22.VI"/>
          <s v="23.VI"/>
          <s v="24.VI"/>
          <s v="25.VI"/>
          <s v="26.VI"/>
          <s v="27.VI"/>
          <s v="28.VI"/>
          <s v="29.VI"/>
          <s v="30.VI"/>
          <s v="01.VII"/>
          <s v="02.VII"/>
          <s v="03.VII"/>
          <s v="04.VII"/>
          <s v="05.VII"/>
          <s v="06.VII"/>
          <s v="07.VII"/>
          <s v="08.VII"/>
          <s v="09.VII"/>
          <s v="10.VII"/>
          <s v="11.VII"/>
          <s v="12.VII"/>
          <s v="13.VII"/>
          <s v="14.VII"/>
          <s v="15.VII"/>
          <s v="16.VII"/>
          <s v="17.VII"/>
          <s v="18.VII"/>
          <s v="19.VII"/>
          <s v="20.VII"/>
          <s v="21.VII"/>
          <s v="22.VII"/>
          <s v="23.VII"/>
          <s v="24.VII"/>
          <s v="25.VII"/>
          <s v="26.VII"/>
          <s v="27.VII"/>
          <s v="28.VII"/>
          <s v="29.VII"/>
          <s v="30.VII"/>
          <s v="31.VII"/>
          <s v="01.VIII"/>
          <s v="02.VIII"/>
          <s v="03.VIII"/>
          <s v="04.VIII"/>
          <s v="05.VIII"/>
          <s v="06.VIII"/>
          <s v="07.VIII"/>
          <s v="08.VIII"/>
          <s v="09.VIII"/>
          <s v="10.VIII"/>
          <s v="11.VIII"/>
          <s v="12.VIII"/>
          <s v="13.VIII"/>
          <s v="14.VIII"/>
          <s v="15.VIII"/>
          <s v="16.VIII"/>
          <s v="17.VIII"/>
          <s v="18.VIII"/>
          <s v="19.VIII"/>
          <s v="20.VIII"/>
          <s v="21.VIII"/>
          <s v="22.VIII"/>
          <s v="23.VIII"/>
          <s v="24.VIII"/>
          <s v="25.VIII"/>
          <s v="26.VIII"/>
          <s v="27.VIII"/>
          <s v="28.VIII"/>
          <s v="29.VIII"/>
          <s v="30.VIII"/>
          <s v="31.VIII"/>
          <s v="01.IX"/>
          <s v="02.IX"/>
          <s v="03.IX"/>
          <s v="04.IX"/>
          <s v="05.IX"/>
          <s v="06.IX"/>
          <s v="07.IX"/>
          <s v="08.IX"/>
          <s v="09.IX"/>
          <s v="10.IX"/>
          <s v="11.IX"/>
          <s v="12.IX"/>
          <s v="13.IX"/>
          <s v="14.IX"/>
          <s v="15.IX"/>
          <s v="16.IX"/>
          <s v="17.IX"/>
          <s v="18.IX"/>
          <s v="19.IX"/>
          <s v="20.IX"/>
          <s v="21.IX"/>
          <s v="22.IX"/>
          <s v="23.IX"/>
          <s v="24.IX"/>
          <s v="25.IX"/>
          <s v="26.IX"/>
          <s v="27.IX"/>
          <s v="28.IX"/>
          <s v="29.IX"/>
          <s v="30.IX"/>
          <s v="01.X"/>
          <s v="02.X"/>
          <s v="03.X"/>
          <s v="04.X"/>
          <s v="05.X"/>
          <s v="06.X"/>
          <s v="07.X"/>
          <s v="08.X"/>
          <s v="09.X"/>
          <s v="10.X"/>
          <s v="11.X"/>
          <s v="12.X"/>
          <s v="13.X"/>
          <s v="14.X"/>
          <s v="15.X"/>
          <s v="16.X"/>
          <s v="17.X"/>
          <s v="18.X"/>
          <s v="19.X"/>
          <s v="20.X"/>
          <s v="21.X"/>
          <s v="22.X"/>
          <s v="23.X"/>
          <s v="24.X"/>
          <s v="25.X"/>
          <s v="26.X"/>
          <s v="27.X"/>
          <s v="28.X"/>
          <s v="29.X"/>
          <s v="30.X"/>
          <s v="31.X"/>
          <s v="01.XI"/>
          <s v="02.XI"/>
          <s v="03.XI"/>
          <s v="04.XI"/>
          <s v="05.XI"/>
          <s v="06.XI"/>
          <s v="07.XI"/>
          <s v="08.XI"/>
          <s v="09.XI"/>
          <s v="10.XI"/>
          <s v="11.XI"/>
          <s v="12.XI"/>
          <s v="13.XI"/>
          <s v="14.XI"/>
          <s v="15.XI"/>
          <s v="16.XI"/>
          <s v="17.XI"/>
          <s v="18.XI"/>
          <s v="19.XI"/>
          <s v="20.XI"/>
          <s v="21.XI"/>
          <s v="22.XI"/>
          <s v="23.XI"/>
          <s v="24.XI"/>
          <s v="25.XI"/>
          <s v="26.XI"/>
          <s v="27.XI"/>
          <s v="28.XI"/>
          <s v="29.XI"/>
          <s v="30.XI"/>
          <s v="01.XII"/>
          <s v="02.XII"/>
          <s v="03.XII"/>
          <s v="04.XII"/>
          <s v="05.XII"/>
          <s v="06.XII"/>
          <s v="07.XII"/>
          <s v="08.XII"/>
          <s v="09.XII"/>
          <s v="10.XII"/>
          <s v="11.XII"/>
          <s v="12.XII"/>
          <s v="13.XII"/>
          <s v="14.XII"/>
          <s v="15.XII"/>
          <s v="16.XII"/>
          <s v="17.XII"/>
          <s v="18.XII"/>
          <s v="19.XII"/>
          <s v="20.XII"/>
          <s v="21.XII"/>
          <s v="22.XII"/>
          <s v="23.XII"/>
          <s v="24.XII"/>
          <s v="25.XII"/>
          <s v="26.XII"/>
          <s v="27.XII"/>
          <s v="28.XII"/>
          <s v="29.XII"/>
          <s v="30.XII"/>
          <s v="31.XII"/>
          <s v="&gt;08.10.2025"/>
        </groupItems>
      </fieldGroup>
    </cacheField>
    <cacheField name="Měsíce (Datum)" numFmtId="0" databaseField="0">
      <fieldGroup base="0">
        <rangePr groupBy="months" startDate="2025-09-24T00:00:00" endDate="2025-10-08T00:00:00"/>
        <groupItems count="14">
          <s v="&lt;24.09.2025"/>
          <s v="I"/>
          <s v="II"/>
          <s v="III"/>
          <s v="IV"/>
          <s v="V"/>
          <s v="VI"/>
          <s v="VII"/>
          <s v="VIII"/>
          <s v="IX"/>
          <s v="X"/>
          <s v="XI"/>
          <s v="XII"/>
          <s v="&gt;08.10.2025"/>
        </groupItems>
      </fieldGroup>
    </cacheField>
  </cacheFields>
  <extLst>
    <ext xmlns:x14="http://schemas.microsoft.com/office/spreadsheetml/2009/9/main" uri="{725AE2AE-9491-48be-B2B4-4EB974FC3084}">
      <x14:pivotCacheDefinition pivotCacheId="86071366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0">
  <r>
    <x v="0"/>
    <x v="0"/>
    <x v="0"/>
    <n v="5777"/>
    <x v="0"/>
    <x v="0"/>
    <m/>
    <x v="0"/>
    <m/>
    <m/>
  </r>
  <r>
    <x v="0"/>
    <x v="0"/>
    <x v="1"/>
    <n v="4838"/>
    <x v="1"/>
    <x v="0"/>
    <m/>
    <x v="0"/>
    <m/>
    <m/>
  </r>
  <r>
    <x v="0"/>
    <x v="0"/>
    <x v="2"/>
    <n v="4599"/>
    <x v="0"/>
    <x v="0"/>
    <m/>
    <x v="1"/>
    <m/>
    <m/>
  </r>
  <r>
    <x v="0"/>
    <x v="0"/>
    <x v="3"/>
    <n v="6566"/>
    <x v="1"/>
    <x v="0"/>
    <m/>
    <x v="1"/>
    <m/>
    <m/>
  </r>
  <r>
    <x v="0"/>
    <x v="0"/>
    <x v="4"/>
    <n v="5400"/>
    <x v="1"/>
    <x v="0"/>
    <m/>
    <x v="1"/>
    <m/>
    <m/>
  </r>
  <r>
    <x v="0"/>
    <x v="0"/>
    <x v="5"/>
    <n v="5094"/>
    <x v="2"/>
    <x v="0"/>
    <m/>
    <x v="0"/>
    <s v="Odpolední"/>
    <m/>
  </r>
  <r>
    <x v="0"/>
    <x v="0"/>
    <x v="6"/>
    <n v="6001"/>
    <x v="2"/>
    <x v="0"/>
    <m/>
    <x v="1"/>
    <m/>
    <m/>
  </r>
  <r>
    <x v="0"/>
    <x v="0"/>
    <x v="7"/>
    <n v="6573"/>
    <x v="2"/>
    <x v="0"/>
    <m/>
    <x v="1"/>
    <m/>
    <m/>
  </r>
  <r>
    <x v="0"/>
    <x v="0"/>
    <x v="8"/>
    <n v="5129"/>
    <x v="0"/>
    <x v="0"/>
    <m/>
    <x v="1"/>
    <m/>
    <m/>
  </r>
  <r>
    <x v="0"/>
    <x v="0"/>
    <x v="9"/>
    <n v="5663"/>
    <x v="0"/>
    <x v="0"/>
    <m/>
    <x v="1"/>
    <m/>
    <m/>
  </r>
  <r>
    <x v="0"/>
    <x v="0"/>
    <x v="10"/>
    <n v="4501"/>
    <x v="2"/>
    <x v="0"/>
    <m/>
    <x v="0"/>
    <m/>
    <m/>
  </r>
  <r>
    <x v="0"/>
    <x v="0"/>
    <x v="11"/>
    <n v="4936"/>
    <x v="2"/>
    <x v="0"/>
    <m/>
    <x v="1"/>
    <m/>
    <m/>
  </r>
  <r>
    <x v="0"/>
    <x v="0"/>
    <x v="12"/>
    <n v="3728"/>
    <x v="2"/>
    <x v="0"/>
    <m/>
    <x v="1"/>
    <m/>
    <m/>
  </r>
  <r>
    <x v="0"/>
    <x v="0"/>
    <x v="13"/>
    <n v="4955"/>
    <x v="0"/>
    <x v="0"/>
    <m/>
    <x v="1"/>
    <m/>
    <m/>
  </r>
  <r>
    <x v="0"/>
    <x v="0"/>
    <x v="14"/>
    <n v="6568"/>
    <x v="2"/>
    <x v="0"/>
    <m/>
    <x v="0"/>
    <m/>
    <m/>
  </r>
  <r>
    <x v="0"/>
    <x v="0"/>
    <x v="15"/>
    <n v="3721"/>
    <x v="0"/>
    <x v="0"/>
    <m/>
    <x v="1"/>
    <m/>
    <m/>
  </r>
  <r>
    <x v="0"/>
    <x v="0"/>
    <x v="16"/>
    <n v="6110"/>
    <x v="2"/>
    <x v="0"/>
    <m/>
    <x v="1"/>
    <m/>
    <m/>
  </r>
  <r>
    <x v="0"/>
    <x v="0"/>
    <x v="17"/>
    <n v="0"/>
    <x v="0"/>
    <x v="0"/>
    <m/>
    <x v="1"/>
    <m/>
    <m/>
  </r>
  <r>
    <x v="0"/>
    <x v="0"/>
    <x v="18"/>
    <n v="6330"/>
    <x v="2"/>
    <x v="0"/>
    <m/>
    <x v="0"/>
    <m/>
    <m/>
  </r>
  <r>
    <x v="0"/>
    <x v="0"/>
    <x v="19"/>
    <n v="5828"/>
    <x v="0"/>
    <x v="0"/>
    <m/>
    <x v="1"/>
    <m/>
    <m/>
  </r>
  <r>
    <x v="0"/>
    <x v="0"/>
    <x v="20"/>
    <n v="4775"/>
    <x v="1"/>
    <x v="0"/>
    <m/>
    <x v="0"/>
    <m/>
    <m/>
  </r>
  <r>
    <x v="0"/>
    <x v="0"/>
    <x v="21"/>
    <n v="6551"/>
    <x v="0"/>
    <x v="0"/>
    <m/>
    <x v="1"/>
    <m/>
    <m/>
  </r>
  <r>
    <x v="0"/>
    <x v="0"/>
    <x v="22"/>
    <n v="5665"/>
    <x v="3"/>
    <x v="1"/>
    <m/>
    <x v="1"/>
    <m/>
    <m/>
  </r>
  <r>
    <x v="0"/>
    <x v="0"/>
    <x v="23"/>
    <n v="2463"/>
    <x v="1"/>
    <x v="0"/>
    <m/>
    <x v="2"/>
    <m/>
    <m/>
  </r>
  <r>
    <x v="0"/>
    <x v="0"/>
    <x v="24"/>
    <n v="6536"/>
    <x v="1"/>
    <x v="0"/>
    <m/>
    <x v="0"/>
    <m/>
    <m/>
  </r>
  <r>
    <x v="0"/>
    <x v="0"/>
    <x v="25"/>
    <n v="4748"/>
    <x v="3"/>
    <x v="1"/>
    <m/>
    <x v="1"/>
    <m/>
    <m/>
  </r>
  <r>
    <x v="0"/>
    <x v="0"/>
    <x v="26"/>
    <n v="6077"/>
    <x v="3"/>
    <x v="1"/>
    <m/>
    <x v="0"/>
    <m/>
    <s v="ukončení k 30.9.2025"/>
  </r>
  <r>
    <x v="0"/>
    <x v="0"/>
    <x v="27"/>
    <n v="6574"/>
    <x v="1"/>
    <x v="0"/>
    <m/>
    <x v="1"/>
    <m/>
    <m/>
  </r>
  <r>
    <x v="0"/>
    <x v="0"/>
    <x v="28"/>
    <n v="4720"/>
    <x v="2"/>
    <x v="0"/>
    <m/>
    <x v="0"/>
    <m/>
    <m/>
  </r>
  <r>
    <x v="0"/>
    <x v="0"/>
    <x v="29"/>
    <n v="6409"/>
    <x v="2"/>
    <x v="0"/>
    <m/>
    <x v="2"/>
    <m/>
    <m/>
  </r>
  <r>
    <x v="0"/>
    <x v="0"/>
    <x v="30"/>
    <n v="3396"/>
    <x v="1"/>
    <x v="0"/>
    <m/>
    <x v="1"/>
    <m/>
    <m/>
  </r>
  <r>
    <x v="0"/>
    <x v="0"/>
    <x v="31"/>
    <n v="6376"/>
    <x v="1"/>
    <x v="0"/>
    <m/>
    <x v="0"/>
    <m/>
    <m/>
  </r>
  <r>
    <x v="0"/>
    <x v="0"/>
    <x v="32"/>
    <n v="5014"/>
    <x v="1"/>
    <x v="0"/>
    <m/>
    <x v="0"/>
    <m/>
    <m/>
  </r>
  <r>
    <x v="0"/>
    <x v="0"/>
    <x v="33"/>
    <n v="3369"/>
    <x v="2"/>
    <x v="0"/>
    <m/>
    <x v="1"/>
    <m/>
    <m/>
  </r>
  <r>
    <x v="0"/>
    <x v="0"/>
    <x v="34"/>
    <n v="6576"/>
    <x v="2"/>
    <x v="0"/>
    <m/>
    <x v="1"/>
    <m/>
    <m/>
  </r>
  <r>
    <x v="0"/>
    <x v="0"/>
    <x v="35"/>
    <n v="6352"/>
    <x v="0"/>
    <x v="0"/>
    <m/>
    <x v="1"/>
    <m/>
    <m/>
  </r>
  <r>
    <x v="0"/>
    <x v="0"/>
    <x v="36"/>
    <n v="5009"/>
    <x v="2"/>
    <x v="0"/>
    <m/>
    <x v="1"/>
    <m/>
    <m/>
  </r>
  <r>
    <x v="0"/>
    <x v="0"/>
    <x v="37"/>
    <n v="6251"/>
    <x v="3"/>
    <x v="1"/>
    <m/>
    <x v="1"/>
    <m/>
    <m/>
  </r>
  <r>
    <x v="0"/>
    <x v="0"/>
    <x v="38"/>
    <n v="6507"/>
    <x v="2"/>
    <x v="0"/>
    <m/>
    <x v="1"/>
    <m/>
    <m/>
  </r>
  <r>
    <x v="0"/>
    <x v="0"/>
    <x v="39"/>
    <n v="6346"/>
    <x v="2"/>
    <x v="0"/>
    <m/>
    <x v="1"/>
    <m/>
    <m/>
  </r>
  <r>
    <x v="0"/>
    <x v="0"/>
    <x v="40"/>
    <n v="4972"/>
    <x v="2"/>
    <x v="0"/>
    <m/>
    <x v="0"/>
    <m/>
    <m/>
  </r>
  <r>
    <x v="0"/>
    <x v="0"/>
    <x v="41"/>
    <n v="2230"/>
    <x v="2"/>
    <x v="0"/>
    <m/>
    <x v="1"/>
    <m/>
    <m/>
  </r>
  <r>
    <x v="0"/>
    <x v="0"/>
    <x v="42"/>
    <n v="5310"/>
    <x v="0"/>
    <x v="0"/>
    <m/>
    <x v="1"/>
    <m/>
    <m/>
  </r>
  <r>
    <x v="0"/>
    <x v="0"/>
    <x v="43"/>
    <n v="5948"/>
    <x v="3"/>
    <x v="1"/>
    <m/>
    <x v="1"/>
    <m/>
    <m/>
  </r>
  <r>
    <x v="0"/>
    <x v="0"/>
    <x v="44"/>
    <n v="6549"/>
    <x v="0"/>
    <x v="0"/>
    <m/>
    <x v="1"/>
    <m/>
    <m/>
  </r>
  <r>
    <x v="0"/>
    <x v="0"/>
    <x v="45"/>
    <n v="6538"/>
    <x v="2"/>
    <x v="0"/>
    <m/>
    <x v="1"/>
    <m/>
    <m/>
  </r>
  <r>
    <x v="0"/>
    <x v="0"/>
    <x v="46"/>
    <n v="5715"/>
    <x v="1"/>
    <x v="0"/>
    <m/>
    <x v="1"/>
    <m/>
    <m/>
  </r>
  <r>
    <x v="0"/>
    <x v="0"/>
    <x v="47"/>
    <n v="4514"/>
    <x v="1"/>
    <x v="0"/>
    <m/>
    <x v="1"/>
    <m/>
    <m/>
  </r>
  <r>
    <x v="0"/>
    <x v="0"/>
    <x v="48"/>
    <n v="5176"/>
    <x v="0"/>
    <x v="0"/>
    <m/>
    <x v="1"/>
    <m/>
    <m/>
  </r>
  <r>
    <x v="0"/>
    <x v="0"/>
    <x v="49"/>
    <n v="4163"/>
    <x v="1"/>
    <x v="0"/>
    <m/>
    <x v="1"/>
    <m/>
    <m/>
  </r>
  <r>
    <x v="0"/>
    <x v="0"/>
    <x v="50"/>
    <n v="3920"/>
    <x v="2"/>
    <x v="0"/>
    <m/>
    <x v="0"/>
    <m/>
    <m/>
  </r>
  <r>
    <x v="0"/>
    <x v="0"/>
    <x v="51"/>
    <n v="3257"/>
    <x v="2"/>
    <x v="0"/>
    <m/>
    <x v="1"/>
    <m/>
    <m/>
  </r>
  <r>
    <x v="0"/>
    <x v="0"/>
    <x v="52"/>
    <n v="3394"/>
    <x v="1"/>
    <x v="0"/>
    <m/>
    <x v="1"/>
    <m/>
    <m/>
  </r>
  <r>
    <x v="0"/>
    <x v="0"/>
    <x v="53"/>
    <n v="4828"/>
    <x v="0"/>
    <x v="0"/>
    <m/>
    <x v="0"/>
    <m/>
    <m/>
  </r>
  <r>
    <x v="0"/>
    <x v="0"/>
    <x v="54"/>
    <n v="4155"/>
    <x v="0"/>
    <x v="0"/>
    <m/>
    <x v="1"/>
    <m/>
    <m/>
  </r>
  <r>
    <x v="0"/>
    <x v="0"/>
    <x v="55"/>
    <n v="0"/>
    <x v="2"/>
    <x v="0"/>
    <m/>
    <x v="1"/>
    <m/>
    <m/>
  </r>
  <r>
    <x v="0"/>
    <x v="0"/>
    <x v="56"/>
    <n v="5179"/>
    <x v="0"/>
    <x v="0"/>
    <m/>
    <x v="1"/>
    <m/>
    <m/>
  </r>
  <r>
    <x v="0"/>
    <x v="0"/>
    <x v="57"/>
    <n v="4912"/>
    <x v="2"/>
    <x v="0"/>
    <m/>
    <x v="0"/>
    <m/>
    <m/>
  </r>
  <r>
    <x v="0"/>
    <x v="0"/>
    <x v="58"/>
    <n v="5208"/>
    <x v="2"/>
    <x v="0"/>
    <m/>
    <x v="1"/>
    <m/>
    <m/>
  </r>
  <r>
    <x v="0"/>
    <x v="0"/>
    <x v="59"/>
    <n v="3937"/>
    <x v="1"/>
    <x v="0"/>
    <m/>
    <x v="1"/>
    <m/>
    <m/>
  </r>
  <r>
    <x v="0"/>
    <x v="0"/>
    <x v="60"/>
    <n v="6076"/>
    <x v="0"/>
    <x v="0"/>
    <m/>
    <x v="1"/>
    <m/>
    <m/>
  </r>
  <r>
    <x v="0"/>
    <x v="0"/>
    <x v="61"/>
    <n v="3648"/>
    <x v="2"/>
    <x v="0"/>
    <m/>
    <x v="1"/>
    <m/>
    <m/>
  </r>
  <r>
    <x v="0"/>
    <x v="0"/>
    <x v="62"/>
    <n v="4602"/>
    <x v="0"/>
    <x v="0"/>
    <m/>
    <x v="1"/>
    <m/>
    <m/>
  </r>
  <r>
    <x v="0"/>
    <x v="0"/>
    <x v="63"/>
    <n v="4940"/>
    <x v="2"/>
    <x v="0"/>
    <m/>
    <x v="1"/>
    <m/>
    <m/>
  </r>
  <r>
    <x v="0"/>
    <x v="0"/>
    <x v="64"/>
    <n v="5660"/>
    <x v="1"/>
    <x v="0"/>
    <m/>
    <x v="1"/>
    <m/>
    <m/>
  </r>
  <r>
    <x v="0"/>
    <x v="0"/>
    <x v="65"/>
    <n v="6243"/>
    <x v="2"/>
    <x v="0"/>
    <m/>
    <x v="0"/>
    <m/>
    <m/>
  </r>
  <r>
    <x v="0"/>
    <x v="0"/>
    <x v="66"/>
    <n v="6339"/>
    <x v="0"/>
    <x v="0"/>
    <m/>
    <x v="1"/>
    <m/>
    <m/>
  </r>
  <r>
    <x v="0"/>
    <x v="0"/>
    <x v="67"/>
    <n v="4928"/>
    <x v="0"/>
    <x v="0"/>
    <m/>
    <x v="1"/>
    <m/>
    <m/>
  </r>
  <r>
    <x v="0"/>
    <x v="0"/>
    <x v="68"/>
    <n v="0"/>
    <x v="1"/>
    <x v="0"/>
    <m/>
    <x v="1"/>
    <m/>
    <m/>
  </r>
  <r>
    <x v="0"/>
    <x v="1"/>
    <x v="69"/>
    <n v="6394"/>
    <x v="3"/>
    <x v="2"/>
    <m/>
    <x v="1"/>
    <m/>
    <s v="Z Thermy se dovídám až později zda měl dovolenou nebo si to naddělá"/>
  </r>
  <r>
    <x v="0"/>
    <x v="1"/>
    <x v="70"/>
    <n v="5110"/>
    <x v="0"/>
    <x v="0"/>
    <m/>
    <x v="0"/>
    <m/>
    <m/>
  </r>
  <r>
    <x v="0"/>
    <x v="1"/>
    <x v="71"/>
    <n v="6474"/>
    <x v="2"/>
    <x v="0"/>
    <m/>
    <x v="1"/>
    <m/>
    <m/>
  </r>
  <r>
    <x v="0"/>
    <x v="1"/>
    <x v="72"/>
    <n v="6473"/>
    <x v="0"/>
    <x v="0"/>
    <m/>
    <x v="1"/>
    <m/>
    <m/>
  </r>
  <r>
    <x v="0"/>
    <x v="2"/>
    <x v="73"/>
    <n v="6259"/>
    <x v="0"/>
    <x v="0"/>
    <m/>
    <x v="2"/>
    <m/>
    <m/>
  </r>
  <r>
    <x v="0"/>
    <x v="2"/>
    <x v="74"/>
    <n v="3951"/>
    <x v="2"/>
    <x v="0"/>
    <m/>
    <x v="2"/>
    <m/>
    <m/>
  </r>
  <r>
    <x v="0"/>
    <x v="2"/>
    <x v="75"/>
    <n v="6450"/>
    <x v="0"/>
    <x v="0"/>
    <m/>
    <x v="3"/>
    <m/>
    <m/>
  </r>
  <r>
    <x v="0"/>
    <x v="2"/>
    <x v="76"/>
    <n v="6457"/>
    <x v="3"/>
    <x v="1"/>
    <m/>
    <x v="4"/>
    <m/>
    <m/>
  </r>
  <r>
    <x v="0"/>
    <x v="2"/>
    <x v="77"/>
    <n v="5584"/>
    <x v="0"/>
    <x v="0"/>
    <m/>
    <x v="2"/>
    <m/>
    <m/>
  </r>
  <r>
    <x v="0"/>
    <x v="2"/>
    <x v="78"/>
    <n v="6418"/>
    <x v="0"/>
    <x v="0"/>
    <m/>
    <x v="2"/>
    <m/>
    <m/>
  </r>
  <r>
    <x v="0"/>
    <x v="2"/>
    <x v="79"/>
    <n v="6177"/>
    <x v="0"/>
    <x v="0"/>
    <m/>
    <x v="4"/>
    <m/>
    <m/>
  </r>
  <r>
    <x v="0"/>
    <x v="2"/>
    <x v="80"/>
    <n v="6543"/>
    <x v="2"/>
    <x v="0"/>
    <m/>
    <x v="4"/>
    <m/>
    <m/>
  </r>
  <r>
    <x v="0"/>
    <x v="2"/>
    <x v="81"/>
    <n v="6541"/>
    <x v="1"/>
    <x v="0"/>
    <m/>
    <x v="3"/>
    <m/>
    <m/>
  </r>
  <r>
    <x v="0"/>
    <x v="2"/>
    <x v="82"/>
    <n v="6442"/>
    <x v="2"/>
    <x v="0"/>
    <m/>
    <x v="3"/>
    <m/>
    <m/>
  </r>
  <r>
    <x v="0"/>
    <x v="2"/>
    <x v="83"/>
    <n v="6143"/>
    <x v="0"/>
    <x v="0"/>
    <m/>
    <x v="2"/>
    <m/>
    <m/>
  </r>
  <r>
    <x v="0"/>
    <x v="2"/>
    <x v="84"/>
    <n v="6260"/>
    <x v="0"/>
    <x v="0"/>
    <m/>
    <x v="2"/>
    <m/>
    <m/>
  </r>
  <r>
    <x v="0"/>
    <x v="2"/>
    <x v="85"/>
    <n v="6542"/>
    <x v="2"/>
    <x v="0"/>
    <m/>
    <x v="3"/>
    <m/>
    <m/>
  </r>
  <r>
    <x v="0"/>
    <x v="2"/>
    <x v="86"/>
    <n v="6525"/>
    <x v="1"/>
    <x v="0"/>
    <m/>
    <x v="3"/>
    <m/>
    <m/>
  </r>
  <r>
    <x v="0"/>
    <x v="2"/>
    <x v="87"/>
    <n v="6430"/>
    <x v="1"/>
    <x v="0"/>
    <m/>
    <x v="2"/>
    <m/>
    <m/>
  </r>
  <r>
    <x v="0"/>
    <x v="2"/>
    <x v="88"/>
    <n v="6454"/>
    <x v="1"/>
    <x v="0"/>
    <m/>
    <x v="4"/>
    <m/>
    <m/>
  </r>
  <r>
    <x v="0"/>
    <x v="2"/>
    <x v="89"/>
    <n v="6016"/>
    <x v="2"/>
    <x v="0"/>
    <m/>
    <x v="3"/>
    <m/>
    <m/>
  </r>
  <r>
    <x v="0"/>
    <x v="2"/>
    <x v="90"/>
    <n v="6437"/>
    <x v="0"/>
    <x v="0"/>
    <m/>
    <x v="3"/>
    <m/>
    <m/>
  </r>
  <r>
    <x v="0"/>
    <x v="2"/>
    <x v="91"/>
    <n v="6431"/>
    <x v="2"/>
    <x v="0"/>
    <m/>
    <x v="4"/>
    <m/>
    <m/>
  </r>
  <r>
    <x v="0"/>
    <x v="2"/>
    <x v="92"/>
    <n v="6119"/>
    <x v="3"/>
    <x v="1"/>
    <m/>
    <x v="4"/>
    <m/>
    <m/>
  </r>
  <r>
    <x v="0"/>
    <x v="2"/>
    <x v="93"/>
    <n v="6559"/>
    <x v="0"/>
    <x v="0"/>
    <m/>
    <x v="4"/>
    <m/>
    <m/>
  </r>
  <r>
    <x v="0"/>
    <x v="2"/>
    <x v="94"/>
    <n v="6496"/>
    <x v="2"/>
    <x v="0"/>
    <m/>
    <x v="3"/>
    <m/>
    <m/>
  </r>
  <r>
    <x v="0"/>
    <x v="2"/>
    <x v="95"/>
    <n v="4392"/>
    <x v="2"/>
    <x v="0"/>
    <m/>
    <x v="4"/>
    <m/>
    <m/>
  </r>
  <r>
    <x v="0"/>
    <x v="2"/>
    <x v="96"/>
    <n v="6514"/>
    <x v="0"/>
    <x v="0"/>
    <m/>
    <x v="3"/>
    <m/>
    <m/>
  </r>
  <r>
    <x v="0"/>
    <x v="2"/>
    <x v="97"/>
    <n v="6516"/>
    <x v="2"/>
    <x v="0"/>
    <m/>
    <x v="4"/>
    <m/>
    <m/>
  </r>
  <r>
    <x v="0"/>
    <x v="2"/>
    <x v="98"/>
    <n v="0"/>
    <x v="2"/>
    <x v="0"/>
    <m/>
    <x v="2"/>
    <m/>
    <m/>
  </r>
  <r>
    <x v="0"/>
    <x v="2"/>
    <x v="99"/>
    <n v="6449"/>
    <x v="2"/>
    <x v="0"/>
    <m/>
    <x v="3"/>
    <m/>
    <m/>
  </r>
  <r>
    <x v="0"/>
    <x v="2"/>
    <x v="100"/>
    <n v="6158"/>
    <x v="2"/>
    <x v="0"/>
    <m/>
    <x v="3"/>
    <m/>
    <m/>
  </r>
  <r>
    <x v="0"/>
    <x v="2"/>
    <x v="101"/>
    <n v="6232"/>
    <x v="0"/>
    <x v="0"/>
    <m/>
    <x v="3"/>
    <m/>
    <m/>
  </r>
  <r>
    <x v="0"/>
    <x v="2"/>
    <x v="102"/>
    <n v="3063"/>
    <x v="0"/>
    <x v="0"/>
    <m/>
    <x v="3"/>
    <m/>
    <m/>
  </r>
  <r>
    <x v="0"/>
    <x v="2"/>
    <x v="103"/>
    <n v="5853"/>
    <x v="2"/>
    <x v="0"/>
    <m/>
    <x v="3"/>
    <m/>
    <m/>
  </r>
  <r>
    <x v="0"/>
    <x v="2"/>
    <x v="104"/>
    <n v="6408"/>
    <x v="1"/>
    <x v="0"/>
    <m/>
    <x v="2"/>
    <m/>
    <m/>
  </r>
  <r>
    <x v="0"/>
    <x v="2"/>
    <x v="105"/>
    <n v="6544"/>
    <x v="2"/>
    <x v="0"/>
    <m/>
    <x v="4"/>
    <m/>
    <m/>
  </r>
  <r>
    <x v="0"/>
    <x v="2"/>
    <x v="106"/>
    <n v="6492"/>
    <x v="2"/>
    <x v="0"/>
    <m/>
    <x v="3"/>
    <m/>
    <m/>
  </r>
  <r>
    <x v="0"/>
    <x v="2"/>
    <x v="107"/>
    <n v="6452"/>
    <x v="0"/>
    <x v="0"/>
    <m/>
    <x v="4"/>
    <m/>
    <m/>
  </r>
  <r>
    <x v="0"/>
    <x v="2"/>
    <x v="108"/>
    <n v="6546"/>
    <x v="2"/>
    <x v="0"/>
    <m/>
    <x v="3"/>
    <m/>
    <m/>
  </r>
  <r>
    <x v="0"/>
    <x v="2"/>
    <x v="109"/>
    <n v="0"/>
    <x v="1"/>
    <x v="0"/>
    <m/>
    <x v="3"/>
    <m/>
    <m/>
  </r>
  <r>
    <x v="0"/>
    <x v="2"/>
    <x v="110"/>
    <n v="6175"/>
    <x v="3"/>
    <x v="1"/>
    <m/>
    <x v="3"/>
    <m/>
    <m/>
  </r>
  <r>
    <x v="0"/>
    <x v="2"/>
    <x v="111"/>
    <n v="6152"/>
    <x v="1"/>
    <x v="0"/>
    <m/>
    <x v="3"/>
    <m/>
    <m/>
  </r>
  <r>
    <x v="0"/>
    <x v="2"/>
    <x v="112"/>
    <n v="6558"/>
    <x v="2"/>
    <x v="0"/>
    <m/>
    <x v="4"/>
    <m/>
    <m/>
  </r>
  <r>
    <x v="0"/>
    <x v="2"/>
    <x v="113"/>
    <n v="0"/>
    <x v="3"/>
    <x v="1"/>
    <m/>
    <x v="2"/>
    <m/>
    <m/>
  </r>
  <r>
    <x v="0"/>
    <x v="3"/>
    <x v="114"/>
    <n v="6550"/>
    <x v="3"/>
    <x v="2"/>
    <m/>
    <x v="3"/>
    <m/>
    <s v="ukončena "/>
  </r>
  <r>
    <x v="0"/>
    <x v="3"/>
    <x v="115"/>
    <n v="6537"/>
    <x v="2"/>
    <x v="0"/>
    <m/>
    <x v="3"/>
    <m/>
    <m/>
  </r>
  <r>
    <x v="0"/>
    <x v="3"/>
    <x v="116"/>
    <n v="5802"/>
    <x v="1"/>
    <x v="0"/>
    <m/>
    <x v="2"/>
    <m/>
    <m/>
  </r>
  <r>
    <x v="0"/>
    <x v="3"/>
    <x v="117"/>
    <n v="4869"/>
    <x v="0"/>
    <x v="0"/>
    <m/>
    <x v="2"/>
    <m/>
    <m/>
  </r>
  <r>
    <x v="0"/>
    <x v="3"/>
    <x v="118"/>
    <n v="6508"/>
    <x v="2"/>
    <x v="0"/>
    <m/>
    <x v="2"/>
    <m/>
    <m/>
  </r>
  <r>
    <x v="0"/>
    <x v="3"/>
    <x v="119"/>
    <n v="4607"/>
    <x v="1"/>
    <x v="0"/>
    <m/>
    <x v="3"/>
    <m/>
    <m/>
  </r>
  <r>
    <x v="0"/>
    <x v="3"/>
    <x v="120"/>
    <n v="5047"/>
    <x v="0"/>
    <x v="0"/>
    <m/>
    <x v="2"/>
    <m/>
    <m/>
  </r>
  <r>
    <x v="0"/>
    <x v="3"/>
    <x v="121"/>
    <n v="4616"/>
    <x v="1"/>
    <x v="0"/>
    <m/>
    <x v="2"/>
    <m/>
    <m/>
  </r>
  <r>
    <x v="0"/>
    <x v="3"/>
    <x v="122"/>
    <n v="4961"/>
    <x v="2"/>
    <x v="0"/>
    <m/>
    <x v="2"/>
    <m/>
    <m/>
  </r>
  <r>
    <x v="0"/>
    <x v="3"/>
    <x v="123"/>
    <n v="4721"/>
    <x v="2"/>
    <x v="0"/>
    <m/>
    <x v="3"/>
    <m/>
    <m/>
  </r>
  <r>
    <x v="0"/>
    <x v="3"/>
    <x v="124"/>
    <n v="4845"/>
    <x v="2"/>
    <x v="0"/>
    <m/>
    <x v="2"/>
    <m/>
    <m/>
  </r>
  <r>
    <x v="0"/>
    <x v="3"/>
    <x v="125"/>
    <n v="47"/>
    <x v="2"/>
    <x v="0"/>
    <m/>
    <x v="4"/>
    <m/>
    <m/>
  </r>
  <r>
    <x v="0"/>
    <x v="3"/>
    <x v="126"/>
    <n v="6332"/>
    <x v="3"/>
    <x v="3"/>
    <m/>
    <x v="2"/>
    <m/>
    <s v="prostoj"/>
  </r>
  <r>
    <x v="0"/>
    <x v="3"/>
    <x v="127"/>
    <n v="4871"/>
    <x v="3"/>
    <x v="3"/>
    <m/>
    <x v="2"/>
    <m/>
    <s v="prostoj"/>
  </r>
  <r>
    <x v="0"/>
    <x v="3"/>
    <x v="128"/>
    <n v="4755"/>
    <x v="1"/>
    <x v="0"/>
    <m/>
    <x v="3"/>
    <m/>
    <m/>
  </r>
  <r>
    <x v="0"/>
    <x v="3"/>
    <x v="129"/>
    <n v="49"/>
    <x v="0"/>
    <x v="0"/>
    <m/>
    <x v="3"/>
    <s v="ranní"/>
    <m/>
  </r>
  <r>
    <x v="0"/>
    <x v="3"/>
    <x v="130"/>
    <n v="5839"/>
    <x v="0"/>
    <x v="0"/>
    <m/>
    <x v="4"/>
    <m/>
    <m/>
  </r>
  <r>
    <x v="0"/>
    <x v="3"/>
    <x v="131"/>
    <n v="6487"/>
    <x v="1"/>
    <x v="0"/>
    <m/>
    <x v="4"/>
    <m/>
    <m/>
  </r>
  <r>
    <x v="0"/>
    <x v="3"/>
    <x v="132"/>
    <n v="6292"/>
    <x v="0"/>
    <x v="0"/>
    <m/>
    <x v="2"/>
    <m/>
    <m/>
  </r>
  <r>
    <x v="0"/>
    <x v="3"/>
    <x v="133"/>
    <n v="5198"/>
    <x v="1"/>
    <x v="0"/>
    <m/>
    <x v="2"/>
    <m/>
    <m/>
  </r>
  <r>
    <x v="0"/>
    <x v="3"/>
    <x v="134"/>
    <n v="6368"/>
    <x v="0"/>
    <x v="0"/>
    <m/>
    <x v="2"/>
    <m/>
    <m/>
  </r>
  <r>
    <x v="0"/>
    <x v="3"/>
    <x v="135"/>
    <n v="5595"/>
    <x v="2"/>
    <x v="0"/>
    <m/>
    <x v="3"/>
    <m/>
    <m/>
  </r>
  <r>
    <x v="0"/>
    <x v="3"/>
    <x v="136"/>
    <n v="4960"/>
    <x v="0"/>
    <x v="0"/>
    <m/>
    <x v="4"/>
    <m/>
    <m/>
  </r>
  <r>
    <x v="0"/>
    <x v="3"/>
    <x v="137"/>
    <n v="5125"/>
    <x v="1"/>
    <x v="0"/>
    <m/>
    <x v="2"/>
    <m/>
    <m/>
  </r>
  <r>
    <x v="0"/>
    <x v="3"/>
    <x v="138"/>
    <n v="6127"/>
    <x v="1"/>
    <x v="0"/>
    <m/>
    <x v="3"/>
    <m/>
    <m/>
  </r>
  <r>
    <x v="0"/>
    <x v="3"/>
    <x v="139"/>
    <n v="5583"/>
    <x v="0"/>
    <x v="0"/>
    <m/>
    <x v="3"/>
    <m/>
    <m/>
  </r>
  <r>
    <x v="0"/>
    <x v="3"/>
    <x v="140"/>
    <n v="123"/>
    <x v="1"/>
    <x v="0"/>
    <m/>
    <x v="4"/>
    <m/>
    <m/>
  </r>
  <r>
    <x v="0"/>
    <x v="3"/>
    <x v="141"/>
    <n v="5525"/>
    <x v="1"/>
    <x v="0"/>
    <m/>
    <x v="2"/>
    <m/>
    <m/>
  </r>
  <r>
    <x v="0"/>
    <x v="3"/>
    <x v="142"/>
    <n v="126"/>
    <x v="2"/>
    <x v="0"/>
    <m/>
    <x v="2"/>
    <m/>
    <m/>
  </r>
  <r>
    <x v="0"/>
    <x v="3"/>
    <x v="143"/>
    <n v="127"/>
    <x v="2"/>
    <x v="0"/>
    <m/>
    <x v="3"/>
    <m/>
    <m/>
  </r>
  <r>
    <x v="0"/>
    <x v="3"/>
    <x v="144"/>
    <n v="4847"/>
    <x v="2"/>
    <x v="0"/>
    <m/>
    <x v="2"/>
    <m/>
    <m/>
  </r>
  <r>
    <x v="0"/>
    <x v="3"/>
    <x v="145"/>
    <n v="750"/>
    <x v="0"/>
    <x v="0"/>
    <m/>
    <x v="2"/>
    <m/>
    <m/>
  </r>
  <r>
    <x v="0"/>
    <x v="3"/>
    <x v="146"/>
    <n v="4663"/>
    <x v="1"/>
    <x v="0"/>
    <m/>
    <x v="3"/>
    <m/>
    <m/>
  </r>
  <r>
    <x v="0"/>
    <x v="3"/>
    <x v="147"/>
    <n v="131"/>
    <x v="2"/>
    <x v="0"/>
    <m/>
    <x v="3"/>
    <m/>
    <m/>
  </r>
  <r>
    <x v="0"/>
    <x v="3"/>
    <x v="148"/>
    <n v="5620"/>
    <x v="1"/>
    <x v="0"/>
    <m/>
    <x v="2"/>
    <m/>
    <m/>
  </r>
  <r>
    <x v="0"/>
    <x v="3"/>
    <x v="149"/>
    <n v="4868"/>
    <x v="2"/>
    <x v="0"/>
    <m/>
    <x v="2"/>
    <m/>
    <m/>
  </r>
  <r>
    <x v="0"/>
    <x v="3"/>
    <x v="150"/>
    <n v="5026"/>
    <x v="2"/>
    <x v="0"/>
    <m/>
    <x v="2"/>
    <m/>
    <m/>
  </r>
  <r>
    <x v="0"/>
    <x v="3"/>
    <x v="151"/>
    <n v="6424"/>
    <x v="0"/>
    <x v="0"/>
    <m/>
    <x v="4"/>
    <m/>
    <m/>
  </r>
  <r>
    <x v="0"/>
    <x v="3"/>
    <x v="152"/>
    <n v="5004"/>
    <x v="2"/>
    <x v="0"/>
    <m/>
    <x v="2"/>
    <m/>
    <m/>
  </r>
  <r>
    <x v="0"/>
    <x v="3"/>
    <x v="153"/>
    <n v="136"/>
    <x v="2"/>
    <x v="0"/>
    <m/>
    <x v="3"/>
    <m/>
    <m/>
  </r>
  <r>
    <x v="0"/>
    <x v="3"/>
    <x v="154"/>
    <n v="19"/>
    <x v="2"/>
    <x v="0"/>
    <m/>
    <x v="2"/>
    <m/>
    <m/>
  </r>
  <r>
    <x v="0"/>
    <x v="3"/>
    <x v="155"/>
    <n v="4791"/>
    <x v="2"/>
    <x v="0"/>
    <m/>
    <x v="2"/>
    <m/>
    <m/>
  </r>
  <r>
    <x v="0"/>
    <x v="3"/>
    <x v="156"/>
    <n v="5121"/>
    <x v="1"/>
    <x v="0"/>
    <m/>
    <x v="3"/>
    <m/>
    <m/>
  </r>
  <r>
    <x v="0"/>
    <x v="3"/>
    <x v="157"/>
    <n v="4416"/>
    <x v="1"/>
    <x v="0"/>
    <m/>
    <x v="3"/>
    <m/>
    <m/>
  </r>
  <r>
    <x v="0"/>
    <x v="3"/>
    <x v="158"/>
    <n v="6193"/>
    <x v="1"/>
    <x v="0"/>
    <m/>
    <x v="3"/>
    <m/>
    <m/>
  </r>
  <r>
    <x v="0"/>
    <x v="3"/>
    <x v="159"/>
    <n v="146"/>
    <x v="3"/>
    <x v="1"/>
    <m/>
    <x v="3"/>
    <m/>
    <m/>
  </r>
  <r>
    <x v="0"/>
    <x v="3"/>
    <x v="160"/>
    <n v="4745"/>
    <x v="2"/>
    <x v="0"/>
    <m/>
    <x v="2"/>
    <m/>
    <m/>
  </r>
  <r>
    <x v="0"/>
    <x v="3"/>
    <x v="161"/>
    <n v="5029"/>
    <x v="1"/>
    <x v="0"/>
    <m/>
    <x v="2"/>
    <m/>
    <m/>
  </r>
  <r>
    <x v="0"/>
    <x v="3"/>
    <x v="162"/>
    <n v="5209"/>
    <x v="1"/>
    <x v="0"/>
    <m/>
    <x v="2"/>
    <m/>
    <m/>
  </r>
  <r>
    <x v="0"/>
    <x v="3"/>
    <x v="163"/>
    <n v="4790"/>
    <x v="2"/>
    <x v="0"/>
    <m/>
    <x v="3"/>
    <m/>
    <m/>
  </r>
  <r>
    <x v="0"/>
    <x v="3"/>
    <x v="164"/>
    <n v="4727"/>
    <x v="0"/>
    <x v="0"/>
    <m/>
    <x v="4"/>
    <m/>
    <m/>
  </r>
  <r>
    <x v="0"/>
    <x v="3"/>
    <x v="165"/>
    <n v="6488"/>
    <x v="1"/>
    <x v="0"/>
    <m/>
    <x v="3"/>
    <m/>
    <m/>
  </r>
  <r>
    <x v="0"/>
    <x v="3"/>
    <x v="166"/>
    <n v="5604"/>
    <x v="1"/>
    <x v="0"/>
    <m/>
    <x v="2"/>
    <m/>
    <m/>
  </r>
  <r>
    <x v="0"/>
    <x v="3"/>
    <x v="167"/>
    <n v="5632"/>
    <x v="1"/>
    <x v="0"/>
    <m/>
    <x v="4"/>
    <m/>
    <m/>
  </r>
  <r>
    <x v="0"/>
    <x v="3"/>
    <x v="168"/>
    <n v="5980"/>
    <x v="2"/>
    <x v="0"/>
    <m/>
    <x v="3"/>
    <m/>
    <m/>
  </r>
  <r>
    <x v="0"/>
    <x v="3"/>
    <x v="169"/>
    <n v="5481"/>
    <x v="2"/>
    <x v="0"/>
    <m/>
    <x v="3"/>
    <m/>
    <m/>
  </r>
  <r>
    <x v="0"/>
    <x v="3"/>
    <x v="170"/>
    <n v="150"/>
    <x v="3"/>
    <x v="1"/>
    <m/>
    <x v="4"/>
    <m/>
    <m/>
  </r>
  <r>
    <x v="0"/>
    <x v="3"/>
    <x v="171"/>
    <n v="5120"/>
    <x v="1"/>
    <x v="0"/>
    <m/>
    <x v="2"/>
    <m/>
    <m/>
  </r>
  <r>
    <x v="0"/>
    <x v="3"/>
    <x v="172"/>
    <n v="4713"/>
    <x v="2"/>
    <x v="0"/>
    <m/>
    <x v="4"/>
    <m/>
    <m/>
  </r>
  <r>
    <x v="0"/>
    <x v="3"/>
    <x v="173"/>
    <n v="6318"/>
    <x v="1"/>
    <x v="0"/>
    <m/>
    <x v="4"/>
    <m/>
    <m/>
  </r>
  <r>
    <x v="0"/>
    <x v="3"/>
    <x v="174"/>
    <n v="5712"/>
    <x v="1"/>
    <x v="0"/>
    <m/>
    <x v="2"/>
    <m/>
    <m/>
  </r>
  <r>
    <x v="0"/>
    <x v="3"/>
    <x v="175"/>
    <n v="4744"/>
    <x v="0"/>
    <x v="0"/>
    <m/>
    <x v="3"/>
    <m/>
    <m/>
  </r>
  <r>
    <x v="0"/>
    <x v="3"/>
    <x v="176"/>
    <n v="4555"/>
    <x v="1"/>
    <x v="0"/>
    <m/>
    <x v="2"/>
    <m/>
    <m/>
  </r>
  <r>
    <x v="0"/>
    <x v="3"/>
    <x v="177"/>
    <n v="155"/>
    <x v="0"/>
    <x v="0"/>
    <m/>
    <x v="4"/>
    <m/>
    <m/>
  </r>
  <r>
    <x v="0"/>
    <x v="3"/>
    <x v="178"/>
    <n v="6178"/>
    <x v="1"/>
    <x v="0"/>
    <m/>
    <x v="3"/>
    <m/>
    <m/>
  </r>
  <r>
    <x v="0"/>
    <x v="3"/>
    <x v="179"/>
    <n v="6345"/>
    <x v="0"/>
    <x v="0"/>
    <m/>
    <x v="4"/>
    <m/>
    <s v="končí 8.10.2025"/>
  </r>
  <r>
    <x v="0"/>
    <x v="3"/>
    <x v="180"/>
    <n v="5601"/>
    <x v="0"/>
    <x v="0"/>
    <m/>
    <x v="3"/>
    <m/>
    <m/>
  </r>
  <r>
    <x v="0"/>
    <x v="3"/>
    <x v="181"/>
    <n v="5152"/>
    <x v="1"/>
    <x v="0"/>
    <m/>
    <x v="2"/>
    <m/>
    <m/>
  </r>
  <r>
    <x v="0"/>
    <x v="3"/>
    <x v="182"/>
    <n v="176"/>
    <x v="0"/>
    <x v="0"/>
    <m/>
    <x v="2"/>
    <m/>
    <m/>
  </r>
  <r>
    <x v="0"/>
    <x v="3"/>
    <x v="183"/>
    <n v="177"/>
    <x v="2"/>
    <x v="0"/>
    <m/>
    <x v="3"/>
    <m/>
    <m/>
  </r>
  <r>
    <x v="0"/>
    <x v="3"/>
    <x v="184"/>
    <n v="5555"/>
    <x v="2"/>
    <x v="0"/>
    <m/>
    <x v="2"/>
    <m/>
    <m/>
  </r>
  <r>
    <x v="0"/>
    <x v="3"/>
    <x v="185"/>
    <n v="4959"/>
    <x v="2"/>
    <x v="0"/>
    <m/>
    <x v="2"/>
    <m/>
    <m/>
  </r>
  <r>
    <x v="0"/>
    <x v="3"/>
    <x v="186"/>
    <n v="4919"/>
    <x v="1"/>
    <x v="0"/>
    <m/>
    <x v="2"/>
    <m/>
    <m/>
  </r>
  <r>
    <x v="0"/>
    <x v="3"/>
    <x v="187"/>
    <n v="4724"/>
    <x v="1"/>
    <x v="0"/>
    <m/>
    <x v="2"/>
    <m/>
    <m/>
  </r>
  <r>
    <x v="0"/>
    <x v="3"/>
    <x v="188"/>
    <n v="183"/>
    <x v="0"/>
    <x v="0"/>
    <m/>
    <x v="4"/>
    <m/>
    <m/>
  </r>
  <r>
    <x v="0"/>
    <x v="3"/>
    <x v="189"/>
    <n v="5545"/>
    <x v="2"/>
    <x v="0"/>
    <m/>
    <x v="2"/>
    <m/>
    <m/>
  </r>
  <r>
    <x v="0"/>
    <x v="3"/>
    <x v="190"/>
    <n v="5526"/>
    <x v="1"/>
    <x v="0"/>
    <m/>
    <x v="2"/>
    <m/>
    <m/>
  </r>
  <r>
    <x v="0"/>
    <x v="3"/>
    <x v="191"/>
    <n v="5192"/>
    <x v="1"/>
    <x v="0"/>
    <m/>
    <x v="2"/>
    <m/>
    <m/>
  </r>
  <r>
    <x v="0"/>
    <x v="3"/>
    <x v="192"/>
    <n v="4698"/>
    <x v="1"/>
    <x v="0"/>
    <m/>
    <x v="2"/>
    <m/>
    <m/>
  </r>
  <r>
    <x v="0"/>
    <x v="3"/>
    <x v="193"/>
    <n v="4611"/>
    <x v="2"/>
    <x v="0"/>
    <m/>
    <x v="4"/>
    <m/>
    <m/>
  </r>
  <r>
    <x v="0"/>
    <x v="3"/>
    <x v="194"/>
    <n v="5069"/>
    <x v="2"/>
    <x v="0"/>
    <m/>
    <x v="2"/>
    <m/>
    <m/>
  </r>
  <r>
    <x v="0"/>
    <x v="3"/>
    <x v="195"/>
    <n v="185"/>
    <x v="0"/>
    <x v="0"/>
    <m/>
    <x v="4"/>
    <m/>
    <m/>
  </r>
  <r>
    <x v="0"/>
    <x v="3"/>
    <x v="196"/>
    <n v="6388"/>
    <x v="1"/>
    <x v="0"/>
    <m/>
    <x v="2"/>
    <m/>
    <m/>
  </r>
  <r>
    <x v="0"/>
    <x v="3"/>
    <x v="197"/>
    <n v="5720"/>
    <x v="2"/>
    <x v="0"/>
    <m/>
    <x v="3"/>
    <m/>
    <m/>
  </r>
  <r>
    <x v="0"/>
    <x v="3"/>
    <x v="198"/>
    <n v="5722"/>
    <x v="2"/>
    <x v="0"/>
    <m/>
    <x v="3"/>
    <m/>
    <m/>
  </r>
  <r>
    <x v="0"/>
    <x v="3"/>
    <x v="199"/>
    <n v="6180"/>
    <x v="0"/>
    <x v="0"/>
    <m/>
    <x v="3"/>
    <m/>
    <m/>
  </r>
  <r>
    <x v="0"/>
    <x v="3"/>
    <x v="200"/>
    <n v="4423"/>
    <x v="0"/>
    <x v="0"/>
    <m/>
    <x v="4"/>
    <m/>
    <m/>
  </r>
  <r>
    <x v="0"/>
    <x v="3"/>
    <x v="201"/>
    <n v="5036"/>
    <x v="1"/>
    <x v="0"/>
    <m/>
    <x v="2"/>
    <m/>
    <m/>
  </r>
  <r>
    <x v="0"/>
    <x v="3"/>
    <x v="202"/>
    <n v="4899"/>
    <x v="0"/>
    <x v="0"/>
    <m/>
    <x v="4"/>
    <m/>
    <m/>
  </r>
  <r>
    <x v="1"/>
    <x v="0"/>
    <x v="0"/>
    <n v="5777"/>
    <x v="0"/>
    <x v="0"/>
    <m/>
    <x v="0"/>
    <m/>
    <m/>
  </r>
  <r>
    <x v="1"/>
    <x v="0"/>
    <x v="1"/>
    <n v="4838"/>
    <x v="1"/>
    <x v="0"/>
    <m/>
    <x v="0"/>
    <m/>
    <m/>
  </r>
  <r>
    <x v="1"/>
    <x v="0"/>
    <x v="2"/>
    <n v="4599"/>
    <x v="0"/>
    <x v="0"/>
    <m/>
    <x v="1"/>
    <m/>
    <m/>
  </r>
  <r>
    <x v="1"/>
    <x v="0"/>
    <x v="3"/>
    <n v="6566"/>
    <x v="1"/>
    <x v="0"/>
    <m/>
    <x v="1"/>
    <m/>
    <m/>
  </r>
  <r>
    <x v="1"/>
    <x v="0"/>
    <x v="4"/>
    <n v="5400"/>
    <x v="1"/>
    <x v="0"/>
    <m/>
    <x v="1"/>
    <m/>
    <m/>
  </r>
  <r>
    <x v="1"/>
    <x v="0"/>
    <x v="5"/>
    <n v="5094"/>
    <x v="2"/>
    <x v="0"/>
    <m/>
    <x v="0"/>
    <m/>
    <m/>
  </r>
  <r>
    <x v="1"/>
    <x v="0"/>
    <x v="6"/>
    <n v="6001"/>
    <x v="2"/>
    <x v="0"/>
    <m/>
    <x v="1"/>
    <m/>
    <m/>
  </r>
  <r>
    <x v="1"/>
    <x v="0"/>
    <x v="7"/>
    <n v="6573"/>
    <x v="2"/>
    <x v="0"/>
    <m/>
    <x v="1"/>
    <m/>
    <m/>
  </r>
  <r>
    <x v="1"/>
    <x v="0"/>
    <x v="8"/>
    <n v="5129"/>
    <x v="0"/>
    <x v="0"/>
    <m/>
    <x v="1"/>
    <m/>
    <m/>
  </r>
  <r>
    <x v="1"/>
    <x v="0"/>
    <x v="9"/>
    <n v="5663"/>
    <x v="0"/>
    <x v="0"/>
    <m/>
    <x v="1"/>
    <m/>
    <m/>
  </r>
  <r>
    <x v="1"/>
    <x v="0"/>
    <x v="10"/>
    <n v="4501"/>
    <x v="2"/>
    <x v="0"/>
    <m/>
    <x v="0"/>
    <m/>
    <m/>
  </r>
  <r>
    <x v="1"/>
    <x v="0"/>
    <x v="11"/>
    <n v="4936"/>
    <x v="2"/>
    <x v="0"/>
    <m/>
    <x v="1"/>
    <m/>
    <m/>
  </r>
  <r>
    <x v="1"/>
    <x v="0"/>
    <x v="12"/>
    <n v="3728"/>
    <x v="2"/>
    <x v="0"/>
    <m/>
    <x v="1"/>
    <m/>
    <m/>
  </r>
  <r>
    <x v="1"/>
    <x v="0"/>
    <x v="13"/>
    <n v="4955"/>
    <x v="0"/>
    <x v="0"/>
    <m/>
    <x v="1"/>
    <m/>
    <m/>
  </r>
  <r>
    <x v="1"/>
    <x v="0"/>
    <x v="14"/>
    <n v="6568"/>
    <x v="3"/>
    <x v="3"/>
    <m/>
    <x v="0"/>
    <m/>
    <s v="neplacené volno"/>
  </r>
  <r>
    <x v="1"/>
    <x v="0"/>
    <x v="15"/>
    <n v="3721"/>
    <x v="0"/>
    <x v="0"/>
    <m/>
    <x v="1"/>
    <m/>
    <m/>
  </r>
  <r>
    <x v="1"/>
    <x v="0"/>
    <x v="16"/>
    <n v="6110"/>
    <x v="2"/>
    <x v="0"/>
    <m/>
    <x v="1"/>
    <m/>
    <m/>
  </r>
  <r>
    <x v="1"/>
    <x v="0"/>
    <x v="17"/>
    <n v="0"/>
    <x v="0"/>
    <x v="0"/>
    <m/>
    <x v="1"/>
    <m/>
    <m/>
  </r>
  <r>
    <x v="1"/>
    <x v="0"/>
    <x v="18"/>
    <n v="6330"/>
    <x v="2"/>
    <x v="0"/>
    <m/>
    <x v="0"/>
    <m/>
    <m/>
  </r>
  <r>
    <x v="1"/>
    <x v="0"/>
    <x v="19"/>
    <n v="5828"/>
    <x v="0"/>
    <x v="0"/>
    <m/>
    <x v="1"/>
    <m/>
    <m/>
  </r>
  <r>
    <x v="1"/>
    <x v="0"/>
    <x v="20"/>
    <n v="4775"/>
    <x v="1"/>
    <x v="0"/>
    <m/>
    <x v="0"/>
    <m/>
    <m/>
  </r>
  <r>
    <x v="1"/>
    <x v="0"/>
    <x v="21"/>
    <n v="6551"/>
    <x v="3"/>
    <x v="2"/>
    <m/>
    <x v="1"/>
    <m/>
    <m/>
  </r>
  <r>
    <x v="1"/>
    <x v="0"/>
    <x v="22"/>
    <n v="5665"/>
    <x v="3"/>
    <x v="1"/>
    <m/>
    <x v="1"/>
    <m/>
    <m/>
  </r>
  <r>
    <x v="1"/>
    <x v="0"/>
    <x v="23"/>
    <n v="2463"/>
    <x v="1"/>
    <x v="0"/>
    <m/>
    <x v="2"/>
    <m/>
    <m/>
  </r>
  <r>
    <x v="1"/>
    <x v="0"/>
    <x v="24"/>
    <n v="6536"/>
    <x v="1"/>
    <x v="0"/>
    <m/>
    <x v="0"/>
    <m/>
    <m/>
  </r>
  <r>
    <x v="1"/>
    <x v="0"/>
    <x v="25"/>
    <n v="4748"/>
    <x v="3"/>
    <x v="1"/>
    <m/>
    <x v="1"/>
    <m/>
    <m/>
  </r>
  <r>
    <x v="1"/>
    <x v="0"/>
    <x v="26"/>
    <n v="6077"/>
    <x v="3"/>
    <x v="1"/>
    <m/>
    <x v="0"/>
    <m/>
    <m/>
  </r>
  <r>
    <x v="1"/>
    <x v="0"/>
    <x v="27"/>
    <n v="6574"/>
    <x v="1"/>
    <x v="0"/>
    <m/>
    <x v="1"/>
    <m/>
    <m/>
  </r>
  <r>
    <x v="1"/>
    <x v="0"/>
    <x v="28"/>
    <n v="4720"/>
    <x v="2"/>
    <x v="0"/>
    <m/>
    <x v="0"/>
    <m/>
    <m/>
  </r>
  <r>
    <x v="1"/>
    <x v="0"/>
    <x v="29"/>
    <n v="6409"/>
    <x v="2"/>
    <x v="0"/>
    <m/>
    <x v="2"/>
    <m/>
    <m/>
  </r>
  <r>
    <x v="1"/>
    <x v="0"/>
    <x v="30"/>
    <n v="3396"/>
    <x v="1"/>
    <x v="0"/>
    <m/>
    <x v="1"/>
    <m/>
    <m/>
  </r>
  <r>
    <x v="1"/>
    <x v="0"/>
    <x v="31"/>
    <n v="6376"/>
    <x v="1"/>
    <x v="0"/>
    <m/>
    <x v="0"/>
    <m/>
    <m/>
  </r>
  <r>
    <x v="1"/>
    <x v="0"/>
    <x v="32"/>
    <n v="5014"/>
    <x v="1"/>
    <x v="0"/>
    <m/>
    <x v="0"/>
    <m/>
    <m/>
  </r>
  <r>
    <x v="1"/>
    <x v="0"/>
    <x v="33"/>
    <n v="3369"/>
    <x v="2"/>
    <x v="0"/>
    <m/>
    <x v="1"/>
    <m/>
    <m/>
  </r>
  <r>
    <x v="1"/>
    <x v="0"/>
    <x v="34"/>
    <n v="6576"/>
    <x v="2"/>
    <x v="0"/>
    <m/>
    <x v="1"/>
    <m/>
    <m/>
  </r>
  <r>
    <x v="1"/>
    <x v="0"/>
    <x v="35"/>
    <n v="6352"/>
    <x v="0"/>
    <x v="0"/>
    <m/>
    <x v="1"/>
    <m/>
    <m/>
  </r>
  <r>
    <x v="1"/>
    <x v="0"/>
    <x v="36"/>
    <n v="5009"/>
    <x v="3"/>
    <x v="1"/>
    <m/>
    <x v="1"/>
    <m/>
    <m/>
  </r>
  <r>
    <x v="1"/>
    <x v="0"/>
    <x v="37"/>
    <n v="6251"/>
    <x v="3"/>
    <x v="1"/>
    <m/>
    <x v="1"/>
    <m/>
    <m/>
  </r>
  <r>
    <x v="1"/>
    <x v="0"/>
    <x v="38"/>
    <n v="6507"/>
    <x v="2"/>
    <x v="0"/>
    <m/>
    <x v="1"/>
    <m/>
    <m/>
  </r>
  <r>
    <x v="1"/>
    <x v="0"/>
    <x v="39"/>
    <n v="6346"/>
    <x v="2"/>
    <x v="0"/>
    <m/>
    <x v="1"/>
    <m/>
    <m/>
  </r>
  <r>
    <x v="1"/>
    <x v="0"/>
    <x v="40"/>
    <n v="4972"/>
    <x v="2"/>
    <x v="0"/>
    <m/>
    <x v="0"/>
    <m/>
    <m/>
  </r>
  <r>
    <x v="1"/>
    <x v="0"/>
    <x v="41"/>
    <n v="2230"/>
    <x v="2"/>
    <x v="0"/>
    <m/>
    <x v="1"/>
    <m/>
    <m/>
  </r>
  <r>
    <x v="1"/>
    <x v="0"/>
    <x v="42"/>
    <n v="5310"/>
    <x v="0"/>
    <x v="0"/>
    <m/>
    <x v="1"/>
    <m/>
    <m/>
  </r>
  <r>
    <x v="1"/>
    <x v="0"/>
    <x v="43"/>
    <n v="5948"/>
    <x v="3"/>
    <x v="1"/>
    <m/>
    <x v="1"/>
    <m/>
    <m/>
  </r>
  <r>
    <x v="1"/>
    <x v="0"/>
    <x v="44"/>
    <n v="6549"/>
    <x v="0"/>
    <x v="0"/>
    <m/>
    <x v="1"/>
    <m/>
    <m/>
  </r>
  <r>
    <x v="1"/>
    <x v="0"/>
    <x v="45"/>
    <n v="6538"/>
    <x v="2"/>
    <x v="0"/>
    <m/>
    <x v="1"/>
    <m/>
    <m/>
  </r>
  <r>
    <x v="1"/>
    <x v="0"/>
    <x v="46"/>
    <n v="5715"/>
    <x v="1"/>
    <x v="0"/>
    <m/>
    <x v="1"/>
    <m/>
    <m/>
  </r>
  <r>
    <x v="1"/>
    <x v="0"/>
    <x v="47"/>
    <n v="4514"/>
    <x v="1"/>
    <x v="0"/>
    <m/>
    <x v="1"/>
    <m/>
    <m/>
  </r>
  <r>
    <x v="1"/>
    <x v="0"/>
    <x v="48"/>
    <n v="5176"/>
    <x v="0"/>
    <x v="0"/>
    <m/>
    <x v="1"/>
    <m/>
    <m/>
  </r>
  <r>
    <x v="1"/>
    <x v="0"/>
    <x v="49"/>
    <n v="4163"/>
    <x v="1"/>
    <x v="0"/>
    <m/>
    <x v="1"/>
    <m/>
    <m/>
  </r>
  <r>
    <x v="1"/>
    <x v="0"/>
    <x v="50"/>
    <n v="3920"/>
    <x v="2"/>
    <x v="0"/>
    <m/>
    <x v="0"/>
    <m/>
    <m/>
  </r>
  <r>
    <x v="1"/>
    <x v="0"/>
    <x v="51"/>
    <n v="3257"/>
    <x v="2"/>
    <x v="0"/>
    <m/>
    <x v="1"/>
    <m/>
    <m/>
  </r>
  <r>
    <x v="1"/>
    <x v="0"/>
    <x v="52"/>
    <n v="3394"/>
    <x v="1"/>
    <x v="0"/>
    <m/>
    <x v="1"/>
    <m/>
    <m/>
  </r>
  <r>
    <x v="1"/>
    <x v="0"/>
    <x v="53"/>
    <n v="4828"/>
    <x v="0"/>
    <x v="0"/>
    <m/>
    <x v="0"/>
    <m/>
    <m/>
  </r>
  <r>
    <x v="1"/>
    <x v="0"/>
    <x v="54"/>
    <n v="4155"/>
    <x v="3"/>
    <x v="3"/>
    <m/>
    <x v="1"/>
    <m/>
    <m/>
  </r>
  <r>
    <x v="1"/>
    <x v="0"/>
    <x v="55"/>
    <n v="0"/>
    <x v="2"/>
    <x v="0"/>
    <m/>
    <x v="1"/>
    <m/>
    <m/>
  </r>
  <r>
    <x v="1"/>
    <x v="0"/>
    <x v="56"/>
    <n v="5179"/>
    <x v="0"/>
    <x v="0"/>
    <m/>
    <x v="1"/>
    <m/>
    <m/>
  </r>
  <r>
    <x v="1"/>
    <x v="0"/>
    <x v="57"/>
    <n v="4912"/>
    <x v="2"/>
    <x v="0"/>
    <m/>
    <x v="0"/>
    <m/>
    <m/>
  </r>
  <r>
    <x v="1"/>
    <x v="0"/>
    <x v="58"/>
    <n v="5208"/>
    <x v="2"/>
    <x v="0"/>
    <m/>
    <x v="1"/>
    <m/>
    <m/>
  </r>
  <r>
    <x v="1"/>
    <x v="0"/>
    <x v="59"/>
    <n v="3937"/>
    <x v="1"/>
    <x v="0"/>
    <m/>
    <x v="1"/>
    <m/>
    <m/>
  </r>
  <r>
    <x v="1"/>
    <x v="0"/>
    <x v="60"/>
    <n v="6076"/>
    <x v="0"/>
    <x v="0"/>
    <m/>
    <x v="1"/>
    <m/>
    <m/>
  </r>
  <r>
    <x v="1"/>
    <x v="0"/>
    <x v="61"/>
    <n v="3648"/>
    <x v="2"/>
    <x v="0"/>
    <m/>
    <x v="1"/>
    <m/>
    <m/>
  </r>
  <r>
    <x v="1"/>
    <x v="0"/>
    <x v="62"/>
    <n v="4602"/>
    <x v="0"/>
    <x v="0"/>
    <m/>
    <x v="1"/>
    <m/>
    <m/>
  </r>
  <r>
    <x v="1"/>
    <x v="0"/>
    <x v="63"/>
    <n v="4940"/>
    <x v="3"/>
    <x v="3"/>
    <m/>
    <x v="1"/>
    <m/>
    <m/>
  </r>
  <r>
    <x v="1"/>
    <x v="0"/>
    <x v="64"/>
    <n v="5660"/>
    <x v="1"/>
    <x v="0"/>
    <m/>
    <x v="1"/>
    <m/>
    <m/>
  </r>
  <r>
    <x v="1"/>
    <x v="0"/>
    <x v="65"/>
    <n v="6243"/>
    <x v="2"/>
    <x v="0"/>
    <m/>
    <x v="0"/>
    <m/>
    <m/>
  </r>
  <r>
    <x v="1"/>
    <x v="0"/>
    <x v="66"/>
    <n v="6339"/>
    <x v="0"/>
    <x v="0"/>
    <m/>
    <x v="1"/>
    <m/>
    <m/>
  </r>
  <r>
    <x v="1"/>
    <x v="0"/>
    <x v="67"/>
    <n v="4928"/>
    <x v="0"/>
    <x v="0"/>
    <m/>
    <x v="1"/>
    <m/>
    <m/>
  </r>
  <r>
    <x v="1"/>
    <x v="0"/>
    <x v="68"/>
    <n v="0"/>
    <x v="1"/>
    <x v="0"/>
    <m/>
    <x v="1"/>
    <m/>
    <m/>
  </r>
  <r>
    <x v="1"/>
    <x v="1"/>
    <x v="71"/>
    <n v="6474"/>
    <x v="2"/>
    <x v="0"/>
    <m/>
    <x v="1"/>
    <m/>
    <m/>
  </r>
  <r>
    <x v="1"/>
    <x v="1"/>
    <x v="70"/>
    <n v="5110"/>
    <x v="3"/>
    <x v="3"/>
    <m/>
    <x v="0"/>
    <m/>
    <m/>
  </r>
  <r>
    <x v="1"/>
    <x v="1"/>
    <x v="72"/>
    <n v="6473"/>
    <x v="0"/>
    <x v="0"/>
    <m/>
    <x v="1"/>
    <m/>
    <m/>
  </r>
  <r>
    <x v="1"/>
    <x v="1"/>
    <x v="69"/>
    <n v="6394"/>
    <x v="2"/>
    <x v="0"/>
    <m/>
    <x v="1"/>
    <m/>
    <m/>
  </r>
  <r>
    <x v="1"/>
    <x v="2"/>
    <x v="73"/>
    <n v="6259"/>
    <x v="0"/>
    <x v="0"/>
    <m/>
    <x v="2"/>
    <m/>
    <m/>
  </r>
  <r>
    <x v="1"/>
    <x v="2"/>
    <x v="74"/>
    <n v="3951"/>
    <x v="2"/>
    <x v="0"/>
    <m/>
    <x v="2"/>
    <m/>
    <m/>
  </r>
  <r>
    <x v="1"/>
    <x v="2"/>
    <x v="75"/>
    <n v="6450"/>
    <x v="0"/>
    <x v="0"/>
    <m/>
    <x v="3"/>
    <m/>
    <m/>
  </r>
  <r>
    <x v="1"/>
    <x v="2"/>
    <x v="76"/>
    <n v="6457"/>
    <x v="3"/>
    <x v="1"/>
    <m/>
    <x v="4"/>
    <m/>
    <m/>
  </r>
  <r>
    <x v="1"/>
    <x v="2"/>
    <x v="77"/>
    <n v="5584"/>
    <x v="0"/>
    <x v="0"/>
    <m/>
    <x v="2"/>
    <m/>
    <m/>
  </r>
  <r>
    <x v="1"/>
    <x v="2"/>
    <x v="78"/>
    <n v="6418"/>
    <x v="0"/>
    <x v="0"/>
    <m/>
    <x v="2"/>
    <m/>
    <m/>
  </r>
  <r>
    <x v="1"/>
    <x v="2"/>
    <x v="79"/>
    <n v="6177"/>
    <x v="0"/>
    <x v="0"/>
    <m/>
    <x v="4"/>
    <m/>
    <m/>
  </r>
  <r>
    <x v="1"/>
    <x v="2"/>
    <x v="80"/>
    <n v="6543"/>
    <x v="2"/>
    <x v="0"/>
    <m/>
    <x v="4"/>
    <m/>
    <m/>
  </r>
  <r>
    <x v="1"/>
    <x v="2"/>
    <x v="81"/>
    <n v="6541"/>
    <x v="1"/>
    <x v="0"/>
    <m/>
    <x v="3"/>
    <m/>
    <m/>
  </r>
  <r>
    <x v="1"/>
    <x v="2"/>
    <x v="82"/>
    <n v="6442"/>
    <x v="2"/>
    <x v="0"/>
    <m/>
    <x v="3"/>
    <m/>
    <m/>
  </r>
  <r>
    <x v="1"/>
    <x v="2"/>
    <x v="83"/>
    <n v="6143"/>
    <x v="0"/>
    <x v="0"/>
    <m/>
    <x v="2"/>
    <m/>
    <m/>
  </r>
  <r>
    <x v="1"/>
    <x v="2"/>
    <x v="84"/>
    <n v="6260"/>
    <x v="0"/>
    <x v="0"/>
    <m/>
    <x v="2"/>
    <m/>
    <m/>
  </r>
  <r>
    <x v="1"/>
    <x v="2"/>
    <x v="85"/>
    <n v="6542"/>
    <x v="2"/>
    <x v="0"/>
    <m/>
    <x v="3"/>
    <m/>
    <m/>
  </r>
  <r>
    <x v="1"/>
    <x v="2"/>
    <x v="86"/>
    <n v="6525"/>
    <x v="1"/>
    <x v="0"/>
    <m/>
    <x v="3"/>
    <m/>
    <m/>
  </r>
  <r>
    <x v="1"/>
    <x v="2"/>
    <x v="87"/>
    <n v="6430"/>
    <x v="1"/>
    <x v="0"/>
    <m/>
    <x v="2"/>
    <m/>
    <m/>
  </r>
  <r>
    <x v="1"/>
    <x v="2"/>
    <x v="88"/>
    <n v="6454"/>
    <x v="1"/>
    <x v="0"/>
    <m/>
    <x v="4"/>
    <m/>
    <m/>
  </r>
  <r>
    <x v="1"/>
    <x v="2"/>
    <x v="89"/>
    <n v="6016"/>
    <x v="2"/>
    <x v="0"/>
    <m/>
    <x v="3"/>
    <m/>
    <m/>
  </r>
  <r>
    <x v="1"/>
    <x v="2"/>
    <x v="90"/>
    <n v="6437"/>
    <x v="0"/>
    <x v="0"/>
    <m/>
    <x v="3"/>
    <m/>
    <m/>
  </r>
  <r>
    <x v="1"/>
    <x v="2"/>
    <x v="91"/>
    <n v="6431"/>
    <x v="3"/>
    <x v="3"/>
    <m/>
    <x v="4"/>
    <m/>
    <m/>
  </r>
  <r>
    <x v="1"/>
    <x v="2"/>
    <x v="92"/>
    <n v="6119"/>
    <x v="3"/>
    <x v="1"/>
    <m/>
    <x v="4"/>
    <m/>
    <m/>
  </r>
  <r>
    <x v="1"/>
    <x v="2"/>
    <x v="93"/>
    <n v="6559"/>
    <x v="0"/>
    <x v="0"/>
    <m/>
    <x v="4"/>
    <m/>
    <m/>
  </r>
  <r>
    <x v="1"/>
    <x v="2"/>
    <x v="94"/>
    <n v="6496"/>
    <x v="2"/>
    <x v="0"/>
    <m/>
    <x v="3"/>
    <m/>
    <m/>
  </r>
  <r>
    <x v="1"/>
    <x v="2"/>
    <x v="95"/>
    <n v="4392"/>
    <x v="2"/>
    <x v="0"/>
    <m/>
    <x v="4"/>
    <m/>
    <m/>
  </r>
  <r>
    <x v="1"/>
    <x v="2"/>
    <x v="96"/>
    <n v="6514"/>
    <x v="0"/>
    <x v="0"/>
    <m/>
    <x v="3"/>
    <m/>
    <m/>
  </r>
  <r>
    <x v="1"/>
    <x v="2"/>
    <x v="97"/>
    <n v="6516"/>
    <x v="2"/>
    <x v="0"/>
    <m/>
    <x v="4"/>
    <m/>
    <m/>
  </r>
  <r>
    <x v="1"/>
    <x v="2"/>
    <x v="98"/>
    <n v="0"/>
    <x v="2"/>
    <x v="0"/>
    <m/>
    <x v="2"/>
    <m/>
    <m/>
  </r>
  <r>
    <x v="1"/>
    <x v="2"/>
    <x v="99"/>
    <n v="6449"/>
    <x v="2"/>
    <x v="0"/>
    <m/>
    <x v="3"/>
    <m/>
    <m/>
  </r>
  <r>
    <x v="1"/>
    <x v="2"/>
    <x v="100"/>
    <n v="6158"/>
    <x v="2"/>
    <x v="0"/>
    <m/>
    <x v="3"/>
    <m/>
    <m/>
  </r>
  <r>
    <x v="1"/>
    <x v="2"/>
    <x v="101"/>
    <n v="6232"/>
    <x v="0"/>
    <x v="0"/>
    <m/>
    <x v="3"/>
    <m/>
    <m/>
  </r>
  <r>
    <x v="1"/>
    <x v="2"/>
    <x v="102"/>
    <n v="3063"/>
    <x v="0"/>
    <x v="0"/>
    <m/>
    <x v="3"/>
    <m/>
    <m/>
  </r>
  <r>
    <x v="1"/>
    <x v="2"/>
    <x v="103"/>
    <n v="5853"/>
    <x v="2"/>
    <x v="0"/>
    <m/>
    <x v="3"/>
    <m/>
    <m/>
  </r>
  <r>
    <x v="1"/>
    <x v="2"/>
    <x v="104"/>
    <n v="6408"/>
    <x v="1"/>
    <x v="0"/>
    <m/>
    <x v="2"/>
    <m/>
    <m/>
  </r>
  <r>
    <x v="1"/>
    <x v="2"/>
    <x v="105"/>
    <n v="6544"/>
    <x v="2"/>
    <x v="0"/>
    <m/>
    <x v="4"/>
    <m/>
    <m/>
  </r>
  <r>
    <x v="1"/>
    <x v="2"/>
    <x v="106"/>
    <n v="6492"/>
    <x v="2"/>
    <x v="0"/>
    <m/>
    <x v="3"/>
    <m/>
    <m/>
  </r>
  <r>
    <x v="1"/>
    <x v="2"/>
    <x v="107"/>
    <n v="6452"/>
    <x v="0"/>
    <x v="0"/>
    <m/>
    <x v="4"/>
    <m/>
    <m/>
  </r>
  <r>
    <x v="1"/>
    <x v="2"/>
    <x v="108"/>
    <n v="6546"/>
    <x v="2"/>
    <x v="0"/>
    <m/>
    <x v="3"/>
    <m/>
    <m/>
  </r>
  <r>
    <x v="1"/>
    <x v="2"/>
    <x v="109"/>
    <n v="0"/>
    <x v="1"/>
    <x v="0"/>
    <m/>
    <x v="3"/>
    <m/>
    <m/>
  </r>
  <r>
    <x v="1"/>
    <x v="2"/>
    <x v="110"/>
    <n v="6175"/>
    <x v="3"/>
    <x v="1"/>
    <m/>
    <x v="3"/>
    <m/>
    <m/>
  </r>
  <r>
    <x v="1"/>
    <x v="2"/>
    <x v="111"/>
    <n v="6152"/>
    <x v="1"/>
    <x v="0"/>
    <m/>
    <x v="3"/>
    <m/>
    <m/>
  </r>
  <r>
    <x v="1"/>
    <x v="2"/>
    <x v="112"/>
    <n v="6558"/>
    <x v="2"/>
    <x v="0"/>
    <m/>
    <x v="4"/>
    <m/>
    <m/>
  </r>
  <r>
    <x v="1"/>
    <x v="2"/>
    <x v="113"/>
    <n v="0"/>
    <x v="3"/>
    <x v="1"/>
    <m/>
    <x v="2"/>
    <m/>
    <m/>
  </r>
  <r>
    <x v="1"/>
    <x v="2"/>
    <x v="112"/>
    <n v="6558"/>
    <x v="1"/>
    <x v="0"/>
    <m/>
    <x v="4"/>
    <m/>
    <m/>
  </r>
  <r>
    <x v="1"/>
    <x v="3"/>
    <x v="115"/>
    <n v="6537"/>
    <x v="2"/>
    <x v="0"/>
    <m/>
    <x v="3"/>
    <m/>
    <m/>
  </r>
  <r>
    <x v="1"/>
    <x v="3"/>
    <x v="116"/>
    <n v="5802"/>
    <x v="1"/>
    <x v="0"/>
    <m/>
    <x v="2"/>
    <m/>
    <m/>
  </r>
  <r>
    <x v="1"/>
    <x v="3"/>
    <x v="117"/>
    <n v="4869"/>
    <x v="0"/>
    <x v="0"/>
    <m/>
    <x v="2"/>
    <m/>
    <m/>
  </r>
  <r>
    <x v="1"/>
    <x v="3"/>
    <x v="118"/>
    <n v="6508"/>
    <x v="2"/>
    <x v="0"/>
    <m/>
    <x v="2"/>
    <m/>
    <m/>
  </r>
  <r>
    <x v="1"/>
    <x v="3"/>
    <x v="119"/>
    <n v="4607"/>
    <x v="1"/>
    <x v="0"/>
    <m/>
    <x v="3"/>
    <m/>
    <m/>
  </r>
  <r>
    <x v="1"/>
    <x v="3"/>
    <x v="120"/>
    <n v="5047"/>
    <x v="0"/>
    <x v="0"/>
    <m/>
    <x v="2"/>
    <m/>
    <m/>
  </r>
  <r>
    <x v="1"/>
    <x v="3"/>
    <x v="121"/>
    <n v="4616"/>
    <x v="1"/>
    <x v="0"/>
    <m/>
    <x v="2"/>
    <m/>
    <m/>
  </r>
  <r>
    <x v="1"/>
    <x v="3"/>
    <x v="122"/>
    <n v="4961"/>
    <x v="2"/>
    <x v="0"/>
    <m/>
    <x v="2"/>
    <m/>
    <m/>
  </r>
  <r>
    <x v="1"/>
    <x v="3"/>
    <x v="123"/>
    <n v="4721"/>
    <x v="2"/>
    <x v="0"/>
    <m/>
    <x v="3"/>
    <m/>
    <m/>
  </r>
  <r>
    <x v="1"/>
    <x v="3"/>
    <x v="124"/>
    <n v="4845"/>
    <x v="2"/>
    <x v="0"/>
    <m/>
    <x v="2"/>
    <m/>
    <m/>
  </r>
  <r>
    <x v="1"/>
    <x v="3"/>
    <x v="125"/>
    <n v="47"/>
    <x v="2"/>
    <x v="0"/>
    <m/>
    <x v="4"/>
    <m/>
    <m/>
  </r>
  <r>
    <x v="1"/>
    <x v="3"/>
    <x v="126"/>
    <n v="6332"/>
    <x v="3"/>
    <x v="3"/>
    <m/>
    <x v="2"/>
    <m/>
    <s v="prostoj"/>
  </r>
  <r>
    <x v="1"/>
    <x v="3"/>
    <x v="127"/>
    <n v="4871"/>
    <x v="3"/>
    <x v="3"/>
    <m/>
    <x v="2"/>
    <m/>
    <s v="prostoj"/>
  </r>
  <r>
    <x v="1"/>
    <x v="3"/>
    <x v="128"/>
    <n v="4755"/>
    <x v="1"/>
    <x v="0"/>
    <m/>
    <x v="3"/>
    <m/>
    <m/>
  </r>
  <r>
    <x v="1"/>
    <x v="3"/>
    <x v="129"/>
    <n v="49"/>
    <x v="0"/>
    <x v="0"/>
    <m/>
    <x v="3"/>
    <m/>
    <m/>
  </r>
  <r>
    <x v="1"/>
    <x v="3"/>
    <x v="130"/>
    <n v="5839"/>
    <x v="0"/>
    <x v="0"/>
    <m/>
    <x v="4"/>
    <m/>
    <m/>
  </r>
  <r>
    <x v="1"/>
    <x v="3"/>
    <x v="131"/>
    <n v="6487"/>
    <x v="1"/>
    <x v="0"/>
    <m/>
    <x v="4"/>
    <m/>
    <m/>
  </r>
  <r>
    <x v="1"/>
    <x v="3"/>
    <x v="132"/>
    <n v="6292"/>
    <x v="0"/>
    <x v="0"/>
    <m/>
    <x v="2"/>
    <m/>
    <m/>
  </r>
  <r>
    <x v="1"/>
    <x v="3"/>
    <x v="133"/>
    <n v="5198"/>
    <x v="1"/>
    <x v="0"/>
    <m/>
    <x v="2"/>
    <m/>
    <m/>
  </r>
  <r>
    <x v="1"/>
    <x v="3"/>
    <x v="134"/>
    <n v="6368"/>
    <x v="0"/>
    <x v="0"/>
    <m/>
    <x v="2"/>
    <m/>
    <m/>
  </r>
  <r>
    <x v="1"/>
    <x v="3"/>
    <x v="135"/>
    <n v="5595"/>
    <x v="2"/>
    <x v="0"/>
    <m/>
    <x v="3"/>
    <m/>
    <m/>
  </r>
  <r>
    <x v="1"/>
    <x v="3"/>
    <x v="136"/>
    <n v="4960"/>
    <x v="0"/>
    <x v="0"/>
    <m/>
    <x v="4"/>
    <m/>
    <m/>
  </r>
  <r>
    <x v="1"/>
    <x v="3"/>
    <x v="137"/>
    <n v="5125"/>
    <x v="1"/>
    <x v="0"/>
    <m/>
    <x v="2"/>
    <m/>
    <m/>
  </r>
  <r>
    <x v="1"/>
    <x v="3"/>
    <x v="138"/>
    <n v="6127"/>
    <x v="1"/>
    <x v="0"/>
    <m/>
    <x v="3"/>
    <m/>
    <m/>
  </r>
  <r>
    <x v="1"/>
    <x v="3"/>
    <x v="139"/>
    <n v="5583"/>
    <x v="0"/>
    <x v="0"/>
    <m/>
    <x v="3"/>
    <m/>
    <m/>
  </r>
  <r>
    <x v="1"/>
    <x v="3"/>
    <x v="140"/>
    <n v="123"/>
    <x v="1"/>
    <x v="0"/>
    <m/>
    <x v="4"/>
    <m/>
    <m/>
  </r>
  <r>
    <x v="1"/>
    <x v="3"/>
    <x v="141"/>
    <n v="5525"/>
    <x v="1"/>
    <x v="0"/>
    <m/>
    <x v="2"/>
    <m/>
    <m/>
  </r>
  <r>
    <x v="1"/>
    <x v="3"/>
    <x v="142"/>
    <n v="126"/>
    <x v="2"/>
    <x v="0"/>
    <m/>
    <x v="2"/>
    <m/>
    <m/>
  </r>
  <r>
    <x v="1"/>
    <x v="3"/>
    <x v="143"/>
    <n v="127"/>
    <x v="2"/>
    <x v="0"/>
    <m/>
    <x v="3"/>
    <m/>
    <m/>
  </r>
  <r>
    <x v="1"/>
    <x v="3"/>
    <x v="144"/>
    <n v="4847"/>
    <x v="2"/>
    <x v="0"/>
    <m/>
    <x v="2"/>
    <m/>
    <m/>
  </r>
  <r>
    <x v="1"/>
    <x v="3"/>
    <x v="145"/>
    <n v="750"/>
    <x v="0"/>
    <x v="0"/>
    <m/>
    <x v="2"/>
    <m/>
    <m/>
  </r>
  <r>
    <x v="1"/>
    <x v="3"/>
    <x v="146"/>
    <n v="4663"/>
    <x v="1"/>
    <x v="0"/>
    <m/>
    <x v="3"/>
    <m/>
    <m/>
  </r>
  <r>
    <x v="1"/>
    <x v="3"/>
    <x v="147"/>
    <n v="131"/>
    <x v="2"/>
    <x v="0"/>
    <m/>
    <x v="3"/>
    <m/>
    <m/>
  </r>
  <r>
    <x v="1"/>
    <x v="3"/>
    <x v="148"/>
    <n v="5620"/>
    <x v="1"/>
    <x v="0"/>
    <m/>
    <x v="2"/>
    <m/>
    <m/>
  </r>
  <r>
    <x v="1"/>
    <x v="3"/>
    <x v="149"/>
    <n v="4868"/>
    <x v="2"/>
    <x v="0"/>
    <m/>
    <x v="2"/>
    <m/>
    <m/>
  </r>
  <r>
    <x v="1"/>
    <x v="3"/>
    <x v="150"/>
    <n v="5026"/>
    <x v="2"/>
    <x v="0"/>
    <m/>
    <x v="2"/>
    <m/>
    <m/>
  </r>
  <r>
    <x v="1"/>
    <x v="3"/>
    <x v="151"/>
    <n v="6424"/>
    <x v="0"/>
    <x v="0"/>
    <m/>
    <x v="4"/>
    <m/>
    <m/>
  </r>
  <r>
    <x v="1"/>
    <x v="3"/>
    <x v="152"/>
    <n v="5004"/>
    <x v="2"/>
    <x v="0"/>
    <m/>
    <x v="2"/>
    <m/>
    <m/>
  </r>
  <r>
    <x v="1"/>
    <x v="3"/>
    <x v="153"/>
    <n v="136"/>
    <x v="2"/>
    <x v="0"/>
    <m/>
    <x v="3"/>
    <m/>
    <m/>
  </r>
  <r>
    <x v="1"/>
    <x v="3"/>
    <x v="154"/>
    <n v="19"/>
    <x v="2"/>
    <x v="0"/>
    <m/>
    <x v="2"/>
    <m/>
    <m/>
  </r>
  <r>
    <x v="1"/>
    <x v="3"/>
    <x v="155"/>
    <n v="4791"/>
    <x v="2"/>
    <x v="0"/>
    <m/>
    <x v="2"/>
    <m/>
    <m/>
  </r>
  <r>
    <x v="1"/>
    <x v="3"/>
    <x v="156"/>
    <n v="5121"/>
    <x v="1"/>
    <x v="0"/>
    <m/>
    <x v="3"/>
    <m/>
    <m/>
  </r>
  <r>
    <x v="1"/>
    <x v="3"/>
    <x v="157"/>
    <n v="4416"/>
    <x v="1"/>
    <x v="0"/>
    <m/>
    <x v="3"/>
    <m/>
    <m/>
  </r>
  <r>
    <x v="1"/>
    <x v="3"/>
    <x v="158"/>
    <n v="6193"/>
    <x v="1"/>
    <x v="0"/>
    <m/>
    <x v="3"/>
    <m/>
    <m/>
  </r>
  <r>
    <x v="1"/>
    <x v="3"/>
    <x v="159"/>
    <n v="146"/>
    <x v="3"/>
    <x v="1"/>
    <m/>
    <x v="3"/>
    <m/>
    <m/>
  </r>
  <r>
    <x v="1"/>
    <x v="3"/>
    <x v="160"/>
    <n v="4745"/>
    <x v="2"/>
    <x v="0"/>
    <m/>
    <x v="2"/>
    <m/>
    <m/>
  </r>
  <r>
    <x v="1"/>
    <x v="3"/>
    <x v="161"/>
    <n v="5029"/>
    <x v="1"/>
    <x v="0"/>
    <m/>
    <x v="2"/>
    <m/>
    <m/>
  </r>
  <r>
    <x v="1"/>
    <x v="3"/>
    <x v="162"/>
    <n v="5209"/>
    <x v="1"/>
    <x v="0"/>
    <m/>
    <x v="2"/>
    <m/>
    <m/>
  </r>
  <r>
    <x v="1"/>
    <x v="3"/>
    <x v="163"/>
    <n v="4790"/>
    <x v="2"/>
    <x v="0"/>
    <m/>
    <x v="3"/>
    <m/>
    <m/>
  </r>
  <r>
    <x v="1"/>
    <x v="3"/>
    <x v="164"/>
    <n v="4727"/>
    <x v="0"/>
    <x v="0"/>
    <m/>
    <x v="4"/>
    <m/>
    <m/>
  </r>
  <r>
    <x v="1"/>
    <x v="3"/>
    <x v="165"/>
    <n v="6488"/>
    <x v="1"/>
    <x v="0"/>
    <m/>
    <x v="3"/>
    <m/>
    <m/>
  </r>
  <r>
    <x v="1"/>
    <x v="3"/>
    <x v="166"/>
    <n v="5604"/>
    <x v="1"/>
    <x v="0"/>
    <m/>
    <x v="2"/>
    <m/>
    <m/>
  </r>
  <r>
    <x v="1"/>
    <x v="3"/>
    <x v="167"/>
    <n v="5632"/>
    <x v="1"/>
    <x v="0"/>
    <m/>
    <x v="4"/>
    <m/>
    <m/>
  </r>
  <r>
    <x v="1"/>
    <x v="3"/>
    <x v="168"/>
    <n v="5980"/>
    <x v="2"/>
    <x v="0"/>
    <m/>
    <x v="3"/>
    <m/>
    <m/>
  </r>
  <r>
    <x v="1"/>
    <x v="3"/>
    <x v="169"/>
    <n v="5481"/>
    <x v="2"/>
    <x v="0"/>
    <m/>
    <x v="3"/>
    <m/>
    <m/>
  </r>
  <r>
    <x v="1"/>
    <x v="3"/>
    <x v="170"/>
    <n v="150"/>
    <x v="3"/>
    <x v="1"/>
    <m/>
    <x v="4"/>
    <m/>
    <m/>
  </r>
  <r>
    <x v="1"/>
    <x v="3"/>
    <x v="171"/>
    <n v="5120"/>
    <x v="1"/>
    <x v="0"/>
    <m/>
    <x v="2"/>
    <m/>
    <m/>
  </r>
  <r>
    <x v="1"/>
    <x v="3"/>
    <x v="172"/>
    <n v="4713"/>
    <x v="2"/>
    <x v="0"/>
    <m/>
    <x v="4"/>
    <m/>
    <m/>
  </r>
  <r>
    <x v="1"/>
    <x v="3"/>
    <x v="173"/>
    <n v="6318"/>
    <x v="1"/>
    <x v="0"/>
    <m/>
    <x v="4"/>
    <m/>
    <m/>
  </r>
  <r>
    <x v="1"/>
    <x v="3"/>
    <x v="174"/>
    <n v="5712"/>
    <x v="1"/>
    <x v="0"/>
    <m/>
    <x v="2"/>
    <m/>
    <m/>
  </r>
  <r>
    <x v="1"/>
    <x v="3"/>
    <x v="175"/>
    <n v="4744"/>
    <x v="0"/>
    <x v="0"/>
    <m/>
    <x v="3"/>
    <m/>
    <m/>
  </r>
  <r>
    <x v="1"/>
    <x v="3"/>
    <x v="176"/>
    <n v="4555"/>
    <x v="3"/>
    <x v="3"/>
    <m/>
    <x v="2"/>
    <m/>
    <m/>
  </r>
  <r>
    <x v="1"/>
    <x v="3"/>
    <x v="177"/>
    <n v="155"/>
    <x v="0"/>
    <x v="0"/>
    <m/>
    <x v="4"/>
    <m/>
    <m/>
  </r>
  <r>
    <x v="1"/>
    <x v="3"/>
    <x v="178"/>
    <n v="6178"/>
    <x v="1"/>
    <x v="0"/>
    <m/>
    <x v="3"/>
    <m/>
    <m/>
  </r>
  <r>
    <x v="1"/>
    <x v="3"/>
    <x v="179"/>
    <n v="6345"/>
    <x v="0"/>
    <x v="0"/>
    <m/>
    <x v="4"/>
    <m/>
    <m/>
  </r>
  <r>
    <x v="1"/>
    <x v="3"/>
    <x v="180"/>
    <n v="5601"/>
    <x v="0"/>
    <x v="0"/>
    <m/>
    <x v="3"/>
    <m/>
    <m/>
  </r>
  <r>
    <x v="1"/>
    <x v="3"/>
    <x v="181"/>
    <n v="5152"/>
    <x v="1"/>
    <x v="0"/>
    <m/>
    <x v="2"/>
    <m/>
    <m/>
  </r>
  <r>
    <x v="1"/>
    <x v="3"/>
    <x v="182"/>
    <n v="176"/>
    <x v="0"/>
    <x v="0"/>
    <m/>
    <x v="2"/>
    <m/>
    <m/>
  </r>
  <r>
    <x v="1"/>
    <x v="3"/>
    <x v="183"/>
    <n v="177"/>
    <x v="2"/>
    <x v="0"/>
    <m/>
    <x v="3"/>
    <m/>
    <m/>
  </r>
  <r>
    <x v="1"/>
    <x v="3"/>
    <x v="184"/>
    <n v="5555"/>
    <x v="2"/>
    <x v="0"/>
    <m/>
    <x v="2"/>
    <m/>
    <m/>
  </r>
  <r>
    <x v="1"/>
    <x v="3"/>
    <x v="185"/>
    <n v="4959"/>
    <x v="2"/>
    <x v="0"/>
    <m/>
    <x v="2"/>
    <m/>
    <m/>
  </r>
  <r>
    <x v="1"/>
    <x v="3"/>
    <x v="186"/>
    <n v="4919"/>
    <x v="1"/>
    <x v="0"/>
    <m/>
    <x v="2"/>
    <m/>
    <m/>
  </r>
  <r>
    <x v="1"/>
    <x v="3"/>
    <x v="187"/>
    <n v="4724"/>
    <x v="1"/>
    <x v="0"/>
    <m/>
    <x v="2"/>
    <m/>
    <m/>
  </r>
  <r>
    <x v="1"/>
    <x v="3"/>
    <x v="188"/>
    <n v="183"/>
    <x v="0"/>
    <x v="0"/>
    <m/>
    <x v="4"/>
    <m/>
    <m/>
  </r>
  <r>
    <x v="1"/>
    <x v="3"/>
    <x v="189"/>
    <n v="5545"/>
    <x v="2"/>
    <x v="0"/>
    <m/>
    <x v="2"/>
    <m/>
    <m/>
  </r>
  <r>
    <x v="1"/>
    <x v="3"/>
    <x v="190"/>
    <n v="5526"/>
    <x v="1"/>
    <x v="0"/>
    <m/>
    <x v="2"/>
    <m/>
    <m/>
  </r>
  <r>
    <x v="1"/>
    <x v="3"/>
    <x v="191"/>
    <n v="5192"/>
    <x v="1"/>
    <x v="0"/>
    <m/>
    <x v="2"/>
    <m/>
    <m/>
  </r>
  <r>
    <x v="1"/>
    <x v="3"/>
    <x v="192"/>
    <n v="4698"/>
    <x v="1"/>
    <x v="0"/>
    <m/>
    <x v="2"/>
    <m/>
    <m/>
  </r>
  <r>
    <x v="1"/>
    <x v="3"/>
    <x v="193"/>
    <n v="4611"/>
    <x v="2"/>
    <x v="0"/>
    <m/>
    <x v="4"/>
    <m/>
    <m/>
  </r>
  <r>
    <x v="1"/>
    <x v="3"/>
    <x v="194"/>
    <n v="5069"/>
    <x v="2"/>
    <x v="0"/>
    <m/>
    <x v="2"/>
    <m/>
    <m/>
  </r>
  <r>
    <x v="1"/>
    <x v="3"/>
    <x v="195"/>
    <n v="185"/>
    <x v="0"/>
    <x v="0"/>
    <m/>
    <x v="4"/>
    <m/>
    <m/>
  </r>
  <r>
    <x v="1"/>
    <x v="3"/>
    <x v="196"/>
    <n v="6388"/>
    <x v="1"/>
    <x v="0"/>
    <m/>
    <x v="2"/>
    <m/>
    <m/>
  </r>
  <r>
    <x v="1"/>
    <x v="3"/>
    <x v="197"/>
    <n v="5720"/>
    <x v="2"/>
    <x v="0"/>
    <m/>
    <x v="3"/>
    <m/>
    <m/>
  </r>
  <r>
    <x v="1"/>
    <x v="3"/>
    <x v="198"/>
    <n v="5722"/>
    <x v="2"/>
    <x v="0"/>
    <m/>
    <x v="3"/>
    <m/>
    <m/>
  </r>
  <r>
    <x v="1"/>
    <x v="3"/>
    <x v="199"/>
    <n v="6180"/>
    <x v="0"/>
    <x v="0"/>
    <m/>
    <x v="3"/>
    <m/>
    <m/>
  </r>
  <r>
    <x v="1"/>
    <x v="3"/>
    <x v="200"/>
    <n v="4423"/>
    <x v="0"/>
    <x v="0"/>
    <m/>
    <x v="4"/>
    <m/>
    <m/>
  </r>
  <r>
    <x v="1"/>
    <x v="3"/>
    <x v="201"/>
    <n v="5036"/>
    <x v="1"/>
    <x v="0"/>
    <m/>
    <x v="2"/>
    <m/>
    <m/>
  </r>
  <r>
    <x v="1"/>
    <x v="3"/>
    <x v="202"/>
    <n v="4899"/>
    <x v="0"/>
    <x v="0"/>
    <m/>
    <x v="4"/>
    <m/>
    <m/>
  </r>
  <r>
    <x v="2"/>
    <x v="1"/>
    <x v="71"/>
    <n v="6474"/>
    <x v="3"/>
    <x v="3"/>
    <m/>
    <x v="1"/>
    <m/>
    <m/>
  </r>
  <r>
    <x v="2"/>
    <x v="1"/>
    <x v="70"/>
    <n v="5110"/>
    <x v="0"/>
    <x v="0"/>
    <m/>
    <x v="0"/>
    <m/>
    <m/>
  </r>
  <r>
    <x v="2"/>
    <x v="1"/>
    <x v="72"/>
    <n v="6473"/>
    <x v="0"/>
    <x v="0"/>
    <m/>
    <x v="1"/>
    <m/>
    <m/>
  </r>
  <r>
    <x v="2"/>
    <x v="1"/>
    <x v="69"/>
    <n v="6394"/>
    <x v="2"/>
    <x v="0"/>
    <m/>
    <x v="1"/>
    <s v="Odpolední"/>
    <m/>
  </r>
  <r>
    <x v="2"/>
    <x v="0"/>
    <x v="0"/>
    <n v="5777"/>
    <x v="3"/>
    <x v="3"/>
    <m/>
    <x v="0"/>
    <m/>
    <m/>
  </r>
  <r>
    <x v="2"/>
    <x v="0"/>
    <x v="1"/>
    <n v="4838"/>
    <x v="1"/>
    <x v="0"/>
    <m/>
    <x v="0"/>
    <m/>
    <m/>
  </r>
  <r>
    <x v="2"/>
    <x v="0"/>
    <x v="2"/>
    <n v="4599"/>
    <x v="0"/>
    <x v="0"/>
    <m/>
    <x v="1"/>
    <m/>
    <m/>
  </r>
  <r>
    <x v="2"/>
    <x v="0"/>
    <x v="3"/>
    <n v="6566"/>
    <x v="1"/>
    <x v="0"/>
    <m/>
    <x v="1"/>
    <m/>
    <m/>
  </r>
  <r>
    <x v="2"/>
    <x v="0"/>
    <x v="4"/>
    <n v="5400"/>
    <x v="1"/>
    <x v="0"/>
    <m/>
    <x v="1"/>
    <m/>
    <m/>
  </r>
  <r>
    <x v="2"/>
    <x v="0"/>
    <x v="5"/>
    <n v="5094"/>
    <x v="2"/>
    <x v="0"/>
    <m/>
    <x v="0"/>
    <m/>
    <m/>
  </r>
  <r>
    <x v="2"/>
    <x v="0"/>
    <x v="6"/>
    <n v="6001"/>
    <x v="2"/>
    <x v="0"/>
    <m/>
    <x v="1"/>
    <m/>
    <m/>
  </r>
  <r>
    <x v="2"/>
    <x v="0"/>
    <x v="7"/>
    <n v="6573"/>
    <x v="2"/>
    <x v="0"/>
    <m/>
    <x v="1"/>
    <m/>
    <m/>
  </r>
  <r>
    <x v="2"/>
    <x v="0"/>
    <x v="8"/>
    <n v="5129"/>
    <x v="0"/>
    <x v="0"/>
    <m/>
    <x v="1"/>
    <m/>
    <m/>
  </r>
  <r>
    <x v="2"/>
    <x v="0"/>
    <x v="9"/>
    <n v="5663"/>
    <x v="0"/>
    <x v="0"/>
    <m/>
    <x v="1"/>
    <m/>
    <m/>
  </r>
  <r>
    <x v="2"/>
    <x v="0"/>
    <x v="10"/>
    <n v="4501"/>
    <x v="2"/>
    <x v="0"/>
    <m/>
    <x v="0"/>
    <m/>
    <m/>
  </r>
  <r>
    <x v="2"/>
    <x v="0"/>
    <x v="11"/>
    <n v="4936"/>
    <x v="2"/>
    <x v="0"/>
    <m/>
    <x v="1"/>
    <m/>
    <m/>
  </r>
  <r>
    <x v="2"/>
    <x v="0"/>
    <x v="12"/>
    <n v="3728"/>
    <x v="2"/>
    <x v="0"/>
    <m/>
    <x v="1"/>
    <m/>
    <m/>
  </r>
  <r>
    <x v="2"/>
    <x v="0"/>
    <x v="13"/>
    <n v="4955"/>
    <x v="0"/>
    <x v="0"/>
    <m/>
    <x v="1"/>
    <m/>
    <m/>
  </r>
  <r>
    <x v="2"/>
    <x v="0"/>
    <x v="14"/>
    <n v="6568"/>
    <x v="0"/>
    <x v="0"/>
    <m/>
    <x v="0"/>
    <m/>
    <m/>
  </r>
  <r>
    <x v="2"/>
    <x v="0"/>
    <x v="15"/>
    <n v="3721"/>
    <x v="0"/>
    <x v="0"/>
    <m/>
    <x v="1"/>
    <m/>
    <m/>
  </r>
  <r>
    <x v="2"/>
    <x v="0"/>
    <x v="16"/>
    <n v="6110"/>
    <x v="3"/>
    <x v="3"/>
    <m/>
    <x v="1"/>
    <m/>
    <m/>
  </r>
  <r>
    <x v="2"/>
    <x v="0"/>
    <x v="17"/>
    <n v="0"/>
    <x v="0"/>
    <x v="0"/>
    <m/>
    <x v="1"/>
    <m/>
    <m/>
  </r>
  <r>
    <x v="2"/>
    <x v="0"/>
    <x v="18"/>
    <n v="6330"/>
    <x v="2"/>
    <x v="0"/>
    <m/>
    <x v="0"/>
    <m/>
    <m/>
  </r>
  <r>
    <x v="2"/>
    <x v="0"/>
    <x v="19"/>
    <n v="5828"/>
    <x v="0"/>
    <x v="0"/>
    <m/>
    <x v="1"/>
    <m/>
    <m/>
  </r>
  <r>
    <x v="2"/>
    <x v="0"/>
    <x v="20"/>
    <n v="4775"/>
    <x v="1"/>
    <x v="0"/>
    <m/>
    <x v="0"/>
    <m/>
    <m/>
  </r>
  <r>
    <x v="2"/>
    <x v="0"/>
    <x v="21"/>
    <n v="6551"/>
    <x v="3"/>
    <x v="2"/>
    <m/>
    <x v="1"/>
    <m/>
    <m/>
  </r>
  <r>
    <x v="2"/>
    <x v="0"/>
    <x v="22"/>
    <n v="5665"/>
    <x v="3"/>
    <x v="1"/>
    <m/>
    <x v="1"/>
    <m/>
    <m/>
  </r>
  <r>
    <x v="2"/>
    <x v="0"/>
    <x v="23"/>
    <n v="2463"/>
    <x v="1"/>
    <x v="0"/>
    <m/>
    <x v="2"/>
    <m/>
    <m/>
  </r>
  <r>
    <x v="2"/>
    <x v="0"/>
    <x v="24"/>
    <n v="6536"/>
    <x v="1"/>
    <x v="0"/>
    <m/>
    <x v="0"/>
    <m/>
    <m/>
  </r>
  <r>
    <x v="2"/>
    <x v="0"/>
    <x v="25"/>
    <n v="4748"/>
    <x v="3"/>
    <x v="1"/>
    <m/>
    <x v="1"/>
    <m/>
    <m/>
  </r>
  <r>
    <x v="2"/>
    <x v="0"/>
    <x v="26"/>
    <n v="6077"/>
    <x v="3"/>
    <x v="1"/>
    <m/>
    <x v="0"/>
    <m/>
    <m/>
  </r>
  <r>
    <x v="2"/>
    <x v="0"/>
    <x v="27"/>
    <n v="6574"/>
    <x v="1"/>
    <x v="0"/>
    <m/>
    <x v="1"/>
    <m/>
    <m/>
  </r>
  <r>
    <x v="2"/>
    <x v="0"/>
    <x v="28"/>
    <n v="4720"/>
    <x v="2"/>
    <x v="0"/>
    <m/>
    <x v="0"/>
    <m/>
    <m/>
  </r>
  <r>
    <x v="2"/>
    <x v="0"/>
    <x v="29"/>
    <n v="6409"/>
    <x v="2"/>
    <x v="0"/>
    <m/>
    <x v="2"/>
    <m/>
    <m/>
  </r>
  <r>
    <x v="2"/>
    <x v="0"/>
    <x v="30"/>
    <n v="3396"/>
    <x v="1"/>
    <x v="0"/>
    <m/>
    <x v="1"/>
    <m/>
    <m/>
  </r>
  <r>
    <x v="2"/>
    <x v="0"/>
    <x v="31"/>
    <n v="6376"/>
    <x v="1"/>
    <x v="0"/>
    <m/>
    <x v="0"/>
    <m/>
    <m/>
  </r>
  <r>
    <x v="2"/>
    <x v="0"/>
    <x v="32"/>
    <n v="5014"/>
    <x v="1"/>
    <x v="0"/>
    <m/>
    <x v="0"/>
    <m/>
    <m/>
  </r>
  <r>
    <x v="2"/>
    <x v="0"/>
    <x v="33"/>
    <n v="3369"/>
    <x v="2"/>
    <x v="0"/>
    <m/>
    <x v="1"/>
    <m/>
    <m/>
  </r>
  <r>
    <x v="2"/>
    <x v="0"/>
    <x v="34"/>
    <n v="6576"/>
    <x v="3"/>
    <x v="2"/>
    <m/>
    <x v="1"/>
    <m/>
    <m/>
  </r>
  <r>
    <x v="2"/>
    <x v="0"/>
    <x v="35"/>
    <n v="6352"/>
    <x v="0"/>
    <x v="0"/>
    <m/>
    <x v="1"/>
    <m/>
    <m/>
  </r>
  <r>
    <x v="2"/>
    <x v="0"/>
    <x v="36"/>
    <n v="5009"/>
    <x v="3"/>
    <x v="1"/>
    <m/>
    <x v="1"/>
    <m/>
    <m/>
  </r>
  <r>
    <x v="2"/>
    <x v="0"/>
    <x v="37"/>
    <n v="6251"/>
    <x v="3"/>
    <x v="1"/>
    <m/>
    <x v="1"/>
    <m/>
    <m/>
  </r>
  <r>
    <x v="2"/>
    <x v="0"/>
    <x v="38"/>
    <n v="6507"/>
    <x v="2"/>
    <x v="0"/>
    <m/>
    <x v="1"/>
    <m/>
    <m/>
  </r>
  <r>
    <x v="2"/>
    <x v="0"/>
    <x v="39"/>
    <n v="6346"/>
    <x v="2"/>
    <x v="0"/>
    <m/>
    <x v="1"/>
    <m/>
    <m/>
  </r>
  <r>
    <x v="2"/>
    <x v="0"/>
    <x v="40"/>
    <n v="4972"/>
    <x v="2"/>
    <x v="0"/>
    <m/>
    <x v="0"/>
    <m/>
    <m/>
  </r>
  <r>
    <x v="2"/>
    <x v="0"/>
    <x v="41"/>
    <n v="2230"/>
    <x v="3"/>
    <x v="3"/>
    <m/>
    <x v="1"/>
    <m/>
    <m/>
  </r>
  <r>
    <x v="2"/>
    <x v="0"/>
    <x v="42"/>
    <n v="5310"/>
    <x v="0"/>
    <x v="0"/>
    <m/>
    <x v="1"/>
    <m/>
    <m/>
  </r>
  <r>
    <x v="2"/>
    <x v="0"/>
    <x v="43"/>
    <n v="5948"/>
    <x v="3"/>
    <x v="1"/>
    <m/>
    <x v="1"/>
    <m/>
    <m/>
  </r>
  <r>
    <x v="2"/>
    <x v="0"/>
    <x v="44"/>
    <n v="6549"/>
    <x v="3"/>
    <x v="3"/>
    <m/>
    <x v="1"/>
    <m/>
    <s v="neplacené volno"/>
  </r>
  <r>
    <x v="2"/>
    <x v="0"/>
    <x v="45"/>
    <n v="6538"/>
    <x v="2"/>
    <x v="0"/>
    <m/>
    <x v="1"/>
    <m/>
    <m/>
  </r>
  <r>
    <x v="2"/>
    <x v="0"/>
    <x v="46"/>
    <n v="5715"/>
    <x v="1"/>
    <x v="0"/>
    <m/>
    <x v="1"/>
    <m/>
    <m/>
  </r>
  <r>
    <x v="2"/>
    <x v="0"/>
    <x v="47"/>
    <n v="4514"/>
    <x v="1"/>
    <x v="0"/>
    <m/>
    <x v="1"/>
    <m/>
    <m/>
  </r>
  <r>
    <x v="2"/>
    <x v="0"/>
    <x v="48"/>
    <n v="5176"/>
    <x v="0"/>
    <x v="0"/>
    <m/>
    <x v="1"/>
    <m/>
    <m/>
  </r>
  <r>
    <x v="2"/>
    <x v="0"/>
    <x v="49"/>
    <n v="4163"/>
    <x v="1"/>
    <x v="0"/>
    <m/>
    <x v="1"/>
    <m/>
    <m/>
  </r>
  <r>
    <x v="2"/>
    <x v="0"/>
    <x v="50"/>
    <n v="3920"/>
    <x v="2"/>
    <x v="0"/>
    <m/>
    <x v="0"/>
    <m/>
    <m/>
  </r>
  <r>
    <x v="2"/>
    <x v="0"/>
    <x v="51"/>
    <n v="3257"/>
    <x v="3"/>
    <x v="4"/>
    <m/>
    <x v="1"/>
    <m/>
    <m/>
  </r>
  <r>
    <x v="2"/>
    <x v="0"/>
    <x v="52"/>
    <n v="3394"/>
    <x v="1"/>
    <x v="0"/>
    <m/>
    <x v="1"/>
    <m/>
    <m/>
  </r>
  <r>
    <x v="2"/>
    <x v="0"/>
    <x v="53"/>
    <n v="4828"/>
    <x v="0"/>
    <x v="0"/>
    <m/>
    <x v="0"/>
    <m/>
    <m/>
  </r>
  <r>
    <x v="2"/>
    <x v="0"/>
    <x v="54"/>
    <n v="4155"/>
    <x v="3"/>
    <x v="3"/>
    <m/>
    <x v="1"/>
    <m/>
    <m/>
  </r>
  <r>
    <x v="2"/>
    <x v="0"/>
    <x v="55"/>
    <n v="0"/>
    <x v="2"/>
    <x v="0"/>
    <m/>
    <x v="1"/>
    <m/>
    <m/>
  </r>
  <r>
    <x v="2"/>
    <x v="0"/>
    <x v="56"/>
    <n v="5179"/>
    <x v="0"/>
    <x v="0"/>
    <m/>
    <x v="1"/>
    <m/>
    <m/>
  </r>
  <r>
    <x v="2"/>
    <x v="0"/>
    <x v="57"/>
    <n v="4912"/>
    <x v="3"/>
    <x v="4"/>
    <m/>
    <x v="0"/>
    <m/>
    <m/>
  </r>
  <r>
    <x v="2"/>
    <x v="0"/>
    <x v="58"/>
    <n v="5208"/>
    <x v="3"/>
    <x v="3"/>
    <m/>
    <x v="1"/>
    <m/>
    <s v="paragraf"/>
  </r>
  <r>
    <x v="2"/>
    <x v="0"/>
    <x v="59"/>
    <n v="3937"/>
    <x v="1"/>
    <x v="0"/>
    <m/>
    <x v="1"/>
    <m/>
    <m/>
  </r>
  <r>
    <x v="2"/>
    <x v="0"/>
    <x v="60"/>
    <n v="6076"/>
    <x v="3"/>
    <x v="1"/>
    <m/>
    <x v="1"/>
    <m/>
    <m/>
  </r>
  <r>
    <x v="2"/>
    <x v="0"/>
    <x v="61"/>
    <n v="3648"/>
    <x v="2"/>
    <x v="0"/>
    <m/>
    <x v="1"/>
    <m/>
    <m/>
  </r>
  <r>
    <x v="2"/>
    <x v="0"/>
    <x v="62"/>
    <n v="4602"/>
    <x v="0"/>
    <x v="0"/>
    <m/>
    <x v="1"/>
    <m/>
    <m/>
  </r>
  <r>
    <x v="2"/>
    <x v="0"/>
    <x v="63"/>
    <n v="4940"/>
    <x v="3"/>
    <x v="3"/>
    <m/>
    <x v="1"/>
    <m/>
    <m/>
  </r>
  <r>
    <x v="2"/>
    <x v="0"/>
    <x v="64"/>
    <n v="5660"/>
    <x v="0"/>
    <x v="0"/>
    <m/>
    <x v="1"/>
    <m/>
    <m/>
  </r>
  <r>
    <x v="2"/>
    <x v="0"/>
    <x v="65"/>
    <n v="6243"/>
    <x v="1"/>
    <x v="0"/>
    <m/>
    <x v="0"/>
    <m/>
    <m/>
  </r>
  <r>
    <x v="2"/>
    <x v="0"/>
    <x v="66"/>
    <n v="6339"/>
    <x v="0"/>
    <x v="0"/>
    <m/>
    <x v="1"/>
    <m/>
    <m/>
  </r>
  <r>
    <x v="2"/>
    <x v="0"/>
    <x v="67"/>
    <n v="4928"/>
    <x v="0"/>
    <x v="0"/>
    <m/>
    <x v="1"/>
    <m/>
    <m/>
  </r>
  <r>
    <x v="2"/>
    <x v="0"/>
    <x v="68"/>
    <n v="0"/>
    <x v="1"/>
    <x v="0"/>
    <m/>
    <x v="1"/>
    <m/>
    <m/>
  </r>
  <r>
    <x v="2"/>
    <x v="2"/>
    <x v="73"/>
    <n v="6259"/>
    <x v="3"/>
    <x v="1"/>
    <m/>
    <x v="2"/>
    <m/>
    <m/>
  </r>
  <r>
    <x v="2"/>
    <x v="2"/>
    <x v="74"/>
    <n v="3951"/>
    <x v="2"/>
    <x v="0"/>
    <m/>
    <x v="2"/>
    <m/>
    <m/>
  </r>
  <r>
    <x v="2"/>
    <x v="2"/>
    <x v="75"/>
    <n v="6450"/>
    <x v="0"/>
    <x v="0"/>
    <m/>
    <x v="3"/>
    <m/>
    <m/>
  </r>
  <r>
    <x v="2"/>
    <x v="2"/>
    <x v="76"/>
    <n v="6457"/>
    <x v="3"/>
    <x v="1"/>
    <m/>
    <x v="4"/>
    <m/>
    <s v="ukončena k 26.9.2025"/>
  </r>
  <r>
    <x v="2"/>
    <x v="2"/>
    <x v="77"/>
    <n v="5584"/>
    <x v="0"/>
    <x v="0"/>
    <m/>
    <x v="2"/>
    <m/>
    <m/>
  </r>
  <r>
    <x v="2"/>
    <x v="2"/>
    <x v="78"/>
    <n v="6418"/>
    <x v="0"/>
    <x v="0"/>
    <m/>
    <x v="2"/>
    <m/>
    <m/>
  </r>
  <r>
    <x v="2"/>
    <x v="2"/>
    <x v="79"/>
    <n v="6177"/>
    <x v="0"/>
    <x v="0"/>
    <m/>
    <x v="4"/>
    <m/>
    <m/>
  </r>
  <r>
    <x v="2"/>
    <x v="2"/>
    <x v="80"/>
    <n v="6543"/>
    <x v="2"/>
    <x v="0"/>
    <m/>
    <x v="4"/>
    <m/>
    <m/>
  </r>
  <r>
    <x v="2"/>
    <x v="2"/>
    <x v="81"/>
    <n v="6541"/>
    <x v="1"/>
    <x v="0"/>
    <m/>
    <x v="3"/>
    <m/>
    <m/>
  </r>
  <r>
    <x v="2"/>
    <x v="2"/>
    <x v="82"/>
    <n v="6442"/>
    <x v="2"/>
    <x v="0"/>
    <m/>
    <x v="3"/>
    <m/>
    <m/>
  </r>
  <r>
    <x v="2"/>
    <x v="2"/>
    <x v="83"/>
    <n v="6143"/>
    <x v="0"/>
    <x v="0"/>
    <m/>
    <x v="2"/>
    <m/>
    <m/>
  </r>
  <r>
    <x v="2"/>
    <x v="2"/>
    <x v="84"/>
    <n v="6260"/>
    <x v="0"/>
    <x v="0"/>
    <m/>
    <x v="2"/>
    <m/>
    <m/>
  </r>
  <r>
    <x v="2"/>
    <x v="2"/>
    <x v="85"/>
    <n v="6542"/>
    <x v="2"/>
    <x v="0"/>
    <m/>
    <x v="3"/>
    <m/>
    <m/>
  </r>
  <r>
    <x v="2"/>
    <x v="2"/>
    <x v="86"/>
    <n v="6525"/>
    <x v="1"/>
    <x v="0"/>
    <m/>
    <x v="3"/>
    <m/>
    <s v="ukončen k 26.9.2025"/>
  </r>
  <r>
    <x v="2"/>
    <x v="2"/>
    <x v="87"/>
    <n v="6430"/>
    <x v="1"/>
    <x v="0"/>
    <m/>
    <x v="2"/>
    <m/>
    <m/>
  </r>
  <r>
    <x v="2"/>
    <x v="2"/>
    <x v="88"/>
    <n v="6454"/>
    <x v="1"/>
    <x v="0"/>
    <m/>
    <x v="4"/>
    <m/>
    <s v="ukončen k 26.9.2025"/>
  </r>
  <r>
    <x v="2"/>
    <x v="2"/>
    <x v="89"/>
    <n v="6016"/>
    <x v="2"/>
    <x v="0"/>
    <m/>
    <x v="3"/>
    <m/>
    <m/>
  </r>
  <r>
    <x v="2"/>
    <x v="2"/>
    <x v="90"/>
    <n v="6437"/>
    <x v="0"/>
    <x v="0"/>
    <m/>
    <x v="3"/>
    <m/>
    <m/>
  </r>
  <r>
    <x v="2"/>
    <x v="2"/>
    <x v="91"/>
    <n v="6431"/>
    <x v="3"/>
    <x v="3"/>
    <m/>
    <x v="4"/>
    <m/>
    <m/>
  </r>
  <r>
    <x v="2"/>
    <x v="2"/>
    <x v="92"/>
    <n v="6119"/>
    <x v="3"/>
    <x v="1"/>
    <m/>
    <x v="4"/>
    <m/>
    <m/>
  </r>
  <r>
    <x v="2"/>
    <x v="2"/>
    <x v="93"/>
    <n v="6559"/>
    <x v="0"/>
    <x v="0"/>
    <m/>
    <x v="4"/>
    <m/>
    <m/>
  </r>
  <r>
    <x v="2"/>
    <x v="2"/>
    <x v="94"/>
    <n v="6496"/>
    <x v="2"/>
    <x v="0"/>
    <m/>
    <x v="3"/>
    <m/>
    <s v="ukončen k 26.9.2025"/>
  </r>
  <r>
    <x v="2"/>
    <x v="2"/>
    <x v="95"/>
    <n v="4392"/>
    <x v="2"/>
    <x v="0"/>
    <m/>
    <x v="4"/>
    <m/>
    <m/>
  </r>
  <r>
    <x v="2"/>
    <x v="2"/>
    <x v="96"/>
    <n v="6514"/>
    <x v="0"/>
    <x v="0"/>
    <m/>
    <x v="3"/>
    <m/>
    <m/>
  </r>
  <r>
    <x v="2"/>
    <x v="2"/>
    <x v="97"/>
    <n v="6516"/>
    <x v="3"/>
    <x v="3"/>
    <m/>
    <x v="4"/>
    <m/>
    <m/>
  </r>
  <r>
    <x v="2"/>
    <x v="2"/>
    <x v="98"/>
    <n v="0"/>
    <x v="2"/>
    <x v="0"/>
    <m/>
    <x v="2"/>
    <m/>
    <m/>
  </r>
  <r>
    <x v="2"/>
    <x v="2"/>
    <x v="99"/>
    <n v="6449"/>
    <x v="3"/>
    <x v="3"/>
    <m/>
    <x v="3"/>
    <m/>
    <m/>
  </r>
  <r>
    <x v="2"/>
    <x v="2"/>
    <x v="100"/>
    <n v="6158"/>
    <x v="2"/>
    <x v="0"/>
    <m/>
    <x v="3"/>
    <m/>
    <m/>
  </r>
  <r>
    <x v="2"/>
    <x v="2"/>
    <x v="101"/>
    <n v="6232"/>
    <x v="0"/>
    <x v="0"/>
    <m/>
    <x v="3"/>
    <m/>
    <m/>
  </r>
  <r>
    <x v="2"/>
    <x v="2"/>
    <x v="102"/>
    <n v="3063"/>
    <x v="0"/>
    <x v="0"/>
    <m/>
    <x v="3"/>
    <m/>
    <m/>
  </r>
  <r>
    <x v="2"/>
    <x v="2"/>
    <x v="103"/>
    <n v="5853"/>
    <x v="2"/>
    <x v="0"/>
    <m/>
    <x v="3"/>
    <m/>
    <m/>
  </r>
  <r>
    <x v="2"/>
    <x v="2"/>
    <x v="104"/>
    <n v="6408"/>
    <x v="1"/>
    <x v="0"/>
    <m/>
    <x v="2"/>
    <m/>
    <m/>
  </r>
  <r>
    <x v="2"/>
    <x v="2"/>
    <x v="105"/>
    <n v="6544"/>
    <x v="2"/>
    <x v="0"/>
    <m/>
    <x v="4"/>
    <m/>
    <m/>
  </r>
  <r>
    <x v="2"/>
    <x v="2"/>
    <x v="106"/>
    <n v="6492"/>
    <x v="2"/>
    <x v="0"/>
    <m/>
    <x v="3"/>
    <m/>
    <m/>
  </r>
  <r>
    <x v="2"/>
    <x v="2"/>
    <x v="107"/>
    <n v="6452"/>
    <x v="0"/>
    <x v="0"/>
    <m/>
    <x v="4"/>
    <m/>
    <s v="ukončen k 26.9.2025"/>
  </r>
  <r>
    <x v="2"/>
    <x v="2"/>
    <x v="108"/>
    <n v="6546"/>
    <x v="2"/>
    <x v="0"/>
    <m/>
    <x v="3"/>
    <m/>
    <s v="ukončen k 26.9.2025"/>
  </r>
  <r>
    <x v="2"/>
    <x v="2"/>
    <x v="109"/>
    <n v="0"/>
    <x v="1"/>
    <x v="0"/>
    <m/>
    <x v="3"/>
    <m/>
    <m/>
  </r>
  <r>
    <x v="2"/>
    <x v="2"/>
    <x v="110"/>
    <n v="6175"/>
    <x v="3"/>
    <x v="1"/>
    <m/>
    <x v="3"/>
    <m/>
    <s v="ukončena k 26.9.2025"/>
  </r>
  <r>
    <x v="2"/>
    <x v="2"/>
    <x v="111"/>
    <n v="6152"/>
    <x v="1"/>
    <x v="0"/>
    <m/>
    <x v="3"/>
    <m/>
    <m/>
  </r>
  <r>
    <x v="2"/>
    <x v="2"/>
    <x v="112"/>
    <n v="6558"/>
    <x v="2"/>
    <x v="0"/>
    <m/>
    <x v="4"/>
    <m/>
    <m/>
  </r>
  <r>
    <x v="2"/>
    <x v="2"/>
    <x v="113"/>
    <n v="0"/>
    <x v="3"/>
    <x v="1"/>
    <m/>
    <x v="2"/>
    <m/>
    <m/>
  </r>
  <r>
    <x v="2"/>
    <x v="2"/>
    <x v="112"/>
    <n v="6558"/>
    <x v="1"/>
    <x v="0"/>
    <m/>
    <x v="4"/>
    <m/>
    <m/>
  </r>
  <r>
    <x v="2"/>
    <x v="3"/>
    <x v="115"/>
    <n v="6537"/>
    <x v="2"/>
    <x v="0"/>
    <m/>
    <x v="3"/>
    <m/>
    <m/>
  </r>
  <r>
    <x v="2"/>
    <x v="3"/>
    <x v="116"/>
    <n v="5802"/>
    <x v="1"/>
    <x v="0"/>
    <m/>
    <x v="2"/>
    <m/>
    <m/>
  </r>
  <r>
    <x v="2"/>
    <x v="3"/>
    <x v="117"/>
    <n v="4869"/>
    <x v="0"/>
    <x v="0"/>
    <m/>
    <x v="2"/>
    <m/>
    <m/>
  </r>
  <r>
    <x v="2"/>
    <x v="3"/>
    <x v="118"/>
    <n v="6508"/>
    <x v="2"/>
    <x v="0"/>
    <m/>
    <x v="2"/>
    <m/>
    <m/>
  </r>
  <r>
    <x v="2"/>
    <x v="3"/>
    <x v="119"/>
    <n v="4607"/>
    <x v="1"/>
    <x v="0"/>
    <m/>
    <x v="3"/>
    <m/>
    <m/>
  </r>
  <r>
    <x v="2"/>
    <x v="3"/>
    <x v="120"/>
    <n v="5047"/>
    <x v="0"/>
    <x v="0"/>
    <m/>
    <x v="2"/>
    <m/>
    <m/>
  </r>
  <r>
    <x v="2"/>
    <x v="3"/>
    <x v="121"/>
    <n v="4616"/>
    <x v="1"/>
    <x v="0"/>
    <m/>
    <x v="2"/>
    <m/>
    <m/>
  </r>
  <r>
    <x v="2"/>
    <x v="3"/>
    <x v="122"/>
    <n v="4961"/>
    <x v="2"/>
    <x v="0"/>
    <m/>
    <x v="2"/>
    <m/>
    <m/>
  </r>
  <r>
    <x v="2"/>
    <x v="3"/>
    <x v="123"/>
    <n v="4721"/>
    <x v="2"/>
    <x v="0"/>
    <m/>
    <x v="3"/>
    <m/>
    <m/>
  </r>
  <r>
    <x v="2"/>
    <x v="3"/>
    <x v="124"/>
    <n v="4845"/>
    <x v="2"/>
    <x v="0"/>
    <m/>
    <x v="2"/>
    <m/>
    <m/>
  </r>
  <r>
    <x v="2"/>
    <x v="3"/>
    <x v="125"/>
    <n v="47"/>
    <x v="2"/>
    <x v="0"/>
    <m/>
    <x v="4"/>
    <m/>
    <m/>
  </r>
  <r>
    <x v="2"/>
    <x v="3"/>
    <x v="126"/>
    <n v="6332"/>
    <x v="3"/>
    <x v="5"/>
    <m/>
    <x v="2"/>
    <m/>
    <m/>
  </r>
  <r>
    <x v="2"/>
    <x v="3"/>
    <x v="127"/>
    <n v="4871"/>
    <x v="3"/>
    <x v="5"/>
    <m/>
    <x v="2"/>
    <m/>
    <m/>
  </r>
  <r>
    <x v="2"/>
    <x v="3"/>
    <x v="128"/>
    <n v="4755"/>
    <x v="1"/>
    <x v="0"/>
    <m/>
    <x v="3"/>
    <m/>
    <m/>
  </r>
  <r>
    <x v="2"/>
    <x v="3"/>
    <x v="129"/>
    <n v="49"/>
    <x v="0"/>
    <x v="0"/>
    <m/>
    <x v="3"/>
    <m/>
    <m/>
  </r>
  <r>
    <x v="2"/>
    <x v="3"/>
    <x v="130"/>
    <n v="5839"/>
    <x v="0"/>
    <x v="0"/>
    <m/>
    <x v="4"/>
    <m/>
    <m/>
  </r>
  <r>
    <x v="2"/>
    <x v="3"/>
    <x v="131"/>
    <n v="6487"/>
    <x v="1"/>
    <x v="0"/>
    <m/>
    <x v="4"/>
    <m/>
    <m/>
  </r>
  <r>
    <x v="2"/>
    <x v="3"/>
    <x v="132"/>
    <n v="6292"/>
    <x v="0"/>
    <x v="0"/>
    <m/>
    <x v="2"/>
    <m/>
    <m/>
  </r>
  <r>
    <x v="2"/>
    <x v="3"/>
    <x v="133"/>
    <n v="5198"/>
    <x v="1"/>
    <x v="0"/>
    <m/>
    <x v="2"/>
    <m/>
    <m/>
  </r>
  <r>
    <x v="2"/>
    <x v="3"/>
    <x v="134"/>
    <n v="6368"/>
    <x v="0"/>
    <x v="0"/>
    <m/>
    <x v="2"/>
    <m/>
    <m/>
  </r>
  <r>
    <x v="2"/>
    <x v="3"/>
    <x v="135"/>
    <n v="5595"/>
    <x v="2"/>
    <x v="0"/>
    <m/>
    <x v="3"/>
    <m/>
    <m/>
  </r>
  <r>
    <x v="2"/>
    <x v="3"/>
    <x v="136"/>
    <n v="4960"/>
    <x v="0"/>
    <x v="0"/>
    <m/>
    <x v="4"/>
    <m/>
    <m/>
  </r>
  <r>
    <x v="2"/>
    <x v="3"/>
    <x v="137"/>
    <n v="5125"/>
    <x v="1"/>
    <x v="0"/>
    <m/>
    <x v="2"/>
    <m/>
    <m/>
  </r>
  <r>
    <x v="2"/>
    <x v="3"/>
    <x v="138"/>
    <n v="6127"/>
    <x v="1"/>
    <x v="0"/>
    <m/>
    <x v="3"/>
    <m/>
    <m/>
  </r>
  <r>
    <x v="2"/>
    <x v="3"/>
    <x v="139"/>
    <n v="5583"/>
    <x v="0"/>
    <x v="0"/>
    <m/>
    <x v="3"/>
    <m/>
    <m/>
  </r>
  <r>
    <x v="2"/>
    <x v="3"/>
    <x v="140"/>
    <n v="123"/>
    <x v="1"/>
    <x v="0"/>
    <m/>
    <x v="4"/>
    <m/>
    <m/>
  </r>
  <r>
    <x v="2"/>
    <x v="3"/>
    <x v="141"/>
    <n v="5525"/>
    <x v="3"/>
    <x v="3"/>
    <m/>
    <x v="2"/>
    <m/>
    <m/>
  </r>
  <r>
    <x v="2"/>
    <x v="3"/>
    <x v="142"/>
    <n v="126"/>
    <x v="2"/>
    <x v="0"/>
    <m/>
    <x v="2"/>
    <m/>
    <m/>
  </r>
  <r>
    <x v="2"/>
    <x v="3"/>
    <x v="143"/>
    <n v="127"/>
    <x v="2"/>
    <x v="0"/>
    <m/>
    <x v="3"/>
    <m/>
    <m/>
  </r>
  <r>
    <x v="2"/>
    <x v="3"/>
    <x v="144"/>
    <n v="4847"/>
    <x v="2"/>
    <x v="0"/>
    <m/>
    <x v="2"/>
    <m/>
    <m/>
  </r>
  <r>
    <x v="2"/>
    <x v="3"/>
    <x v="145"/>
    <n v="750"/>
    <x v="0"/>
    <x v="0"/>
    <m/>
    <x v="2"/>
    <m/>
    <m/>
  </r>
  <r>
    <x v="2"/>
    <x v="3"/>
    <x v="146"/>
    <n v="4663"/>
    <x v="1"/>
    <x v="0"/>
    <m/>
    <x v="3"/>
    <m/>
    <m/>
  </r>
  <r>
    <x v="2"/>
    <x v="3"/>
    <x v="147"/>
    <n v="131"/>
    <x v="2"/>
    <x v="0"/>
    <m/>
    <x v="3"/>
    <m/>
    <m/>
  </r>
  <r>
    <x v="2"/>
    <x v="3"/>
    <x v="148"/>
    <n v="5620"/>
    <x v="1"/>
    <x v="0"/>
    <m/>
    <x v="2"/>
    <m/>
    <m/>
  </r>
  <r>
    <x v="2"/>
    <x v="3"/>
    <x v="149"/>
    <n v="4868"/>
    <x v="2"/>
    <x v="0"/>
    <m/>
    <x v="2"/>
    <m/>
    <m/>
  </r>
  <r>
    <x v="2"/>
    <x v="3"/>
    <x v="150"/>
    <n v="5026"/>
    <x v="2"/>
    <x v="0"/>
    <m/>
    <x v="2"/>
    <m/>
    <m/>
  </r>
  <r>
    <x v="2"/>
    <x v="3"/>
    <x v="151"/>
    <n v="6424"/>
    <x v="0"/>
    <x v="0"/>
    <m/>
    <x v="4"/>
    <m/>
    <m/>
  </r>
  <r>
    <x v="2"/>
    <x v="3"/>
    <x v="152"/>
    <n v="5004"/>
    <x v="2"/>
    <x v="0"/>
    <m/>
    <x v="2"/>
    <m/>
    <m/>
  </r>
  <r>
    <x v="2"/>
    <x v="3"/>
    <x v="153"/>
    <n v="136"/>
    <x v="2"/>
    <x v="0"/>
    <m/>
    <x v="3"/>
    <m/>
    <m/>
  </r>
  <r>
    <x v="2"/>
    <x v="3"/>
    <x v="154"/>
    <n v="19"/>
    <x v="2"/>
    <x v="0"/>
    <m/>
    <x v="2"/>
    <m/>
    <m/>
  </r>
  <r>
    <x v="2"/>
    <x v="3"/>
    <x v="155"/>
    <n v="4791"/>
    <x v="2"/>
    <x v="0"/>
    <m/>
    <x v="2"/>
    <m/>
    <m/>
  </r>
  <r>
    <x v="2"/>
    <x v="3"/>
    <x v="156"/>
    <n v="5121"/>
    <x v="1"/>
    <x v="0"/>
    <m/>
    <x v="3"/>
    <m/>
    <m/>
  </r>
  <r>
    <x v="2"/>
    <x v="3"/>
    <x v="157"/>
    <n v="4416"/>
    <x v="3"/>
    <x v="3"/>
    <m/>
    <x v="3"/>
    <m/>
    <m/>
  </r>
  <r>
    <x v="2"/>
    <x v="3"/>
    <x v="158"/>
    <n v="6193"/>
    <x v="1"/>
    <x v="0"/>
    <m/>
    <x v="3"/>
    <m/>
    <m/>
  </r>
  <r>
    <x v="2"/>
    <x v="3"/>
    <x v="159"/>
    <n v="146"/>
    <x v="3"/>
    <x v="1"/>
    <m/>
    <x v="3"/>
    <m/>
    <m/>
  </r>
  <r>
    <x v="2"/>
    <x v="3"/>
    <x v="160"/>
    <n v="4745"/>
    <x v="2"/>
    <x v="0"/>
    <m/>
    <x v="2"/>
    <m/>
    <m/>
  </r>
  <r>
    <x v="2"/>
    <x v="3"/>
    <x v="161"/>
    <n v="5029"/>
    <x v="1"/>
    <x v="0"/>
    <m/>
    <x v="2"/>
    <m/>
    <m/>
  </r>
  <r>
    <x v="2"/>
    <x v="3"/>
    <x v="162"/>
    <n v="5209"/>
    <x v="1"/>
    <x v="0"/>
    <m/>
    <x v="2"/>
    <m/>
    <m/>
  </r>
  <r>
    <x v="2"/>
    <x v="3"/>
    <x v="163"/>
    <n v="4790"/>
    <x v="2"/>
    <x v="0"/>
    <m/>
    <x v="3"/>
    <m/>
    <m/>
  </r>
  <r>
    <x v="2"/>
    <x v="3"/>
    <x v="164"/>
    <n v="4727"/>
    <x v="0"/>
    <x v="0"/>
    <m/>
    <x v="4"/>
    <m/>
    <m/>
  </r>
  <r>
    <x v="2"/>
    <x v="3"/>
    <x v="165"/>
    <n v="6488"/>
    <x v="1"/>
    <x v="0"/>
    <m/>
    <x v="3"/>
    <m/>
    <m/>
  </r>
  <r>
    <x v="2"/>
    <x v="3"/>
    <x v="166"/>
    <n v="5604"/>
    <x v="1"/>
    <x v="0"/>
    <m/>
    <x v="2"/>
    <m/>
    <m/>
  </r>
  <r>
    <x v="2"/>
    <x v="3"/>
    <x v="167"/>
    <n v="5632"/>
    <x v="1"/>
    <x v="0"/>
    <m/>
    <x v="4"/>
    <m/>
    <m/>
  </r>
  <r>
    <x v="2"/>
    <x v="3"/>
    <x v="168"/>
    <n v="5980"/>
    <x v="2"/>
    <x v="0"/>
    <m/>
    <x v="3"/>
    <m/>
    <m/>
  </r>
  <r>
    <x v="2"/>
    <x v="3"/>
    <x v="169"/>
    <n v="5481"/>
    <x v="2"/>
    <x v="0"/>
    <m/>
    <x v="3"/>
    <m/>
    <m/>
  </r>
  <r>
    <x v="2"/>
    <x v="3"/>
    <x v="170"/>
    <n v="150"/>
    <x v="3"/>
    <x v="1"/>
    <m/>
    <x v="4"/>
    <m/>
    <m/>
  </r>
  <r>
    <x v="2"/>
    <x v="3"/>
    <x v="171"/>
    <n v="5120"/>
    <x v="1"/>
    <x v="0"/>
    <m/>
    <x v="2"/>
    <m/>
    <m/>
  </r>
  <r>
    <x v="2"/>
    <x v="3"/>
    <x v="172"/>
    <n v="4713"/>
    <x v="2"/>
    <x v="0"/>
    <m/>
    <x v="4"/>
    <m/>
    <m/>
  </r>
  <r>
    <x v="2"/>
    <x v="3"/>
    <x v="173"/>
    <n v="6318"/>
    <x v="1"/>
    <x v="0"/>
    <m/>
    <x v="4"/>
    <m/>
    <m/>
  </r>
  <r>
    <x v="2"/>
    <x v="3"/>
    <x v="174"/>
    <n v="5712"/>
    <x v="1"/>
    <x v="0"/>
    <m/>
    <x v="2"/>
    <m/>
    <m/>
  </r>
  <r>
    <x v="2"/>
    <x v="3"/>
    <x v="175"/>
    <n v="4744"/>
    <x v="0"/>
    <x v="0"/>
    <m/>
    <x v="3"/>
    <m/>
    <m/>
  </r>
  <r>
    <x v="2"/>
    <x v="3"/>
    <x v="176"/>
    <n v="4555"/>
    <x v="3"/>
    <x v="3"/>
    <m/>
    <x v="2"/>
    <m/>
    <m/>
  </r>
  <r>
    <x v="2"/>
    <x v="3"/>
    <x v="177"/>
    <n v="155"/>
    <x v="0"/>
    <x v="0"/>
    <m/>
    <x v="4"/>
    <m/>
    <m/>
  </r>
  <r>
    <x v="2"/>
    <x v="3"/>
    <x v="178"/>
    <n v="6178"/>
    <x v="1"/>
    <x v="0"/>
    <m/>
    <x v="3"/>
    <m/>
    <m/>
  </r>
  <r>
    <x v="2"/>
    <x v="3"/>
    <x v="179"/>
    <n v="6345"/>
    <x v="0"/>
    <x v="0"/>
    <m/>
    <x v="4"/>
    <m/>
    <m/>
  </r>
  <r>
    <x v="2"/>
    <x v="3"/>
    <x v="180"/>
    <n v="5601"/>
    <x v="0"/>
    <x v="0"/>
    <m/>
    <x v="3"/>
    <m/>
    <m/>
  </r>
  <r>
    <x v="2"/>
    <x v="3"/>
    <x v="181"/>
    <n v="5152"/>
    <x v="1"/>
    <x v="0"/>
    <m/>
    <x v="2"/>
    <m/>
    <m/>
  </r>
  <r>
    <x v="2"/>
    <x v="3"/>
    <x v="182"/>
    <n v="176"/>
    <x v="0"/>
    <x v="0"/>
    <m/>
    <x v="2"/>
    <m/>
    <m/>
  </r>
  <r>
    <x v="2"/>
    <x v="3"/>
    <x v="183"/>
    <n v="177"/>
    <x v="2"/>
    <x v="0"/>
    <m/>
    <x v="3"/>
    <m/>
    <m/>
  </r>
  <r>
    <x v="2"/>
    <x v="3"/>
    <x v="184"/>
    <n v="5555"/>
    <x v="2"/>
    <x v="0"/>
    <m/>
    <x v="2"/>
    <m/>
    <m/>
  </r>
  <r>
    <x v="2"/>
    <x v="3"/>
    <x v="185"/>
    <n v="4959"/>
    <x v="2"/>
    <x v="0"/>
    <m/>
    <x v="2"/>
    <m/>
    <m/>
  </r>
  <r>
    <x v="2"/>
    <x v="3"/>
    <x v="186"/>
    <n v="4919"/>
    <x v="1"/>
    <x v="0"/>
    <m/>
    <x v="2"/>
    <m/>
    <m/>
  </r>
  <r>
    <x v="2"/>
    <x v="3"/>
    <x v="187"/>
    <n v="4724"/>
    <x v="1"/>
    <x v="0"/>
    <m/>
    <x v="2"/>
    <m/>
    <m/>
  </r>
  <r>
    <x v="2"/>
    <x v="3"/>
    <x v="188"/>
    <n v="183"/>
    <x v="0"/>
    <x v="0"/>
    <m/>
    <x v="4"/>
    <m/>
    <m/>
  </r>
  <r>
    <x v="2"/>
    <x v="3"/>
    <x v="189"/>
    <n v="5545"/>
    <x v="2"/>
    <x v="0"/>
    <m/>
    <x v="2"/>
    <m/>
    <m/>
  </r>
  <r>
    <x v="2"/>
    <x v="3"/>
    <x v="190"/>
    <n v="5526"/>
    <x v="1"/>
    <x v="0"/>
    <m/>
    <x v="2"/>
    <m/>
    <m/>
  </r>
  <r>
    <x v="2"/>
    <x v="3"/>
    <x v="191"/>
    <n v="5192"/>
    <x v="1"/>
    <x v="0"/>
    <m/>
    <x v="2"/>
    <m/>
    <m/>
  </r>
  <r>
    <x v="2"/>
    <x v="3"/>
    <x v="192"/>
    <n v="4698"/>
    <x v="1"/>
    <x v="0"/>
    <m/>
    <x v="2"/>
    <m/>
    <m/>
  </r>
  <r>
    <x v="2"/>
    <x v="3"/>
    <x v="193"/>
    <n v="4611"/>
    <x v="2"/>
    <x v="0"/>
    <m/>
    <x v="4"/>
    <m/>
    <m/>
  </r>
  <r>
    <x v="2"/>
    <x v="3"/>
    <x v="194"/>
    <n v="5069"/>
    <x v="2"/>
    <x v="0"/>
    <m/>
    <x v="2"/>
    <m/>
    <m/>
  </r>
  <r>
    <x v="2"/>
    <x v="3"/>
    <x v="195"/>
    <n v="185"/>
    <x v="0"/>
    <x v="0"/>
    <m/>
    <x v="4"/>
    <m/>
    <m/>
  </r>
  <r>
    <x v="2"/>
    <x v="3"/>
    <x v="196"/>
    <n v="6388"/>
    <x v="1"/>
    <x v="0"/>
    <m/>
    <x v="2"/>
    <m/>
    <m/>
  </r>
  <r>
    <x v="2"/>
    <x v="3"/>
    <x v="197"/>
    <n v="5720"/>
    <x v="2"/>
    <x v="0"/>
    <m/>
    <x v="3"/>
    <m/>
    <m/>
  </r>
  <r>
    <x v="2"/>
    <x v="3"/>
    <x v="198"/>
    <n v="5722"/>
    <x v="2"/>
    <x v="0"/>
    <m/>
    <x v="3"/>
    <m/>
    <m/>
  </r>
  <r>
    <x v="2"/>
    <x v="3"/>
    <x v="199"/>
    <n v="6180"/>
    <x v="0"/>
    <x v="0"/>
    <m/>
    <x v="3"/>
    <m/>
    <m/>
  </r>
  <r>
    <x v="2"/>
    <x v="3"/>
    <x v="200"/>
    <n v="4423"/>
    <x v="0"/>
    <x v="0"/>
    <m/>
    <x v="4"/>
    <m/>
    <m/>
  </r>
  <r>
    <x v="2"/>
    <x v="3"/>
    <x v="201"/>
    <n v="5036"/>
    <x v="1"/>
    <x v="0"/>
    <m/>
    <x v="2"/>
    <m/>
    <m/>
  </r>
  <r>
    <x v="2"/>
    <x v="3"/>
    <x v="202"/>
    <n v="4899"/>
    <x v="0"/>
    <x v="0"/>
    <m/>
    <x v="4"/>
    <m/>
    <m/>
  </r>
  <r>
    <x v="3"/>
    <x v="1"/>
    <x v="71"/>
    <n v="6474"/>
    <x v="0"/>
    <x v="0"/>
    <m/>
    <x v="1"/>
    <m/>
    <m/>
  </r>
  <r>
    <x v="3"/>
    <x v="1"/>
    <x v="70"/>
    <n v="5110"/>
    <x v="2"/>
    <x v="0"/>
    <m/>
    <x v="0"/>
    <m/>
    <m/>
  </r>
  <r>
    <x v="3"/>
    <x v="1"/>
    <x v="72"/>
    <n v="6473"/>
    <x v="2"/>
    <x v="0"/>
    <m/>
    <x v="1"/>
    <m/>
    <m/>
  </r>
  <r>
    <x v="3"/>
    <x v="1"/>
    <x v="69"/>
    <n v="6394"/>
    <x v="0"/>
    <x v="0"/>
    <m/>
    <x v="1"/>
    <m/>
    <m/>
  </r>
  <r>
    <x v="3"/>
    <x v="0"/>
    <x v="0"/>
    <n v="5777"/>
    <x v="2"/>
    <x v="0"/>
    <m/>
    <x v="0"/>
    <m/>
    <m/>
  </r>
  <r>
    <x v="3"/>
    <x v="0"/>
    <x v="1"/>
    <n v="4838"/>
    <x v="0"/>
    <x v="0"/>
    <m/>
    <x v="0"/>
    <m/>
    <m/>
  </r>
  <r>
    <x v="3"/>
    <x v="0"/>
    <x v="2"/>
    <n v="4599"/>
    <x v="2"/>
    <x v="0"/>
    <m/>
    <x v="1"/>
    <m/>
    <m/>
  </r>
  <r>
    <x v="3"/>
    <x v="0"/>
    <x v="3"/>
    <n v="6566"/>
    <x v="0"/>
    <x v="0"/>
    <m/>
    <x v="1"/>
    <m/>
    <m/>
  </r>
  <r>
    <x v="3"/>
    <x v="0"/>
    <x v="4"/>
    <n v="5400"/>
    <x v="0"/>
    <x v="0"/>
    <m/>
    <x v="1"/>
    <m/>
    <m/>
  </r>
  <r>
    <x v="3"/>
    <x v="0"/>
    <x v="5"/>
    <n v="5094"/>
    <x v="1"/>
    <x v="0"/>
    <m/>
    <x v="0"/>
    <m/>
    <m/>
  </r>
  <r>
    <x v="3"/>
    <x v="0"/>
    <x v="6"/>
    <n v="6001"/>
    <x v="1"/>
    <x v="0"/>
    <m/>
    <x v="1"/>
    <m/>
    <m/>
  </r>
  <r>
    <x v="3"/>
    <x v="0"/>
    <x v="7"/>
    <n v="6573"/>
    <x v="1"/>
    <x v="0"/>
    <m/>
    <x v="1"/>
    <m/>
    <m/>
  </r>
  <r>
    <x v="3"/>
    <x v="0"/>
    <x v="8"/>
    <n v="5129"/>
    <x v="2"/>
    <x v="0"/>
    <m/>
    <x v="1"/>
    <m/>
    <m/>
  </r>
  <r>
    <x v="3"/>
    <x v="0"/>
    <x v="9"/>
    <n v="5663"/>
    <x v="3"/>
    <x v="1"/>
    <m/>
    <x v="1"/>
    <m/>
    <m/>
  </r>
  <r>
    <x v="3"/>
    <x v="0"/>
    <x v="10"/>
    <n v="4501"/>
    <x v="3"/>
    <x v="1"/>
    <m/>
    <x v="0"/>
    <m/>
    <m/>
  </r>
  <r>
    <x v="3"/>
    <x v="0"/>
    <x v="11"/>
    <n v="4936"/>
    <x v="1"/>
    <x v="0"/>
    <m/>
    <x v="1"/>
    <m/>
    <m/>
  </r>
  <r>
    <x v="3"/>
    <x v="0"/>
    <x v="12"/>
    <n v="3728"/>
    <x v="1"/>
    <x v="0"/>
    <m/>
    <x v="1"/>
    <m/>
    <m/>
  </r>
  <r>
    <x v="3"/>
    <x v="0"/>
    <x v="13"/>
    <n v="4955"/>
    <x v="2"/>
    <x v="0"/>
    <m/>
    <x v="1"/>
    <m/>
    <m/>
  </r>
  <r>
    <x v="3"/>
    <x v="0"/>
    <x v="14"/>
    <n v="6568"/>
    <x v="0"/>
    <x v="0"/>
    <m/>
    <x v="0"/>
    <m/>
    <m/>
  </r>
  <r>
    <x v="3"/>
    <x v="0"/>
    <x v="15"/>
    <n v="3721"/>
    <x v="2"/>
    <x v="0"/>
    <m/>
    <x v="1"/>
    <m/>
    <m/>
  </r>
  <r>
    <x v="3"/>
    <x v="0"/>
    <x v="16"/>
    <n v="6110"/>
    <x v="1"/>
    <x v="0"/>
    <m/>
    <x v="1"/>
    <m/>
    <m/>
  </r>
  <r>
    <x v="3"/>
    <x v="0"/>
    <x v="17"/>
    <n v="0"/>
    <x v="2"/>
    <x v="0"/>
    <m/>
    <x v="1"/>
    <m/>
    <m/>
  </r>
  <r>
    <x v="3"/>
    <x v="0"/>
    <x v="18"/>
    <n v="6330"/>
    <x v="1"/>
    <x v="0"/>
    <m/>
    <x v="0"/>
    <m/>
    <m/>
  </r>
  <r>
    <x v="3"/>
    <x v="0"/>
    <x v="19"/>
    <n v="5828"/>
    <x v="2"/>
    <x v="0"/>
    <m/>
    <x v="1"/>
    <m/>
    <m/>
  </r>
  <r>
    <x v="3"/>
    <x v="0"/>
    <x v="20"/>
    <n v="4775"/>
    <x v="1"/>
    <x v="0"/>
    <m/>
    <x v="0"/>
    <m/>
    <m/>
  </r>
  <r>
    <x v="3"/>
    <x v="0"/>
    <x v="21"/>
    <n v="6551"/>
    <x v="3"/>
    <x v="2"/>
    <m/>
    <x v="1"/>
    <m/>
    <s v="k 30.9.ukončen"/>
  </r>
  <r>
    <x v="3"/>
    <x v="0"/>
    <x v="22"/>
    <n v="5665"/>
    <x v="3"/>
    <x v="1"/>
    <m/>
    <x v="1"/>
    <m/>
    <m/>
  </r>
  <r>
    <x v="3"/>
    <x v="0"/>
    <x v="23"/>
    <n v="2463"/>
    <x v="0"/>
    <x v="0"/>
    <m/>
    <x v="2"/>
    <m/>
    <m/>
  </r>
  <r>
    <x v="3"/>
    <x v="0"/>
    <x v="24"/>
    <n v="6536"/>
    <x v="0"/>
    <x v="0"/>
    <m/>
    <x v="0"/>
    <m/>
    <m/>
  </r>
  <r>
    <x v="3"/>
    <x v="0"/>
    <x v="25"/>
    <n v="4748"/>
    <x v="2"/>
    <x v="0"/>
    <m/>
    <x v="1"/>
    <m/>
    <m/>
  </r>
  <r>
    <x v="3"/>
    <x v="0"/>
    <x v="26"/>
    <n v="6077"/>
    <x v="3"/>
    <x v="1"/>
    <m/>
    <x v="0"/>
    <m/>
    <m/>
  </r>
  <r>
    <x v="3"/>
    <x v="0"/>
    <x v="27"/>
    <n v="6574"/>
    <x v="1"/>
    <x v="0"/>
    <m/>
    <x v="1"/>
    <m/>
    <m/>
  </r>
  <r>
    <x v="3"/>
    <x v="0"/>
    <x v="28"/>
    <n v="4720"/>
    <x v="0"/>
    <x v="0"/>
    <m/>
    <x v="0"/>
    <m/>
    <m/>
  </r>
  <r>
    <x v="3"/>
    <x v="0"/>
    <x v="29"/>
    <n v="6409"/>
    <x v="1"/>
    <x v="0"/>
    <m/>
    <x v="2"/>
    <m/>
    <m/>
  </r>
  <r>
    <x v="3"/>
    <x v="0"/>
    <x v="30"/>
    <n v="3396"/>
    <x v="0"/>
    <x v="0"/>
    <m/>
    <x v="1"/>
    <m/>
    <m/>
  </r>
  <r>
    <x v="3"/>
    <x v="0"/>
    <x v="31"/>
    <n v="6376"/>
    <x v="0"/>
    <x v="0"/>
    <m/>
    <x v="0"/>
    <m/>
    <m/>
  </r>
  <r>
    <x v="3"/>
    <x v="0"/>
    <x v="32"/>
    <n v="5014"/>
    <x v="0"/>
    <x v="0"/>
    <m/>
    <x v="0"/>
    <m/>
    <m/>
  </r>
  <r>
    <x v="3"/>
    <x v="0"/>
    <x v="33"/>
    <n v="3369"/>
    <x v="2"/>
    <x v="0"/>
    <m/>
    <x v="1"/>
    <m/>
    <m/>
  </r>
  <r>
    <x v="3"/>
    <x v="0"/>
    <x v="34"/>
    <n v="6576"/>
    <x v="2"/>
    <x v="0"/>
    <m/>
    <x v="1"/>
    <m/>
    <m/>
  </r>
  <r>
    <x v="3"/>
    <x v="0"/>
    <x v="35"/>
    <n v="6352"/>
    <x v="0"/>
    <x v="0"/>
    <m/>
    <x v="1"/>
    <m/>
    <m/>
  </r>
  <r>
    <x v="3"/>
    <x v="0"/>
    <x v="36"/>
    <n v="5009"/>
    <x v="3"/>
    <x v="0"/>
    <m/>
    <x v="1"/>
    <m/>
    <s v="ukončen 26.9.2025"/>
  </r>
  <r>
    <x v="3"/>
    <x v="0"/>
    <x v="37"/>
    <n v="6251"/>
    <x v="3"/>
    <x v="0"/>
    <m/>
    <x v="1"/>
    <m/>
    <s v="ukončena 26.9.2025"/>
  </r>
  <r>
    <x v="3"/>
    <x v="0"/>
    <x v="38"/>
    <n v="6507"/>
    <x v="3"/>
    <x v="0"/>
    <m/>
    <x v="1"/>
    <m/>
    <m/>
  </r>
  <r>
    <x v="3"/>
    <x v="0"/>
    <x v="39"/>
    <n v="6346"/>
    <x v="3"/>
    <x v="0"/>
    <m/>
    <x v="1"/>
    <m/>
    <m/>
  </r>
  <r>
    <x v="3"/>
    <x v="0"/>
    <x v="40"/>
    <n v="4972"/>
    <x v="3"/>
    <x v="0"/>
    <m/>
    <x v="0"/>
    <m/>
    <m/>
  </r>
  <r>
    <x v="3"/>
    <x v="0"/>
    <x v="41"/>
    <n v="2230"/>
    <x v="3"/>
    <x v="3"/>
    <m/>
    <x v="1"/>
    <m/>
    <m/>
  </r>
  <r>
    <x v="3"/>
    <x v="0"/>
    <x v="42"/>
    <n v="5310"/>
    <x v="3"/>
    <x v="0"/>
    <m/>
    <x v="1"/>
    <m/>
    <m/>
  </r>
  <r>
    <x v="3"/>
    <x v="0"/>
    <x v="43"/>
    <n v="5948"/>
    <x v="3"/>
    <x v="0"/>
    <m/>
    <x v="1"/>
    <m/>
    <m/>
  </r>
  <r>
    <x v="3"/>
    <x v="0"/>
    <x v="44"/>
    <n v="6549"/>
    <x v="3"/>
    <x v="0"/>
    <m/>
    <x v="1"/>
    <m/>
    <m/>
  </r>
  <r>
    <x v="3"/>
    <x v="0"/>
    <x v="45"/>
    <n v="6538"/>
    <x v="3"/>
    <x v="0"/>
    <m/>
    <x v="1"/>
    <m/>
    <m/>
  </r>
  <r>
    <x v="3"/>
    <x v="0"/>
    <x v="46"/>
    <n v="5715"/>
    <x v="3"/>
    <x v="0"/>
    <m/>
    <x v="1"/>
    <m/>
    <m/>
  </r>
  <r>
    <x v="3"/>
    <x v="0"/>
    <x v="47"/>
    <n v="4514"/>
    <x v="3"/>
    <x v="0"/>
    <m/>
    <x v="1"/>
    <m/>
    <m/>
  </r>
  <r>
    <x v="3"/>
    <x v="0"/>
    <x v="48"/>
    <n v="5176"/>
    <x v="3"/>
    <x v="0"/>
    <m/>
    <x v="1"/>
    <m/>
    <m/>
  </r>
  <r>
    <x v="3"/>
    <x v="0"/>
    <x v="49"/>
    <n v="4163"/>
    <x v="3"/>
    <x v="0"/>
    <m/>
    <x v="1"/>
    <m/>
    <m/>
  </r>
  <r>
    <x v="3"/>
    <x v="0"/>
    <x v="50"/>
    <n v="3920"/>
    <x v="3"/>
    <x v="0"/>
    <m/>
    <x v="0"/>
    <m/>
    <m/>
  </r>
  <r>
    <x v="3"/>
    <x v="0"/>
    <x v="51"/>
    <n v="3257"/>
    <x v="3"/>
    <x v="0"/>
    <m/>
    <x v="1"/>
    <m/>
    <m/>
  </r>
  <r>
    <x v="3"/>
    <x v="0"/>
    <x v="52"/>
    <n v="3394"/>
    <x v="3"/>
    <x v="0"/>
    <m/>
    <x v="1"/>
    <m/>
    <m/>
  </r>
  <r>
    <x v="3"/>
    <x v="0"/>
    <x v="53"/>
    <n v="4828"/>
    <x v="3"/>
    <x v="0"/>
    <m/>
    <x v="0"/>
    <m/>
    <m/>
  </r>
  <r>
    <x v="3"/>
    <x v="0"/>
    <x v="54"/>
    <n v="4155"/>
    <x v="3"/>
    <x v="0"/>
    <m/>
    <x v="1"/>
    <m/>
    <m/>
  </r>
  <r>
    <x v="3"/>
    <x v="0"/>
    <x v="55"/>
    <n v="0"/>
    <x v="3"/>
    <x v="0"/>
    <m/>
    <x v="1"/>
    <m/>
    <m/>
  </r>
  <r>
    <x v="3"/>
    <x v="0"/>
    <x v="56"/>
    <n v="5179"/>
    <x v="3"/>
    <x v="0"/>
    <m/>
    <x v="1"/>
    <m/>
    <m/>
  </r>
  <r>
    <x v="3"/>
    <x v="0"/>
    <x v="57"/>
    <n v="4912"/>
    <x v="3"/>
    <x v="6"/>
    <m/>
    <x v="0"/>
    <m/>
    <m/>
  </r>
  <r>
    <x v="3"/>
    <x v="0"/>
    <x v="58"/>
    <n v="5208"/>
    <x v="3"/>
    <x v="0"/>
    <m/>
    <x v="1"/>
    <m/>
    <m/>
  </r>
  <r>
    <x v="3"/>
    <x v="0"/>
    <x v="59"/>
    <n v="3937"/>
    <x v="3"/>
    <x v="0"/>
    <m/>
    <x v="1"/>
    <m/>
    <m/>
  </r>
  <r>
    <x v="3"/>
    <x v="0"/>
    <x v="60"/>
    <n v="6076"/>
    <x v="3"/>
    <x v="1"/>
    <m/>
    <x v="1"/>
    <m/>
    <m/>
  </r>
  <r>
    <x v="3"/>
    <x v="0"/>
    <x v="61"/>
    <n v="3648"/>
    <x v="3"/>
    <x v="0"/>
    <m/>
    <x v="1"/>
    <m/>
    <m/>
  </r>
  <r>
    <x v="3"/>
    <x v="0"/>
    <x v="62"/>
    <n v="4602"/>
    <x v="3"/>
    <x v="0"/>
    <m/>
    <x v="1"/>
    <m/>
    <m/>
  </r>
  <r>
    <x v="3"/>
    <x v="0"/>
    <x v="63"/>
    <n v="4940"/>
    <x v="3"/>
    <x v="0"/>
    <m/>
    <x v="1"/>
    <m/>
    <m/>
  </r>
  <r>
    <x v="3"/>
    <x v="0"/>
    <x v="64"/>
    <n v="5660"/>
    <x v="3"/>
    <x v="0"/>
    <m/>
    <x v="1"/>
    <m/>
    <m/>
  </r>
  <r>
    <x v="3"/>
    <x v="0"/>
    <x v="65"/>
    <n v="6243"/>
    <x v="3"/>
    <x v="0"/>
    <m/>
    <x v="0"/>
    <m/>
    <m/>
  </r>
  <r>
    <x v="3"/>
    <x v="0"/>
    <x v="66"/>
    <n v="6339"/>
    <x v="3"/>
    <x v="0"/>
    <m/>
    <x v="1"/>
    <m/>
    <m/>
  </r>
  <r>
    <x v="3"/>
    <x v="0"/>
    <x v="67"/>
    <n v="4928"/>
    <x v="3"/>
    <x v="0"/>
    <m/>
    <x v="1"/>
    <m/>
    <m/>
  </r>
  <r>
    <x v="3"/>
    <x v="0"/>
    <x v="68"/>
    <n v="0"/>
    <x v="3"/>
    <x v="0"/>
    <m/>
    <x v="1"/>
    <m/>
    <m/>
  </r>
  <r>
    <x v="3"/>
    <x v="0"/>
    <x v="203"/>
    <n v="6581"/>
    <x v="3"/>
    <x v="0"/>
    <m/>
    <x v="1"/>
    <m/>
    <m/>
  </r>
  <r>
    <x v="3"/>
    <x v="2"/>
    <x v="73"/>
    <n v="6259"/>
    <x v="3"/>
    <x v="1"/>
    <m/>
    <x v="2"/>
    <m/>
    <m/>
  </r>
  <r>
    <x v="3"/>
    <x v="2"/>
    <x v="74"/>
    <n v="3951"/>
    <x v="3"/>
    <x v="0"/>
    <m/>
    <x v="2"/>
    <m/>
    <m/>
  </r>
  <r>
    <x v="3"/>
    <x v="2"/>
    <x v="75"/>
    <n v="6450"/>
    <x v="3"/>
    <x v="0"/>
    <m/>
    <x v="3"/>
    <m/>
    <m/>
  </r>
  <r>
    <x v="3"/>
    <x v="2"/>
    <x v="76"/>
    <n v="6457"/>
    <x v="3"/>
    <x v="0"/>
    <m/>
    <x v="4"/>
    <m/>
    <s v="ukončena 26.9.2025"/>
  </r>
  <r>
    <x v="3"/>
    <x v="2"/>
    <x v="77"/>
    <n v="5584"/>
    <x v="3"/>
    <x v="0"/>
    <m/>
    <x v="2"/>
    <m/>
    <m/>
  </r>
  <r>
    <x v="3"/>
    <x v="2"/>
    <x v="78"/>
    <n v="6418"/>
    <x v="3"/>
    <x v="0"/>
    <m/>
    <x v="2"/>
    <m/>
    <m/>
  </r>
  <r>
    <x v="3"/>
    <x v="2"/>
    <x v="79"/>
    <n v="6177"/>
    <x v="3"/>
    <x v="0"/>
    <m/>
    <x v="4"/>
    <m/>
    <m/>
  </r>
  <r>
    <x v="3"/>
    <x v="2"/>
    <x v="80"/>
    <n v="6543"/>
    <x v="3"/>
    <x v="0"/>
    <m/>
    <x v="4"/>
    <m/>
    <m/>
  </r>
  <r>
    <x v="3"/>
    <x v="2"/>
    <x v="81"/>
    <n v="6541"/>
    <x v="3"/>
    <x v="0"/>
    <m/>
    <x v="3"/>
    <m/>
    <m/>
  </r>
  <r>
    <x v="3"/>
    <x v="2"/>
    <x v="82"/>
    <n v="6442"/>
    <x v="3"/>
    <x v="0"/>
    <m/>
    <x v="3"/>
    <m/>
    <m/>
  </r>
  <r>
    <x v="3"/>
    <x v="2"/>
    <x v="83"/>
    <n v="6143"/>
    <x v="3"/>
    <x v="0"/>
    <m/>
    <x v="2"/>
    <m/>
    <m/>
  </r>
  <r>
    <x v="3"/>
    <x v="2"/>
    <x v="84"/>
    <n v="6260"/>
    <x v="3"/>
    <x v="0"/>
    <m/>
    <x v="2"/>
    <m/>
    <m/>
  </r>
  <r>
    <x v="3"/>
    <x v="2"/>
    <x v="85"/>
    <n v="6542"/>
    <x v="3"/>
    <x v="0"/>
    <m/>
    <x v="3"/>
    <m/>
    <s v="ukončena 26.9.2025"/>
  </r>
  <r>
    <x v="3"/>
    <x v="2"/>
    <x v="86"/>
    <n v="6525"/>
    <x v="3"/>
    <x v="0"/>
    <m/>
    <x v="3"/>
    <m/>
    <s v="ukončen 26.9.2025"/>
  </r>
  <r>
    <x v="3"/>
    <x v="2"/>
    <x v="87"/>
    <n v="6430"/>
    <x v="3"/>
    <x v="6"/>
    <m/>
    <x v="2"/>
    <m/>
    <m/>
  </r>
  <r>
    <x v="3"/>
    <x v="2"/>
    <x v="88"/>
    <n v="6454"/>
    <x v="3"/>
    <x v="0"/>
    <m/>
    <x v="4"/>
    <m/>
    <s v="ukončen 26.9.2025"/>
  </r>
  <r>
    <x v="3"/>
    <x v="2"/>
    <x v="89"/>
    <n v="6016"/>
    <x v="3"/>
    <x v="0"/>
    <m/>
    <x v="3"/>
    <m/>
    <m/>
  </r>
  <r>
    <x v="3"/>
    <x v="2"/>
    <x v="90"/>
    <n v="6437"/>
    <x v="3"/>
    <x v="0"/>
    <m/>
    <x v="3"/>
    <m/>
    <m/>
  </r>
  <r>
    <x v="3"/>
    <x v="2"/>
    <x v="91"/>
    <n v="6431"/>
    <x v="3"/>
    <x v="3"/>
    <m/>
    <x v="4"/>
    <m/>
    <m/>
  </r>
  <r>
    <x v="3"/>
    <x v="2"/>
    <x v="92"/>
    <n v="6119"/>
    <x v="3"/>
    <x v="1"/>
    <m/>
    <x v="4"/>
    <m/>
    <m/>
  </r>
  <r>
    <x v="3"/>
    <x v="2"/>
    <x v="93"/>
    <n v="6559"/>
    <x v="3"/>
    <x v="0"/>
    <m/>
    <x v="4"/>
    <m/>
    <m/>
  </r>
  <r>
    <x v="3"/>
    <x v="2"/>
    <x v="94"/>
    <n v="6496"/>
    <x v="3"/>
    <x v="0"/>
    <m/>
    <x v="3"/>
    <m/>
    <s v="ukončen 26.9.2025"/>
  </r>
  <r>
    <x v="3"/>
    <x v="2"/>
    <x v="95"/>
    <n v="4392"/>
    <x v="3"/>
    <x v="0"/>
    <m/>
    <x v="4"/>
    <m/>
    <m/>
  </r>
  <r>
    <x v="3"/>
    <x v="2"/>
    <x v="96"/>
    <n v="6514"/>
    <x v="3"/>
    <x v="0"/>
    <m/>
    <x v="3"/>
    <m/>
    <m/>
  </r>
  <r>
    <x v="3"/>
    <x v="2"/>
    <x v="97"/>
    <n v="6516"/>
    <x v="3"/>
    <x v="0"/>
    <m/>
    <x v="4"/>
    <m/>
    <m/>
  </r>
  <r>
    <x v="3"/>
    <x v="2"/>
    <x v="98"/>
    <n v="0"/>
    <x v="3"/>
    <x v="0"/>
    <m/>
    <x v="2"/>
    <m/>
    <m/>
  </r>
  <r>
    <x v="3"/>
    <x v="2"/>
    <x v="99"/>
    <n v="6449"/>
    <x v="3"/>
    <x v="0"/>
    <m/>
    <x v="3"/>
    <m/>
    <m/>
  </r>
  <r>
    <x v="3"/>
    <x v="2"/>
    <x v="100"/>
    <n v="6158"/>
    <x v="3"/>
    <x v="0"/>
    <m/>
    <x v="3"/>
    <m/>
    <m/>
  </r>
  <r>
    <x v="3"/>
    <x v="2"/>
    <x v="101"/>
    <n v="6232"/>
    <x v="3"/>
    <x v="0"/>
    <m/>
    <x v="3"/>
    <m/>
    <m/>
  </r>
  <r>
    <x v="3"/>
    <x v="2"/>
    <x v="102"/>
    <n v="3063"/>
    <x v="3"/>
    <x v="0"/>
    <m/>
    <x v="3"/>
    <m/>
    <m/>
  </r>
  <r>
    <x v="3"/>
    <x v="2"/>
    <x v="103"/>
    <n v="5853"/>
    <x v="3"/>
    <x v="0"/>
    <m/>
    <x v="3"/>
    <m/>
    <m/>
  </r>
  <r>
    <x v="3"/>
    <x v="2"/>
    <x v="104"/>
    <n v="6408"/>
    <x v="3"/>
    <x v="0"/>
    <m/>
    <x v="2"/>
    <m/>
    <m/>
  </r>
  <r>
    <x v="3"/>
    <x v="2"/>
    <x v="105"/>
    <n v="6544"/>
    <x v="3"/>
    <x v="0"/>
    <m/>
    <x v="4"/>
    <m/>
    <m/>
  </r>
  <r>
    <x v="3"/>
    <x v="2"/>
    <x v="106"/>
    <n v="6492"/>
    <x v="3"/>
    <x v="0"/>
    <m/>
    <x v="3"/>
    <m/>
    <m/>
  </r>
  <r>
    <x v="3"/>
    <x v="2"/>
    <x v="107"/>
    <n v="6452"/>
    <x v="3"/>
    <x v="0"/>
    <m/>
    <x v="4"/>
    <m/>
    <s v="ukončen 26.9.2025"/>
  </r>
  <r>
    <x v="3"/>
    <x v="2"/>
    <x v="108"/>
    <n v="6546"/>
    <x v="3"/>
    <x v="0"/>
    <m/>
    <x v="3"/>
    <m/>
    <s v="ukončen 26.9.2025"/>
  </r>
  <r>
    <x v="3"/>
    <x v="2"/>
    <x v="109"/>
    <n v="0"/>
    <x v="3"/>
    <x v="0"/>
    <m/>
    <x v="3"/>
    <m/>
    <m/>
  </r>
  <r>
    <x v="3"/>
    <x v="2"/>
    <x v="110"/>
    <n v="6175"/>
    <x v="3"/>
    <x v="0"/>
    <m/>
    <x v="3"/>
    <m/>
    <s v="ukončena 26.9.2025"/>
  </r>
  <r>
    <x v="3"/>
    <x v="2"/>
    <x v="111"/>
    <n v="6152"/>
    <x v="3"/>
    <x v="0"/>
    <m/>
    <x v="3"/>
    <m/>
    <m/>
  </r>
  <r>
    <x v="3"/>
    <x v="2"/>
    <x v="112"/>
    <n v="6558"/>
    <x v="3"/>
    <x v="0"/>
    <m/>
    <x v="4"/>
    <m/>
    <m/>
  </r>
  <r>
    <x v="3"/>
    <x v="2"/>
    <x v="113"/>
    <n v="0"/>
    <x v="3"/>
    <x v="1"/>
    <m/>
    <x v="2"/>
    <m/>
    <m/>
  </r>
  <r>
    <x v="3"/>
    <x v="2"/>
    <x v="112"/>
    <n v="6558"/>
    <x v="3"/>
    <x v="0"/>
    <m/>
    <x v="4"/>
    <m/>
    <m/>
  </r>
  <r>
    <x v="3"/>
    <x v="3"/>
    <x v="115"/>
    <n v="6537"/>
    <x v="3"/>
    <x v="0"/>
    <m/>
    <x v="3"/>
    <m/>
    <m/>
  </r>
  <r>
    <x v="3"/>
    <x v="3"/>
    <x v="116"/>
    <n v="5802"/>
    <x v="3"/>
    <x v="5"/>
    <m/>
    <x v="2"/>
    <m/>
    <m/>
  </r>
  <r>
    <x v="3"/>
    <x v="3"/>
    <x v="117"/>
    <n v="4869"/>
    <x v="3"/>
    <x v="5"/>
    <m/>
    <x v="2"/>
    <m/>
    <m/>
  </r>
  <r>
    <x v="3"/>
    <x v="3"/>
    <x v="118"/>
    <n v="6508"/>
    <x v="3"/>
    <x v="0"/>
    <m/>
    <x v="2"/>
    <m/>
    <m/>
  </r>
  <r>
    <x v="3"/>
    <x v="3"/>
    <x v="119"/>
    <n v="4607"/>
    <x v="3"/>
    <x v="5"/>
    <m/>
    <x v="3"/>
    <m/>
    <m/>
  </r>
  <r>
    <x v="3"/>
    <x v="3"/>
    <x v="120"/>
    <n v="5047"/>
    <x v="3"/>
    <x v="5"/>
    <m/>
    <x v="2"/>
    <m/>
    <m/>
  </r>
  <r>
    <x v="3"/>
    <x v="3"/>
    <x v="121"/>
    <n v="4616"/>
    <x v="3"/>
    <x v="5"/>
    <m/>
    <x v="2"/>
    <m/>
    <m/>
  </r>
  <r>
    <x v="3"/>
    <x v="3"/>
    <x v="122"/>
    <n v="4961"/>
    <x v="3"/>
    <x v="0"/>
    <m/>
    <x v="2"/>
    <m/>
    <m/>
  </r>
  <r>
    <x v="3"/>
    <x v="3"/>
    <x v="123"/>
    <n v="4721"/>
    <x v="3"/>
    <x v="0"/>
    <m/>
    <x v="3"/>
    <m/>
    <m/>
  </r>
  <r>
    <x v="3"/>
    <x v="3"/>
    <x v="124"/>
    <n v="4845"/>
    <x v="3"/>
    <x v="0"/>
    <m/>
    <x v="2"/>
    <m/>
    <m/>
  </r>
  <r>
    <x v="3"/>
    <x v="3"/>
    <x v="125"/>
    <n v="47"/>
    <x v="3"/>
    <x v="0"/>
    <m/>
    <x v="4"/>
    <m/>
    <m/>
  </r>
  <r>
    <x v="3"/>
    <x v="3"/>
    <x v="126"/>
    <n v="6332"/>
    <x v="3"/>
    <x v="5"/>
    <m/>
    <x v="2"/>
    <m/>
    <m/>
  </r>
  <r>
    <x v="3"/>
    <x v="3"/>
    <x v="127"/>
    <n v="4871"/>
    <x v="3"/>
    <x v="0"/>
    <m/>
    <x v="2"/>
    <m/>
    <m/>
  </r>
  <r>
    <x v="3"/>
    <x v="3"/>
    <x v="128"/>
    <n v="4755"/>
    <x v="3"/>
    <x v="5"/>
    <m/>
    <x v="3"/>
    <m/>
    <m/>
  </r>
  <r>
    <x v="3"/>
    <x v="3"/>
    <x v="129"/>
    <n v="49"/>
    <x v="3"/>
    <x v="5"/>
    <m/>
    <x v="3"/>
    <m/>
    <m/>
  </r>
  <r>
    <x v="3"/>
    <x v="3"/>
    <x v="130"/>
    <n v="5839"/>
    <x v="3"/>
    <x v="5"/>
    <m/>
    <x v="4"/>
    <m/>
    <m/>
  </r>
  <r>
    <x v="3"/>
    <x v="3"/>
    <x v="131"/>
    <n v="6487"/>
    <x v="3"/>
    <x v="5"/>
    <m/>
    <x v="4"/>
    <m/>
    <m/>
  </r>
  <r>
    <x v="3"/>
    <x v="3"/>
    <x v="132"/>
    <n v="6292"/>
    <x v="3"/>
    <x v="5"/>
    <m/>
    <x v="2"/>
    <m/>
    <m/>
  </r>
  <r>
    <x v="3"/>
    <x v="3"/>
    <x v="133"/>
    <n v="5198"/>
    <x v="3"/>
    <x v="5"/>
    <m/>
    <x v="2"/>
    <m/>
    <m/>
  </r>
  <r>
    <x v="3"/>
    <x v="3"/>
    <x v="134"/>
    <n v="6368"/>
    <x v="3"/>
    <x v="5"/>
    <m/>
    <x v="2"/>
    <m/>
    <m/>
  </r>
  <r>
    <x v="3"/>
    <x v="3"/>
    <x v="135"/>
    <n v="5595"/>
    <x v="3"/>
    <x v="0"/>
    <m/>
    <x v="3"/>
    <m/>
    <m/>
  </r>
  <r>
    <x v="3"/>
    <x v="3"/>
    <x v="136"/>
    <n v="4960"/>
    <x v="3"/>
    <x v="5"/>
    <m/>
    <x v="4"/>
    <m/>
    <m/>
  </r>
  <r>
    <x v="3"/>
    <x v="3"/>
    <x v="137"/>
    <n v="5125"/>
    <x v="3"/>
    <x v="5"/>
    <m/>
    <x v="2"/>
    <m/>
    <m/>
  </r>
  <r>
    <x v="3"/>
    <x v="3"/>
    <x v="138"/>
    <n v="6127"/>
    <x v="3"/>
    <x v="5"/>
    <m/>
    <x v="3"/>
    <m/>
    <m/>
  </r>
  <r>
    <x v="3"/>
    <x v="3"/>
    <x v="139"/>
    <n v="5583"/>
    <x v="3"/>
    <x v="5"/>
    <m/>
    <x v="3"/>
    <m/>
    <m/>
  </r>
  <r>
    <x v="3"/>
    <x v="3"/>
    <x v="140"/>
    <n v="123"/>
    <x v="3"/>
    <x v="5"/>
    <m/>
    <x v="4"/>
    <m/>
    <m/>
  </r>
  <r>
    <x v="3"/>
    <x v="3"/>
    <x v="141"/>
    <n v="5525"/>
    <x v="3"/>
    <x v="5"/>
    <m/>
    <x v="2"/>
    <m/>
    <m/>
  </r>
  <r>
    <x v="3"/>
    <x v="3"/>
    <x v="142"/>
    <n v="126"/>
    <x v="3"/>
    <x v="0"/>
    <m/>
    <x v="2"/>
    <m/>
    <m/>
  </r>
  <r>
    <x v="3"/>
    <x v="3"/>
    <x v="143"/>
    <n v="127"/>
    <x v="3"/>
    <x v="0"/>
    <m/>
    <x v="3"/>
    <m/>
    <m/>
  </r>
  <r>
    <x v="3"/>
    <x v="3"/>
    <x v="144"/>
    <n v="4847"/>
    <x v="3"/>
    <x v="0"/>
    <m/>
    <x v="2"/>
    <m/>
    <m/>
  </r>
  <r>
    <x v="3"/>
    <x v="3"/>
    <x v="145"/>
    <n v="750"/>
    <x v="3"/>
    <x v="5"/>
    <m/>
    <x v="2"/>
    <m/>
    <m/>
  </r>
  <r>
    <x v="3"/>
    <x v="3"/>
    <x v="146"/>
    <n v="4663"/>
    <x v="3"/>
    <x v="5"/>
    <m/>
    <x v="3"/>
    <m/>
    <m/>
  </r>
  <r>
    <x v="3"/>
    <x v="3"/>
    <x v="147"/>
    <n v="131"/>
    <x v="3"/>
    <x v="0"/>
    <m/>
    <x v="3"/>
    <m/>
    <m/>
  </r>
  <r>
    <x v="3"/>
    <x v="3"/>
    <x v="148"/>
    <n v="5620"/>
    <x v="3"/>
    <x v="5"/>
    <m/>
    <x v="2"/>
    <m/>
    <m/>
  </r>
  <r>
    <x v="3"/>
    <x v="3"/>
    <x v="149"/>
    <n v="4868"/>
    <x v="3"/>
    <x v="0"/>
    <m/>
    <x v="2"/>
    <m/>
    <m/>
  </r>
  <r>
    <x v="3"/>
    <x v="3"/>
    <x v="150"/>
    <n v="5026"/>
    <x v="3"/>
    <x v="0"/>
    <m/>
    <x v="2"/>
    <m/>
    <m/>
  </r>
  <r>
    <x v="3"/>
    <x v="3"/>
    <x v="151"/>
    <n v="6424"/>
    <x v="3"/>
    <x v="5"/>
    <m/>
    <x v="4"/>
    <m/>
    <m/>
  </r>
  <r>
    <x v="3"/>
    <x v="3"/>
    <x v="152"/>
    <n v="5004"/>
    <x v="3"/>
    <x v="0"/>
    <m/>
    <x v="2"/>
    <m/>
    <m/>
  </r>
  <r>
    <x v="3"/>
    <x v="3"/>
    <x v="153"/>
    <n v="136"/>
    <x v="3"/>
    <x v="0"/>
    <m/>
    <x v="3"/>
    <m/>
    <m/>
  </r>
  <r>
    <x v="3"/>
    <x v="3"/>
    <x v="154"/>
    <n v="19"/>
    <x v="3"/>
    <x v="0"/>
    <m/>
    <x v="2"/>
    <m/>
    <m/>
  </r>
  <r>
    <x v="3"/>
    <x v="3"/>
    <x v="155"/>
    <n v="4791"/>
    <x v="3"/>
    <x v="0"/>
    <m/>
    <x v="2"/>
    <m/>
    <m/>
  </r>
  <r>
    <x v="3"/>
    <x v="3"/>
    <x v="156"/>
    <n v="5121"/>
    <x v="3"/>
    <x v="5"/>
    <m/>
    <x v="3"/>
    <m/>
    <m/>
  </r>
  <r>
    <x v="3"/>
    <x v="3"/>
    <x v="157"/>
    <n v="4416"/>
    <x v="3"/>
    <x v="5"/>
    <m/>
    <x v="3"/>
    <m/>
    <m/>
  </r>
  <r>
    <x v="3"/>
    <x v="3"/>
    <x v="158"/>
    <n v="6193"/>
    <x v="3"/>
    <x v="5"/>
    <m/>
    <x v="3"/>
    <m/>
    <m/>
  </r>
  <r>
    <x v="3"/>
    <x v="3"/>
    <x v="159"/>
    <n v="146"/>
    <x v="3"/>
    <x v="1"/>
    <m/>
    <x v="3"/>
    <m/>
    <m/>
  </r>
  <r>
    <x v="3"/>
    <x v="3"/>
    <x v="160"/>
    <n v="4745"/>
    <x v="3"/>
    <x v="0"/>
    <m/>
    <x v="2"/>
    <m/>
    <m/>
  </r>
  <r>
    <x v="3"/>
    <x v="3"/>
    <x v="161"/>
    <n v="5029"/>
    <x v="3"/>
    <x v="5"/>
    <m/>
    <x v="2"/>
    <m/>
    <m/>
  </r>
  <r>
    <x v="3"/>
    <x v="3"/>
    <x v="162"/>
    <n v="5209"/>
    <x v="3"/>
    <x v="5"/>
    <m/>
    <x v="2"/>
    <m/>
    <m/>
  </r>
  <r>
    <x v="3"/>
    <x v="3"/>
    <x v="163"/>
    <n v="4790"/>
    <x v="3"/>
    <x v="0"/>
    <m/>
    <x v="3"/>
    <m/>
    <m/>
  </r>
  <r>
    <x v="3"/>
    <x v="3"/>
    <x v="164"/>
    <n v="4727"/>
    <x v="3"/>
    <x v="0"/>
    <m/>
    <x v="4"/>
    <m/>
    <m/>
  </r>
  <r>
    <x v="3"/>
    <x v="3"/>
    <x v="165"/>
    <n v="6488"/>
    <x v="3"/>
    <x v="5"/>
    <m/>
    <x v="3"/>
    <m/>
    <m/>
  </r>
  <r>
    <x v="3"/>
    <x v="3"/>
    <x v="166"/>
    <n v="5604"/>
    <x v="3"/>
    <x v="5"/>
    <m/>
    <x v="2"/>
    <m/>
    <m/>
  </r>
  <r>
    <x v="3"/>
    <x v="3"/>
    <x v="167"/>
    <n v="5632"/>
    <x v="3"/>
    <x v="0"/>
    <m/>
    <x v="4"/>
    <m/>
    <m/>
  </r>
  <r>
    <x v="3"/>
    <x v="3"/>
    <x v="168"/>
    <n v="5980"/>
    <x v="3"/>
    <x v="5"/>
    <m/>
    <x v="3"/>
    <m/>
    <m/>
  </r>
  <r>
    <x v="3"/>
    <x v="3"/>
    <x v="169"/>
    <n v="5481"/>
    <x v="3"/>
    <x v="5"/>
    <m/>
    <x v="3"/>
    <m/>
    <m/>
  </r>
  <r>
    <x v="3"/>
    <x v="3"/>
    <x v="170"/>
    <n v="150"/>
    <x v="3"/>
    <x v="1"/>
    <m/>
    <x v="4"/>
    <m/>
    <m/>
  </r>
  <r>
    <x v="3"/>
    <x v="3"/>
    <x v="171"/>
    <n v="5120"/>
    <x v="3"/>
    <x v="5"/>
    <m/>
    <x v="2"/>
    <m/>
    <m/>
  </r>
  <r>
    <x v="3"/>
    <x v="3"/>
    <x v="172"/>
    <n v="4713"/>
    <x v="3"/>
    <x v="0"/>
    <m/>
    <x v="4"/>
    <m/>
    <m/>
  </r>
  <r>
    <x v="3"/>
    <x v="3"/>
    <x v="173"/>
    <n v="6318"/>
    <x v="3"/>
    <x v="5"/>
    <m/>
    <x v="4"/>
    <m/>
    <m/>
  </r>
  <r>
    <x v="3"/>
    <x v="3"/>
    <x v="174"/>
    <n v="5712"/>
    <x v="3"/>
    <x v="5"/>
    <m/>
    <x v="2"/>
    <m/>
    <m/>
  </r>
  <r>
    <x v="3"/>
    <x v="3"/>
    <x v="175"/>
    <n v="4744"/>
    <x v="3"/>
    <x v="5"/>
    <m/>
    <x v="3"/>
    <m/>
    <m/>
  </r>
  <r>
    <x v="3"/>
    <x v="3"/>
    <x v="176"/>
    <n v="4555"/>
    <x v="3"/>
    <x v="5"/>
    <m/>
    <x v="2"/>
    <m/>
    <m/>
  </r>
  <r>
    <x v="3"/>
    <x v="3"/>
    <x v="177"/>
    <n v="155"/>
    <x v="3"/>
    <x v="5"/>
    <m/>
    <x v="4"/>
    <m/>
    <m/>
  </r>
  <r>
    <x v="3"/>
    <x v="3"/>
    <x v="178"/>
    <n v="6178"/>
    <x v="3"/>
    <x v="5"/>
    <m/>
    <x v="3"/>
    <m/>
    <m/>
  </r>
  <r>
    <x v="3"/>
    <x v="3"/>
    <x v="179"/>
    <n v="6345"/>
    <x v="3"/>
    <x v="5"/>
    <m/>
    <x v="4"/>
    <m/>
    <m/>
  </r>
  <r>
    <x v="3"/>
    <x v="3"/>
    <x v="180"/>
    <n v="5601"/>
    <x v="3"/>
    <x v="0"/>
    <m/>
    <x v="3"/>
    <m/>
    <m/>
  </r>
  <r>
    <x v="3"/>
    <x v="3"/>
    <x v="181"/>
    <n v="5152"/>
    <x v="3"/>
    <x v="5"/>
    <m/>
    <x v="2"/>
    <m/>
    <m/>
  </r>
  <r>
    <x v="3"/>
    <x v="3"/>
    <x v="182"/>
    <n v="176"/>
    <x v="3"/>
    <x v="5"/>
    <m/>
    <x v="2"/>
    <m/>
    <m/>
  </r>
  <r>
    <x v="3"/>
    <x v="3"/>
    <x v="183"/>
    <n v="177"/>
    <x v="3"/>
    <x v="0"/>
    <m/>
    <x v="3"/>
    <m/>
    <m/>
  </r>
  <r>
    <x v="3"/>
    <x v="3"/>
    <x v="184"/>
    <n v="5555"/>
    <x v="3"/>
    <x v="0"/>
    <m/>
    <x v="2"/>
    <m/>
    <m/>
  </r>
  <r>
    <x v="3"/>
    <x v="3"/>
    <x v="185"/>
    <n v="4959"/>
    <x v="3"/>
    <x v="0"/>
    <m/>
    <x v="2"/>
    <m/>
    <m/>
  </r>
  <r>
    <x v="3"/>
    <x v="3"/>
    <x v="186"/>
    <n v="4919"/>
    <x v="3"/>
    <x v="5"/>
    <m/>
    <x v="2"/>
    <m/>
    <m/>
  </r>
  <r>
    <x v="3"/>
    <x v="3"/>
    <x v="187"/>
    <n v="4724"/>
    <x v="3"/>
    <x v="5"/>
    <m/>
    <x v="2"/>
    <m/>
    <m/>
  </r>
  <r>
    <x v="3"/>
    <x v="3"/>
    <x v="188"/>
    <n v="183"/>
    <x v="3"/>
    <x v="5"/>
    <m/>
    <x v="4"/>
    <m/>
    <m/>
  </r>
  <r>
    <x v="3"/>
    <x v="3"/>
    <x v="189"/>
    <n v="5545"/>
    <x v="3"/>
    <x v="6"/>
    <m/>
    <x v="2"/>
    <m/>
    <m/>
  </r>
  <r>
    <x v="3"/>
    <x v="3"/>
    <x v="190"/>
    <n v="5526"/>
    <x v="3"/>
    <x v="5"/>
    <m/>
    <x v="2"/>
    <m/>
    <m/>
  </r>
  <r>
    <x v="3"/>
    <x v="3"/>
    <x v="191"/>
    <n v="5192"/>
    <x v="3"/>
    <x v="5"/>
    <m/>
    <x v="2"/>
    <m/>
    <m/>
  </r>
  <r>
    <x v="3"/>
    <x v="3"/>
    <x v="192"/>
    <n v="4698"/>
    <x v="3"/>
    <x v="5"/>
    <m/>
    <x v="2"/>
    <m/>
    <m/>
  </r>
  <r>
    <x v="3"/>
    <x v="3"/>
    <x v="193"/>
    <n v="4611"/>
    <x v="3"/>
    <x v="0"/>
    <m/>
    <x v="4"/>
    <m/>
    <m/>
  </r>
  <r>
    <x v="3"/>
    <x v="3"/>
    <x v="194"/>
    <n v="5069"/>
    <x v="3"/>
    <x v="0"/>
    <m/>
    <x v="2"/>
    <m/>
    <m/>
  </r>
  <r>
    <x v="3"/>
    <x v="3"/>
    <x v="195"/>
    <n v="185"/>
    <x v="3"/>
    <x v="5"/>
    <m/>
    <x v="4"/>
    <m/>
    <m/>
  </r>
  <r>
    <x v="3"/>
    <x v="3"/>
    <x v="196"/>
    <n v="6388"/>
    <x v="3"/>
    <x v="1"/>
    <m/>
    <x v="2"/>
    <m/>
    <m/>
  </r>
  <r>
    <x v="3"/>
    <x v="3"/>
    <x v="197"/>
    <n v="5720"/>
    <x v="3"/>
    <x v="0"/>
    <m/>
    <x v="3"/>
    <m/>
    <m/>
  </r>
  <r>
    <x v="3"/>
    <x v="3"/>
    <x v="198"/>
    <n v="5722"/>
    <x v="3"/>
    <x v="0"/>
    <m/>
    <x v="3"/>
    <m/>
    <m/>
  </r>
  <r>
    <x v="3"/>
    <x v="3"/>
    <x v="199"/>
    <n v="6180"/>
    <x v="3"/>
    <x v="5"/>
    <m/>
    <x v="3"/>
    <m/>
    <m/>
  </r>
  <r>
    <x v="3"/>
    <x v="3"/>
    <x v="200"/>
    <n v="4423"/>
    <x v="3"/>
    <x v="5"/>
    <m/>
    <x v="4"/>
    <m/>
    <m/>
  </r>
  <r>
    <x v="3"/>
    <x v="3"/>
    <x v="201"/>
    <n v="5036"/>
    <x v="3"/>
    <x v="0"/>
    <m/>
    <x v="2"/>
    <m/>
    <m/>
  </r>
  <r>
    <x v="3"/>
    <x v="3"/>
    <x v="202"/>
    <n v="4899"/>
    <x v="3"/>
    <x v="5"/>
    <m/>
    <x v="4"/>
    <m/>
    <m/>
  </r>
  <r>
    <x v="3"/>
    <x v="3"/>
    <x v="204"/>
    <n v="6582"/>
    <x v="3"/>
    <x v="0"/>
    <m/>
    <x v="4"/>
    <m/>
    <m/>
  </r>
  <r>
    <x v="3"/>
    <x v="3"/>
    <x v="205"/>
    <n v="6580"/>
    <x v="3"/>
    <x v="0"/>
    <m/>
    <x v="2"/>
    <m/>
    <m/>
  </r>
  <r>
    <x v="4"/>
    <x v="1"/>
    <x v="71"/>
    <n v="6474"/>
    <x v="3"/>
    <x v="0"/>
    <m/>
    <x v="1"/>
    <m/>
    <m/>
  </r>
  <r>
    <x v="4"/>
    <x v="1"/>
    <x v="72"/>
    <n v="6473"/>
    <x v="3"/>
    <x v="0"/>
    <m/>
    <x v="1"/>
    <m/>
    <m/>
  </r>
  <r>
    <x v="4"/>
    <x v="1"/>
    <x v="70"/>
    <n v="5110"/>
    <x v="3"/>
    <x v="0"/>
    <m/>
    <x v="0"/>
    <m/>
    <m/>
  </r>
  <r>
    <x v="4"/>
    <x v="1"/>
    <x v="69"/>
    <n v="6394"/>
    <x v="3"/>
    <x v="0"/>
    <m/>
    <x v="1"/>
    <m/>
    <m/>
  </r>
  <r>
    <x v="4"/>
    <x v="0"/>
    <x v="0"/>
    <n v="5777"/>
    <x v="3"/>
    <x v="0"/>
    <m/>
    <x v="0"/>
    <m/>
    <m/>
  </r>
  <r>
    <x v="4"/>
    <x v="0"/>
    <x v="1"/>
    <n v="4838"/>
    <x v="3"/>
    <x v="0"/>
    <m/>
    <x v="0"/>
    <m/>
    <m/>
  </r>
  <r>
    <x v="4"/>
    <x v="0"/>
    <x v="2"/>
    <n v="4599"/>
    <x v="3"/>
    <x v="0"/>
    <m/>
    <x v="1"/>
    <m/>
    <m/>
  </r>
  <r>
    <x v="4"/>
    <x v="0"/>
    <x v="3"/>
    <n v="6566"/>
    <x v="3"/>
    <x v="0"/>
    <m/>
    <x v="1"/>
    <m/>
    <m/>
  </r>
  <r>
    <x v="4"/>
    <x v="0"/>
    <x v="4"/>
    <n v="5400"/>
    <x v="3"/>
    <x v="0"/>
    <m/>
    <x v="1"/>
    <m/>
    <m/>
  </r>
  <r>
    <x v="4"/>
    <x v="0"/>
    <x v="5"/>
    <n v="5094"/>
    <x v="3"/>
    <x v="0"/>
    <m/>
    <x v="0"/>
    <m/>
    <m/>
  </r>
  <r>
    <x v="4"/>
    <x v="0"/>
    <x v="6"/>
    <n v="6001"/>
    <x v="3"/>
    <x v="0"/>
    <m/>
    <x v="1"/>
    <m/>
    <m/>
  </r>
  <r>
    <x v="4"/>
    <x v="0"/>
    <x v="7"/>
    <n v="6573"/>
    <x v="3"/>
    <x v="0"/>
    <m/>
    <x v="1"/>
    <m/>
    <m/>
  </r>
  <r>
    <x v="4"/>
    <x v="0"/>
    <x v="8"/>
    <n v="5129"/>
    <x v="3"/>
    <x v="0"/>
    <m/>
    <x v="1"/>
    <m/>
    <m/>
  </r>
  <r>
    <x v="4"/>
    <x v="0"/>
    <x v="9"/>
    <n v="5663"/>
    <x v="3"/>
    <x v="1"/>
    <m/>
    <x v="1"/>
    <m/>
    <m/>
  </r>
  <r>
    <x v="4"/>
    <x v="0"/>
    <x v="10"/>
    <n v="4501"/>
    <x v="3"/>
    <x v="1"/>
    <m/>
    <x v="0"/>
    <m/>
    <m/>
  </r>
  <r>
    <x v="4"/>
    <x v="0"/>
    <x v="11"/>
    <n v="4936"/>
    <x v="3"/>
    <x v="0"/>
    <m/>
    <x v="1"/>
    <m/>
    <m/>
  </r>
  <r>
    <x v="4"/>
    <x v="0"/>
    <x v="12"/>
    <n v="3728"/>
    <x v="3"/>
    <x v="0"/>
    <m/>
    <x v="1"/>
    <m/>
    <m/>
  </r>
  <r>
    <x v="4"/>
    <x v="0"/>
    <x v="13"/>
    <n v="4955"/>
    <x v="3"/>
    <x v="0"/>
    <m/>
    <x v="1"/>
    <m/>
    <m/>
  </r>
  <r>
    <x v="4"/>
    <x v="0"/>
    <x v="14"/>
    <n v="6568"/>
    <x v="3"/>
    <x v="0"/>
    <m/>
    <x v="0"/>
    <m/>
    <m/>
  </r>
  <r>
    <x v="4"/>
    <x v="0"/>
    <x v="15"/>
    <n v="3721"/>
    <x v="3"/>
    <x v="0"/>
    <m/>
    <x v="1"/>
    <m/>
    <m/>
  </r>
  <r>
    <x v="4"/>
    <x v="0"/>
    <x v="16"/>
    <n v="6110"/>
    <x v="3"/>
    <x v="0"/>
    <m/>
    <x v="1"/>
    <m/>
    <m/>
  </r>
  <r>
    <x v="4"/>
    <x v="0"/>
    <x v="17"/>
    <n v="0"/>
    <x v="3"/>
    <x v="0"/>
    <m/>
    <x v="1"/>
    <m/>
    <m/>
  </r>
  <r>
    <x v="4"/>
    <x v="0"/>
    <x v="18"/>
    <n v="6330"/>
    <x v="3"/>
    <x v="0"/>
    <m/>
    <x v="0"/>
    <m/>
    <m/>
  </r>
  <r>
    <x v="4"/>
    <x v="0"/>
    <x v="19"/>
    <n v="5828"/>
    <x v="3"/>
    <x v="0"/>
    <m/>
    <x v="1"/>
    <m/>
    <m/>
  </r>
  <r>
    <x v="4"/>
    <x v="0"/>
    <x v="20"/>
    <n v="4775"/>
    <x v="3"/>
    <x v="0"/>
    <m/>
    <x v="0"/>
    <m/>
    <m/>
  </r>
  <r>
    <x v="4"/>
    <x v="0"/>
    <x v="21"/>
    <n v="6551"/>
    <x v="3"/>
    <x v="2"/>
    <m/>
    <x v="1"/>
    <m/>
    <s v="ukončen 30.9."/>
  </r>
  <r>
    <x v="4"/>
    <x v="0"/>
    <x v="22"/>
    <n v="5665"/>
    <x v="3"/>
    <x v="1"/>
    <m/>
    <x v="1"/>
    <m/>
    <m/>
  </r>
  <r>
    <x v="4"/>
    <x v="0"/>
    <x v="23"/>
    <n v="2463"/>
    <x v="3"/>
    <x v="0"/>
    <m/>
    <x v="2"/>
    <m/>
    <m/>
  </r>
  <r>
    <x v="4"/>
    <x v="0"/>
    <x v="24"/>
    <n v="6536"/>
    <x v="3"/>
    <x v="0"/>
    <m/>
    <x v="0"/>
    <m/>
    <m/>
  </r>
  <r>
    <x v="4"/>
    <x v="0"/>
    <x v="25"/>
    <n v="4748"/>
    <x v="3"/>
    <x v="0"/>
    <m/>
    <x v="1"/>
    <m/>
    <m/>
  </r>
  <r>
    <x v="4"/>
    <x v="0"/>
    <x v="26"/>
    <n v="6077"/>
    <x v="3"/>
    <x v="1"/>
    <m/>
    <x v="0"/>
    <m/>
    <s v="mateřská dovolená, Batz si ji u sebe ukončil 30.9."/>
  </r>
  <r>
    <x v="4"/>
    <x v="0"/>
    <x v="27"/>
    <n v="6574"/>
    <x v="3"/>
    <x v="0"/>
    <m/>
    <x v="1"/>
    <m/>
    <m/>
  </r>
  <r>
    <x v="4"/>
    <x v="0"/>
    <x v="28"/>
    <n v="4720"/>
    <x v="3"/>
    <x v="0"/>
    <m/>
    <x v="0"/>
    <m/>
    <m/>
  </r>
  <r>
    <x v="4"/>
    <x v="0"/>
    <x v="29"/>
    <n v="6409"/>
    <x v="3"/>
    <x v="0"/>
    <m/>
    <x v="2"/>
    <m/>
    <m/>
  </r>
  <r>
    <x v="4"/>
    <x v="0"/>
    <x v="30"/>
    <n v="3396"/>
    <x v="3"/>
    <x v="0"/>
    <m/>
    <x v="1"/>
    <m/>
    <m/>
  </r>
  <r>
    <x v="4"/>
    <x v="0"/>
    <x v="31"/>
    <n v="6376"/>
    <x v="3"/>
    <x v="0"/>
    <m/>
    <x v="0"/>
    <m/>
    <m/>
  </r>
  <r>
    <x v="4"/>
    <x v="0"/>
    <x v="32"/>
    <n v="5014"/>
    <x v="3"/>
    <x v="0"/>
    <m/>
    <x v="0"/>
    <m/>
    <m/>
  </r>
  <r>
    <x v="4"/>
    <x v="0"/>
    <x v="33"/>
    <n v="3369"/>
    <x v="3"/>
    <x v="7"/>
    <m/>
    <x v="1"/>
    <m/>
    <s v="OČR od 29.9."/>
  </r>
  <r>
    <x v="4"/>
    <x v="0"/>
    <x v="34"/>
    <n v="6576"/>
    <x v="3"/>
    <x v="0"/>
    <m/>
    <x v="1"/>
    <m/>
    <m/>
  </r>
  <r>
    <x v="4"/>
    <x v="0"/>
    <x v="35"/>
    <n v="6352"/>
    <x v="3"/>
    <x v="0"/>
    <m/>
    <x v="1"/>
    <m/>
    <m/>
  </r>
  <r>
    <x v="4"/>
    <x v="0"/>
    <x v="36"/>
    <n v="5009"/>
    <x v="3"/>
    <x v="0"/>
    <m/>
    <x v="1"/>
    <m/>
    <s v="ukončen 26.9.2025"/>
  </r>
  <r>
    <x v="4"/>
    <x v="0"/>
    <x v="37"/>
    <n v="6251"/>
    <x v="3"/>
    <x v="0"/>
    <m/>
    <x v="1"/>
    <m/>
    <s v="ukončena 26.9.2025"/>
  </r>
  <r>
    <x v="4"/>
    <x v="0"/>
    <x v="38"/>
    <n v="6507"/>
    <x v="3"/>
    <x v="0"/>
    <m/>
    <x v="1"/>
    <m/>
    <m/>
  </r>
  <r>
    <x v="4"/>
    <x v="0"/>
    <x v="39"/>
    <n v="6346"/>
    <x v="3"/>
    <x v="0"/>
    <m/>
    <x v="1"/>
    <m/>
    <s v="ukončen 30.9.2025"/>
  </r>
  <r>
    <x v="4"/>
    <x v="0"/>
    <x v="40"/>
    <n v="4972"/>
    <x v="3"/>
    <x v="0"/>
    <m/>
    <x v="0"/>
    <m/>
    <m/>
  </r>
  <r>
    <x v="4"/>
    <x v="0"/>
    <x v="41"/>
    <n v="2230"/>
    <x v="3"/>
    <x v="3"/>
    <m/>
    <x v="1"/>
    <m/>
    <m/>
  </r>
  <r>
    <x v="4"/>
    <x v="0"/>
    <x v="42"/>
    <n v="5310"/>
    <x v="3"/>
    <x v="0"/>
    <m/>
    <x v="1"/>
    <m/>
    <m/>
  </r>
  <r>
    <x v="4"/>
    <x v="0"/>
    <x v="43"/>
    <n v="5948"/>
    <x v="3"/>
    <x v="0"/>
    <m/>
    <x v="1"/>
    <m/>
    <m/>
  </r>
  <r>
    <x v="4"/>
    <x v="0"/>
    <x v="44"/>
    <n v="6549"/>
    <x v="3"/>
    <x v="0"/>
    <m/>
    <x v="1"/>
    <m/>
    <m/>
  </r>
  <r>
    <x v="4"/>
    <x v="0"/>
    <x v="45"/>
    <n v="6538"/>
    <x v="3"/>
    <x v="0"/>
    <m/>
    <x v="1"/>
    <m/>
    <m/>
  </r>
  <r>
    <x v="4"/>
    <x v="0"/>
    <x v="46"/>
    <n v="5715"/>
    <x v="3"/>
    <x v="0"/>
    <m/>
    <x v="1"/>
    <m/>
    <m/>
  </r>
  <r>
    <x v="4"/>
    <x v="0"/>
    <x v="47"/>
    <n v="4514"/>
    <x v="3"/>
    <x v="0"/>
    <m/>
    <x v="1"/>
    <m/>
    <m/>
  </r>
  <r>
    <x v="4"/>
    <x v="0"/>
    <x v="48"/>
    <n v="5176"/>
    <x v="3"/>
    <x v="0"/>
    <m/>
    <x v="1"/>
    <m/>
    <m/>
  </r>
  <r>
    <x v="4"/>
    <x v="0"/>
    <x v="49"/>
    <n v="4163"/>
    <x v="3"/>
    <x v="0"/>
    <m/>
    <x v="1"/>
    <m/>
    <m/>
  </r>
  <r>
    <x v="4"/>
    <x v="0"/>
    <x v="50"/>
    <n v="3920"/>
    <x v="3"/>
    <x v="0"/>
    <m/>
    <x v="0"/>
    <m/>
    <m/>
  </r>
  <r>
    <x v="4"/>
    <x v="0"/>
    <x v="51"/>
    <n v="3257"/>
    <x v="3"/>
    <x v="0"/>
    <m/>
    <x v="1"/>
    <m/>
    <m/>
  </r>
  <r>
    <x v="4"/>
    <x v="0"/>
    <x v="52"/>
    <n v="3394"/>
    <x v="3"/>
    <x v="3"/>
    <m/>
    <x v="1"/>
    <m/>
    <m/>
  </r>
  <r>
    <x v="4"/>
    <x v="0"/>
    <x v="53"/>
    <n v="4828"/>
    <x v="3"/>
    <x v="0"/>
    <m/>
    <x v="0"/>
    <m/>
    <m/>
  </r>
  <r>
    <x v="4"/>
    <x v="0"/>
    <x v="54"/>
    <n v="4155"/>
    <x v="3"/>
    <x v="0"/>
    <m/>
    <x v="1"/>
    <m/>
    <m/>
  </r>
  <r>
    <x v="4"/>
    <x v="0"/>
    <x v="55"/>
    <n v="0"/>
    <x v="3"/>
    <x v="0"/>
    <m/>
    <x v="1"/>
    <m/>
    <m/>
  </r>
  <r>
    <x v="4"/>
    <x v="0"/>
    <x v="56"/>
    <n v="5179"/>
    <x v="3"/>
    <x v="0"/>
    <m/>
    <x v="1"/>
    <m/>
    <m/>
  </r>
  <r>
    <x v="4"/>
    <x v="0"/>
    <x v="57"/>
    <n v="4912"/>
    <x v="3"/>
    <x v="6"/>
    <m/>
    <x v="0"/>
    <m/>
    <m/>
  </r>
  <r>
    <x v="4"/>
    <x v="0"/>
    <x v="58"/>
    <n v="5208"/>
    <x v="3"/>
    <x v="2"/>
    <m/>
    <x v="1"/>
    <m/>
    <s v="ukončena 30.9.2025"/>
  </r>
  <r>
    <x v="4"/>
    <x v="0"/>
    <x v="59"/>
    <n v="3937"/>
    <x v="3"/>
    <x v="0"/>
    <m/>
    <x v="1"/>
    <m/>
    <m/>
  </r>
  <r>
    <x v="4"/>
    <x v="0"/>
    <x v="60"/>
    <n v="6076"/>
    <x v="3"/>
    <x v="1"/>
    <m/>
    <x v="1"/>
    <m/>
    <m/>
  </r>
  <r>
    <x v="4"/>
    <x v="0"/>
    <x v="61"/>
    <n v="3648"/>
    <x v="3"/>
    <x v="0"/>
    <m/>
    <x v="1"/>
    <m/>
    <m/>
  </r>
  <r>
    <x v="4"/>
    <x v="0"/>
    <x v="62"/>
    <n v="4602"/>
    <x v="3"/>
    <x v="0"/>
    <m/>
    <x v="1"/>
    <m/>
    <m/>
  </r>
  <r>
    <x v="4"/>
    <x v="0"/>
    <x v="63"/>
    <n v="4940"/>
    <x v="3"/>
    <x v="0"/>
    <m/>
    <x v="1"/>
    <m/>
    <m/>
  </r>
  <r>
    <x v="4"/>
    <x v="0"/>
    <x v="64"/>
    <n v="5660"/>
    <x v="3"/>
    <x v="0"/>
    <m/>
    <x v="1"/>
    <m/>
    <m/>
  </r>
  <r>
    <x v="4"/>
    <x v="0"/>
    <x v="65"/>
    <n v="6243"/>
    <x v="3"/>
    <x v="0"/>
    <m/>
    <x v="0"/>
    <m/>
    <m/>
  </r>
  <r>
    <x v="4"/>
    <x v="0"/>
    <x v="66"/>
    <n v="6339"/>
    <x v="3"/>
    <x v="2"/>
    <m/>
    <x v="1"/>
    <m/>
    <m/>
  </r>
  <r>
    <x v="4"/>
    <x v="0"/>
    <x v="67"/>
    <n v="4928"/>
    <x v="3"/>
    <x v="0"/>
    <m/>
    <x v="1"/>
    <m/>
    <m/>
  </r>
  <r>
    <x v="4"/>
    <x v="0"/>
    <x v="68"/>
    <n v="0"/>
    <x v="3"/>
    <x v="0"/>
    <m/>
    <x v="1"/>
    <m/>
    <m/>
  </r>
  <r>
    <x v="4"/>
    <x v="0"/>
    <x v="203"/>
    <n v="6581"/>
    <x v="3"/>
    <x v="0"/>
    <m/>
    <x v="1"/>
    <m/>
    <m/>
  </r>
  <r>
    <x v="4"/>
    <x v="2"/>
    <x v="73"/>
    <n v="6259"/>
    <x v="3"/>
    <x v="1"/>
    <m/>
    <x v="2"/>
    <m/>
    <m/>
  </r>
  <r>
    <x v="4"/>
    <x v="2"/>
    <x v="74"/>
    <n v="3951"/>
    <x v="3"/>
    <x v="0"/>
    <m/>
    <x v="2"/>
    <m/>
    <m/>
  </r>
  <r>
    <x v="4"/>
    <x v="2"/>
    <x v="75"/>
    <n v="6450"/>
    <x v="3"/>
    <x v="0"/>
    <m/>
    <x v="3"/>
    <m/>
    <m/>
  </r>
  <r>
    <x v="4"/>
    <x v="2"/>
    <x v="76"/>
    <n v="6457"/>
    <x v="3"/>
    <x v="0"/>
    <m/>
    <x v="4"/>
    <m/>
    <s v="ukončena 26.9.2025"/>
  </r>
  <r>
    <x v="4"/>
    <x v="2"/>
    <x v="77"/>
    <n v="5584"/>
    <x v="3"/>
    <x v="0"/>
    <m/>
    <x v="2"/>
    <m/>
    <m/>
  </r>
  <r>
    <x v="4"/>
    <x v="2"/>
    <x v="78"/>
    <n v="6418"/>
    <x v="3"/>
    <x v="0"/>
    <m/>
    <x v="2"/>
    <m/>
    <m/>
  </r>
  <r>
    <x v="4"/>
    <x v="2"/>
    <x v="79"/>
    <n v="6177"/>
    <x v="3"/>
    <x v="0"/>
    <m/>
    <x v="4"/>
    <m/>
    <m/>
  </r>
  <r>
    <x v="4"/>
    <x v="2"/>
    <x v="80"/>
    <n v="6543"/>
    <x v="3"/>
    <x v="0"/>
    <m/>
    <x v="4"/>
    <m/>
    <m/>
  </r>
  <r>
    <x v="4"/>
    <x v="2"/>
    <x v="81"/>
    <n v="6541"/>
    <x v="3"/>
    <x v="5"/>
    <m/>
    <x v="3"/>
    <m/>
    <m/>
  </r>
  <r>
    <x v="4"/>
    <x v="2"/>
    <x v="82"/>
    <n v="6442"/>
    <x v="3"/>
    <x v="0"/>
    <m/>
    <x v="3"/>
    <m/>
    <m/>
  </r>
  <r>
    <x v="4"/>
    <x v="2"/>
    <x v="83"/>
    <n v="6143"/>
    <x v="3"/>
    <x v="0"/>
    <m/>
    <x v="2"/>
    <m/>
    <m/>
  </r>
  <r>
    <x v="4"/>
    <x v="2"/>
    <x v="84"/>
    <n v="6260"/>
    <x v="3"/>
    <x v="0"/>
    <m/>
    <x v="2"/>
    <m/>
    <m/>
  </r>
  <r>
    <x v="4"/>
    <x v="2"/>
    <x v="85"/>
    <n v="6542"/>
    <x v="3"/>
    <x v="0"/>
    <m/>
    <x v="3"/>
    <m/>
    <s v="ukončena 26.9.2025"/>
  </r>
  <r>
    <x v="4"/>
    <x v="2"/>
    <x v="86"/>
    <n v="6525"/>
    <x v="3"/>
    <x v="0"/>
    <m/>
    <x v="3"/>
    <m/>
    <s v="ukončen 26.9.2025"/>
  </r>
  <r>
    <x v="4"/>
    <x v="2"/>
    <x v="87"/>
    <n v="6430"/>
    <x v="3"/>
    <x v="6"/>
    <m/>
    <x v="2"/>
    <m/>
    <m/>
  </r>
  <r>
    <x v="4"/>
    <x v="2"/>
    <x v="88"/>
    <n v="6454"/>
    <x v="3"/>
    <x v="0"/>
    <m/>
    <x v="4"/>
    <m/>
    <s v="ukončen 26.9.2025"/>
  </r>
  <r>
    <x v="4"/>
    <x v="2"/>
    <x v="89"/>
    <n v="6016"/>
    <x v="3"/>
    <x v="5"/>
    <m/>
    <x v="3"/>
    <m/>
    <m/>
  </r>
  <r>
    <x v="4"/>
    <x v="2"/>
    <x v="90"/>
    <n v="6437"/>
    <x v="3"/>
    <x v="0"/>
    <m/>
    <x v="3"/>
    <m/>
    <m/>
  </r>
  <r>
    <x v="4"/>
    <x v="2"/>
    <x v="91"/>
    <n v="6431"/>
    <x v="3"/>
    <x v="3"/>
    <m/>
    <x v="4"/>
    <m/>
    <m/>
  </r>
  <r>
    <x v="4"/>
    <x v="2"/>
    <x v="92"/>
    <n v="6119"/>
    <x v="3"/>
    <x v="1"/>
    <m/>
    <x v="4"/>
    <m/>
    <m/>
  </r>
  <r>
    <x v="4"/>
    <x v="2"/>
    <x v="93"/>
    <n v="6559"/>
    <x v="3"/>
    <x v="0"/>
    <m/>
    <x v="4"/>
    <m/>
    <m/>
  </r>
  <r>
    <x v="4"/>
    <x v="2"/>
    <x v="94"/>
    <n v="6496"/>
    <x v="3"/>
    <x v="0"/>
    <m/>
    <x v="3"/>
    <m/>
    <s v="ukončen 26.9.2025"/>
  </r>
  <r>
    <x v="4"/>
    <x v="2"/>
    <x v="95"/>
    <n v="4392"/>
    <x v="3"/>
    <x v="0"/>
    <m/>
    <x v="4"/>
    <m/>
    <m/>
  </r>
  <r>
    <x v="4"/>
    <x v="2"/>
    <x v="96"/>
    <n v="6514"/>
    <x v="3"/>
    <x v="0"/>
    <m/>
    <x v="3"/>
    <m/>
    <m/>
  </r>
  <r>
    <x v="4"/>
    <x v="2"/>
    <x v="97"/>
    <n v="6516"/>
    <x v="3"/>
    <x v="0"/>
    <m/>
    <x v="4"/>
    <m/>
    <m/>
  </r>
  <r>
    <x v="4"/>
    <x v="2"/>
    <x v="98"/>
    <n v="0"/>
    <x v="3"/>
    <x v="5"/>
    <m/>
    <x v="2"/>
    <m/>
    <m/>
  </r>
  <r>
    <x v="4"/>
    <x v="2"/>
    <x v="99"/>
    <n v="6449"/>
    <x v="3"/>
    <x v="0"/>
    <m/>
    <x v="3"/>
    <m/>
    <s v="ukončena 1.10.2025"/>
  </r>
  <r>
    <x v="4"/>
    <x v="2"/>
    <x v="100"/>
    <n v="6158"/>
    <x v="3"/>
    <x v="0"/>
    <m/>
    <x v="3"/>
    <m/>
    <m/>
  </r>
  <r>
    <x v="4"/>
    <x v="2"/>
    <x v="101"/>
    <n v="6232"/>
    <x v="3"/>
    <x v="0"/>
    <m/>
    <x v="3"/>
    <m/>
    <s v="ukončen k 1.10.2025"/>
  </r>
  <r>
    <x v="4"/>
    <x v="2"/>
    <x v="102"/>
    <n v="3063"/>
    <x v="3"/>
    <x v="0"/>
    <m/>
    <x v="3"/>
    <m/>
    <m/>
  </r>
  <r>
    <x v="4"/>
    <x v="2"/>
    <x v="103"/>
    <n v="5853"/>
    <x v="3"/>
    <x v="0"/>
    <m/>
    <x v="3"/>
    <m/>
    <m/>
  </r>
  <r>
    <x v="4"/>
    <x v="2"/>
    <x v="104"/>
    <n v="6408"/>
    <x v="3"/>
    <x v="0"/>
    <m/>
    <x v="2"/>
    <m/>
    <m/>
  </r>
  <r>
    <x v="4"/>
    <x v="2"/>
    <x v="105"/>
    <n v="6544"/>
    <x v="3"/>
    <x v="0"/>
    <m/>
    <x v="4"/>
    <m/>
    <m/>
  </r>
  <r>
    <x v="4"/>
    <x v="2"/>
    <x v="106"/>
    <n v="6492"/>
    <x v="3"/>
    <x v="2"/>
    <m/>
    <x v="3"/>
    <m/>
    <s v="ukončen 30.9.2025"/>
  </r>
  <r>
    <x v="4"/>
    <x v="2"/>
    <x v="107"/>
    <n v="6452"/>
    <x v="3"/>
    <x v="0"/>
    <m/>
    <x v="4"/>
    <m/>
    <s v="ukončen 26.9.2025"/>
  </r>
  <r>
    <x v="4"/>
    <x v="2"/>
    <x v="108"/>
    <n v="6546"/>
    <x v="3"/>
    <x v="0"/>
    <m/>
    <x v="3"/>
    <m/>
    <s v="ukončen 26.9.2025"/>
  </r>
  <r>
    <x v="4"/>
    <x v="2"/>
    <x v="109"/>
    <n v="0"/>
    <x v="3"/>
    <x v="0"/>
    <m/>
    <x v="3"/>
    <m/>
    <m/>
  </r>
  <r>
    <x v="4"/>
    <x v="2"/>
    <x v="110"/>
    <n v="6175"/>
    <x v="3"/>
    <x v="0"/>
    <m/>
    <x v="3"/>
    <m/>
    <s v="ukončena 26.9.2025"/>
  </r>
  <r>
    <x v="4"/>
    <x v="2"/>
    <x v="111"/>
    <n v="6152"/>
    <x v="3"/>
    <x v="5"/>
    <m/>
    <x v="3"/>
    <m/>
    <s v="ukončen k 15.10."/>
  </r>
  <r>
    <x v="4"/>
    <x v="2"/>
    <x v="112"/>
    <n v="6558"/>
    <x v="2"/>
    <x v="0"/>
    <m/>
    <x v="4"/>
    <m/>
    <m/>
  </r>
  <r>
    <x v="4"/>
    <x v="2"/>
    <x v="113"/>
    <n v="0"/>
    <x v="3"/>
    <x v="1"/>
    <m/>
    <x v="2"/>
    <m/>
    <s v="ukončen 30.9.2025"/>
  </r>
  <r>
    <x v="4"/>
    <x v="2"/>
    <x v="112"/>
    <n v="6558"/>
    <x v="1"/>
    <x v="0"/>
    <m/>
    <x v="4"/>
    <m/>
    <m/>
  </r>
  <r>
    <x v="4"/>
    <x v="3"/>
    <x v="115"/>
    <n v="6537"/>
    <x v="1"/>
    <x v="0"/>
    <m/>
    <x v="3"/>
    <m/>
    <m/>
  </r>
  <r>
    <x v="4"/>
    <x v="3"/>
    <x v="116"/>
    <n v="5802"/>
    <x v="0"/>
    <x v="0"/>
    <m/>
    <x v="2"/>
    <m/>
    <m/>
  </r>
  <r>
    <x v="4"/>
    <x v="3"/>
    <x v="117"/>
    <n v="4869"/>
    <x v="2"/>
    <x v="0"/>
    <m/>
    <x v="2"/>
    <m/>
    <m/>
  </r>
  <r>
    <x v="4"/>
    <x v="3"/>
    <x v="118"/>
    <n v="6508"/>
    <x v="1"/>
    <x v="0"/>
    <m/>
    <x v="2"/>
    <m/>
    <m/>
  </r>
  <r>
    <x v="4"/>
    <x v="3"/>
    <x v="119"/>
    <n v="4607"/>
    <x v="0"/>
    <x v="0"/>
    <m/>
    <x v="3"/>
    <m/>
    <m/>
  </r>
  <r>
    <x v="4"/>
    <x v="3"/>
    <x v="120"/>
    <n v="5047"/>
    <x v="2"/>
    <x v="0"/>
    <m/>
    <x v="2"/>
    <m/>
    <m/>
  </r>
  <r>
    <x v="4"/>
    <x v="3"/>
    <x v="121"/>
    <n v="4616"/>
    <x v="0"/>
    <x v="0"/>
    <m/>
    <x v="2"/>
    <m/>
    <m/>
  </r>
  <r>
    <x v="4"/>
    <x v="3"/>
    <x v="122"/>
    <n v="4961"/>
    <x v="1"/>
    <x v="0"/>
    <m/>
    <x v="2"/>
    <m/>
    <m/>
  </r>
  <r>
    <x v="4"/>
    <x v="3"/>
    <x v="123"/>
    <n v="4721"/>
    <x v="1"/>
    <x v="0"/>
    <m/>
    <x v="3"/>
    <m/>
    <m/>
  </r>
  <r>
    <x v="4"/>
    <x v="3"/>
    <x v="124"/>
    <n v="4845"/>
    <x v="3"/>
    <x v="3"/>
    <m/>
    <x v="2"/>
    <m/>
    <m/>
  </r>
  <r>
    <x v="4"/>
    <x v="3"/>
    <x v="125"/>
    <n v="47"/>
    <x v="1"/>
    <x v="0"/>
    <m/>
    <x v="4"/>
    <m/>
    <m/>
  </r>
  <r>
    <x v="4"/>
    <x v="3"/>
    <x v="126"/>
    <n v="6332"/>
    <x v="2"/>
    <x v="0"/>
    <m/>
    <x v="2"/>
    <m/>
    <m/>
  </r>
  <r>
    <x v="4"/>
    <x v="3"/>
    <x v="127"/>
    <n v="4871"/>
    <x v="2"/>
    <x v="0"/>
    <m/>
    <x v="2"/>
    <m/>
    <m/>
  </r>
  <r>
    <x v="4"/>
    <x v="3"/>
    <x v="128"/>
    <n v="4755"/>
    <x v="0"/>
    <x v="0"/>
    <m/>
    <x v="3"/>
    <m/>
    <m/>
  </r>
  <r>
    <x v="4"/>
    <x v="3"/>
    <x v="129"/>
    <n v="49"/>
    <x v="2"/>
    <x v="0"/>
    <m/>
    <x v="3"/>
    <m/>
    <m/>
  </r>
  <r>
    <x v="4"/>
    <x v="3"/>
    <x v="130"/>
    <n v="5839"/>
    <x v="2"/>
    <x v="0"/>
    <m/>
    <x v="4"/>
    <m/>
    <m/>
  </r>
  <r>
    <x v="4"/>
    <x v="3"/>
    <x v="131"/>
    <n v="6487"/>
    <x v="0"/>
    <x v="0"/>
    <m/>
    <x v="4"/>
    <m/>
    <m/>
  </r>
  <r>
    <x v="4"/>
    <x v="3"/>
    <x v="132"/>
    <n v="6292"/>
    <x v="2"/>
    <x v="0"/>
    <m/>
    <x v="2"/>
    <m/>
    <m/>
  </r>
  <r>
    <x v="4"/>
    <x v="3"/>
    <x v="133"/>
    <n v="5198"/>
    <x v="2"/>
    <x v="0"/>
    <m/>
    <x v="2"/>
    <m/>
    <m/>
  </r>
  <r>
    <x v="4"/>
    <x v="3"/>
    <x v="134"/>
    <n v="6368"/>
    <x v="2"/>
    <x v="0"/>
    <m/>
    <x v="2"/>
    <m/>
    <m/>
  </r>
  <r>
    <x v="4"/>
    <x v="3"/>
    <x v="135"/>
    <n v="5595"/>
    <x v="1"/>
    <x v="0"/>
    <m/>
    <x v="3"/>
    <m/>
    <m/>
  </r>
  <r>
    <x v="4"/>
    <x v="3"/>
    <x v="136"/>
    <n v="4960"/>
    <x v="2"/>
    <x v="0"/>
    <m/>
    <x v="4"/>
    <m/>
    <m/>
  </r>
  <r>
    <x v="4"/>
    <x v="3"/>
    <x v="137"/>
    <n v="5125"/>
    <x v="0"/>
    <x v="0"/>
    <m/>
    <x v="2"/>
    <m/>
    <m/>
  </r>
  <r>
    <x v="4"/>
    <x v="3"/>
    <x v="138"/>
    <n v="6127"/>
    <x v="0"/>
    <x v="0"/>
    <m/>
    <x v="3"/>
    <m/>
    <m/>
  </r>
  <r>
    <x v="4"/>
    <x v="3"/>
    <x v="139"/>
    <n v="5583"/>
    <x v="2"/>
    <x v="0"/>
    <m/>
    <x v="3"/>
    <m/>
    <m/>
  </r>
  <r>
    <x v="4"/>
    <x v="3"/>
    <x v="140"/>
    <n v="123"/>
    <x v="0"/>
    <x v="0"/>
    <m/>
    <x v="4"/>
    <m/>
    <m/>
  </r>
  <r>
    <x v="4"/>
    <x v="3"/>
    <x v="141"/>
    <n v="5525"/>
    <x v="0"/>
    <x v="0"/>
    <m/>
    <x v="2"/>
    <m/>
    <m/>
  </r>
  <r>
    <x v="4"/>
    <x v="3"/>
    <x v="142"/>
    <n v="126"/>
    <x v="1"/>
    <x v="0"/>
    <m/>
    <x v="2"/>
    <m/>
    <m/>
  </r>
  <r>
    <x v="4"/>
    <x v="3"/>
    <x v="143"/>
    <n v="127"/>
    <x v="1"/>
    <x v="0"/>
    <m/>
    <x v="3"/>
    <m/>
    <m/>
  </r>
  <r>
    <x v="4"/>
    <x v="3"/>
    <x v="144"/>
    <n v="4847"/>
    <x v="1"/>
    <x v="0"/>
    <m/>
    <x v="2"/>
    <m/>
    <m/>
  </r>
  <r>
    <x v="4"/>
    <x v="3"/>
    <x v="145"/>
    <n v="750"/>
    <x v="3"/>
    <x v="6"/>
    <m/>
    <x v="2"/>
    <m/>
    <m/>
  </r>
  <r>
    <x v="4"/>
    <x v="3"/>
    <x v="146"/>
    <n v="4663"/>
    <x v="0"/>
    <x v="0"/>
    <m/>
    <x v="3"/>
    <m/>
    <m/>
  </r>
  <r>
    <x v="4"/>
    <x v="3"/>
    <x v="147"/>
    <n v="131"/>
    <x v="1"/>
    <x v="0"/>
    <m/>
    <x v="3"/>
    <m/>
    <m/>
  </r>
  <r>
    <x v="4"/>
    <x v="3"/>
    <x v="148"/>
    <n v="5620"/>
    <x v="0"/>
    <x v="0"/>
    <m/>
    <x v="2"/>
    <m/>
    <m/>
  </r>
  <r>
    <x v="4"/>
    <x v="3"/>
    <x v="149"/>
    <n v="4868"/>
    <x v="1"/>
    <x v="0"/>
    <m/>
    <x v="2"/>
    <m/>
    <m/>
  </r>
  <r>
    <x v="4"/>
    <x v="3"/>
    <x v="150"/>
    <n v="5026"/>
    <x v="1"/>
    <x v="0"/>
    <m/>
    <x v="2"/>
    <m/>
    <m/>
  </r>
  <r>
    <x v="4"/>
    <x v="3"/>
    <x v="151"/>
    <n v="6424"/>
    <x v="2"/>
    <x v="0"/>
    <m/>
    <x v="4"/>
    <m/>
    <m/>
  </r>
  <r>
    <x v="4"/>
    <x v="3"/>
    <x v="152"/>
    <n v="5004"/>
    <x v="1"/>
    <x v="0"/>
    <m/>
    <x v="2"/>
    <m/>
    <m/>
  </r>
  <r>
    <x v="4"/>
    <x v="3"/>
    <x v="153"/>
    <n v="136"/>
    <x v="1"/>
    <x v="0"/>
    <m/>
    <x v="3"/>
    <m/>
    <m/>
  </r>
  <r>
    <x v="4"/>
    <x v="3"/>
    <x v="154"/>
    <n v="19"/>
    <x v="1"/>
    <x v="0"/>
    <m/>
    <x v="2"/>
    <m/>
    <m/>
  </r>
  <r>
    <x v="4"/>
    <x v="3"/>
    <x v="155"/>
    <n v="4791"/>
    <x v="1"/>
    <x v="0"/>
    <m/>
    <x v="2"/>
    <m/>
    <m/>
  </r>
  <r>
    <x v="4"/>
    <x v="3"/>
    <x v="156"/>
    <n v="5121"/>
    <x v="0"/>
    <x v="0"/>
    <m/>
    <x v="3"/>
    <m/>
    <m/>
  </r>
  <r>
    <x v="4"/>
    <x v="3"/>
    <x v="157"/>
    <n v="4416"/>
    <x v="3"/>
    <x v="3"/>
    <m/>
    <x v="3"/>
    <m/>
    <s v="přechod pod kmen k 1.10"/>
  </r>
  <r>
    <x v="4"/>
    <x v="3"/>
    <x v="158"/>
    <n v="6193"/>
    <x v="0"/>
    <x v="0"/>
    <m/>
    <x v="3"/>
    <m/>
    <m/>
  </r>
  <r>
    <x v="4"/>
    <x v="3"/>
    <x v="159"/>
    <n v="146"/>
    <x v="3"/>
    <x v="1"/>
    <m/>
    <x v="3"/>
    <m/>
    <m/>
  </r>
  <r>
    <x v="4"/>
    <x v="3"/>
    <x v="160"/>
    <n v="4745"/>
    <x v="1"/>
    <x v="0"/>
    <m/>
    <x v="2"/>
    <m/>
    <m/>
  </r>
  <r>
    <x v="4"/>
    <x v="3"/>
    <x v="161"/>
    <n v="5029"/>
    <x v="0"/>
    <x v="0"/>
    <m/>
    <x v="2"/>
    <m/>
    <s v="přechod pod kmen od 1.10"/>
  </r>
  <r>
    <x v="4"/>
    <x v="3"/>
    <x v="162"/>
    <n v="5209"/>
    <x v="0"/>
    <x v="0"/>
    <m/>
    <x v="2"/>
    <m/>
    <m/>
  </r>
  <r>
    <x v="4"/>
    <x v="3"/>
    <x v="163"/>
    <n v="4790"/>
    <x v="1"/>
    <x v="0"/>
    <m/>
    <x v="3"/>
    <m/>
    <m/>
  </r>
  <r>
    <x v="4"/>
    <x v="3"/>
    <x v="164"/>
    <n v="4727"/>
    <x v="2"/>
    <x v="0"/>
    <m/>
    <x v="4"/>
    <m/>
    <m/>
  </r>
  <r>
    <x v="4"/>
    <x v="3"/>
    <x v="165"/>
    <n v="6488"/>
    <x v="0"/>
    <x v="0"/>
    <m/>
    <x v="3"/>
    <m/>
    <m/>
  </r>
  <r>
    <x v="4"/>
    <x v="3"/>
    <x v="166"/>
    <n v="5604"/>
    <x v="0"/>
    <x v="0"/>
    <m/>
    <x v="2"/>
    <m/>
    <m/>
  </r>
  <r>
    <x v="4"/>
    <x v="3"/>
    <x v="167"/>
    <n v="5632"/>
    <x v="0"/>
    <x v="0"/>
    <m/>
    <x v="4"/>
    <m/>
    <m/>
  </r>
  <r>
    <x v="4"/>
    <x v="3"/>
    <x v="168"/>
    <n v="5980"/>
    <x v="1"/>
    <x v="0"/>
    <m/>
    <x v="3"/>
    <m/>
    <m/>
  </r>
  <r>
    <x v="4"/>
    <x v="3"/>
    <x v="169"/>
    <n v="5481"/>
    <x v="1"/>
    <x v="0"/>
    <m/>
    <x v="3"/>
    <m/>
    <m/>
  </r>
  <r>
    <x v="4"/>
    <x v="3"/>
    <x v="170"/>
    <n v="150"/>
    <x v="3"/>
    <x v="1"/>
    <m/>
    <x v="4"/>
    <m/>
    <m/>
  </r>
  <r>
    <x v="4"/>
    <x v="3"/>
    <x v="171"/>
    <n v="5120"/>
    <x v="0"/>
    <x v="0"/>
    <m/>
    <x v="2"/>
    <m/>
    <m/>
  </r>
  <r>
    <x v="4"/>
    <x v="3"/>
    <x v="172"/>
    <n v="4713"/>
    <x v="1"/>
    <x v="0"/>
    <m/>
    <x v="4"/>
    <m/>
    <m/>
  </r>
  <r>
    <x v="4"/>
    <x v="3"/>
    <x v="173"/>
    <n v="6318"/>
    <x v="0"/>
    <x v="0"/>
    <m/>
    <x v="4"/>
    <m/>
    <m/>
  </r>
  <r>
    <x v="4"/>
    <x v="3"/>
    <x v="174"/>
    <n v="5712"/>
    <x v="0"/>
    <x v="0"/>
    <m/>
    <x v="2"/>
    <m/>
    <m/>
  </r>
  <r>
    <x v="4"/>
    <x v="3"/>
    <x v="175"/>
    <n v="4744"/>
    <x v="2"/>
    <x v="5"/>
    <m/>
    <x v="3"/>
    <m/>
    <m/>
  </r>
  <r>
    <x v="4"/>
    <x v="3"/>
    <x v="176"/>
    <n v="4555"/>
    <x v="0"/>
    <x v="0"/>
    <m/>
    <x v="2"/>
    <m/>
    <s v="přechod pod kmen od 1.10"/>
  </r>
  <r>
    <x v="4"/>
    <x v="3"/>
    <x v="177"/>
    <n v="155"/>
    <x v="2"/>
    <x v="0"/>
    <m/>
    <x v="4"/>
    <m/>
    <m/>
  </r>
  <r>
    <x v="4"/>
    <x v="3"/>
    <x v="178"/>
    <n v="6178"/>
    <x v="0"/>
    <x v="0"/>
    <m/>
    <x v="3"/>
    <m/>
    <m/>
  </r>
  <r>
    <x v="4"/>
    <x v="3"/>
    <x v="179"/>
    <n v="6345"/>
    <x v="3"/>
    <x v="3"/>
    <m/>
    <x v="4"/>
    <m/>
    <m/>
  </r>
  <r>
    <x v="4"/>
    <x v="3"/>
    <x v="180"/>
    <n v="5601"/>
    <x v="2"/>
    <x v="0"/>
    <m/>
    <x v="3"/>
    <m/>
    <m/>
  </r>
  <r>
    <x v="4"/>
    <x v="3"/>
    <x v="181"/>
    <n v="5152"/>
    <x v="0"/>
    <x v="0"/>
    <m/>
    <x v="2"/>
    <m/>
    <m/>
  </r>
  <r>
    <x v="4"/>
    <x v="3"/>
    <x v="182"/>
    <n v="176"/>
    <x v="2"/>
    <x v="0"/>
    <m/>
    <x v="2"/>
    <m/>
    <m/>
  </r>
  <r>
    <x v="4"/>
    <x v="3"/>
    <x v="183"/>
    <n v="177"/>
    <x v="1"/>
    <x v="0"/>
    <m/>
    <x v="3"/>
    <m/>
    <m/>
  </r>
  <r>
    <x v="4"/>
    <x v="3"/>
    <x v="184"/>
    <n v="5555"/>
    <x v="1"/>
    <x v="0"/>
    <m/>
    <x v="2"/>
    <m/>
    <m/>
  </r>
  <r>
    <x v="4"/>
    <x v="3"/>
    <x v="185"/>
    <n v="4959"/>
    <x v="1"/>
    <x v="0"/>
    <m/>
    <x v="2"/>
    <m/>
    <m/>
  </r>
  <r>
    <x v="4"/>
    <x v="3"/>
    <x v="186"/>
    <n v="4919"/>
    <x v="0"/>
    <x v="0"/>
    <m/>
    <x v="2"/>
    <m/>
    <m/>
  </r>
  <r>
    <x v="4"/>
    <x v="3"/>
    <x v="187"/>
    <n v="4724"/>
    <x v="0"/>
    <x v="0"/>
    <m/>
    <x v="2"/>
    <m/>
    <m/>
  </r>
  <r>
    <x v="4"/>
    <x v="3"/>
    <x v="188"/>
    <n v="183"/>
    <x v="2"/>
    <x v="5"/>
    <m/>
    <x v="4"/>
    <m/>
    <m/>
  </r>
  <r>
    <x v="4"/>
    <x v="3"/>
    <x v="189"/>
    <n v="5545"/>
    <x v="3"/>
    <x v="7"/>
    <m/>
    <x v="2"/>
    <m/>
    <s v="OČR od 29.9."/>
  </r>
  <r>
    <x v="4"/>
    <x v="3"/>
    <x v="190"/>
    <n v="5526"/>
    <x v="0"/>
    <x v="0"/>
    <m/>
    <x v="2"/>
    <m/>
    <m/>
  </r>
  <r>
    <x v="4"/>
    <x v="3"/>
    <x v="191"/>
    <n v="5192"/>
    <x v="0"/>
    <x v="0"/>
    <m/>
    <x v="2"/>
    <m/>
    <m/>
  </r>
  <r>
    <x v="4"/>
    <x v="3"/>
    <x v="192"/>
    <n v="4698"/>
    <x v="0"/>
    <x v="0"/>
    <m/>
    <x v="2"/>
    <m/>
    <m/>
  </r>
  <r>
    <x v="4"/>
    <x v="3"/>
    <x v="193"/>
    <n v="4611"/>
    <x v="1"/>
    <x v="0"/>
    <m/>
    <x v="4"/>
    <m/>
    <m/>
  </r>
  <r>
    <x v="4"/>
    <x v="3"/>
    <x v="194"/>
    <n v="5069"/>
    <x v="1"/>
    <x v="0"/>
    <m/>
    <x v="2"/>
    <m/>
    <m/>
  </r>
  <r>
    <x v="4"/>
    <x v="3"/>
    <x v="195"/>
    <n v="185"/>
    <x v="2"/>
    <x v="0"/>
    <m/>
    <x v="4"/>
    <m/>
    <m/>
  </r>
  <r>
    <x v="4"/>
    <x v="3"/>
    <x v="196"/>
    <n v="6388"/>
    <x v="3"/>
    <x v="1"/>
    <m/>
    <x v="2"/>
    <m/>
    <m/>
  </r>
  <r>
    <x v="4"/>
    <x v="3"/>
    <x v="197"/>
    <n v="5720"/>
    <x v="1"/>
    <x v="0"/>
    <m/>
    <x v="3"/>
    <m/>
    <m/>
  </r>
  <r>
    <x v="4"/>
    <x v="3"/>
    <x v="198"/>
    <n v="5722"/>
    <x v="1"/>
    <x v="0"/>
    <m/>
    <x v="3"/>
    <m/>
    <m/>
  </r>
  <r>
    <x v="4"/>
    <x v="3"/>
    <x v="199"/>
    <n v="6180"/>
    <x v="2"/>
    <x v="0"/>
    <m/>
    <x v="3"/>
    <m/>
    <m/>
  </r>
  <r>
    <x v="4"/>
    <x v="3"/>
    <x v="200"/>
    <n v="4423"/>
    <x v="2"/>
    <x v="0"/>
    <m/>
    <x v="4"/>
    <m/>
    <m/>
  </r>
  <r>
    <x v="4"/>
    <x v="3"/>
    <x v="201"/>
    <n v="5036"/>
    <x v="3"/>
    <x v="0"/>
    <m/>
    <x v="2"/>
    <m/>
    <m/>
  </r>
  <r>
    <x v="4"/>
    <x v="3"/>
    <x v="202"/>
    <n v="4899"/>
    <x v="0"/>
    <x v="0"/>
    <m/>
    <x v="4"/>
    <m/>
    <m/>
  </r>
  <r>
    <x v="4"/>
    <x v="3"/>
    <x v="204"/>
    <n v="6582"/>
    <x v="2"/>
    <x v="0"/>
    <m/>
    <x v="4"/>
    <m/>
    <m/>
  </r>
  <r>
    <x v="4"/>
    <x v="3"/>
    <x v="205"/>
    <n v="6580"/>
    <x v="1"/>
    <x v="0"/>
    <m/>
    <x v="2"/>
    <m/>
    <m/>
  </r>
  <r>
    <x v="5"/>
    <x v="1"/>
    <x v="71"/>
    <n v="6474"/>
    <x v="0"/>
    <x v="0"/>
    <m/>
    <x v="1"/>
    <m/>
    <m/>
  </r>
  <r>
    <x v="5"/>
    <x v="1"/>
    <x v="70"/>
    <n v="5110"/>
    <x v="2"/>
    <x v="0"/>
    <m/>
    <x v="0"/>
    <m/>
    <m/>
  </r>
  <r>
    <x v="5"/>
    <x v="1"/>
    <x v="72"/>
    <n v="6473"/>
    <x v="2"/>
    <x v="0"/>
    <m/>
    <x v="1"/>
    <m/>
    <m/>
  </r>
  <r>
    <x v="5"/>
    <x v="1"/>
    <x v="69"/>
    <n v="6394"/>
    <x v="3"/>
    <x v="1"/>
    <m/>
    <x v="1"/>
    <m/>
    <m/>
  </r>
  <r>
    <x v="5"/>
    <x v="0"/>
    <x v="0"/>
    <n v="5777"/>
    <x v="2"/>
    <x v="0"/>
    <m/>
    <x v="0"/>
    <m/>
    <m/>
  </r>
  <r>
    <x v="5"/>
    <x v="0"/>
    <x v="1"/>
    <n v="4838"/>
    <x v="0"/>
    <x v="0"/>
    <m/>
    <x v="0"/>
    <m/>
    <m/>
  </r>
  <r>
    <x v="5"/>
    <x v="0"/>
    <x v="2"/>
    <n v="4599"/>
    <x v="2"/>
    <x v="0"/>
    <m/>
    <x v="1"/>
    <m/>
    <m/>
  </r>
  <r>
    <x v="5"/>
    <x v="0"/>
    <x v="3"/>
    <n v="6566"/>
    <x v="0"/>
    <x v="0"/>
    <m/>
    <x v="1"/>
    <m/>
    <m/>
  </r>
  <r>
    <x v="5"/>
    <x v="0"/>
    <x v="4"/>
    <n v="5400"/>
    <x v="3"/>
    <x v="3"/>
    <m/>
    <x v="1"/>
    <m/>
    <m/>
  </r>
  <r>
    <x v="5"/>
    <x v="0"/>
    <x v="5"/>
    <n v="5094"/>
    <x v="1"/>
    <x v="0"/>
    <m/>
    <x v="0"/>
    <m/>
    <m/>
  </r>
  <r>
    <x v="5"/>
    <x v="0"/>
    <x v="6"/>
    <n v="6001"/>
    <x v="1"/>
    <x v="0"/>
    <m/>
    <x v="1"/>
    <m/>
    <m/>
  </r>
  <r>
    <x v="5"/>
    <x v="0"/>
    <x v="7"/>
    <n v="6573"/>
    <x v="1"/>
    <x v="0"/>
    <m/>
    <x v="1"/>
    <m/>
    <m/>
  </r>
  <r>
    <x v="5"/>
    <x v="0"/>
    <x v="8"/>
    <n v="5129"/>
    <x v="2"/>
    <x v="0"/>
    <m/>
    <x v="1"/>
    <m/>
    <m/>
  </r>
  <r>
    <x v="5"/>
    <x v="0"/>
    <x v="9"/>
    <n v="5663"/>
    <x v="3"/>
    <x v="1"/>
    <m/>
    <x v="1"/>
    <m/>
    <m/>
  </r>
  <r>
    <x v="5"/>
    <x v="0"/>
    <x v="10"/>
    <n v="4501"/>
    <x v="3"/>
    <x v="1"/>
    <m/>
    <x v="0"/>
    <m/>
    <m/>
  </r>
  <r>
    <x v="5"/>
    <x v="0"/>
    <x v="11"/>
    <n v="4936"/>
    <x v="1"/>
    <x v="0"/>
    <m/>
    <x v="1"/>
    <m/>
    <m/>
  </r>
  <r>
    <x v="5"/>
    <x v="0"/>
    <x v="12"/>
    <n v="3728"/>
    <x v="1"/>
    <x v="0"/>
    <m/>
    <x v="1"/>
    <m/>
    <m/>
  </r>
  <r>
    <x v="5"/>
    <x v="0"/>
    <x v="13"/>
    <n v="4955"/>
    <x v="2"/>
    <x v="0"/>
    <m/>
    <x v="1"/>
    <m/>
    <m/>
  </r>
  <r>
    <x v="5"/>
    <x v="0"/>
    <x v="14"/>
    <n v="6568"/>
    <x v="0"/>
    <x v="0"/>
    <m/>
    <x v="0"/>
    <m/>
    <m/>
  </r>
  <r>
    <x v="5"/>
    <x v="0"/>
    <x v="15"/>
    <n v="3721"/>
    <x v="2"/>
    <x v="0"/>
    <m/>
    <x v="1"/>
    <m/>
    <m/>
  </r>
  <r>
    <x v="5"/>
    <x v="0"/>
    <x v="16"/>
    <n v="6110"/>
    <x v="1"/>
    <x v="0"/>
    <m/>
    <x v="1"/>
    <m/>
    <m/>
  </r>
  <r>
    <x v="5"/>
    <x v="0"/>
    <x v="17"/>
    <n v="0"/>
    <x v="2"/>
    <x v="0"/>
    <m/>
    <x v="1"/>
    <m/>
    <m/>
  </r>
  <r>
    <x v="5"/>
    <x v="0"/>
    <x v="18"/>
    <n v="6330"/>
    <x v="1"/>
    <x v="0"/>
    <m/>
    <x v="0"/>
    <m/>
    <m/>
  </r>
  <r>
    <x v="5"/>
    <x v="0"/>
    <x v="19"/>
    <n v="5828"/>
    <x v="2"/>
    <x v="0"/>
    <m/>
    <x v="1"/>
    <m/>
    <m/>
  </r>
  <r>
    <x v="5"/>
    <x v="0"/>
    <x v="20"/>
    <n v="4775"/>
    <x v="1"/>
    <x v="0"/>
    <m/>
    <x v="0"/>
    <m/>
    <m/>
  </r>
  <r>
    <x v="5"/>
    <x v="0"/>
    <x v="22"/>
    <n v="5665"/>
    <x v="0"/>
    <x v="0"/>
    <m/>
    <x v="1"/>
    <m/>
    <m/>
  </r>
  <r>
    <x v="5"/>
    <x v="0"/>
    <x v="23"/>
    <n v="2463"/>
    <x v="0"/>
    <x v="0"/>
    <m/>
    <x v="2"/>
    <m/>
    <m/>
  </r>
  <r>
    <x v="5"/>
    <x v="0"/>
    <x v="24"/>
    <n v="6536"/>
    <x v="0"/>
    <x v="0"/>
    <m/>
    <x v="0"/>
    <m/>
    <m/>
  </r>
  <r>
    <x v="5"/>
    <x v="0"/>
    <x v="25"/>
    <n v="4748"/>
    <x v="2"/>
    <x v="0"/>
    <m/>
    <x v="1"/>
    <m/>
    <m/>
  </r>
  <r>
    <x v="5"/>
    <x v="0"/>
    <x v="27"/>
    <n v="6574"/>
    <x v="1"/>
    <x v="0"/>
    <m/>
    <x v="1"/>
    <m/>
    <m/>
  </r>
  <r>
    <x v="5"/>
    <x v="0"/>
    <x v="28"/>
    <n v="4720"/>
    <x v="0"/>
    <x v="0"/>
    <m/>
    <x v="0"/>
    <m/>
    <m/>
  </r>
  <r>
    <x v="5"/>
    <x v="0"/>
    <x v="29"/>
    <n v="6409"/>
    <x v="1"/>
    <x v="0"/>
    <m/>
    <x v="2"/>
    <m/>
    <m/>
  </r>
  <r>
    <x v="5"/>
    <x v="0"/>
    <x v="30"/>
    <n v="3396"/>
    <x v="0"/>
    <x v="0"/>
    <m/>
    <x v="1"/>
    <m/>
    <m/>
  </r>
  <r>
    <x v="5"/>
    <x v="0"/>
    <x v="31"/>
    <n v="6376"/>
    <x v="0"/>
    <x v="0"/>
    <m/>
    <x v="0"/>
    <m/>
    <m/>
  </r>
  <r>
    <x v="5"/>
    <x v="0"/>
    <x v="32"/>
    <n v="5014"/>
    <x v="0"/>
    <x v="0"/>
    <m/>
    <x v="0"/>
    <m/>
    <m/>
  </r>
  <r>
    <x v="5"/>
    <x v="0"/>
    <x v="33"/>
    <n v="3369"/>
    <x v="3"/>
    <x v="7"/>
    <m/>
    <x v="1"/>
    <m/>
    <s v="OČR od 29.9."/>
  </r>
  <r>
    <x v="5"/>
    <x v="0"/>
    <x v="34"/>
    <n v="6576"/>
    <x v="2"/>
    <x v="0"/>
    <m/>
    <x v="1"/>
    <m/>
    <m/>
  </r>
  <r>
    <x v="5"/>
    <x v="0"/>
    <x v="35"/>
    <n v="6352"/>
    <x v="0"/>
    <x v="0"/>
    <m/>
    <x v="1"/>
    <m/>
    <m/>
  </r>
  <r>
    <x v="5"/>
    <x v="0"/>
    <x v="40"/>
    <n v="4972"/>
    <x v="2"/>
    <x v="0"/>
    <m/>
    <x v="0"/>
    <m/>
    <m/>
  </r>
  <r>
    <x v="5"/>
    <x v="0"/>
    <x v="41"/>
    <n v="2230"/>
    <x v="2"/>
    <x v="0"/>
    <m/>
    <x v="1"/>
    <m/>
    <m/>
  </r>
  <r>
    <x v="5"/>
    <x v="0"/>
    <x v="42"/>
    <n v="5310"/>
    <x v="0"/>
    <x v="0"/>
    <m/>
    <x v="1"/>
    <m/>
    <m/>
  </r>
  <r>
    <x v="5"/>
    <x v="0"/>
    <x v="43"/>
    <n v="5948"/>
    <x v="0"/>
    <x v="0"/>
    <m/>
    <x v="1"/>
    <m/>
    <m/>
  </r>
  <r>
    <x v="5"/>
    <x v="0"/>
    <x v="44"/>
    <n v="6549"/>
    <x v="2"/>
    <x v="0"/>
    <m/>
    <x v="1"/>
    <m/>
    <m/>
  </r>
  <r>
    <x v="5"/>
    <x v="0"/>
    <x v="45"/>
    <n v="6538"/>
    <x v="2"/>
    <x v="0"/>
    <m/>
    <x v="1"/>
    <m/>
    <m/>
  </r>
  <r>
    <x v="5"/>
    <x v="0"/>
    <x v="46"/>
    <n v="5715"/>
    <x v="1"/>
    <x v="0"/>
    <m/>
    <x v="1"/>
    <m/>
    <m/>
  </r>
  <r>
    <x v="5"/>
    <x v="0"/>
    <x v="47"/>
    <n v="4514"/>
    <x v="1"/>
    <x v="0"/>
    <m/>
    <x v="1"/>
    <m/>
    <m/>
  </r>
  <r>
    <x v="5"/>
    <x v="0"/>
    <x v="48"/>
    <n v="5176"/>
    <x v="0"/>
    <x v="0"/>
    <m/>
    <x v="1"/>
    <m/>
    <m/>
  </r>
  <r>
    <x v="5"/>
    <x v="0"/>
    <x v="49"/>
    <n v="4163"/>
    <x v="1"/>
    <x v="0"/>
    <m/>
    <x v="1"/>
    <m/>
    <m/>
  </r>
  <r>
    <x v="5"/>
    <x v="0"/>
    <x v="50"/>
    <n v="3920"/>
    <x v="2"/>
    <x v="0"/>
    <m/>
    <x v="0"/>
    <m/>
    <m/>
  </r>
  <r>
    <x v="5"/>
    <x v="0"/>
    <x v="51"/>
    <n v="3257"/>
    <x v="1"/>
    <x v="0"/>
    <m/>
    <x v="1"/>
    <m/>
    <m/>
  </r>
  <r>
    <x v="5"/>
    <x v="0"/>
    <x v="52"/>
    <n v="3394"/>
    <x v="3"/>
    <x v="3"/>
    <m/>
    <x v="1"/>
    <m/>
    <m/>
  </r>
  <r>
    <x v="5"/>
    <x v="0"/>
    <x v="53"/>
    <n v="4828"/>
    <x v="0"/>
    <x v="0"/>
    <m/>
    <x v="0"/>
    <m/>
    <m/>
  </r>
  <r>
    <x v="5"/>
    <x v="0"/>
    <x v="54"/>
    <n v="4155"/>
    <x v="2"/>
    <x v="0"/>
    <m/>
    <x v="1"/>
    <m/>
    <m/>
  </r>
  <r>
    <x v="5"/>
    <x v="0"/>
    <x v="55"/>
    <n v="0"/>
    <x v="2"/>
    <x v="0"/>
    <m/>
    <x v="1"/>
    <m/>
    <m/>
  </r>
  <r>
    <x v="5"/>
    <x v="0"/>
    <x v="56"/>
    <n v="5179"/>
    <x v="0"/>
    <x v="0"/>
    <m/>
    <x v="1"/>
    <m/>
    <m/>
  </r>
  <r>
    <x v="5"/>
    <x v="0"/>
    <x v="57"/>
    <n v="4912"/>
    <x v="1"/>
    <x v="0"/>
    <m/>
    <x v="0"/>
    <m/>
    <m/>
  </r>
  <r>
    <x v="5"/>
    <x v="0"/>
    <x v="38"/>
    <n v="6507"/>
    <x v="2"/>
    <x v="0"/>
    <m/>
    <x v="1"/>
    <m/>
    <m/>
  </r>
  <r>
    <x v="5"/>
    <x v="0"/>
    <x v="59"/>
    <n v="3937"/>
    <x v="1"/>
    <x v="0"/>
    <m/>
    <x v="1"/>
    <m/>
    <m/>
  </r>
  <r>
    <x v="5"/>
    <x v="0"/>
    <x v="60"/>
    <n v="6076"/>
    <x v="0"/>
    <x v="0"/>
    <m/>
    <x v="1"/>
    <m/>
    <m/>
  </r>
  <r>
    <x v="5"/>
    <x v="0"/>
    <x v="61"/>
    <n v="3648"/>
    <x v="2"/>
    <x v="0"/>
    <m/>
    <x v="1"/>
    <m/>
    <m/>
  </r>
  <r>
    <x v="5"/>
    <x v="0"/>
    <x v="62"/>
    <n v="4602"/>
    <x v="0"/>
    <x v="0"/>
    <m/>
    <x v="1"/>
    <m/>
    <m/>
  </r>
  <r>
    <x v="5"/>
    <x v="0"/>
    <x v="63"/>
    <n v="4940"/>
    <x v="1"/>
    <x v="0"/>
    <m/>
    <x v="1"/>
    <m/>
    <m/>
  </r>
  <r>
    <x v="5"/>
    <x v="0"/>
    <x v="64"/>
    <n v="5660"/>
    <x v="1"/>
    <x v="0"/>
    <m/>
    <x v="1"/>
    <m/>
    <m/>
  </r>
  <r>
    <x v="5"/>
    <x v="0"/>
    <x v="65"/>
    <n v="6243"/>
    <x v="2"/>
    <x v="0"/>
    <m/>
    <x v="0"/>
    <m/>
    <m/>
  </r>
  <r>
    <x v="5"/>
    <x v="0"/>
    <x v="66"/>
    <n v="6339"/>
    <x v="3"/>
    <x v="1"/>
    <m/>
    <x v="1"/>
    <m/>
    <m/>
  </r>
  <r>
    <x v="5"/>
    <x v="0"/>
    <x v="67"/>
    <n v="4928"/>
    <x v="0"/>
    <x v="0"/>
    <m/>
    <x v="1"/>
    <m/>
    <m/>
  </r>
  <r>
    <x v="5"/>
    <x v="0"/>
    <x v="68"/>
    <n v="0"/>
    <x v="1"/>
    <x v="0"/>
    <m/>
    <x v="1"/>
    <m/>
    <m/>
  </r>
  <r>
    <x v="5"/>
    <x v="0"/>
    <x v="203"/>
    <n v="6581"/>
    <x v="2"/>
    <x v="0"/>
    <m/>
    <x v="1"/>
    <m/>
    <m/>
  </r>
  <r>
    <x v="5"/>
    <x v="2"/>
    <x v="73"/>
    <n v="6259"/>
    <x v="3"/>
    <x v="5"/>
    <m/>
    <x v="2"/>
    <m/>
    <m/>
  </r>
  <r>
    <x v="5"/>
    <x v="2"/>
    <x v="74"/>
    <n v="3951"/>
    <x v="2"/>
    <x v="0"/>
    <m/>
    <x v="2"/>
    <m/>
    <m/>
  </r>
  <r>
    <x v="5"/>
    <x v="2"/>
    <x v="75"/>
    <n v="6450"/>
    <x v="0"/>
    <x v="0"/>
    <m/>
    <x v="3"/>
    <m/>
    <m/>
  </r>
  <r>
    <x v="5"/>
    <x v="2"/>
    <x v="77"/>
    <n v="5584"/>
    <x v="0"/>
    <x v="0"/>
    <m/>
    <x v="2"/>
    <m/>
    <m/>
  </r>
  <r>
    <x v="5"/>
    <x v="2"/>
    <x v="78"/>
    <n v="6418"/>
    <x v="3"/>
    <x v="5"/>
    <m/>
    <x v="2"/>
    <m/>
    <m/>
  </r>
  <r>
    <x v="5"/>
    <x v="2"/>
    <x v="79"/>
    <n v="6177"/>
    <x v="0"/>
    <x v="0"/>
    <m/>
    <x v="4"/>
    <m/>
    <m/>
  </r>
  <r>
    <x v="5"/>
    <x v="2"/>
    <x v="80"/>
    <n v="6543"/>
    <x v="2"/>
    <x v="0"/>
    <m/>
    <x v="4"/>
    <m/>
    <m/>
  </r>
  <r>
    <x v="5"/>
    <x v="2"/>
    <x v="81"/>
    <n v="6541"/>
    <x v="0"/>
    <x v="0"/>
    <m/>
    <x v="3"/>
    <m/>
    <m/>
  </r>
  <r>
    <x v="5"/>
    <x v="2"/>
    <x v="82"/>
    <n v="6442"/>
    <x v="2"/>
    <x v="0"/>
    <m/>
    <x v="3"/>
    <m/>
    <m/>
  </r>
  <r>
    <x v="5"/>
    <x v="2"/>
    <x v="83"/>
    <n v="6143"/>
    <x v="3"/>
    <x v="5"/>
    <m/>
    <x v="2"/>
    <m/>
    <m/>
  </r>
  <r>
    <x v="5"/>
    <x v="2"/>
    <x v="84"/>
    <n v="6260"/>
    <x v="3"/>
    <x v="5"/>
    <m/>
    <x v="2"/>
    <m/>
    <m/>
  </r>
  <r>
    <x v="5"/>
    <x v="2"/>
    <x v="87"/>
    <n v="6430"/>
    <x v="2"/>
    <x v="0"/>
    <m/>
    <x v="2"/>
    <m/>
    <m/>
  </r>
  <r>
    <x v="5"/>
    <x v="2"/>
    <x v="89"/>
    <n v="6016"/>
    <x v="0"/>
    <x v="0"/>
    <m/>
    <x v="3"/>
    <m/>
    <m/>
  </r>
  <r>
    <x v="5"/>
    <x v="2"/>
    <x v="90"/>
    <n v="6437"/>
    <x v="0"/>
    <x v="0"/>
    <m/>
    <x v="3"/>
    <m/>
    <m/>
  </r>
  <r>
    <x v="5"/>
    <x v="2"/>
    <x v="91"/>
    <n v="6431"/>
    <x v="3"/>
    <x v="3"/>
    <m/>
    <x v="4"/>
    <m/>
    <m/>
  </r>
  <r>
    <x v="5"/>
    <x v="2"/>
    <x v="92"/>
    <n v="6119"/>
    <x v="3"/>
    <x v="1"/>
    <m/>
    <x v="4"/>
    <m/>
    <m/>
  </r>
  <r>
    <x v="5"/>
    <x v="2"/>
    <x v="93"/>
    <n v="6559"/>
    <x v="3"/>
    <x v="5"/>
    <m/>
    <x v="4"/>
    <m/>
    <m/>
  </r>
  <r>
    <x v="5"/>
    <x v="2"/>
    <x v="95"/>
    <n v="4392"/>
    <x v="2"/>
    <x v="0"/>
    <m/>
    <x v="4"/>
    <m/>
    <m/>
  </r>
  <r>
    <x v="5"/>
    <x v="2"/>
    <x v="96"/>
    <n v="6514"/>
    <x v="3"/>
    <x v="5"/>
    <m/>
    <x v="3"/>
    <m/>
    <m/>
  </r>
  <r>
    <x v="5"/>
    <x v="2"/>
    <x v="97"/>
    <n v="6516"/>
    <x v="2"/>
    <x v="0"/>
    <m/>
    <x v="4"/>
    <m/>
    <m/>
  </r>
  <r>
    <x v="5"/>
    <x v="2"/>
    <x v="98"/>
    <n v="0"/>
    <x v="0"/>
    <x v="0"/>
    <m/>
    <x v="2"/>
    <m/>
    <m/>
  </r>
  <r>
    <x v="5"/>
    <x v="2"/>
    <x v="100"/>
    <n v="6158"/>
    <x v="2"/>
    <x v="0"/>
    <m/>
    <x v="3"/>
    <m/>
    <m/>
  </r>
  <r>
    <x v="5"/>
    <x v="2"/>
    <x v="102"/>
    <n v="3063"/>
    <x v="0"/>
    <x v="0"/>
    <m/>
    <x v="3"/>
    <m/>
    <m/>
  </r>
  <r>
    <x v="5"/>
    <x v="2"/>
    <x v="103"/>
    <n v="5853"/>
    <x v="2"/>
    <x v="0"/>
    <m/>
    <x v="3"/>
    <m/>
    <m/>
  </r>
  <r>
    <x v="5"/>
    <x v="2"/>
    <x v="104"/>
    <n v="6408"/>
    <x v="1"/>
    <x v="0"/>
    <m/>
    <x v="2"/>
    <m/>
    <m/>
  </r>
  <r>
    <x v="5"/>
    <x v="2"/>
    <x v="105"/>
    <n v="6544"/>
    <x v="2"/>
    <x v="0"/>
    <m/>
    <x v="4"/>
    <m/>
    <m/>
  </r>
  <r>
    <x v="5"/>
    <x v="2"/>
    <x v="109"/>
    <n v="0"/>
    <x v="1"/>
    <x v="0"/>
    <m/>
    <x v="3"/>
    <m/>
    <m/>
  </r>
  <r>
    <x v="5"/>
    <x v="2"/>
    <x v="112"/>
    <n v="6558"/>
    <x v="2"/>
    <x v="0"/>
    <m/>
    <x v="4"/>
    <m/>
    <m/>
  </r>
  <r>
    <x v="5"/>
    <x v="2"/>
    <x v="112"/>
    <n v="6558"/>
    <x v="1"/>
    <x v="0"/>
    <m/>
    <x v="4"/>
    <m/>
    <m/>
  </r>
  <r>
    <x v="5"/>
    <x v="2"/>
    <x v="111"/>
    <n v="6152"/>
    <x v="0"/>
    <x v="0"/>
    <m/>
    <x v="3"/>
    <m/>
    <m/>
  </r>
  <r>
    <x v="5"/>
    <x v="2"/>
    <x v="101"/>
    <n v="6232"/>
    <x v="3"/>
    <x v="5"/>
    <m/>
    <x v="3"/>
    <m/>
    <s v="ukončen 1.10"/>
  </r>
  <r>
    <x v="5"/>
    <x v="3"/>
    <x v="115"/>
    <n v="6537"/>
    <x v="1"/>
    <x v="0"/>
    <m/>
    <x v="3"/>
    <m/>
    <m/>
  </r>
  <r>
    <x v="5"/>
    <x v="3"/>
    <x v="116"/>
    <n v="5802"/>
    <x v="0"/>
    <x v="0"/>
    <m/>
    <x v="2"/>
    <m/>
    <m/>
  </r>
  <r>
    <x v="5"/>
    <x v="3"/>
    <x v="117"/>
    <n v="4869"/>
    <x v="2"/>
    <x v="0"/>
    <m/>
    <x v="2"/>
    <m/>
    <m/>
  </r>
  <r>
    <x v="5"/>
    <x v="3"/>
    <x v="118"/>
    <n v="6508"/>
    <x v="1"/>
    <x v="0"/>
    <m/>
    <x v="2"/>
    <m/>
    <m/>
  </r>
  <r>
    <x v="5"/>
    <x v="3"/>
    <x v="119"/>
    <n v="4607"/>
    <x v="0"/>
    <x v="0"/>
    <m/>
    <x v="3"/>
    <m/>
    <m/>
  </r>
  <r>
    <x v="5"/>
    <x v="3"/>
    <x v="120"/>
    <n v="5047"/>
    <x v="2"/>
    <x v="0"/>
    <m/>
    <x v="2"/>
    <m/>
    <m/>
  </r>
  <r>
    <x v="5"/>
    <x v="3"/>
    <x v="121"/>
    <n v="4616"/>
    <x v="0"/>
    <x v="0"/>
    <m/>
    <x v="2"/>
    <m/>
    <m/>
  </r>
  <r>
    <x v="5"/>
    <x v="3"/>
    <x v="122"/>
    <n v="4961"/>
    <x v="1"/>
    <x v="0"/>
    <m/>
    <x v="2"/>
    <m/>
    <m/>
  </r>
  <r>
    <x v="5"/>
    <x v="3"/>
    <x v="123"/>
    <n v="4721"/>
    <x v="1"/>
    <x v="0"/>
    <m/>
    <x v="3"/>
    <m/>
    <m/>
  </r>
  <r>
    <x v="5"/>
    <x v="3"/>
    <x v="124"/>
    <n v="4845"/>
    <x v="2"/>
    <x v="0"/>
    <m/>
    <x v="2"/>
    <m/>
    <m/>
  </r>
  <r>
    <x v="5"/>
    <x v="3"/>
    <x v="125"/>
    <n v="47"/>
    <x v="1"/>
    <x v="0"/>
    <m/>
    <x v="4"/>
    <m/>
    <m/>
  </r>
  <r>
    <x v="5"/>
    <x v="3"/>
    <x v="126"/>
    <n v="6332"/>
    <x v="2"/>
    <x v="0"/>
    <m/>
    <x v="2"/>
    <m/>
    <m/>
  </r>
  <r>
    <x v="5"/>
    <x v="3"/>
    <x v="127"/>
    <n v="4871"/>
    <x v="2"/>
    <x v="0"/>
    <m/>
    <x v="2"/>
    <m/>
    <m/>
  </r>
  <r>
    <x v="5"/>
    <x v="3"/>
    <x v="128"/>
    <n v="4755"/>
    <x v="0"/>
    <x v="0"/>
    <m/>
    <x v="3"/>
    <m/>
    <m/>
  </r>
  <r>
    <x v="5"/>
    <x v="3"/>
    <x v="129"/>
    <n v="49"/>
    <x v="2"/>
    <x v="0"/>
    <m/>
    <x v="3"/>
    <m/>
    <m/>
  </r>
  <r>
    <x v="5"/>
    <x v="3"/>
    <x v="130"/>
    <n v="5839"/>
    <x v="2"/>
    <x v="0"/>
    <m/>
    <x v="4"/>
    <m/>
    <m/>
  </r>
  <r>
    <x v="5"/>
    <x v="3"/>
    <x v="131"/>
    <n v="6487"/>
    <x v="0"/>
    <x v="0"/>
    <m/>
    <x v="4"/>
    <m/>
    <m/>
  </r>
  <r>
    <x v="5"/>
    <x v="3"/>
    <x v="132"/>
    <n v="6292"/>
    <x v="2"/>
    <x v="0"/>
    <m/>
    <x v="2"/>
    <m/>
    <m/>
  </r>
  <r>
    <x v="5"/>
    <x v="3"/>
    <x v="133"/>
    <n v="5198"/>
    <x v="3"/>
    <x v="6"/>
    <m/>
    <x v="2"/>
    <m/>
    <m/>
  </r>
  <r>
    <x v="5"/>
    <x v="3"/>
    <x v="134"/>
    <n v="6368"/>
    <x v="2"/>
    <x v="0"/>
    <m/>
    <x v="2"/>
    <m/>
    <m/>
  </r>
  <r>
    <x v="5"/>
    <x v="3"/>
    <x v="135"/>
    <n v="5595"/>
    <x v="1"/>
    <x v="0"/>
    <m/>
    <x v="3"/>
    <m/>
    <m/>
  </r>
  <r>
    <x v="5"/>
    <x v="3"/>
    <x v="136"/>
    <n v="4960"/>
    <x v="2"/>
    <x v="0"/>
    <m/>
    <x v="4"/>
    <m/>
    <m/>
  </r>
  <r>
    <x v="5"/>
    <x v="3"/>
    <x v="137"/>
    <n v="5125"/>
    <x v="0"/>
    <x v="0"/>
    <m/>
    <x v="2"/>
    <m/>
    <m/>
  </r>
  <r>
    <x v="5"/>
    <x v="3"/>
    <x v="138"/>
    <n v="6127"/>
    <x v="0"/>
    <x v="0"/>
    <m/>
    <x v="3"/>
    <m/>
    <m/>
  </r>
  <r>
    <x v="5"/>
    <x v="3"/>
    <x v="139"/>
    <n v="5583"/>
    <x v="2"/>
    <x v="0"/>
    <m/>
    <x v="3"/>
    <m/>
    <m/>
  </r>
  <r>
    <x v="5"/>
    <x v="3"/>
    <x v="140"/>
    <n v="123"/>
    <x v="0"/>
    <x v="0"/>
    <m/>
    <x v="4"/>
    <m/>
    <m/>
  </r>
  <r>
    <x v="5"/>
    <x v="3"/>
    <x v="141"/>
    <n v="5525"/>
    <x v="0"/>
    <x v="0"/>
    <m/>
    <x v="2"/>
    <m/>
    <m/>
  </r>
  <r>
    <x v="5"/>
    <x v="3"/>
    <x v="142"/>
    <n v="126"/>
    <x v="1"/>
    <x v="0"/>
    <m/>
    <x v="2"/>
    <m/>
    <m/>
  </r>
  <r>
    <x v="5"/>
    <x v="3"/>
    <x v="143"/>
    <n v="127"/>
    <x v="1"/>
    <x v="0"/>
    <m/>
    <x v="3"/>
    <m/>
    <m/>
  </r>
  <r>
    <x v="5"/>
    <x v="3"/>
    <x v="144"/>
    <n v="4847"/>
    <x v="1"/>
    <x v="0"/>
    <m/>
    <x v="2"/>
    <m/>
    <m/>
  </r>
  <r>
    <x v="5"/>
    <x v="3"/>
    <x v="145"/>
    <n v="750"/>
    <x v="3"/>
    <x v="2"/>
    <m/>
    <x v="2"/>
    <m/>
    <m/>
  </r>
  <r>
    <x v="5"/>
    <x v="3"/>
    <x v="146"/>
    <n v="4663"/>
    <x v="0"/>
    <x v="0"/>
    <m/>
    <x v="3"/>
    <m/>
    <m/>
  </r>
  <r>
    <x v="5"/>
    <x v="3"/>
    <x v="147"/>
    <n v="131"/>
    <x v="1"/>
    <x v="0"/>
    <m/>
    <x v="3"/>
    <m/>
    <m/>
  </r>
  <r>
    <x v="5"/>
    <x v="3"/>
    <x v="148"/>
    <n v="5620"/>
    <x v="0"/>
    <x v="0"/>
    <m/>
    <x v="2"/>
    <m/>
    <m/>
  </r>
  <r>
    <x v="5"/>
    <x v="3"/>
    <x v="149"/>
    <n v="4868"/>
    <x v="1"/>
    <x v="0"/>
    <m/>
    <x v="2"/>
    <m/>
    <m/>
  </r>
  <r>
    <x v="5"/>
    <x v="3"/>
    <x v="150"/>
    <n v="5026"/>
    <x v="1"/>
    <x v="0"/>
    <m/>
    <x v="2"/>
    <m/>
    <m/>
  </r>
  <r>
    <x v="5"/>
    <x v="3"/>
    <x v="151"/>
    <n v="6424"/>
    <x v="2"/>
    <x v="0"/>
    <m/>
    <x v="4"/>
    <m/>
    <m/>
  </r>
  <r>
    <x v="5"/>
    <x v="3"/>
    <x v="152"/>
    <n v="5004"/>
    <x v="1"/>
    <x v="0"/>
    <m/>
    <x v="2"/>
    <m/>
    <m/>
  </r>
  <r>
    <x v="5"/>
    <x v="3"/>
    <x v="153"/>
    <n v="136"/>
    <x v="1"/>
    <x v="0"/>
    <m/>
    <x v="3"/>
    <m/>
    <m/>
  </r>
  <r>
    <x v="5"/>
    <x v="3"/>
    <x v="154"/>
    <n v="19"/>
    <x v="1"/>
    <x v="0"/>
    <m/>
    <x v="2"/>
    <m/>
    <m/>
  </r>
  <r>
    <x v="5"/>
    <x v="3"/>
    <x v="155"/>
    <n v="4791"/>
    <x v="1"/>
    <x v="0"/>
    <m/>
    <x v="2"/>
    <m/>
    <m/>
  </r>
  <r>
    <x v="5"/>
    <x v="3"/>
    <x v="156"/>
    <n v="5121"/>
    <x v="0"/>
    <x v="0"/>
    <m/>
    <x v="3"/>
    <m/>
    <m/>
  </r>
  <r>
    <x v="5"/>
    <x v="3"/>
    <x v="158"/>
    <n v="6193"/>
    <x v="0"/>
    <x v="0"/>
    <m/>
    <x v="3"/>
    <m/>
    <m/>
  </r>
  <r>
    <x v="5"/>
    <x v="3"/>
    <x v="159"/>
    <n v="146"/>
    <x v="1"/>
    <x v="0"/>
    <m/>
    <x v="3"/>
    <m/>
    <m/>
  </r>
  <r>
    <x v="5"/>
    <x v="3"/>
    <x v="160"/>
    <n v="4745"/>
    <x v="1"/>
    <x v="0"/>
    <m/>
    <x v="2"/>
    <m/>
    <m/>
  </r>
  <r>
    <x v="5"/>
    <x v="3"/>
    <x v="162"/>
    <n v="5209"/>
    <x v="0"/>
    <x v="0"/>
    <m/>
    <x v="2"/>
    <m/>
    <m/>
  </r>
  <r>
    <x v="5"/>
    <x v="3"/>
    <x v="163"/>
    <n v="4790"/>
    <x v="1"/>
    <x v="0"/>
    <m/>
    <x v="3"/>
    <m/>
    <m/>
  </r>
  <r>
    <x v="5"/>
    <x v="3"/>
    <x v="164"/>
    <n v="4727"/>
    <x v="2"/>
    <x v="0"/>
    <m/>
    <x v="4"/>
    <m/>
    <m/>
  </r>
  <r>
    <x v="5"/>
    <x v="3"/>
    <x v="165"/>
    <n v="6488"/>
    <x v="0"/>
    <x v="0"/>
    <m/>
    <x v="3"/>
    <m/>
    <m/>
  </r>
  <r>
    <x v="5"/>
    <x v="3"/>
    <x v="166"/>
    <n v="5604"/>
    <x v="0"/>
    <x v="0"/>
    <m/>
    <x v="2"/>
    <m/>
    <m/>
  </r>
  <r>
    <x v="5"/>
    <x v="3"/>
    <x v="167"/>
    <n v="5632"/>
    <x v="0"/>
    <x v="0"/>
    <m/>
    <x v="4"/>
    <m/>
    <m/>
  </r>
  <r>
    <x v="5"/>
    <x v="3"/>
    <x v="168"/>
    <n v="5980"/>
    <x v="1"/>
    <x v="0"/>
    <m/>
    <x v="3"/>
    <m/>
    <m/>
  </r>
  <r>
    <x v="5"/>
    <x v="3"/>
    <x v="169"/>
    <n v="5481"/>
    <x v="1"/>
    <x v="0"/>
    <m/>
    <x v="3"/>
    <m/>
    <m/>
  </r>
  <r>
    <x v="5"/>
    <x v="3"/>
    <x v="170"/>
    <n v="150"/>
    <x v="3"/>
    <x v="1"/>
    <m/>
    <x v="4"/>
    <m/>
    <m/>
  </r>
  <r>
    <x v="5"/>
    <x v="3"/>
    <x v="171"/>
    <n v="5120"/>
    <x v="0"/>
    <x v="0"/>
    <m/>
    <x v="2"/>
    <m/>
    <m/>
  </r>
  <r>
    <x v="5"/>
    <x v="3"/>
    <x v="172"/>
    <n v="4713"/>
    <x v="1"/>
    <x v="0"/>
    <m/>
    <x v="4"/>
    <m/>
    <m/>
  </r>
  <r>
    <x v="5"/>
    <x v="3"/>
    <x v="173"/>
    <n v="6318"/>
    <x v="0"/>
    <x v="0"/>
    <m/>
    <x v="4"/>
    <m/>
    <m/>
  </r>
  <r>
    <x v="5"/>
    <x v="3"/>
    <x v="174"/>
    <n v="5712"/>
    <x v="0"/>
    <x v="0"/>
    <m/>
    <x v="2"/>
    <m/>
    <m/>
  </r>
  <r>
    <x v="5"/>
    <x v="3"/>
    <x v="175"/>
    <n v="4744"/>
    <x v="2"/>
    <x v="0"/>
    <m/>
    <x v="3"/>
    <m/>
    <m/>
  </r>
  <r>
    <x v="5"/>
    <x v="3"/>
    <x v="177"/>
    <n v="155"/>
    <x v="2"/>
    <x v="0"/>
    <m/>
    <x v="4"/>
    <m/>
    <m/>
  </r>
  <r>
    <x v="5"/>
    <x v="3"/>
    <x v="178"/>
    <n v="6178"/>
    <x v="0"/>
    <x v="0"/>
    <m/>
    <x v="3"/>
    <m/>
    <m/>
  </r>
  <r>
    <x v="5"/>
    <x v="3"/>
    <x v="179"/>
    <n v="6345"/>
    <x v="3"/>
    <x v="8"/>
    <m/>
    <x v="4"/>
    <m/>
    <m/>
  </r>
  <r>
    <x v="5"/>
    <x v="3"/>
    <x v="180"/>
    <n v="5601"/>
    <x v="2"/>
    <x v="0"/>
    <m/>
    <x v="3"/>
    <m/>
    <m/>
  </r>
  <r>
    <x v="5"/>
    <x v="3"/>
    <x v="181"/>
    <n v="5152"/>
    <x v="0"/>
    <x v="0"/>
    <m/>
    <x v="2"/>
    <m/>
    <m/>
  </r>
  <r>
    <x v="5"/>
    <x v="3"/>
    <x v="182"/>
    <n v="176"/>
    <x v="2"/>
    <x v="0"/>
    <m/>
    <x v="2"/>
    <m/>
    <m/>
  </r>
  <r>
    <x v="5"/>
    <x v="3"/>
    <x v="183"/>
    <n v="177"/>
    <x v="1"/>
    <x v="0"/>
    <m/>
    <x v="3"/>
    <m/>
    <m/>
  </r>
  <r>
    <x v="5"/>
    <x v="3"/>
    <x v="184"/>
    <n v="5555"/>
    <x v="1"/>
    <x v="0"/>
    <m/>
    <x v="2"/>
    <m/>
    <m/>
  </r>
  <r>
    <x v="5"/>
    <x v="3"/>
    <x v="185"/>
    <n v="4959"/>
    <x v="1"/>
    <x v="0"/>
    <m/>
    <x v="2"/>
    <m/>
    <m/>
  </r>
  <r>
    <x v="5"/>
    <x v="3"/>
    <x v="186"/>
    <n v="4919"/>
    <x v="0"/>
    <x v="0"/>
    <m/>
    <x v="2"/>
    <m/>
    <m/>
  </r>
  <r>
    <x v="5"/>
    <x v="3"/>
    <x v="187"/>
    <n v="4724"/>
    <x v="0"/>
    <x v="0"/>
    <m/>
    <x v="2"/>
    <m/>
    <m/>
  </r>
  <r>
    <x v="5"/>
    <x v="3"/>
    <x v="188"/>
    <n v="183"/>
    <x v="2"/>
    <x v="0"/>
    <m/>
    <x v="4"/>
    <m/>
    <m/>
  </r>
  <r>
    <x v="5"/>
    <x v="3"/>
    <x v="189"/>
    <n v="5545"/>
    <x v="3"/>
    <x v="7"/>
    <m/>
    <x v="2"/>
    <m/>
    <s v="OČR od 29.9."/>
  </r>
  <r>
    <x v="5"/>
    <x v="3"/>
    <x v="190"/>
    <n v="5526"/>
    <x v="0"/>
    <x v="0"/>
    <m/>
    <x v="2"/>
    <m/>
    <m/>
  </r>
  <r>
    <x v="5"/>
    <x v="3"/>
    <x v="191"/>
    <n v="5192"/>
    <x v="0"/>
    <x v="0"/>
    <m/>
    <x v="2"/>
    <m/>
    <m/>
  </r>
  <r>
    <x v="5"/>
    <x v="3"/>
    <x v="192"/>
    <n v="4698"/>
    <x v="0"/>
    <x v="0"/>
    <m/>
    <x v="2"/>
    <m/>
    <m/>
  </r>
  <r>
    <x v="5"/>
    <x v="3"/>
    <x v="193"/>
    <n v="4611"/>
    <x v="1"/>
    <x v="0"/>
    <m/>
    <x v="4"/>
    <m/>
    <m/>
  </r>
  <r>
    <x v="5"/>
    <x v="3"/>
    <x v="194"/>
    <n v="5069"/>
    <x v="1"/>
    <x v="0"/>
    <m/>
    <x v="2"/>
    <m/>
    <m/>
  </r>
  <r>
    <x v="5"/>
    <x v="3"/>
    <x v="195"/>
    <n v="185"/>
    <x v="2"/>
    <x v="0"/>
    <m/>
    <x v="4"/>
    <m/>
    <m/>
  </r>
  <r>
    <x v="5"/>
    <x v="3"/>
    <x v="196"/>
    <n v="6388"/>
    <x v="3"/>
    <x v="1"/>
    <m/>
    <x v="2"/>
    <m/>
    <m/>
  </r>
  <r>
    <x v="5"/>
    <x v="3"/>
    <x v="197"/>
    <n v="5720"/>
    <x v="1"/>
    <x v="0"/>
    <m/>
    <x v="3"/>
    <m/>
    <m/>
  </r>
  <r>
    <x v="5"/>
    <x v="3"/>
    <x v="198"/>
    <n v="5722"/>
    <x v="1"/>
    <x v="0"/>
    <m/>
    <x v="3"/>
    <m/>
    <m/>
  </r>
  <r>
    <x v="5"/>
    <x v="3"/>
    <x v="199"/>
    <n v="6180"/>
    <x v="2"/>
    <x v="0"/>
    <m/>
    <x v="3"/>
    <m/>
    <m/>
  </r>
  <r>
    <x v="5"/>
    <x v="3"/>
    <x v="200"/>
    <n v="4423"/>
    <x v="2"/>
    <x v="0"/>
    <m/>
    <x v="4"/>
    <m/>
    <m/>
  </r>
  <r>
    <x v="5"/>
    <x v="3"/>
    <x v="201"/>
    <n v="5036"/>
    <x v="3"/>
    <x v="0"/>
    <m/>
    <x v="2"/>
    <m/>
    <m/>
  </r>
  <r>
    <x v="5"/>
    <x v="3"/>
    <x v="202"/>
    <n v="4899"/>
    <x v="0"/>
    <x v="0"/>
    <m/>
    <x v="4"/>
    <m/>
    <m/>
  </r>
  <r>
    <x v="5"/>
    <x v="3"/>
    <x v="204"/>
    <n v="6582"/>
    <x v="2"/>
    <x v="0"/>
    <m/>
    <x v="4"/>
    <m/>
    <m/>
  </r>
  <r>
    <x v="5"/>
    <x v="3"/>
    <x v="205"/>
    <n v="6580"/>
    <x v="1"/>
    <x v="0"/>
    <m/>
    <x v="2"/>
    <m/>
    <m/>
  </r>
  <r>
    <x v="6"/>
    <x v="1"/>
    <x v="71"/>
    <n v="6474"/>
    <x v="0"/>
    <x v="0"/>
    <m/>
    <x v="1"/>
    <m/>
    <m/>
  </r>
  <r>
    <x v="6"/>
    <x v="1"/>
    <x v="70"/>
    <n v="5110"/>
    <x v="2"/>
    <x v="0"/>
    <m/>
    <x v="0"/>
    <m/>
    <m/>
  </r>
  <r>
    <x v="6"/>
    <x v="1"/>
    <x v="72"/>
    <n v="6473"/>
    <x v="2"/>
    <x v="0"/>
    <m/>
    <x v="1"/>
    <m/>
    <m/>
  </r>
  <r>
    <x v="6"/>
    <x v="1"/>
    <x v="69"/>
    <n v="6394"/>
    <x v="3"/>
    <x v="1"/>
    <m/>
    <x v="1"/>
    <m/>
    <m/>
  </r>
  <r>
    <x v="6"/>
    <x v="0"/>
    <x v="0"/>
    <n v="5777"/>
    <x v="2"/>
    <x v="0"/>
    <m/>
    <x v="0"/>
    <m/>
    <m/>
  </r>
  <r>
    <x v="6"/>
    <x v="0"/>
    <x v="1"/>
    <n v="4838"/>
    <x v="0"/>
    <x v="0"/>
    <m/>
    <x v="0"/>
    <m/>
    <m/>
  </r>
  <r>
    <x v="6"/>
    <x v="0"/>
    <x v="2"/>
    <n v="4599"/>
    <x v="2"/>
    <x v="0"/>
    <m/>
    <x v="1"/>
    <m/>
    <m/>
  </r>
  <r>
    <x v="6"/>
    <x v="0"/>
    <x v="3"/>
    <n v="6566"/>
    <x v="0"/>
    <x v="0"/>
    <m/>
    <x v="1"/>
    <m/>
    <m/>
  </r>
  <r>
    <x v="6"/>
    <x v="0"/>
    <x v="4"/>
    <n v="5400"/>
    <x v="3"/>
    <x v="3"/>
    <m/>
    <x v="1"/>
    <m/>
    <m/>
  </r>
  <r>
    <x v="6"/>
    <x v="0"/>
    <x v="5"/>
    <n v="5094"/>
    <x v="1"/>
    <x v="0"/>
    <m/>
    <x v="0"/>
    <m/>
    <m/>
  </r>
  <r>
    <x v="6"/>
    <x v="0"/>
    <x v="6"/>
    <n v="6001"/>
    <x v="1"/>
    <x v="0"/>
    <m/>
    <x v="1"/>
    <m/>
    <m/>
  </r>
  <r>
    <x v="6"/>
    <x v="0"/>
    <x v="7"/>
    <n v="6573"/>
    <x v="1"/>
    <x v="0"/>
    <m/>
    <x v="1"/>
    <m/>
    <m/>
  </r>
  <r>
    <x v="6"/>
    <x v="0"/>
    <x v="8"/>
    <n v="5129"/>
    <x v="2"/>
    <x v="0"/>
    <m/>
    <x v="1"/>
    <m/>
    <m/>
  </r>
  <r>
    <x v="6"/>
    <x v="0"/>
    <x v="9"/>
    <n v="5663"/>
    <x v="3"/>
    <x v="1"/>
    <m/>
    <x v="1"/>
    <m/>
    <m/>
  </r>
  <r>
    <x v="6"/>
    <x v="0"/>
    <x v="10"/>
    <n v="4501"/>
    <x v="3"/>
    <x v="1"/>
    <m/>
    <x v="0"/>
    <m/>
    <m/>
  </r>
  <r>
    <x v="6"/>
    <x v="0"/>
    <x v="11"/>
    <n v="4936"/>
    <x v="1"/>
    <x v="0"/>
    <m/>
    <x v="1"/>
    <m/>
    <m/>
  </r>
  <r>
    <x v="6"/>
    <x v="0"/>
    <x v="12"/>
    <n v="3728"/>
    <x v="1"/>
    <x v="0"/>
    <m/>
    <x v="1"/>
    <m/>
    <m/>
  </r>
  <r>
    <x v="6"/>
    <x v="0"/>
    <x v="13"/>
    <n v="4955"/>
    <x v="2"/>
    <x v="0"/>
    <m/>
    <x v="1"/>
    <m/>
    <m/>
  </r>
  <r>
    <x v="6"/>
    <x v="0"/>
    <x v="14"/>
    <n v="6568"/>
    <x v="0"/>
    <x v="0"/>
    <m/>
    <x v="0"/>
    <m/>
    <m/>
  </r>
  <r>
    <x v="6"/>
    <x v="0"/>
    <x v="15"/>
    <n v="3721"/>
    <x v="2"/>
    <x v="0"/>
    <m/>
    <x v="1"/>
    <m/>
    <m/>
  </r>
  <r>
    <x v="6"/>
    <x v="0"/>
    <x v="16"/>
    <n v="6110"/>
    <x v="1"/>
    <x v="0"/>
    <m/>
    <x v="1"/>
    <m/>
    <m/>
  </r>
  <r>
    <x v="6"/>
    <x v="0"/>
    <x v="17"/>
    <n v="0"/>
    <x v="2"/>
    <x v="0"/>
    <m/>
    <x v="1"/>
    <m/>
    <m/>
  </r>
  <r>
    <x v="6"/>
    <x v="0"/>
    <x v="18"/>
    <n v="6330"/>
    <x v="1"/>
    <x v="0"/>
    <m/>
    <x v="0"/>
    <m/>
    <m/>
  </r>
  <r>
    <x v="6"/>
    <x v="0"/>
    <x v="19"/>
    <n v="5828"/>
    <x v="2"/>
    <x v="0"/>
    <m/>
    <x v="1"/>
    <m/>
    <m/>
  </r>
  <r>
    <x v="6"/>
    <x v="0"/>
    <x v="20"/>
    <n v="4775"/>
    <x v="3"/>
    <x v="3"/>
    <m/>
    <x v="0"/>
    <m/>
    <m/>
  </r>
  <r>
    <x v="6"/>
    <x v="0"/>
    <x v="22"/>
    <n v="5665"/>
    <x v="0"/>
    <x v="0"/>
    <m/>
    <x v="1"/>
    <m/>
    <m/>
  </r>
  <r>
    <x v="6"/>
    <x v="0"/>
    <x v="23"/>
    <n v="2463"/>
    <x v="0"/>
    <x v="0"/>
    <m/>
    <x v="2"/>
    <m/>
    <m/>
  </r>
  <r>
    <x v="6"/>
    <x v="0"/>
    <x v="24"/>
    <n v="6536"/>
    <x v="0"/>
    <x v="0"/>
    <m/>
    <x v="0"/>
    <m/>
    <m/>
  </r>
  <r>
    <x v="6"/>
    <x v="0"/>
    <x v="25"/>
    <n v="4748"/>
    <x v="2"/>
    <x v="0"/>
    <m/>
    <x v="1"/>
    <m/>
    <m/>
  </r>
  <r>
    <x v="6"/>
    <x v="0"/>
    <x v="27"/>
    <n v="6574"/>
    <x v="1"/>
    <x v="0"/>
    <m/>
    <x v="1"/>
    <m/>
    <m/>
  </r>
  <r>
    <x v="6"/>
    <x v="0"/>
    <x v="28"/>
    <n v="4720"/>
    <x v="3"/>
    <x v="1"/>
    <m/>
    <x v="0"/>
    <m/>
    <m/>
  </r>
  <r>
    <x v="6"/>
    <x v="0"/>
    <x v="29"/>
    <n v="6409"/>
    <x v="1"/>
    <x v="0"/>
    <m/>
    <x v="2"/>
    <m/>
    <m/>
  </r>
  <r>
    <x v="6"/>
    <x v="0"/>
    <x v="30"/>
    <n v="3396"/>
    <x v="0"/>
    <x v="0"/>
    <m/>
    <x v="1"/>
    <m/>
    <m/>
  </r>
  <r>
    <x v="6"/>
    <x v="0"/>
    <x v="31"/>
    <n v="6376"/>
    <x v="0"/>
    <x v="0"/>
    <m/>
    <x v="0"/>
    <m/>
    <m/>
  </r>
  <r>
    <x v="6"/>
    <x v="0"/>
    <x v="32"/>
    <n v="5014"/>
    <x v="0"/>
    <x v="0"/>
    <m/>
    <x v="0"/>
    <m/>
    <m/>
  </r>
  <r>
    <x v="6"/>
    <x v="0"/>
    <x v="33"/>
    <n v="3369"/>
    <x v="3"/>
    <x v="7"/>
    <m/>
    <x v="1"/>
    <m/>
    <s v="OČR od 29.9."/>
  </r>
  <r>
    <x v="6"/>
    <x v="0"/>
    <x v="34"/>
    <n v="6576"/>
    <x v="2"/>
    <x v="0"/>
    <m/>
    <x v="1"/>
    <m/>
    <m/>
  </r>
  <r>
    <x v="6"/>
    <x v="0"/>
    <x v="35"/>
    <n v="6352"/>
    <x v="0"/>
    <x v="0"/>
    <m/>
    <x v="1"/>
    <m/>
    <m/>
  </r>
  <r>
    <x v="6"/>
    <x v="0"/>
    <x v="40"/>
    <n v="4972"/>
    <x v="2"/>
    <x v="0"/>
    <m/>
    <x v="0"/>
    <m/>
    <m/>
  </r>
  <r>
    <x v="6"/>
    <x v="0"/>
    <x v="41"/>
    <n v="2230"/>
    <x v="2"/>
    <x v="0"/>
    <m/>
    <x v="1"/>
    <m/>
    <m/>
  </r>
  <r>
    <x v="6"/>
    <x v="0"/>
    <x v="42"/>
    <n v="5310"/>
    <x v="3"/>
    <x v="3"/>
    <m/>
    <x v="1"/>
    <m/>
    <m/>
  </r>
  <r>
    <x v="6"/>
    <x v="0"/>
    <x v="43"/>
    <n v="5948"/>
    <x v="3"/>
    <x v="1"/>
    <m/>
    <x v="1"/>
    <m/>
    <m/>
  </r>
  <r>
    <x v="6"/>
    <x v="0"/>
    <x v="44"/>
    <n v="6549"/>
    <x v="2"/>
    <x v="0"/>
    <m/>
    <x v="1"/>
    <m/>
    <m/>
  </r>
  <r>
    <x v="6"/>
    <x v="0"/>
    <x v="45"/>
    <n v="6538"/>
    <x v="2"/>
    <x v="0"/>
    <m/>
    <x v="1"/>
    <m/>
    <m/>
  </r>
  <r>
    <x v="6"/>
    <x v="0"/>
    <x v="46"/>
    <n v="5715"/>
    <x v="1"/>
    <x v="0"/>
    <m/>
    <x v="1"/>
    <m/>
    <m/>
  </r>
  <r>
    <x v="6"/>
    <x v="0"/>
    <x v="47"/>
    <n v="4514"/>
    <x v="1"/>
    <x v="0"/>
    <m/>
    <x v="1"/>
    <m/>
    <m/>
  </r>
  <r>
    <x v="6"/>
    <x v="0"/>
    <x v="48"/>
    <n v="5176"/>
    <x v="0"/>
    <x v="0"/>
    <m/>
    <x v="1"/>
    <m/>
    <m/>
  </r>
  <r>
    <x v="6"/>
    <x v="0"/>
    <x v="49"/>
    <n v="4163"/>
    <x v="1"/>
    <x v="0"/>
    <m/>
    <x v="1"/>
    <m/>
    <m/>
  </r>
  <r>
    <x v="6"/>
    <x v="0"/>
    <x v="50"/>
    <n v="3920"/>
    <x v="2"/>
    <x v="0"/>
    <m/>
    <x v="0"/>
    <m/>
    <m/>
  </r>
  <r>
    <x v="6"/>
    <x v="0"/>
    <x v="51"/>
    <n v="3257"/>
    <x v="1"/>
    <x v="0"/>
    <m/>
    <x v="1"/>
    <m/>
    <m/>
  </r>
  <r>
    <x v="6"/>
    <x v="0"/>
    <x v="52"/>
    <n v="3394"/>
    <x v="3"/>
    <x v="3"/>
    <m/>
    <x v="1"/>
    <m/>
    <m/>
  </r>
  <r>
    <x v="6"/>
    <x v="0"/>
    <x v="53"/>
    <n v="4828"/>
    <x v="0"/>
    <x v="0"/>
    <m/>
    <x v="0"/>
    <m/>
    <m/>
  </r>
  <r>
    <x v="6"/>
    <x v="0"/>
    <x v="54"/>
    <n v="4155"/>
    <x v="2"/>
    <x v="0"/>
    <m/>
    <x v="1"/>
    <m/>
    <m/>
  </r>
  <r>
    <x v="6"/>
    <x v="0"/>
    <x v="55"/>
    <n v="0"/>
    <x v="2"/>
    <x v="0"/>
    <m/>
    <x v="1"/>
    <m/>
    <m/>
  </r>
  <r>
    <x v="6"/>
    <x v="0"/>
    <x v="56"/>
    <n v="5179"/>
    <x v="0"/>
    <x v="0"/>
    <m/>
    <x v="1"/>
    <m/>
    <m/>
  </r>
  <r>
    <x v="6"/>
    <x v="0"/>
    <x v="57"/>
    <n v="4912"/>
    <x v="1"/>
    <x v="0"/>
    <m/>
    <x v="0"/>
    <m/>
    <m/>
  </r>
  <r>
    <x v="6"/>
    <x v="0"/>
    <x v="38"/>
    <n v="6507"/>
    <x v="2"/>
    <x v="0"/>
    <m/>
    <x v="1"/>
    <m/>
    <m/>
  </r>
  <r>
    <x v="6"/>
    <x v="0"/>
    <x v="59"/>
    <n v="3937"/>
    <x v="1"/>
    <x v="0"/>
    <m/>
    <x v="1"/>
    <m/>
    <m/>
  </r>
  <r>
    <x v="6"/>
    <x v="0"/>
    <x v="60"/>
    <n v="6076"/>
    <x v="0"/>
    <x v="0"/>
    <m/>
    <x v="1"/>
    <m/>
    <m/>
  </r>
  <r>
    <x v="6"/>
    <x v="0"/>
    <x v="61"/>
    <n v="3648"/>
    <x v="2"/>
    <x v="0"/>
    <m/>
    <x v="1"/>
    <m/>
    <m/>
  </r>
  <r>
    <x v="6"/>
    <x v="0"/>
    <x v="62"/>
    <n v="4602"/>
    <x v="0"/>
    <x v="0"/>
    <m/>
    <x v="1"/>
    <m/>
    <m/>
  </r>
  <r>
    <x v="6"/>
    <x v="0"/>
    <x v="63"/>
    <n v="4940"/>
    <x v="1"/>
    <x v="0"/>
    <m/>
    <x v="1"/>
    <m/>
    <m/>
  </r>
  <r>
    <x v="6"/>
    <x v="0"/>
    <x v="64"/>
    <n v="5660"/>
    <x v="1"/>
    <x v="0"/>
    <m/>
    <x v="1"/>
    <m/>
    <m/>
  </r>
  <r>
    <x v="6"/>
    <x v="0"/>
    <x v="65"/>
    <n v="6243"/>
    <x v="2"/>
    <x v="0"/>
    <m/>
    <x v="0"/>
    <m/>
    <m/>
  </r>
  <r>
    <x v="6"/>
    <x v="0"/>
    <x v="66"/>
    <n v="6339"/>
    <x v="3"/>
    <x v="1"/>
    <m/>
    <x v="1"/>
    <m/>
    <m/>
  </r>
  <r>
    <x v="6"/>
    <x v="0"/>
    <x v="67"/>
    <n v="4928"/>
    <x v="0"/>
    <x v="0"/>
    <m/>
    <x v="1"/>
    <m/>
    <m/>
  </r>
  <r>
    <x v="6"/>
    <x v="0"/>
    <x v="68"/>
    <n v="0"/>
    <x v="1"/>
    <x v="0"/>
    <m/>
    <x v="1"/>
    <m/>
    <m/>
  </r>
  <r>
    <x v="6"/>
    <x v="0"/>
    <x v="203"/>
    <n v="6581"/>
    <x v="2"/>
    <x v="0"/>
    <m/>
    <x v="1"/>
    <m/>
    <m/>
  </r>
  <r>
    <x v="6"/>
    <x v="2"/>
    <x v="73"/>
    <n v="6259"/>
    <x v="2"/>
    <x v="0"/>
    <m/>
    <x v="2"/>
    <m/>
    <m/>
  </r>
  <r>
    <x v="6"/>
    <x v="2"/>
    <x v="74"/>
    <n v="3951"/>
    <x v="2"/>
    <x v="0"/>
    <m/>
    <x v="2"/>
    <m/>
    <m/>
  </r>
  <r>
    <x v="6"/>
    <x v="2"/>
    <x v="75"/>
    <n v="6450"/>
    <x v="0"/>
    <x v="0"/>
    <m/>
    <x v="3"/>
    <m/>
    <m/>
  </r>
  <r>
    <x v="6"/>
    <x v="2"/>
    <x v="77"/>
    <n v="5584"/>
    <x v="0"/>
    <x v="0"/>
    <m/>
    <x v="2"/>
    <m/>
    <m/>
  </r>
  <r>
    <x v="6"/>
    <x v="2"/>
    <x v="78"/>
    <n v="6418"/>
    <x v="2"/>
    <x v="0"/>
    <m/>
    <x v="2"/>
    <m/>
    <m/>
  </r>
  <r>
    <x v="6"/>
    <x v="2"/>
    <x v="79"/>
    <n v="6177"/>
    <x v="0"/>
    <x v="0"/>
    <m/>
    <x v="4"/>
    <m/>
    <m/>
  </r>
  <r>
    <x v="6"/>
    <x v="2"/>
    <x v="80"/>
    <n v="6543"/>
    <x v="2"/>
    <x v="0"/>
    <m/>
    <x v="4"/>
    <m/>
    <m/>
  </r>
  <r>
    <x v="6"/>
    <x v="2"/>
    <x v="81"/>
    <n v="6541"/>
    <x v="0"/>
    <x v="0"/>
    <m/>
    <x v="3"/>
    <m/>
    <m/>
  </r>
  <r>
    <x v="6"/>
    <x v="2"/>
    <x v="82"/>
    <n v="6442"/>
    <x v="2"/>
    <x v="0"/>
    <m/>
    <x v="3"/>
    <m/>
    <m/>
  </r>
  <r>
    <x v="6"/>
    <x v="2"/>
    <x v="83"/>
    <n v="6143"/>
    <x v="2"/>
    <x v="0"/>
    <m/>
    <x v="2"/>
    <m/>
    <m/>
  </r>
  <r>
    <x v="6"/>
    <x v="2"/>
    <x v="84"/>
    <n v="6260"/>
    <x v="2"/>
    <x v="0"/>
    <m/>
    <x v="2"/>
    <m/>
    <m/>
  </r>
  <r>
    <x v="6"/>
    <x v="2"/>
    <x v="87"/>
    <n v="6430"/>
    <x v="2"/>
    <x v="0"/>
    <m/>
    <x v="2"/>
    <m/>
    <m/>
  </r>
  <r>
    <x v="6"/>
    <x v="2"/>
    <x v="89"/>
    <n v="6016"/>
    <x v="0"/>
    <x v="0"/>
    <m/>
    <x v="3"/>
    <m/>
    <m/>
  </r>
  <r>
    <x v="6"/>
    <x v="2"/>
    <x v="90"/>
    <n v="6437"/>
    <x v="0"/>
    <x v="0"/>
    <m/>
    <x v="3"/>
    <m/>
    <m/>
  </r>
  <r>
    <x v="6"/>
    <x v="2"/>
    <x v="91"/>
    <n v="6431"/>
    <x v="0"/>
    <x v="0"/>
    <m/>
    <x v="4"/>
    <m/>
    <m/>
  </r>
  <r>
    <x v="6"/>
    <x v="2"/>
    <x v="92"/>
    <n v="6119"/>
    <x v="3"/>
    <x v="1"/>
    <m/>
    <x v="4"/>
    <m/>
    <m/>
  </r>
  <r>
    <x v="6"/>
    <x v="2"/>
    <x v="93"/>
    <n v="6559"/>
    <x v="2"/>
    <x v="0"/>
    <m/>
    <x v="4"/>
    <m/>
    <m/>
  </r>
  <r>
    <x v="6"/>
    <x v="2"/>
    <x v="95"/>
    <n v="4392"/>
    <x v="2"/>
    <x v="0"/>
    <m/>
    <x v="4"/>
    <m/>
    <m/>
  </r>
  <r>
    <x v="6"/>
    <x v="2"/>
    <x v="96"/>
    <n v="6514"/>
    <x v="2"/>
    <x v="0"/>
    <m/>
    <x v="3"/>
    <m/>
    <m/>
  </r>
  <r>
    <x v="6"/>
    <x v="2"/>
    <x v="97"/>
    <n v="6516"/>
    <x v="2"/>
    <x v="0"/>
    <m/>
    <x v="4"/>
    <m/>
    <m/>
  </r>
  <r>
    <x v="6"/>
    <x v="2"/>
    <x v="98"/>
    <n v="0"/>
    <x v="0"/>
    <x v="0"/>
    <m/>
    <x v="2"/>
    <m/>
    <m/>
  </r>
  <r>
    <x v="6"/>
    <x v="2"/>
    <x v="100"/>
    <n v="6158"/>
    <x v="2"/>
    <x v="0"/>
    <m/>
    <x v="3"/>
    <m/>
    <m/>
  </r>
  <r>
    <x v="6"/>
    <x v="2"/>
    <x v="102"/>
    <n v="3063"/>
    <x v="0"/>
    <x v="0"/>
    <m/>
    <x v="3"/>
    <m/>
    <m/>
  </r>
  <r>
    <x v="6"/>
    <x v="2"/>
    <x v="103"/>
    <n v="5853"/>
    <x v="2"/>
    <x v="0"/>
    <m/>
    <x v="3"/>
    <m/>
    <m/>
  </r>
  <r>
    <x v="6"/>
    <x v="2"/>
    <x v="104"/>
    <n v="6408"/>
    <x v="1"/>
    <x v="0"/>
    <m/>
    <x v="2"/>
    <m/>
    <m/>
  </r>
  <r>
    <x v="6"/>
    <x v="2"/>
    <x v="105"/>
    <n v="6544"/>
    <x v="2"/>
    <x v="0"/>
    <m/>
    <x v="4"/>
    <m/>
    <m/>
  </r>
  <r>
    <x v="6"/>
    <x v="2"/>
    <x v="109"/>
    <n v="0"/>
    <x v="1"/>
    <x v="0"/>
    <m/>
    <x v="3"/>
    <m/>
    <m/>
  </r>
  <r>
    <x v="6"/>
    <x v="2"/>
    <x v="112"/>
    <n v="6558"/>
    <x v="2"/>
    <x v="0"/>
    <m/>
    <x v="4"/>
    <m/>
    <m/>
  </r>
  <r>
    <x v="6"/>
    <x v="2"/>
    <x v="112"/>
    <n v="6558"/>
    <x v="1"/>
    <x v="0"/>
    <m/>
    <x v="4"/>
    <m/>
    <m/>
  </r>
  <r>
    <x v="6"/>
    <x v="2"/>
    <x v="111"/>
    <n v="6152"/>
    <x v="0"/>
    <x v="0"/>
    <m/>
    <x v="3"/>
    <m/>
    <m/>
  </r>
  <r>
    <x v="6"/>
    <x v="3"/>
    <x v="115"/>
    <n v="6537"/>
    <x v="1"/>
    <x v="0"/>
    <m/>
    <x v="3"/>
    <m/>
    <m/>
  </r>
  <r>
    <x v="6"/>
    <x v="3"/>
    <x v="116"/>
    <n v="5802"/>
    <x v="0"/>
    <x v="0"/>
    <m/>
    <x v="2"/>
    <m/>
    <m/>
  </r>
  <r>
    <x v="6"/>
    <x v="3"/>
    <x v="117"/>
    <n v="4869"/>
    <x v="2"/>
    <x v="0"/>
    <m/>
    <x v="2"/>
    <m/>
    <m/>
  </r>
  <r>
    <x v="6"/>
    <x v="3"/>
    <x v="118"/>
    <n v="6508"/>
    <x v="1"/>
    <x v="0"/>
    <m/>
    <x v="2"/>
    <m/>
    <m/>
  </r>
  <r>
    <x v="6"/>
    <x v="3"/>
    <x v="119"/>
    <n v="4607"/>
    <x v="0"/>
    <x v="0"/>
    <m/>
    <x v="3"/>
    <m/>
    <m/>
  </r>
  <r>
    <x v="6"/>
    <x v="3"/>
    <x v="120"/>
    <n v="5047"/>
    <x v="2"/>
    <x v="0"/>
    <m/>
    <x v="2"/>
    <m/>
    <m/>
  </r>
  <r>
    <x v="6"/>
    <x v="3"/>
    <x v="121"/>
    <n v="4616"/>
    <x v="0"/>
    <x v="0"/>
    <m/>
    <x v="2"/>
    <m/>
    <m/>
  </r>
  <r>
    <x v="6"/>
    <x v="3"/>
    <x v="122"/>
    <n v="4961"/>
    <x v="1"/>
    <x v="0"/>
    <m/>
    <x v="2"/>
    <m/>
    <m/>
  </r>
  <r>
    <x v="6"/>
    <x v="3"/>
    <x v="123"/>
    <n v="4721"/>
    <x v="1"/>
    <x v="0"/>
    <m/>
    <x v="3"/>
    <m/>
    <m/>
  </r>
  <r>
    <x v="6"/>
    <x v="3"/>
    <x v="124"/>
    <n v="4845"/>
    <x v="2"/>
    <x v="0"/>
    <m/>
    <x v="2"/>
    <m/>
    <m/>
  </r>
  <r>
    <x v="6"/>
    <x v="3"/>
    <x v="125"/>
    <n v="47"/>
    <x v="1"/>
    <x v="0"/>
    <m/>
    <x v="4"/>
    <m/>
    <m/>
  </r>
  <r>
    <x v="6"/>
    <x v="3"/>
    <x v="126"/>
    <n v="6332"/>
    <x v="2"/>
    <x v="0"/>
    <m/>
    <x v="2"/>
    <m/>
    <m/>
  </r>
  <r>
    <x v="6"/>
    <x v="3"/>
    <x v="127"/>
    <n v="4871"/>
    <x v="2"/>
    <x v="0"/>
    <m/>
    <x v="2"/>
    <m/>
    <m/>
  </r>
  <r>
    <x v="6"/>
    <x v="3"/>
    <x v="128"/>
    <n v="4755"/>
    <x v="0"/>
    <x v="0"/>
    <m/>
    <x v="3"/>
    <m/>
    <m/>
  </r>
  <r>
    <x v="6"/>
    <x v="3"/>
    <x v="129"/>
    <n v="49"/>
    <x v="2"/>
    <x v="0"/>
    <m/>
    <x v="3"/>
    <m/>
    <m/>
  </r>
  <r>
    <x v="6"/>
    <x v="3"/>
    <x v="130"/>
    <n v="5839"/>
    <x v="2"/>
    <x v="0"/>
    <m/>
    <x v="4"/>
    <m/>
    <m/>
  </r>
  <r>
    <x v="6"/>
    <x v="3"/>
    <x v="131"/>
    <n v="6487"/>
    <x v="0"/>
    <x v="0"/>
    <m/>
    <x v="4"/>
    <m/>
    <m/>
  </r>
  <r>
    <x v="6"/>
    <x v="3"/>
    <x v="132"/>
    <n v="6292"/>
    <x v="2"/>
    <x v="0"/>
    <m/>
    <x v="2"/>
    <m/>
    <m/>
  </r>
  <r>
    <x v="6"/>
    <x v="3"/>
    <x v="133"/>
    <n v="5198"/>
    <x v="2"/>
    <x v="0"/>
    <m/>
    <x v="2"/>
    <m/>
    <m/>
  </r>
  <r>
    <x v="6"/>
    <x v="3"/>
    <x v="134"/>
    <n v="6368"/>
    <x v="2"/>
    <x v="0"/>
    <m/>
    <x v="2"/>
    <m/>
    <m/>
  </r>
  <r>
    <x v="6"/>
    <x v="3"/>
    <x v="135"/>
    <n v="5595"/>
    <x v="1"/>
    <x v="0"/>
    <m/>
    <x v="3"/>
    <m/>
    <m/>
  </r>
  <r>
    <x v="6"/>
    <x v="3"/>
    <x v="136"/>
    <n v="4960"/>
    <x v="2"/>
    <x v="0"/>
    <m/>
    <x v="4"/>
    <m/>
    <m/>
  </r>
  <r>
    <x v="6"/>
    <x v="3"/>
    <x v="137"/>
    <n v="5125"/>
    <x v="0"/>
    <x v="0"/>
    <m/>
    <x v="2"/>
    <m/>
    <m/>
  </r>
  <r>
    <x v="6"/>
    <x v="3"/>
    <x v="138"/>
    <n v="6127"/>
    <x v="0"/>
    <x v="0"/>
    <m/>
    <x v="3"/>
    <m/>
    <m/>
  </r>
  <r>
    <x v="6"/>
    <x v="3"/>
    <x v="139"/>
    <n v="5583"/>
    <x v="2"/>
    <x v="0"/>
    <m/>
    <x v="3"/>
    <m/>
    <m/>
  </r>
  <r>
    <x v="6"/>
    <x v="3"/>
    <x v="140"/>
    <n v="123"/>
    <x v="0"/>
    <x v="0"/>
    <m/>
    <x v="4"/>
    <m/>
    <m/>
  </r>
  <r>
    <x v="6"/>
    <x v="3"/>
    <x v="141"/>
    <n v="5525"/>
    <x v="0"/>
    <x v="0"/>
    <m/>
    <x v="2"/>
    <m/>
    <m/>
  </r>
  <r>
    <x v="6"/>
    <x v="3"/>
    <x v="142"/>
    <n v="126"/>
    <x v="1"/>
    <x v="0"/>
    <m/>
    <x v="2"/>
    <m/>
    <m/>
  </r>
  <r>
    <x v="6"/>
    <x v="3"/>
    <x v="143"/>
    <n v="127"/>
    <x v="1"/>
    <x v="0"/>
    <m/>
    <x v="3"/>
    <m/>
    <m/>
  </r>
  <r>
    <x v="6"/>
    <x v="3"/>
    <x v="144"/>
    <n v="4847"/>
    <x v="1"/>
    <x v="0"/>
    <m/>
    <x v="2"/>
    <m/>
    <m/>
  </r>
  <r>
    <x v="6"/>
    <x v="3"/>
    <x v="145"/>
    <n v="750"/>
    <x v="3"/>
    <x v="2"/>
    <m/>
    <x v="2"/>
    <m/>
    <m/>
  </r>
  <r>
    <x v="6"/>
    <x v="3"/>
    <x v="146"/>
    <n v="4663"/>
    <x v="0"/>
    <x v="0"/>
    <m/>
    <x v="3"/>
    <m/>
    <m/>
  </r>
  <r>
    <x v="6"/>
    <x v="3"/>
    <x v="147"/>
    <n v="131"/>
    <x v="1"/>
    <x v="0"/>
    <m/>
    <x v="3"/>
    <m/>
    <m/>
  </r>
  <r>
    <x v="6"/>
    <x v="3"/>
    <x v="148"/>
    <n v="5620"/>
    <x v="0"/>
    <x v="0"/>
    <m/>
    <x v="2"/>
    <m/>
    <m/>
  </r>
  <r>
    <x v="6"/>
    <x v="3"/>
    <x v="149"/>
    <n v="4868"/>
    <x v="1"/>
    <x v="0"/>
    <m/>
    <x v="2"/>
    <m/>
    <m/>
  </r>
  <r>
    <x v="6"/>
    <x v="3"/>
    <x v="150"/>
    <n v="5026"/>
    <x v="1"/>
    <x v="0"/>
    <m/>
    <x v="2"/>
    <m/>
    <m/>
  </r>
  <r>
    <x v="6"/>
    <x v="3"/>
    <x v="151"/>
    <n v="6424"/>
    <x v="2"/>
    <x v="0"/>
    <m/>
    <x v="4"/>
    <m/>
    <m/>
  </r>
  <r>
    <x v="6"/>
    <x v="3"/>
    <x v="152"/>
    <n v="5004"/>
    <x v="1"/>
    <x v="0"/>
    <m/>
    <x v="2"/>
    <m/>
    <m/>
  </r>
  <r>
    <x v="6"/>
    <x v="3"/>
    <x v="153"/>
    <n v="136"/>
    <x v="1"/>
    <x v="0"/>
    <m/>
    <x v="3"/>
    <m/>
    <m/>
  </r>
  <r>
    <x v="6"/>
    <x v="3"/>
    <x v="154"/>
    <n v="19"/>
    <x v="1"/>
    <x v="0"/>
    <m/>
    <x v="2"/>
    <m/>
    <m/>
  </r>
  <r>
    <x v="6"/>
    <x v="3"/>
    <x v="155"/>
    <n v="4791"/>
    <x v="1"/>
    <x v="0"/>
    <m/>
    <x v="2"/>
    <m/>
    <m/>
  </r>
  <r>
    <x v="6"/>
    <x v="3"/>
    <x v="156"/>
    <n v="5121"/>
    <x v="0"/>
    <x v="0"/>
    <m/>
    <x v="3"/>
    <m/>
    <m/>
  </r>
  <r>
    <x v="6"/>
    <x v="3"/>
    <x v="158"/>
    <n v="6193"/>
    <x v="0"/>
    <x v="0"/>
    <m/>
    <x v="3"/>
    <m/>
    <m/>
  </r>
  <r>
    <x v="6"/>
    <x v="3"/>
    <x v="159"/>
    <n v="146"/>
    <x v="1"/>
    <x v="0"/>
    <m/>
    <x v="3"/>
    <m/>
    <m/>
  </r>
  <r>
    <x v="6"/>
    <x v="3"/>
    <x v="160"/>
    <n v="4745"/>
    <x v="1"/>
    <x v="0"/>
    <m/>
    <x v="2"/>
    <m/>
    <m/>
  </r>
  <r>
    <x v="6"/>
    <x v="3"/>
    <x v="162"/>
    <n v="5209"/>
    <x v="0"/>
    <x v="0"/>
    <m/>
    <x v="2"/>
    <m/>
    <m/>
  </r>
  <r>
    <x v="6"/>
    <x v="3"/>
    <x v="163"/>
    <n v="4790"/>
    <x v="1"/>
    <x v="0"/>
    <m/>
    <x v="3"/>
    <m/>
    <m/>
  </r>
  <r>
    <x v="6"/>
    <x v="3"/>
    <x v="164"/>
    <n v="4727"/>
    <x v="2"/>
    <x v="0"/>
    <m/>
    <x v="4"/>
    <m/>
    <m/>
  </r>
  <r>
    <x v="6"/>
    <x v="3"/>
    <x v="165"/>
    <n v="6488"/>
    <x v="0"/>
    <x v="0"/>
    <m/>
    <x v="3"/>
    <m/>
    <m/>
  </r>
  <r>
    <x v="6"/>
    <x v="3"/>
    <x v="166"/>
    <n v="5604"/>
    <x v="0"/>
    <x v="0"/>
    <m/>
    <x v="2"/>
    <m/>
    <m/>
  </r>
  <r>
    <x v="6"/>
    <x v="3"/>
    <x v="167"/>
    <n v="5632"/>
    <x v="0"/>
    <x v="0"/>
    <m/>
    <x v="4"/>
    <m/>
    <m/>
  </r>
  <r>
    <x v="6"/>
    <x v="3"/>
    <x v="168"/>
    <n v="5980"/>
    <x v="1"/>
    <x v="0"/>
    <m/>
    <x v="3"/>
    <m/>
    <m/>
  </r>
  <r>
    <x v="6"/>
    <x v="3"/>
    <x v="169"/>
    <n v="5481"/>
    <x v="1"/>
    <x v="0"/>
    <m/>
    <x v="3"/>
    <m/>
    <m/>
  </r>
  <r>
    <x v="6"/>
    <x v="3"/>
    <x v="170"/>
    <n v="150"/>
    <x v="3"/>
    <x v="1"/>
    <m/>
    <x v="4"/>
    <m/>
    <m/>
  </r>
  <r>
    <x v="6"/>
    <x v="3"/>
    <x v="171"/>
    <n v="5120"/>
    <x v="0"/>
    <x v="0"/>
    <m/>
    <x v="2"/>
    <m/>
    <m/>
  </r>
  <r>
    <x v="6"/>
    <x v="3"/>
    <x v="172"/>
    <n v="4713"/>
    <x v="1"/>
    <x v="0"/>
    <m/>
    <x v="4"/>
    <m/>
    <m/>
  </r>
  <r>
    <x v="6"/>
    <x v="3"/>
    <x v="173"/>
    <n v="6318"/>
    <x v="0"/>
    <x v="0"/>
    <m/>
    <x v="4"/>
    <m/>
    <m/>
  </r>
  <r>
    <x v="6"/>
    <x v="3"/>
    <x v="174"/>
    <n v="5712"/>
    <x v="0"/>
    <x v="0"/>
    <m/>
    <x v="2"/>
    <m/>
    <m/>
  </r>
  <r>
    <x v="6"/>
    <x v="3"/>
    <x v="175"/>
    <n v="4744"/>
    <x v="2"/>
    <x v="0"/>
    <m/>
    <x v="3"/>
    <m/>
    <m/>
  </r>
  <r>
    <x v="6"/>
    <x v="3"/>
    <x v="177"/>
    <n v="155"/>
    <x v="2"/>
    <x v="0"/>
    <m/>
    <x v="4"/>
    <m/>
    <m/>
  </r>
  <r>
    <x v="6"/>
    <x v="3"/>
    <x v="178"/>
    <n v="6178"/>
    <x v="3"/>
    <x v="2"/>
    <m/>
    <x v="3"/>
    <m/>
    <s v="nestihla autobus"/>
  </r>
  <r>
    <x v="6"/>
    <x v="3"/>
    <x v="179"/>
    <n v="6345"/>
    <x v="0"/>
    <x v="0"/>
    <m/>
    <x v="4"/>
    <m/>
    <m/>
  </r>
  <r>
    <x v="6"/>
    <x v="3"/>
    <x v="180"/>
    <n v="5601"/>
    <x v="2"/>
    <x v="0"/>
    <m/>
    <x v="3"/>
    <m/>
    <m/>
  </r>
  <r>
    <x v="6"/>
    <x v="3"/>
    <x v="181"/>
    <n v="5152"/>
    <x v="0"/>
    <x v="0"/>
    <m/>
    <x v="2"/>
    <m/>
    <m/>
  </r>
  <r>
    <x v="6"/>
    <x v="3"/>
    <x v="182"/>
    <n v="176"/>
    <x v="2"/>
    <x v="0"/>
    <m/>
    <x v="2"/>
    <m/>
    <m/>
  </r>
  <r>
    <x v="6"/>
    <x v="3"/>
    <x v="183"/>
    <n v="177"/>
    <x v="1"/>
    <x v="0"/>
    <m/>
    <x v="3"/>
    <m/>
    <m/>
  </r>
  <r>
    <x v="6"/>
    <x v="3"/>
    <x v="184"/>
    <n v="5555"/>
    <x v="1"/>
    <x v="0"/>
    <m/>
    <x v="2"/>
    <m/>
    <m/>
  </r>
  <r>
    <x v="6"/>
    <x v="3"/>
    <x v="185"/>
    <n v="4959"/>
    <x v="1"/>
    <x v="0"/>
    <m/>
    <x v="2"/>
    <m/>
    <m/>
  </r>
  <r>
    <x v="6"/>
    <x v="3"/>
    <x v="186"/>
    <n v="4919"/>
    <x v="0"/>
    <x v="0"/>
    <m/>
    <x v="2"/>
    <m/>
    <m/>
  </r>
  <r>
    <x v="6"/>
    <x v="3"/>
    <x v="187"/>
    <n v="4724"/>
    <x v="0"/>
    <x v="0"/>
    <m/>
    <x v="2"/>
    <m/>
    <m/>
  </r>
  <r>
    <x v="6"/>
    <x v="3"/>
    <x v="188"/>
    <n v="183"/>
    <x v="2"/>
    <x v="0"/>
    <m/>
    <x v="4"/>
    <m/>
    <m/>
  </r>
  <r>
    <x v="6"/>
    <x v="3"/>
    <x v="189"/>
    <n v="5545"/>
    <x v="3"/>
    <x v="7"/>
    <m/>
    <x v="2"/>
    <m/>
    <s v="OČR od 29.9."/>
  </r>
  <r>
    <x v="6"/>
    <x v="3"/>
    <x v="190"/>
    <n v="5526"/>
    <x v="0"/>
    <x v="0"/>
    <m/>
    <x v="2"/>
    <m/>
    <m/>
  </r>
  <r>
    <x v="6"/>
    <x v="3"/>
    <x v="191"/>
    <n v="5192"/>
    <x v="0"/>
    <x v="0"/>
    <m/>
    <x v="2"/>
    <m/>
    <m/>
  </r>
  <r>
    <x v="6"/>
    <x v="3"/>
    <x v="192"/>
    <n v="4698"/>
    <x v="0"/>
    <x v="0"/>
    <m/>
    <x v="2"/>
    <m/>
    <m/>
  </r>
  <r>
    <x v="6"/>
    <x v="3"/>
    <x v="193"/>
    <n v="4611"/>
    <x v="1"/>
    <x v="0"/>
    <m/>
    <x v="4"/>
    <m/>
    <m/>
  </r>
  <r>
    <x v="6"/>
    <x v="3"/>
    <x v="194"/>
    <n v="5069"/>
    <x v="1"/>
    <x v="0"/>
    <m/>
    <x v="2"/>
    <m/>
    <m/>
  </r>
  <r>
    <x v="6"/>
    <x v="3"/>
    <x v="195"/>
    <n v="185"/>
    <x v="2"/>
    <x v="0"/>
    <m/>
    <x v="4"/>
    <m/>
    <m/>
  </r>
  <r>
    <x v="6"/>
    <x v="3"/>
    <x v="196"/>
    <n v="6388"/>
    <x v="3"/>
    <x v="1"/>
    <m/>
    <x v="2"/>
    <m/>
    <m/>
  </r>
  <r>
    <x v="6"/>
    <x v="3"/>
    <x v="197"/>
    <n v="5720"/>
    <x v="1"/>
    <x v="0"/>
    <m/>
    <x v="3"/>
    <m/>
    <m/>
  </r>
  <r>
    <x v="6"/>
    <x v="3"/>
    <x v="198"/>
    <n v="5722"/>
    <x v="1"/>
    <x v="0"/>
    <m/>
    <x v="3"/>
    <m/>
    <m/>
  </r>
  <r>
    <x v="6"/>
    <x v="3"/>
    <x v="199"/>
    <n v="6180"/>
    <x v="2"/>
    <x v="0"/>
    <m/>
    <x v="3"/>
    <m/>
    <m/>
  </r>
  <r>
    <x v="6"/>
    <x v="3"/>
    <x v="200"/>
    <n v="4423"/>
    <x v="2"/>
    <x v="0"/>
    <m/>
    <x v="4"/>
    <m/>
    <m/>
  </r>
  <r>
    <x v="6"/>
    <x v="3"/>
    <x v="201"/>
    <n v="5036"/>
    <x v="3"/>
    <x v="0"/>
    <m/>
    <x v="2"/>
    <m/>
    <m/>
  </r>
  <r>
    <x v="6"/>
    <x v="3"/>
    <x v="202"/>
    <n v="4899"/>
    <x v="0"/>
    <x v="0"/>
    <m/>
    <x v="4"/>
    <m/>
    <m/>
  </r>
  <r>
    <x v="6"/>
    <x v="3"/>
    <x v="204"/>
    <n v="6582"/>
    <x v="2"/>
    <x v="0"/>
    <m/>
    <x v="4"/>
    <m/>
    <m/>
  </r>
  <r>
    <x v="6"/>
    <x v="3"/>
    <x v="205"/>
    <n v="6580"/>
    <x v="1"/>
    <x v="0"/>
    <m/>
    <x v="2"/>
    <m/>
    <m/>
  </r>
  <r>
    <x v="7"/>
    <x v="1"/>
    <x v="71"/>
    <n v="6474"/>
    <x v="0"/>
    <x v="0"/>
    <m/>
    <x v="1"/>
    <m/>
    <m/>
  </r>
  <r>
    <x v="7"/>
    <x v="1"/>
    <x v="70"/>
    <n v="5110"/>
    <x v="2"/>
    <x v="0"/>
    <m/>
    <x v="0"/>
    <m/>
    <m/>
  </r>
  <r>
    <x v="7"/>
    <x v="1"/>
    <x v="72"/>
    <n v="6473"/>
    <x v="2"/>
    <x v="0"/>
    <m/>
    <x v="1"/>
    <m/>
    <m/>
  </r>
  <r>
    <x v="7"/>
    <x v="1"/>
    <x v="69"/>
    <n v="6394"/>
    <x v="3"/>
    <x v="1"/>
    <m/>
    <x v="1"/>
    <m/>
    <m/>
  </r>
  <r>
    <x v="7"/>
    <x v="0"/>
    <x v="0"/>
    <n v="5777"/>
    <x v="2"/>
    <x v="0"/>
    <m/>
    <x v="0"/>
    <m/>
    <m/>
  </r>
  <r>
    <x v="7"/>
    <x v="0"/>
    <x v="1"/>
    <n v="4838"/>
    <x v="0"/>
    <x v="0"/>
    <m/>
    <x v="0"/>
    <m/>
    <m/>
  </r>
  <r>
    <x v="7"/>
    <x v="0"/>
    <x v="2"/>
    <n v="4599"/>
    <x v="2"/>
    <x v="0"/>
    <m/>
    <x v="1"/>
    <m/>
    <m/>
  </r>
  <r>
    <x v="7"/>
    <x v="0"/>
    <x v="3"/>
    <n v="6566"/>
    <x v="0"/>
    <x v="0"/>
    <m/>
    <x v="1"/>
    <m/>
    <m/>
  </r>
  <r>
    <x v="7"/>
    <x v="0"/>
    <x v="4"/>
    <n v="5400"/>
    <x v="3"/>
    <x v="3"/>
    <m/>
    <x v="1"/>
    <m/>
    <m/>
  </r>
  <r>
    <x v="7"/>
    <x v="0"/>
    <x v="5"/>
    <n v="5094"/>
    <x v="1"/>
    <x v="0"/>
    <m/>
    <x v="0"/>
    <m/>
    <m/>
  </r>
  <r>
    <x v="7"/>
    <x v="0"/>
    <x v="6"/>
    <n v="6001"/>
    <x v="1"/>
    <x v="0"/>
    <m/>
    <x v="1"/>
    <m/>
    <m/>
  </r>
  <r>
    <x v="7"/>
    <x v="0"/>
    <x v="7"/>
    <n v="6573"/>
    <x v="1"/>
    <x v="0"/>
    <m/>
    <x v="1"/>
    <m/>
    <m/>
  </r>
  <r>
    <x v="7"/>
    <x v="0"/>
    <x v="8"/>
    <n v="5129"/>
    <x v="2"/>
    <x v="0"/>
    <m/>
    <x v="1"/>
    <m/>
    <m/>
  </r>
  <r>
    <x v="7"/>
    <x v="0"/>
    <x v="9"/>
    <n v="5663"/>
    <x v="3"/>
    <x v="1"/>
    <m/>
    <x v="1"/>
    <m/>
    <m/>
  </r>
  <r>
    <x v="7"/>
    <x v="0"/>
    <x v="10"/>
    <n v="4501"/>
    <x v="3"/>
    <x v="1"/>
    <m/>
    <x v="0"/>
    <m/>
    <m/>
  </r>
  <r>
    <x v="7"/>
    <x v="0"/>
    <x v="11"/>
    <n v="4936"/>
    <x v="1"/>
    <x v="0"/>
    <m/>
    <x v="1"/>
    <m/>
    <m/>
  </r>
  <r>
    <x v="7"/>
    <x v="0"/>
    <x v="12"/>
    <n v="3728"/>
    <x v="1"/>
    <x v="0"/>
    <m/>
    <x v="1"/>
    <m/>
    <m/>
  </r>
  <r>
    <x v="7"/>
    <x v="0"/>
    <x v="13"/>
    <n v="4955"/>
    <x v="2"/>
    <x v="0"/>
    <m/>
    <x v="1"/>
    <m/>
    <m/>
  </r>
  <r>
    <x v="7"/>
    <x v="0"/>
    <x v="14"/>
    <n v="6568"/>
    <x v="0"/>
    <x v="0"/>
    <m/>
    <x v="0"/>
    <m/>
    <m/>
  </r>
  <r>
    <x v="7"/>
    <x v="0"/>
    <x v="15"/>
    <n v="3721"/>
    <x v="2"/>
    <x v="0"/>
    <m/>
    <x v="1"/>
    <m/>
    <m/>
  </r>
  <r>
    <x v="7"/>
    <x v="0"/>
    <x v="16"/>
    <n v="6110"/>
    <x v="1"/>
    <x v="0"/>
    <m/>
    <x v="1"/>
    <m/>
    <m/>
  </r>
  <r>
    <x v="7"/>
    <x v="0"/>
    <x v="17"/>
    <n v="0"/>
    <x v="2"/>
    <x v="0"/>
    <m/>
    <x v="1"/>
    <m/>
    <m/>
  </r>
  <r>
    <x v="7"/>
    <x v="0"/>
    <x v="18"/>
    <n v="6330"/>
    <x v="1"/>
    <x v="0"/>
    <m/>
    <x v="0"/>
    <m/>
    <m/>
  </r>
  <r>
    <x v="7"/>
    <x v="0"/>
    <x v="19"/>
    <n v="5828"/>
    <x v="2"/>
    <x v="0"/>
    <m/>
    <x v="1"/>
    <m/>
    <m/>
  </r>
  <r>
    <x v="7"/>
    <x v="0"/>
    <x v="20"/>
    <n v="4775"/>
    <x v="3"/>
    <x v="3"/>
    <m/>
    <x v="0"/>
    <m/>
    <m/>
  </r>
  <r>
    <x v="7"/>
    <x v="0"/>
    <x v="22"/>
    <n v="5665"/>
    <x v="0"/>
    <x v="0"/>
    <m/>
    <x v="1"/>
    <m/>
    <m/>
  </r>
  <r>
    <x v="7"/>
    <x v="0"/>
    <x v="23"/>
    <n v="2463"/>
    <x v="0"/>
    <x v="0"/>
    <m/>
    <x v="2"/>
    <m/>
    <m/>
  </r>
  <r>
    <x v="7"/>
    <x v="0"/>
    <x v="24"/>
    <n v="6536"/>
    <x v="0"/>
    <x v="0"/>
    <m/>
    <x v="0"/>
    <m/>
    <m/>
  </r>
  <r>
    <x v="7"/>
    <x v="0"/>
    <x v="25"/>
    <n v="4748"/>
    <x v="2"/>
    <x v="0"/>
    <m/>
    <x v="1"/>
    <m/>
    <m/>
  </r>
  <r>
    <x v="7"/>
    <x v="0"/>
    <x v="27"/>
    <n v="6574"/>
    <x v="1"/>
    <x v="0"/>
    <m/>
    <x v="1"/>
    <m/>
    <m/>
  </r>
  <r>
    <x v="7"/>
    <x v="0"/>
    <x v="28"/>
    <n v="4720"/>
    <x v="3"/>
    <x v="1"/>
    <m/>
    <x v="0"/>
    <m/>
    <m/>
  </r>
  <r>
    <x v="7"/>
    <x v="0"/>
    <x v="29"/>
    <n v="6409"/>
    <x v="1"/>
    <x v="0"/>
    <m/>
    <x v="2"/>
    <m/>
    <m/>
  </r>
  <r>
    <x v="7"/>
    <x v="0"/>
    <x v="30"/>
    <n v="3396"/>
    <x v="0"/>
    <x v="0"/>
    <m/>
    <x v="1"/>
    <m/>
    <m/>
  </r>
  <r>
    <x v="7"/>
    <x v="0"/>
    <x v="31"/>
    <n v="6376"/>
    <x v="0"/>
    <x v="0"/>
    <m/>
    <x v="0"/>
    <m/>
    <m/>
  </r>
  <r>
    <x v="7"/>
    <x v="0"/>
    <x v="32"/>
    <n v="5014"/>
    <x v="0"/>
    <x v="0"/>
    <m/>
    <x v="0"/>
    <m/>
    <m/>
  </r>
  <r>
    <x v="7"/>
    <x v="0"/>
    <x v="33"/>
    <n v="3369"/>
    <x v="3"/>
    <x v="7"/>
    <m/>
    <x v="1"/>
    <m/>
    <s v="OČR od 29.9."/>
  </r>
  <r>
    <x v="7"/>
    <x v="0"/>
    <x v="34"/>
    <n v="6576"/>
    <x v="2"/>
    <x v="0"/>
    <m/>
    <x v="1"/>
    <m/>
    <m/>
  </r>
  <r>
    <x v="7"/>
    <x v="0"/>
    <x v="35"/>
    <n v="6352"/>
    <x v="0"/>
    <x v="0"/>
    <m/>
    <x v="1"/>
    <m/>
    <m/>
  </r>
  <r>
    <x v="7"/>
    <x v="0"/>
    <x v="40"/>
    <n v="4972"/>
    <x v="2"/>
    <x v="0"/>
    <m/>
    <x v="0"/>
    <m/>
    <m/>
  </r>
  <r>
    <x v="7"/>
    <x v="0"/>
    <x v="41"/>
    <n v="2230"/>
    <x v="2"/>
    <x v="0"/>
    <m/>
    <x v="1"/>
    <m/>
    <m/>
  </r>
  <r>
    <x v="7"/>
    <x v="0"/>
    <x v="42"/>
    <n v="5310"/>
    <x v="3"/>
    <x v="3"/>
    <m/>
    <x v="1"/>
    <m/>
    <m/>
  </r>
  <r>
    <x v="7"/>
    <x v="0"/>
    <x v="43"/>
    <n v="5948"/>
    <x v="3"/>
    <x v="1"/>
    <m/>
    <x v="1"/>
    <m/>
    <m/>
  </r>
  <r>
    <x v="7"/>
    <x v="0"/>
    <x v="44"/>
    <n v="6549"/>
    <x v="2"/>
    <x v="0"/>
    <m/>
    <x v="1"/>
    <m/>
    <m/>
  </r>
  <r>
    <x v="7"/>
    <x v="0"/>
    <x v="45"/>
    <n v="6538"/>
    <x v="2"/>
    <x v="0"/>
    <m/>
    <x v="1"/>
    <m/>
    <m/>
  </r>
  <r>
    <x v="7"/>
    <x v="0"/>
    <x v="46"/>
    <n v="5715"/>
    <x v="1"/>
    <x v="0"/>
    <m/>
    <x v="1"/>
    <m/>
    <m/>
  </r>
  <r>
    <x v="7"/>
    <x v="0"/>
    <x v="47"/>
    <n v="4514"/>
    <x v="1"/>
    <x v="0"/>
    <m/>
    <x v="1"/>
    <m/>
    <m/>
  </r>
  <r>
    <x v="7"/>
    <x v="0"/>
    <x v="48"/>
    <n v="5176"/>
    <x v="0"/>
    <x v="0"/>
    <m/>
    <x v="1"/>
    <m/>
    <m/>
  </r>
  <r>
    <x v="7"/>
    <x v="0"/>
    <x v="49"/>
    <n v="4163"/>
    <x v="1"/>
    <x v="0"/>
    <m/>
    <x v="1"/>
    <m/>
    <m/>
  </r>
  <r>
    <x v="7"/>
    <x v="0"/>
    <x v="50"/>
    <n v="3920"/>
    <x v="2"/>
    <x v="0"/>
    <m/>
    <x v="0"/>
    <m/>
    <m/>
  </r>
  <r>
    <x v="7"/>
    <x v="0"/>
    <x v="51"/>
    <n v="3257"/>
    <x v="1"/>
    <x v="0"/>
    <m/>
    <x v="1"/>
    <m/>
    <m/>
  </r>
  <r>
    <x v="7"/>
    <x v="0"/>
    <x v="52"/>
    <n v="3394"/>
    <x v="3"/>
    <x v="3"/>
    <m/>
    <x v="1"/>
    <m/>
    <m/>
  </r>
  <r>
    <x v="7"/>
    <x v="0"/>
    <x v="53"/>
    <n v="4828"/>
    <x v="0"/>
    <x v="0"/>
    <m/>
    <x v="0"/>
    <m/>
    <m/>
  </r>
  <r>
    <x v="7"/>
    <x v="0"/>
    <x v="54"/>
    <n v="4155"/>
    <x v="2"/>
    <x v="0"/>
    <m/>
    <x v="1"/>
    <m/>
    <m/>
  </r>
  <r>
    <x v="7"/>
    <x v="0"/>
    <x v="55"/>
    <n v="0"/>
    <x v="2"/>
    <x v="0"/>
    <m/>
    <x v="1"/>
    <m/>
    <m/>
  </r>
  <r>
    <x v="7"/>
    <x v="0"/>
    <x v="56"/>
    <n v="5179"/>
    <x v="0"/>
    <x v="0"/>
    <m/>
    <x v="1"/>
    <m/>
    <m/>
  </r>
  <r>
    <x v="7"/>
    <x v="0"/>
    <x v="57"/>
    <n v="4912"/>
    <x v="1"/>
    <x v="0"/>
    <m/>
    <x v="0"/>
    <m/>
    <m/>
  </r>
  <r>
    <x v="7"/>
    <x v="0"/>
    <x v="38"/>
    <n v="6507"/>
    <x v="2"/>
    <x v="0"/>
    <m/>
    <x v="1"/>
    <m/>
    <m/>
  </r>
  <r>
    <x v="7"/>
    <x v="0"/>
    <x v="59"/>
    <n v="3937"/>
    <x v="1"/>
    <x v="0"/>
    <m/>
    <x v="1"/>
    <m/>
    <m/>
  </r>
  <r>
    <x v="7"/>
    <x v="0"/>
    <x v="60"/>
    <n v="6076"/>
    <x v="0"/>
    <x v="0"/>
    <m/>
    <x v="1"/>
    <m/>
    <m/>
  </r>
  <r>
    <x v="7"/>
    <x v="0"/>
    <x v="61"/>
    <n v="3648"/>
    <x v="2"/>
    <x v="0"/>
    <m/>
    <x v="1"/>
    <m/>
    <m/>
  </r>
  <r>
    <x v="7"/>
    <x v="0"/>
    <x v="62"/>
    <n v="4602"/>
    <x v="0"/>
    <x v="0"/>
    <m/>
    <x v="1"/>
    <m/>
    <m/>
  </r>
  <r>
    <x v="7"/>
    <x v="0"/>
    <x v="63"/>
    <n v="4940"/>
    <x v="1"/>
    <x v="0"/>
    <m/>
    <x v="1"/>
    <m/>
    <m/>
  </r>
  <r>
    <x v="7"/>
    <x v="0"/>
    <x v="64"/>
    <n v="5660"/>
    <x v="1"/>
    <x v="0"/>
    <m/>
    <x v="1"/>
    <m/>
    <m/>
  </r>
  <r>
    <x v="7"/>
    <x v="0"/>
    <x v="65"/>
    <n v="6243"/>
    <x v="2"/>
    <x v="0"/>
    <m/>
    <x v="0"/>
    <m/>
    <m/>
  </r>
  <r>
    <x v="7"/>
    <x v="0"/>
    <x v="66"/>
    <n v="6339"/>
    <x v="3"/>
    <x v="1"/>
    <m/>
    <x v="1"/>
    <m/>
    <m/>
  </r>
  <r>
    <x v="7"/>
    <x v="0"/>
    <x v="67"/>
    <n v="4928"/>
    <x v="0"/>
    <x v="0"/>
    <m/>
    <x v="1"/>
    <m/>
    <m/>
  </r>
  <r>
    <x v="7"/>
    <x v="0"/>
    <x v="68"/>
    <n v="0"/>
    <x v="1"/>
    <x v="0"/>
    <m/>
    <x v="1"/>
    <m/>
    <m/>
  </r>
  <r>
    <x v="7"/>
    <x v="0"/>
    <x v="203"/>
    <n v="6581"/>
    <x v="2"/>
    <x v="0"/>
    <m/>
    <x v="1"/>
    <m/>
    <m/>
  </r>
  <r>
    <x v="7"/>
    <x v="2"/>
    <x v="73"/>
    <n v="6259"/>
    <x v="2"/>
    <x v="0"/>
    <m/>
    <x v="2"/>
    <m/>
    <m/>
  </r>
  <r>
    <x v="7"/>
    <x v="2"/>
    <x v="74"/>
    <n v="3951"/>
    <x v="2"/>
    <x v="0"/>
    <m/>
    <x v="2"/>
    <m/>
    <m/>
  </r>
  <r>
    <x v="7"/>
    <x v="2"/>
    <x v="75"/>
    <n v="6450"/>
    <x v="0"/>
    <x v="0"/>
    <m/>
    <x v="3"/>
    <m/>
    <m/>
  </r>
  <r>
    <x v="7"/>
    <x v="2"/>
    <x v="77"/>
    <n v="5584"/>
    <x v="0"/>
    <x v="0"/>
    <m/>
    <x v="2"/>
    <m/>
    <m/>
  </r>
  <r>
    <x v="7"/>
    <x v="2"/>
    <x v="78"/>
    <n v="6418"/>
    <x v="2"/>
    <x v="0"/>
    <m/>
    <x v="2"/>
    <m/>
    <m/>
  </r>
  <r>
    <x v="7"/>
    <x v="2"/>
    <x v="79"/>
    <n v="6177"/>
    <x v="0"/>
    <x v="0"/>
    <m/>
    <x v="4"/>
    <m/>
    <m/>
  </r>
  <r>
    <x v="7"/>
    <x v="2"/>
    <x v="80"/>
    <n v="6543"/>
    <x v="2"/>
    <x v="0"/>
    <m/>
    <x v="4"/>
    <m/>
    <m/>
  </r>
  <r>
    <x v="7"/>
    <x v="2"/>
    <x v="81"/>
    <n v="6541"/>
    <x v="0"/>
    <x v="0"/>
    <m/>
    <x v="3"/>
    <m/>
    <m/>
  </r>
  <r>
    <x v="7"/>
    <x v="2"/>
    <x v="82"/>
    <n v="6442"/>
    <x v="2"/>
    <x v="0"/>
    <m/>
    <x v="3"/>
    <m/>
    <m/>
  </r>
  <r>
    <x v="7"/>
    <x v="2"/>
    <x v="83"/>
    <n v="6143"/>
    <x v="2"/>
    <x v="0"/>
    <m/>
    <x v="2"/>
    <m/>
    <m/>
  </r>
  <r>
    <x v="7"/>
    <x v="2"/>
    <x v="84"/>
    <n v="6260"/>
    <x v="2"/>
    <x v="0"/>
    <m/>
    <x v="2"/>
    <m/>
    <m/>
  </r>
  <r>
    <x v="7"/>
    <x v="2"/>
    <x v="87"/>
    <n v="6430"/>
    <x v="2"/>
    <x v="0"/>
    <m/>
    <x v="2"/>
    <m/>
    <m/>
  </r>
  <r>
    <x v="7"/>
    <x v="2"/>
    <x v="89"/>
    <n v="6016"/>
    <x v="0"/>
    <x v="0"/>
    <m/>
    <x v="3"/>
    <m/>
    <m/>
  </r>
  <r>
    <x v="7"/>
    <x v="2"/>
    <x v="90"/>
    <n v="6437"/>
    <x v="0"/>
    <x v="0"/>
    <m/>
    <x v="3"/>
    <m/>
    <m/>
  </r>
  <r>
    <x v="7"/>
    <x v="2"/>
    <x v="91"/>
    <n v="6431"/>
    <x v="0"/>
    <x v="0"/>
    <m/>
    <x v="4"/>
    <m/>
    <m/>
  </r>
  <r>
    <x v="7"/>
    <x v="2"/>
    <x v="92"/>
    <n v="6119"/>
    <x v="3"/>
    <x v="1"/>
    <m/>
    <x v="4"/>
    <m/>
    <m/>
  </r>
  <r>
    <x v="7"/>
    <x v="2"/>
    <x v="93"/>
    <n v="6559"/>
    <x v="2"/>
    <x v="0"/>
    <m/>
    <x v="4"/>
    <m/>
    <m/>
  </r>
  <r>
    <x v="7"/>
    <x v="2"/>
    <x v="95"/>
    <n v="4392"/>
    <x v="2"/>
    <x v="0"/>
    <m/>
    <x v="4"/>
    <m/>
    <m/>
  </r>
  <r>
    <x v="7"/>
    <x v="2"/>
    <x v="96"/>
    <n v="6514"/>
    <x v="2"/>
    <x v="0"/>
    <m/>
    <x v="3"/>
    <m/>
    <m/>
  </r>
  <r>
    <x v="7"/>
    <x v="2"/>
    <x v="97"/>
    <n v="6516"/>
    <x v="2"/>
    <x v="0"/>
    <m/>
    <x v="4"/>
    <m/>
    <m/>
  </r>
  <r>
    <x v="7"/>
    <x v="2"/>
    <x v="98"/>
    <n v="0"/>
    <x v="0"/>
    <x v="0"/>
    <m/>
    <x v="2"/>
    <m/>
    <m/>
  </r>
  <r>
    <x v="7"/>
    <x v="2"/>
    <x v="100"/>
    <n v="6158"/>
    <x v="2"/>
    <x v="0"/>
    <m/>
    <x v="3"/>
    <m/>
    <m/>
  </r>
  <r>
    <x v="7"/>
    <x v="2"/>
    <x v="102"/>
    <n v="3063"/>
    <x v="0"/>
    <x v="0"/>
    <m/>
    <x v="3"/>
    <m/>
    <m/>
  </r>
  <r>
    <x v="7"/>
    <x v="2"/>
    <x v="103"/>
    <n v="5853"/>
    <x v="2"/>
    <x v="0"/>
    <m/>
    <x v="3"/>
    <m/>
    <m/>
  </r>
  <r>
    <x v="7"/>
    <x v="2"/>
    <x v="104"/>
    <n v="6408"/>
    <x v="1"/>
    <x v="0"/>
    <m/>
    <x v="2"/>
    <m/>
    <m/>
  </r>
  <r>
    <x v="7"/>
    <x v="2"/>
    <x v="105"/>
    <n v="6544"/>
    <x v="2"/>
    <x v="0"/>
    <m/>
    <x v="4"/>
    <m/>
    <m/>
  </r>
  <r>
    <x v="7"/>
    <x v="2"/>
    <x v="109"/>
    <n v="0"/>
    <x v="1"/>
    <x v="0"/>
    <m/>
    <x v="3"/>
    <m/>
    <m/>
  </r>
  <r>
    <x v="7"/>
    <x v="2"/>
    <x v="112"/>
    <n v="6558"/>
    <x v="2"/>
    <x v="0"/>
    <m/>
    <x v="4"/>
    <m/>
    <m/>
  </r>
  <r>
    <x v="7"/>
    <x v="2"/>
    <x v="112"/>
    <n v="6558"/>
    <x v="1"/>
    <x v="0"/>
    <m/>
    <x v="4"/>
    <m/>
    <m/>
  </r>
  <r>
    <x v="7"/>
    <x v="2"/>
    <x v="111"/>
    <n v="6152"/>
    <x v="0"/>
    <x v="0"/>
    <m/>
    <x v="3"/>
    <m/>
    <m/>
  </r>
  <r>
    <x v="7"/>
    <x v="3"/>
    <x v="115"/>
    <n v="6537"/>
    <x v="1"/>
    <x v="0"/>
    <m/>
    <x v="3"/>
    <m/>
    <m/>
  </r>
  <r>
    <x v="7"/>
    <x v="3"/>
    <x v="116"/>
    <n v="5802"/>
    <x v="0"/>
    <x v="0"/>
    <m/>
    <x v="2"/>
    <m/>
    <m/>
  </r>
  <r>
    <x v="7"/>
    <x v="3"/>
    <x v="117"/>
    <n v="4869"/>
    <x v="2"/>
    <x v="0"/>
    <m/>
    <x v="2"/>
    <m/>
    <m/>
  </r>
  <r>
    <x v="7"/>
    <x v="3"/>
    <x v="118"/>
    <n v="6508"/>
    <x v="1"/>
    <x v="0"/>
    <m/>
    <x v="2"/>
    <m/>
    <m/>
  </r>
  <r>
    <x v="7"/>
    <x v="3"/>
    <x v="119"/>
    <n v="4607"/>
    <x v="0"/>
    <x v="0"/>
    <m/>
    <x v="3"/>
    <m/>
    <m/>
  </r>
  <r>
    <x v="7"/>
    <x v="3"/>
    <x v="120"/>
    <n v="5047"/>
    <x v="2"/>
    <x v="0"/>
    <m/>
    <x v="2"/>
    <m/>
    <m/>
  </r>
  <r>
    <x v="7"/>
    <x v="3"/>
    <x v="121"/>
    <n v="4616"/>
    <x v="0"/>
    <x v="0"/>
    <m/>
    <x v="2"/>
    <m/>
    <m/>
  </r>
  <r>
    <x v="7"/>
    <x v="3"/>
    <x v="122"/>
    <n v="4961"/>
    <x v="1"/>
    <x v="0"/>
    <m/>
    <x v="2"/>
    <m/>
    <m/>
  </r>
  <r>
    <x v="7"/>
    <x v="3"/>
    <x v="123"/>
    <n v="4721"/>
    <x v="1"/>
    <x v="0"/>
    <m/>
    <x v="3"/>
    <m/>
    <m/>
  </r>
  <r>
    <x v="7"/>
    <x v="3"/>
    <x v="124"/>
    <n v="4845"/>
    <x v="2"/>
    <x v="0"/>
    <m/>
    <x v="2"/>
    <m/>
    <m/>
  </r>
  <r>
    <x v="7"/>
    <x v="3"/>
    <x v="125"/>
    <n v="47"/>
    <x v="1"/>
    <x v="0"/>
    <m/>
    <x v="4"/>
    <m/>
    <m/>
  </r>
  <r>
    <x v="7"/>
    <x v="3"/>
    <x v="126"/>
    <n v="6332"/>
    <x v="2"/>
    <x v="0"/>
    <m/>
    <x v="2"/>
    <m/>
    <m/>
  </r>
  <r>
    <x v="7"/>
    <x v="3"/>
    <x v="127"/>
    <n v="4871"/>
    <x v="2"/>
    <x v="0"/>
    <m/>
    <x v="2"/>
    <m/>
    <m/>
  </r>
  <r>
    <x v="7"/>
    <x v="3"/>
    <x v="128"/>
    <n v="4755"/>
    <x v="0"/>
    <x v="0"/>
    <m/>
    <x v="3"/>
    <m/>
    <m/>
  </r>
  <r>
    <x v="7"/>
    <x v="3"/>
    <x v="129"/>
    <n v="49"/>
    <x v="2"/>
    <x v="0"/>
    <m/>
    <x v="3"/>
    <m/>
    <m/>
  </r>
  <r>
    <x v="7"/>
    <x v="3"/>
    <x v="130"/>
    <n v="5839"/>
    <x v="2"/>
    <x v="0"/>
    <m/>
    <x v="4"/>
    <m/>
    <m/>
  </r>
  <r>
    <x v="7"/>
    <x v="3"/>
    <x v="131"/>
    <n v="6487"/>
    <x v="0"/>
    <x v="0"/>
    <m/>
    <x v="4"/>
    <m/>
    <m/>
  </r>
  <r>
    <x v="7"/>
    <x v="3"/>
    <x v="132"/>
    <n v="6292"/>
    <x v="2"/>
    <x v="0"/>
    <m/>
    <x v="2"/>
    <m/>
    <m/>
  </r>
  <r>
    <x v="7"/>
    <x v="3"/>
    <x v="133"/>
    <n v="5198"/>
    <x v="2"/>
    <x v="0"/>
    <m/>
    <x v="2"/>
    <m/>
    <m/>
  </r>
  <r>
    <x v="7"/>
    <x v="3"/>
    <x v="134"/>
    <n v="6368"/>
    <x v="2"/>
    <x v="0"/>
    <m/>
    <x v="2"/>
    <m/>
    <m/>
  </r>
  <r>
    <x v="7"/>
    <x v="3"/>
    <x v="135"/>
    <n v="5595"/>
    <x v="1"/>
    <x v="0"/>
    <m/>
    <x v="3"/>
    <m/>
    <m/>
  </r>
  <r>
    <x v="7"/>
    <x v="3"/>
    <x v="136"/>
    <n v="4960"/>
    <x v="2"/>
    <x v="0"/>
    <m/>
    <x v="4"/>
    <m/>
    <m/>
  </r>
  <r>
    <x v="7"/>
    <x v="3"/>
    <x v="137"/>
    <n v="5125"/>
    <x v="0"/>
    <x v="0"/>
    <m/>
    <x v="2"/>
    <m/>
    <m/>
  </r>
  <r>
    <x v="7"/>
    <x v="3"/>
    <x v="138"/>
    <n v="6127"/>
    <x v="0"/>
    <x v="0"/>
    <m/>
    <x v="3"/>
    <m/>
    <m/>
  </r>
  <r>
    <x v="7"/>
    <x v="3"/>
    <x v="139"/>
    <n v="5583"/>
    <x v="2"/>
    <x v="0"/>
    <m/>
    <x v="3"/>
    <m/>
    <m/>
  </r>
  <r>
    <x v="7"/>
    <x v="3"/>
    <x v="140"/>
    <n v="123"/>
    <x v="0"/>
    <x v="0"/>
    <m/>
    <x v="4"/>
    <m/>
    <m/>
  </r>
  <r>
    <x v="7"/>
    <x v="3"/>
    <x v="141"/>
    <n v="5525"/>
    <x v="0"/>
    <x v="0"/>
    <m/>
    <x v="2"/>
    <m/>
    <m/>
  </r>
  <r>
    <x v="7"/>
    <x v="3"/>
    <x v="142"/>
    <n v="126"/>
    <x v="1"/>
    <x v="0"/>
    <m/>
    <x v="2"/>
    <m/>
    <m/>
  </r>
  <r>
    <x v="7"/>
    <x v="3"/>
    <x v="143"/>
    <n v="127"/>
    <x v="1"/>
    <x v="0"/>
    <m/>
    <x v="3"/>
    <m/>
    <m/>
  </r>
  <r>
    <x v="7"/>
    <x v="3"/>
    <x v="144"/>
    <n v="4847"/>
    <x v="1"/>
    <x v="0"/>
    <m/>
    <x v="2"/>
    <m/>
    <m/>
  </r>
  <r>
    <x v="7"/>
    <x v="3"/>
    <x v="145"/>
    <n v="750"/>
    <x v="3"/>
    <x v="2"/>
    <m/>
    <x v="2"/>
    <m/>
    <m/>
  </r>
  <r>
    <x v="7"/>
    <x v="3"/>
    <x v="146"/>
    <n v="4663"/>
    <x v="0"/>
    <x v="0"/>
    <m/>
    <x v="3"/>
    <m/>
    <m/>
  </r>
  <r>
    <x v="7"/>
    <x v="3"/>
    <x v="147"/>
    <n v="131"/>
    <x v="1"/>
    <x v="0"/>
    <m/>
    <x v="3"/>
    <m/>
    <m/>
  </r>
  <r>
    <x v="7"/>
    <x v="3"/>
    <x v="148"/>
    <n v="5620"/>
    <x v="0"/>
    <x v="0"/>
    <m/>
    <x v="2"/>
    <m/>
    <m/>
  </r>
  <r>
    <x v="7"/>
    <x v="3"/>
    <x v="149"/>
    <n v="4868"/>
    <x v="1"/>
    <x v="0"/>
    <m/>
    <x v="2"/>
    <m/>
    <m/>
  </r>
  <r>
    <x v="7"/>
    <x v="3"/>
    <x v="150"/>
    <n v="5026"/>
    <x v="1"/>
    <x v="0"/>
    <m/>
    <x v="2"/>
    <m/>
    <m/>
  </r>
  <r>
    <x v="7"/>
    <x v="3"/>
    <x v="151"/>
    <n v="6424"/>
    <x v="2"/>
    <x v="0"/>
    <m/>
    <x v="4"/>
    <m/>
    <m/>
  </r>
  <r>
    <x v="7"/>
    <x v="3"/>
    <x v="152"/>
    <n v="5004"/>
    <x v="1"/>
    <x v="0"/>
    <m/>
    <x v="2"/>
    <m/>
    <m/>
  </r>
  <r>
    <x v="7"/>
    <x v="3"/>
    <x v="153"/>
    <n v="136"/>
    <x v="1"/>
    <x v="0"/>
    <m/>
    <x v="3"/>
    <m/>
    <m/>
  </r>
  <r>
    <x v="7"/>
    <x v="3"/>
    <x v="154"/>
    <n v="19"/>
    <x v="1"/>
    <x v="0"/>
    <m/>
    <x v="2"/>
    <m/>
    <m/>
  </r>
  <r>
    <x v="7"/>
    <x v="3"/>
    <x v="155"/>
    <n v="4791"/>
    <x v="1"/>
    <x v="0"/>
    <m/>
    <x v="2"/>
    <m/>
    <m/>
  </r>
  <r>
    <x v="7"/>
    <x v="3"/>
    <x v="156"/>
    <n v="5121"/>
    <x v="0"/>
    <x v="0"/>
    <m/>
    <x v="3"/>
    <m/>
    <m/>
  </r>
  <r>
    <x v="7"/>
    <x v="3"/>
    <x v="158"/>
    <n v="6193"/>
    <x v="0"/>
    <x v="0"/>
    <m/>
    <x v="3"/>
    <m/>
    <m/>
  </r>
  <r>
    <x v="7"/>
    <x v="3"/>
    <x v="159"/>
    <n v="146"/>
    <x v="1"/>
    <x v="0"/>
    <m/>
    <x v="3"/>
    <m/>
    <m/>
  </r>
  <r>
    <x v="7"/>
    <x v="3"/>
    <x v="160"/>
    <n v="4745"/>
    <x v="1"/>
    <x v="0"/>
    <m/>
    <x v="2"/>
    <m/>
    <m/>
  </r>
  <r>
    <x v="7"/>
    <x v="3"/>
    <x v="162"/>
    <n v="5209"/>
    <x v="0"/>
    <x v="0"/>
    <m/>
    <x v="2"/>
    <m/>
    <m/>
  </r>
  <r>
    <x v="7"/>
    <x v="3"/>
    <x v="163"/>
    <n v="4790"/>
    <x v="1"/>
    <x v="0"/>
    <m/>
    <x v="3"/>
    <m/>
    <m/>
  </r>
  <r>
    <x v="7"/>
    <x v="3"/>
    <x v="164"/>
    <n v="4727"/>
    <x v="2"/>
    <x v="0"/>
    <m/>
    <x v="4"/>
    <m/>
    <m/>
  </r>
  <r>
    <x v="7"/>
    <x v="3"/>
    <x v="165"/>
    <n v="6488"/>
    <x v="0"/>
    <x v="0"/>
    <m/>
    <x v="3"/>
    <m/>
    <m/>
  </r>
  <r>
    <x v="7"/>
    <x v="3"/>
    <x v="166"/>
    <n v="5604"/>
    <x v="0"/>
    <x v="0"/>
    <m/>
    <x v="2"/>
    <m/>
    <m/>
  </r>
  <r>
    <x v="7"/>
    <x v="3"/>
    <x v="167"/>
    <n v="5632"/>
    <x v="0"/>
    <x v="0"/>
    <m/>
    <x v="4"/>
    <m/>
    <m/>
  </r>
  <r>
    <x v="7"/>
    <x v="3"/>
    <x v="168"/>
    <n v="5980"/>
    <x v="1"/>
    <x v="0"/>
    <m/>
    <x v="3"/>
    <m/>
    <m/>
  </r>
  <r>
    <x v="7"/>
    <x v="3"/>
    <x v="169"/>
    <n v="5481"/>
    <x v="1"/>
    <x v="0"/>
    <m/>
    <x v="3"/>
    <m/>
    <m/>
  </r>
  <r>
    <x v="7"/>
    <x v="3"/>
    <x v="170"/>
    <n v="150"/>
    <x v="3"/>
    <x v="1"/>
    <m/>
    <x v="4"/>
    <m/>
    <m/>
  </r>
  <r>
    <x v="7"/>
    <x v="3"/>
    <x v="171"/>
    <n v="5120"/>
    <x v="0"/>
    <x v="0"/>
    <m/>
    <x v="2"/>
    <m/>
    <m/>
  </r>
  <r>
    <x v="7"/>
    <x v="3"/>
    <x v="172"/>
    <n v="4713"/>
    <x v="1"/>
    <x v="0"/>
    <m/>
    <x v="4"/>
    <m/>
    <m/>
  </r>
  <r>
    <x v="7"/>
    <x v="3"/>
    <x v="173"/>
    <n v="6318"/>
    <x v="0"/>
    <x v="0"/>
    <m/>
    <x v="4"/>
    <m/>
    <m/>
  </r>
  <r>
    <x v="7"/>
    <x v="3"/>
    <x v="174"/>
    <n v="5712"/>
    <x v="0"/>
    <x v="0"/>
    <m/>
    <x v="2"/>
    <m/>
    <m/>
  </r>
  <r>
    <x v="7"/>
    <x v="3"/>
    <x v="175"/>
    <n v="4744"/>
    <x v="2"/>
    <x v="0"/>
    <m/>
    <x v="3"/>
    <m/>
    <m/>
  </r>
  <r>
    <x v="7"/>
    <x v="3"/>
    <x v="177"/>
    <n v="155"/>
    <x v="2"/>
    <x v="0"/>
    <m/>
    <x v="4"/>
    <m/>
    <m/>
  </r>
  <r>
    <x v="7"/>
    <x v="3"/>
    <x v="178"/>
    <n v="6178"/>
    <x v="0"/>
    <x v="0"/>
    <m/>
    <x v="3"/>
    <m/>
    <m/>
  </r>
  <r>
    <x v="7"/>
    <x v="3"/>
    <x v="179"/>
    <n v="6345"/>
    <x v="0"/>
    <x v="0"/>
    <m/>
    <x v="4"/>
    <m/>
    <m/>
  </r>
  <r>
    <x v="7"/>
    <x v="3"/>
    <x v="180"/>
    <n v="5601"/>
    <x v="2"/>
    <x v="0"/>
    <m/>
    <x v="3"/>
    <m/>
    <m/>
  </r>
  <r>
    <x v="7"/>
    <x v="3"/>
    <x v="181"/>
    <n v="5152"/>
    <x v="0"/>
    <x v="0"/>
    <m/>
    <x v="2"/>
    <m/>
    <m/>
  </r>
  <r>
    <x v="7"/>
    <x v="3"/>
    <x v="182"/>
    <n v="176"/>
    <x v="2"/>
    <x v="0"/>
    <m/>
    <x v="2"/>
    <m/>
    <m/>
  </r>
  <r>
    <x v="7"/>
    <x v="3"/>
    <x v="183"/>
    <n v="177"/>
    <x v="1"/>
    <x v="0"/>
    <m/>
    <x v="3"/>
    <m/>
    <m/>
  </r>
  <r>
    <x v="7"/>
    <x v="3"/>
    <x v="184"/>
    <n v="5555"/>
    <x v="1"/>
    <x v="0"/>
    <m/>
    <x v="2"/>
    <m/>
    <m/>
  </r>
  <r>
    <x v="7"/>
    <x v="3"/>
    <x v="185"/>
    <n v="4959"/>
    <x v="1"/>
    <x v="0"/>
    <m/>
    <x v="2"/>
    <m/>
    <m/>
  </r>
  <r>
    <x v="7"/>
    <x v="3"/>
    <x v="186"/>
    <n v="4919"/>
    <x v="0"/>
    <x v="0"/>
    <m/>
    <x v="2"/>
    <m/>
    <m/>
  </r>
  <r>
    <x v="7"/>
    <x v="3"/>
    <x v="187"/>
    <n v="4724"/>
    <x v="0"/>
    <x v="0"/>
    <m/>
    <x v="2"/>
    <m/>
    <m/>
  </r>
  <r>
    <x v="7"/>
    <x v="3"/>
    <x v="188"/>
    <n v="183"/>
    <x v="2"/>
    <x v="0"/>
    <m/>
    <x v="4"/>
    <m/>
    <m/>
  </r>
  <r>
    <x v="7"/>
    <x v="3"/>
    <x v="189"/>
    <n v="5545"/>
    <x v="3"/>
    <x v="7"/>
    <m/>
    <x v="2"/>
    <m/>
    <s v="OČR od 29.9."/>
  </r>
  <r>
    <x v="7"/>
    <x v="3"/>
    <x v="190"/>
    <n v="5526"/>
    <x v="0"/>
    <x v="0"/>
    <m/>
    <x v="2"/>
    <m/>
    <m/>
  </r>
  <r>
    <x v="7"/>
    <x v="3"/>
    <x v="191"/>
    <n v="5192"/>
    <x v="0"/>
    <x v="0"/>
    <m/>
    <x v="2"/>
    <m/>
    <m/>
  </r>
  <r>
    <x v="7"/>
    <x v="3"/>
    <x v="192"/>
    <n v="4698"/>
    <x v="0"/>
    <x v="0"/>
    <m/>
    <x v="2"/>
    <m/>
    <m/>
  </r>
  <r>
    <x v="7"/>
    <x v="3"/>
    <x v="193"/>
    <n v="4611"/>
    <x v="1"/>
    <x v="0"/>
    <m/>
    <x v="4"/>
    <m/>
    <m/>
  </r>
  <r>
    <x v="7"/>
    <x v="3"/>
    <x v="194"/>
    <n v="5069"/>
    <x v="1"/>
    <x v="0"/>
    <m/>
    <x v="2"/>
    <m/>
    <m/>
  </r>
  <r>
    <x v="7"/>
    <x v="3"/>
    <x v="195"/>
    <n v="185"/>
    <x v="2"/>
    <x v="0"/>
    <m/>
    <x v="4"/>
    <m/>
    <m/>
  </r>
  <r>
    <x v="7"/>
    <x v="3"/>
    <x v="196"/>
    <n v="6388"/>
    <x v="3"/>
    <x v="1"/>
    <m/>
    <x v="2"/>
    <m/>
    <m/>
  </r>
  <r>
    <x v="7"/>
    <x v="3"/>
    <x v="197"/>
    <n v="5720"/>
    <x v="1"/>
    <x v="0"/>
    <m/>
    <x v="3"/>
    <m/>
    <m/>
  </r>
  <r>
    <x v="7"/>
    <x v="3"/>
    <x v="198"/>
    <n v="5722"/>
    <x v="1"/>
    <x v="0"/>
    <m/>
    <x v="3"/>
    <m/>
    <m/>
  </r>
  <r>
    <x v="7"/>
    <x v="3"/>
    <x v="199"/>
    <n v="6180"/>
    <x v="2"/>
    <x v="0"/>
    <m/>
    <x v="3"/>
    <m/>
    <m/>
  </r>
  <r>
    <x v="7"/>
    <x v="3"/>
    <x v="200"/>
    <n v="4423"/>
    <x v="2"/>
    <x v="0"/>
    <m/>
    <x v="4"/>
    <m/>
    <m/>
  </r>
  <r>
    <x v="7"/>
    <x v="3"/>
    <x v="201"/>
    <n v="5036"/>
    <x v="3"/>
    <x v="0"/>
    <m/>
    <x v="2"/>
    <m/>
    <m/>
  </r>
  <r>
    <x v="7"/>
    <x v="3"/>
    <x v="202"/>
    <n v="4899"/>
    <x v="0"/>
    <x v="0"/>
    <m/>
    <x v="4"/>
    <m/>
    <m/>
  </r>
  <r>
    <x v="7"/>
    <x v="3"/>
    <x v="204"/>
    <n v="6582"/>
    <x v="2"/>
    <x v="0"/>
    <m/>
    <x v="4"/>
    <m/>
    <m/>
  </r>
  <r>
    <x v="7"/>
    <x v="3"/>
    <x v="205"/>
    <n v="6580"/>
    <x v="1"/>
    <x v="0"/>
    <m/>
    <x v="2"/>
    <m/>
    <m/>
  </r>
  <r>
    <x v="8"/>
    <x v="1"/>
    <x v="71"/>
    <n v="6474"/>
    <x v="0"/>
    <x v="0"/>
    <m/>
    <x v="1"/>
    <m/>
    <m/>
  </r>
  <r>
    <x v="8"/>
    <x v="1"/>
    <x v="70"/>
    <n v="5110"/>
    <x v="2"/>
    <x v="0"/>
    <m/>
    <x v="0"/>
    <m/>
    <m/>
  </r>
  <r>
    <x v="8"/>
    <x v="1"/>
    <x v="72"/>
    <n v="6473"/>
    <x v="2"/>
    <x v="0"/>
    <m/>
    <x v="1"/>
    <m/>
    <m/>
  </r>
  <r>
    <x v="8"/>
    <x v="1"/>
    <x v="69"/>
    <n v="6394"/>
    <x v="3"/>
    <x v="1"/>
    <m/>
    <x v="1"/>
    <m/>
    <m/>
  </r>
  <r>
    <x v="8"/>
    <x v="0"/>
    <x v="0"/>
    <n v="5777"/>
    <x v="2"/>
    <x v="0"/>
    <m/>
    <x v="0"/>
    <m/>
    <m/>
  </r>
  <r>
    <x v="8"/>
    <x v="0"/>
    <x v="1"/>
    <n v="4838"/>
    <x v="2"/>
    <x v="0"/>
    <m/>
    <x v="0"/>
    <m/>
    <m/>
  </r>
  <r>
    <x v="8"/>
    <x v="0"/>
    <x v="2"/>
    <n v="4599"/>
    <x v="1"/>
    <x v="0"/>
    <m/>
    <x v="1"/>
    <m/>
    <m/>
  </r>
  <r>
    <x v="8"/>
    <x v="0"/>
    <x v="3"/>
    <n v="6566"/>
    <x v="2"/>
    <x v="0"/>
    <m/>
    <x v="1"/>
    <m/>
    <m/>
  </r>
  <r>
    <x v="8"/>
    <x v="0"/>
    <x v="4"/>
    <n v="5400"/>
    <x v="3"/>
    <x v="3"/>
    <m/>
    <x v="1"/>
    <m/>
    <m/>
  </r>
  <r>
    <x v="8"/>
    <x v="0"/>
    <x v="5"/>
    <n v="5094"/>
    <x v="0"/>
    <x v="0"/>
    <m/>
    <x v="0"/>
    <m/>
    <m/>
  </r>
  <r>
    <x v="8"/>
    <x v="0"/>
    <x v="6"/>
    <n v="6001"/>
    <x v="0"/>
    <x v="0"/>
    <m/>
    <x v="1"/>
    <m/>
    <m/>
  </r>
  <r>
    <x v="8"/>
    <x v="0"/>
    <x v="7"/>
    <n v="6573"/>
    <x v="1"/>
    <x v="0"/>
    <m/>
    <x v="1"/>
    <m/>
    <m/>
  </r>
  <r>
    <x v="8"/>
    <x v="0"/>
    <x v="8"/>
    <n v="5129"/>
    <x v="1"/>
    <x v="0"/>
    <m/>
    <x v="1"/>
    <m/>
    <m/>
  </r>
  <r>
    <x v="8"/>
    <x v="0"/>
    <x v="9"/>
    <n v="5663"/>
    <x v="1"/>
    <x v="0"/>
    <m/>
    <x v="1"/>
    <m/>
    <m/>
  </r>
  <r>
    <x v="8"/>
    <x v="0"/>
    <x v="10"/>
    <n v="4501"/>
    <x v="3"/>
    <x v="1"/>
    <m/>
    <x v="0"/>
    <m/>
    <m/>
  </r>
  <r>
    <x v="8"/>
    <x v="0"/>
    <x v="11"/>
    <n v="4936"/>
    <x v="0"/>
    <x v="0"/>
    <m/>
    <x v="1"/>
    <m/>
    <m/>
  </r>
  <r>
    <x v="8"/>
    <x v="0"/>
    <x v="12"/>
    <n v="3728"/>
    <x v="0"/>
    <x v="0"/>
    <m/>
    <x v="1"/>
    <m/>
    <m/>
  </r>
  <r>
    <x v="8"/>
    <x v="0"/>
    <x v="13"/>
    <n v="4955"/>
    <x v="1"/>
    <x v="0"/>
    <m/>
    <x v="1"/>
    <m/>
    <m/>
  </r>
  <r>
    <x v="8"/>
    <x v="0"/>
    <x v="14"/>
    <n v="6568"/>
    <x v="2"/>
    <x v="0"/>
    <m/>
    <x v="0"/>
    <m/>
    <m/>
  </r>
  <r>
    <x v="8"/>
    <x v="0"/>
    <x v="15"/>
    <n v="3721"/>
    <x v="1"/>
    <x v="0"/>
    <m/>
    <x v="1"/>
    <m/>
    <m/>
  </r>
  <r>
    <x v="8"/>
    <x v="0"/>
    <x v="16"/>
    <n v="6110"/>
    <x v="2"/>
    <x v="0"/>
    <m/>
    <x v="1"/>
    <m/>
    <m/>
  </r>
  <r>
    <x v="8"/>
    <x v="0"/>
    <x v="17"/>
    <n v="0"/>
    <x v="1"/>
    <x v="0"/>
    <m/>
    <x v="1"/>
    <m/>
    <m/>
  </r>
  <r>
    <x v="8"/>
    <x v="0"/>
    <x v="18"/>
    <n v="6330"/>
    <x v="0"/>
    <x v="0"/>
    <m/>
    <x v="0"/>
    <m/>
    <m/>
  </r>
  <r>
    <x v="8"/>
    <x v="0"/>
    <x v="19"/>
    <n v="5828"/>
    <x v="1"/>
    <x v="0"/>
    <m/>
    <x v="1"/>
    <m/>
    <m/>
  </r>
  <r>
    <x v="8"/>
    <x v="0"/>
    <x v="20"/>
    <n v="4775"/>
    <x v="3"/>
    <x v="3"/>
    <m/>
    <x v="0"/>
    <m/>
    <m/>
  </r>
  <r>
    <x v="8"/>
    <x v="0"/>
    <x v="22"/>
    <n v="5665"/>
    <x v="1"/>
    <x v="0"/>
    <m/>
    <x v="1"/>
    <m/>
    <m/>
  </r>
  <r>
    <x v="8"/>
    <x v="0"/>
    <x v="23"/>
    <n v="2463"/>
    <x v="2"/>
    <x v="0"/>
    <m/>
    <x v="2"/>
    <m/>
    <m/>
  </r>
  <r>
    <x v="8"/>
    <x v="0"/>
    <x v="24"/>
    <n v="6536"/>
    <x v="2"/>
    <x v="0"/>
    <m/>
    <x v="0"/>
    <m/>
    <m/>
  </r>
  <r>
    <x v="8"/>
    <x v="0"/>
    <x v="25"/>
    <n v="4748"/>
    <x v="3"/>
    <x v="4"/>
    <m/>
    <x v="1"/>
    <m/>
    <m/>
  </r>
  <r>
    <x v="8"/>
    <x v="0"/>
    <x v="27"/>
    <n v="6574"/>
    <x v="2"/>
    <x v="0"/>
    <m/>
    <x v="1"/>
    <m/>
    <m/>
  </r>
  <r>
    <x v="8"/>
    <x v="0"/>
    <x v="28"/>
    <n v="4720"/>
    <x v="2"/>
    <x v="0"/>
    <m/>
    <x v="0"/>
    <m/>
    <m/>
  </r>
  <r>
    <x v="8"/>
    <x v="0"/>
    <x v="29"/>
    <n v="6409"/>
    <x v="2"/>
    <x v="0"/>
    <m/>
    <x v="2"/>
    <m/>
    <m/>
  </r>
  <r>
    <x v="8"/>
    <x v="0"/>
    <x v="30"/>
    <n v="3396"/>
    <x v="2"/>
    <x v="0"/>
    <m/>
    <x v="1"/>
    <m/>
    <m/>
  </r>
  <r>
    <x v="8"/>
    <x v="0"/>
    <x v="31"/>
    <n v="6376"/>
    <x v="2"/>
    <x v="0"/>
    <m/>
    <x v="0"/>
    <m/>
    <m/>
  </r>
  <r>
    <x v="8"/>
    <x v="0"/>
    <x v="32"/>
    <n v="5014"/>
    <x v="2"/>
    <x v="0"/>
    <m/>
    <x v="0"/>
    <m/>
    <m/>
  </r>
  <r>
    <x v="8"/>
    <x v="0"/>
    <x v="33"/>
    <n v="3369"/>
    <x v="3"/>
    <x v="7"/>
    <m/>
    <x v="1"/>
    <m/>
    <s v="OČR od 29.9."/>
  </r>
  <r>
    <x v="8"/>
    <x v="0"/>
    <x v="34"/>
    <n v="6576"/>
    <x v="1"/>
    <x v="0"/>
    <m/>
    <x v="1"/>
    <m/>
    <m/>
  </r>
  <r>
    <x v="8"/>
    <x v="0"/>
    <x v="35"/>
    <n v="6352"/>
    <x v="1"/>
    <x v="0"/>
    <m/>
    <x v="1"/>
    <m/>
    <m/>
  </r>
  <r>
    <x v="8"/>
    <x v="0"/>
    <x v="40"/>
    <n v="4972"/>
    <x v="0"/>
    <x v="0"/>
    <m/>
    <x v="0"/>
    <m/>
    <m/>
  </r>
  <r>
    <x v="8"/>
    <x v="0"/>
    <x v="41"/>
    <n v="2230"/>
    <x v="0"/>
    <x v="0"/>
    <m/>
    <x v="1"/>
    <m/>
    <m/>
  </r>
  <r>
    <x v="8"/>
    <x v="0"/>
    <x v="42"/>
    <n v="5310"/>
    <x v="3"/>
    <x v="3"/>
    <m/>
    <x v="1"/>
    <m/>
    <m/>
  </r>
  <r>
    <x v="8"/>
    <x v="0"/>
    <x v="43"/>
    <n v="5948"/>
    <x v="3"/>
    <x v="1"/>
    <m/>
    <x v="1"/>
    <m/>
    <m/>
  </r>
  <r>
    <x v="8"/>
    <x v="0"/>
    <x v="44"/>
    <n v="6549"/>
    <x v="3"/>
    <x v="8"/>
    <m/>
    <x v="1"/>
    <m/>
    <m/>
  </r>
  <r>
    <x v="8"/>
    <x v="0"/>
    <x v="45"/>
    <n v="6538"/>
    <x v="3"/>
    <x v="8"/>
    <m/>
    <x v="1"/>
    <m/>
    <s v="ukončen 6.10.2025"/>
  </r>
  <r>
    <x v="8"/>
    <x v="0"/>
    <x v="46"/>
    <n v="5715"/>
    <x v="3"/>
    <x v="8"/>
    <m/>
    <x v="1"/>
    <m/>
    <m/>
  </r>
  <r>
    <x v="8"/>
    <x v="0"/>
    <x v="47"/>
    <n v="4514"/>
    <x v="1"/>
    <x v="0"/>
    <m/>
    <x v="1"/>
    <m/>
    <m/>
  </r>
  <r>
    <x v="8"/>
    <x v="0"/>
    <x v="48"/>
    <n v="5176"/>
    <x v="1"/>
    <x v="0"/>
    <m/>
    <x v="1"/>
    <m/>
    <m/>
  </r>
  <r>
    <x v="8"/>
    <x v="0"/>
    <x v="49"/>
    <n v="4163"/>
    <x v="2"/>
    <x v="0"/>
    <m/>
    <x v="1"/>
    <m/>
    <m/>
  </r>
  <r>
    <x v="8"/>
    <x v="0"/>
    <x v="50"/>
    <n v="3920"/>
    <x v="0"/>
    <x v="0"/>
    <m/>
    <x v="0"/>
    <m/>
    <m/>
  </r>
  <r>
    <x v="8"/>
    <x v="0"/>
    <x v="51"/>
    <n v="3257"/>
    <x v="0"/>
    <x v="0"/>
    <m/>
    <x v="1"/>
    <m/>
    <m/>
  </r>
  <r>
    <x v="8"/>
    <x v="0"/>
    <x v="52"/>
    <n v="3394"/>
    <x v="2"/>
    <x v="0"/>
    <m/>
    <x v="1"/>
    <m/>
    <m/>
  </r>
  <r>
    <x v="8"/>
    <x v="0"/>
    <x v="53"/>
    <n v="4828"/>
    <x v="3"/>
    <x v="1"/>
    <m/>
    <x v="0"/>
    <m/>
    <m/>
  </r>
  <r>
    <x v="8"/>
    <x v="0"/>
    <x v="54"/>
    <n v="4155"/>
    <x v="1"/>
    <x v="0"/>
    <m/>
    <x v="1"/>
    <m/>
    <m/>
  </r>
  <r>
    <x v="8"/>
    <x v="0"/>
    <x v="55"/>
    <n v="0"/>
    <x v="2"/>
    <x v="0"/>
    <m/>
    <x v="1"/>
    <m/>
    <m/>
  </r>
  <r>
    <x v="8"/>
    <x v="0"/>
    <x v="56"/>
    <n v="5179"/>
    <x v="1"/>
    <x v="0"/>
    <m/>
    <x v="1"/>
    <m/>
    <m/>
  </r>
  <r>
    <x v="8"/>
    <x v="0"/>
    <x v="57"/>
    <n v="4912"/>
    <x v="0"/>
    <x v="0"/>
    <m/>
    <x v="0"/>
    <m/>
    <m/>
  </r>
  <r>
    <x v="8"/>
    <x v="0"/>
    <x v="38"/>
    <n v="6507"/>
    <x v="0"/>
    <x v="0"/>
    <m/>
    <x v="1"/>
    <m/>
    <m/>
  </r>
  <r>
    <x v="8"/>
    <x v="0"/>
    <x v="59"/>
    <n v="3937"/>
    <x v="2"/>
    <x v="0"/>
    <m/>
    <x v="1"/>
    <m/>
    <m/>
  </r>
  <r>
    <x v="8"/>
    <x v="0"/>
    <x v="60"/>
    <n v="6076"/>
    <x v="2"/>
    <x v="0"/>
    <m/>
    <x v="1"/>
    <m/>
    <m/>
  </r>
  <r>
    <x v="8"/>
    <x v="0"/>
    <x v="61"/>
    <n v="3648"/>
    <x v="0"/>
    <x v="0"/>
    <m/>
    <x v="1"/>
    <m/>
    <m/>
  </r>
  <r>
    <x v="8"/>
    <x v="0"/>
    <x v="62"/>
    <n v="4602"/>
    <x v="1"/>
    <x v="0"/>
    <m/>
    <x v="1"/>
    <m/>
    <m/>
  </r>
  <r>
    <x v="8"/>
    <x v="0"/>
    <x v="63"/>
    <n v="4940"/>
    <x v="0"/>
    <x v="0"/>
    <m/>
    <x v="1"/>
    <m/>
    <m/>
  </r>
  <r>
    <x v="8"/>
    <x v="0"/>
    <x v="64"/>
    <n v="5660"/>
    <x v="2"/>
    <x v="0"/>
    <m/>
    <x v="1"/>
    <m/>
    <m/>
  </r>
  <r>
    <x v="8"/>
    <x v="0"/>
    <x v="65"/>
    <n v="6243"/>
    <x v="3"/>
    <x v="8"/>
    <m/>
    <x v="0"/>
    <m/>
    <m/>
  </r>
  <r>
    <x v="8"/>
    <x v="0"/>
    <x v="66"/>
    <n v="6339"/>
    <x v="3"/>
    <x v="1"/>
    <m/>
    <x v="1"/>
    <m/>
    <m/>
  </r>
  <r>
    <x v="8"/>
    <x v="0"/>
    <x v="67"/>
    <n v="4928"/>
    <x v="1"/>
    <x v="0"/>
    <m/>
    <x v="1"/>
    <m/>
    <m/>
  </r>
  <r>
    <x v="8"/>
    <x v="0"/>
    <x v="68"/>
    <n v="0"/>
    <x v="1"/>
    <x v="0"/>
    <m/>
    <x v="1"/>
    <m/>
    <m/>
  </r>
  <r>
    <x v="8"/>
    <x v="0"/>
    <x v="203"/>
    <n v="6581"/>
    <x v="1"/>
    <x v="0"/>
    <m/>
    <x v="1"/>
    <m/>
    <m/>
  </r>
  <r>
    <x v="8"/>
    <x v="2"/>
    <x v="73"/>
    <n v="6259"/>
    <x v="2"/>
    <x v="0"/>
    <m/>
    <x v="2"/>
    <m/>
    <m/>
  </r>
  <r>
    <x v="8"/>
    <x v="2"/>
    <x v="74"/>
    <n v="3951"/>
    <x v="0"/>
    <x v="0"/>
    <m/>
    <x v="2"/>
    <m/>
    <m/>
  </r>
  <r>
    <x v="8"/>
    <x v="2"/>
    <x v="75"/>
    <n v="6450"/>
    <x v="0"/>
    <x v="0"/>
    <m/>
    <x v="3"/>
    <m/>
    <m/>
  </r>
  <r>
    <x v="8"/>
    <x v="2"/>
    <x v="77"/>
    <n v="5584"/>
    <x v="0"/>
    <x v="0"/>
    <m/>
    <x v="2"/>
    <m/>
    <m/>
  </r>
  <r>
    <x v="8"/>
    <x v="2"/>
    <x v="78"/>
    <n v="6418"/>
    <x v="2"/>
    <x v="0"/>
    <m/>
    <x v="2"/>
    <m/>
    <m/>
  </r>
  <r>
    <x v="8"/>
    <x v="2"/>
    <x v="79"/>
    <n v="6177"/>
    <x v="0"/>
    <x v="0"/>
    <m/>
    <x v="4"/>
    <m/>
    <m/>
  </r>
  <r>
    <x v="8"/>
    <x v="2"/>
    <x v="206"/>
    <n v="4894"/>
    <x v="0"/>
    <x v="0"/>
    <m/>
    <x v="2"/>
    <m/>
    <m/>
  </r>
  <r>
    <x v="8"/>
    <x v="2"/>
    <x v="80"/>
    <n v="6543"/>
    <x v="0"/>
    <x v="0"/>
    <m/>
    <x v="4"/>
    <m/>
    <m/>
  </r>
  <r>
    <x v="8"/>
    <x v="2"/>
    <x v="81"/>
    <n v="6541"/>
    <x v="0"/>
    <x v="0"/>
    <m/>
    <x v="3"/>
    <m/>
    <m/>
  </r>
  <r>
    <x v="8"/>
    <x v="2"/>
    <x v="82"/>
    <n v="6442"/>
    <x v="2"/>
    <x v="0"/>
    <m/>
    <x v="3"/>
    <m/>
    <m/>
  </r>
  <r>
    <x v="8"/>
    <x v="2"/>
    <x v="83"/>
    <n v="6143"/>
    <x v="2"/>
    <x v="0"/>
    <m/>
    <x v="2"/>
    <m/>
    <m/>
  </r>
  <r>
    <x v="8"/>
    <x v="2"/>
    <x v="84"/>
    <n v="6260"/>
    <x v="2"/>
    <x v="0"/>
    <m/>
    <x v="2"/>
    <m/>
    <m/>
  </r>
  <r>
    <x v="8"/>
    <x v="2"/>
    <x v="87"/>
    <n v="6430"/>
    <x v="2"/>
    <x v="0"/>
    <m/>
    <x v="2"/>
    <m/>
    <m/>
  </r>
  <r>
    <x v="8"/>
    <x v="2"/>
    <x v="89"/>
    <n v="6016"/>
    <x v="2"/>
    <x v="0"/>
    <m/>
    <x v="3"/>
    <m/>
    <m/>
  </r>
  <r>
    <x v="8"/>
    <x v="2"/>
    <x v="90"/>
    <n v="6437"/>
    <x v="2"/>
    <x v="0"/>
    <m/>
    <x v="3"/>
    <m/>
    <m/>
  </r>
  <r>
    <x v="8"/>
    <x v="2"/>
    <x v="91"/>
    <n v="6431"/>
    <x v="2"/>
    <x v="0"/>
    <m/>
    <x v="4"/>
    <m/>
    <m/>
  </r>
  <r>
    <x v="8"/>
    <x v="2"/>
    <x v="92"/>
    <n v="6119"/>
    <x v="0"/>
    <x v="0"/>
    <m/>
    <x v="4"/>
    <m/>
    <m/>
  </r>
  <r>
    <x v="8"/>
    <x v="2"/>
    <x v="93"/>
    <n v="6559"/>
    <x v="0"/>
    <x v="0"/>
    <m/>
    <x v="4"/>
    <m/>
    <m/>
  </r>
  <r>
    <x v="8"/>
    <x v="2"/>
    <x v="95"/>
    <n v="4392"/>
    <x v="0"/>
    <x v="0"/>
    <m/>
    <x v="4"/>
    <m/>
    <m/>
  </r>
  <r>
    <x v="8"/>
    <x v="2"/>
    <x v="96"/>
    <n v="6514"/>
    <x v="2"/>
    <x v="0"/>
    <m/>
    <x v="3"/>
    <m/>
    <m/>
  </r>
  <r>
    <x v="8"/>
    <x v="2"/>
    <x v="97"/>
    <n v="6516"/>
    <x v="2"/>
    <x v="0"/>
    <m/>
    <x v="4"/>
    <m/>
    <m/>
  </r>
  <r>
    <x v="8"/>
    <x v="2"/>
    <x v="98"/>
    <n v="0"/>
    <x v="2"/>
    <x v="0"/>
    <m/>
    <x v="2"/>
    <m/>
    <m/>
  </r>
  <r>
    <x v="8"/>
    <x v="2"/>
    <x v="100"/>
    <n v="6158"/>
    <x v="0"/>
    <x v="0"/>
    <m/>
    <x v="3"/>
    <m/>
    <m/>
  </r>
  <r>
    <x v="8"/>
    <x v="2"/>
    <x v="102"/>
    <n v="3063"/>
    <x v="0"/>
    <x v="0"/>
    <m/>
    <x v="3"/>
    <m/>
    <m/>
  </r>
  <r>
    <x v="8"/>
    <x v="2"/>
    <x v="103"/>
    <n v="5853"/>
    <x v="2"/>
    <x v="0"/>
    <m/>
    <x v="3"/>
    <m/>
    <m/>
  </r>
  <r>
    <x v="8"/>
    <x v="2"/>
    <x v="104"/>
    <n v="6408"/>
    <x v="0"/>
    <x v="0"/>
    <m/>
    <x v="2"/>
    <m/>
    <m/>
  </r>
  <r>
    <x v="8"/>
    <x v="2"/>
    <x v="105"/>
    <n v="6544"/>
    <x v="2"/>
    <x v="0"/>
    <m/>
    <x v="4"/>
    <m/>
    <m/>
  </r>
  <r>
    <x v="8"/>
    <x v="2"/>
    <x v="109"/>
    <n v="0"/>
    <x v="2"/>
    <x v="0"/>
    <m/>
    <x v="3"/>
    <m/>
    <m/>
  </r>
  <r>
    <x v="8"/>
    <x v="2"/>
    <x v="112"/>
    <n v="6558"/>
    <x v="2"/>
    <x v="0"/>
    <m/>
    <x v="4"/>
    <m/>
    <m/>
  </r>
  <r>
    <x v="8"/>
    <x v="2"/>
    <x v="112"/>
    <n v="6558"/>
    <x v="2"/>
    <x v="0"/>
    <m/>
    <x v="4"/>
    <m/>
    <m/>
  </r>
  <r>
    <x v="8"/>
    <x v="2"/>
    <x v="111"/>
    <n v="6152"/>
    <x v="0"/>
    <x v="0"/>
    <m/>
    <x v="3"/>
    <m/>
    <m/>
  </r>
  <r>
    <x v="8"/>
    <x v="3"/>
    <x v="115"/>
    <n v="6537"/>
    <x v="1"/>
    <x v="0"/>
    <m/>
    <x v="3"/>
    <m/>
    <m/>
  </r>
  <r>
    <x v="8"/>
    <x v="3"/>
    <x v="116"/>
    <n v="5802"/>
    <x v="0"/>
    <x v="0"/>
    <m/>
    <x v="2"/>
    <m/>
    <m/>
  </r>
  <r>
    <x v="8"/>
    <x v="3"/>
    <x v="117"/>
    <n v="4869"/>
    <x v="2"/>
    <x v="0"/>
    <m/>
    <x v="2"/>
    <m/>
    <m/>
  </r>
  <r>
    <x v="8"/>
    <x v="3"/>
    <x v="118"/>
    <n v="6508"/>
    <x v="1"/>
    <x v="0"/>
    <m/>
    <x v="2"/>
    <m/>
    <m/>
  </r>
  <r>
    <x v="8"/>
    <x v="3"/>
    <x v="119"/>
    <n v="4607"/>
    <x v="0"/>
    <x v="0"/>
    <m/>
    <x v="3"/>
    <m/>
    <m/>
  </r>
  <r>
    <x v="8"/>
    <x v="3"/>
    <x v="120"/>
    <n v="5047"/>
    <x v="2"/>
    <x v="0"/>
    <m/>
    <x v="2"/>
    <m/>
    <m/>
  </r>
  <r>
    <x v="8"/>
    <x v="3"/>
    <x v="121"/>
    <n v="4616"/>
    <x v="0"/>
    <x v="0"/>
    <m/>
    <x v="2"/>
    <m/>
    <m/>
  </r>
  <r>
    <x v="8"/>
    <x v="3"/>
    <x v="122"/>
    <n v="4961"/>
    <x v="1"/>
    <x v="0"/>
    <m/>
    <x v="2"/>
    <m/>
    <m/>
  </r>
  <r>
    <x v="8"/>
    <x v="3"/>
    <x v="123"/>
    <n v="4721"/>
    <x v="1"/>
    <x v="0"/>
    <m/>
    <x v="3"/>
    <m/>
    <m/>
  </r>
  <r>
    <x v="8"/>
    <x v="3"/>
    <x v="124"/>
    <n v="4845"/>
    <x v="2"/>
    <x v="0"/>
    <m/>
    <x v="2"/>
    <m/>
    <m/>
  </r>
  <r>
    <x v="8"/>
    <x v="3"/>
    <x v="125"/>
    <n v="47"/>
    <x v="3"/>
    <x v="3"/>
    <m/>
    <x v="4"/>
    <m/>
    <m/>
  </r>
  <r>
    <x v="8"/>
    <x v="3"/>
    <x v="126"/>
    <n v="6332"/>
    <x v="2"/>
    <x v="0"/>
    <m/>
    <x v="2"/>
    <m/>
    <m/>
  </r>
  <r>
    <x v="8"/>
    <x v="3"/>
    <x v="127"/>
    <n v="4871"/>
    <x v="2"/>
    <x v="0"/>
    <m/>
    <x v="2"/>
    <m/>
    <m/>
  </r>
  <r>
    <x v="8"/>
    <x v="3"/>
    <x v="128"/>
    <n v="4755"/>
    <x v="0"/>
    <x v="0"/>
    <m/>
    <x v="3"/>
    <m/>
    <m/>
  </r>
  <r>
    <x v="8"/>
    <x v="3"/>
    <x v="129"/>
    <n v="49"/>
    <x v="1"/>
    <x v="0"/>
    <m/>
    <x v="3"/>
    <s v="Odpolední"/>
    <m/>
  </r>
  <r>
    <x v="8"/>
    <x v="3"/>
    <x v="130"/>
    <n v="5839"/>
    <x v="2"/>
    <x v="0"/>
    <m/>
    <x v="4"/>
    <m/>
    <m/>
  </r>
  <r>
    <x v="8"/>
    <x v="3"/>
    <x v="131"/>
    <n v="6487"/>
    <x v="0"/>
    <x v="0"/>
    <m/>
    <x v="4"/>
    <m/>
    <m/>
  </r>
  <r>
    <x v="8"/>
    <x v="3"/>
    <x v="132"/>
    <n v="6292"/>
    <x v="2"/>
    <x v="0"/>
    <m/>
    <x v="2"/>
    <m/>
    <m/>
  </r>
  <r>
    <x v="8"/>
    <x v="3"/>
    <x v="133"/>
    <n v="5198"/>
    <x v="2"/>
    <x v="0"/>
    <m/>
    <x v="2"/>
    <m/>
    <m/>
  </r>
  <r>
    <x v="8"/>
    <x v="3"/>
    <x v="134"/>
    <n v="6368"/>
    <x v="2"/>
    <x v="0"/>
    <m/>
    <x v="2"/>
    <m/>
    <m/>
  </r>
  <r>
    <x v="8"/>
    <x v="3"/>
    <x v="135"/>
    <n v="5595"/>
    <x v="1"/>
    <x v="0"/>
    <m/>
    <x v="3"/>
    <m/>
    <m/>
  </r>
  <r>
    <x v="8"/>
    <x v="3"/>
    <x v="136"/>
    <n v="4960"/>
    <x v="2"/>
    <x v="0"/>
    <m/>
    <x v="4"/>
    <m/>
    <m/>
  </r>
  <r>
    <x v="8"/>
    <x v="3"/>
    <x v="137"/>
    <n v="5125"/>
    <x v="0"/>
    <x v="0"/>
    <m/>
    <x v="2"/>
    <m/>
    <m/>
  </r>
  <r>
    <x v="8"/>
    <x v="3"/>
    <x v="138"/>
    <n v="6127"/>
    <x v="0"/>
    <x v="0"/>
    <m/>
    <x v="3"/>
    <m/>
    <m/>
  </r>
  <r>
    <x v="8"/>
    <x v="3"/>
    <x v="139"/>
    <n v="5583"/>
    <x v="2"/>
    <x v="0"/>
    <m/>
    <x v="3"/>
    <m/>
    <m/>
  </r>
  <r>
    <x v="8"/>
    <x v="3"/>
    <x v="140"/>
    <n v="123"/>
    <x v="0"/>
    <x v="0"/>
    <m/>
    <x v="4"/>
    <m/>
    <m/>
  </r>
  <r>
    <x v="8"/>
    <x v="3"/>
    <x v="141"/>
    <n v="5525"/>
    <x v="0"/>
    <x v="0"/>
    <m/>
    <x v="2"/>
    <m/>
    <m/>
  </r>
  <r>
    <x v="8"/>
    <x v="3"/>
    <x v="142"/>
    <n v="126"/>
    <x v="1"/>
    <x v="0"/>
    <m/>
    <x v="2"/>
    <m/>
    <m/>
  </r>
  <r>
    <x v="8"/>
    <x v="3"/>
    <x v="143"/>
    <n v="127"/>
    <x v="1"/>
    <x v="0"/>
    <m/>
    <x v="3"/>
    <m/>
    <m/>
  </r>
  <r>
    <x v="8"/>
    <x v="3"/>
    <x v="144"/>
    <n v="4847"/>
    <x v="1"/>
    <x v="0"/>
    <m/>
    <x v="2"/>
    <m/>
    <m/>
  </r>
  <r>
    <x v="8"/>
    <x v="3"/>
    <x v="145"/>
    <n v="750"/>
    <x v="1"/>
    <x v="0"/>
    <m/>
    <x v="2"/>
    <m/>
    <m/>
  </r>
  <r>
    <x v="8"/>
    <x v="3"/>
    <x v="146"/>
    <n v="4663"/>
    <x v="0"/>
    <x v="0"/>
    <m/>
    <x v="3"/>
    <m/>
    <m/>
  </r>
  <r>
    <x v="8"/>
    <x v="3"/>
    <x v="147"/>
    <n v="131"/>
    <x v="1"/>
    <x v="0"/>
    <m/>
    <x v="3"/>
    <m/>
    <m/>
  </r>
  <r>
    <x v="8"/>
    <x v="3"/>
    <x v="148"/>
    <n v="5620"/>
    <x v="0"/>
    <x v="0"/>
    <m/>
    <x v="2"/>
    <m/>
    <m/>
  </r>
  <r>
    <x v="8"/>
    <x v="3"/>
    <x v="149"/>
    <n v="4868"/>
    <x v="1"/>
    <x v="0"/>
    <m/>
    <x v="2"/>
    <m/>
    <m/>
  </r>
  <r>
    <x v="8"/>
    <x v="3"/>
    <x v="150"/>
    <n v="5026"/>
    <x v="1"/>
    <x v="0"/>
    <m/>
    <x v="2"/>
    <m/>
    <m/>
  </r>
  <r>
    <x v="8"/>
    <x v="3"/>
    <x v="151"/>
    <n v="6424"/>
    <x v="2"/>
    <x v="0"/>
    <m/>
    <x v="4"/>
    <m/>
    <m/>
  </r>
  <r>
    <x v="8"/>
    <x v="3"/>
    <x v="152"/>
    <n v="5004"/>
    <x v="1"/>
    <x v="0"/>
    <m/>
    <x v="2"/>
    <m/>
    <m/>
  </r>
  <r>
    <x v="8"/>
    <x v="3"/>
    <x v="153"/>
    <n v="136"/>
    <x v="1"/>
    <x v="0"/>
    <m/>
    <x v="3"/>
    <m/>
    <m/>
  </r>
  <r>
    <x v="8"/>
    <x v="3"/>
    <x v="154"/>
    <n v="19"/>
    <x v="1"/>
    <x v="0"/>
    <m/>
    <x v="2"/>
    <m/>
    <m/>
  </r>
  <r>
    <x v="8"/>
    <x v="3"/>
    <x v="155"/>
    <n v="4791"/>
    <x v="1"/>
    <x v="0"/>
    <m/>
    <x v="2"/>
    <m/>
    <m/>
  </r>
  <r>
    <x v="8"/>
    <x v="3"/>
    <x v="156"/>
    <n v="5121"/>
    <x v="0"/>
    <x v="0"/>
    <m/>
    <x v="3"/>
    <m/>
    <m/>
  </r>
  <r>
    <x v="8"/>
    <x v="3"/>
    <x v="158"/>
    <n v="6193"/>
    <x v="0"/>
    <x v="0"/>
    <m/>
    <x v="3"/>
    <m/>
    <m/>
  </r>
  <r>
    <x v="8"/>
    <x v="3"/>
    <x v="159"/>
    <n v="146"/>
    <x v="1"/>
    <x v="0"/>
    <m/>
    <x v="3"/>
    <m/>
    <m/>
  </r>
  <r>
    <x v="8"/>
    <x v="3"/>
    <x v="160"/>
    <n v="4745"/>
    <x v="1"/>
    <x v="0"/>
    <m/>
    <x v="2"/>
    <m/>
    <m/>
  </r>
  <r>
    <x v="8"/>
    <x v="3"/>
    <x v="162"/>
    <n v="5209"/>
    <x v="3"/>
    <x v="3"/>
    <m/>
    <x v="2"/>
    <m/>
    <m/>
  </r>
  <r>
    <x v="8"/>
    <x v="3"/>
    <x v="163"/>
    <n v="4790"/>
    <x v="1"/>
    <x v="0"/>
    <m/>
    <x v="3"/>
    <m/>
    <m/>
  </r>
  <r>
    <x v="8"/>
    <x v="3"/>
    <x v="164"/>
    <n v="4727"/>
    <x v="2"/>
    <x v="0"/>
    <m/>
    <x v="4"/>
    <m/>
    <m/>
  </r>
  <r>
    <x v="8"/>
    <x v="3"/>
    <x v="165"/>
    <n v="6488"/>
    <x v="0"/>
    <x v="0"/>
    <m/>
    <x v="3"/>
    <m/>
    <m/>
  </r>
  <r>
    <x v="8"/>
    <x v="3"/>
    <x v="166"/>
    <n v="5604"/>
    <x v="0"/>
    <x v="0"/>
    <m/>
    <x v="2"/>
    <m/>
    <m/>
  </r>
  <r>
    <x v="8"/>
    <x v="3"/>
    <x v="167"/>
    <n v="5632"/>
    <x v="0"/>
    <x v="0"/>
    <m/>
    <x v="4"/>
    <m/>
    <m/>
  </r>
  <r>
    <x v="8"/>
    <x v="3"/>
    <x v="168"/>
    <n v="5980"/>
    <x v="1"/>
    <x v="0"/>
    <m/>
    <x v="3"/>
    <m/>
    <m/>
  </r>
  <r>
    <x v="8"/>
    <x v="3"/>
    <x v="169"/>
    <n v="5481"/>
    <x v="1"/>
    <x v="0"/>
    <m/>
    <x v="3"/>
    <m/>
    <m/>
  </r>
  <r>
    <x v="8"/>
    <x v="3"/>
    <x v="170"/>
    <n v="150"/>
    <x v="3"/>
    <x v="1"/>
    <m/>
    <x v="4"/>
    <m/>
    <m/>
  </r>
  <r>
    <x v="8"/>
    <x v="3"/>
    <x v="171"/>
    <n v="5120"/>
    <x v="0"/>
    <x v="0"/>
    <m/>
    <x v="2"/>
    <m/>
    <m/>
  </r>
  <r>
    <x v="8"/>
    <x v="3"/>
    <x v="172"/>
    <n v="4713"/>
    <x v="1"/>
    <x v="0"/>
    <m/>
    <x v="4"/>
    <m/>
    <m/>
  </r>
  <r>
    <x v="8"/>
    <x v="3"/>
    <x v="173"/>
    <n v="6318"/>
    <x v="0"/>
    <x v="0"/>
    <m/>
    <x v="4"/>
    <m/>
    <m/>
  </r>
  <r>
    <x v="8"/>
    <x v="3"/>
    <x v="174"/>
    <n v="5712"/>
    <x v="0"/>
    <x v="0"/>
    <m/>
    <x v="2"/>
    <m/>
    <m/>
  </r>
  <r>
    <x v="8"/>
    <x v="3"/>
    <x v="175"/>
    <n v="4744"/>
    <x v="2"/>
    <x v="0"/>
    <m/>
    <x v="3"/>
    <m/>
    <m/>
  </r>
  <r>
    <x v="8"/>
    <x v="3"/>
    <x v="177"/>
    <n v="155"/>
    <x v="2"/>
    <x v="0"/>
    <m/>
    <x v="4"/>
    <m/>
    <m/>
  </r>
  <r>
    <x v="8"/>
    <x v="3"/>
    <x v="178"/>
    <n v="6178"/>
    <x v="0"/>
    <x v="0"/>
    <m/>
    <x v="3"/>
    <m/>
    <m/>
  </r>
  <r>
    <x v="8"/>
    <x v="3"/>
    <x v="179"/>
    <n v="6345"/>
    <x v="0"/>
    <x v="0"/>
    <m/>
    <x v="4"/>
    <m/>
    <m/>
  </r>
  <r>
    <x v="8"/>
    <x v="3"/>
    <x v="180"/>
    <n v="5601"/>
    <x v="2"/>
    <x v="0"/>
    <m/>
    <x v="3"/>
    <m/>
    <m/>
  </r>
  <r>
    <x v="8"/>
    <x v="3"/>
    <x v="181"/>
    <n v="5152"/>
    <x v="0"/>
    <x v="0"/>
    <m/>
    <x v="2"/>
    <m/>
    <m/>
  </r>
  <r>
    <x v="8"/>
    <x v="3"/>
    <x v="182"/>
    <n v="176"/>
    <x v="2"/>
    <x v="0"/>
    <m/>
    <x v="2"/>
    <m/>
    <m/>
  </r>
  <r>
    <x v="8"/>
    <x v="3"/>
    <x v="183"/>
    <n v="177"/>
    <x v="1"/>
    <x v="0"/>
    <m/>
    <x v="3"/>
    <m/>
    <m/>
  </r>
  <r>
    <x v="8"/>
    <x v="3"/>
    <x v="184"/>
    <n v="5555"/>
    <x v="1"/>
    <x v="0"/>
    <m/>
    <x v="2"/>
    <m/>
    <m/>
  </r>
  <r>
    <x v="8"/>
    <x v="3"/>
    <x v="185"/>
    <n v="4959"/>
    <x v="1"/>
    <x v="0"/>
    <m/>
    <x v="2"/>
    <m/>
    <m/>
  </r>
  <r>
    <x v="8"/>
    <x v="3"/>
    <x v="186"/>
    <n v="4919"/>
    <x v="0"/>
    <x v="0"/>
    <m/>
    <x v="2"/>
    <m/>
    <m/>
  </r>
  <r>
    <x v="8"/>
    <x v="3"/>
    <x v="187"/>
    <n v="4724"/>
    <x v="0"/>
    <x v="0"/>
    <m/>
    <x v="2"/>
    <m/>
    <m/>
  </r>
  <r>
    <x v="8"/>
    <x v="3"/>
    <x v="188"/>
    <n v="183"/>
    <x v="2"/>
    <x v="0"/>
    <m/>
    <x v="4"/>
    <m/>
    <m/>
  </r>
  <r>
    <x v="8"/>
    <x v="3"/>
    <x v="189"/>
    <n v="5545"/>
    <x v="3"/>
    <x v="7"/>
    <m/>
    <x v="2"/>
    <m/>
    <s v="OČR od 29.9."/>
  </r>
  <r>
    <x v="8"/>
    <x v="3"/>
    <x v="190"/>
    <n v="5526"/>
    <x v="0"/>
    <x v="0"/>
    <m/>
    <x v="2"/>
    <m/>
    <m/>
  </r>
  <r>
    <x v="8"/>
    <x v="3"/>
    <x v="191"/>
    <n v="5192"/>
    <x v="0"/>
    <x v="0"/>
    <m/>
    <x v="2"/>
    <m/>
    <m/>
  </r>
  <r>
    <x v="8"/>
    <x v="3"/>
    <x v="192"/>
    <n v="4698"/>
    <x v="0"/>
    <x v="0"/>
    <m/>
    <x v="2"/>
    <m/>
    <m/>
  </r>
  <r>
    <x v="8"/>
    <x v="3"/>
    <x v="193"/>
    <n v="4611"/>
    <x v="1"/>
    <x v="0"/>
    <m/>
    <x v="4"/>
    <m/>
    <m/>
  </r>
  <r>
    <x v="8"/>
    <x v="3"/>
    <x v="194"/>
    <n v="5069"/>
    <x v="1"/>
    <x v="0"/>
    <m/>
    <x v="2"/>
    <m/>
    <m/>
  </r>
  <r>
    <x v="8"/>
    <x v="3"/>
    <x v="195"/>
    <n v="185"/>
    <x v="2"/>
    <x v="0"/>
    <m/>
    <x v="4"/>
    <m/>
    <m/>
  </r>
  <r>
    <x v="8"/>
    <x v="3"/>
    <x v="196"/>
    <n v="6388"/>
    <x v="3"/>
    <x v="1"/>
    <m/>
    <x v="2"/>
    <m/>
    <m/>
  </r>
  <r>
    <x v="8"/>
    <x v="3"/>
    <x v="197"/>
    <n v="5720"/>
    <x v="3"/>
    <x v="6"/>
    <m/>
    <x v="3"/>
    <m/>
    <m/>
  </r>
  <r>
    <x v="8"/>
    <x v="3"/>
    <x v="198"/>
    <n v="5722"/>
    <x v="3"/>
    <x v="2"/>
    <m/>
    <x v="3"/>
    <m/>
    <m/>
  </r>
  <r>
    <x v="8"/>
    <x v="3"/>
    <x v="199"/>
    <n v="6180"/>
    <x v="1"/>
    <x v="0"/>
    <m/>
    <x v="3"/>
    <s v="ranní"/>
    <m/>
  </r>
  <r>
    <x v="8"/>
    <x v="3"/>
    <x v="200"/>
    <n v="4423"/>
    <x v="2"/>
    <x v="0"/>
    <m/>
    <x v="4"/>
    <m/>
    <m/>
  </r>
  <r>
    <x v="8"/>
    <x v="3"/>
    <x v="201"/>
    <n v="5036"/>
    <x v="3"/>
    <x v="0"/>
    <m/>
    <x v="2"/>
    <m/>
    <m/>
  </r>
  <r>
    <x v="8"/>
    <x v="3"/>
    <x v="202"/>
    <n v="4899"/>
    <x v="0"/>
    <x v="0"/>
    <m/>
    <x v="4"/>
    <m/>
    <m/>
  </r>
  <r>
    <x v="8"/>
    <x v="3"/>
    <x v="204"/>
    <n v="6582"/>
    <x v="2"/>
    <x v="0"/>
    <m/>
    <x v="4"/>
    <m/>
    <m/>
  </r>
  <r>
    <x v="8"/>
    <x v="3"/>
    <x v="205"/>
    <n v="6580"/>
    <x v="3"/>
    <x v="8"/>
    <m/>
    <x v="2"/>
    <m/>
    <m/>
  </r>
  <r>
    <x v="8"/>
    <x v="3"/>
    <x v="117"/>
    <n v="4869"/>
    <x v="1"/>
    <x v="0"/>
    <m/>
    <x v="2"/>
    <m/>
    <m/>
  </r>
  <r>
    <x v="8"/>
    <x v="3"/>
    <x v="207"/>
    <n v="6593"/>
    <x v="0"/>
    <x v="0"/>
    <m/>
    <x v="4"/>
    <m/>
    <m/>
  </r>
  <r>
    <x v="8"/>
    <x v="3"/>
    <x v="208"/>
    <n v="6595"/>
    <x v="1"/>
    <x v="0"/>
    <m/>
    <x v="4"/>
    <m/>
    <m/>
  </r>
  <r>
    <x v="8"/>
    <x v="3"/>
    <x v="209"/>
    <n v="6596"/>
    <x v="1"/>
    <x v="0"/>
    <m/>
    <x v="3"/>
    <m/>
    <m/>
  </r>
  <r>
    <x v="9"/>
    <x v="1"/>
    <x v="71"/>
    <n v="6474"/>
    <x v="0"/>
    <x v="0"/>
    <m/>
    <x v="1"/>
    <m/>
    <m/>
  </r>
  <r>
    <x v="9"/>
    <x v="1"/>
    <x v="70"/>
    <n v="5110"/>
    <x v="2"/>
    <x v="0"/>
    <m/>
    <x v="0"/>
    <m/>
    <m/>
  </r>
  <r>
    <x v="9"/>
    <x v="1"/>
    <x v="72"/>
    <n v="6473"/>
    <x v="2"/>
    <x v="0"/>
    <m/>
    <x v="1"/>
    <m/>
    <m/>
  </r>
  <r>
    <x v="9"/>
    <x v="1"/>
    <x v="69"/>
    <n v="6394"/>
    <x v="3"/>
    <x v="1"/>
    <m/>
    <x v="1"/>
    <m/>
    <m/>
  </r>
  <r>
    <x v="9"/>
    <x v="0"/>
    <x v="0"/>
    <n v="5777"/>
    <x v="2"/>
    <x v="0"/>
    <m/>
    <x v="0"/>
    <m/>
    <m/>
  </r>
  <r>
    <x v="9"/>
    <x v="0"/>
    <x v="1"/>
    <n v="4838"/>
    <x v="2"/>
    <x v="0"/>
    <m/>
    <x v="0"/>
    <m/>
    <m/>
  </r>
  <r>
    <x v="9"/>
    <x v="0"/>
    <x v="2"/>
    <n v="4599"/>
    <x v="1"/>
    <x v="0"/>
    <m/>
    <x v="1"/>
    <m/>
    <m/>
  </r>
  <r>
    <x v="9"/>
    <x v="0"/>
    <x v="3"/>
    <n v="6566"/>
    <x v="2"/>
    <x v="0"/>
    <m/>
    <x v="1"/>
    <m/>
    <m/>
  </r>
  <r>
    <x v="9"/>
    <x v="0"/>
    <x v="4"/>
    <n v="5400"/>
    <x v="3"/>
    <x v="1"/>
    <m/>
    <x v="1"/>
    <m/>
    <m/>
  </r>
  <r>
    <x v="9"/>
    <x v="0"/>
    <x v="5"/>
    <n v="5094"/>
    <x v="0"/>
    <x v="0"/>
    <m/>
    <x v="0"/>
    <m/>
    <m/>
  </r>
  <r>
    <x v="9"/>
    <x v="0"/>
    <x v="6"/>
    <n v="6001"/>
    <x v="0"/>
    <x v="0"/>
    <m/>
    <x v="1"/>
    <m/>
    <m/>
  </r>
  <r>
    <x v="9"/>
    <x v="0"/>
    <x v="7"/>
    <n v="6573"/>
    <x v="1"/>
    <x v="0"/>
    <m/>
    <x v="1"/>
    <m/>
    <m/>
  </r>
  <r>
    <x v="9"/>
    <x v="0"/>
    <x v="8"/>
    <n v="5129"/>
    <x v="1"/>
    <x v="0"/>
    <m/>
    <x v="1"/>
    <m/>
    <m/>
  </r>
  <r>
    <x v="9"/>
    <x v="0"/>
    <x v="9"/>
    <n v="5663"/>
    <x v="1"/>
    <x v="0"/>
    <m/>
    <x v="1"/>
    <m/>
    <m/>
  </r>
  <r>
    <x v="9"/>
    <x v="0"/>
    <x v="10"/>
    <n v="4501"/>
    <x v="3"/>
    <x v="1"/>
    <m/>
    <x v="0"/>
    <m/>
    <m/>
  </r>
  <r>
    <x v="9"/>
    <x v="0"/>
    <x v="11"/>
    <n v="4936"/>
    <x v="0"/>
    <x v="0"/>
    <m/>
    <x v="1"/>
    <m/>
    <m/>
  </r>
  <r>
    <x v="9"/>
    <x v="0"/>
    <x v="12"/>
    <n v="3728"/>
    <x v="0"/>
    <x v="0"/>
    <m/>
    <x v="1"/>
    <m/>
    <m/>
  </r>
  <r>
    <x v="9"/>
    <x v="0"/>
    <x v="13"/>
    <n v="4955"/>
    <x v="1"/>
    <x v="0"/>
    <m/>
    <x v="1"/>
    <m/>
    <m/>
  </r>
  <r>
    <x v="9"/>
    <x v="0"/>
    <x v="14"/>
    <n v="6568"/>
    <x v="2"/>
    <x v="0"/>
    <m/>
    <x v="0"/>
    <m/>
    <m/>
  </r>
  <r>
    <x v="9"/>
    <x v="0"/>
    <x v="15"/>
    <n v="3721"/>
    <x v="1"/>
    <x v="0"/>
    <m/>
    <x v="1"/>
    <m/>
    <m/>
  </r>
  <r>
    <x v="9"/>
    <x v="0"/>
    <x v="16"/>
    <n v="6110"/>
    <x v="2"/>
    <x v="0"/>
    <m/>
    <x v="1"/>
    <m/>
    <m/>
  </r>
  <r>
    <x v="9"/>
    <x v="0"/>
    <x v="17"/>
    <n v="0"/>
    <x v="1"/>
    <x v="0"/>
    <m/>
    <x v="1"/>
    <m/>
    <m/>
  </r>
  <r>
    <x v="9"/>
    <x v="0"/>
    <x v="18"/>
    <n v="6330"/>
    <x v="0"/>
    <x v="0"/>
    <m/>
    <x v="0"/>
    <m/>
    <m/>
  </r>
  <r>
    <x v="9"/>
    <x v="0"/>
    <x v="19"/>
    <n v="5828"/>
    <x v="1"/>
    <x v="0"/>
    <m/>
    <x v="1"/>
    <m/>
    <m/>
  </r>
  <r>
    <x v="9"/>
    <x v="0"/>
    <x v="20"/>
    <n v="4775"/>
    <x v="3"/>
    <x v="3"/>
    <m/>
    <x v="0"/>
    <m/>
    <m/>
  </r>
  <r>
    <x v="9"/>
    <x v="0"/>
    <x v="22"/>
    <n v="5665"/>
    <x v="1"/>
    <x v="0"/>
    <m/>
    <x v="1"/>
    <m/>
    <m/>
  </r>
  <r>
    <x v="9"/>
    <x v="0"/>
    <x v="23"/>
    <n v="2463"/>
    <x v="2"/>
    <x v="0"/>
    <m/>
    <x v="2"/>
    <m/>
    <m/>
  </r>
  <r>
    <x v="9"/>
    <x v="0"/>
    <x v="24"/>
    <n v="6536"/>
    <x v="2"/>
    <x v="0"/>
    <m/>
    <x v="0"/>
    <m/>
    <m/>
  </r>
  <r>
    <x v="9"/>
    <x v="0"/>
    <x v="25"/>
    <n v="4748"/>
    <x v="1"/>
    <x v="0"/>
    <m/>
    <x v="1"/>
    <m/>
    <m/>
  </r>
  <r>
    <x v="9"/>
    <x v="0"/>
    <x v="27"/>
    <n v="6574"/>
    <x v="2"/>
    <x v="0"/>
    <m/>
    <x v="1"/>
    <m/>
    <m/>
  </r>
  <r>
    <x v="9"/>
    <x v="0"/>
    <x v="28"/>
    <n v="4720"/>
    <x v="2"/>
    <x v="0"/>
    <m/>
    <x v="0"/>
    <m/>
    <m/>
  </r>
  <r>
    <x v="9"/>
    <x v="0"/>
    <x v="29"/>
    <n v="6409"/>
    <x v="2"/>
    <x v="0"/>
    <m/>
    <x v="2"/>
    <m/>
    <m/>
  </r>
  <r>
    <x v="9"/>
    <x v="0"/>
    <x v="30"/>
    <n v="3396"/>
    <x v="2"/>
    <x v="0"/>
    <m/>
    <x v="1"/>
    <m/>
    <m/>
  </r>
  <r>
    <x v="9"/>
    <x v="0"/>
    <x v="31"/>
    <n v="6376"/>
    <x v="2"/>
    <x v="0"/>
    <m/>
    <x v="0"/>
    <m/>
    <m/>
  </r>
  <r>
    <x v="9"/>
    <x v="0"/>
    <x v="32"/>
    <n v="5014"/>
    <x v="2"/>
    <x v="0"/>
    <m/>
    <x v="0"/>
    <m/>
    <m/>
  </r>
  <r>
    <x v="9"/>
    <x v="0"/>
    <x v="33"/>
    <n v="3369"/>
    <x v="3"/>
    <x v="7"/>
    <m/>
    <x v="1"/>
    <m/>
    <s v="OČR od 29.9."/>
  </r>
  <r>
    <x v="9"/>
    <x v="0"/>
    <x v="34"/>
    <n v="6576"/>
    <x v="1"/>
    <x v="0"/>
    <m/>
    <x v="1"/>
    <m/>
    <m/>
  </r>
  <r>
    <x v="9"/>
    <x v="0"/>
    <x v="35"/>
    <n v="6352"/>
    <x v="1"/>
    <x v="0"/>
    <m/>
    <x v="1"/>
    <m/>
    <m/>
  </r>
  <r>
    <x v="9"/>
    <x v="0"/>
    <x v="40"/>
    <n v="4972"/>
    <x v="0"/>
    <x v="0"/>
    <m/>
    <x v="0"/>
    <m/>
    <m/>
  </r>
  <r>
    <x v="9"/>
    <x v="0"/>
    <x v="41"/>
    <n v="2230"/>
    <x v="0"/>
    <x v="0"/>
    <m/>
    <x v="1"/>
    <m/>
    <m/>
  </r>
  <r>
    <x v="9"/>
    <x v="0"/>
    <x v="42"/>
    <n v="5310"/>
    <x v="3"/>
    <x v="3"/>
    <m/>
    <x v="1"/>
    <m/>
    <m/>
  </r>
  <r>
    <x v="9"/>
    <x v="0"/>
    <x v="43"/>
    <n v="5948"/>
    <x v="3"/>
    <x v="1"/>
    <m/>
    <x v="1"/>
    <m/>
    <m/>
  </r>
  <r>
    <x v="9"/>
    <x v="0"/>
    <x v="44"/>
    <n v="6549"/>
    <x v="3"/>
    <x v="8"/>
    <m/>
    <x v="1"/>
    <m/>
    <m/>
  </r>
  <r>
    <x v="9"/>
    <x v="0"/>
    <x v="46"/>
    <n v="5715"/>
    <x v="2"/>
    <x v="0"/>
    <m/>
    <x v="1"/>
    <m/>
    <m/>
  </r>
  <r>
    <x v="9"/>
    <x v="0"/>
    <x v="47"/>
    <n v="4514"/>
    <x v="1"/>
    <x v="0"/>
    <m/>
    <x v="1"/>
    <m/>
    <m/>
  </r>
  <r>
    <x v="9"/>
    <x v="0"/>
    <x v="48"/>
    <n v="5176"/>
    <x v="1"/>
    <x v="0"/>
    <m/>
    <x v="1"/>
    <m/>
    <m/>
  </r>
  <r>
    <x v="9"/>
    <x v="0"/>
    <x v="49"/>
    <n v="4163"/>
    <x v="2"/>
    <x v="0"/>
    <m/>
    <x v="1"/>
    <m/>
    <m/>
  </r>
  <r>
    <x v="9"/>
    <x v="0"/>
    <x v="50"/>
    <n v="3920"/>
    <x v="0"/>
    <x v="0"/>
    <m/>
    <x v="0"/>
    <m/>
    <m/>
  </r>
  <r>
    <x v="9"/>
    <x v="0"/>
    <x v="51"/>
    <n v="3257"/>
    <x v="0"/>
    <x v="0"/>
    <m/>
    <x v="1"/>
    <m/>
    <m/>
  </r>
  <r>
    <x v="9"/>
    <x v="0"/>
    <x v="52"/>
    <n v="3394"/>
    <x v="2"/>
    <x v="0"/>
    <m/>
    <x v="1"/>
    <m/>
    <m/>
  </r>
  <r>
    <x v="9"/>
    <x v="0"/>
    <x v="53"/>
    <n v="4828"/>
    <x v="3"/>
    <x v="1"/>
    <m/>
    <x v="0"/>
    <m/>
    <m/>
  </r>
  <r>
    <x v="9"/>
    <x v="0"/>
    <x v="54"/>
    <n v="4155"/>
    <x v="1"/>
    <x v="0"/>
    <m/>
    <x v="1"/>
    <m/>
    <m/>
  </r>
  <r>
    <x v="9"/>
    <x v="0"/>
    <x v="55"/>
    <n v="0"/>
    <x v="2"/>
    <x v="0"/>
    <m/>
    <x v="1"/>
    <m/>
    <m/>
  </r>
  <r>
    <x v="9"/>
    <x v="0"/>
    <x v="56"/>
    <n v="5179"/>
    <x v="1"/>
    <x v="0"/>
    <m/>
    <x v="1"/>
    <m/>
    <m/>
  </r>
  <r>
    <x v="9"/>
    <x v="0"/>
    <x v="57"/>
    <n v="4912"/>
    <x v="0"/>
    <x v="0"/>
    <m/>
    <x v="0"/>
    <m/>
    <m/>
  </r>
  <r>
    <x v="9"/>
    <x v="0"/>
    <x v="38"/>
    <n v="6507"/>
    <x v="0"/>
    <x v="0"/>
    <m/>
    <x v="1"/>
    <m/>
    <m/>
  </r>
  <r>
    <x v="9"/>
    <x v="0"/>
    <x v="59"/>
    <n v="3937"/>
    <x v="2"/>
    <x v="0"/>
    <m/>
    <x v="1"/>
    <m/>
    <m/>
  </r>
  <r>
    <x v="9"/>
    <x v="0"/>
    <x v="60"/>
    <n v="6076"/>
    <x v="2"/>
    <x v="0"/>
    <m/>
    <x v="1"/>
    <m/>
    <m/>
  </r>
  <r>
    <x v="9"/>
    <x v="0"/>
    <x v="61"/>
    <n v="3648"/>
    <x v="0"/>
    <x v="0"/>
    <m/>
    <x v="1"/>
    <m/>
    <m/>
  </r>
  <r>
    <x v="9"/>
    <x v="0"/>
    <x v="62"/>
    <n v="4602"/>
    <x v="1"/>
    <x v="0"/>
    <m/>
    <x v="1"/>
    <m/>
    <m/>
  </r>
  <r>
    <x v="9"/>
    <x v="0"/>
    <x v="63"/>
    <n v="4940"/>
    <x v="0"/>
    <x v="0"/>
    <m/>
    <x v="1"/>
    <m/>
    <m/>
  </r>
  <r>
    <x v="9"/>
    <x v="0"/>
    <x v="64"/>
    <n v="5660"/>
    <x v="2"/>
    <x v="0"/>
    <m/>
    <x v="1"/>
    <m/>
    <m/>
  </r>
  <r>
    <x v="9"/>
    <x v="0"/>
    <x v="65"/>
    <n v="6243"/>
    <x v="3"/>
    <x v="8"/>
    <m/>
    <x v="0"/>
    <m/>
    <m/>
  </r>
  <r>
    <x v="9"/>
    <x v="0"/>
    <x v="66"/>
    <n v="6339"/>
    <x v="3"/>
    <x v="1"/>
    <m/>
    <x v="1"/>
    <m/>
    <m/>
  </r>
  <r>
    <x v="9"/>
    <x v="0"/>
    <x v="67"/>
    <n v="4928"/>
    <x v="1"/>
    <x v="0"/>
    <m/>
    <x v="1"/>
    <m/>
    <m/>
  </r>
  <r>
    <x v="9"/>
    <x v="0"/>
    <x v="68"/>
    <n v="0"/>
    <x v="1"/>
    <x v="0"/>
    <m/>
    <x v="1"/>
    <m/>
    <m/>
  </r>
  <r>
    <x v="9"/>
    <x v="0"/>
    <x v="203"/>
    <n v="6581"/>
    <x v="1"/>
    <x v="0"/>
    <m/>
    <x v="1"/>
    <m/>
    <m/>
  </r>
  <r>
    <x v="9"/>
    <x v="2"/>
    <x v="73"/>
    <n v="6259"/>
    <x v="2"/>
    <x v="0"/>
    <m/>
    <x v="2"/>
    <m/>
    <m/>
  </r>
  <r>
    <x v="9"/>
    <x v="2"/>
    <x v="74"/>
    <n v="3951"/>
    <x v="0"/>
    <x v="0"/>
    <m/>
    <x v="2"/>
    <m/>
    <m/>
  </r>
  <r>
    <x v="9"/>
    <x v="2"/>
    <x v="75"/>
    <n v="6450"/>
    <x v="0"/>
    <x v="0"/>
    <m/>
    <x v="3"/>
    <m/>
    <m/>
  </r>
  <r>
    <x v="9"/>
    <x v="2"/>
    <x v="77"/>
    <n v="5584"/>
    <x v="0"/>
    <x v="0"/>
    <m/>
    <x v="2"/>
    <m/>
    <m/>
  </r>
  <r>
    <x v="9"/>
    <x v="2"/>
    <x v="78"/>
    <n v="6418"/>
    <x v="2"/>
    <x v="0"/>
    <m/>
    <x v="2"/>
    <m/>
    <m/>
  </r>
  <r>
    <x v="9"/>
    <x v="2"/>
    <x v="79"/>
    <n v="6177"/>
    <x v="0"/>
    <x v="0"/>
    <m/>
    <x v="4"/>
    <m/>
    <m/>
  </r>
  <r>
    <x v="9"/>
    <x v="2"/>
    <x v="206"/>
    <n v="4894"/>
    <x v="0"/>
    <x v="0"/>
    <m/>
    <x v="2"/>
    <m/>
    <m/>
  </r>
  <r>
    <x v="9"/>
    <x v="2"/>
    <x v="80"/>
    <n v="6543"/>
    <x v="0"/>
    <x v="0"/>
    <m/>
    <x v="4"/>
    <m/>
    <m/>
  </r>
  <r>
    <x v="9"/>
    <x v="2"/>
    <x v="81"/>
    <n v="6541"/>
    <x v="0"/>
    <x v="0"/>
    <m/>
    <x v="3"/>
    <m/>
    <m/>
  </r>
  <r>
    <x v="9"/>
    <x v="2"/>
    <x v="82"/>
    <n v="6442"/>
    <x v="2"/>
    <x v="0"/>
    <m/>
    <x v="3"/>
    <m/>
    <m/>
  </r>
  <r>
    <x v="9"/>
    <x v="2"/>
    <x v="83"/>
    <n v="6143"/>
    <x v="2"/>
    <x v="0"/>
    <m/>
    <x v="2"/>
    <m/>
    <m/>
  </r>
  <r>
    <x v="9"/>
    <x v="2"/>
    <x v="84"/>
    <n v="6260"/>
    <x v="2"/>
    <x v="0"/>
    <m/>
    <x v="2"/>
    <m/>
    <m/>
  </r>
  <r>
    <x v="9"/>
    <x v="2"/>
    <x v="87"/>
    <n v="6430"/>
    <x v="2"/>
    <x v="0"/>
    <m/>
    <x v="2"/>
    <m/>
    <m/>
  </r>
  <r>
    <x v="9"/>
    <x v="2"/>
    <x v="89"/>
    <n v="6016"/>
    <x v="2"/>
    <x v="0"/>
    <m/>
    <x v="3"/>
    <m/>
    <m/>
  </r>
  <r>
    <x v="9"/>
    <x v="2"/>
    <x v="90"/>
    <n v="6437"/>
    <x v="2"/>
    <x v="0"/>
    <m/>
    <x v="3"/>
    <m/>
    <m/>
  </r>
  <r>
    <x v="9"/>
    <x v="2"/>
    <x v="91"/>
    <n v="6431"/>
    <x v="2"/>
    <x v="0"/>
    <m/>
    <x v="4"/>
    <m/>
    <m/>
  </r>
  <r>
    <x v="9"/>
    <x v="2"/>
    <x v="92"/>
    <n v="6119"/>
    <x v="0"/>
    <x v="0"/>
    <m/>
    <x v="4"/>
    <m/>
    <m/>
  </r>
  <r>
    <x v="9"/>
    <x v="2"/>
    <x v="93"/>
    <n v="6559"/>
    <x v="0"/>
    <x v="0"/>
    <m/>
    <x v="4"/>
    <m/>
    <m/>
  </r>
  <r>
    <x v="9"/>
    <x v="2"/>
    <x v="95"/>
    <n v="4392"/>
    <x v="0"/>
    <x v="0"/>
    <m/>
    <x v="4"/>
    <m/>
    <m/>
  </r>
  <r>
    <x v="9"/>
    <x v="2"/>
    <x v="96"/>
    <n v="6514"/>
    <x v="2"/>
    <x v="0"/>
    <m/>
    <x v="3"/>
    <m/>
    <m/>
  </r>
  <r>
    <x v="9"/>
    <x v="2"/>
    <x v="97"/>
    <n v="6516"/>
    <x v="2"/>
    <x v="0"/>
    <m/>
    <x v="4"/>
    <m/>
    <m/>
  </r>
  <r>
    <x v="9"/>
    <x v="2"/>
    <x v="98"/>
    <n v="0"/>
    <x v="2"/>
    <x v="0"/>
    <m/>
    <x v="2"/>
    <m/>
    <m/>
  </r>
  <r>
    <x v="9"/>
    <x v="2"/>
    <x v="100"/>
    <n v="6158"/>
    <x v="0"/>
    <x v="0"/>
    <m/>
    <x v="3"/>
    <m/>
    <m/>
  </r>
  <r>
    <x v="9"/>
    <x v="2"/>
    <x v="102"/>
    <n v="3063"/>
    <x v="0"/>
    <x v="0"/>
    <m/>
    <x v="3"/>
    <m/>
    <m/>
  </r>
  <r>
    <x v="9"/>
    <x v="2"/>
    <x v="103"/>
    <n v="5853"/>
    <x v="2"/>
    <x v="0"/>
    <m/>
    <x v="3"/>
    <m/>
    <m/>
  </r>
  <r>
    <x v="9"/>
    <x v="2"/>
    <x v="104"/>
    <n v="6408"/>
    <x v="0"/>
    <x v="0"/>
    <m/>
    <x v="2"/>
    <m/>
    <m/>
  </r>
  <r>
    <x v="9"/>
    <x v="2"/>
    <x v="105"/>
    <n v="6544"/>
    <x v="2"/>
    <x v="0"/>
    <m/>
    <x v="4"/>
    <m/>
    <m/>
  </r>
  <r>
    <x v="9"/>
    <x v="2"/>
    <x v="109"/>
    <n v="0"/>
    <x v="2"/>
    <x v="0"/>
    <m/>
    <x v="3"/>
    <m/>
    <m/>
  </r>
  <r>
    <x v="9"/>
    <x v="2"/>
    <x v="112"/>
    <n v="6558"/>
    <x v="2"/>
    <x v="0"/>
    <m/>
    <x v="4"/>
    <m/>
    <m/>
  </r>
  <r>
    <x v="9"/>
    <x v="2"/>
    <x v="112"/>
    <n v="6558"/>
    <x v="2"/>
    <x v="0"/>
    <m/>
    <x v="4"/>
    <m/>
    <m/>
  </r>
  <r>
    <x v="9"/>
    <x v="2"/>
    <x v="111"/>
    <n v="6152"/>
    <x v="0"/>
    <x v="0"/>
    <m/>
    <x v="3"/>
    <m/>
    <m/>
  </r>
  <r>
    <x v="9"/>
    <x v="3"/>
    <x v="115"/>
    <n v="6537"/>
    <x v="1"/>
    <x v="0"/>
    <m/>
    <x v="3"/>
    <m/>
    <m/>
  </r>
  <r>
    <x v="9"/>
    <x v="3"/>
    <x v="116"/>
    <n v="5802"/>
    <x v="0"/>
    <x v="0"/>
    <m/>
    <x v="2"/>
    <m/>
    <m/>
  </r>
  <r>
    <x v="9"/>
    <x v="3"/>
    <x v="117"/>
    <n v="4869"/>
    <x v="2"/>
    <x v="0"/>
    <m/>
    <x v="2"/>
    <m/>
    <m/>
  </r>
  <r>
    <x v="9"/>
    <x v="3"/>
    <x v="118"/>
    <n v="6508"/>
    <x v="1"/>
    <x v="0"/>
    <m/>
    <x v="2"/>
    <m/>
    <m/>
  </r>
  <r>
    <x v="9"/>
    <x v="3"/>
    <x v="119"/>
    <n v="4607"/>
    <x v="0"/>
    <x v="0"/>
    <m/>
    <x v="3"/>
    <m/>
    <m/>
  </r>
  <r>
    <x v="9"/>
    <x v="3"/>
    <x v="120"/>
    <n v="5047"/>
    <x v="2"/>
    <x v="0"/>
    <m/>
    <x v="2"/>
    <m/>
    <m/>
  </r>
  <r>
    <x v="9"/>
    <x v="3"/>
    <x v="121"/>
    <n v="4616"/>
    <x v="0"/>
    <x v="0"/>
    <m/>
    <x v="2"/>
    <m/>
    <m/>
  </r>
  <r>
    <x v="9"/>
    <x v="3"/>
    <x v="122"/>
    <n v="4961"/>
    <x v="1"/>
    <x v="0"/>
    <m/>
    <x v="2"/>
    <m/>
    <m/>
  </r>
  <r>
    <x v="9"/>
    <x v="3"/>
    <x v="123"/>
    <n v="4721"/>
    <x v="1"/>
    <x v="0"/>
    <m/>
    <x v="3"/>
    <m/>
    <m/>
  </r>
  <r>
    <x v="9"/>
    <x v="3"/>
    <x v="124"/>
    <n v="4845"/>
    <x v="2"/>
    <x v="0"/>
    <m/>
    <x v="2"/>
    <m/>
    <m/>
  </r>
  <r>
    <x v="9"/>
    <x v="3"/>
    <x v="125"/>
    <n v="47"/>
    <x v="3"/>
    <x v="1"/>
    <m/>
    <x v="4"/>
    <m/>
    <m/>
  </r>
  <r>
    <x v="9"/>
    <x v="3"/>
    <x v="126"/>
    <n v="6332"/>
    <x v="2"/>
    <x v="0"/>
    <m/>
    <x v="2"/>
    <m/>
    <m/>
  </r>
  <r>
    <x v="9"/>
    <x v="3"/>
    <x v="127"/>
    <n v="4871"/>
    <x v="2"/>
    <x v="0"/>
    <m/>
    <x v="2"/>
    <m/>
    <m/>
  </r>
  <r>
    <x v="9"/>
    <x v="3"/>
    <x v="128"/>
    <n v="4755"/>
    <x v="0"/>
    <x v="0"/>
    <m/>
    <x v="3"/>
    <m/>
    <m/>
  </r>
  <r>
    <x v="9"/>
    <x v="3"/>
    <x v="129"/>
    <n v="49"/>
    <x v="1"/>
    <x v="0"/>
    <m/>
    <x v="3"/>
    <m/>
    <m/>
  </r>
  <r>
    <x v="9"/>
    <x v="3"/>
    <x v="130"/>
    <n v="5839"/>
    <x v="2"/>
    <x v="0"/>
    <m/>
    <x v="4"/>
    <m/>
    <m/>
  </r>
  <r>
    <x v="9"/>
    <x v="3"/>
    <x v="131"/>
    <n v="6487"/>
    <x v="0"/>
    <x v="0"/>
    <m/>
    <x v="4"/>
    <m/>
    <m/>
  </r>
  <r>
    <x v="9"/>
    <x v="3"/>
    <x v="132"/>
    <n v="6292"/>
    <x v="3"/>
    <x v="1"/>
    <m/>
    <x v="2"/>
    <m/>
    <m/>
  </r>
  <r>
    <x v="9"/>
    <x v="3"/>
    <x v="133"/>
    <n v="5198"/>
    <x v="2"/>
    <x v="0"/>
    <m/>
    <x v="2"/>
    <m/>
    <m/>
  </r>
  <r>
    <x v="9"/>
    <x v="3"/>
    <x v="134"/>
    <n v="6368"/>
    <x v="2"/>
    <x v="0"/>
    <m/>
    <x v="2"/>
    <m/>
    <m/>
  </r>
  <r>
    <x v="9"/>
    <x v="3"/>
    <x v="135"/>
    <n v="5595"/>
    <x v="1"/>
    <x v="0"/>
    <m/>
    <x v="3"/>
    <m/>
    <m/>
  </r>
  <r>
    <x v="9"/>
    <x v="3"/>
    <x v="136"/>
    <n v="4960"/>
    <x v="2"/>
    <x v="0"/>
    <m/>
    <x v="4"/>
    <m/>
    <m/>
  </r>
  <r>
    <x v="9"/>
    <x v="3"/>
    <x v="137"/>
    <n v="5125"/>
    <x v="0"/>
    <x v="0"/>
    <m/>
    <x v="2"/>
    <m/>
    <m/>
  </r>
  <r>
    <x v="9"/>
    <x v="3"/>
    <x v="138"/>
    <n v="6127"/>
    <x v="0"/>
    <x v="0"/>
    <m/>
    <x v="3"/>
    <m/>
    <m/>
  </r>
  <r>
    <x v="9"/>
    <x v="3"/>
    <x v="139"/>
    <n v="5583"/>
    <x v="2"/>
    <x v="0"/>
    <m/>
    <x v="3"/>
    <m/>
    <m/>
  </r>
  <r>
    <x v="9"/>
    <x v="3"/>
    <x v="140"/>
    <n v="123"/>
    <x v="0"/>
    <x v="0"/>
    <m/>
    <x v="4"/>
    <m/>
    <m/>
  </r>
  <r>
    <x v="9"/>
    <x v="3"/>
    <x v="141"/>
    <n v="5525"/>
    <x v="0"/>
    <x v="0"/>
    <m/>
    <x v="2"/>
    <m/>
    <m/>
  </r>
  <r>
    <x v="9"/>
    <x v="3"/>
    <x v="142"/>
    <n v="126"/>
    <x v="1"/>
    <x v="0"/>
    <m/>
    <x v="2"/>
    <m/>
    <m/>
  </r>
  <r>
    <x v="9"/>
    <x v="3"/>
    <x v="143"/>
    <n v="127"/>
    <x v="1"/>
    <x v="0"/>
    <m/>
    <x v="3"/>
    <m/>
    <m/>
  </r>
  <r>
    <x v="9"/>
    <x v="3"/>
    <x v="144"/>
    <n v="4847"/>
    <x v="1"/>
    <x v="0"/>
    <m/>
    <x v="2"/>
    <m/>
    <m/>
  </r>
  <r>
    <x v="9"/>
    <x v="3"/>
    <x v="145"/>
    <n v="750"/>
    <x v="1"/>
    <x v="0"/>
    <m/>
    <x v="2"/>
    <m/>
    <m/>
  </r>
  <r>
    <x v="9"/>
    <x v="3"/>
    <x v="146"/>
    <n v="4663"/>
    <x v="0"/>
    <x v="0"/>
    <m/>
    <x v="3"/>
    <m/>
    <m/>
  </r>
  <r>
    <x v="9"/>
    <x v="3"/>
    <x v="147"/>
    <n v="131"/>
    <x v="1"/>
    <x v="0"/>
    <m/>
    <x v="3"/>
    <m/>
    <m/>
  </r>
  <r>
    <x v="9"/>
    <x v="3"/>
    <x v="148"/>
    <n v="5620"/>
    <x v="0"/>
    <x v="0"/>
    <m/>
    <x v="2"/>
    <m/>
    <m/>
  </r>
  <r>
    <x v="9"/>
    <x v="3"/>
    <x v="149"/>
    <n v="4868"/>
    <x v="1"/>
    <x v="0"/>
    <m/>
    <x v="2"/>
    <m/>
    <m/>
  </r>
  <r>
    <x v="9"/>
    <x v="3"/>
    <x v="150"/>
    <n v="5026"/>
    <x v="1"/>
    <x v="0"/>
    <m/>
    <x v="2"/>
    <m/>
    <m/>
  </r>
  <r>
    <x v="9"/>
    <x v="3"/>
    <x v="151"/>
    <n v="6424"/>
    <x v="2"/>
    <x v="0"/>
    <m/>
    <x v="4"/>
    <m/>
    <m/>
  </r>
  <r>
    <x v="9"/>
    <x v="3"/>
    <x v="152"/>
    <n v="5004"/>
    <x v="1"/>
    <x v="0"/>
    <m/>
    <x v="2"/>
    <m/>
    <m/>
  </r>
  <r>
    <x v="9"/>
    <x v="3"/>
    <x v="153"/>
    <n v="136"/>
    <x v="1"/>
    <x v="0"/>
    <m/>
    <x v="3"/>
    <m/>
    <m/>
  </r>
  <r>
    <x v="9"/>
    <x v="3"/>
    <x v="154"/>
    <n v="19"/>
    <x v="1"/>
    <x v="0"/>
    <m/>
    <x v="2"/>
    <m/>
    <m/>
  </r>
  <r>
    <x v="9"/>
    <x v="3"/>
    <x v="155"/>
    <n v="4791"/>
    <x v="1"/>
    <x v="0"/>
    <m/>
    <x v="2"/>
    <m/>
    <m/>
  </r>
  <r>
    <x v="9"/>
    <x v="3"/>
    <x v="156"/>
    <n v="5121"/>
    <x v="0"/>
    <x v="0"/>
    <m/>
    <x v="3"/>
    <m/>
    <m/>
  </r>
  <r>
    <x v="9"/>
    <x v="3"/>
    <x v="158"/>
    <n v="6193"/>
    <x v="3"/>
    <x v="3"/>
    <m/>
    <x v="3"/>
    <m/>
    <m/>
  </r>
  <r>
    <x v="9"/>
    <x v="3"/>
    <x v="159"/>
    <n v="146"/>
    <x v="1"/>
    <x v="0"/>
    <m/>
    <x v="3"/>
    <m/>
    <m/>
  </r>
  <r>
    <x v="9"/>
    <x v="3"/>
    <x v="160"/>
    <n v="4745"/>
    <x v="1"/>
    <x v="0"/>
    <m/>
    <x v="2"/>
    <m/>
    <m/>
  </r>
  <r>
    <x v="9"/>
    <x v="3"/>
    <x v="162"/>
    <n v="5209"/>
    <x v="0"/>
    <x v="0"/>
    <m/>
    <x v="2"/>
    <m/>
    <m/>
  </r>
  <r>
    <x v="9"/>
    <x v="3"/>
    <x v="163"/>
    <n v="4790"/>
    <x v="1"/>
    <x v="0"/>
    <m/>
    <x v="3"/>
    <m/>
    <m/>
  </r>
  <r>
    <x v="9"/>
    <x v="3"/>
    <x v="164"/>
    <n v="4727"/>
    <x v="2"/>
    <x v="0"/>
    <m/>
    <x v="4"/>
    <m/>
    <m/>
  </r>
  <r>
    <x v="9"/>
    <x v="3"/>
    <x v="165"/>
    <n v="6488"/>
    <x v="0"/>
    <x v="0"/>
    <m/>
    <x v="3"/>
    <m/>
    <m/>
  </r>
  <r>
    <x v="9"/>
    <x v="3"/>
    <x v="166"/>
    <n v="5604"/>
    <x v="0"/>
    <x v="0"/>
    <m/>
    <x v="2"/>
    <m/>
    <m/>
  </r>
  <r>
    <x v="9"/>
    <x v="3"/>
    <x v="167"/>
    <n v="5632"/>
    <x v="0"/>
    <x v="0"/>
    <m/>
    <x v="4"/>
    <m/>
    <m/>
  </r>
  <r>
    <x v="9"/>
    <x v="3"/>
    <x v="168"/>
    <n v="5980"/>
    <x v="1"/>
    <x v="0"/>
    <m/>
    <x v="3"/>
    <m/>
    <m/>
  </r>
  <r>
    <x v="9"/>
    <x v="3"/>
    <x v="169"/>
    <n v="5481"/>
    <x v="1"/>
    <x v="0"/>
    <m/>
    <x v="3"/>
    <m/>
    <m/>
  </r>
  <r>
    <x v="9"/>
    <x v="3"/>
    <x v="170"/>
    <n v="150"/>
    <x v="3"/>
    <x v="1"/>
    <m/>
    <x v="4"/>
    <m/>
    <m/>
  </r>
  <r>
    <x v="9"/>
    <x v="3"/>
    <x v="171"/>
    <n v="5120"/>
    <x v="0"/>
    <x v="0"/>
    <m/>
    <x v="2"/>
    <m/>
    <m/>
  </r>
  <r>
    <x v="9"/>
    <x v="3"/>
    <x v="172"/>
    <n v="4713"/>
    <x v="1"/>
    <x v="0"/>
    <m/>
    <x v="4"/>
    <m/>
    <m/>
  </r>
  <r>
    <x v="9"/>
    <x v="3"/>
    <x v="173"/>
    <n v="6318"/>
    <x v="0"/>
    <x v="0"/>
    <m/>
    <x v="4"/>
    <m/>
    <m/>
  </r>
  <r>
    <x v="9"/>
    <x v="3"/>
    <x v="174"/>
    <n v="5712"/>
    <x v="0"/>
    <x v="0"/>
    <m/>
    <x v="2"/>
    <m/>
    <m/>
  </r>
  <r>
    <x v="9"/>
    <x v="3"/>
    <x v="175"/>
    <n v="4744"/>
    <x v="2"/>
    <x v="0"/>
    <m/>
    <x v="3"/>
    <m/>
    <m/>
  </r>
  <r>
    <x v="9"/>
    <x v="3"/>
    <x v="177"/>
    <n v="155"/>
    <x v="2"/>
    <x v="0"/>
    <m/>
    <x v="4"/>
    <m/>
    <m/>
  </r>
  <r>
    <x v="9"/>
    <x v="3"/>
    <x v="178"/>
    <n v="6178"/>
    <x v="0"/>
    <x v="0"/>
    <m/>
    <x v="3"/>
    <m/>
    <m/>
  </r>
  <r>
    <x v="9"/>
    <x v="3"/>
    <x v="179"/>
    <n v="6345"/>
    <x v="0"/>
    <x v="0"/>
    <m/>
    <x v="4"/>
    <m/>
    <m/>
  </r>
  <r>
    <x v="9"/>
    <x v="3"/>
    <x v="180"/>
    <n v="5601"/>
    <x v="2"/>
    <x v="0"/>
    <m/>
    <x v="3"/>
    <m/>
    <m/>
  </r>
  <r>
    <x v="9"/>
    <x v="3"/>
    <x v="181"/>
    <n v="5152"/>
    <x v="0"/>
    <x v="0"/>
    <m/>
    <x v="2"/>
    <m/>
    <m/>
  </r>
  <r>
    <x v="9"/>
    <x v="3"/>
    <x v="182"/>
    <n v="176"/>
    <x v="2"/>
    <x v="0"/>
    <m/>
    <x v="2"/>
    <m/>
    <m/>
  </r>
  <r>
    <x v="9"/>
    <x v="3"/>
    <x v="183"/>
    <n v="177"/>
    <x v="1"/>
    <x v="0"/>
    <m/>
    <x v="3"/>
    <m/>
    <m/>
  </r>
  <r>
    <x v="9"/>
    <x v="3"/>
    <x v="184"/>
    <n v="5555"/>
    <x v="1"/>
    <x v="0"/>
    <m/>
    <x v="2"/>
    <m/>
    <m/>
  </r>
  <r>
    <x v="9"/>
    <x v="3"/>
    <x v="185"/>
    <n v="4959"/>
    <x v="1"/>
    <x v="0"/>
    <m/>
    <x v="2"/>
    <m/>
    <m/>
  </r>
  <r>
    <x v="9"/>
    <x v="3"/>
    <x v="186"/>
    <n v="4919"/>
    <x v="0"/>
    <x v="0"/>
    <m/>
    <x v="2"/>
    <m/>
    <m/>
  </r>
  <r>
    <x v="9"/>
    <x v="3"/>
    <x v="187"/>
    <n v="4724"/>
    <x v="0"/>
    <x v="0"/>
    <m/>
    <x v="2"/>
    <m/>
    <m/>
  </r>
  <r>
    <x v="9"/>
    <x v="3"/>
    <x v="188"/>
    <n v="183"/>
    <x v="2"/>
    <x v="0"/>
    <m/>
    <x v="4"/>
    <m/>
    <m/>
  </r>
  <r>
    <x v="9"/>
    <x v="3"/>
    <x v="189"/>
    <n v="5545"/>
    <x v="3"/>
    <x v="7"/>
    <m/>
    <x v="2"/>
    <m/>
    <s v="OČR od 29.9."/>
  </r>
  <r>
    <x v="9"/>
    <x v="3"/>
    <x v="190"/>
    <n v="5526"/>
    <x v="0"/>
    <x v="0"/>
    <m/>
    <x v="2"/>
    <m/>
    <m/>
  </r>
  <r>
    <x v="9"/>
    <x v="3"/>
    <x v="191"/>
    <n v="5192"/>
    <x v="0"/>
    <x v="0"/>
    <m/>
    <x v="2"/>
    <m/>
    <m/>
  </r>
  <r>
    <x v="9"/>
    <x v="3"/>
    <x v="192"/>
    <n v="4698"/>
    <x v="0"/>
    <x v="0"/>
    <m/>
    <x v="2"/>
    <m/>
    <m/>
  </r>
  <r>
    <x v="9"/>
    <x v="3"/>
    <x v="193"/>
    <n v="4611"/>
    <x v="1"/>
    <x v="0"/>
    <m/>
    <x v="4"/>
    <m/>
    <m/>
  </r>
  <r>
    <x v="9"/>
    <x v="3"/>
    <x v="194"/>
    <n v="5069"/>
    <x v="1"/>
    <x v="0"/>
    <m/>
    <x v="2"/>
    <m/>
    <m/>
  </r>
  <r>
    <x v="9"/>
    <x v="3"/>
    <x v="195"/>
    <n v="185"/>
    <x v="2"/>
    <x v="0"/>
    <m/>
    <x v="4"/>
    <m/>
    <m/>
  </r>
  <r>
    <x v="9"/>
    <x v="3"/>
    <x v="196"/>
    <n v="6388"/>
    <x v="3"/>
    <x v="1"/>
    <m/>
    <x v="2"/>
    <m/>
    <m/>
  </r>
  <r>
    <x v="9"/>
    <x v="3"/>
    <x v="197"/>
    <n v="5720"/>
    <x v="0"/>
    <x v="0"/>
    <m/>
    <x v="3"/>
    <m/>
    <m/>
  </r>
  <r>
    <x v="9"/>
    <x v="3"/>
    <x v="198"/>
    <n v="5722"/>
    <x v="0"/>
    <x v="0"/>
    <m/>
    <x v="3"/>
    <m/>
    <m/>
  </r>
  <r>
    <x v="9"/>
    <x v="3"/>
    <x v="199"/>
    <n v="6180"/>
    <x v="1"/>
    <x v="0"/>
    <m/>
    <x v="3"/>
    <m/>
    <m/>
  </r>
  <r>
    <x v="9"/>
    <x v="3"/>
    <x v="200"/>
    <n v="4423"/>
    <x v="2"/>
    <x v="0"/>
    <m/>
    <x v="4"/>
    <m/>
    <m/>
  </r>
  <r>
    <x v="9"/>
    <x v="3"/>
    <x v="201"/>
    <n v="5036"/>
    <x v="3"/>
    <x v="0"/>
    <m/>
    <x v="2"/>
    <m/>
    <m/>
  </r>
  <r>
    <x v="9"/>
    <x v="3"/>
    <x v="202"/>
    <n v="4899"/>
    <x v="0"/>
    <x v="0"/>
    <m/>
    <x v="4"/>
    <m/>
    <m/>
  </r>
  <r>
    <x v="9"/>
    <x v="3"/>
    <x v="204"/>
    <n v="6582"/>
    <x v="2"/>
    <x v="0"/>
    <m/>
    <x v="4"/>
    <m/>
    <m/>
  </r>
  <r>
    <x v="9"/>
    <x v="3"/>
    <x v="205"/>
    <n v="6580"/>
    <x v="0"/>
    <x v="0"/>
    <m/>
    <x v="2"/>
    <m/>
    <m/>
  </r>
  <r>
    <x v="9"/>
    <x v="3"/>
    <x v="117"/>
    <n v="4869"/>
    <x v="0"/>
    <x v="0"/>
    <m/>
    <x v="2"/>
    <m/>
    <m/>
  </r>
  <r>
    <x v="9"/>
    <x v="3"/>
    <x v="207"/>
    <n v="6593"/>
    <x v="0"/>
    <x v="0"/>
    <m/>
    <x v="4"/>
    <m/>
    <m/>
  </r>
  <r>
    <x v="9"/>
    <x v="3"/>
    <x v="208"/>
    <n v="6595"/>
    <x v="1"/>
    <x v="0"/>
    <m/>
    <x v="4"/>
    <m/>
    <m/>
  </r>
  <r>
    <x v="9"/>
    <x v="3"/>
    <x v="209"/>
    <n v="6596"/>
    <x v="1"/>
    <x v="0"/>
    <m/>
    <x v="3"/>
    <m/>
    <m/>
  </r>
  <r>
    <x v="9"/>
    <x v="3"/>
    <x v="210"/>
    <n v="6597"/>
    <x v="0"/>
    <x v="0"/>
    <m/>
    <x v="3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  <r>
    <x v="9"/>
    <x v="4"/>
    <x v="211"/>
    <s v=""/>
    <x v="4"/>
    <x v="0"/>
    <m/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6E2F01-5EF3-4923-A563-AE3B3F86FE2F}" name="Kontingenční tabulka4" cacheId="0" applyNumberFormats="0" applyBorderFormats="0" applyFontFormats="0" applyPatternFormats="0" applyAlignmentFormats="0" applyWidthHeightFormats="1" dataCaption="Hodnoty" updatedVersion="8" minRefreshableVersion="3" colGrandTotals="0" itemPrintTitles="1" createdVersion="8" indent="0" outline="1" outlineData="1" multipleFieldFilters="0">
  <location ref="B2:L9" firstHeaderRow="1" firstDataRow="3" firstDataCol="1"/>
  <pivotFields count="12">
    <pivotField axis="axisCol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showAll="0" defaultSubtotal="0">
      <items count="9">
        <item h="1" sd="0" x="4"/>
        <item sd="0" m="1" x="7"/>
        <item sd="0" x="0"/>
        <item sd="0" x="1"/>
        <item sd="0" x="2"/>
        <item sd="0" x="3"/>
        <item sd="0" m="1" x="5"/>
        <item sd="0" m="1" x="6"/>
        <item sd="0" m="1" x="8"/>
      </items>
    </pivotField>
    <pivotField axis="axisRow" showAll="0" defaultSubtotal="0">
      <items count="286">
        <item x="211"/>
        <item m="1" x="232"/>
        <item m="1" x="2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3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x="203"/>
        <item x="204"/>
        <item x="205"/>
        <item x="206"/>
        <item x="207"/>
        <item x="208"/>
        <item x="209"/>
        <item x="210"/>
      </items>
    </pivotField>
    <pivotField showAll="0" defaultSubtotal="0"/>
    <pivotField dataField="1" showAll="0" defaultSubtotal="0">
      <items count="6">
        <item h="1" m="1" x="5"/>
        <item x="3"/>
        <item h="1" x="1"/>
        <item h="1" x="0"/>
        <item h="1" x="2"/>
        <item h="1" x="4"/>
      </items>
    </pivotField>
    <pivotField showAll="0" defaultSubtotal="0">
      <items count="9">
        <item x="3"/>
        <item x="6"/>
        <item x="4"/>
        <item x="1"/>
        <item x="2"/>
        <item x="8"/>
        <item x="7"/>
        <item x="5"/>
        <item x="0"/>
      </items>
    </pivotField>
    <pivotField showAll="0" defaultSubtotal="0"/>
    <pivotField showAll="0" defaultSubtotal="0">
      <items count="14">
        <item x="5"/>
        <item m="1" x="10"/>
        <item m="1" x="9"/>
        <item x="1"/>
        <item x="0"/>
        <item x="4"/>
        <item x="3"/>
        <item m="1" x="6"/>
        <item m="1" x="8"/>
        <item m="1" x="7"/>
        <item m="1" x="12"/>
        <item m="1" x="13"/>
        <item m="1" x="11"/>
        <item x="2"/>
      </items>
    </pivotField>
    <pivotField showAll="0" defaultSubtotal="0"/>
    <pivotField showAll="0" defaultSubtota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x="9"/>
        <item x="10"/>
        <item sd="0" x="11"/>
        <item sd="0" x="12"/>
        <item sd="0" x="13"/>
      </items>
    </pivotField>
  </pivotFields>
  <rowFields count="2">
    <field x="1"/>
    <field x="2"/>
  </rowFields>
  <rowItems count="5">
    <i>
      <x v="2"/>
    </i>
    <i>
      <x v="3"/>
    </i>
    <i>
      <x v="4"/>
    </i>
    <i>
      <x v="5"/>
    </i>
    <i t="grand">
      <x/>
    </i>
  </rowItems>
  <colFields count="2">
    <field x="11"/>
    <field x="0"/>
  </colFields>
  <colItems count="10">
    <i>
      <x v="9"/>
      <x/>
    </i>
    <i r="1">
      <x v="1"/>
    </i>
    <i r="1">
      <x v="2"/>
    </i>
    <i r="1">
      <x v="3"/>
    </i>
    <i r="1">
      <x v="4"/>
    </i>
    <i>
      <x v="10"/>
      <x v="5"/>
    </i>
    <i r="1">
      <x v="6"/>
    </i>
    <i r="1">
      <x v="7"/>
    </i>
    <i r="1">
      <x v="8"/>
    </i>
    <i r="1">
      <x v="9"/>
    </i>
  </colItems>
  <dataFields count="1">
    <dataField name="Počet z Přítomnost / Směna" fld="4" subtotal="count" baseField="1" baseItem="2"/>
  </dataFields>
  <formats count="9">
    <format dxfId="180">
      <pivotArea outline="0" collapsedLevelsAreSubtotals="1" fieldPosition="0"/>
    </format>
    <format dxfId="179">
      <pivotArea dataOnly="0" labelOnly="1" fieldPosition="0">
        <references count="1">
          <reference field="0" count="0"/>
        </references>
      </pivotArea>
    </format>
    <format dxfId="178">
      <pivotArea dataOnly="0" labelOnly="1" grandCol="1" outline="0" fieldPosition="0"/>
    </format>
    <format dxfId="177">
      <pivotArea dataOnly="0" labelOnly="1" fieldPosition="0">
        <references count="1">
          <reference field="11" count="1">
            <x v="9"/>
          </reference>
        </references>
      </pivotArea>
    </format>
    <format dxfId="176">
      <pivotArea outline="0" collapsedLevelsAreSubtotals="1" fieldPosition="0">
        <references count="1">
          <reference field="11" count="1" selected="0">
            <x v="10"/>
          </reference>
        </references>
      </pivotArea>
    </format>
    <format dxfId="175">
      <pivotArea dataOnly="0" labelOnly="1" fieldPosition="0">
        <references count="1">
          <reference field="11" count="1">
            <x v="10"/>
          </reference>
        </references>
      </pivotArea>
    </format>
    <format dxfId="174">
      <pivotArea field="1" type="button" dataOnly="0" labelOnly="1" outline="0" axis="axisRow" fieldPosition="0"/>
    </format>
    <format dxfId="173">
      <pivotArea dataOnly="0" labelOnly="1" fieldPosition="0">
        <references count="2">
          <reference field="0" count="5">
            <x v="0"/>
            <x v="1"/>
            <x v="2"/>
            <x v="3"/>
            <x v="4"/>
          </reference>
          <reference field="11" count="1" selected="0">
            <x v="9"/>
          </reference>
        </references>
      </pivotArea>
    </format>
    <format dxfId="172">
      <pivotArea dataOnly="0" labelOnly="1" fieldPosition="0">
        <references count="2">
          <reference field="0" count="5">
            <x v="5"/>
            <x v="6"/>
            <x v="7"/>
            <x v="8"/>
            <x v="9"/>
          </reference>
          <reference field="11" count="1" selected="0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2206095-0FC6-4250-88D0-102B0DEFEC2B}" autoFormatId="16" applyNumberFormats="0" applyBorderFormats="0" applyFontFormats="0" applyPatternFormats="0" applyAlignmentFormats="0" applyWidthHeightFormats="0">
  <queryTableRefresh nextId="2">
    <queryTableFields count="1">
      <queryTableField id="1" name="IND#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CAD6929-3459-45F5-AD02-2EA2BDDC3A13}" autoFormatId="16" applyNumberFormats="0" applyBorderFormats="0" applyFontFormats="0" applyPatternFormats="0" applyAlignmentFormats="0" applyWidthHeightFormats="0">
  <queryTableRefresh nextId="2">
    <queryTableFields count="1">
      <queryTableField id="1" name="IND#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8DA49066-25BA-41AE-A9B9-B873DCBD5C55}" autoFormatId="16" applyNumberFormats="0" applyBorderFormats="0" applyFontFormats="0" applyPatternFormats="0" applyAlignmentFormats="0" applyWidthHeightFormats="0">
  <queryTableRefresh nextId="2">
    <queryTableFields count="1">
      <queryTableField id="1" name="IND#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5CA27E5E-3E26-4C52-8F36-4930A7366E2C}" autoFormatId="16" applyNumberFormats="0" applyBorderFormats="0" applyFontFormats="0" applyPatternFormats="0" applyAlignmentFormats="0" applyWidthHeightFormats="0">
  <queryTableRefresh nextId="2">
    <queryTableFields count="1">
      <queryTableField id="1" name="IND#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6F312988-F46D-4604-9DC8-6DC67222CE5F}" autoFormatId="16" applyNumberFormats="0" applyBorderFormats="0" applyFontFormats="0" applyPatternFormats="0" applyAlignmentFormats="0" applyWidthHeightFormats="0">
  <queryTableRefresh nextId="2">
    <queryTableFields count="1">
      <queryTableField id="1" name="IND#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A01BEB61-442C-452C-977C-9C3FDFC9C782}" autoFormatId="16" applyNumberFormats="0" applyBorderFormats="0" applyFontFormats="0" applyPatternFormats="0" applyAlignmentFormats="0" applyWidthHeightFormats="0">
  <queryTableRefresh nextId="2">
    <queryTableFields count="1">
      <queryTableField id="1" name="IND#" tableColumnId="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0D12D211-BD0F-49CA-A058-824A23171FA9}" autoFormatId="16" applyNumberFormats="0" applyBorderFormats="0" applyFontFormats="0" applyPatternFormats="0" applyAlignmentFormats="0" applyWidthHeightFormats="0">
  <queryTableRefresh nextId="2">
    <queryTableFields count="1">
      <queryTableField id="1" name="IND#" tableColumnId="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14BCD9D5-7F7F-4711-84DB-871F3ED33A64}" autoFormatId="16" applyNumberFormats="0" applyBorderFormats="0" applyFontFormats="0" applyPatternFormats="0" applyAlignmentFormats="0" applyWidthHeightFormats="0">
  <queryTableRefresh nextId="2">
    <queryTableFields count="1">
      <queryTableField id="1" name="IND#" tableColumnId="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Průřez_Přítomnost___Směna" xr10:uid="{460B39AD-5A9D-4112-883A-8AF868659A75}" sourceName="Přítomnost / Směna">
  <pivotTables>
    <pivotTable tabId="3" name="Kontingenční tabulka4"/>
  </pivotTables>
  <data>
    <tabular pivotCacheId="860713661">
      <items count="6">
        <i x="3" s="1"/>
        <i x="1"/>
        <i x="0"/>
        <i x="2"/>
        <i x="5" nd="1"/>
        <i x="4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Průřez_Absence" xr10:uid="{03B7B1A2-2F45-4FBE-9FA8-62C6D4BE4A8C}" sourceName="Absence">
  <pivotTables>
    <pivotTable tabId="3" name="Kontingenční tabulka4"/>
  </pivotTables>
  <data>
    <tabular pivotCacheId="860713661">
      <items count="9">
        <i x="3" s="1"/>
        <i x="6" s="1"/>
        <i x="4" s="1"/>
        <i x="1" s="1"/>
        <i x="2" s="1"/>
        <i x="8" s="1"/>
        <i x="7" s="1"/>
        <i x="5" s="1"/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Průřez_Doprava" xr10:uid="{E537D242-1116-4583-A63E-D7F5D23E86C8}" sourceName="Doprava">
  <pivotTables>
    <pivotTable tabId="3" name="Kontingenční tabulka4"/>
  </pivotTables>
  <data>
    <tabular pivotCacheId="860713661">
      <items count="14">
        <i x="1" s="1"/>
        <i x="0" s="1"/>
        <i x="4" s="1"/>
        <i x="3" s="1"/>
        <i x="2" s="1"/>
        <i x="5" s="1" nd="1"/>
        <i x="10" s="1" nd="1"/>
        <i x="9" s="1" nd="1"/>
        <i x="6" s="1" nd="1"/>
        <i x="8" s="1" nd="1"/>
        <i x="7" s="1" nd="1"/>
        <i x="12" s="1" nd="1"/>
        <i x="13" s="1" nd="1"/>
        <i x="1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řítomnost / Směna" xr10:uid="{779EF8BF-3020-418D-9C4D-B92E3B676316}" cache="Průřez_Přítomnost___Směna" caption="Přítomnost / Směna" rowHeight="257175"/>
  <slicer name="Absence" xr10:uid="{0DAC3900-FBD0-4BB0-9857-DB1984EE9585}" cache="Průřez_Absence" caption="Absence" rowHeight="247650"/>
  <slicer name="Doprava" xr10:uid="{0974F673-6CE6-4796-9F83-692C5B295226}" cache="Průřez_Doprava" caption="Doprava" rowHeight="24765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96A2B2-3CE8-421D-A5A2-96C3AFABE3DB}" name="Tabulka1" displayName="Tabulka1" ref="A1:P303" totalsRowShown="0">
  <autoFilter ref="A1:P303" xr:uid="{EA96A2B2-3CE8-421D-A5A2-96C3AFABE3DB}"/>
  <tableColumns count="16">
    <tableColumn id="1" xr3:uid="{DE05E624-6015-4EBC-AF9D-9A04A451D227}" name="IND#">
      <calculatedColumnFormula>C2&amp;" "&amp;D2</calculatedColumnFormula>
    </tableColumn>
    <tableColumn id="2" xr3:uid="{F3D6BEB9-32E8-4F7C-9DD3-EE79C9E10C48}" name="ID"/>
    <tableColumn id="3" xr3:uid="{1E002566-28EE-4CB5-A3CD-F2CD7E2B5134}" name="Příjmení"/>
    <tableColumn id="4" xr3:uid="{E1F39A66-4F72-4EB7-8AF8-449B9A168EEA}" name="Jméno"/>
    <tableColumn id="5" xr3:uid="{965738AE-B076-4728-A5A1-2716D5D96F56}" name="Os.č."/>
    <tableColumn id="6" xr3:uid="{AD7D02D1-9600-4866-8724-81B1692B1DB1}" name="Os.č.kl."/>
    <tableColumn id="7" xr3:uid="{E3D072F2-670D-47AA-B0D1-E239F0005B86}" name="RFID"/>
    <tableColumn id="8" xr3:uid="{C255DEE4-3E70-41A4-BEA5-6B97AD009919}" name="Telefon"/>
    <tableColumn id="9" xr3:uid="{BD2F0B02-A072-44B4-81E3-B5616533A312}" name="Vstup" dataDxfId="204"/>
    <tableColumn id="10" xr3:uid="{4EED2791-4388-4564-AFA6-623141B38276}" name="Výstup" dataDxfId="203"/>
    <tableColumn id="11" xr3:uid="{B7FA6B58-8514-4560-9F48-FAC8041428D3}" name="Doprava"/>
    <tableColumn id="12" xr3:uid="{85CABDA2-7A68-4CBD-A63B-6FA8CC2788B4}" name="Nástup"/>
    <tableColumn id="13" xr3:uid="{6412F08F-50B9-43FF-B151-D8D2D4E5DB18}" name="Směna"/>
    <tableColumn id="14" xr3:uid="{CBF1C25E-9B99-493D-BA90-94CBA6C5253A}" name="Cílová st."/>
    <tableColumn id="15" xr3:uid="{107E804F-A18B-4366-BA1E-3481FB8D89F0}" name="Docházka"/>
    <tableColumn id="16" xr3:uid="{1FBD2517-A5C8-404B-B34F-6AA613447896}" name="Edita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4A9D6B-9551-4700-9C4F-F9524867461E}" name="DSC" displayName="DSC" ref="S1:S102" tableType="queryTable" totalsRowShown="0">
  <autoFilter ref="S1:S102" xr:uid="{924A9D6B-9551-4700-9C4F-F9524867461E}"/>
  <tableColumns count="1">
    <tableColumn id="1" xr3:uid="{D80AF5EE-3513-4F57-B055-2355A919DD78}" uniqueName="1" name="IND#" queryTableFieldId="1" dataDxfId="20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B9EFC5-BF31-418C-8FEB-5F5B9D7245F4}" name="DONGHEE" displayName="DONGHEE" ref="T1:T47" tableType="queryTable" totalsRowShown="0">
  <autoFilter ref="T1:T47" xr:uid="{C5B9EFC5-BF31-418C-8FEB-5F5B9D7245F4}"/>
  <tableColumns count="1">
    <tableColumn id="1" xr3:uid="{E7C194A2-C425-4BCC-9E4D-34D45E732EAD}" uniqueName="1" name="IND#" queryTableFieldId="1" dataDxfId="20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8D4BE9D-414B-4153-A580-857D4685B05D}" name="ALLIANCE" displayName="ALLIANCE" ref="U1:U20" tableType="queryTable" totalsRowShown="0">
  <autoFilter ref="U1:U20" xr:uid="{48D4BE9D-414B-4153-A580-857D4685B05D}"/>
  <tableColumns count="1">
    <tableColumn id="1" xr3:uid="{850DCD3F-5B92-465B-8407-744127FF030A}" uniqueName="1" name="IND#" queryTableFieldId="1" dataDxfId="20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1FEC4A-2418-4BBF-A13D-C8468516D928}" name="BATZ" displayName="BATZ" ref="V1:V71" tableType="queryTable" totalsRowShown="0">
  <autoFilter ref="V1:V71" xr:uid="{031FEC4A-2418-4BBF-A13D-C8468516D928}"/>
  <tableColumns count="1">
    <tableColumn id="1" xr3:uid="{6DB44846-FC57-4A47-8385-8BD610DC5070}" uniqueName="1" name="IND#" queryTableFieldId="1" dataDxfId="19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91421E-CA75-48AE-9A9A-125F672C896A}" name="GUZU" displayName="GUZU" ref="W1:W4" tableType="queryTable" totalsRowShown="0">
  <autoFilter ref="W1:W4" xr:uid="{6391421E-CA75-48AE-9A9A-125F672C896A}"/>
  <tableColumns count="1">
    <tableColumn id="1" xr3:uid="{D54C8A77-E8F6-4F8E-9209-4A5B607C3127}" uniqueName="1" name="IND#" queryTableFieldId="1" dataDxfId="19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0C3DA74-9AAB-4A70-94D7-EEFBC5EB46DC}" name="HILITE" displayName="HILITE" ref="X1:X22" tableType="queryTable" totalsRowShown="0">
  <autoFilter ref="X1:X22" xr:uid="{10C3DA74-9AAB-4A70-94D7-EEFBC5EB46DC}"/>
  <tableColumns count="1">
    <tableColumn id="1" xr3:uid="{D8C2FD64-B458-4DCF-9BFC-7B3B8780C9D8}" uniqueName="1" name="IND#" queryTableFieldId="1" dataDxfId="19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1802FA0-EFB2-4089-8673-C29AEBFA1346}" name="TATRA" displayName="TATRA" ref="Y1:Y39" tableType="queryTable" totalsRowShown="0">
  <autoFilter ref="Y1:Y39" xr:uid="{F1802FA0-EFB2-4089-8673-C29AEBFA1346}"/>
  <tableColumns count="1">
    <tableColumn id="1" xr3:uid="{849CDD4E-1CA2-49B7-8F64-A7DF5AD17A7C}" uniqueName="1" name="IND#" queryTableFieldId="1" dataDxfId="19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5613C94-633A-4473-8330-7F0614729E7D}" name="THERMA" displayName="THERMA" ref="Z1:Z5" tableType="queryTable" totalsRowShown="0">
  <autoFilter ref="Z1:Z5" xr:uid="{65613C94-633A-4473-8330-7F0614729E7D}"/>
  <tableColumns count="1">
    <tableColumn id="1" xr3:uid="{20385A8B-2D70-4EA0-B5F3-A1B0DC84CA75}" uniqueName="1" name="IND#" queryTableFieldId="1" dataDxfId="19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6BFB73-620E-4525-9AD2-B5E9801D6CDD}" name="Tabulka2" displayName="Tabulka2" ref="B1:K2211" totalsRowShown="0" headerRowDxfId="194" headerRowBorderDxfId="193" tableBorderDxfId="192" totalsRowBorderDxfId="191">
  <autoFilter ref="B1:K2211" xr:uid="{646BFB73-620E-4525-9AD2-B5E9801D6CDD}"/>
  <tableColumns count="10">
    <tableColumn id="1" xr3:uid="{D2565938-505B-4BA8-868B-470D25BEB7CC}" name="Datum" dataDxfId="190"/>
    <tableColumn id="2" xr3:uid="{1F36D6FA-74F0-461D-9F85-467FBDF936EA}" name="Firma" dataDxfId="189"/>
    <tableColumn id="3" xr3:uid="{DB212157-B93E-4C07-8F68-604F8C2FB572}" name="Pracovník" dataDxfId="188"/>
    <tableColumn id="4" xr3:uid="{58D8BC68-CA78-4860-A404-0E6E1EE1932A}" name="Os. Číslo" dataDxfId="187">
      <calculatedColumnFormula>IFERROR(VLOOKUP(Tabulka2[[#This Row],[Pracovník]],DATA!A:L,5,0),"")</calculatedColumnFormula>
    </tableColumn>
    <tableColumn id="5" xr3:uid="{2FF5ED00-ED12-4205-A30C-090393A465FF}" name="Přítomnost / Směna" dataDxfId="186"/>
    <tableColumn id="6" xr3:uid="{99C5D2CC-75A0-4FBF-AD21-F8242B6036BA}" name="Absence" dataDxfId="185"/>
    <tableColumn id="9" xr3:uid="{B278DAAF-503C-4BC9-B892-9B510B68D1F9}" name="Úvazek" dataDxfId="184"/>
    <tableColumn id="10" xr3:uid="{4C6F7BB8-14E0-425C-BA4B-5C65D33B2414}" name="Doprava" dataDxfId="183">
      <calculatedColumnFormula>IFERROR(VLOOKUP(Tabulka2[[#This Row],[Pracovník]],DATA!A:L,11,0),"")</calculatedColumnFormula>
    </tableColumn>
    <tableColumn id="7" xr3:uid="{E9883AC3-9A8C-4901-87C5-C3D0BE2884B3}" name="Přesčas" dataDxfId="182"/>
    <tableColumn id="8" xr3:uid="{40272A97-7282-4E75-BAC8-01455C85893E}" name="Poznámka" dataDxfId="18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32215-F0BD-47C0-B9BC-9C61843063FF}">
  <dimension ref="A1:AZ303"/>
  <sheetViews>
    <sheetView zoomScale="60" zoomScaleNormal="60" workbookViewId="0">
      <selection activeCell="P1" sqref="P1:P1048576"/>
    </sheetView>
  </sheetViews>
  <sheetFormatPr defaultRowHeight="15" x14ac:dyDescent="0.25"/>
  <cols>
    <col min="2" max="2" width="5.140625" customWidth="1"/>
    <col min="3" max="3" width="16.7109375" bestFit="1" customWidth="1"/>
    <col min="4" max="4" width="19.140625" bestFit="1" customWidth="1"/>
    <col min="5" max="5" width="7.7109375" customWidth="1"/>
    <col min="6" max="6" width="9.85546875" customWidth="1"/>
    <col min="7" max="7" width="10" bestFit="1" customWidth="1"/>
    <col min="8" max="8" width="13.42578125" bestFit="1" customWidth="1"/>
    <col min="9" max="9" width="10.140625" bestFit="1" customWidth="1"/>
    <col min="10" max="10" width="10.42578125" bestFit="1" customWidth="1"/>
    <col min="11" max="11" width="11.5703125" bestFit="1" customWidth="1"/>
    <col min="12" max="12" width="72.42578125" bestFit="1" customWidth="1"/>
    <col min="13" max="13" width="9.28515625" customWidth="1"/>
    <col min="14" max="14" width="11.5703125" customWidth="1"/>
    <col min="15" max="15" width="11.7109375" customWidth="1"/>
    <col min="16" max="16" width="9.85546875" customWidth="1"/>
    <col min="18" max="18" width="18" bestFit="1" customWidth="1"/>
    <col min="19" max="19" width="31.28515625" bestFit="1" customWidth="1"/>
    <col min="20" max="20" width="24.7109375" bestFit="1" customWidth="1"/>
    <col min="21" max="21" width="21.85546875" bestFit="1" customWidth="1"/>
    <col min="22" max="22" width="30.140625" bestFit="1" customWidth="1"/>
    <col min="23" max="23" width="19.42578125" bestFit="1" customWidth="1"/>
    <col min="24" max="24" width="27.7109375" bestFit="1" customWidth="1"/>
    <col min="25" max="25" width="26.140625" bestFit="1" customWidth="1"/>
    <col min="26" max="26" width="16.5703125" bestFit="1" customWidth="1"/>
    <col min="27" max="48" width="18" customWidth="1"/>
    <col min="49" max="50" width="11.140625" customWidth="1"/>
    <col min="51" max="51" width="16.7109375" bestFit="1" customWidth="1"/>
  </cols>
  <sheetData>
    <row r="1" spans="1:52" x14ac:dyDescent="0.25">
      <c r="A1" t="s">
        <v>647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R1" t="s">
        <v>632</v>
      </c>
      <c r="S1" t="s">
        <v>647</v>
      </c>
      <c r="T1" t="s">
        <v>647</v>
      </c>
      <c r="U1" t="s">
        <v>647</v>
      </c>
      <c r="V1" t="s">
        <v>647</v>
      </c>
      <c r="W1" t="s">
        <v>647</v>
      </c>
      <c r="X1" t="s">
        <v>647</v>
      </c>
      <c r="Y1" t="s">
        <v>647</v>
      </c>
      <c r="Z1" t="s">
        <v>647</v>
      </c>
      <c r="AX1" t="s">
        <v>651</v>
      </c>
      <c r="AY1" t="s">
        <v>652</v>
      </c>
      <c r="AZ1" t="s">
        <v>653</v>
      </c>
    </row>
    <row r="2" spans="1:52" x14ac:dyDescent="0.25">
      <c r="A2" t="str">
        <f>C2&amp;" "&amp;D2</f>
        <v>Adamczewski Amadeusz</v>
      </c>
      <c r="B2">
        <v>1</v>
      </c>
      <c r="C2" t="s">
        <v>15</v>
      </c>
      <c r="D2" t="s">
        <v>16</v>
      </c>
      <c r="E2">
        <v>6275</v>
      </c>
      <c r="F2">
        <v>0</v>
      </c>
      <c r="G2">
        <v>13210313</v>
      </c>
      <c r="H2">
        <v>48570666458</v>
      </c>
      <c r="I2" s="1">
        <v>45748</v>
      </c>
      <c r="J2" s="1">
        <v>73050</v>
      </c>
      <c r="K2" t="s">
        <v>17</v>
      </c>
      <c r="L2" t="s">
        <v>17</v>
      </c>
      <c r="M2" t="s">
        <v>18</v>
      </c>
      <c r="N2" t="s">
        <v>19</v>
      </c>
      <c r="O2" s="3">
        <v>0.20836805555555554</v>
      </c>
      <c r="S2" t="s">
        <v>646</v>
      </c>
      <c r="T2" t="s">
        <v>641</v>
      </c>
      <c r="U2" t="s">
        <v>660</v>
      </c>
      <c r="V2" t="s">
        <v>679</v>
      </c>
      <c r="W2" t="s">
        <v>859</v>
      </c>
      <c r="X2" t="s">
        <v>862</v>
      </c>
      <c r="Y2" t="s">
        <v>877</v>
      </c>
      <c r="Z2" t="s">
        <v>910</v>
      </c>
      <c r="AX2" s="6">
        <v>0.3125</v>
      </c>
      <c r="AY2" t="s">
        <v>640</v>
      </c>
      <c r="AZ2" t="s">
        <v>656</v>
      </c>
    </row>
    <row r="3" spans="1:52" x14ac:dyDescent="0.25">
      <c r="A3" t="str">
        <f t="shared" ref="A3:A65" si="0">C3&amp;" "&amp;D3</f>
        <v>Adamiak Magdalena</v>
      </c>
      <c r="B3">
        <v>2</v>
      </c>
      <c r="C3" t="s">
        <v>20</v>
      </c>
      <c r="D3" t="s">
        <v>21</v>
      </c>
      <c r="E3">
        <v>5777</v>
      </c>
      <c r="F3">
        <v>0</v>
      </c>
      <c r="G3">
        <v>315321941</v>
      </c>
      <c r="H3" s="2">
        <v>48799785300</v>
      </c>
      <c r="I3" s="1">
        <v>45502</v>
      </c>
      <c r="J3" s="1">
        <v>73050</v>
      </c>
      <c r="K3" t="s">
        <v>22</v>
      </c>
      <c r="L3" t="s">
        <v>23</v>
      </c>
      <c r="M3" t="s">
        <v>18</v>
      </c>
      <c r="N3" t="s">
        <v>25</v>
      </c>
      <c r="O3" s="3">
        <v>0.16961805555555556</v>
      </c>
      <c r="R3" t="s">
        <v>914</v>
      </c>
      <c r="S3" t="s">
        <v>648</v>
      </c>
      <c r="T3" t="s">
        <v>649</v>
      </c>
      <c r="U3" t="s">
        <v>661</v>
      </c>
      <c r="V3" t="s">
        <v>680</v>
      </c>
      <c r="W3" t="s">
        <v>860</v>
      </c>
      <c r="X3" t="s">
        <v>863</v>
      </c>
      <c r="Y3" t="s">
        <v>878</v>
      </c>
      <c r="Z3" t="s">
        <v>911</v>
      </c>
      <c r="AX3" s="6">
        <v>0.5</v>
      </c>
      <c r="AY3" t="s">
        <v>654</v>
      </c>
      <c r="AZ3" t="s">
        <v>657</v>
      </c>
    </row>
    <row r="4" spans="1:52" x14ac:dyDescent="0.25">
      <c r="A4" t="str">
        <f t="shared" si="0"/>
        <v>Baka Przemyslaw</v>
      </c>
      <c r="B4">
        <v>3</v>
      </c>
      <c r="C4" t="s">
        <v>29</v>
      </c>
      <c r="D4" t="s">
        <v>30</v>
      </c>
      <c r="E4">
        <v>6537</v>
      </c>
      <c r="F4">
        <v>0</v>
      </c>
      <c r="G4">
        <v>11066856</v>
      </c>
      <c r="H4" s="2">
        <v>48572475445</v>
      </c>
      <c r="I4" s="1">
        <v>45901</v>
      </c>
      <c r="J4" s="1">
        <v>73050</v>
      </c>
      <c r="K4" t="s">
        <v>26</v>
      </c>
      <c r="L4" t="s">
        <v>31</v>
      </c>
      <c r="M4" t="s">
        <v>24</v>
      </c>
      <c r="N4" t="s">
        <v>28</v>
      </c>
      <c r="O4" s="3"/>
      <c r="R4" t="s">
        <v>25</v>
      </c>
      <c r="S4" t="s">
        <v>772</v>
      </c>
      <c r="T4" t="s">
        <v>741</v>
      </c>
      <c r="U4" t="s">
        <v>662</v>
      </c>
      <c r="V4" t="s">
        <v>681</v>
      </c>
      <c r="W4" t="s">
        <v>861</v>
      </c>
      <c r="X4" t="s">
        <v>865</v>
      </c>
      <c r="Y4" t="s">
        <v>879</v>
      </c>
      <c r="Z4" t="s">
        <v>912</v>
      </c>
      <c r="AY4" t="s">
        <v>655</v>
      </c>
      <c r="AZ4" t="s">
        <v>658</v>
      </c>
    </row>
    <row r="5" spans="1:52" x14ac:dyDescent="0.25">
      <c r="A5" t="str">
        <f t="shared" si="0"/>
        <v>Balwierz Piotr Marian</v>
      </c>
      <c r="B5">
        <v>4</v>
      </c>
      <c r="C5" t="s">
        <v>32</v>
      </c>
      <c r="D5" t="s">
        <v>33</v>
      </c>
      <c r="E5">
        <v>4673</v>
      </c>
      <c r="F5">
        <v>70187</v>
      </c>
      <c r="G5">
        <v>11978487</v>
      </c>
      <c r="H5" s="2">
        <v>48785949300</v>
      </c>
      <c r="I5" s="1">
        <v>44805</v>
      </c>
      <c r="J5" s="1">
        <v>73050</v>
      </c>
      <c r="K5" t="s">
        <v>34</v>
      </c>
      <c r="L5" t="s">
        <v>35</v>
      </c>
      <c r="M5" t="s">
        <v>18</v>
      </c>
      <c r="N5" t="s">
        <v>36</v>
      </c>
      <c r="O5" s="3"/>
      <c r="R5" t="s">
        <v>96</v>
      </c>
      <c r="S5" t="s">
        <v>773</v>
      </c>
      <c r="T5" t="s">
        <v>742</v>
      </c>
      <c r="U5" t="s">
        <v>663</v>
      </c>
      <c r="V5" t="s">
        <v>682</v>
      </c>
      <c r="X5" t="s">
        <v>866</v>
      </c>
      <c r="Y5" t="s">
        <v>880</v>
      </c>
      <c r="Z5" t="s">
        <v>913</v>
      </c>
      <c r="AY5" t="s">
        <v>927</v>
      </c>
      <c r="AZ5" t="s">
        <v>916</v>
      </c>
    </row>
    <row r="6" spans="1:52" x14ac:dyDescent="0.25">
      <c r="A6" t="str">
        <f t="shared" si="0"/>
        <v>Banot Katarzyna</v>
      </c>
      <c r="B6">
        <v>5</v>
      </c>
      <c r="C6" t="s">
        <v>37</v>
      </c>
      <c r="D6" t="s">
        <v>38</v>
      </c>
      <c r="E6">
        <v>5802</v>
      </c>
      <c r="F6" t="s">
        <v>39</v>
      </c>
      <c r="G6">
        <v>7421727</v>
      </c>
      <c r="H6" s="2">
        <v>48786907150</v>
      </c>
      <c r="I6" s="1">
        <v>45516</v>
      </c>
      <c r="J6" s="1">
        <v>73050</v>
      </c>
      <c r="K6" t="s">
        <v>17</v>
      </c>
      <c r="L6" t="s">
        <v>17</v>
      </c>
      <c r="M6" t="s">
        <v>18</v>
      </c>
      <c r="N6" t="s">
        <v>28</v>
      </c>
      <c r="O6" s="3">
        <v>0.20836805555555554</v>
      </c>
      <c r="R6" t="s">
        <v>28</v>
      </c>
      <c r="S6" t="s">
        <v>774</v>
      </c>
      <c r="T6" t="s">
        <v>743</v>
      </c>
      <c r="U6" t="s">
        <v>664</v>
      </c>
      <c r="V6" t="s">
        <v>684</v>
      </c>
      <c r="X6" t="s">
        <v>945</v>
      </c>
      <c r="Y6" t="s">
        <v>881</v>
      </c>
      <c r="AY6" t="s">
        <v>653</v>
      </c>
      <c r="AZ6" t="s">
        <v>917</v>
      </c>
    </row>
    <row r="7" spans="1:52" x14ac:dyDescent="0.25">
      <c r="A7" t="str">
        <f t="shared" si="0"/>
        <v>Bartoň Edyta</v>
      </c>
      <c r="B7">
        <v>6</v>
      </c>
      <c r="C7" t="s">
        <v>41</v>
      </c>
      <c r="D7" t="s">
        <v>42</v>
      </c>
      <c r="E7">
        <v>4838</v>
      </c>
      <c r="F7">
        <v>4838</v>
      </c>
      <c r="G7">
        <v>328608648</v>
      </c>
      <c r="H7" s="2">
        <v>48793386811</v>
      </c>
      <c r="I7" s="1">
        <v>44944</v>
      </c>
      <c r="J7" s="1">
        <v>73050</v>
      </c>
      <c r="K7" t="s">
        <v>22</v>
      </c>
      <c r="L7" t="s">
        <v>43</v>
      </c>
      <c r="M7" t="s">
        <v>18</v>
      </c>
      <c r="N7" t="s">
        <v>25</v>
      </c>
      <c r="R7" t="s">
        <v>134</v>
      </c>
      <c r="S7" t="s">
        <v>775</v>
      </c>
      <c r="T7" t="s">
        <v>744</v>
      </c>
      <c r="U7" t="s">
        <v>665</v>
      </c>
      <c r="V7" t="s">
        <v>685</v>
      </c>
      <c r="X7" t="s">
        <v>969</v>
      </c>
      <c r="Y7" t="s">
        <v>882</v>
      </c>
      <c r="AZ7" t="s">
        <v>925</v>
      </c>
    </row>
    <row r="8" spans="1:52" x14ac:dyDescent="0.25">
      <c r="A8" t="str">
        <f t="shared" si="0"/>
        <v>Bassler Lukáš</v>
      </c>
      <c r="B8">
        <v>7</v>
      </c>
      <c r="C8" t="s">
        <v>44</v>
      </c>
      <c r="D8" t="s">
        <v>45</v>
      </c>
      <c r="E8">
        <v>4869</v>
      </c>
      <c r="F8" t="s">
        <v>46</v>
      </c>
      <c r="G8">
        <v>1833613</v>
      </c>
      <c r="H8" s="2">
        <v>722775976</v>
      </c>
      <c r="I8" s="1">
        <v>45013</v>
      </c>
      <c r="J8" s="1">
        <v>73050</v>
      </c>
      <c r="K8" t="s">
        <v>17</v>
      </c>
      <c r="L8" t="s">
        <v>17</v>
      </c>
      <c r="M8" t="s">
        <v>40</v>
      </c>
      <c r="N8" t="s">
        <v>28</v>
      </c>
      <c r="O8" s="3">
        <v>0.87502314814814819</v>
      </c>
      <c r="R8" t="s">
        <v>36</v>
      </c>
      <c r="S8" t="s">
        <v>776</v>
      </c>
      <c r="T8" t="s">
        <v>745</v>
      </c>
      <c r="U8" t="s">
        <v>666</v>
      </c>
      <c r="V8" t="s">
        <v>686</v>
      </c>
      <c r="X8" t="s">
        <v>969</v>
      </c>
      <c r="Y8" t="s">
        <v>883</v>
      </c>
      <c r="AZ8" t="s">
        <v>926</v>
      </c>
    </row>
    <row r="9" spans="1:52" x14ac:dyDescent="0.25">
      <c r="A9" t="str">
        <f t="shared" si="0"/>
        <v>Baszczynski Bogdan</v>
      </c>
      <c r="B9">
        <v>8</v>
      </c>
      <c r="C9" t="s">
        <v>47</v>
      </c>
      <c r="D9" t="s">
        <v>48</v>
      </c>
      <c r="E9">
        <v>6508</v>
      </c>
      <c r="F9">
        <v>0</v>
      </c>
      <c r="G9">
        <v>0</v>
      </c>
      <c r="H9" s="2">
        <v>48792742229</v>
      </c>
      <c r="I9" s="1">
        <v>45887</v>
      </c>
      <c r="J9" s="1">
        <v>73050</v>
      </c>
      <c r="K9" t="s">
        <v>17</v>
      </c>
      <c r="L9" t="s">
        <v>17</v>
      </c>
      <c r="M9" t="s">
        <v>24</v>
      </c>
      <c r="N9" t="s">
        <v>28</v>
      </c>
      <c r="O9" s="3"/>
      <c r="R9" t="s">
        <v>68</v>
      </c>
      <c r="S9" t="s">
        <v>777</v>
      </c>
      <c r="T9" t="s">
        <v>746</v>
      </c>
      <c r="U9" t="s">
        <v>667</v>
      </c>
      <c r="V9" t="s">
        <v>687</v>
      </c>
      <c r="X9" t="s">
        <v>867</v>
      </c>
      <c r="Y9" t="s">
        <v>944</v>
      </c>
      <c r="AZ9" t="s">
        <v>659</v>
      </c>
    </row>
    <row r="10" spans="1:52" x14ac:dyDescent="0.25">
      <c r="A10" t="str">
        <f t="shared" si="0"/>
        <v>Belej Karina</v>
      </c>
      <c r="B10">
        <v>9</v>
      </c>
      <c r="C10" t="s">
        <v>49</v>
      </c>
      <c r="D10" t="s">
        <v>50</v>
      </c>
      <c r="E10">
        <v>4599</v>
      </c>
      <c r="F10">
        <v>4599</v>
      </c>
      <c r="G10">
        <v>348342254</v>
      </c>
      <c r="H10" s="2">
        <v>48723005113</v>
      </c>
      <c r="I10" s="1">
        <v>44757</v>
      </c>
      <c r="J10" s="1">
        <v>73050</v>
      </c>
      <c r="K10" t="s">
        <v>51</v>
      </c>
      <c r="L10" t="s">
        <v>52</v>
      </c>
      <c r="M10" t="s">
        <v>40</v>
      </c>
      <c r="N10" t="s">
        <v>25</v>
      </c>
      <c r="O10" s="3">
        <v>0.84144675925925927</v>
      </c>
      <c r="R10" t="s">
        <v>56</v>
      </c>
      <c r="S10" t="s">
        <v>778</v>
      </c>
      <c r="T10" t="s">
        <v>747</v>
      </c>
      <c r="U10" t="s">
        <v>668</v>
      </c>
      <c r="V10" t="s">
        <v>688</v>
      </c>
      <c r="X10" t="s">
        <v>946</v>
      </c>
      <c r="Y10" t="s">
        <v>941</v>
      </c>
    </row>
    <row r="11" spans="1:52" x14ac:dyDescent="0.25">
      <c r="A11" t="str">
        <f t="shared" si="0"/>
        <v>Belica Bartosz</v>
      </c>
      <c r="B11">
        <v>10</v>
      </c>
      <c r="C11" t="s">
        <v>53</v>
      </c>
      <c r="D11" t="s">
        <v>54</v>
      </c>
      <c r="E11">
        <v>6474</v>
      </c>
      <c r="F11">
        <v>0</v>
      </c>
      <c r="G11">
        <v>1430027</v>
      </c>
      <c r="H11" s="2">
        <v>48721505226</v>
      </c>
      <c r="I11" s="1">
        <v>45860</v>
      </c>
      <c r="J11" s="1">
        <v>73050</v>
      </c>
      <c r="K11" t="s">
        <v>51</v>
      </c>
      <c r="L11" t="s">
        <v>55</v>
      </c>
      <c r="M11" t="s">
        <v>24</v>
      </c>
      <c r="N11" t="s">
        <v>56</v>
      </c>
      <c r="O11" s="3"/>
      <c r="S11" t="s">
        <v>779</v>
      </c>
      <c r="T11" t="s">
        <v>748</v>
      </c>
      <c r="U11" t="s">
        <v>669</v>
      </c>
      <c r="V11" t="s">
        <v>689</v>
      </c>
      <c r="X11" t="s">
        <v>869</v>
      </c>
      <c r="Y11" t="s">
        <v>885</v>
      </c>
    </row>
    <row r="12" spans="1:52" x14ac:dyDescent="0.25">
      <c r="A12" t="str">
        <f t="shared" si="0"/>
        <v>Bialas Elzbieta</v>
      </c>
      <c r="B12">
        <v>11</v>
      </c>
      <c r="C12" t="s">
        <v>57</v>
      </c>
      <c r="D12" t="s">
        <v>58</v>
      </c>
      <c r="E12">
        <v>4607</v>
      </c>
      <c r="F12" t="s">
        <v>59</v>
      </c>
      <c r="G12">
        <v>4942265</v>
      </c>
      <c r="H12" s="2">
        <v>48881267099</v>
      </c>
      <c r="I12" s="1">
        <v>44781</v>
      </c>
      <c r="J12" s="1">
        <v>73050</v>
      </c>
      <c r="K12" t="s">
        <v>26</v>
      </c>
      <c r="L12" t="s">
        <v>60</v>
      </c>
      <c r="M12" t="s">
        <v>18</v>
      </c>
      <c r="N12" t="s">
        <v>28</v>
      </c>
      <c r="O12" s="3">
        <v>0.17989583333333334</v>
      </c>
      <c r="S12" t="s">
        <v>780</v>
      </c>
      <c r="T12" t="s">
        <v>749</v>
      </c>
      <c r="U12" t="s">
        <v>670</v>
      </c>
      <c r="V12" t="s">
        <v>691</v>
      </c>
      <c r="X12" t="s">
        <v>870</v>
      </c>
      <c r="Y12" t="s">
        <v>886</v>
      </c>
    </row>
    <row r="13" spans="1:52" x14ac:dyDescent="0.25">
      <c r="A13" t="str">
        <f t="shared" si="0"/>
        <v>Bialozyt Joanna</v>
      </c>
      <c r="B13">
        <v>12</v>
      </c>
      <c r="C13" t="s">
        <v>61</v>
      </c>
      <c r="D13" t="s">
        <v>62</v>
      </c>
      <c r="E13">
        <v>5047</v>
      </c>
      <c r="F13" t="s">
        <v>63</v>
      </c>
      <c r="G13">
        <v>1988772</v>
      </c>
      <c r="H13" s="2">
        <v>48510238811</v>
      </c>
      <c r="I13" s="1">
        <v>45159</v>
      </c>
      <c r="J13" s="1">
        <v>73050</v>
      </c>
      <c r="K13" t="s">
        <v>17</v>
      </c>
      <c r="L13" t="s">
        <v>17</v>
      </c>
      <c r="M13" t="s">
        <v>40</v>
      </c>
      <c r="N13" t="s">
        <v>28</v>
      </c>
      <c r="O13" s="3">
        <v>0.87502314814814819</v>
      </c>
      <c r="S13" t="s">
        <v>918</v>
      </c>
      <c r="T13" t="s">
        <v>750</v>
      </c>
      <c r="U13" t="s">
        <v>671</v>
      </c>
      <c r="V13" t="s">
        <v>924</v>
      </c>
      <c r="X13" t="s">
        <v>947</v>
      </c>
      <c r="Y13" t="s">
        <v>887</v>
      </c>
    </row>
    <row r="14" spans="1:52" x14ac:dyDescent="0.25">
      <c r="A14" t="str">
        <f t="shared" si="0"/>
        <v>Bieniek Krystian</v>
      </c>
      <c r="B14">
        <v>13</v>
      </c>
      <c r="C14" t="s">
        <v>64</v>
      </c>
      <c r="D14" t="s">
        <v>65</v>
      </c>
      <c r="E14">
        <v>6329</v>
      </c>
      <c r="F14">
        <v>0</v>
      </c>
      <c r="G14">
        <v>400218349</v>
      </c>
      <c r="H14" s="2">
        <v>48793183757</v>
      </c>
      <c r="I14" s="1">
        <v>45775</v>
      </c>
      <c r="J14" s="1">
        <v>73050</v>
      </c>
      <c r="K14" t="s">
        <v>66</v>
      </c>
      <c r="L14" t="s">
        <v>67</v>
      </c>
      <c r="M14" t="s">
        <v>18</v>
      </c>
      <c r="N14" t="s">
        <v>68</v>
      </c>
      <c r="O14" s="3">
        <v>0.17210648148148147</v>
      </c>
      <c r="S14" t="s">
        <v>781</v>
      </c>
      <c r="T14" t="s">
        <v>751</v>
      </c>
      <c r="U14" t="s">
        <v>672</v>
      </c>
      <c r="V14" t="s">
        <v>692</v>
      </c>
      <c r="X14" t="s">
        <v>871</v>
      </c>
      <c r="Y14" t="s">
        <v>888</v>
      </c>
    </row>
    <row r="15" spans="1:52" x14ac:dyDescent="0.25">
      <c r="A15" t="str">
        <f t="shared" si="0"/>
        <v>Bilicer Natalia</v>
      </c>
      <c r="B15">
        <v>14</v>
      </c>
      <c r="C15" t="s">
        <v>69</v>
      </c>
      <c r="D15" t="s">
        <v>70</v>
      </c>
      <c r="E15">
        <v>6259</v>
      </c>
      <c r="F15">
        <v>0</v>
      </c>
      <c r="G15">
        <v>1203746</v>
      </c>
      <c r="H15">
        <v>48536393632</v>
      </c>
      <c r="I15" s="1">
        <v>45743</v>
      </c>
      <c r="J15" s="1">
        <v>73050</v>
      </c>
      <c r="K15" t="s">
        <v>17</v>
      </c>
      <c r="L15" t="s">
        <v>17</v>
      </c>
      <c r="M15" t="s">
        <v>18</v>
      </c>
      <c r="N15" t="s">
        <v>71</v>
      </c>
      <c r="O15" s="3">
        <v>0.20836805555555554</v>
      </c>
      <c r="S15" t="s">
        <v>964</v>
      </c>
      <c r="T15" t="s">
        <v>752</v>
      </c>
      <c r="U15" t="s">
        <v>673</v>
      </c>
      <c r="V15" t="s">
        <v>693</v>
      </c>
      <c r="X15" t="s">
        <v>872</v>
      </c>
      <c r="Y15" t="s">
        <v>889</v>
      </c>
    </row>
    <row r="16" spans="1:52" x14ac:dyDescent="0.25">
      <c r="A16" t="str">
        <f t="shared" si="0"/>
        <v>Bochenek Adam Piotr</v>
      </c>
      <c r="B16">
        <v>15</v>
      </c>
      <c r="C16" t="s">
        <v>74</v>
      </c>
      <c r="D16" t="s">
        <v>77</v>
      </c>
      <c r="E16">
        <v>4961</v>
      </c>
      <c r="F16" t="s">
        <v>78</v>
      </c>
      <c r="G16">
        <v>1928484</v>
      </c>
      <c r="H16" s="2">
        <v>48790550612</v>
      </c>
      <c r="I16" s="1">
        <v>45057</v>
      </c>
      <c r="J16" s="1">
        <v>73050</v>
      </c>
      <c r="K16" t="s">
        <v>17</v>
      </c>
      <c r="L16" t="s">
        <v>17</v>
      </c>
      <c r="M16" t="s">
        <v>24</v>
      </c>
      <c r="N16" t="s">
        <v>28</v>
      </c>
      <c r="O16" s="3"/>
      <c r="S16" t="s">
        <v>782</v>
      </c>
      <c r="T16" t="s">
        <v>753</v>
      </c>
      <c r="U16" t="s">
        <v>674</v>
      </c>
      <c r="V16" t="s">
        <v>694</v>
      </c>
      <c r="X16" t="s">
        <v>873</v>
      </c>
      <c r="Y16" t="s">
        <v>891</v>
      </c>
    </row>
    <row r="17" spans="1:25" x14ac:dyDescent="0.25">
      <c r="A17" t="str">
        <f t="shared" si="0"/>
        <v>Bochenek Damian Krzysztof</v>
      </c>
      <c r="B17">
        <v>16</v>
      </c>
      <c r="C17" t="s">
        <v>74</v>
      </c>
      <c r="D17" t="s">
        <v>75</v>
      </c>
      <c r="E17">
        <v>4616</v>
      </c>
      <c r="F17" t="s">
        <v>76</v>
      </c>
      <c r="G17">
        <v>1405843</v>
      </c>
      <c r="H17" s="2">
        <v>48600636889</v>
      </c>
      <c r="I17" s="1">
        <v>44781</v>
      </c>
      <c r="J17" s="1">
        <v>73050</v>
      </c>
      <c r="K17" t="s">
        <v>17</v>
      </c>
      <c r="L17" t="s">
        <v>17</v>
      </c>
      <c r="M17" t="s">
        <v>18</v>
      </c>
      <c r="N17" t="s">
        <v>28</v>
      </c>
      <c r="O17" s="3">
        <v>0.20835648148148148</v>
      </c>
      <c r="S17" t="s">
        <v>783</v>
      </c>
      <c r="T17" t="s">
        <v>754</v>
      </c>
      <c r="U17" t="s">
        <v>675</v>
      </c>
      <c r="V17" t="s">
        <v>695</v>
      </c>
      <c r="X17" t="s">
        <v>874</v>
      </c>
      <c r="Y17" t="s">
        <v>892</v>
      </c>
    </row>
    <row r="18" spans="1:25" x14ac:dyDescent="0.25">
      <c r="A18" t="str">
        <f t="shared" si="0"/>
        <v>Bojda Lukasz</v>
      </c>
      <c r="B18">
        <v>17</v>
      </c>
      <c r="C18" t="s">
        <v>79</v>
      </c>
      <c r="D18" t="s">
        <v>80</v>
      </c>
      <c r="E18">
        <v>6197</v>
      </c>
      <c r="F18">
        <v>0</v>
      </c>
      <c r="G18">
        <v>1197174</v>
      </c>
      <c r="H18" s="2">
        <v>48516752290</v>
      </c>
      <c r="I18" s="1">
        <v>45712</v>
      </c>
      <c r="J18" s="1">
        <v>73050</v>
      </c>
      <c r="K18" t="s">
        <v>81</v>
      </c>
      <c r="L18" t="s">
        <v>82</v>
      </c>
      <c r="M18" t="s">
        <v>18</v>
      </c>
      <c r="N18" t="s">
        <v>83</v>
      </c>
      <c r="O18" s="3">
        <v>0.20515046296296297</v>
      </c>
      <c r="S18" t="s">
        <v>784</v>
      </c>
      <c r="T18" t="s">
        <v>755</v>
      </c>
      <c r="U18" t="s">
        <v>676</v>
      </c>
      <c r="V18" t="s">
        <v>696</v>
      </c>
      <c r="X18" t="s">
        <v>875</v>
      </c>
      <c r="Y18" t="s">
        <v>893</v>
      </c>
    </row>
    <row r="19" spans="1:25" x14ac:dyDescent="0.25">
      <c r="A19" t="str">
        <f t="shared" si="0"/>
        <v>Borska Ewa</v>
      </c>
      <c r="B19">
        <v>18</v>
      </c>
      <c r="C19" t="s">
        <v>84</v>
      </c>
      <c r="D19" t="s">
        <v>85</v>
      </c>
      <c r="E19">
        <v>4721</v>
      </c>
      <c r="F19" t="s">
        <v>86</v>
      </c>
      <c r="G19">
        <v>3370037</v>
      </c>
      <c r="H19" s="2">
        <v>48882717094</v>
      </c>
      <c r="I19" s="1">
        <v>44837</v>
      </c>
      <c r="J19" s="1">
        <v>73050</v>
      </c>
      <c r="K19" t="s">
        <v>26</v>
      </c>
      <c r="L19" t="s">
        <v>87</v>
      </c>
      <c r="M19" t="s">
        <v>24</v>
      </c>
      <c r="N19" t="s">
        <v>28</v>
      </c>
      <c r="O19" s="3"/>
      <c r="S19" t="s">
        <v>785</v>
      </c>
      <c r="T19" t="s">
        <v>756</v>
      </c>
      <c r="U19" t="s">
        <v>677</v>
      </c>
      <c r="V19" t="s">
        <v>697</v>
      </c>
      <c r="X19" t="s">
        <v>876</v>
      </c>
      <c r="Y19" t="s">
        <v>894</v>
      </c>
    </row>
    <row r="20" spans="1:25" x14ac:dyDescent="0.25">
      <c r="A20" t="str">
        <f t="shared" si="0"/>
        <v>Bortlik Dawid</v>
      </c>
      <c r="B20">
        <v>19</v>
      </c>
      <c r="C20" t="s">
        <v>88</v>
      </c>
      <c r="D20" t="s">
        <v>89</v>
      </c>
      <c r="E20">
        <v>6566</v>
      </c>
      <c r="F20">
        <v>0</v>
      </c>
      <c r="G20">
        <v>391236060</v>
      </c>
      <c r="H20" s="2">
        <v>48503703769</v>
      </c>
      <c r="I20" s="1">
        <v>45915</v>
      </c>
      <c r="J20" s="1">
        <v>73050</v>
      </c>
      <c r="K20" t="s">
        <v>51</v>
      </c>
      <c r="L20" t="s">
        <v>55</v>
      </c>
      <c r="M20" t="s">
        <v>18</v>
      </c>
      <c r="N20" t="s">
        <v>25</v>
      </c>
      <c r="O20" s="3">
        <v>0.17748842592592592</v>
      </c>
      <c r="S20" t="s">
        <v>786</v>
      </c>
      <c r="T20" t="s">
        <v>642</v>
      </c>
      <c r="U20" t="s">
        <v>678</v>
      </c>
      <c r="V20" t="s">
        <v>698</v>
      </c>
      <c r="X20" t="s">
        <v>948</v>
      </c>
      <c r="Y20" t="s">
        <v>895</v>
      </c>
    </row>
    <row r="21" spans="1:25" x14ac:dyDescent="0.25">
      <c r="A21" t="str">
        <f t="shared" si="0"/>
        <v>Boruszka Aneta Barbara</v>
      </c>
      <c r="B21">
        <v>20</v>
      </c>
      <c r="C21" t="s">
        <v>90</v>
      </c>
      <c r="D21" t="s">
        <v>91</v>
      </c>
      <c r="E21">
        <v>3415</v>
      </c>
      <c r="F21" t="s">
        <v>92</v>
      </c>
      <c r="G21">
        <v>12989719</v>
      </c>
      <c r="H21" s="2">
        <v>48605522989</v>
      </c>
      <c r="I21" s="1">
        <v>44228</v>
      </c>
      <c r="J21" s="1">
        <v>73050</v>
      </c>
      <c r="K21" t="s">
        <v>34</v>
      </c>
      <c r="L21" t="s">
        <v>93</v>
      </c>
      <c r="M21" t="s">
        <v>18</v>
      </c>
      <c r="N21" t="s">
        <v>36</v>
      </c>
      <c r="O21" s="3"/>
      <c r="S21" t="s">
        <v>787</v>
      </c>
      <c r="T21" t="s">
        <v>757</v>
      </c>
      <c r="V21" t="s">
        <v>699</v>
      </c>
      <c r="X21" t="s">
        <v>864</v>
      </c>
      <c r="Y21" t="s">
        <v>896</v>
      </c>
    </row>
    <row r="22" spans="1:25" x14ac:dyDescent="0.25">
      <c r="A22" t="str">
        <f t="shared" si="0"/>
        <v>Brachman Piotr Leszek</v>
      </c>
      <c r="B22">
        <v>21</v>
      </c>
      <c r="C22" t="s">
        <v>94</v>
      </c>
      <c r="D22" t="s">
        <v>95</v>
      </c>
      <c r="E22">
        <v>3951</v>
      </c>
      <c r="F22">
        <v>7547</v>
      </c>
      <c r="G22">
        <v>13392876</v>
      </c>
      <c r="H22" s="2">
        <v>48516350901</v>
      </c>
      <c r="I22" s="1">
        <v>44825</v>
      </c>
      <c r="J22" s="1">
        <v>73050</v>
      </c>
      <c r="K22" t="s">
        <v>17</v>
      </c>
      <c r="L22" t="s">
        <v>17</v>
      </c>
      <c r="M22" t="s">
        <v>24</v>
      </c>
      <c r="N22" t="s">
        <v>96</v>
      </c>
      <c r="O22" s="3"/>
      <c r="S22" t="s">
        <v>788</v>
      </c>
      <c r="T22" t="s">
        <v>758</v>
      </c>
      <c r="V22" t="s">
        <v>700</v>
      </c>
      <c r="X22" t="s">
        <v>868</v>
      </c>
      <c r="Y22" t="s">
        <v>898</v>
      </c>
    </row>
    <row r="23" spans="1:25" x14ac:dyDescent="0.25">
      <c r="A23" t="str">
        <f t="shared" si="0"/>
        <v>Brodowski Robert</v>
      </c>
      <c r="B23">
        <v>22</v>
      </c>
      <c r="C23" t="s">
        <v>100</v>
      </c>
      <c r="D23" t="s">
        <v>101</v>
      </c>
      <c r="E23">
        <v>5683</v>
      </c>
      <c r="F23">
        <v>0</v>
      </c>
      <c r="G23">
        <v>11713635</v>
      </c>
      <c r="H23" s="2">
        <v>48508245715</v>
      </c>
      <c r="I23" s="1">
        <v>45461</v>
      </c>
      <c r="J23" s="1">
        <v>73050</v>
      </c>
      <c r="K23" t="s">
        <v>102</v>
      </c>
      <c r="L23" t="s">
        <v>103</v>
      </c>
      <c r="M23" t="s">
        <v>18</v>
      </c>
      <c r="N23" t="s">
        <v>83</v>
      </c>
      <c r="S23" t="s">
        <v>789</v>
      </c>
      <c r="T23" t="s">
        <v>759</v>
      </c>
      <c r="V23" t="s">
        <v>701</v>
      </c>
      <c r="Y23" t="s">
        <v>899</v>
      </c>
    </row>
    <row r="24" spans="1:25" x14ac:dyDescent="0.25">
      <c r="A24" t="str">
        <f t="shared" si="0"/>
        <v>Bujak Leszek Sylwester</v>
      </c>
      <c r="B24">
        <v>23</v>
      </c>
      <c r="C24" t="s">
        <v>104</v>
      </c>
      <c r="D24" t="s">
        <v>106</v>
      </c>
      <c r="E24">
        <v>4845</v>
      </c>
      <c r="F24" t="s">
        <v>107</v>
      </c>
      <c r="G24">
        <v>291517620</v>
      </c>
      <c r="H24" s="2">
        <v>48799082871</v>
      </c>
      <c r="I24" s="1">
        <v>44986</v>
      </c>
      <c r="J24" s="1">
        <v>73050</v>
      </c>
      <c r="K24" t="s">
        <v>17</v>
      </c>
      <c r="L24" t="s">
        <v>17</v>
      </c>
      <c r="M24" t="s">
        <v>24</v>
      </c>
      <c r="N24" t="s">
        <v>28</v>
      </c>
      <c r="O24" s="3"/>
      <c r="S24" t="s">
        <v>790</v>
      </c>
      <c r="T24" t="s">
        <v>760</v>
      </c>
      <c r="V24" t="s">
        <v>702</v>
      </c>
      <c r="Y24" t="s">
        <v>900</v>
      </c>
    </row>
    <row r="25" spans="1:25" x14ac:dyDescent="0.25">
      <c r="A25" t="str">
        <f t="shared" si="0"/>
        <v>Bujak Beniamin Salamon</v>
      </c>
      <c r="B25">
        <v>24</v>
      </c>
      <c r="C25" t="s">
        <v>104</v>
      </c>
      <c r="D25" t="s">
        <v>105</v>
      </c>
      <c r="E25">
        <v>4894</v>
      </c>
      <c r="F25">
        <v>7503</v>
      </c>
      <c r="G25">
        <v>11966825</v>
      </c>
      <c r="H25">
        <v>48889843724</v>
      </c>
      <c r="I25" s="1">
        <v>44986</v>
      </c>
      <c r="J25" s="1">
        <v>73050</v>
      </c>
      <c r="K25" t="s">
        <v>17</v>
      </c>
      <c r="L25" t="s">
        <v>17</v>
      </c>
      <c r="M25" t="s">
        <v>24</v>
      </c>
      <c r="N25" t="s">
        <v>96</v>
      </c>
      <c r="O25" s="3"/>
      <c r="S25" t="s">
        <v>791</v>
      </c>
      <c r="T25" t="s">
        <v>761</v>
      </c>
      <c r="V25" t="s">
        <v>703</v>
      </c>
      <c r="Y25" t="s">
        <v>942</v>
      </c>
    </row>
    <row r="26" spans="1:25" x14ac:dyDescent="0.25">
      <c r="A26" t="str">
        <f t="shared" si="0"/>
        <v>Bujok Dominik</v>
      </c>
      <c r="B26">
        <v>25</v>
      </c>
      <c r="C26" t="s">
        <v>108</v>
      </c>
      <c r="D26" t="s">
        <v>109</v>
      </c>
      <c r="E26">
        <v>5094</v>
      </c>
      <c r="F26">
        <v>5094</v>
      </c>
      <c r="G26">
        <v>11754146</v>
      </c>
      <c r="H26" s="2">
        <v>48795139997</v>
      </c>
      <c r="I26" s="1">
        <v>45096</v>
      </c>
      <c r="J26" s="1">
        <v>73050</v>
      </c>
      <c r="K26" t="s">
        <v>22</v>
      </c>
      <c r="L26" t="s">
        <v>110</v>
      </c>
      <c r="M26" t="s">
        <v>24</v>
      </c>
      <c r="N26" t="s">
        <v>25</v>
      </c>
      <c r="O26" s="3"/>
      <c r="S26" t="s">
        <v>792</v>
      </c>
      <c r="T26" t="s">
        <v>762</v>
      </c>
      <c r="V26" t="s">
        <v>704</v>
      </c>
      <c r="Y26" t="s">
        <v>943</v>
      </c>
    </row>
    <row r="27" spans="1:25" x14ac:dyDescent="0.25">
      <c r="A27" t="str">
        <f t="shared" si="0"/>
        <v>Bury Angelika</v>
      </c>
      <c r="B27">
        <v>26</v>
      </c>
      <c r="C27" t="s">
        <v>111</v>
      </c>
      <c r="D27" t="s">
        <v>112</v>
      </c>
      <c r="E27">
        <v>6001</v>
      </c>
      <c r="F27">
        <v>0</v>
      </c>
      <c r="G27">
        <v>12020053</v>
      </c>
      <c r="H27" s="2">
        <v>48575311504</v>
      </c>
      <c r="I27" s="1">
        <v>45582</v>
      </c>
      <c r="J27" s="1">
        <v>73050</v>
      </c>
      <c r="K27" t="s">
        <v>51</v>
      </c>
      <c r="L27" t="s">
        <v>55</v>
      </c>
      <c r="M27" t="s">
        <v>24</v>
      </c>
      <c r="N27" t="s">
        <v>25</v>
      </c>
      <c r="O27" s="3"/>
      <c r="S27" t="s">
        <v>922</v>
      </c>
      <c r="T27" t="s">
        <v>763</v>
      </c>
      <c r="V27" t="s">
        <v>705</v>
      </c>
      <c r="Y27" t="s">
        <v>901</v>
      </c>
    </row>
    <row r="28" spans="1:25" x14ac:dyDescent="0.25">
      <c r="A28" t="str">
        <f t="shared" si="0"/>
        <v>Buturla Bozena</v>
      </c>
      <c r="B28">
        <v>27</v>
      </c>
      <c r="C28" t="s">
        <v>113</v>
      </c>
      <c r="D28" t="s">
        <v>114</v>
      </c>
      <c r="E28">
        <v>6573</v>
      </c>
      <c r="F28">
        <v>0</v>
      </c>
      <c r="G28">
        <v>391112974</v>
      </c>
      <c r="H28" s="2">
        <v>48669267044</v>
      </c>
      <c r="I28" s="1">
        <v>45922</v>
      </c>
      <c r="J28" s="1">
        <v>73050</v>
      </c>
      <c r="K28" t="s">
        <v>51</v>
      </c>
      <c r="L28" t="s">
        <v>99</v>
      </c>
      <c r="M28" t="s">
        <v>24</v>
      </c>
      <c r="N28" t="s">
        <v>25</v>
      </c>
      <c r="O28" s="3"/>
      <c r="S28" t="s">
        <v>793</v>
      </c>
      <c r="T28" t="s">
        <v>764</v>
      </c>
      <c r="V28" t="s">
        <v>706</v>
      </c>
      <c r="Y28" t="s">
        <v>902</v>
      </c>
    </row>
    <row r="29" spans="1:25" x14ac:dyDescent="0.25">
      <c r="A29" t="str">
        <f t="shared" si="0"/>
        <v>Buza Grazyna Aniela</v>
      </c>
      <c r="B29">
        <v>28</v>
      </c>
      <c r="C29" t="s">
        <v>115</v>
      </c>
      <c r="D29" t="s">
        <v>116</v>
      </c>
      <c r="E29">
        <v>5129</v>
      </c>
      <c r="F29">
        <v>5129</v>
      </c>
      <c r="G29">
        <v>328432941</v>
      </c>
      <c r="H29" s="2">
        <v>48788217740</v>
      </c>
      <c r="I29" s="1">
        <v>45145</v>
      </c>
      <c r="J29" s="1">
        <v>73050</v>
      </c>
      <c r="K29" t="s">
        <v>51</v>
      </c>
      <c r="L29" t="s">
        <v>117</v>
      </c>
      <c r="M29" t="s">
        <v>40</v>
      </c>
      <c r="N29" t="s">
        <v>25</v>
      </c>
      <c r="O29" s="3">
        <v>0.83196759259259256</v>
      </c>
      <c r="S29" t="s">
        <v>794</v>
      </c>
      <c r="T29" t="s">
        <v>765</v>
      </c>
      <c r="V29" t="s">
        <v>707</v>
      </c>
      <c r="Y29" t="s">
        <v>903</v>
      </c>
    </row>
    <row r="30" spans="1:25" x14ac:dyDescent="0.25">
      <c r="A30" t="str">
        <f t="shared" si="0"/>
        <v>Buza Jan Ireneusz</v>
      </c>
      <c r="B30">
        <v>29</v>
      </c>
      <c r="C30" t="s">
        <v>115</v>
      </c>
      <c r="D30" t="s">
        <v>118</v>
      </c>
      <c r="E30">
        <v>5663</v>
      </c>
      <c r="F30">
        <v>4919</v>
      </c>
      <c r="G30">
        <v>328443812</v>
      </c>
      <c r="H30" s="2">
        <v>48531216624</v>
      </c>
      <c r="I30" s="1">
        <v>45012</v>
      </c>
      <c r="J30" s="1">
        <v>73050</v>
      </c>
      <c r="K30" t="s">
        <v>51</v>
      </c>
      <c r="L30" t="s">
        <v>117</v>
      </c>
      <c r="M30" t="s">
        <v>40</v>
      </c>
      <c r="N30" t="s">
        <v>25</v>
      </c>
      <c r="O30" s="3">
        <v>0.83158564814814817</v>
      </c>
      <c r="S30" t="s">
        <v>795</v>
      </c>
      <c r="T30" t="s">
        <v>766</v>
      </c>
      <c r="V30" t="s">
        <v>708</v>
      </c>
      <c r="Y30" t="s">
        <v>904</v>
      </c>
    </row>
    <row r="31" spans="1:25" x14ac:dyDescent="0.25">
      <c r="A31" t="str">
        <f t="shared" si="0"/>
        <v>Ceglarski Wojciech</v>
      </c>
      <c r="B31">
        <v>30</v>
      </c>
      <c r="C31" t="s">
        <v>119</v>
      </c>
      <c r="D31" t="s">
        <v>120</v>
      </c>
      <c r="E31">
        <v>6212</v>
      </c>
      <c r="F31">
        <v>0</v>
      </c>
      <c r="G31">
        <v>0</v>
      </c>
      <c r="H31" s="2">
        <v>48788116032</v>
      </c>
      <c r="I31" s="1">
        <v>45721</v>
      </c>
      <c r="J31" s="1">
        <v>45933</v>
      </c>
      <c r="K31" t="s">
        <v>66</v>
      </c>
      <c r="L31" t="s">
        <v>82</v>
      </c>
      <c r="M31" t="s">
        <v>949</v>
      </c>
      <c r="N31" t="s">
        <v>121</v>
      </c>
      <c r="O31" s="3"/>
      <c r="S31" t="s">
        <v>796</v>
      </c>
      <c r="T31" t="s">
        <v>767</v>
      </c>
      <c r="V31" t="s">
        <v>709</v>
      </c>
      <c r="Y31" t="s">
        <v>905</v>
      </c>
    </row>
    <row r="32" spans="1:25" x14ac:dyDescent="0.25">
      <c r="A32" t="str">
        <f t="shared" si="0"/>
        <v>Ciesielska Malgorzata</v>
      </c>
      <c r="B32">
        <v>31</v>
      </c>
      <c r="C32" t="s">
        <v>122</v>
      </c>
      <c r="D32" t="s">
        <v>123</v>
      </c>
      <c r="E32">
        <v>6450</v>
      </c>
      <c r="F32">
        <v>0</v>
      </c>
      <c r="G32">
        <v>12099337</v>
      </c>
      <c r="H32" s="2">
        <v>48514893548</v>
      </c>
      <c r="I32" s="1">
        <v>45852</v>
      </c>
      <c r="J32" s="1">
        <v>73050</v>
      </c>
      <c r="K32" t="s">
        <v>26</v>
      </c>
      <c r="L32" t="s">
        <v>87</v>
      </c>
      <c r="M32" t="s">
        <v>24</v>
      </c>
      <c r="N32" t="s">
        <v>71</v>
      </c>
      <c r="O32" s="3"/>
      <c r="S32" t="s">
        <v>644</v>
      </c>
      <c r="T32" t="s">
        <v>768</v>
      </c>
      <c r="V32" t="s">
        <v>710</v>
      </c>
      <c r="Y32" t="s">
        <v>906</v>
      </c>
    </row>
    <row r="33" spans="1:25" x14ac:dyDescent="0.25">
      <c r="A33" t="str">
        <f t="shared" si="0"/>
        <v>Cwiklak Robert</v>
      </c>
      <c r="B33">
        <v>32</v>
      </c>
      <c r="C33" t="s">
        <v>124</v>
      </c>
      <c r="D33" t="s">
        <v>101</v>
      </c>
      <c r="E33">
        <v>4936</v>
      </c>
      <c r="F33">
        <v>4936</v>
      </c>
      <c r="G33">
        <v>370049042</v>
      </c>
      <c r="H33" s="2">
        <v>48661575386</v>
      </c>
      <c r="I33" s="1">
        <v>45027</v>
      </c>
      <c r="J33" s="1">
        <v>73050</v>
      </c>
      <c r="K33" t="s">
        <v>51</v>
      </c>
      <c r="L33" t="s">
        <v>99</v>
      </c>
      <c r="M33" t="s">
        <v>24</v>
      </c>
      <c r="N33" t="s">
        <v>25</v>
      </c>
      <c r="O33" s="3"/>
      <c r="S33" t="s">
        <v>797</v>
      </c>
      <c r="T33" t="s">
        <v>769</v>
      </c>
      <c r="V33" t="s">
        <v>711</v>
      </c>
      <c r="Y33" t="s">
        <v>907</v>
      </c>
    </row>
    <row r="34" spans="1:25" x14ac:dyDescent="0.25">
      <c r="A34" t="str">
        <f t="shared" si="0"/>
        <v>Cwiklinska Alicja Katarzyna</v>
      </c>
      <c r="B34">
        <v>33</v>
      </c>
      <c r="C34" t="s">
        <v>125</v>
      </c>
      <c r="D34" t="s">
        <v>126</v>
      </c>
      <c r="E34">
        <v>47</v>
      </c>
      <c r="F34" t="s">
        <v>127</v>
      </c>
      <c r="G34">
        <v>13123141</v>
      </c>
      <c r="H34" s="2">
        <v>48573239948</v>
      </c>
      <c r="I34" s="1">
        <v>44593</v>
      </c>
      <c r="J34" s="1">
        <v>73050</v>
      </c>
      <c r="K34" t="s">
        <v>128</v>
      </c>
      <c r="L34" t="s">
        <v>129</v>
      </c>
      <c r="M34" t="s">
        <v>225</v>
      </c>
      <c r="N34" t="s">
        <v>28</v>
      </c>
      <c r="O34" s="3"/>
      <c r="S34" t="s">
        <v>798</v>
      </c>
      <c r="T34" t="s">
        <v>770</v>
      </c>
      <c r="V34" t="s">
        <v>712</v>
      </c>
      <c r="Y34" t="s">
        <v>908</v>
      </c>
    </row>
    <row r="35" spans="1:25" x14ac:dyDescent="0.25">
      <c r="A35" t="str">
        <f t="shared" si="0"/>
        <v>Czajka Bartosz</v>
      </c>
      <c r="B35">
        <v>34</v>
      </c>
      <c r="C35" t="s">
        <v>919</v>
      </c>
      <c r="D35" t="s">
        <v>54</v>
      </c>
      <c r="E35">
        <v>6582</v>
      </c>
      <c r="F35">
        <v>0</v>
      </c>
      <c r="G35">
        <v>0</v>
      </c>
      <c r="H35" s="2">
        <v>48502143429</v>
      </c>
      <c r="I35" s="1">
        <v>45929</v>
      </c>
      <c r="J35" s="1">
        <v>73050</v>
      </c>
      <c r="K35" t="s">
        <v>128</v>
      </c>
      <c r="L35" t="s">
        <v>920</v>
      </c>
      <c r="M35" t="s">
        <v>18</v>
      </c>
      <c r="N35" t="s">
        <v>28</v>
      </c>
      <c r="O35" s="3"/>
      <c r="S35" t="s">
        <v>799</v>
      </c>
      <c r="T35" t="s">
        <v>771</v>
      </c>
      <c r="V35" t="s">
        <v>713</v>
      </c>
      <c r="Y35" t="s">
        <v>968</v>
      </c>
    </row>
    <row r="36" spans="1:25" x14ac:dyDescent="0.25">
      <c r="A36" t="str">
        <f t="shared" si="0"/>
        <v>Dalemula Krysztof Grzegorz</v>
      </c>
      <c r="B36">
        <v>35</v>
      </c>
      <c r="C36" t="s">
        <v>135</v>
      </c>
      <c r="D36" t="s">
        <v>136</v>
      </c>
      <c r="E36">
        <v>4955</v>
      </c>
      <c r="F36">
        <v>4955</v>
      </c>
      <c r="G36">
        <v>370035234</v>
      </c>
      <c r="H36" s="2">
        <v>48691339886</v>
      </c>
      <c r="I36" s="1">
        <v>45033</v>
      </c>
      <c r="J36" s="1">
        <v>73050</v>
      </c>
      <c r="K36" t="s">
        <v>51</v>
      </c>
      <c r="L36" t="s">
        <v>99</v>
      </c>
      <c r="M36" t="s">
        <v>40</v>
      </c>
      <c r="N36" t="s">
        <v>25</v>
      </c>
      <c r="O36" s="3">
        <v>0.85468750000000004</v>
      </c>
      <c r="S36" t="s">
        <v>800</v>
      </c>
      <c r="T36" t="s">
        <v>981</v>
      </c>
      <c r="V36" t="s">
        <v>714</v>
      </c>
      <c r="Y36" t="s">
        <v>909</v>
      </c>
    </row>
    <row r="37" spans="1:25" x14ac:dyDescent="0.25">
      <c r="A37" t="str">
        <f t="shared" si="0"/>
        <v>Dalemula Radoslaw Jakub</v>
      </c>
      <c r="B37">
        <v>36</v>
      </c>
      <c r="C37" t="s">
        <v>135</v>
      </c>
      <c r="D37" t="s">
        <v>137</v>
      </c>
      <c r="E37">
        <v>3359</v>
      </c>
      <c r="F37">
        <v>7685</v>
      </c>
      <c r="G37">
        <v>11727280</v>
      </c>
      <c r="H37" s="2">
        <v>48575017608</v>
      </c>
      <c r="I37" s="1">
        <v>44477</v>
      </c>
      <c r="J37" s="1">
        <v>73050</v>
      </c>
      <c r="K37" t="s">
        <v>128</v>
      </c>
      <c r="L37" t="s">
        <v>138</v>
      </c>
      <c r="M37" t="s">
        <v>40</v>
      </c>
      <c r="N37" t="s">
        <v>96</v>
      </c>
      <c r="O37" s="3">
        <v>0.83476851851851852</v>
      </c>
      <c r="S37" t="s">
        <v>801</v>
      </c>
      <c r="T37" t="s">
        <v>980</v>
      </c>
      <c r="V37" t="s">
        <v>715</v>
      </c>
      <c r="Y37" t="s">
        <v>884</v>
      </c>
    </row>
    <row r="38" spans="1:25" x14ac:dyDescent="0.25">
      <c r="A38" t="str">
        <f t="shared" si="0"/>
        <v>Damis Malgorzata Maria</v>
      </c>
      <c r="B38">
        <v>37</v>
      </c>
      <c r="C38" t="s">
        <v>139</v>
      </c>
      <c r="D38" t="s">
        <v>140</v>
      </c>
      <c r="E38">
        <v>49</v>
      </c>
      <c r="F38" t="s">
        <v>141</v>
      </c>
      <c r="G38">
        <v>9531966</v>
      </c>
      <c r="H38" s="2">
        <v>48511553878</v>
      </c>
      <c r="I38" s="1">
        <v>44593</v>
      </c>
      <c r="J38" s="1">
        <v>73050</v>
      </c>
      <c r="K38" t="s">
        <v>26</v>
      </c>
      <c r="L38" t="s">
        <v>142</v>
      </c>
      <c r="M38" t="s">
        <v>40</v>
      </c>
      <c r="N38" t="s">
        <v>28</v>
      </c>
      <c r="O38" s="3"/>
      <c r="S38" t="s">
        <v>802</v>
      </c>
      <c r="T38" t="s">
        <v>982</v>
      </c>
      <c r="V38" t="s">
        <v>716</v>
      </c>
      <c r="Y38" t="s">
        <v>890</v>
      </c>
    </row>
    <row r="39" spans="1:25" x14ac:dyDescent="0.25">
      <c r="A39" t="str">
        <f t="shared" si="0"/>
        <v>Derlacz Piotr</v>
      </c>
      <c r="B39">
        <v>38</v>
      </c>
      <c r="C39" t="s">
        <v>923</v>
      </c>
      <c r="D39" t="s">
        <v>222</v>
      </c>
      <c r="E39">
        <v>6581</v>
      </c>
      <c r="F39">
        <v>0</v>
      </c>
      <c r="G39">
        <v>0</v>
      </c>
      <c r="H39" s="2">
        <v>48502167295</v>
      </c>
      <c r="I39" s="1">
        <v>45929</v>
      </c>
      <c r="J39" s="1">
        <v>73050</v>
      </c>
      <c r="K39" t="s">
        <v>51</v>
      </c>
      <c r="L39" t="s">
        <v>265</v>
      </c>
      <c r="M39" t="s">
        <v>40</v>
      </c>
      <c r="N39" t="s">
        <v>25</v>
      </c>
      <c r="O39" s="3"/>
      <c r="S39" t="s">
        <v>803</v>
      </c>
      <c r="T39" t="s">
        <v>983</v>
      </c>
      <c r="V39" t="s">
        <v>718</v>
      </c>
      <c r="Y39" t="s">
        <v>897</v>
      </c>
    </row>
    <row r="40" spans="1:25" x14ac:dyDescent="0.25">
      <c r="A40" t="str">
        <f t="shared" si="0"/>
        <v>Dolezych Lidia</v>
      </c>
      <c r="B40">
        <v>39</v>
      </c>
      <c r="C40" t="s">
        <v>143</v>
      </c>
      <c r="D40" t="s">
        <v>144</v>
      </c>
      <c r="E40">
        <v>6568</v>
      </c>
      <c r="F40">
        <v>0</v>
      </c>
      <c r="G40">
        <v>391211437</v>
      </c>
      <c r="H40">
        <v>48533341727</v>
      </c>
      <c r="I40" s="1">
        <v>45915</v>
      </c>
      <c r="J40" s="1">
        <v>73050</v>
      </c>
      <c r="K40" t="s">
        <v>22</v>
      </c>
      <c r="L40" t="s">
        <v>23</v>
      </c>
      <c r="M40" t="s">
        <v>18</v>
      </c>
      <c r="N40" t="s">
        <v>25</v>
      </c>
      <c r="O40" s="3">
        <v>0.16336805555555556</v>
      </c>
      <c r="S40" t="s">
        <v>965</v>
      </c>
      <c r="T40" t="s">
        <v>984</v>
      </c>
      <c r="V40" t="s">
        <v>720</v>
      </c>
    </row>
    <row r="41" spans="1:25" x14ac:dyDescent="0.25">
      <c r="A41" t="str">
        <f t="shared" si="0"/>
        <v>Doliński Roman</v>
      </c>
      <c r="B41">
        <v>40</v>
      </c>
      <c r="C41" t="s">
        <v>145</v>
      </c>
      <c r="D41" t="s">
        <v>146</v>
      </c>
      <c r="E41">
        <v>5630</v>
      </c>
      <c r="F41">
        <v>0</v>
      </c>
      <c r="G41">
        <v>13385638</v>
      </c>
      <c r="H41" s="2">
        <v>48572963084</v>
      </c>
      <c r="I41" s="1">
        <v>45447</v>
      </c>
      <c r="J41" s="1">
        <v>73050</v>
      </c>
      <c r="K41" t="s">
        <v>102</v>
      </c>
      <c r="L41" t="s">
        <v>147</v>
      </c>
      <c r="M41" t="s">
        <v>18</v>
      </c>
      <c r="N41" t="s">
        <v>83</v>
      </c>
      <c r="O41" s="3"/>
      <c r="S41" t="s">
        <v>643</v>
      </c>
      <c r="T41" t="s">
        <v>985</v>
      </c>
      <c r="V41" t="s">
        <v>719</v>
      </c>
    </row>
    <row r="42" spans="1:25" x14ac:dyDescent="0.25">
      <c r="A42" t="str">
        <f t="shared" si="0"/>
        <v>Duraj Mateusz Jan</v>
      </c>
      <c r="B42">
        <v>41</v>
      </c>
      <c r="C42" t="s">
        <v>148</v>
      </c>
      <c r="D42" t="s">
        <v>149</v>
      </c>
      <c r="E42">
        <v>5584</v>
      </c>
      <c r="F42">
        <v>7504</v>
      </c>
      <c r="G42">
        <v>0</v>
      </c>
      <c r="H42" s="2">
        <v>48693393395</v>
      </c>
      <c r="I42" s="1">
        <v>45414</v>
      </c>
      <c r="J42" s="1">
        <v>45291</v>
      </c>
      <c r="K42" t="s">
        <v>17</v>
      </c>
      <c r="L42" t="s">
        <v>17</v>
      </c>
      <c r="M42" t="s">
        <v>24</v>
      </c>
      <c r="N42" t="s">
        <v>96</v>
      </c>
      <c r="O42" s="3"/>
      <c r="S42" t="s">
        <v>804</v>
      </c>
      <c r="T42" t="s">
        <v>991</v>
      </c>
      <c r="V42" t="s">
        <v>721</v>
      </c>
    </row>
    <row r="43" spans="1:25" x14ac:dyDescent="0.25">
      <c r="A43" t="str">
        <f t="shared" si="0"/>
        <v>Ferszt Tomasz</v>
      </c>
      <c r="B43">
        <v>42</v>
      </c>
      <c r="C43" t="s">
        <v>950</v>
      </c>
      <c r="D43" t="s">
        <v>159</v>
      </c>
      <c r="E43">
        <v>6595</v>
      </c>
      <c r="F43">
        <v>0</v>
      </c>
      <c r="G43">
        <v>12129199</v>
      </c>
      <c r="H43" s="2">
        <v>48572049840</v>
      </c>
      <c r="I43" s="1">
        <v>45936</v>
      </c>
      <c r="J43" s="1">
        <v>73050</v>
      </c>
      <c r="K43" t="s">
        <v>128</v>
      </c>
      <c r="L43" t="s">
        <v>138</v>
      </c>
      <c r="M43" t="s">
        <v>40</v>
      </c>
      <c r="N43" t="s">
        <v>28</v>
      </c>
      <c r="O43" s="3">
        <v>0.83626157407407409</v>
      </c>
      <c r="S43" t="s">
        <v>805</v>
      </c>
      <c r="T43" t="s">
        <v>986</v>
      </c>
      <c r="V43" t="s">
        <v>722</v>
      </c>
    </row>
    <row r="44" spans="1:25" x14ac:dyDescent="0.25">
      <c r="A44" t="str">
        <f t="shared" si="0"/>
        <v>Feszter Ewa</v>
      </c>
      <c r="B44">
        <v>43</v>
      </c>
      <c r="C44" t="s">
        <v>150</v>
      </c>
      <c r="D44" t="s">
        <v>85</v>
      </c>
      <c r="E44">
        <v>5839</v>
      </c>
      <c r="F44">
        <v>0</v>
      </c>
      <c r="G44">
        <v>3740819</v>
      </c>
      <c r="H44" s="2">
        <v>48780612370</v>
      </c>
      <c r="I44" s="1">
        <v>45525</v>
      </c>
      <c r="J44" s="1">
        <v>73050</v>
      </c>
      <c r="K44" t="s">
        <v>128</v>
      </c>
      <c r="L44" t="s">
        <v>151</v>
      </c>
      <c r="M44" t="s">
        <v>40</v>
      </c>
      <c r="N44" t="s">
        <v>28</v>
      </c>
      <c r="O44" s="3">
        <v>0.85250000000000004</v>
      </c>
      <c r="S44" t="s">
        <v>806</v>
      </c>
      <c r="T44" t="s">
        <v>987</v>
      </c>
      <c r="V44" t="s">
        <v>723</v>
      </c>
    </row>
    <row r="45" spans="1:25" x14ac:dyDescent="0.25">
      <c r="A45" t="str">
        <f t="shared" si="0"/>
        <v>Fitrzyková Jana</v>
      </c>
      <c r="B45">
        <v>44</v>
      </c>
      <c r="C45" t="s">
        <v>152</v>
      </c>
      <c r="D45" t="s">
        <v>153</v>
      </c>
      <c r="E45">
        <v>3721</v>
      </c>
      <c r="F45">
        <v>3721</v>
      </c>
      <c r="G45">
        <v>328604658</v>
      </c>
      <c r="H45" s="2">
        <v>420704188141</v>
      </c>
      <c r="I45" s="1">
        <v>45123</v>
      </c>
      <c r="J45" s="1">
        <v>73050</v>
      </c>
      <c r="K45" t="s">
        <v>51</v>
      </c>
      <c r="L45" t="s">
        <v>154</v>
      </c>
      <c r="M45" t="s">
        <v>40</v>
      </c>
      <c r="N45" t="s">
        <v>25</v>
      </c>
      <c r="O45" s="3">
        <v>0.87900462962962966</v>
      </c>
      <c r="S45" t="s">
        <v>807</v>
      </c>
      <c r="T45" t="s">
        <v>989</v>
      </c>
      <c r="V45" t="s">
        <v>724</v>
      </c>
    </row>
    <row r="46" spans="1:25" x14ac:dyDescent="0.25">
      <c r="A46" t="str">
        <f t="shared" si="0"/>
        <v>Fojcik Marzena</v>
      </c>
      <c r="B46">
        <v>45</v>
      </c>
      <c r="C46" t="s">
        <v>155</v>
      </c>
      <c r="D46" t="s">
        <v>156</v>
      </c>
      <c r="E46">
        <v>6487</v>
      </c>
      <c r="F46">
        <v>0</v>
      </c>
      <c r="G46">
        <v>5121719</v>
      </c>
      <c r="H46" s="2">
        <v>48781216180</v>
      </c>
      <c r="I46" s="1">
        <v>45873</v>
      </c>
      <c r="J46" s="1">
        <v>73050</v>
      </c>
      <c r="K46" t="s">
        <v>128</v>
      </c>
      <c r="L46" t="s">
        <v>157</v>
      </c>
      <c r="M46" t="s">
        <v>18</v>
      </c>
      <c r="N46" t="s">
        <v>28</v>
      </c>
      <c r="O46" s="3">
        <v>0.18366898148148147</v>
      </c>
      <c r="S46" t="s">
        <v>966</v>
      </c>
      <c r="T46" t="s">
        <v>988</v>
      </c>
      <c r="V46" t="s">
        <v>725</v>
      </c>
    </row>
    <row r="47" spans="1:25" x14ac:dyDescent="0.25">
      <c r="A47" t="str">
        <f t="shared" si="0"/>
        <v>Ganczorz Tomasz</v>
      </c>
      <c r="B47">
        <v>46</v>
      </c>
      <c r="C47" t="s">
        <v>158</v>
      </c>
      <c r="D47" t="s">
        <v>159</v>
      </c>
      <c r="E47">
        <v>0</v>
      </c>
      <c r="F47">
        <v>0</v>
      </c>
      <c r="G47">
        <v>400254898</v>
      </c>
      <c r="H47" s="2">
        <v>48534498321</v>
      </c>
      <c r="I47" s="1">
        <v>45824</v>
      </c>
      <c r="J47" s="1">
        <v>73050</v>
      </c>
      <c r="K47" t="s">
        <v>160</v>
      </c>
      <c r="L47" t="s">
        <v>161</v>
      </c>
      <c r="M47" t="s">
        <v>18</v>
      </c>
      <c r="N47" t="s">
        <v>121</v>
      </c>
      <c r="O47" s="3"/>
      <c r="S47" t="s">
        <v>808</v>
      </c>
      <c r="T47" t="s">
        <v>990</v>
      </c>
      <c r="V47" t="s">
        <v>727</v>
      </c>
    </row>
    <row r="48" spans="1:25" x14ac:dyDescent="0.25">
      <c r="A48" t="str">
        <f t="shared" si="0"/>
        <v>Gawel Krystian</v>
      </c>
      <c r="B48">
        <v>47</v>
      </c>
      <c r="C48" t="s">
        <v>162</v>
      </c>
      <c r="D48" t="s">
        <v>65</v>
      </c>
      <c r="E48">
        <v>6292</v>
      </c>
      <c r="F48">
        <v>0</v>
      </c>
      <c r="G48">
        <v>0</v>
      </c>
      <c r="H48" s="2">
        <v>48785727722</v>
      </c>
      <c r="I48" s="1">
        <v>45757</v>
      </c>
      <c r="J48" s="1">
        <v>73050</v>
      </c>
      <c r="K48" t="s">
        <v>17</v>
      </c>
      <c r="L48" t="s">
        <v>17</v>
      </c>
      <c r="M48" t="s">
        <v>40</v>
      </c>
      <c r="N48" t="s">
        <v>28</v>
      </c>
      <c r="O48" s="3">
        <v>0.87502314814814819</v>
      </c>
      <c r="S48" t="s">
        <v>809</v>
      </c>
      <c r="V48" t="s">
        <v>728</v>
      </c>
    </row>
    <row r="49" spans="1:22" x14ac:dyDescent="0.25">
      <c r="A49" t="str">
        <f t="shared" si="0"/>
        <v>Giedziun Monika</v>
      </c>
      <c r="B49">
        <v>48</v>
      </c>
      <c r="C49" t="s">
        <v>163</v>
      </c>
      <c r="D49" t="s">
        <v>164</v>
      </c>
      <c r="E49">
        <v>6418</v>
      </c>
      <c r="F49">
        <v>0</v>
      </c>
      <c r="G49">
        <v>1164432</v>
      </c>
      <c r="H49" s="2">
        <v>48510547460</v>
      </c>
      <c r="I49" s="1">
        <v>45832</v>
      </c>
      <c r="J49" s="1">
        <v>73050</v>
      </c>
      <c r="K49" t="s">
        <v>17</v>
      </c>
      <c r="L49" t="s">
        <v>17</v>
      </c>
      <c r="M49" t="s">
        <v>18</v>
      </c>
      <c r="N49" t="s">
        <v>71</v>
      </c>
      <c r="O49" s="3">
        <v>0.20836805555555554</v>
      </c>
      <c r="S49" t="s">
        <v>810</v>
      </c>
      <c r="V49" t="s">
        <v>729</v>
      </c>
    </row>
    <row r="50" spans="1:22" x14ac:dyDescent="0.25">
      <c r="A50" t="str">
        <f t="shared" si="0"/>
        <v>Goik Andrzej</v>
      </c>
      <c r="B50">
        <v>49</v>
      </c>
      <c r="C50" t="s">
        <v>165</v>
      </c>
      <c r="D50" t="s">
        <v>166</v>
      </c>
      <c r="E50">
        <v>5281</v>
      </c>
      <c r="F50">
        <v>51994</v>
      </c>
      <c r="G50">
        <v>348406127</v>
      </c>
      <c r="H50" s="2">
        <v>48515062430</v>
      </c>
      <c r="I50" s="1">
        <v>45215</v>
      </c>
      <c r="J50" s="1">
        <v>73050</v>
      </c>
      <c r="K50" t="s">
        <v>66</v>
      </c>
      <c r="L50" t="s">
        <v>167</v>
      </c>
      <c r="M50" t="s">
        <v>24</v>
      </c>
      <c r="N50" t="s">
        <v>68</v>
      </c>
      <c r="O50" s="3"/>
      <c r="S50" t="s">
        <v>811</v>
      </c>
      <c r="V50" t="s">
        <v>730</v>
      </c>
    </row>
    <row r="51" spans="1:22" x14ac:dyDescent="0.25">
      <c r="A51" t="str">
        <f t="shared" si="0"/>
        <v>Golyszna Daria Anna</v>
      </c>
      <c r="B51">
        <v>50</v>
      </c>
      <c r="C51" t="s">
        <v>168</v>
      </c>
      <c r="D51" t="s">
        <v>169</v>
      </c>
      <c r="E51">
        <v>279</v>
      </c>
      <c r="F51">
        <v>0</v>
      </c>
      <c r="G51">
        <v>4521242</v>
      </c>
      <c r="H51" s="2">
        <v>48535973692</v>
      </c>
      <c r="I51" s="1">
        <v>45019</v>
      </c>
      <c r="J51" s="1">
        <v>73050</v>
      </c>
      <c r="K51" t="s">
        <v>26</v>
      </c>
      <c r="L51" t="s">
        <v>170</v>
      </c>
      <c r="M51" t="s">
        <v>24</v>
      </c>
      <c r="N51" t="s">
        <v>28</v>
      </c>
      <c r="O51" s="3"/>
      <c r="S51" t="s">
        <v>812</v>
      </c>
      <c r="V51" t="s">
        <v>731</v>
      </c>
    </row>
    <row r="52" spans="1:22" x14ac:dyDescent="0.25">
      <c r="A52" t="str">
        <f t="shared" si="0"/>
        <v>Gora Renata</v>
      </c>
      <c r="B52">
        <v>51</v>
      </c>
      <c r="C52" t="s">
        <v>171</v>
      </c>
      <c r="D52" t="s">
        <v>172</v>
      </c>
      <c r="E52">
        <v>5595</v>
      </c>
      <c r="F52" t="s">
        <v>173</v>
      </c>
      <c r="G52">
        <v>1983141</v>
      </c>
      <c r="H52" s="2">
        <v>48887691372</v>
      </c>
      <c r="I52" s="1">
        <v>45425</v>
      </c>
      <c r="J52" s="1">
        <v>73050</v>
      </c>
      <c r="K52" t="s">
        <v>26</v>
      </c>
      <c r="L52" t="s">
        <v>170</v>
      </c>
      <c r="M52" t="s">
        <v>24</v>
      </c>
      <c r="N52" t="s">
        <v>28</v>
      </c>
      <c r="O52" s="3"/>
      <c r="S52" t="s">
        <v>813</v>
      </c>
      <c r="V52" t="s">
        <v>732</v>
      </c>
    </row>
    <row r="53" spans="1:22" x14ac:dyDescent="0.25">
      <c r="A53" t="str">
        <f t="shared" si="0"/>
        <v>Gordienko Adam</v>
      </c>
      <c r="B53">
        <v>52</v>
      </c>
      <c r="C53" t="s">
        <v>174</v>
      </c>
      <c r="D53" t="s">
        <v>175</v>
      </c>
      <c r="E53">
        <v>5110</v>
      </c>
      <c r="F53" t="s">
        <v>176</v>
      </c>
      <c r="G53">
        <v>295413742</v>
      </c>
      <c r="H53" s="2">
        <v>48793946629</v>
      </c>
      <c r="I53" s="1">
        <v>45117</v>
      </c>
      <c r="J53" s="1">
        <v>73050</v>
      </c>
      <c r="K53" t="s">
        <v>22</v>
      </c>
      <c r="L53" t="s">
        <v>177</v>
      </c>
      <c r="M53" t="s">
        <v>18</v>
      </c>
      <c r="N53" t="s">
        <v>56</v>
      </c>
      <c r="O53" s="3">
        <v>0.17218749999999999</v>
      </c>
      <c r="S53" t="s">
        <v>814</v>
      </c>
      <c r="V53" t="s">
        <v>733</v>
      </c>
    </row>
    <row r="54" spans="1:22" x14ac:dyDescent="0.25">
      <c r="A54" t="str">
        <f t="shared" si="0"/>
        <v>Gorka Grzegorz</v>
      </c>
      <c r="B54">
        <v>53</v>
      </c>
      <c r="C54" t="s">
        <v>178</v>
      </c>
      <c r="D54" t="s">
        <v>179</v>
      </c>
      <c r="E54">
        <v>6110</v>
      </c>
      <c r="F54">
        <v>0</v>
      </c>
      <c r="G54">
        <v>301162081</v>
      </c>
      <c r="H54" s="2">
        <v>48452497412</v>
      </c>
      <c r="I54" s="1">
        <v>45628</v>
      </c>
      <c r="J54" s="1">
        <v>73050</v>
      </c>
      <c r="K54" t="s">
        <v>51</v>
      </c>
      <c r="L54" t="s">
        <v>55</v>
      </c>
      <c r="M54" t="s">
        <v>24</v>
      </c>
      <c r="N54" t="s">
        <v>25</v>
      </c>
      <c r="O54" s="3"/>
      <c r="S54" t="s">
        <v>967</v>
      </c>
      <c r="V54" t="s">
        <v>734</v>
      </c>
    </row>
    <row r="55" spans="1:22" x14ac:dyDescent="0.25">
      <c r="A55" t="str">
        <f t="shared" si="0"/>
        <v>Gorka Dawid</v>
      </c>
      <c r="B55">
        <v>54</v>
      </c>
      <c r="C55" t="s">
        <v>178</v>
      </c>
      <c r="D55" t="s">
        <v>89</v>
      </c>
      <c r="E55">
        <v>6473</v>
      </c>
      <c r="F55">
        <v>0</v>
      </c>
      <c r="G55">
        <v>12109172</v>
      </c>
      <c r="H55" s="2">
        <v>48796768665</v>
      </c>
      <c r="I55" s="1">
        <v>45860</v>
      </c>
      <c r="J55" s="1">
        <v>73050</v>
      </c>
      <c r="K55" t="s">
        <v>51</v>
      </c>
      <c r="L55" t="s">
        <v>55</v>
      </c>
      <c r="M55" t="s">
        <v>18</v>
      </c>
      <c r="N55" t="s">
        <v>56</v>
      </c>
      <c r="O55" s="3">
        <v>0.17744212962962963</v>
      </c>
      <c r="S55" t="s">
        <v>815</v>
      </c>
      <c r="V55" t="s">
        <v>735</v>
      </c>
    </row>
    <row r="56" spans="1:22" x14ac:dyDescent="0.25">
      <c r="A56" t="str">
        <f t="shared" si="0"/>
        <v>Gozdur Oliwia Katarzyna</v>
      </c>
      <c r="B56">
        <v>55</v>
      </c>
      <c r="C56" t="s">
        <v>180</v>
      </c>
      <c r="D56" t="s">
        <v>181</v>
      </c>
      <c r="E56">
        <v>5023</v>
      </c>
      <c r="F56">
        <v>70141</v>
      </c>
      <c r="G56">
        <v>1171041</v>
      </c>
      <c r="H56" s="2">
        <v>48791369259</v>
      </c>
      <c r="I56" s="1">
        <v>45145</v>
      </c>
      <c r="J56" s="1">
        <v>73050</v>
      </c>
      <c r="K56" t="s">
        <v>34</v>
      </c>
      <c r="L56" t="s">
        <v>182</v>
      </c>
      <c r="M56" t="s">
        <v>18</v>
      </c>
      <c r="N56" t="s">
        <v>36</v>
      </c>
      <c r="O56" s="3">
        <v>0.2038425925925926</v>
      </c>
      <c r="S56" t="s">
        <v>816</v>
      </c>
      <c r="V56" t="s">
        <v>736</v>
      </c>
    </row>
    <row r="57" spans="1:22" x14ac:dyDescent="0.25">
      <c r="A57" t="str">
        <f t="shared" si="0"/>
        <v>Grabka Daniel</v>
      </c>
      <c r="B57">
        <v>56</v>
      </c>
      <c r="C57" t="s">
        <v>183</v>
      </c>
      <c r="D57" t="s">
        <v>184</v>
      </c>
      <c r="E57">
        <v>6058</v>
      </c>
      <c r="F57">
        <v>0</v>
      </c>
      <c r="G57">
        <v>1197561</v>
      </c>
      <c r="H57" s="2">
        <v>48693819022</v>
      </c>
      <c r="I57" s="1">
        <v>45610</v>
      </c>
      <c r="J57" s="1">
        <v>73050</v>
      </c>
      <c r="K57" t="s">
        <v>81</v>
      </c>
      <c r="L57" t="s">
        <v>185</v>
      </c>
      <c r="M57" t="s">
        <v>18</v>
      </c>
      <c r="N57" t="s">
        <v>83</v>
      </c>
      <c r="O57" s="3"/>
      <c r="S57" t="s">
        <v>817</v>
      </c>
      <c r="V57" t="s">
        <v>737</v>
      </c>
    </row>
    <row r="58" spans="1:22" x14ac:dyDescent="0.25">
      <c r="A58" t="str">
        <f t="shared" si="0"/>
        <v>Groborz Paulina Dominika</v>
      </c>
      <c r="B58">
        <v>57</v>
      </c>
      <c r="C58" t="s">
        <v>186</v>
      </c>
      <c r="D58" t="s">
        <v>187</v>
      </c>
      <c r="E58">
        <v>5143</v>
      </c>
      <c r="F58" t="s">
        <v>188</v>
      </c>
      <c r="G58">
        <v>2036733</v>
      </c>
      <c r="H58" s="2">
        <v>48537603885</v>
      </c>
      <c r="I58" s="1">
        <v>45187</v>
      </c>
      <c r="J58" s="1">
        <v>73050</v>
      </c>
      <c r="K58" t="s">
        <v>26</v>
      </c>
      <c r="L58" t="s">
        <v>27</v>
      </c>
      <c r="M58" t="s">
        <v>18</v>
      </c>
      <c r="N58" t="s">
        <v>28</v>
      </c>
      <c r="O58" s="3">
        <v>0.17900462962962962</v>
      </c>
      <c r="S58" t="s">
        <v>818</v>
      </c>
      <c r="V58" t="s">
        <v>738</v>
      </c>
    </row>
    <row r="59" spans="1:22" x14ac:dyDescent="0.25">
      <c r="A59" t="str">
        <f t="shared" si="0"/>
        <v>Gromek Sylwia</v>
      </c>
      <c r="B59">
        <v>58</v>
      </c>
      <c r="C59" t="s">
        <v>189</v>
      </c>
      <c r="D59" t="s">
        <v>190</v>
      </c>
      <c r="E59">
        <v>5198</v>
      </c>
      <c r="F59" t="s">
        <v>191</v>
      </c>
      <c r="G59">
        <v>1378328</v>
      </c>
      <c r="H59" s="2">
        <v>48721132122</v>
      </c>
      <c r="I59" s="1">
        <v>45280</v>
      </c>
      <c r="J59" s="1">
        <v>73050</v>
      </c>
      <c r="K59" t="s">
        <v>17</v>
      </c>
      <c r="L59" t="s">
        <v>17</v>
      </c>
      <c r="M59" t="s">
        <v>40</v>
      </c>
      <c r="N59" t="s">
        <v>28</v>
      </c>
      <c r="O59" s="3">
        <v>0.87502314814814819</v>
      </c>
      <c r="S59" t="s">
        <v>819</v>
      </c>
      <c r="V59" t="s">
        <v>740</v>
      </c>
    </row>
    <row r="60" spans="1:22" x14ac:dyDescent="0.25">
      <c r="A60" t="str">
        <f t="shared" si="0"/>
        <v>Grzywacz Klaudia</v>
      </c>
      <c r="B60">
        <v>59</v>
      </c>
      <c r="C60" t="s">
        <v>192</v>
      </c>
      <c r="D60" t="s">
        <v>193</v>
      </c>
      <c r="E60">
        <v>6543</v>
      </c>
      <c r="F60">
        <v>0</v>
      </c>
      <c r="G60">
        <v>343116</v>
      </c>
      <c r="H60">
        <v>48504579238</v>
      </c>
      <c r="I60" s="1">
        <v>45904</v>
      </c>
      <c r="J60" s="1">
        <v>73050</v>
      </c>
      <c r="K60" t="s">
        <v>128</v>
      </c>
      <c r="L60" t="s">
        <v>138</v>
      </c>
      <c r="M60" t="s">
        <v>24</v>
      </c>
      <c r="N60" t="s">
        <v>71</v>
      </c>
      <c r="O60" s="3"/>
      <c r="S60" t="s">
        <v>820</v>
      </c>
      <c r="V60" t="s">
        <v>683</v>
      </c>
    </row>
    <row r="61" spans="1:22" x14ac:dyDescent="0.25">
      <c r="A61" t="str">
        <f t="shared" si="0"/>
        <v>Grzywacz Zbigniew</v>
      </c>
      <c r="B61">
        <v>60</v>
      </c>
      <c r="C61" t="s">
        <v>192</v>
      </c>
      <c r="D61" t="s">
        <v>98</v>
      </c>
      <c r="E61">
        <v>6177</v>
      </c>
      <c r="F61">
        <v>0</v>
      </c>
      <c r="G61">
        <v>406768</v>
      </c>
      <c r="H61" s="2">
        <v>48573457958</v>
      </c>
      <c r="I61" s="1">
        <v>45700</v>
      </c>
      <c r="J61" s="1">
        <v>73050</v>
      </c>
      <c r="K61" t="s">
        <v>128</v>
      </c>
      <c r="L61" t="s">
        <v>138</v>
      </c>
      <c r="M61" t="s">
        <v>24</v>
      </c>
      <c r="N61" t="s">
        <v>96</v>
      </c>
      <c r="O61" s="3"/>
      <c r="S61" t="s">
        <v>821</v>
      </c>
      <c r="V61" t="s">
        <v>690</v>
      </c>
    </row>
    <row r="62" spans="1:22" x14ac:dyDescent="0.25">
      <c r="A62" t="str">
        <f t="shared" si="0"/>
        <v>Habierska Maja</v>
      </c>
      <c r="B62">
        <v>61</v>
      </c>
      <c r="C62" t="s">
        <v>194</v>
      </c>
      <c r="D62" t="s">
        <v>195</v>
      </c>
      <c r="E62">
        <v>6368</v>
      </c>
      <c r="F62">
        <v>0</v>
      </c>
      <c r="G62">
        <v>0</v>
      </c>
      <c r="H62" s="2">
        <v>48576308946</v>
      </c>
      <c r="I62" s="1">
        <v>45790</v>
      </c>
      <c r="J62" s="1">
        <v>73050</v>
      </c>
      <c r="K62" t="s">
        <v>17</v>
      </c>
      <c r="L62" t="s">
        <v>17</v>
      </c>
      <c r="M62" t="s">
        <v>40</v>
      </c>
      <c r="N62" t="s">
        <v>28</v>
      </c>
      <c r="O62" s="3">
        <v>0.87502314814814819</v>
      </c>
      <c r="S62" t="s">
        <v>822</v>
      </c>
      <c r="V62" t="s">
        <v>717</v>
      </c>
    </row>
    <row r="63" spans="1:22" x14ac:dyDescent="0.25">
      <c r="A63" t="str">
        <f t="shared" si="0"/>
        <v>Hak Joanna</v>
      </c>
      <c r="B63">
        <v>62</v>
      </c>
      <c r="C63" t="s">
        <v>196</v>
      </c>
      <c r="D63" t="s">
        <v>62</v>
      </c>
      <c r="E63">
        <v>6541</v>
      </c>
      <c r="F63">
        <v>0</v>
      </c>
      <c r="G63">
        <v>375023</v>
      </c>
      <c r="H63" s="2">
        <v>48508145813</v>
      </c>
      <c r="I63" s="1">
        <v>45904</v>
      </c>
      <c r="J63" s="1">
        <v>73050</v>
      </c>
      <c r="K63" t="s">
        <v>26</v>
      </c>
      <c r="L63" t="s">
        <v>27</v>
      </c>
      <c r="M63" t="s">
        <v>24</v>
      </c>
      <c r="N63" t="s">
        <v>71</v>
      </c>
      <c r="O63" s="3"/>
      <c r="S63" t="s">
        <v>823</v>
      </c>
      <c r="V63" t="s">
        <v>726</v>
      </c>
    </row>
    <row r="64" spans="1:22" x14ac:dyDescent="0.25">
      <c r="A64" t="str">
        <f t="shared" si="0"/>
        <v>Halama Pawel</v>
      </c>
      <c r="B64">
        <v>63</v>
      </c>
      <c r="C64" t="s">
        <v>198</v>
      </c>
      <c r="D64" t="s">
        <v>199</v>
      </c>
      <c r="E64">
        <v>6442</v>
      </c>
      <c r="F64">
        <v>0</v>
      </c>
      <c r="G64">
        <v>12428206</v>
      </c>
      <c r="H64" s="2">
        <v>48574421353</v>
      </c>
      <c r="I64" s="1">
        <v>45839</v>
      </c>
      <c r="J64" s="1">
        <v>73050</v>
      </c>
      <c r="K64" t="s">
        <v>26</v>
      </c>
      <c r="L64" t="s">
        <v>31</v>
      </c>
      <c r="M64" t="s">
        <v>18</v>
      </c>
      <c r="N64" t="s">
        <v>71</v>
      </c>
      <c r="O64" s="3">
        <v>0.19950231481481481</v>
      </c>
      <c r="S64" t="s">
        <v>825</v>
      </c>
      <c r="V64" t="s">
        <v>739</v>
      </c>
    </row>
    <row r="65" spans="1:22" x14ac:dyDescent="0.25">
      <c r="A65" t="str">
        <f t="shared" si="0"/>
        <v>Hernik Krzysztof</v>
      </c>
      <c r="B65">
        <v>64</v>
      </c>
      <c r="C65" t="s">
        <v>200</v>
      </c>
      <c r="D65" t="s">
        <v>201</v>
      </c>
      <c r="E65">
        <v>6143</v>
      </c>
      <c r="F65">
        <v>0</v>
      </c>
      <c r="G65">
        <v>13039456</v>
      </c>
      <c r="H65" s="2">
        <v>48782503255</v>
      </c>
      <c r="I65" s="1">
        <v>45679</v>
      </c>
      <c r="J65" s="1">
        <v>73050</v>
      </c>
      <c r="K65" t="s">
        <v>17</v>
      </c>
      <c r="L65" t="s">
        <v>17</v>
      </c>
      <c r="M65" t="s">
        <v>18</v>
      </c>
      <c r="N65" t="s">
        <v>96</v>
      </c>
      <c r="O65" s="3">
        <v>0.20836805555555554</v>
      </c>
      <c r="S65" t="s">
        <v>826</v>
      </c>
      <c r="V65" t="s">
        <v>971</v>
      </c>
    </row>
    <row r="66" spans="1:22" x14ac:dyDescent="0.25">
      <c r="A66" t="str">
        <f t="shared" ref="A66:A129" si="1">C66&amp;" "&amp;D66</f>
        <v>Herok Natalia Magdalena</v>
      </c>
      <c r="B66">
        <v>65</v>
      </c>
      <c r="C66" t="s">
        <v>202</v>
      </c>
      <c r="D66" t="s">
        <v>203</v>
      </c>
      <c r="E66">
        <v>5125</v>
      </c>
      <c r="F66" t="s">
        <v>204</v>
      </c>
      <c r="G66">
        <v>3334887</v>
      </c>
      <c r="H66" s="2">
        <v>48512171549</v>
      </c>
      <c r="I66" s="1">
        <v>45174</v>
      </c>
      <c r="J66" s="1">
        <v>73050</v>
      </c>
      <c r="K66" t="s">
        <v>17</v>
      </c>
      <c r="L66" t="s">
        <v>17</v>
      </c>
      <c r="M66" t="s">
        <v>18</v>
      </c>
      <c r="N66" t="s">
        <v>28</v>
      </c>
      <c r="O66" s="3">
        <v>0.20835648148148148</v>
      </c>
      <c r="S66" t="s">
        <v>827</v>
      </c>
      <c r="V66" t="s">
        <v>972</v>
      </c>
    </row>
    <row r="67" spans="1:22" x14ac:dyDescent="0.25">
      <c r="A67" t="str">
        <f t="shared" si="1"/>
        <v>Herok-Legec Jolanta</v>
      </c>
      <c r="B67">
        <v>66</v>
      </c>
      <c r="C67" t="s">
        <v>930</v>
      </c>
      <c r="D67" t="s">
        <v>931</v>
      </c>
      <c r="E67">
        <v>6579</v>
      </c>
      <c r="F67">
        <v>0</v>
      </c>
      <c r="G67">
        <v>0</v>
      </c>
      <c r="H67" s="2">
        <v>48730336444</v>
      </c>
      <c r="I67" s="1">
        <v>45931</v>
      </c>
      <c r="J67" s="1">
        <v>73050</v>
      </c>
      <c r="K67" t="s">
        <v>17</v>
      </c>
      <c r="L67" t="s">
        <v>17</v>
      </c>
      <c r="M67" t="s">
        <v>18</v>
      </c>
      <c r="N67" t="s">
        <v>19</v>
      </c>
      <c r="O67" s="3">
        <v>0.20836805555555554</v>
      </c>
      <c r="S67" t="s">
        <v>828</v>
      </c>
      <c r="V67" t="s">
        <v>974</v>
      </c>
    </row>
    <row r="68" spans="1:22" x14ac:dyDescent="0.25">
      <c r="A68" t="str">
        <f t="shared" si="1"/>
        <v>Hodulík Mikuláš</v>
      </c>
      <c r="B68">
        <v>67</v>
      </c>
      <c r="C68" t="s">
        <v>951</v>
      </c>
      <c r="D68" t="s">
        <v>952</v>
      </c>
      <c r="E68">
        <v>0</v>
      </c>
      <c r="F68">
        <v>0</v>
      </c>
      <c r="G68">
        <v>0</v>
      </c>
      <c r="H68" s="2">
        <v>420792438146</v>
      </c>
      <c r="I68" s="1">
        <v>45934</v>
      </c>
      <c r="J68" s="1">
        <v>73050</v>
      </c>
      <c r="K68" t="s">
        <v>17</v>
      </c>
      <c r="L68" t="s">
        <v>17</v>
      </c>
      <c r="M68" t="s">
        <v>40</v>
      </c>
      <c r="N68" t="s">
        <v>36</v>
      </c>
      <c r="O68" s="3"/>
      <c r="S68" t="s">
        <v>829</v>
      </c>
      <c r="V68" t="s">
        <v>975</v>
      </c>
    </row>
    <row r="69" spans="1:22" x14ac:dyDescent="0.25">
      <c r="A69" t="str">
        <f t="shared" si="1"/>
        <v>Hodulík Mikuláš</v>
      </c>
      <c r="B69">
        <v>68</v>
      </c>
      <c r="C69" t="s">
        <v>951</v>
      </c>
      <c r="D69" t="s">
        <v>952</v>
      </c>
      <c r="E69">
        <v>0</v>
      </c>
      <c r="H69" s="2">
        <v>420792438146</v>
      </c>
      <c r="I69" s="1">
        <v>45752</v>
      </c>
      <c r="J69" s="1" t="s">
        <v>630</v>
      </c>
      <c r="K69" t="s">
        <v>17</v>
      </c>
      <c r="L69" t="s">
        <v>17</v>
      </c>
      <c r="M69" t="s">
        <v>40</v>
      </c>
      <c r="N69" t="s">
        <v>19</v>
      </c>
      <c r="O69" s="3"/>
      <c r="S69" t="s">
        <v>830</v>
      </c>
      <c r="V69" t="s">
        <v>976</v>
      </c>
    </row>
    <row r="70" spans="1:22" x14ac:dyDescent="0.25">
      <c r="A70" t="str">
        <f t="shared" si="1"/>
        <v>Holeksa Mariola</v>
      </c>
      <c r="B70">
        <v>69</v>
      </c>
      <c r="C70" t="s">
        <v>205</v>
      </c>
      <c r="D70" t="s">
        <v>206</v>
      </c>
      <c r="E70">
        <v>6127</v>
      </c>
      <c r="F70">
        <v>0</v>
      </c>
      <c r="G70">
        <v>5636011</v>
      </c>
      <c r="H70" s="2">
        <v>48721476111</v>
      </c>
      <c r="I70" s="1">
        <v>45636</v>
      </c>
      <c r="J70" s="1">
        <v>73050</v>
      </c>
      <c r="K70" t="s">
        <v>26</v>
      </c>
      <c r="L70" t="s">
        <v>170</v>
      </c>
      <c r="M70" t="s">
        <v>18</v>
      </c>
      <c r="N70" t="s">
        <v>28</v>
      </c>
      <c r="O70" s="3"/>
      <c r="S70" t="s">
        <v>831</v>
      </c>
      <c r="V70" t="s">
        <v>977</v>
      </c>
    </row>
    <row r="71" spans="1:22" x14ac:dyDescent="0.25">
      <c r="A71" t="str">
        <f t="shared" si="1"/>
        <v>Huptys Wieslawa</v>
      </c>
      <c r="B71">
        <v>70</v>
      </c>
      <c r="C71" t="s">
        <v>207</v>
      </c>
      <c r="D71" t="s">
        <v>208</v>
      </c>
      <c r="E71">
        <v>3529</v>
      </c>
      <c r="F71">
        <v>0</v>
      </c>
      <c r="G71">
        <v>11982290</v>
      </c>
      <c r="H71" s="2">
        <v>48667800222</v>
      </c>
      <c r="I71" s="1">
        <v>44147</v>
      </c>
      <c r="J71" s="1">
        <v>73050</v>
      </c>
      <c r="K71" t="s">
        <v>209</v>
      </c>
      <c r="L71" t="s">
        <v>210</v>
      </c>
      <c r="M71" t="s">
        <v>18</v>
      </c>
      <c r="N71" t="s">
        <v>36</v>
      </c>
      <c r="O71" s="3"/>
      <c r="S71" t="s">
        <v>832</v>
      </c>
      <c r="V71" t="s">
        <v>978</v>
      </c>
    </row>
    <row r="72" spans="1:22" x14ac:dyDescent="0.25">
      <c r="A72" t="str">
        <f t="shared" si="1"/>
        <v>Chalimoniuk Igor</v>
      </c>
      <c r="B72">
        <v>71</v>
      </c>
      <c r="C72" t="s">
        <v>211</v>
      </c>
      <c r="D72" t="s">
        <v>212</v>
      </c>
      <c r="E72">
        <v>6332</v>
      </c>
      <c r="F72">
        <v>0</v>
      </c>
      <c r="G72">
        <v>0</v>
      </c>
      <c r="H72" s="2">
        <v>48692787368</v>
      </c>
      <c r="I72" s="1">
        <v>45779</v>
      </c>
      <c r="J72" s="1">
        <v>73050</v>
      </c>
      <c r="K72" t="s">
        <v>17</v>
      </c>
      <c r="L72" t="s">
        <v>17</v>
      </c>
      <c r="M72" t="s">
        <v>40</v>
      </c>
      <c r="N72" t="s">
        <v>28</v>
      </c>
      <c r="O72" s="3">
        <v>0.87502314814814819</v>
      </c>
      <c r="S72" t="s">
        <v>833</v>
      </c>
    </row>
    <row r="73" spans="1:22" x14ac:dyDescent="0.25">
      <c r="A73" t="str">
        <f t="shared" si="1"/>
        <v>Chciuk Lukasz</v>
      </c>
      <c r="B73">
        <v>72</v>
      </c>
      <c r="C73" t="s">
        <v>921</v>
      </c>
      <c r="D73" t="s">
        <v>80</v>
      </c>
      <c r="E73">
        <v>6580</v>
      </c>
      <c r="F73">
        <v>0</v>
      </c>
      <c r="G73">
        <v>0</v>
      </c>
      <c r="H73" s="2">
        <v>48574416562</v>
      </c>
      <c r="I73" s="1">
        <v>45929</v>
      </c>
      <c r="J73" s="1">
        <v>73050</v>
      </c>
      <c r="K73" t="s">
        <v>17</v>
      </c>
      <c r="L73" t="s">
        <v>17</v>
      </c>
      <c r="M73" t="s">
        <v>24</v>
      </c>
      <c r="N73" t="s">
        <v>28</v>
      </c>
      <c r="S73" t="s">
        <v>834</v>
      </c>
    </row>
    <row r="74" spans="1:22" x14ac:dyDescent="0.25">
      <c r="A74" t="str">
        <f t="shared" si="1"/>
        <v>Chlebek Aleksandra Ewa</v>
      </c>
      <c r="B74">
        <v>73</v>
      </c>
      <c r="C74" t="s">
        <v>213</v>
      </c>
      <c r="D74" t="s">
        <v>214</v>
      </c>
      <c r="E74">
        <v>4871</v>
      </c>
      <c r="F74" t="s">
        <v>215</v>
      </c>
      <c r="G74">
        <v>4569962</v>
      </c>
      <c r="H74" s="2">
        <v>48668506467</v>
      </c>
      <c r="I74" s="1">
        <v>45014</v>
      </c>
      <c r="J74" s="1">
        <v>73050</v>
      </c>
      <c r="K74" t="s">
        <v>17</v>
      </c>
      <c r="L74" t="s">
        <v>17</v>
      </c>
      <c r="M74" t="s">
        <v>40</v>
      </c>
      <c r="N74" t="s">
        <v>28</v>
      </c>
      <c r="O74" s="3">
        <v>0.87502314814814819</v>
      </c>
      <c r="S74" t="s">
        <v>835</v>
      </c>
    </row>
    <row r="75" spans="1:22" x14ac:dyDescent="0.25">
      <c r="A75" t="str">
        <f t="shared" si="1"/>
        <v>Chodinský Rostislav</v>
      </c>
      <c r="B75">
        <v>74</v>
      </c>
      <c r="C75" t="s">
        <v>216</v>
      </c>
      <c r="D75" t="s">
        <v>217</v>
      </c>
      <c r="E75">
        <v>3728</v>
      </c>
      <c r="F75">
        <v>3728</v>
      </c>
      <c r="G75">
        <v>301165667</v>
      </c>
      <c r="H75" s="2">
        <v>420735883940</v>
      </c>
      <c r="I75" s="1">
        <v>44270</v>
      </c>
      <c r="J75" s="1">
        <v>73050</v>
      </c>
      <c r="K75" t="s">
        <v>51</v>
      </c>
      <c r="L75" t="s">
        <v>154</v>
      </c>
      <c r="M75" t="s">
        <v>24</v>
      </c>
      <c r="N75" t="s">
        <v>25</v>
      </c>
      <c r="O75" s="3"/>
      <c r="S75" t="s">
        <v>836</v>
      </c>
    </row>
    <row r="76" spans="1:22" x14ac:dyDescent="0.25">
      <c r="A76" t="str">
        <f t="shared" si="1"/>
        <v>Chodorowska Barbara Miroslawa</v>
      </c>
      <c r="B76">
        <v>75</v>
      </c>
      <c r="C76" t="s">
        <v>218</v>
      </c>
      <c r="D76" t="s">
        <v>219</v>
      </c>
      <c r="E76">
        <v>4755</v>
      </c>
      <c r="F76" t="s">
        <v>220</v>
      </c>
      <c r="G76">
        <v>1045792</v>
      </c>
      <c r="H76" s="2">
        <v>48606929590</v>
      </c>
      <c r="I76" s="1">
        <v>44900</v>
      </c>
      <c r="J76" s="1">
        <v>73050</v>
      </c>
      <c r="K76" t="s">
        <v>26</v>
      </c>
      <c r="L76" t="s">
        <v>170</v>
      </c>
      <c r="M76" t="s">
        <v>18</v>
      </c>
      <c r="N76" t="s">
        <v>28</v>
      </c>
      <c r="O76" s="3">
        <v>0.19770833333333335</v>
      </c>
      <c r="S76" t="s">
        <v>837</v>
      </c>
    </row>
    <row r="77" spans="1:22" x14ac:dyDescent="0.25">
      <c r="A77" t="str">
        <f t="shared" si="1"/>
        <v>Chojnacki Piotr</v>
      </c>
      <c r="B77">
        <v>76</v>
      </c>
      <c r="C77" t="s">
        <v>221</v>
      </c>
      <c r="D77" t="s">
        <v>222</v>
      </c>
      <c r="E77">
        <v>6447</v>
      </c>
      <c r="F77">
        <v>0</v>
      </c>
      <c r="G77">
        <v>400257948</v>
      </c>
      <c r="H77" s="2">
        <v>48513612408</v>
      </c>
      <c r="I77" s="1">
        <v>45846</v>
      </c>
      <c r="J77" s="1">
        <v>73050</v>
      </c>
      <c r="K77" t="s">
        <v>66</v>
      </c>
      <c r="L77" t="s">
        <v>223</v>
      </c>
      <c r="M77" t="s">
        <v>18</v>
      </c>
      <c r="N77" t="s">
        <v>68</v>
      </c>
      <c r="O77" s="3">
        <v>0.17004629629629631</v>
      </c>
      <c r="S77" t="s">
        <v>838</v>
      </c>
    </row>
    <row r="78" spans="1:22" x14ac:dyDescent="0.25">
      <c r="A78" t="str">
        <f t="shared" si="1"/>
        <v>Iwanek Rafal</v>
      </c>
      <c r="B78">
        <v>77</v>
      </c>
      <c r="C78" t="s">
        <v>226</v>
      </c>
      <c r="D78" t="s">
        <v>227</v>
      </c>
      <c r="E78">
        <v>6260</v>
      </c>
      <c r="F78">
        <v>0</v>
      </c>
      <c r="G78">
        <v>0</v>
      </c>
      <c r="H78" s="2">
        <v>48511332102</v>
      </c>
      <c r="I78" s="1">
        <v>45743</v>
      </c>
      <c r="J78" s="1">
        <v>73050</v>
      </c>
      <c r="K78" t="s">
        <v>17</v>
      </c>
      <c r="L78" t="s">
        <v>17</v>
      </c>
      <c r="M78" t="s">
        <v>18</v>
      </c>
      <c r="N78" t="s">
        <v>71</v>
      </c>
      <c r="O78" s="3">
        <v>0.20836805555555554</v>
      </c>
      <c r="S78" t="s">
        <v>839</v>
      </c>
    </row>
    <row r="79" spans="1:22" x14ac:dyDescent="0.25">
      <c r="A79" t="str">
        <f t="shared" si="1"/>
        <v>Jablonski Slawomir</v>
      </c>
      <c r="B79">
        <v>78</v>
      </c>
      <c r="C79" t="s">
        <v>228</v>
      </c>
      <c r="D79" t="s">
        <v>229</v>
      </c>
      <c r="E79">
        <v>5647</v>
      </c>
      <c r="F79">
        <v>0</v>
      </c>
      <c r="G79">
        <v>11965953</v>
      </c>
      <c r="H79" s="2">
        <v>48570135655</v>
      </c>
      <c r="I79" s="1">
        <v>45453</v>
      </c>
      <c r="J79" s="1">
        <v>73050</v>
      </c>
      <c r="K79" t="s">
        <v>81</v>
      </c>
      <c r="L79" t="s">
        <v>230</v>
      </c>
      <c r="M79" t="s">
        <v>18</v>
      </c>
      <c r="N79" t="s">
        <v>83</v>
      </c>
      <c r="O79" s="3">
        <v>0.17868055555555556</v>
      </c>
      <c r="S79" t="s">
        <v>840</v>
      </c>
    </row>
    <row r="80" spans="1:22" x14ac:dyDescent="0.25">
      <c r="A80" t="str">
        <f t="shared" si="1"/>
        <v>Jakubiec Krzysztof Grzegorz</v>
      </c>
      <c r="B80">
        <v>79</v>
      </c>
      <c r="C80" t="s">
        <v>232</v>
      </c>
      <c r="D80" t="s">
        <v>233</v>
      </c>
      <c r="E80">
        <v>4960</v>
      </c>
      <c r="F80" t="s">
        <v>234</v>
      </c>
      <c r="G80">
        <v>1985501</v>
      </c>
      <c r="H80" s="2">
        <v>48538332346</v>
      </c>
      <c r="I80" s="1">
        <v>45061</v>
      </c>
      <c r="J80" s="1">
        <v>73050</v>
      </c>
      <c r="K80" t="s">
        <v>128</v>
      </c>
      <c r="L80" t="s">
        <v>235</v>
      </c>
      <c r="M80" t="s">
        <v>40</v>
      </c>
      <c r="N80" t="s">
        <v>28</v>
      </c>
      <c r="O80" s="3">
        <v>0.83133101851851854</v>
      </c>
      <c r="S80" t="s">
        <v>841</v>
      </c>
    </row>
    <row r="81" spans="1:19" x14ac:dyDescent="0.25">
      <c r="A81" t="str">
        <f t="shared" si="1"/>
        <v>Jamry Kamil</v>
      </c>
      <c r="B81">
        <v>80</v>
      </c>
      <c r="C81" t="s">
        <v>236</v>
      </c>
      <c r="D81" t="s">
        <v>237</v>
      </c>
      <c r="E81">
        <v>5583</v>
      </c>
      <c r="F81" t="s">
        <v>238</v>
      </c>
      <c r="G81">
        <v>15511324</v>
      </c>
      <c r="H81" s="2">
        <v>48570470732</v>
      </c>
      <c r="I81" s="1">
        <v>45408</v>
      </c>
      <c r="J81" s="1">
        <v>45410</v>
      </c>
      <c r="K81" t="s">
        <v>26</v>
      </c>
      <c r="L81" t="s">
        <v>239</v>
      </c>
      <c r="M81" t="s">
        <v>40</v>
      </c>
      <c r="N81" t="s">
        <v>28</v>
      </c>
      <c r="O81" s="3">
        <v>0.87679398148148147</v>
      </c>
      <c r="S81" t="s">
        <v>842</v>
      </c>
    </row>
    <row r="82" spans="1:19" x14ac:dyDescent="0.25">
      <c r="A82" t="str">
        <f t="shared" si="1"/>
        <v>Janczuk Mariola Anna</v>
      </c>
      <c r="B82">
        <v>81</v>
      </c>
      <c r="C82" t="s">
        <v>240</v>
      </c>
      <c r="D82" t="s">
        <v>241</v>
      </c>
      <c r="E82">
        <v>123</v>
      </c>
      <c r="F82" t="s">
        <v>242</v>
      </c>
      <c r="G82">
        <v>7815411</v>
      </c>
      <c r="H82" s="2">
        <v>48535364505</v>
      </c>
      <c r="I82" s="1">
        <v>44593</v>
      </c>
      <c r="J82" s="1">
        <v>73050</v>
      </c>
      <c r="K82" t="s">
        <v>128</v>
      </c>
      <c r="L82" t="s">
        <v>157</v>
      </c>
      <c r="M82" t="s">
        <v>18</v>
      </c>
      <c r="N82" t="s">
        <v>28</v>
      </c>
      <c r="O82" s="3">
        <v>0.18371527777777777</v>
      </c>
      <c r="S82" t="s">
        <v>843</v>
      </c>
    </row>
    <row r="83" spans="1:19" x14ac:dyDescent="0.25">
      <c r="A83" t="str">
        <f t="shared" si="1"/>
        <v>Janiczek Kamil Patryk</v>
      </c>
      <c r="B83">
        <v>82</v>
      </c>
      <c r="C83" t="s">
        <v>243</v>
      </c>
      <c r="D83" t="s">
        <v>244</v>
      </c>
      <c r="E83">
        <v>5113</v>
      </c>
      <c r="F83">
        <v>51928</v>
      </c>
      <c r="G83">
        <v>369978365</v>
      </c>
      <c r="H83" s="2">
        <v>48884337008</v>
      </c>
      <c r="I83" s="1">
        <v>45119</v>
      </c>
      <c r="J83" s="1">
        <v>73050</v>
      </c>
      <c r="K83" t="s">
        <v>66</v>
      </c>
      <c r="L83" t="s">
        <v>245</v>
      </c>
      <c r="M83" t="s">
        <v>18</v>
      </c>
      <c r="N83" t="s">
        <v>68</v>
      </c>
      <c r="O83" s="3">
        <v>0.15741898148148148</v>
      </c>
      <c r="S83" t="s">
        <v>844</v>
      </c>
    </row>
    <row r="84" spans="1:19" x14ac:dyDescent="0.25">
      <c r="A84" t="str">
        <f t="shared" si="1"/>
        <v>Janik-Rurarz Izabela</v>
      </c>
      <c r="B84">
        <v>83</v>
      </c>
      <c r="C84" t="s">
        <v>246</v>
      </c>
      <c r="D84" t="s">
        <v>247</v>
      </c>
      <c r="E84">
        <v>0</v>
      </c>
      <c r="F84">
        <v>0</v>
      </c>
      <c r="G84">
        <v>1192974</v>
      </c>
      <c r="H84" s="2">
        <v>48537143265</v>
      </c>
      <c r="I84" s="1">
        <v>45887</v>
      </c>
      <c r="J84" s="1">
        <v>73050</v>
      </c>
      <c r="K84" t="s">
        <v>51</v>
      </c>
      <c r="L84" t="s">
        <v>99</v>
      </c>
      <c r="M84" t="s">
        <v>40</v>
      </c>
      <c r="N84" t="s">
        <v>25</v>
      </c>
      <c r="O84" s="3">
        <v>0.85465277777777782</v>
      </c>
      <c r="S84" t="s">
        <v>845</v>
      </c>
    </row>
    <row r="85" spans="1:19" x14ac:dyDescent="0.25">
      <c r="A85" t="str">
        <f t="shared" si="1"/>
        <v>Jarosz Mariusz</v>
      </c>
      <c r="B85">
        <v>84</v>
      </c>
      <c r="C85" t="s">
        <v>248</v>
      </c>
      <c r="D85" t="s">
        <v>249</v>
      </c>
      <c r="E85">
        <v>6327</v>
      </c>
      <c r="F85">
        <v>0</v>
      </c>
      <c r="G85">
        <v>400209523</v>
      </c>
      <c r="H85" s="2">
        <v>48797036388</v>
      </c>
      <c r="I85" s="1">
        <v>45775</v>
      </c>
      <c r="J85" s="1">
        <v>73050</v>
      </c>
      <c r="K85" t="s">
        <v>66</v>
      </c>
      <c r="L85" t="s">
        <v>245</v>
      </c>
      <c r="M85" t="s">
        <v>18</v>
      </c>
      <c r="N85" t="s">
        <v>68</v>
      </c>
      <c r="O85" s="3">
        <v>0.15733796296296296</v>
      </c>
      <c r="S85" t="s">
        <v>846</v>
      </c>
    </row>
    <row r="86" spans="1:19" x14ac:dyDescent="0.25">
      <c r="A86" t="str">
        <f t="shared" si="1"/>
        <v>Jaworski Dariusz</v>
      </c>
      <c r="B86">
        <v>85</v>
      </c>
      <c r="C86" t="s">
        <v>940</v>
      </c>
      <c r="D86" t="s">
        <v>365</v>
      </c>
      <c r="E86">
        <v>6590</v>
      </c>
      <c r="F86">
        <v>0</v>
      </c>
      <c r="G86" t="s">
        <v>953</v>
      </c>
      <c r="H86" s="2">
        <v>48533322363</v>
      </c>
      <c r="I86" s="1">
        <v>45931</v>
      </c>
      <c r="J86" s="1">
        <v>73050</v>
      </c>
      <c r="K86" t="s">
        <v>66</v>
      </c>
      <c r="L86" t="s">
        <v>223</v>
      </c>
      <c r="M86" t="s">
        <v>18</v>
      </c>
      <c r="N86" t="s">
        <v>121</v>
      </c>
      <c r="O86" s="3"/>
      <c r="S86" t="s">
        <v>847</v>
      </c>
    </row>
    <row r="87" spans="1:19" x14ac:dyDescent="0.25">
      <c r="A87" t="str">
        <f t="shared" si="1"/>
        <v>Juszczak Jadwiga</v>
      </c>
      <c r="B87">
        <v>86</v>
      </c>
      <c r="C87" t="s">
        <v>252</v>
      </c>
      <c r="D87" t="s">
        <v>253</v>
      </c>
      <c r="E87">
        <v>6330</v>
      </c>
      <c r="F87">
        <v>0</v>
      </c>
      <c r="G87">
        <v>1717734</v>
      </c>
      <c r="H87" s="2">
        <v>48605965193</v>
      </c>
      <c r="I87" s="1">
        <v>45775</v>
      </c>
      <c r="J87" s="1">
        <v>73050</v>
      </c>
      <c r="K87" t="s">
        <v>22</v>
      </c>
      <c r="L87" t="s">
        <v>23</v>
      </c>
      <c r="M87" t="s">
        <v>24</v>
      </c>
      <c r="N87" t="s">
        <v>25</v>
      </c>
      <c r="O87" s="3"/>
      <c r="S87" t="s">
        <v>848</v>
      </c>
    </row>
    <row r="88" spans="1:19" x14ac:dyDescent="0.25">
      <c r="A88" t="str">
        <f t="shared" si="1"/>
        <v>Kaczmarczyk Jagna</v>
      </c>
      <c r="B88">
        <v>87</v>
      </c>
      <c r="C88" t="s">
        <v>932</v>
      </c>
      <c r="D88" t="s">
        <v>933</v>
      </c>
      <c r="E88">
        <v>6586</v>
      </c>
      <c r="F88">
        <v>0</v>
      </c>
      <c r="G88">
        <v>361645</v>
      </c>
      <c r="H88">
        <v>48795990429</v>
      </c>
      <c r="I88" s="1">
        <v>45931</v>
      </c>
      <c r="J88" s="1">
        <v>73050</v>
      </c>
      <c r="K88" t="s">
        <v>209</v>
      </c>
      <c r="L88" t="s">
        <v>934</v>
      </c>
      <c r="M88" t="s">
        <v>18</v>
      </c>
      <c r="N88" t="s">
        <v>19</v>
      </c>
      <c r="O88" s="3"/>
      <c r="S88" t="s">
        <v>849</v>
      </c>
    </row>
    <row r="89" spans="1:19" x14ac:dyDescent="0.25">
      <c r="A89" t="str">
        <f t="shared" si="1"/>
        <v>Kalisz Patrycja</v>
      </c>
      <c r="B89">
        <v>88</v>
      </c>
      <c r="C89" t="s">
        <v>257</v>
      </c>
      <c r="D89" t="s">
        <v>258</v>
      </c>
      <c r="E89">
        <v>5525</v>
      </c>
      <c r="F89" t="s">
        <v>259</v>
      </c>
      <c r="G89">
        <v>8830550</v>
      </c>
      <c r="H89" s="2">
        <v>48789801076</v>
      </c>
      <c r="I89" s="1">
        <v>45377</v>
      </c>
      <c r="J89" s="1">
        <v>73050</v>
      </c>
      <c r="K89" t="s">
        <v>17</v>
      </c>
      <c r="L89" t="s">
        <v>17</v>
      </c>
      <c r="M89" t="s">
        <v>18</v>
      </c>
      <c r="N89" t="s">
        <v>28</v>
      </c>
      <c r="O89" s="3">
        <v>0.20836805555555554</v>
      </c>
      <c r="S89" t="s">
        <v>850</v>
      </c>
    </row>
    <row r="90" spans="1:19" x14ac:dyDescent="0.25">
      <c r="A90" t="str">
        <f t="shared" si="1"/>
        <v>Klonowski Piotr</v>
      </c>
      <c r="B90">
        <v>89</v>
      </c>
      <c r="C90" t="s">
        <v>928</v>
      </c>
      <c r="D90" t="s">
        <v>222</v>
      </c>
      <c r="E90">
        <v>6587</v>
      </c>
      <c r="F90">
        <v>0</v>
      </c>
      <c r="G90" t="s">
        <v>954</v>
      </c>
      <c r="H90">
        <v>48535920208</v>
      </c>
      <c r="I90" s="1">
        <v>45931</v>
      </c>
      <c r="J90" s="1">
        <v>73050</v>
      </c>
      <c r="K90" t="s">
        <v>66</v>
      </c>
      <c r="L90" t="s">
        <v>929</v>
      </c>
      <c r="M90" t="s">
        <v>18</v>
      </c>
      <c r="N90" t="s">
        <v>68</v>
      </c>
      <c r="O90" s="3"/>
      <c r="S90" t="s">
        <v>851</v>
      </c>
    </row>
    <row r="91" spans="1:19" x14ac:dyDescent="0.25">
      <c r="A91" t="str">
        <f t="shared" si="1"/>
        <v>Koblanski Daniel</v>
      </c>
      <c r="B91">
        <v>90</v>
      </c>
      <c r="C91" t="s">
        <v>260</v>
      </c>
      <c r="D91" t="s">
        <v>184</v>
      </c>
      <c r="E91">
        <v>5834</v>
      </c>
      <c r="F91">
        <v>0</v>
      </c>
      <c r="G91">
        <v>415523</v>
      </c>
      <c r="H91">
        <v>48661131885</v>
      </c>
      <c r="I91" s="1">
        <v>45524</v>
      </c>
      <c r="J91" s="1">
        <v>73050</v>
      </c>
      <c r="K91" t="s">
        <v>102</v>
      </c>
      <c r="L91" t="s">
        <v>147</v>
      </c>
      <c r="M91" t="s">
        <v>18</v>
      </c>
      <c r="N91" t="s">
        <v>83</v>
      </c>
      <c r="O91" s="3"/>
      <c r="S91" t="s">
        <v>854</v>
      </c>
    </row>
    <row r="92" spans="1:19" x14ac:dyDescent="0.25">
      <c r="A92" t="str">
        <f t="shared" si="1"/>
        <v>Kolanowski Dawid Piotr</v>
      </c>
      <c r="B92">
        <v>91</v>
      </c>
      <c r="C92" t="s">
        <v>261</v>
      </c>
      <c r="D92" t="s">
        <v>262</v>
      </c>
      <c r="E92">
        <v>4651</v>
      </c>
      <c r="F92">
        <v>70079</v>
      </c>
      <c r="G92">
        <v>11675538</v>
      </c>
      <c r="H92" s="2">
        <v>48510141501</v>
      </c>
      <c r="I92" s="1">
        <v>44795</v>
      </c>
      <c r="J92" s="1">
        <v>73050</v>
      </c>
      <c r="K92" t="s">
        <v>34</v>
      </c>
      <c r="L92" t="s">
        <v>263</v>
      </c>
      <c r="M92" t="s">
        <v>18</v>
      </c>
      <c r="N92" t="s">
        <v>36</v>
      </c>
      <c r="O92" s="3">
        <v>0.19957175925925927</v>
      </c>
      <c r="S92" t="s">
        <v>853</v>
      </c>
    </row>
    <row r="93" spans="1:19" x14ac:dyDescent="0.25">
      <c r="A93" t="str">
        <f t="shared" si="1"/>
        <v>Konieczny Joanna</v>
      </c>
      <c r="B93">
        <v>92</v>
      </c>
      <c r="C93" t="s">
        <v>264</v>
      </c>
      <c r="D93" t="s">
        <v>62</v>
      </c>
      <c r="E93">
        <v>5828</v>
      </c>
      <c r="F93">
        <v>0</v>
      </c>
      <c r="G93">
        <v>65285552</v>
      </c>
      <c r="H93" s="2">
        <v>48452375689</v>
      </c>
      <c r="I93" s="1">
        <v>45523</v>
      </c>
      <c r="J93" s="1">
        <v>73050</v>
      </c>
      <c r="K93" t="s">
        <v>51</v>
      </c>
      <c r="L93" t="s">
        <v>265</v>
      </c>
      <c r="M93" t="s">
        <v>40</v>
      </c>
      <c r="N93" t="s">
        <v>25</v>
      </c>
      <c r="O93" s="3">
        <v>0.85462962962962963</v>
      </c>
      <c r="S93" t="s">
        <v>855</v>
      </c>
    </row>
    <row r="94" spans="1:19" x14ac:dyDescent="0.25">
      <c r="A94" t="str">
        <f t="shared" si="1"/>
        <v>Korab Karina Weronika</v>
      </c>
      <c r="B94">
        <v>93</v>
      </c>
      <c r="C94" t="s">
        <v>266</v>
      </c>
      <c r="D94" t="s">
        <v>267</v>
      </c>
      <c r="E94">
        <v>126</v>
      </c>
      <c r="F94" t="s">
        <v>268</v>
      </c>
      <c r="G94">
        <v>2705732</v>
      </c>
      <c r="H94" s="2">
        <v>48785912038</v>
      </c>
      <c r="I94" s="1">
        <v>44593</v>
      </c>
      <c r="J94" s="1">
        <v>73050</v>
      </c>
      <c r="K94" t="s">
        <v>17</v>
      </c>
      <c r="L94" t="s">
        <v>17</v>
      </c>
      <c r="M94" t="s">
        <v>24</v>
      </c>
      <c r="N94" t="s">
        <v>28</v>
      </c>
      <c r="O94" s="3"/>
      <c r="S94" t="s">
        <v>856</v>
      </c>
    </row>
    <row r="95" spans="1:19" x14ac:dyDescent="0.25">
      <c r="A95" t="str">
        <f t="shared" si="1"/>
        <v>Korcz Wioleta</v>
      </c>
      <c r="B95">
        <v>94</v>
      </c>
      <c r="C95" t="s">
        <v>269</v>
      </c>
      <c r="D95" t="s">
        <v>270</v>
      </c>
      <c r="E95">
        <v>5782</v>
      </c>
      <c r="F95">
        <v>0</v>
      </c>
      <c r="G95">
        <v>13067733</v>
      </c>
      <c r="H95" s="2">
        <v>48694806447</v>
      </c>
      <c r="I95" s="1">
        <v>45505</v>
      </c>
      <c r="J95" s="1">
        <v>45869</v>
      </c>
      <c r="K95" t="s">
        <v>34</v>
      </c>
      <c r="L95" t="s">
        <v>271</v>
      </c>
      <c r="M95" t="s">
        <v>18</v>
      </c>
      <c r="N95" t="s">
        <v>36</v>
      </c>
      <c r="O95" s="3"/>
      <c r="S95" t="s">
        <v>857</v>
      </c>
    </row>
    <row r="96" spans="1:19" x14ac:dyDescent="0.25">
      <c r="A96" t="str">
        <f t="shared" si="1"/>
        <v>Kordowski Henryk</v>
      </c>
      <c r="B96">
        <v>95</v>
      </c>
      <c r="C96" t="s">
        <v>272</v>
      </c>
      <c r="D96" t="s">
        <v>273</v>
      </c>
      <c r="E96">
        <v>6317</v>
      </c>
      <c r="F96">
        <v>0</v>
      </c>
      <c r="G96">
        <v>400223833</v>
      </c>
      <c r="H96" s="2">
        <v>48570158521</v>
      </c>
      <c r="I96" s="1">
        <v>45769</v>
      </c>
      <c r="J96" s="1">
        <v>73050</v>
      </c>
      <c r="K96" t="s">
        <v>66</v>
      </c>
      <c r="L96" t="s">
        <v>256</v>
      </c>
      <c r="M96" t="s">
        <v>18</v>
      </c>
      <c r="N96" t="s">
        <v>68</v>
      </c>
      <c r="O96" s="3"/>
      <c r="S96" t="s">
        <v>858</v>
      </c>
    </row>
    <row r="97" spans="1:19" x14ac:dyDescent="0.25">
      <c r="A97" t="str">
        <f t="shared" si="1"/>
        <v>Kotas Barbara Mariola</v>
      </c>
      <c r="B97">
        <v>96</v>
      </c>
      <c r="C97" t="s">
        <v>274</v>
      </c>
      <c r="D97" t="s">
        <v>275</v>
      </c>
      <c r="E97">
        <v>127</v>
      </c>
      <c r="F97" t="s">
        <v>276</v>
      </c>
      <c r="G97">
        <v>9534092</v>
      </c>
      <c r="H97" s="2">
        <v>48531077296</v>
      </c>
      <c r="I97" s="1">
        <v>44593</v>
      </c>
      <c r="J97" s="1">
        <v>73050</v>
      </c>
      <c r="K97" t="s">
        <v>26</v>
      </c>
      <c r="L97" t="s">
        <v>31</v>
      </c>
      <c r="M97" t="s">
        <v>24</v>
      </c>
      <c r="N97" t="s">
        <v>28</v>
      </c>
      <c r="O97" s="3"/>
      <c r="S97" t="s">
        <v>824</v>
      </c>
    </row>
    <row r="98" spans="1:19" x14ac:dyDescent="0.25">
      <c r="A98" t="str">
        <f t="shared" si="1"/>
        <v>Kotowski Zbigniew Marek</v>
      </c>
      <c r="B98">
        <v>97</v>
      </c>
      <c r="C98" t="s">
        <v>277</v>
      </c>
      <c r="D98" t="s">
        <v>278</v>
      </c>
      <c r="E98">
        <v>4775</v>
      </c>
      <c r="F98">
        <v>4775</v>
      </c>
      <c r="G98">
        <v>301166922</v>
      </c>
      <c r="H98" s="2">
        <v>48539242677</v>
      </c>
      <c r="I98" s="1">
        <v>44893</v>
      </c>
      <c r="J98" s="1">
        <v>73050</v>
      </c>
      <c r="K98" t="s">
        <v>22</v>
      </c>
      <c r="L98" t="s">
        <v>110</v>
      </c>
      <c r="M98" t="s">
        <v>225</v>
      </c>
      <c r="N98" t="s">
        <v>25</v>
      </c>
      <c r="O98" s="3"/>
      <c r="S98" t="s">
        <v>852</v>
      </c>
    </row>
    <row r="99" spans="1:19" x14ac:dyDescent="0.25">
      <c r="A99" t="str">
        <f t="shared" si="1"/>
        <v>Kovařčik Tomáš</v>
      </c>
      <c r="B99">
        <v>98</v>
      </c>
      <c r="C99" t="s">
        <v>279</v>
      </c>
      <c r="D99" t="s">
        <v>280</v>
      </c>
      <c r="E99">
        <v>3695</v>
      </c>
      <c r="F99">
        <v>10695</v>
      </c>
      <c r="G99">
        <v>13126893</v>
      </c>
      <c r="H99" s="2">
        <v>739764081</v>
      </c>
      <c r="I99" s="1">
        <v>44256</v>
      </c>
      <c r="J99" s="1">
        <v>73050</v>
      </c>
      <c r="K99" t="s">
        <v>17</v>
      </c>
      <c r="L99" t="s">
        <v>17</v>
      </c>
      <c r="M99" t="s">
        <v>40</v>
      </c>
      <c r="N99" t="s">
        <v>68</v>
      </c>
      <c r="O99" s="3"/>
      <c r="S99" t="s">
        <v>992</v>
      </c>
    </row>
    <row r="100" spans="1:19" x14ac:dyDescent="0.25">
      <c r="A100" t="str">
        <f t="shared" si="1"/>
        <v>Kowaczik Bozena Jadwiga</v>
      </c>
      <c r="B100">
        <v>99</v>
      </c>
      <c r="C100" t="s">
        <v>281</v>
      </c>
      <c r="D100" t="s">
        <v>282</v>
      </c>
      <c r="E100">
        <v>4847</v>
      </c>
      <c r="F100" t="s">
        <v>283</v>
      </c>
      <c r="G100">
        <v>8651978</v>
      </c>
      <c r="H100" s="2">
        <v>48533222984</v>
      </c>
      <c r="I100" s="1">
        <v>44986</v>
      </c>
      <c r="J100" s="1">
        <v>73050</v>
      </c>
      <c r="K100" t="s">
        <v>17</v>
      </c>
      <c r="L100" t="s">
        <v>17</v>
      </c>
      <c r="M100" t="s">
        <v>24</v>
      </c>
      <c r="N100" t="s">
        <v>28</v>
      </c>
      <c r="O100" s="3"/>
      <c r="S100" t="s">
        <v>996</v>
      </c>
    </row>
    <row r="101" spans="1:19" x14ac:dyDescent="0.25">
      <c r="A101" t="str">
        <f t="shared" si="1"/>
        <v>Kowalewski Marcin</v>
      </c>
      <c r="B101">
        <v>100</v>
      </c>
      <c r="C101" t="s">
        <v>285</v>
      </c>
      <c r="D101" t="s">
        <v>286</v>
      </c>
      <c r="E101">
        <v>6430</v>
      </c>
      <c r="F101">
        <v>0</v>
      </c>
      <c r="G101">
        <v>12074454</v>
      </c>
      <c r="H101" s="2">
        <v>48783106070</v>
      </c>
      <c r="I101" s="1">
        <v>45839</v>
      </c>
      <c r="J101" s="1">
        <v>73050</v>
      </c>
      <c r="K101" t="s">
        <v>17</v>
      </c>
      <c r="L101" t="s">
        <v>17</v>
      </c>
      <c r="M101" t="s">
        <v>18</v>
      </c>
      <c r="N101" t="s">
        <v>71</v>
      </c>
      <c r="O101" s="3">
        <v>0.20836805555555554</v>
      </c>
      <c r="S101" t="s">
        <v>997</v>
      </c>
    </row>
    <row r="102" spans="1:19" x14ac:dyDescent="0.25">
      <c r="A102" t="str">
        <f t="shared" si="1"/>
        <v>Koza Adam</v>
      </c>
      <c r="B102">
        <v>101</v>
      </c>
      <c r="C102" t="s">
        <v>288</v>
      </c>
      <c r="D102" t="s">
        <v>175</v>
      </c>
      <c r="E102">
        <v>6099</v>
      </c>
      <c r="F102">
        <v>0</v>
      </c>
      <c r="G102">
        <v>391237665</v>
      </c>
      <c r="H102" s="2">
        <v>48721740510</v>
      </c>
      <c r="I102" s="1">
        <v>45622</v>
      </c>
      <c r="J102" s="1">
        <v>73050</v>
      </c>
      <c r="K102" t="s">
        <v>66</v>
      </c>
      <c r="L102" t="s">
        <v>289</v>
      </c>
      <c r="M102" t="s">
        <v>18</v>
      </c>
      <c r="N102" t="s">
        <v>68</v>
      </c>
      <c r="O102" s="3">
        <v>0.17637731481481481</v>
      </c>
      <c r="S102" t="s">
        <v>998</v>
      </c>
    </row>
    <row r="103" spans="1:19" x14ac:dyDescent="0.25">
      <c r="A103" t="str">
        <f t="shared" si="1"/>
        <v>Kozielski Kozielski Andrzej Jozef</v>
      </c>
      <c r="B103">
        <v>102</v>
      </c>
      <c r="C103" t="s">
        <v>290</v>
      </c>
      <c r="D103" t="s">
        <v>291</v>
      </c>
      <c r="E103">
        <v>5665</v>
      </c>
      <c r="F103">
        <v>5022</v>
      </c>
      <c r="G103">
        <v>301173035</v>
      </c>
      <c r="H103" s="2">
        <v>48698656111</v>
      </c>
      <c r="I103" s="1">
        <v>45068</v>
      </c>
      <c r="J103" s="1">
        <v>73050</v>
      </c>
      <c r="K103" t="s">
        <v>51</v>
      </c>
      <c r="L103" t="s">
        <v>265</v>
      </c>
      <c r="M103" t="s">
        <v>40</v>
      </c>
      <c r="N103" t="s">
        <v>25</v>
      </c>
      <c r="O103" s="3">
        <v>0.85474537037037035</v>
      </c>
    </row>
    <row r="104" spans="1:19" x14ac:dyDescent="0.25">
      <c r="A104" t="str">
        <f t="shared" si="1"/>
        <v>Králová Eliška</v>
      </c>
      <c r="B104">
        <v>103</v>
      </c>
      <c r="C104" t="s">
        <v>292</v>
      </c>
      <c r="D104" t="s">
        <v>293</v>
      </c>
      <c r="E104">
        <v>750</v>
      </c>
      <c r="F104" t="s">
        <v>294</v>
      </c>
      <c r="G104">
        <v>2029049</v>
      </c>
      <c r="H104" s="2">
        <v>420792371695</v>
      </c>
      <c r="I104" s="1">
        <v>45432</v>
      </c>
      <c r="J104" s="1">
        <v>73050</v>
      </c>
      <c r="K104" t="s">
        <v>17</v>
      </c>
      <c r="L104" t="s">
        <v>17</v>
      </c>
      <c r="M104" t="s">
        <v>40</v>
      </c>
      <c r="N104" t="s">
        <v>28</v>
      </c>
      <c r="O104" s="3">
        <v>0.87502314814814819</v>
      </c>
    </row>
    <row r="105" spans="1:19" x14ac:dyDescent="0.25">
      <c r="A105" t="str">
        <f t="shared" si="1"/>
        <v>Krensel Maria</v>
      </c>
      <c r="B105">
        <v>104</v>
      </c>
      <c r="C105" t="s">
        <v>295</v>
      </c>
      <c r="D105" t="s">
        <v>296</v>
      </c>
      <c r="E105">
        <v>2463</v>
      </c>
      <c r="F105">
        <v>2463</v>
      </c>
      <c r="G105">
        <v>289910254</v>
      </c>
      <c r="H105" s="2">
        <v>48888278520</v>
      </c>
      <c r="I105" s="1">
        <v>45078</v>
      </c>
      <c r="J105" s="1">
        <v>73050</v>
      </c>
      <c r="K105" t="s">
        <v>17</v>
      </c>
      <c r="L105" t="s">
        <v>17</v>
      </c>
      <c r="M105" t="s">
        <v>18</v>
      </c>
      <c r="N105" t="s">
        <v>25</v>
      </c>
      <c r="O105" s="3"/>
    </row>
    <row r="106" spans="1:19" x14ac:dyDescent="0.25">
      <c r="A106" t="str">
        <f t="shared" si="1"/>
        <v>Krótki Gabriel</v>
      </c>
      <c r="B106">
        <v>105</v>
      </c>
      <c r="C106" t="s">
        <v>297</v>
      </c>
      <c r="D106" t="s">
        <v>298</v>
      </c>
      <c r="E106">
        <v>6536</v>
      </c>
      <c r="F106">
        <v>0</v>
      </c>
      <c r="G106">
        <v>0</v>
      </c>
      <c r="H106" s="2">
        <v>48724757775</v>
      </c>
      <c r="I106" s="1">
        <v>45901</v>
      </c>
      <c r="J106" s="1">
        <v>73050</v>
      </c>
      <c r="K106" t="s">
        <v>22</v>
      </c>
      <c r="L106" t="s">
        <v>23</v>
      </c>
      <c r="M106" t="s">
        <v>18</v>
      </c>
      <c r="N106" t="s">
        <v>25</v>
      </c>
      <c r="O106" s="3"/>
    </row>
    <row r="107" spans="1:19" x14ac:dyDescent="0.25">
      <c r="A107" t="str">
        <f t="shared" si="1"/>
        <v>Kuklińska Malgorzata</v>
      </c>
      <c r="B107">
        <v>106</v>
      </c>
      <c r="C107" t="s">
        <v>299</v>
      </c>
      <c r="D107" t="s">
        <v>123</v>
      </c>
      <c r="E107">
        <v>4748</v>
      </c>
      <c r="F107">
        <v>4748</v>
      </c>
      <c r="G107">
        <v>301165702</v>
      </c>
      <c r="H107" s="2">
        <v>48603229236</v>
      </c>
      <c r="I107" s="1">
        <v>44872</v>
      </c>
      <c r="J107" s="1">
        <v>73050</v>
      </c>
      <c r="K107" t="s">
        <v>51</v>
      </c>
      <c r="L107" t="s">
        <v>52</v>
      </c>
      <c r="M107" t="s">
        <v>40</v>
      </c>
      <c r="N107" t="s">
        <v>25</v>
      </c>
      <c r="O107" s="3">
        <v>0.841400462962963</v>
      </c>
    </row>
    <row r="108" spans="1:19" x14ac:dyDescent="0.25">
      <c r="A108" t="str">
        <f t="shared" si="1"/>
        <v>Kuklinska Marlena</v>
      </c>
      <c r="B108">
        <v>107</v>
      </c>
      <c r="C108" t="s">
        <v>300</v>
      </c>
      <c r="D108" t="s">
        <v>301</v>
      </c>
      <c r="E108">
        <v>6016</v>
      </c>
      <c r="F108">
        <v>0</v>
      </c>
      <c r="G108">
        <v>13002601</v>
      </c>
      <c r="H108" s="2">
        <v>48606926340</v>
      </c>
      <c r="I108" s="1">
        <v>45604</v>
      </c>
      <c r="J108" s="1">
        <v>73050</v>
      </c>
      <c r="K108" t="s">
        <v>26</v>
      </c>
      <c r="L108" t="s">
        <v>31</v>
      </c>
      <c r="M108" t="s">
        <v>18</v>
      </c>
      <c r="N108" t="s">
        <v>96</v>
      </c>
      <c r="O108" s="3">
        <v>0.19944444444444445</v>
      </c>
    </row>
    <row r="109" spans="1:19" x14ac:dyDescent="0.25">
      <c r="A109" t="str">
        <f t="shared" si="1"/>
        <v>Kurasik Monika Dorota</v>
      </c>
      <c r="B109">
        <v>108</v>
      </c>
      <c r="C109" t="s">
        <v>302</v>
      </c>
      <c r="D109" t="s">
        <v>303</v>
      </c>
      <c r="E109">
        <v>4663</v>
      </c>
      <c r="F109" t="s">
        <v>304</v>
      </c>
      <c r="G109">
        <v>1089809</v>
      </c>
      <c r="H109" s="2">
        <v>48603702376</v>
      </c>
      <c r="I109" s="1">
        <v>44802</v>
      </c>
      <c r="J109" s="1">
        <v>73050</v>
      </c>
      <c r="K109" t="s">
        <v>26</v>
      </c>
      <c r="L109" t="s">
        <v>170</v>
      </c>
      <c r="M109" t="s">
        <v>18</v>
      </c>
      <c r="N109" t="s">
        <v>28</v>
      </c>
      <c r="O109" s="3">
        <v>0.19768518518518519</v>
      </c>
    </row>
    <row r="110" spans="1:19" x14ac:dyDescent="0.25">
      <c r="A110" t="str">
        <f t="shared" si="1"/>
        <v>Latka Ewelina Ewa</v>
      </c>
      <c r="B110">
        <v>109</v>
      </c>
      <c r="C110" t="s">
        <v>305</v>
      </c>
      <c r="D110" t="s">
        <v>306</v>
      </c>
      <c r="E110">
        <v>131</v>
      </c>
      <c r="F110" t="s">
        <v>307</v>
      </c>
      <c r="G110">
        <v>13264228</v>
      </c>
      <c r="H110" s="2">
        <v>48514082204</v>
      </c>
      <c r="I110" s="1">
        <v>44593</v>
      </c>
      <c r="J110" s="1">
        <v>73050</v>
      </c>
      <c r="K110" t="s">
        <v>26</v>
      </c>
      <c r="L110" t="s">
        <v>308</v>
      </c>
      <c r="M110" t="s">
        <v>24</v>
      </c>
      <c r="N110" t="s">
        <v>28</v>
      </c>
      <c r="O110" s="3"/>
    </row>
    <row r="111" spans="1:19" x14ac:dyDescent="0.25">
      <c r="A111" t="str">
        <f t="shared" si="1"/>
        <v>Lebiediew Sławomir</v>
      </c>
      <c r="B111">
        <v>110</v>
      </c>
      <c r="C111" t="s">
        <v>309</v>
      </c>
      <c r="D111" t="s">
        <v>310</v>
      </c>
      <c r="E111">
        <v>6437</v>
      </c>
      <c r="F111">
        <v>0</v>
      </c>
      <c r="G111">
        <v>13418262</v>
      </c>
      <c r="H111" s="2">
        <v>48692189392</v>
      </c>
      <c r="I111" s="1">
        <v>45839</v>
      </c>
      <c r="J111" s="1">
        <v>73050</v>
      </c>
      <c r="K111" t="s">
        <v>26</v>
      </c>
      <c r="L111" t="s">
        <v>311</v>
      </c>
      <c r="M111" t="s">
        <v>18</v>
      </c>
      <c r="N111" t="s">
        <v>71</v>
      </c>
      <c r="O111" s="3">
        <v>0.19260416666666666</v>
      </c>
    </row>
    <row r="112" spans="1:19" x14ac:dyDescent="0.25">
      <c r="A112" t="str">
        <f t="shared" si="1"/>
        <v>Lebok Karolina</v>
      </c>
      <c r="B112">
        <v>111</v>
      </c>
      <c r="C112" t="s">
        <v>935</v>
      </c>
      <c r="D112" t="s">
        <v>601</v>
      </c>
      <c r="E112">
        <v>6584</v>
      </c>
      <c r="F112">
        <v>0</v>
      </c>
      <c r="G112">
        <v>339616</v>
      </c>
      <c r="H112" s="2">
        <v>48792915137</v>
      </c>
      <c r="I112" s="1">
        <v>45931</v>
      </c>
      <c r="J112" s="1">
        <v>73050</v>
      </c>
      <c r="K112" t="s">
        <v>209</v>
      </c>
      <c r="L112" t="s">
        <v>610</v>
      </c>
      <c r="M112" t="s">
        <v>24</v>
      </c>
      <c r="N112" t="s">
        <v>19</v>
      </c>
      <c r="O112" s="3"/>
    </row>
    <row r="113" spans="1:15" x14ac:dyDescent="0.25">
      <c r="A113" t="str">
        <f t="shared" si="1"/>
        <v>Lichacz Piotr</v>
      </c>
      <c r="B113">
        <v>112</v>
      </c>
      <c r="C113" t="s">
        <v>312</v>
      </c>
      <c r="D113" t="s">
        <v>222</v>
      </c>
      <c r="E113">
        <v>6253</v>
      </c>
      <c r="F113">
        <v>0</v>
      </c>
      <c r="G113">
        <v>400348206</v>
      </c>
      <c r="H113">
        <v>48451612227</v>
      </c>
      <c r="I113" s="1">
        <v>45740</v>
      </c>
      <c r="J113" s="1">
        <v>73050</v>
      </c>
      <c r="K113" t="s">
        <v>66</v>
      </c>
      <c r="L113" t="s">
        <v>313</v>
      </c>
      <c r="M113" t="s">
        <v>18</v>
      </c>
      <c r="N113" t="s">
        <v>121</v>
      </c>
      <c r="O113" s="3">
        <v>0.16355324074074074</v>
      </c>
    </row>
    <row r="114" spans="1:15" x14ac:dyDescent="0.25">
      <c r="A114" t="str">
        <f t="shared" si="1"/>
        <v>Lorenc Pawel Jan</v>
      </c>
      <c r="B114">
        <v>113</v>
      </c>
      <c r="C114" t="s">
        <v>314</v>
      </c>
      <c r="D114" t="s">
        <v>315</v>
      </c>
      <c r="E114">
        <v>3262</v>
      </c>
      <c r="F114">
        <v>7650</v>
      </c>
      <c r="G114">
        <v>11767781</v>
      </c>
      <c r="H114" s="2">
        <v>48663474887</v>
      </c>
      <c r="I114" s="1">
        <v>44287</v>
      </c>
      <c r="J114" s="1">
        <v>73050</v>
      </c>
      <c r="K114" t="s">
        <v>26</v>
      </c>
      <c r="L114" t="s">
        <v>87</v>
      </c>
      <c r="M114" t="s">
        <v>18</v>
      </c>
      <c r="N114" t="s">
        <v>96</v>
      </c>
      <c r="O114" s="3">
        <v>0.17949074074074073</v>
      </c>
    </row>
    <row r="115" spans="1:15" x14ac:dyDescent="0.25">
      <c r="A115" t="str">
        <f t="shared" si="1"/>
        <v>Luczkowski Artur</v>
      </c>
      <c r="B115">
        <v>114</v>
      </c>
      <c r="C115" t="s">
        <v>955</v>
      </c>
      <c r="D115" t="s">
        <v>332</v>
      </c>
      <c r="E115">
        <v>6593</v>
      </c>
      <c r="F115">
        <v>0</v>
      </c>
      <c r="G115">
        <v>13406272</v>
      </c>
      <c r="H115" s="2">
        <v>48730158696</v>
      </c>
      <c r="I115" s="1">
        <v>45936</v>
      </c>
      <c r="J115" s="1">
        <v>73050</v>
      </c>
      <c r="K115" t="s">
        <v>128</v>
      </c>
      <c r="L115" t="s">
        <v>138</v>
      </c>
      <c r="M115" t="s">
        <v>24</v>
      </c>
      <c r="N115" t="s">
        <v>28</v>
      </c>
    </row>
    <row r="116" spans="1:15" x14ac:dyDescent="0.25">
      <c r="A116" t="str">
        <f t="shared" si="1"/>
        <v>Maciaczyk Urszula</v>
      </c>
      <c r="B116">
        <v>115</v>
      </c>
      <c r="C116" t="s">
        <v>316</v>
      </c>
      <c r="D116" t="s">
        <v>317</v>
      </c>
      <c r="E116">
        <v>5620</v>
      </c>
      <c r="F116" t="s">
        <v>318</v>
      </c>
      <c r="G116">
        <v>7375198</v>
      </c>
      <c r="H116" s="2">
        <v>48691841023</v>
      </c>
      <c r="I116" s="1">
        <v>45441</v>
      </c>
      <c r="J116" s="1">
        <v>73050</v>
      </c>
      <c r="K116" t="s">
        <v>17</v>
      </c>
      <c r="L116" t="s">
        <v>17</v>
      </c>
      <c r="M116" t="s">
        <v>18</v>
      </c>
      <c r="N116" t="s">
        <v>28</v>
      </c>
      <c r="O116" s="3">
        <v>0.20836805555555554</v>
      </c>
    </row>
    <row r="117" spans="1:15" x14ac:dyDescent="0.25">
      <c r="A117" t="str">
        <f t="shared" si="1"/>
        <v>Macura Kamil Damian</v>
      </c>
      <c r="B117">
        <v>116</v>
      </c>
      <c r="C117" t="s">
        <v>319</v>
      </c>
      <c r="D117" t="s">
        <v>320</v>
      </c>
      <c r="E117">
        <v>4868</v>
      </c>
      <c r="F117" t="s">
        <v>321</v>
      </c>
      <c r="G117">
        <v>3315873</v>
      </c>
      <c r="H117" s="2">
        <v>48696165354</v>
      </c>
      <c r="I117" s="1">
        <v>45012</v>
      </c>
      <c r="J117" s="1">
        <v>73050</v>
      </c>
      <c r="K117" t="s">
        <v>17</v>
      </c>
      <c r="L117" t="s">
        <v>17</v>
      </c>
      <c r="M117" t="s">
        <v>24</v>
      </c>
      <c r="N117" t="s">
        <v>28</v>
      </c>
      <c r="O117" s="3"/>
    </row>
    <row r="118" spans="1:15" x14ac:dyDescent="0.25">
      <c r="A118" t="str">
        <f t="shared" si="1"/>
        <v>Madrzyk Ryszard</v>
      </c>
      <c r="B118">
        <v>117</v>
      </c>
      <c r="C118" t="s">
        <v>322</v>
      </c>
      <c r="D118" t="s">
        <v>323</v>
      </c>
      <c r="E118">
        <v>6033</v>
      </c>
      <c r="F118">
        <v>0</v>
      </c>
      <c r="G118">
        <v>1179690</v>
      </c>
      <c r="H118" s="2">
        <v>48698777461</v>
      </c>
      <c r="I118" s="1">
        <v>45601</v>
      </c>
      <c r="J118" s="1">
        <v>73050</v>
      </c>
      <c r="K118" t="s">
        <v>102</v>
      </c>
      <c r="L118" t="s">
        <v>324</v>
      </c>
      <c r="M118" t="s">
        <v>18</v>
      </c>
      <c r="N118" t="s">
        <v>83</v>
      </c>
      <c r="O118" s="3"/>
    </row>
    <row r="119" spans="1:15" x14ac:dyDescent="0.25">
      <c r="A119" t="str">
        <f t="shared" si="1"/>
        <v>Machej Adrian</v>
      </c>
      <c r="B119">
        <v>118</v>
      </c>
      <c r="C119" t="s">
        <v>325</v>
      </c>
      <c r="D119" t="s">
        <v>326</v>
      </c>
      <c r="E119">
        <v>5026</v>
      </c>
      <c r="F119" t="s">
        <v>327</v>
      </c>
      <c r="G119">
        <v>1829340</v>
      </c>
      <c r="H119" s="2">
        <v>48532151110</v>
      </c>
      <c r="I119" s="1">
        <v>45145</v>
      </c>
      <c r="J119" s="1">
        <v>73050</v>
      </c>
      <c r="K119" t="s">
        <v>17</v>
      </c>
      <c r="L119" t="s">
        <v>17</v>
      </c>
      <c r="M119" t="s">
        <v>24</v>
      </c>
      <c r="N119" t="s">
        <v>28</v>
      </c>
      <c r="O119" s="3"/>
    </row>
    <row r="120" spans="1:15" x14ac:dyDescent="0.25">
      <c r="A120" t="str">
        <f t="shared" si="1"/>
        <v>Majchrowicz Mateusz</v>
      </c>
      <c r="B120">
        <v>119</v>
      </c>
      <c r="C120" t="s">
        <v>328</v>
      </c>
      <c r="D120" t="s">
        <v>329</v>
      </c>
      <c r="E120">
        <v>6424</v>
      </c>
      <c r="F120">
        <v>0</v>
      </c>
      <c r="G120">
        <v>9237525</v>
      </c>
      <c r="H120" s="2">
        <v>48888459318</v>
      </c>
      <c r="I120" s="1">
        <v>45838</v>
      </c>
      <c r="J120" s="1">
        <v>73050</v>
      </c>
      <c r="K120" t="s">
        <v>128</v>
      </c>
      <c r="L120" t="s">
        <v>129</v>
      </c>
      <c r="M120" t="s">
        <v>40</v>
      </c>
      <c r="N120" t="s">
        <v>28</v>
      </c>
      <c r="O120" s="3">
        <v>0.84267361111111116</v>
      </c>
    </row>
    <row r="121" spans="1:15" x14ac:dyDescent="0.25">
      <c r="A121" t="str">
        <f t="shared" si="1"/>
        <v>Małczak Krzysztof</v>
      </c>
      <c r="B121">
        <v>120</v>
      </c>
      <c r="C121" t="s">
        <v>330</v>
      </c>
      <c r="D121" t="s">
        <v>201</v>
      </c>
      <c r="E121">
        <v>6431</v>
      </c>
      <c r="F121">
        <v>0</v>
      </c>
      <c r="G121">
        <v>12090153</v>
      </c>
      <c r="H121">
        <v>48510216410</v>
      </c>
      <c r="I121" s="1">
        <v>45839</v>
      </c>
      <c r="J121" s="1">
        <v>73050</v>
      </c>
      <c r="K121" t="s">
        <v>128</v>
      </c>
      <c r="L121" t="s">
        <v>138</v>
      </c>
      <c r="M121" t="s">
        <v>18</v>
      </c>
      <c r="N121" t="s">
        <v>71</v>
      </c>
      <c r="O121" s="3">
        <v>0.17164351851851853</v>
      </c>
    </row>
    <row r="122" spans="1:15" x14ac:dyDescent="0.25">
      <c r="A122" t="str">
        <f t="shared" si="1"/>
        <v>Małka Artur</v>
      </c>
      <c r="B122">
        <v>121</v>
      </c>
      <c r="C122" t="s">
        <v>331</v>
      </c>
      <c r="D122" t="s">
        <v>332</v>
      </c>
      <c r="E122">
        <v>6119</v>
      </c>
      <c r="F122">
        <v>0</v>
      </c>
      <c r="G122">
        <v>13052377</v>
      </c>
      <c r="H122" s="2">
        <v>48787969219</v>
      </c>
      <c r="I122" s="1">
        <v>45637</v>
      </c>
      <c r="J122" s="1">
        <v>73050</v>
      </c>
      <c r="K122" t="s">
        <v>128</v>
      </c>
      <c r="L122" t="s">
        <v>129</v>
      </c>
      <c r="M122" t="s">
        <v>24</v>
      </c>
      <c r="N122" t="s">
        <v>96</v>
      </c>
      <c r="O122" s="3"/>
    </row>
    <row r="123" spans="1:15" x14ac:dyDescent="0.25">
      <c r="A123" t="str">
        <f t="shared" si="1"/>
        <v>Marczak Joanna</v>
      </c>
      <c r="B123">
        <v>122</v>
      </c>
      <c r="C123" t="s">
        <v>333</v>
      </c>
      <c r="D123" t="s">
        <v>62</v>
      </c>
      <c r="E123">
        <v>6574</v>
      </c>
      <c r="F123">
        <v>0</v>
      </c>
      <c r="G123">
        <v>391211325</v>
      </c>
      <c r="H123" s="2">
        <v>48515045987</v>
      </c>
      <c r="I123" s="1">
        <v>45922</v>
      </c>
      <c r="J123" s="1">
        <v>73050</v>
      </c>
      <c r="K123" t="s">
        <v>51</v>
      </c>
      <c r="L123" t="s">
        <v>99</v>
      </c>
      <c r="M123" t="s">
        <v>24</v>
      </c>
      <c r="N123" t="s">
        <v>25</v>
      </c>
      <c r="O123" s="3"/>
    </row>
    <row r="124" spans="1:15" x14ac:dyDescent="0.25">
      <c r="A124" t="str">
        <f t="shared" si="1"/>
        <v>Marczak Maria Katarzyna</v>
      </c>
      <c r="B124">
        <v>123</v>
      </c>
      <c r="C124" t="s">
        <v>333</v>
      </c>
      <c r="D124" t="s">
        <v>334</v>
      </c>
      <c r="E124">
        <v>4720</v>
      </c>
      <c r="F124">
        <v>4720</v>
      </c>
      <c r="G124">
        <v>348342948</v>
      </c>
      <c r="H124" s="2">
        <v>48669565741</v>
      </c>
      <c r="I124" s="1">
        <v>44852</v>
      </c>
      <c r="J124" s="1">
        <v>73050</v>
      </c>
      <c r="K124" t="s">
        <v>22</v>
      </c>
      <c r="L124" t="s">
        <v>43</v>
      </c>
      <c r="M124" t="s">
        <v>18</v>
      </c>
      <c r="N124" t="s">
        <v>25</v>
      </c>
      <c r="O124" s="3">
        <v>0.18966435185185185</v>
      </c>
    </row>
    <row r="125" spans="1:15" x14ac:dyDescent="0.25">
      <c r="A125" t="str">
        <f t="shared" si="1"/>
        <v>Marczewski Robert Wieslaw</v>
      </c>
      <c r="B125">
        <v>124</v>
      </c>
      <c r="C125" t="s">
        <v>335</v>
      </c>
      <c r="D125" t="s">
        <v>336</v>
      </c>
      <c r="E125">
        <v>4237</v>
      </c>
      <c r="F125">
        <v>51614</v>
      </c>
      <c r="G125">
        <v>904527</v>
      </c>
      <c r="H125" s="2">
        <v>48606131964</v>
      </c>
      <c r="I125" s="1">
        <v>44836</v>
      </c>
      <c r="J125" s="1">
        <v>73050</v>
      </c>
      <c r="K125" t="s">
        <v>66</v>
      </c>
      <c r="L125" t="s">
        <v>337</v>
      </c>
      <c r="M125" t="s">
        <v>18</v>
      </c>
      <c r="N125" t="s">
        <v>68</v>
      </c>
      <c r="O125" s="3">
        <v>0.17351851851851852</v>
      </c>
    </row>
    <row r="126" spans="1:15" x14ac:dyDescent="0.25">
      <c r="A126" t="str">
        <f t="shared" si="1"/>
        <v>Marekwica Adrian</v>
      </c>
      <c r="B126">
        <v>125</v>
      </c>
      <c r="C126" t="s">
        <v>338</v>
      </c>
      <c r="D126" t="s">
        <v>326</v>
      </c>
      <c r="E126">
        <v>6409</v>
      </c>
      <c r="F126">
        <v>0</v>
      </c>
      <c r="G126">
        <v>0</v>
      </c>
      <c r="H126" s="2">
        <v>48501198081</v>
      </c>
      <c r="I126" s="1">
        <v>45831</v>
      </c>
      <c r="J126" s="1">
        <v>73050</v>
      </c>
      <c r="K126" t="s">
        <v>17</v>
      </c>
      <c r="L126" t="s">
        <v>17</v>
      </c>
      <c r="M126" t="s">
        <v>24</v>
      </c>
      <c r="N126" t="s">
        <v>284</v>
      </c>
      <c r="O126" s="3"/>
    </row>
    <row r="127" spans="1:15" x14ac:dyDescent="0.25">
      <c r="A127" t="str">
        <f t="shared" si="1"/>
        <v>Matusiak Orfeusz Marek</v>
      </c>
      <c r="B127">
        <v>126</v>
      </c>
      <c r="C127" t="s">
        <v>339</v>
      </c>
      <c r="D127" t="s">
        <v>340</v>
      </c>
      <c r="E127">
        <v>3396</v>
      </c>
      <c r="F127">
        <v>3396</v>
      </c>
      <c r="G127">
        <v>370042379</v>
      </c>
      <c r="H127" s="2">
        <v>48537065617</v>
      </c>
      <c r="I127" s="1">
        <v>44119</v>
      </c>
      <c r="J127" s="1">
        <v>73050</v>
      </c>
      <c r="K127" t="s">
        <v>51</v>
      </c>
      <c r="L127" t="s">
        <v>341</v>
      </c>
      <c r="M127" t="s">
        <v>18</v>
      </c>
      <c r="N127" t="s">
        <v>25</v>
      </c>
      <c r="O127" s="3">
        <v>0.17020833333333332</v>
      </c>
    </row>
    <row r="128" spans="1:15" x14ac:dyDescent="0.25">
      <c r="A128" t="str">
        <f t="shared" si="1"/>
        <v>Meller Michal Stanislaw</v>
      </c>
      <c r="B128">
        <v>127</v>
      </c>
      <c r="C128" t="s">
        <v>343</v>
      </c>
      <c r="D128" t="s">
        <v>344</v>
      </c>
      <c r="E128">
        <v>5004</v>
      </c>
      <c r="F128" t="s">
        <v>345</v>
      </c>
      <c r="G128">
        <v>2029090</v>
      </c>
      <c r="H128" s="2">
        <v>48667194610</v>
      </c>
      <c r="I128" s="1">
        <v>45117</v>
      </c>
      <c r="J128" s="1">
        <v>73050</v>
      </c>
      <c r="K128" t="s">
        <v>17</v>
      </c>
      <c r="L128" t="s">
        <v>17</v>
      </c>
      <c r="M128" t="s">
        <v>24</v>
      </c>
      <c r="N128" t="s">
        <v>28</v>
      </c>
      <c r="O128" s="3"/>
    </row>
    <row r="129" spans="1:15" x14ac:dyDescent="0.25">
      <c r="A129" t="str">
        <f t="shared" si="1"/>
        <v>Mendrok Wanesa</v>
      </c>
      <c r="B129">
        <v>128</v>
      </c>
      <c r="C129" t="s">
        <v>956</v>
      </c>
      <c r="D129" t="s">
        <v>957</v>
      </c>
      <c r="E129">
        <v>6597</v>
      </c>
      <c r="F129">
        <v>0</v>
      </c>
      <c r="G129">
        <v>403594</v>
      </c>
      <c r="H129" s="2">
        <v>48787900145</v>
      </c>
      <c r="I129" s="1">
        <v>45936</v>
      </c>
      <c r="J129" s="1">
        <v>73050</v>
      </c>
      <c r="K129" t="s">
        <v>26</v>
      </c>
      <c r="L129" t="s">
        <v>958</v>
      </c>
      <c r="M129" t="s">
        <v>24</v>
      </c>
      <c r="N129" t="s">
        <v>28</v>
      </c>
      <c r="O129" s="3"/>
    </row>
    <row r="130" spans="1:15" x14ac:dyDescent="0.25">
      <c r="A130" t="str">
        <f t="shared" ref="A130:A193" si="2">C130&amp;" "&amp;D130</f>
        <v>Meyer Beata</v>
      </c>
      <c r="B130">
        <v>129</v>
      </c>
      <c r="C130" t="s">
        <v>346</v>
      </c>
      <c r="D130" t="s">
        <v>347</v>
      </c>
      <c r="E130">
        <v>6376</v>
      </c>
      <c r="F130">
        <v>0</v>
      </c>
      <c r="G130">
        <v>1243947</v>
      </c>
      <c r="H130" s="2">
        <v>48791884399</v>
      </c>
      <c r="I130" s="1">
        <v>45803</v>
      </c>
      <c r="J130" s="1">
        <v>73050</v>
      </c>
      <c r="K130" t="s">
        <v>22</v>
      </c>
      <c r="L130" t="s">
        <v>23</v>
      </c>
      <c r="M130" t="s">
        <v>18</v>
      </c>
      <c r="N130" t="s">
        <v>25</v>
      </c>
      <c r="O130" s="3">
        <v>0.16958333333333334</v>
      </c>
    </row>
    <row r="131" spans="1:15" x14ac:dyDescent="0.25">
      <c r="A131" t="str">
        <f t="shared" si="2"/>
        <v>Mielczarek Patrycjusz</v>
      </c>
      <c r="B131">
        <v>130</v>
      </c>
      <c r="C131" t="s">
        <v>348</v>
      </c>
      <c r="D131" t="s">
        <v>349</v>
      </c>
      <c r="E131">
        <v>6559</v>
      </c>
      <c r="F131">
        <v>0</v>
      </c>
      <c r="G131">
        <v>367854</v>
      </c>
      <c r="H131">
        <v>48605871538</v>
      </c>
      <c r="I131" s="1">
        <v>45911</v>
      </c>
      <c r="J131" s="1">
        <v>73050</v>
      </c>
      <c r="K131" t="s">
        <v>128</v>
      </c>
      <c r="L131" t="s">
        <v>157</v>
      </c>
      <c r="M131" t="s">
        <v>24</v>
      </c>
      <c r="N131" t="s">
        <v>71</v>
      </c>
      <c r="O131" s="3"/>
    </row>
    <row r="132" spans="1:15" x14ac:dyDescent="0.25">
      <c r="A132" t="str">
        <f t="shared" si="2"/>
        <v>Mienkowska Edyta Ewa</v>
      </c>
      <c r="B132">
        <v>131</v>
      </c>
      <c r="C132" t="s">
        <v>350</v>
      </c>
      <c r="D132" t="s">
        <v>351</v>
      </c>
      <c r="E132">
        <v>136</v>
      </c>
      <c r="F132" t="s">
        <v>352</v>
      </c>
      <c r="G132">
        <v>13247004</v>
      </c>
      <c r="H132" s="2">
        <v>48514226388</v>
      </c>
      <c r="I132" s="1">
        <v>44593</v>
      </c>
      <c r="J132" s="1">
        <v>73050</v>
      </c>
      <c r="K132" t="s">
        <v>26</v>
      </c>
      <c r="L132" t="s">
        <v>170</v>
      </c>
      <c r="M132" t="s">
        <v>24</v>
      </c>
      <c r="N132" t="s">
        <v>28</v>
      </c>
      <c r="O132" s="3"/>
    </row>
    <row r="133" spans="1:15" x14ac:dyDescent="0.25">
      <c r="A133" t="str">
        <f t="shared" si="2"/>
        <v>Michalec Regina</v>
      </c>
      <c r="B133">
        <v>132</v>
      </c>
      <c r="C133" t="s">
        <v>353</v>
      </c>
      <c r="D133" t="s">
        <v>354</v>
      </c>
      <c r="E133">
        <v>5014</v>
      </c>
      <c r="F133">
        <v>5014</v>
      </c>
      <c r="G133">
        <v>370041446</v>
      </c>
      <c r="H133" s="2">
        <v>48795475219</v>
      </c>
      <c r="I133" s="1">
        <v>45061</v>
      </c>
      <c r="J133" s="1">
        <v>73050</v>
      </c>
      <c r="K133" t="s">
        <v>22</v>
      </c>
      <c r="L133" t="s">
        <v>355</v>
      </c>
      <c r="M133" t="s">
        <v>18</v>
      </c>
      <c r="N133" t="s">
        <v>25</v>
      </c>
      <c r="O133" s="3">
        <v>0.19989583333333333</v>
      </c>
    </row>
    <row r="134" spans="1:15" x14ac:dyDescent="0.25">
      <c r="A134" t="str">
        <f t="shared" si="2"/>
        <v>Mikus Roman</v>
      </c>
      <c r="B134">
        <v>133</v>
      </c>
      <c r="C134" t="s">
        <v>356</v>
      </c>
      <c r="D134" t="s">
        <v>146</v>
      </c>
      <c r="E134">
        <v>19</v>
      </c>
      <c r="F134" t="s">
        <v>357</v>
      </c>
      <c r="G134">
        <v>8777013</v>
      </c>
      <c r="H134" s="2">
        <v>739908169</v>
      </c>
      <c r="I134" s="1">
        <v>44599</v>
      </c>
      <c r="J134" s="1">
        <v>73050</v>
      </c>
      <c r="K134" t="s">
        <v>17</v>
      </c>
      <c r="L134" t="s">
        <v>17</v>
      </c>
      <c r="M134" t="s">
        <v>24</v>
      </c>
      <c r="N134" t="s">
        <v>28</v>
      </c>
      <c r="O134" s="3"/>
    </row>
    <row r="135" spans="1:15" x14ac:dyDescent="0.25">
      <c r="A135" t="str">
        <f t="shared" si="2"/>
        <v>Milek Michal Jerzy</v>
      </c>
      <c r="B135">
        <v>134</v>
      </c>
      <c r="C135" t="s">
        <v>358</v>
      </c>
      <c r="D135" t="s">
        <v>359</v>
      </c>
      <c r="E135">
        <v>4392</v>
      </c>
      <c r="F135">
        <v>7514</v>
      </c>
      <c r="G135">
        <v>13103649</v>
      </c>
      <c r="H135" s="2">
        <v>48730393595</v>
      </c>
      <c r="I135" s="1">
        <v>44643</v>
      </c>
      <c r="J135" s="1">
        <v>73050</v>
      </c>
      <c r="K135" t="s">
        <v>128</v>
      </c>
      <c r="L135" t="s">
        <v>138</v>
      </c>
      <c r="M135" t="s">
        <v>24</v>
      </c>
      <c r="N135" t="s">
        <v>96</v>
      </c>
      <c r="O135" s="3"/>
    </row>
    <row r="136" spans="1:15" x14ac:dyDescent="0.25">
      <c r="A136" t="str">
        <f t="shared" si="2"/>
        <v>Mochnacz Lukasz Teodor</v>
      </c>
      <c r="B136">
        <v>135</v>
      </c>
      <c r="C136" t="s">
        <v>360</v>
      </c>
      <c r="D136" t="s">
        <v>361</v>
      </c>
      <c r="E136">
        <v>4482</v>
      </c>
      <c r="F136">
        <v>7532</v>
      </c>
      <c r="G136">
        <v>13116795</v>
      </c>
      <c r="H136" s="2">
        <v>48534996548</v>
      </c>
      <c r="I136" s="1">
        <v>44706</v>
      </c>
      <c r="J136" s="1">
        <v>73050</v>
      </c>
      <c r="K136" t="s">
        <v>128</v>
      </c>
      <c r="L136" t="s">
        <v>224</v>
      </c>
      <c r="M136" t="s">
        <v>18</v>
      </c>
      <c r="N136" t="s">
        <v>96</v>
      </c>
      <c r="O136" s="3">
        <v>0.15938657407407408</v>
      </c>
    </row>
    <row r="137" spans="1:15" x14ac:dyDescent="0.25">
      <c r="A137" t="str">
        <f t="shared" si="2"/>
        <v>Mottlová Markéta</v>
      </c>
      <c r="B137">
        <v>136</v>
      </c>
      <c r="C137" t="s">
        <v>362</v>
      </c>
      <c r="D137" t="s">
        <v>363</v>
      </c>
      <c r="E137">
        <v>3369</v>
      </c>
      <c r="F137">
        <v>3369</v>
      </c>
      <c r="G137">
        <v>315321940</v>
      </c>
      <c r="H137" s="2">
        <v>420720578148</v>
      </c>
      <c r="I137" s="1">
        <v>44287</v>
      </c>
      <c r="J137" s="1">
        <v>73050</v>
      </c>
      <c r="K137" t="s">
        <v>51</v>
      </c>
      <c r="L137" t="s">
        <v>154</v>
      </c>
      <c r="M137" t="s">
        <v>18</v>
      </c>
      <c r="N137" t="s">
        <v>25</v>
      </c>
      <c r="O137" s="3"/>
    </row>
    <row r="138" spans="1:15" x14ac:dyDescent="0.25">
      <c r="A138" t="str">
        <f t="shared" si="2"/>
        <v>Mrozek Mateusz</v>
      </c>
      <c r="B138">
        <v>137</v>
      </c>
      <c r="C138" t="s">
        <v>366</v>
      </c>
      <c r="D138" t="s">
        <v>329</v>
      </c>
      <c r="E138">
        <v>5659</v>
      </c>
      <c r="F138">
        <v>0</v>
      </c>
      <c r="G138">
        <v>11956507</v>
      </c>
      <c r="H138" s="2">
        <v>48570665126</v>
      </c>
      <c r="I138" s="1">
        <v>45453</v>
      </c>
      <c r="J138" s="1">
        <v>73050</v>
      </c>
      <c r="K138" t="s">
        <v>81</v>
      </c>
      <c r="L138" t="s">
        <v>367</v>
      </c>
      <c r="M138" t="s">
        <v>18</v>
      </c>
      <c r="N138" t="s">
        <v>83</v>
      </c>
      <c r="O138" s="3">
        <v>0.20628472222222222</v>
      </c>
    </row>
    <row r="139" spans="1:15" x14ac:dyDescent="0.25">
      <c r="A139" t="str">
        <f t="shared" si="2"/>
        <v>Nawara Bartosz Pawel</v>
      </c>
      <c r="B139">
        <v>138</v>
      </c>
      <c r="C139" t="s">
        <v>368</v>
      </c>
      <c r="D139" t="s">
        <v>369</v>
      </c>
      <c r="E139">
        <v>3379</v>
      </c>
      <c r="F139">
        <v>51781</v>
      </c>
      <c r="G139">
        <v>9586730</v>
      </c>
      <c r="H139" s="2">
        <v>48507556613</v>
      </c>
      <c r="I139" s="1">
        <v>44936</v>
      </c>
      <c r="J139" s="1">
        <v>73050</v>
      </c>
      <c r="K139" t="s">
        <v>66</v>
      </c>
      <c r="L139" t="s">
        <v>67</v>
      </c>
      <c r="M139" t="s">
        <v>18</v>
      </c>
      <c r="N139" t="s">
        <v>68</v>
      </c>
      <c r="O139" s="3">
        <v>0.17166666666666666</v>
      </c>
    </row>
    <row r="140" spans="1:15" x14ac:dyDescent="0.25">
      <c r="A140" t="str">
        <f t="shared" si="2"/>
        <v>Niemczyk Daniel Marcin</v>
      </c>
      <c r="B140">
        <v>139</v>
      </c>
      <c r="C140" t="s">
        <v>370</v>
      </c>
      <c r="D140" t="s">
        <v>371</v>
      </c>
      <c r="E140">
        <v>4791</v>
      </c>
      <c r="F140" t="s">
        <v>372</v>
      </c>
      <c r="G140">
        <v>3520045</v>
      </c>
      <c r="H140" s="2">
        <v>48698762534</v>
      </c>
      <c r="I140" s="1">
        <v>44942</v>
      </c>
      <c r="J140" s="1" t="s">
        <v>630</v>
      </c>
      <c r="K140" t="s">
        <v>17</v>
      </c>
      <c r="L140" t="s">
        <v>17</v>
      </c>
      <c r="M140" t="s">
        <v>24</v>
      </c>
      <c r="N140" t="s">
        <v>28</v>
      </c>
    </row>
    <row r="141" spans="1:15" x14ac:dyDescent="0.25">
      <c r="A141" t="str">
        <f t="shared" si="2"/>
        <v>Niepsuj Karolina Magdalena</v>
      </c>
      <c r="B141">
        <v>140</v>
      </c>
      <c r="C141" t="s">
        <v>373</v>
      </c>
      <c r="D141" t="s">
        <v>374</v>
      </c>
      <c r="E141">
        <v>5121</v>
      </c>
      <c r="F141" t="s">
        <v>375</v>
      </c>
      <c r="G141">
        <v>2028995</v>
      </c>
      <c r="H141" s="2">
        <v>48573180361</v>
      </c>
      <c r="I141" s="1">
        <v>45173</v>
      </c>
      <c r="J141" s="1">
        <v>73050</v>
      </c>
      <c r="K141" t="s">
        <v>26</v>
      </c>
      <c r="L141" t="s">
        <v>376</v>
      </c>
      <c r="M141" t="s">
        <v>18</v>
      </c>
      <c r="N141" t="s">
        <v>28</v>
      </c>
      <c r="O141" s="3">
        <v>0.18207175925925925</v>
      </c>
    </row>
    <row r="142" spans="1:15" x14ac:dyDescent="0.25">
      <c r="A142" t="str">
        <f t="shared" si="2"/>
        <v>Niewiadomski Michal</v>
      </c>
      <c r="B142">
        <v>141</v>
      </c>
      <c r="C142" t="s">
        <v>377</v>
      </c>
      <c r="D142" t="s">
        <v>378</v>
      </c>
      <c r="E142">
        <v>6514</v>
      </c>
      <c r="F142">
        <v>0</v>
      </c>
      <c r="G142">
        <v>353976</v>
      </c>
      <c r="H142">
        <v>48519846460</v>
      </c>
      <c r="I142" s="1">
        <v>45889</v>
      </c>
      <c r="J142" s="1">
        <v>73050</v>
      </c>
      <c r="K142" t="s">
        <v>26</v>
      </c>
      <c r="L142" t="s">
        <v>170</v>
      </c>
      <c r="M142" t="s">
        <v>18</v>
      </c>
      <c r="N142" t="s">
        <v>71</v>
      </c>
      <c r="O142" s="3">
        <v>0.19780092592592594</v>
      </c>
    </row>
    <row r="143" spans="1:15" x14ac:dyDescent="0.25">
      <c r="A143" t="str">
        <f t="shared" si="2"/>
        <v>Nowak Martyna</v>
      </c>
      <c r="B143">
        <v>142</v>
      </c>
      <c r="C143" t="s">
        <v>379</v>
      </c>
      <c r="D143" t="s">
        <v>380</v>
      </c>
      <c r="E143">
        <v>6576</v>
      </c>
      <c r="F143">
        <v>0</v>
      </c>
      <c r="G143">
        <v>391108249</v>
      </c>
      <c r="H143">
        <v>48517482705</v>
      </c>
      <c r="I143" s="1">
        <v>45922</v>
      </c>
      <c r="J143" s="1">
        <v>73050</v>
      </c>
      <c r="K143" t="s">
        <v>51</v>
      </c>
      <c r="L143" t="s">
        <v>55</v>
      </c>
      <c r="M143" t="s">
        <v>40</v>
      </c>
      <c r="N143" t="s">
        <v>25</v>
      </c>
      <c r="O143" s="3"/>
    </row>
    <row r="144" spans="1:15" x14ac:dyDescent="0.25">
      <c r="A144" t="str">
        <f t="shared" si="2"/>
        <v>Nowak-Michalecka Katarzyna</v>
      </c>
      <c r="B144">
        <v>143</v>
      </c>
      <c r="C144" t="s">
        <v>381</v>
      </c>
      <c r="D144" t="s">
        <v>38</v>
      </c>
      <c r="E144">
        <v>5455</v>
      </c>
      <c r="F144">
        <v>70176</v>
      </c>
      <c r="G144">
        <v>13068943</v>
      </c>
      <c r="H144" s="2">
        <v>48609602168</v>
      </c>
      <c r="I144" s="1">
        <v>45236</v>
      </c>
      <c r="J144" s="1">
        <v>73050</v>
      </c>
      <c r="K144" t="s">
        <v>34</v>
      </c>
      <c r="L144" t="s">
        <v>382</v>
      </c>
      <c r="M144" t="s">
        <v>18</v>
      </c>
      <c r="N144" t="s">
        <v>36</v>
      </c>
      <c r="O144" s="3">
        <v>0.2089236111111111</v>
      </c>
    </row>
    <row r="145" spans="1:15" x14ac:dyDescent="0.25">
      <c r="A145" t="str">
        <f t="shared" si="2"/>
        <v>Nowakowska Magdalena</v>
      </c>
      <c r="B145">
        <v>144</v>
      </c>
      <c r="C145" t="s">
        <v>383</v>
      </c>
      <c r="D145" t="s">
        <v>21</v>
      </c>
      <c r="E145">
        <v>6516</v>
      </c>
      <c r="F145">
        <v>0</v>
      </c>
      <c r="G145">
        <v>336184</v>
      </c>
      <c r="H145" s="2">
        <v>48785152379</v>
      </c>
      <c r="I145" s="1">
        <v>45889</v>
      </c>
      <c r="J145" s="1">
        <v>73050</v>
      </c>
      <c r="K145" t="s">
        <v>128</v>
      </c>
      <c r="L145" t="s">
        <v>138</v>
      </c>
      <c r="M145" t="s">
        <v>18</v>
      </c>
      <c r="N145" t="s">
        <v>71</v>
      </c>
      <c r="O145" s="3">
        <v>0.17273148148148149</v>
      </c>
    </row>
    <row r="146" spans="1:15" x14ac:dyDescent="0.25">
      <c r="A146" t="str">
        <f t="shared" si="2"/>
        <v>Olszanecka Beata Magdalena</v>
      </c>
      <c r="B146">
        <v>145</v>
      </c>
      <c r="C146" t="s">
        <v>384</v>
      </c>
      <c r="D146" t="s">
        <v>385</v>
      </c>
      <c r="E146">
        <v>146</v>
      </c>
      <c r="F146" t="s">
        <v>386</v>
      </c>
      <c r="G146">
        <v>4744103</v>
      </c>
      <c r="H146" s="2">
        <v>48784624084</v>
      </c>
      <c r="I146" s="1">
        <v>44593</v>
      </c>
      <c r="J146" s="1">
        <v>73050</v>
      </c>
      <c r="K146" t="s">
        <v>26</v>
      </c>
      <c r="L146" t="s">
        <v>311</v>
      </c>
      <c r="M146" t="s">
        <v>24</v>
      </c>
      <c r="N146" t="s">
        <v>28</v>
      </c>
      <c r="O146" s="3"/>
    </row>
    <row r="147" spans="1:15" x14ac:dyDescent="0.25">
      <c r="A147" t="str">
        <f t="shared" si="2"/>
        <v>Onderka Jan</v>
      </c>
      <c r="B147">
        <v>146</v>
      </c>
      <c r="C147" t="s">
        <v>387</v>
      </c>
      <c r="D147" t="s">
        <v>388</v>
      </c>
      <c r="E147">
        <v>77777782</v>
      </c>
      <c r="F147">
        <v>0</v>
      </c>
      <c r="G147">
        <v>400305422</v>
      </c>
      <c r="H147" s="2">
        <v>420739847607</v>
      </c>
      <c r="I147" s="1">
        <v>45803</v>
      </c>
      <c r="J147" s="1">
        <v>45291</v>
      </c>
      <c r="K147" t="s">
        <v>389</v>
      </c>
      <c r="L147" t="s">
        <v>390</v>
      </c>
      <c r="M147" t="s">
        <v>24</v>
      </c>
      <c r="N147" t="s">
        <v>68</v>
      </c>
      <c r="O147" s="3"/>
    </row>
    <row r="148" spans="1:15" x14ac:dyDescent="0.25">
      <c r="A148" t="str">
        <f t="shared" si="2"/>
        <v>Opyd Marzena</v>
      </c>
      <c r="B148">
        <v>147</v>
      </c>
      <c r="C148" t="s">
        <v>391</v>
      </c>
      <c r="D148" t="s">
        <v>156</v>
      </c>
      <c r="E148">
        <v>6352</v>
      </c>
      <c r="F148">
        <v>0</v>
      </c>
      <c r="G148">
        <v>404695</v>
      </c>
      <c r="H148">
        <v>48788411532</v>
      </c>
      <c r="I148" s="1">
        <v>45789</v>
      </c>
      <c r="J148" s="1">
        <v>73050</v>
      </c>
      <c r="K148" t="s">
        <v>51</v>
      </c>
      <c r="L148" t="s">
        <v>55</v>
      </c>
      <c r="M148" t="s">
        <v>40</v>
      </c>
      <c r="N148" t="s">
        <v>25</v>
      </c>
      <c r="O148" s="3">
        <v>0.83887731481481487</v>
      </c>
    </row>
    <row r="149" spans="1:15" x14ac:dyDescent="0.25">
      <c r="A149" t="str">
        <f t="shared" si="2"/>
        <v>Ordzinska Ewa</v>
      </c>
      <c r="B149">
        <v>148</v>
      </c>
      <c r="C149" t="s">
        <v>392</v>
      </c>
      <c r="D149" t="s">
        <v>85</v>
      </c>
      <c r="E149">
        <v>7989</v>
      </c>
      <c r="F149">
        <v>0</v>
      </c>
      <c r="G149">
        <v>353488</v>
      </c>
      <c r="H149" s="2">
        <v>48518941047</v>
      </c>
      <c r="I149" s="1">
        <v>45145</v>
      </c>
      <c r="J149" s="1">
        <v>73050</v>
      </c>
      <c r="K149" t="s">
        <v>26</v>
      </c>
      <c r="L149" t="s">
        <v>311</v>
      </c>
      <c r="M149" t="s">
        <v>24</v>
      </c>
      <c r="N149" t="s">
        <v>28</v>
      </c>
      <c r="O149" s="3"/>
    </row>
    <row r="150" spans="1:15" x14ac:dyDescent="0.25">
      <c r="A150" t="str">
        <f t="shared" si="2"/>
        <v>Ostafin Klaudia</v>
      </c>
      <c r="B150">
        <v>149</v>
      </c>
      <c r="C150" t="s">
        <v>393</v>
      </c>
      <c r="D150" t="s">
        <v>193</v>
      </c>
      <c r="E150">
        <v>6507</v>
      </c>
      <c r="F150">
        <v>0</v>
      </c>
      <c r="G150">
        <v>13398346</v>
      </c>
      <c r="H150" s="2">
        <v>48739216735</v>
      </c>
      <c r="I150" s="1">
        <v>45887</v>
      </c>
      <c r="J150" s="1">
        <v>73050</v>
      </c>
      <c r="K150" t="s">
        <v>51</v>
      </c>
      <c r="L150" t="s">
        <v>394</v>
      </c>
      <c r="M150" t="s">
        <v>24</v>
      </c>
      <c r="N150" t="s">
        <v>25</v>
      </c>
      <c r="O150" s="3"/>
    </row>
    <row r="151" spans="1:15" x14ac:dyDescent="0.25">
      <c r="A151" t="str">
        <f t="shared" si="2"/>
        <v>Pajor Jolanta Wanda</v>
      </c>
      <c r="B151">
        <v>150</v>
      </c>
      <c r="C151" t="s">
        <v>395</v>
      </c>
      <c r="D151" t="s">
        <v>396</v>
      </c>
      <c r="E151">
        <v>4972</v>
      </c>
      <c r="F151">
        <v>4972</v>
      </c>
      <c r="G151">
        <v>328432680</v>
      </c>
      <c r="H151" s="2">
        <v>48516690472</v>
      </c>
      <c r="I151" s="1">
        <v>45049</v>
      </c>
      <c r="J151" s="1">
        <v>73050</v>
      </c>
      <c r="K151" t="s">
        <v>22</v>
      </c>
      <c r="L151" t="s">
        <v>110</v>
      </c>
      <c r="M151" t="s">
        <v>24</v>
      </c>
      <c r="N151" t="s">
        <v>25</v>
      </c>
      <c r="O151" s="3"/>
    </row>
    <row r="152" spans="1:15" x14ac:dyDescent="0.25">
      <c r="A152" t="str">
        <f t="shared" si="2"/>
        <v>Palička Jiří</v>
      </c>
      <c r="B152">
        <v>151</v>
      </c>
      <c r="C152" t="s">
        <v>397</v>
      </c>
      <c r="D152" t="s">
        <v>398</v>
      </c>
      <c r="E152">
        <v>0</v>
      </c>
      <c r="F152">
        <v>0</v>
      </c>
      <c r="G152">
        <v>0</v>
      </c>
      <c r="H152" s="2">
        <v>723257849</v>
      </c>
      <c r="I152" s="1">
        <v>45756</v>
      </c>
      <c r="J152" s="1">
        <v>73050</v>
      </c>
      <c r="K152" t="s">
        <v>17</v>
      </c>
      <c r="L152" t="s">
        <v>17</v>
      </c>
      <c r="M152" t="s">
        <v>18</v>
      </c>
      <c r="N152" t="s">
        <v>96</v>
      </c>
      <c r="O152" s="3">
        <v>0.20836805555555554</v>
      </c>
    </row>
    <row r="153" spans="1:15" x14ac:dyDescent="0.25">
      <c r="A153" t="str">
        <f t="shared" si="2"/>
        <v>Paprota Dominik Patryk</v>
      </c>
      <c r="B153">
        <v>152</v>
      </c>
      <c r="C153" t="s">
        <v>399</v>
      </c>
      <c r="D153" t="s">
        <v>400</v>
      </c>
      <c r="E153">
        <v>4745</v>
      </c>
      <c r="F153" t="s">
        <v>401</v>
      </c>
      <c r="G153">
        <v>1279913</v>
      </c>
      <c r="H153" s="2">
        <v>48536265241</v>
      </c>
      <c r="I153" s="1">
        <v>44853</v>
      </c>
      <c r="J153" s="1">
        <v>73050</v>
      </c>
      <c r="K153" t="s">
        <v>17</v>
      </c>
      <c r="L153" t="s">
        <v>17</v>
      </c>
      <c r="M153" t="s">
        <v>24</v>
      </c>
      <c r="N153" t="s">
        <v>28</v>
      </c>
    </row>
    <row r="154" spans="1:15" x14ac:dyDescent="0.25">
      <c r="A154" t="str">
        <f t="shared" si="2"/>
        <v>Pawlak Katarzyna</v>
      </c>
      <c r="B154">
        <v>153</v>
      </c>
      <c r="C154" t="s">
        <v>402</v>
      </c>
      <c r="D154" t="s">
        <v>38</v>
      </c>
      <c r="E154">
        <v>6596</v>
      </c>
      <c r="F154">
        <v>0</v>
      </c>
      <c r="G154">
        <v>1184819</v>
      </c>
      <c r="H154" s="2">
        <v>48512488814</v>
      </c>
      <c r="I154" s="1">
        <v>45936</v>
      </c>
      <c r="J154" s="1">
        <v>73050</v>
      </c>
      <c r="K154" t="s">
        <v>26</v>
      </c>
      <c r="L154" t="s">
        <v>170</v>
      </c>
      <c r="M154" t="s">
        <v>40</v>
      </c>
      <c r="N154" t="s">
        <v>28</v>
      </c>
      <c r="O154" s="3">
        <v>0.86328703703703702</v>
      </c>
    </row>
    <row r="155" spans="1:15" x14ac:dyDescent="0.25">
      <c r="A155" t="str">
        <f t="shared" si="2"/>
        <v>Pawlak Marcin</v>
      </c>
      <c r="B155">
        <v>154</v>
      </c>
      <c r="C155" t="s">
        <v>402</v>
      </c>
      <c r="D155" t="s">
        <v>286</v>
      </c>
      <c r="E155">
        <v>6158</v>
      </c>
      <c r="F155">
        <v>0</v>
      </c>
      <c r="G155">
        <v>13054321</v>
      </c>
      <c r="H155" s="2">
        <v>48884843588</v>
      </c>
      <c r="I155" s="1">
        <v>45679</v>
      </c>
      <c r="J155" s="1">
        <v>73050</v>
      </c>
      <c r="K155" t="s">
        <v>26</v>
      </c>
      <c r="L155" t="s">
        <v>31</v>
      </c>
      <c r="M155" t="s">
        <v>24</v>
      </c>
      <c r="N155" t="s">
        <v>96</v>
      </c>
      <c r="O155" s="3"/>
    </row>
    <row r="156" spans="1:15" x14ac:dyDescent="0.25">
      <c r="A156" t="str">
        <f t="shared" si="2"/>
        <v>Pawlak Lidia Marzena</v>
      </c>
      <c r="B156">
        <v>155</v>
      </c>
      <c r="C156" t="s">
        <v>402</v>
      </c>
      <c r="D156" t="s">
        <v>405</v>
      </c>
      <c r="E156">
        <v>4790</v>
      </c>
      <c r="F156" t="s">
        <v>406</v>
      </c>
      <c r="G156">
        <v>4216781</v>
      </c>
      <c r="H156" s="2">
        <v>48690933757</v>
      </c>
      <c r="I156" s="1">
        <v>44937</v>
      </c>
      <c r="J156" s="1">
        <v>73050</v>
      </c>
      <c r="K156" t="s">
        <v>26</v>
      </c>
      <c r="L156" t="s">
        <v>170</v>
      </c>
      <c r="M156" t="s">
        <v>24</v>
      </c>
      <c r="N156" t="s">
        <v>28</v>
      </c>
      <c r="O156" s="3"/>
    </row>
    <row r="157" spans="1:15" x14ac:dyDescent="0.25">
      <c r="A157" t="str">
        <f t="shared" si="2"/>
        <v>Pawlak Szymon</v>
      </c>
      <c r="B157">
        <v>156</v>
      </c>
      <c r="C157" t="s">
        <v>402</v>
      </c>
      <c r="D157" t="s">
        <v>403</v>
      </c>
      <c r="E157">
        <v>5209</v>
      </c>
      <c r="F157" t="s">
        <v>404</v>
      </c>
      <c r="G157">
        <v>1288696</v>
      </c>
      <c r="H157" s="2">
        <v>48572222238</v>
      </c>
      <c r="I157" s="1">
        <v>45293</v>
      </c>
      <c r="J157" s="1">
        <v>73050</v>
      </c>
      <c r="K157" t="s">
        <v>17</v>
      </c>
      <c r="L157" t="s">
        <v>17</v>
      </c>
      <c r="M157" t="s">
        <v>18</v>
      </c>
      <c r="N157" t="s">
        <v>28</v>
      </c>
      <c r="O157" s="3">
        <v>0.20836805555555554</v>
      </c>
    </row>
    <row r="158" spans="1:15" x14ac:dyDescent="0.25">
      <c r="A158" t="str">
        <f t="shared" si="2"/>
        <v>Pawlas Klaudia Paulina</v>
      </c>
      <c r="B158">
        <v>157</v>
      </c>
      <c r="C158" t="s">
        <v>407</v>
      </c>
      <c r="D158" t="s">
        <v>408</v>
      </c>
      <c r="E158">
        <v>4727</v>
      </c>
      <c r="F158" t="s">
        <v>409</v>
      </c>
      <c r="G158">
        <v>1221871</v>
      </c>
      <c r="H158" s="2">
        <v>48663410408</v>
      </c>
      <c r="I158" s="1">
        <v>44841</v>
      </c>
      <c r="J158" s="1">
        <v>73050</v>
      </c>
      <c r="K158" t="s">
        <v>128</v>
      </c>
      <c r="L158" t="s">
        <v>235</v>
      </c>
      <c r="M158" t="s">
        <v>40</v>
      </c>
      <c r="N158" t="s">
        <v>28</v>
      </c>
      <c r="O158" s="3">
        <v>0.83146990740740745</v>
      </c>
    </row>
    <row r="159" spans="1:15" x14ac:dyDescent="0.25">
      <c r="A159" t="str">
        <f t="shared" si="2"/>
        <v>Pawlowski Kamil</v>
      </c>
      <c r="B159">
        <v>158</v>
      </c>
      <c r="C159" t="s">
        <v>410</v>
      </c>
      <c r="D159" t="s">
        <v>237</v>
      </c>
      <c r="E159">
        <v>6443</v>
      </c>
      <c r="F159">
        <v>0</v>
      </c>
      <c r="G159">
        <v>400247760</v>
      </c>
      <c r="H159" s="2">
        <v>48572924422</v>
      </c>
      <c r="I159" s="1">
        <v>45846</v>
      </c>
      <c r="J159" s="1">
        <v>73050</v>
      </c>
      <c r="K159" t="s">
        <v>66</v>
      </c>
      <c r="L159" t="s">
        <v>411</v>
      </c>
      <c r="M159" t="s">
        <v>18</v>
      </c>
      <c r="N159" t="s">
        <v>68</v>
      </c>
      <c r="O159" s="3">
        <v>0.19552083333333334</v>
      </c>
    </row>
    <row r="160" spans="1:15" x14ac:dyDescent="0.25">
      <c r="A160" t="str">
        <f t="shared" si="2"/>
        <v>Penkala Piotr</v>
      </c>
      <c r="B160">
        <v>159</v>
      </c>
      <c r="C160" t="s">
        <v>412</v>
      </c>
      <c r="D160" t="s">
        <v>222</v>
      </c>
      <c r="E160">
        <v>6488</v>
      </c>
      <c r="F160">
        <v>0</v>
      </c>
      <c r="G160">
        <v>359749</v>
      </c>
      <c r="H160">
        <v>48539789834</v>
      </c>
      <c r="I160" s="1">
        <v>45873</v>
      </c>
      <c r="J160" s="1">
        <v>73050</v>
      </c>
      <c r="K160" t="s">
        <v>26</v>
      </c>
      <c r="L160" t="s">
        <v>142</v>
      </c>
      <c r="M160" t="s">
        <v>18</v>
      </c>
      <c r="N160" t="s">
        <v>28</v>
      </c>
      <c r="O160" s="3"/>
    </row>
    <row r="161" spans="1:15" x14ac:dyDescent="0.25">
      <c r="A161" t="str">
        <f t="shared" si="2"/>
        <v>Peterková Dagmar</v>
      </c>
      <c r="B161">
        <v>160</v>
      </c>
      <c r="C161" t="s">
        <v>413</v>
      </c>
      <c r="D161" t="s">
        <v>414</v>
      </c>
      <c r="E161">
        <v>2518</v>
      </c>
      <c r="F161">
        <v>0</v>
      </c>
      <c r="G161">
        <v>13363035</v>
      </c>
      <c r="H161" s="2">
        <v>420725538081</v>
      </c>
      <c r="I161" s="1">
        <v>44691</v>
      </c>
      <c r="J161" s="1">
        <v>73050</v>
      </c>
      <c r="K161" t="s">
        <v>17</v>
      </c>
      <c r="L161" t="s">
        <v>17</v>
      </c>
      <c r="M161" t="s">
        <v>415</v>
      </c>
      <c r="N161" t="s">
        <v>19</v>
      </c>
      <c r="O161" s="3"/>
    </row>
    <row r="162" spans="1:15" x14ac:dyDescent="0.25">
      <c r="A162" t="str">
        <f t="shared" si="2"/>
        <v>Piechaczek Agnieszka</v>
      </c>
      <c r="B162">
        <v>161</v>
      </c>
      <c r="C162" t="s">
        <v>416</v>
      </c>
      <c r="D162" t="s">
        <v>197</v>
      </c>
      <c r="E162">
        <v>2230</v>
      </c>
      <c r="F162">
        <v>2230</v>
      </c>
      <c r="G162">
        <v>272698616</v>
      </c>
      <c r="H162" s="2">
        <v>48504719493</v>
      </c>
      <c r="I162" s="1">
        <v>45078</v>
      </c>
      <c r="J162" s="1">
        <v>73050</v>
      </c>
      <c r="K162" t="s">
        <v>51</v>
      </c>
      <c r="L162" t="s">
        <v>417</v>
      </c>
      <c r="M162" t="s">
        <v>24</v>
      </c>
      <c r="N162" t="s">
        <v>25</v>
      </c>
      <c r="O162" s="3"/>
    </row>
    <row r="163" spans="1:15" x14ac:dyDescent="0.25">
      <c r="A163" t="str">
        <f t="shared" si="2"/>
        <v>Pitel Jiří</v>
      </c>
      <c r="B163">
        <v>162</v>
      </c>
      <c r="C163" t="s">
        <v>418</v>
      </c>
      <c r="D163" t="s">
        <v>398</v>
      </c>
      <c r="E163">
        <v>4044</v>
      </c>
      <c r="F163">
        <v>51090</v>
      </c>
      <c r="G163">
        <v>11818564</v>
      </c>
      <c r="H163" s="2">
        <v>731907245</v>
      </c>
      <c r="I163" s="1">
        <v>44440</v>
      </c>
      <c r="J163" s="1">
        <v>73050</v>
      </c>
      <c r="K163" t="s">
        <v>17</v>
      </c>
      <c r="L163" t="s">
        <v>17</v>
      </c>
      <c r="M163" t="s">
        <v>18</v>
      </c>
      <c r="N163" t="s">
        <v>68</v>
      </c>
      <c r="O163" s="3">
        <v>0.20836805555555554</v>
      </c>
    </row>
    <row r="164" spans="1:15" x14ac:dyDescent="0.25">
      <c r="A164" t="str">
        <f t="shared" si="2"/>
        <v>Plichta Lukasz</v>
      </c>
      <c r="B164">
        <v>163</v>
      </c>
      <c r="C164" t="s">
        <v>419</v>
      </c>
      <c r="D164" t="s">
        <v>80</v>
      </c>
      <c r="E164">
        <v>5144</v>
      </c>
      <c r="F164" t="s">
        <v>420</v>
      </c>
      <c r="G164">
        <v>3628225</v>
      </c>
      <c r="H164" s="2">
        <v>48883643539</v>
      </c>
      <c r="I164" s="1">
        <v>45187</v>
      </c>
      <c r="J164" s="1">
        <v>73050</v>
      </c>
      <c r="K164" t="s">
        <v>26</v>
      </c>
      <c r="L164" t="s">
        <v>27</v>
      </c>
      <c r="M164" t="s">
        <v>18</v>
      </c>
      <c r="N164" t="s">
        <v>28</v>
      </c>
      <c r="O164" s="3">
        <v>0.17913194444444444</v>
      </c>
    </row>
    <row r="165" spans="1:15" x14ac:dyDescent="0.25">
      <c r="A165" t="str">
        <f t="shared" si="2"/>
        <v>Plinta Marcin</v>
      </c>
      <c r="B165">
        <v>164</v>
      </c>
      <c r="C165" t="s">
        <v>421</v>
      </c>
      <c r="D165" t="s">
        <v>286</v>
      </c>
      <c r="E165">
        <v>5604</v>
      </c>
      <c r="F165" t="s">
        <v>422</v>
      </c>
      <c r="G165">
        <v>1374770</v>
      </c>
      <c r="H165">
        <v>48797471149</v>
      </c>
      <c r="I165" s="1">
        <v>45436</v>
      </c>
      <c r="J165" s="1">
        <v>73050</v>
      </c>
      <c r="K165" t="s">
        <v>17</v>
      </c>
      <c r="L165" t="s">
        <v>17</v>
      </c>
      <c r="M165" t="s">
        <v>18</v>
      </c>
      <c r="N165" t="s">
        <v>28</v>
      </c>
      <c r="O165" s="3">
        <v>0.20836805555555554</v>
      </c>
    </row>
    <row r="166" spans="1:15" x14ac:dyDescent="0.25">
      <c r="A166" t="str">
        <f t="shared" si="2"/>
        <v>Podżorski Andrzej</v>
      </c>
      <c r="B166">
        <v>165</v>
      </c>
      <c r="C166" t="s">
        <v>423</v>
      </c>
      <c r="D166" t="s">
        <v>166</v>
      </c>
      <c r="E166">
        <v>5639</v>
      </c>
      <c r="F166">
        <v>0</v>
      </c>
      <c r="G166">
        <v>12019054</v>
      </c>
      <c r="H166">
        <v>48888740804</v>
      </c>
      <c r="I166" s="1">
        <v>45447</v>
      </c>
      <c r="J166" s="1">
        <v>73050</v>
      </c>
      <c r="K166" t="s">
        <v>81</v>
      </c>
      <c r="L166" t="s">
        <v>367</v>
      </c>
      <c r="M166" t="s">
        <v>18</v>
      </c>
      <c r="N166" t="s">
        <v>83</v>
      </c>
      <c r="O166" s="3">
        <v>0.20623842592592592</v>
      </c>
    </row>
    <row r="167" spans="1:15" x14ac:dyDescent="0.25">
      <c r="A167" t="str">
        <f t="shared" si="2"/>
        <v>Polak Renata</v>
      </c>
      <c r="B167">
        <v>166</v>
      </c>
      <c r="C167" t="s">
        <v>424</v>
      </c>
      <c r="D167" t="s">
        <v>172</v>
      </c>
      <c r="E167">
        <v>5632</v>
      </c>
      <c r="F167" t="s">
        <v>425</v>
      </c>
      <c r="G167">
        <v>1832735</v>
      </c>
      <c r="H167">
        <v>48664892936</v>
      </c>
      <c r="I167" s="1">
        <v>45446</v>
      </c>
      <c r="J167" s="1">
        <v>73050</v>
      </c>
      <c r="K167" t="s">
        <v>128</v>
      </c>
      <c r="L167" t="s">
        <v>235</v>
      </c>
      <c r="M167" t="s">
        <v>18</v>
      </c>
      <c r="N167" t="s">
        <v>28</v>
      </c>
      <c r="O167" s="3">
        <v>0.16916666666666666</v>
      </c>
    </row>
    <row r="168" spans="1:15" x14ac:dyDescent="0.25">
      <c r="A168" t="str">
        <f t="shared" si="2"/>
        <v>Poloczek Jadwiga Barbara</v>
      </c>
      <c r="B168">
        <v>167</v>
      </c>
      <c r="C168" t="s">
        <v>426</v>
      </c>
      <c r="D168" t="s">
        <v>427</v>
      </c>
      <c r="E168">
        <v>3063</v>
      </c>
      <c r="F168">
        <v>7518</v>
      </c>
      <c r="G168">
        <v>12984388</v>
      </c>
      <c r="H168" s="2">
        <v>48502399526</v>
      </c>
      <c r="I168" s="1">
        <v>44424</v>
      </c>
      <c r="J168" s="1">
        <v>73050</v>
      </c>
      <c r="K168" t="s">
        <v>26</v>
      </c>
      <c r="L168" t="s">
        <v>428</v>
      </c>
      <c r="M168" t="s">
        <v>24</v>
      </c>
      <c r="N168" t="s">
        <v>96</v>
      </c>
      <c r="O168" s="3"/>
    </row>
    <row r="169" spans="1:15" x14ac:dyDescent="0.25">
      <c r="A169" t="str">
        <f t="shared" si="2"/>
        <v>Poloczek Sebastian</v>
      </c>
      <c r="B169">
        <v>168</v>
      </c>
      <c r="C169" t="s">
        <v>426</v>
      </c>
      <c r="D169" t="s">
        <v>231</v>
      </c>
      <c r="E169">
        <v>5853</v>
      </c>
      <c r="F169">
        <v>0</v>
      </c>
      <c r="G169">
        <v>1203479</v>
      </c>
      <c r="H169">
        <v>48793344268</v>
      </c>
      <c r="I169" s="1">
        <v>45533</v>
      </c>
      <c r="J169" s="1">
        <v>73050</v>
      </c>
      <c r="K169" t="s">
        <v>26</v>
      </c>
      <c r="L169" t="s">
        <v>428</v>
      </c>
      <c r="M169" t="s">
        <v>18</v>
      </c>
      <c r="N169" t="s">
        <v>96</v>
      </c>
      <c r="O169" s="3">
        <v>0.18873842592592593</v>
      </c>
    </row>
    <row r="170" spans="1:15" x14ac:dyDescent="0.25">
      <c r="A170" t="str">
        <f t="shared" si="2"/>
        <v>Polok Marzena</v>
      </c>
      <c r="B170">
        <v>169</v>
      </c>
      <c r="C170" t="s">
        <v>429</v>
      </c>
      <c r="D170" t="s">
        <v>156</v>
      </c>
      <c r="E170">
        <v>5980</v>
      </c>
      <c r="F170">
        <v>0</v>
      </c>
      <c r="G170">
        <v>11141874</v>
      </c>
      <c r="H170" s="2">
        <v>48729843874</v>
      </c>
      <c r="I170" s="1">
        <v>45575</v>
      </c>
      <c r="J170" s="1">
        <v>73050</v>
      </c>
      <c r="K170" t="s">
        <v>26</v>
      </c>
      <c r="L170" t="s">
        <v>87</v>
      </c>
      <c r="M170" t="s">
        <v>24</v>
      </c>
      <c r="N170" t="s">
        <v>28</v>
      </c>
      <c r="O170" s="3"/>
    </row>
    <row r="171" spans="1:15" x14ac:dyDescent="0.25">
      <c r="A171" t="str">
        <f t="shared" si="2"/>
        <v>Pracz Sonia</v>
      </c>
      <c r="B171">
        <v>170</v>
      </c>
      <c r="C171" t="s">
        <v>430</v>
      </c>
      <c r="D171" t="s">
        <v>431</v>
      </c>
      <c r="E171">
        <v>5481</v>
      </c>
      <c r="F171" t="s">
        <v>432</v>
      </c>
      <c r="G171">
        <v>2016007</v>
      </c>
      <c r="H171" s="2">
        <v>48530899594</v>
      </c>
      <c r="I171" s="1">
        <v>45349</v>
      </c>
      <c r="J171" s="1">
        <v>45714</v>
      </c>
      <c r="K171" t="s">
        <v>26</v>
      </c>
      <c r="L171" t="s">
        <v>31</v>
      </c>
      <c r="M171" t="s">
        <v>24</v>
      </c>
      <c r="N171" t="s">
        <v>28</v>
      </c>
      <c r="O171" s="3"/>
    </row>
    <row r="172" spans="1:15" x14ac:dyDescent="0.25">
      <c r="A172" t="str">
        <f t="shared" si="2"/>
        <v>Prudel Mateusz Stanislaw</v>
      </c>
      <c r="B172">
        <v>171</v>
      </c>
      <c r="C172" t="s">
        <v>433</v>
      </c>
      <c r="D172" t="s">
        <v>434</v>
      </c>
      <c r="E172">
        <v>5039</v>
      </c>
      <c r="F172">
        <v>51871</v>
      </c>
      <c r="G172">
        <v>369972253</v>
      </c>
      <c r="H172" s="2">
        <v>48694806434</v>
      </c>
      <c r="I172" s="1">
        <v>45069</v>
      </c>
      <c r="J172" s="1">
        <v>73050</v>
      </c>
      <c r="K172" t="s">
        <v>66</v>
      </c>
      <c r="L172" t="s">
        <v>289</v>
      </c>
      <c r="M172" t="s">
        <v>18</v>
      </c>
      <c r="N172" t="s">
        <v>68</v>
      </c>
      <c r="O172" s="3">
        <v>0.17447916666666666</v>
      </c>
    </row>
    <row r="173" spans="1:15" x14ac:dyDescent="0.25">
      <c r="A173" t="str">
        <f t="shared" si="2"/>
        <v>Ragus Wiktoria</v>
      </c>
      <c r="B173">
        <v>172</v>
      </c>
      <c r="C173" t="s">
        <v>438</v>
      </c>
      <c r="D173" t="s">
        <v>439</v>
      </c>
      <c r="E173">
        <v>6193</v>
      </c>
      <c r="F173">
        <v>0</v>
      </c>
      <c r="G173">
        <v>8567053</v>
      </c>
      <c r="H173">
        <v>48451273928</v>
      </c>
      <c r="I173" s="1">
        <v>45709</v>
      </c>
      <c r="J173" s="1">
        <v>73050</v>
      </c>
      <c r="K173" t="s">
        <v>26</v>
      </c>
      <c r="L173" t="s">
        <v>170</v>
      </c>
      <c r="M173" t="s">
        <v>18</v>
      </c>
      <c r="N173" t="s">
        <v>28</v>
      </c>
      <c r="O173" s="3"/>
    </row>
    <row r="174" spans="1:15" x14ac:dyDescent="0.25">
      <c r="A174" t="str">
        <f t="shared" si="2"/>
        <v>Rak Barbara Irena</v>
      </c>
      <c r="B174">
        <v>173</v>
      </c>
      <c r="C174" t="s">
        <v>440</v>
      </c>
      <c r="D174" t="s">
        <v>443</v>
      </c>
      <c r="E174">
        <v>5310</v>
      </c>
      <c r="F174">
        <v>5310</v>
      </c>
      <c r="G174">
        <v>301162090</v>
      </c>
      <c r="H174" s="2">
        <v>48725370816</v>
      </c>
      <c r="I174" s="1">
        <v>45229</v>
      </c>
      <c r="J174" s="1">
        <v>73050</v>
      </c>
      <c r="K174" t="s">
        <v>51</v>
      </c>
      <c r="L174" t="s">
        <v>55</v>
      </c>
      <c r="M174" t="s">
        <v>225</v>
      </c>
      <c r="N174" t="s">
        <v>25</v>
      </c>
    </row>
    <row r="175" spans="1:15" x14ac:dyDescent="0.25">
      <c r="A175" t="str">
        <f t="shared" si="2"/>
        <v>Rak Sławomir</v>
      </c>
      <c r="B175">
        <v>174</v>
      </c>
      <c r="C175" t="s">
        <v>440</v>
      </c>
      <c r="D175" t="s">
        <v>310</v>
      </c>
      <c r="E175">
        <v>6408</v>
      </c>
      <c r="F175">
        <v>0</v>
      </c>
      <c r="G175">
        <v>0</v>
      </c>
      <c r="H175" s="2">
        <v>48664052850</v>
      </c>
      <c r="I175" s="1">
        <v>45832</v>
      </c>
      <c r="J175" s="1">
        <v>73050</v>
      </c>
      <c r="K175" t="s">
        <v>17</v>
      </c>
      <c r="L175" t="s">
        <v>17</v>
      </c>
      <c r="M175" t="s">
        <v>24</v>
      </c>
      <c r="N175" t="s">
        <v>71</v>
      </c>
      <c r="O175" s="3"/>
    </row>
    <row r="176" spans="1:15" x14ac:dyDescent="0.25">
      <c r="A176" t="str">
        <f t="shared" si="2"/>
        <v>Ratajczyk Patrycja Joanna</v>
      </c>
      <c r="B176">
        <v>175</v>
      </c>
      <c r="C176" t="s">
        <v>444</v>
      </c>
      <c r="D176" t="s">
        <v>445</v>
      </c>
      <c r="E176">
        <v>5120</v>
      </c>
      <c r="F176" t="s">
        <v>446</v>
      </c>
      <c r="G176">
        <v>1985251</v>
      </c>
      <c r="H176" s="2">
        <v>48515040064</v>
      </c>
      <c r="I176" s="1">
        <v>45173</v>
      </c>
      <c r="J176" s="1" t="s">
        <v>630</v>
      </c>
      <c r="K176" t="s">
        <v>17</v>
      </c>
      <c r="L176" t="s">
        <v>17</v>
      </c>
      <c r="M176" t="s">
        <v>18</v>
      </c>
      <c r="N176" t="s">
        <v>28</v>
      </c>
      <c r="O176" s="3">
        <v>0.20835648148148148</v>
      </c>
    </row>
    <row r="177" spans="1:15" x14ac:dyDescent="0.25">
      <c r="A177" t="str">
        <f t="shared" si="2"/>
        <v>Rduch Mateusz Pawel</v>
      </c>
      <c r="B177">
        <v>176</v>
      </c>
      <c r="C177" t="s">
        <v>447</v>
      </c>
      <c r="D177" t="s">
        <v>448</v>
      </c>
      <c r="E177">
        <v>4713</v>
      </c>
      <c r="F177" t="s">
        <v>449</v>
      </c>
      <c r="G177">
        <v>4504028</v>
      </c>
      <c r="H177" s="2">
        <v>48732665221</v>
      </c>
      <c r="I177" s="1">
        <v>44830</v>
      </c>
      <c r="J177" s="1">
        <v>73050</v>
      </c>
      <c r="K177" t="s">
        <v>128</v>
      </c>
      <c r="L177" t="s">
        <v>151</v>
      </c>
      <c r="M177" t="s">
        <v>24</v>
      </c>
      <c r="N177" t="s">
        <v>28</v>
      </c>
      <c r="O177" s="3"/>
    </row>
    <row r="178" spans="1:15" x14ac:dyDescent="0.25">
      <c r="A178" t="str">
        <f t="shared" si="2"/>
        <v>Regulski Adrian</v>
      </c>
      <c r="B178">
        <v>177</v>
      </c>
      <c r="C178" t="s">
        <v>450</v>
      </c>
      <c r="D178" t="s">
        <v>326</v>
      </c>
      <c r="E178">
        <v>6544</v>
      </c>
      <c r="F178">
        <v>0</v>
      </c>
      <c r="G178">
        <v>411134</v>
      </c>
      <c r="H178" s="2">
        <v>48500351892</v>
      </c>
      <c r="I178" s="1">
        <v>45904</v>
      </c>
      <c r="J178" s="1">
        <v>73050</v>
      </c>
      <c r="K178" t="s">
        <v>128</v>
      </c>
      <c r="L178" t="s">
        <v>224</v>
      </c>
      <c r="M178" t="s">
        <v>18</v>
      </c>
      <c r="N178" t="s">
        <v>71</v>
      </c>
      <c r="O178" s="3">
        <v>0.15766203703703704</v>
      </c>
    </row>
    <row r="179" spans="1:15" x14ac:dyDescent="0.25">
      <c r="A179" t="str">
        <f t="shared" si="2"/>
        <v>Rojek Daniel</v>
      </c>
      <c r="B179">
        <v>178</v>
      </c>
      <c r="C179" t="s">
        <v>451</v>
      </c>
      <c r="D179" t="s">
        <v>184</v>
      </c>
      <c r="E179">
        <v>6485</v>
      </c>
      <c r="F179">
        <v>0</v>
      </c>
      <c r="G179">
        <v>13406272</v>
      </c>
      <c r="H179" s="2">
        <v>48728393496</v>
      </c>
      <c r="I179" s="1">
        <v>45870</v>
      </c>
      <c r="J179" s="1">
        <v>73050</v>
      </c>
      <c r="K179" t="s">
        <v>133</v>
      </c>
      <c r="L179" t="s">
        <v>452</v>
      </c>
      <c r="M179" t="s">
        <v>18</v>
      </c>
      <c r="N179" t="s">
        <v>134</v>
      </c>
    </row>
    <row r="180" spans="1:15" x14ac:dyDescent="0.25">
      <c r="A180" t="str">
        <f t="shared" si="2"/>
        <v>Rudnicka Marta</v>
      </c>
      <c r="B180">
        <v>179</v>
      </c>
      <c r="C180" t="s">
        <v>453</v>
      </c>
      <c r="D180" t="s">
        <v>454</v>
      </c>
      <c r="E180">
        <v>6318</v>
      </c>
      <c r="F180">
        <v>0</v>
      </c>
      <c r="G180">
        <v>9316348</v>
      </c>
      <c r="H180">
        <v>48696125355</v>
      </c>
      <c r="I180" s="1">
        <v>45770</v>
      </c>
      <c r="J180" s="1">
        <v>73050</v>
      </c>
      <c r="K180" t="s">
        <v>128</v>
      </c>
      <c r="L180" t="s">
        <v>224</v>
      </c>
      <c r="M180" t="s">
        <v>18</v>
      </c>
      <c r="N180" t="s">
        <v>28</v>
      </c>
      <c r="O180" s="3">
        <v>0.15672453703703704</v>
      </c>
    </row>
    <row r="181" spans="1:15" x14ac:dyDescent="0.25">
      <c r="A181" t="str">
        <f t="shared" si="2"/>
        <v>Saganová Marie</v>
      </c>
      <c r="B181">
        <v>180</v>
      </c>
      <c r="C181" t="s">
        <v>455</v>
      </c>
      <c r="D181" t="s">
        <v>456</v>
      </c>
      <c r="E181">
        <v>5712</v>
      </c>
      <c r="F181">
        <v>0</v>
      </c>
      <c r="G181">
        <v>3535704</v>
      </c>
      <c r="H181" s="2">
        <v>702053866</v>
      </c>
      <c r="I181" s="1">
        <v>45474</v>
      </c>
      <c r="J181" s="1">
        <v>45838</v>
      </c>
      <c r="K181" t="s">
        <v>17</v>
      </c>
      <c r="L181" t="s">
        <v>17</v>
      </c>
      <c r="M181" t="s">
        <v>18</v>
      </c>
      <c r="N181" t="s">
        <v>28</v>
      </c>
      <c r="O181" s="3">
        <v>0.20835648148148148</v>
      </c>
    </row>
    <row r="182" spans="1:15" x14ac:dyDescent="0.25">
      <c r="A182" t="str">
        <f t="shared" si="2"/>
        <v>Salamon Krzysztof</v>
      </c>
      <c r="B182">
        <v>181</v>
      </c>
      <c r="C182" t="s">
        <v>457</v>
      </c>
      <c r="D182" t="s">
        <v>201</v>
      </c>
      <c r="E182">
        <v>6549</v>
      </c>
      <c r="F182">
        <v>0</v>
      </c>
      <c r="G182">
        <v>345464</v>
      </c>
      <c r="H182">
        <v>48576119691</v>
      </c>
      <c r="I182" s="1">
        <v>45908</v>
      </c>
      <c r="J182" s="1">
        <v>73050</v>
      </c>
      <c r="K182" t="s">
        <v>51</v>
      </c>
      <c r="L182" t="s">
        <v>52</v>
      </c>
      <c r="M182" t="s">
        <v>24</v>
      </c>
      <c r="N182" t="s">
        <v>284</v>
      </c>
      <c r="O182" s="3"/>
    </row>
    <row r="183" spans="1:15" x14ac:dyDescent="0.25">
      <c r="A183" t="str">
        <f t="shared" si="2"/>
        <v>Salata Krzysztof Marek</v>
      </c>
      <c r="B183">
        <v>182</v>
      </c>
      <c r="C183" t="s">
        <v>458</v>
      </c>
      <c r="D183" t="s">
        <v>459</v>
      </c>
      <c r="E183">
        <v>5338</v>
      </c>
      <c r="F183" t="s">
        <v>460</v>
      </c>
      <c r="G183">
        <v>375306</v>
      </c>
      <c r="H183" s="2">
        <v>48784866315</v>
      </c>
      <c r="I183" s="1">
        <v>45257</v>
      </c>
      <c r="J183" s="1">
        <v>45291</v>
      </c>
      <c r="K183" t="s">
        <v>81</v>
      </c>
      <c r="L183" t="s">
        <v>461</v>
      </c>
      <c r="M183" t="s">
        <v>18</v>
      </c>
      <c r="N183" t="s">
        <v>83</v>
      </c>
    </row>
    <row r="184" spans="1:15" x14ac:dyDescent="0.25">
      <c r="A184" t="str">
        <f t="shared" si="2"/>
        <v>Satlawa Iwona Maria</v>
      </c>
      <c r="B184">
        <v>183</v>
      </c>
      <c r="C184" t="s">
        <v>462</v>
      </c>
      <c r="D184" t="s">
        <v>463</v>
      </c>
      <c r="E184">
        <v>4744</v>
      </c>
      <c r="F184" t="s">
        <v>464</v>
      </c>
      <c r="G184">
        <v>1279904</v>
      </c>
      <c r="H184" s="2">
        <v>48503387054</v>
      </c>
      <c r="I184" s="1">
        <v>44853</v>
      </c>
      <c r="J184" s="1">
        <v>73050</v>
      </c>
      <c r="K184" t="s">
        <v>26</v>
      </c>
      <c r="L184" t="s">
        <v>239</v>
      </c>
      <c r="M184" t="s">
        <v>40</v>
      </c>
      <c r="N184" t="s">
        <v>28</v>
      </c>
      <c r="O184" s="3">
        <v>0.87782407407407403</v>
      </c>
    </row>
    <row r="185" spans="1:15" x14ac:dyDescent="0.25">
      <c r="A185" t="str">
        <f t="shared" si="2"/>
        <v>Siedlok Zbigniew</v>
      </c>
      <c r="B185">
        <v>184</v>
      </c>
      <c r="C185" t="s">
        <v>465</v>
      </c>
      <c r="D185" t="s">
        <v>98</v>
      </c>
      <c r="E185">
        <v>5558</v>
      </c>
      <c r="F185">
        <v>52138</v>
      </c>
      <c r="G185">
        <v>392324152</v>
      </c>
      <c r="H185" s="2">
        <v>48796156799</v>
      </c>
      <c r="I185" s="1">
        <v>45397</v>
      </c>
      <c r="J185" s="1">
        <v>73050</v>
      </c>
      <c r="K185" t="s">
        <v>66</v>
      </c>
      <c r="L185" t="s">
        <v>313</v>
      </c>
      <c r="M185" t="s">
        <v>24</v>
      </c>
      <c r="N185" t="s">
        <v>68</v>
      </c>
      <c r="O185" s="3"/>
    </row>
    <row r="186" spans="1:15" x14ac:dyDescent="0.25">
      <c r="A186" t="str">
        <f t="shared" si="2"/>
        <v>Sikora Teresa Michalina</v>
      </c>
      <c r="B186">
        <v>185</v>
      </c>
      <c r="C186" t="s">
        <v>469</v>
      </c>
      <c r="D186" t="s">
        <v>470</v>
      </c>
      <c r="E186">
        <v>4514</v>
      </c>
      <c r="F186">
        <v>4514</v>
      </c>
      <c r="G186">
        <v>315321893</v>
      </c>
      <c r="H186" s="2">
        <v>48731406172</v>
      </c>
      <c r="I186" s="1">
        <v>44725</v>
      </c>
      <c r="J186" s="1">
        <v>73050</v>
      </c>
      <c r="K186" t="s">
        <v>51</v>
      </c>
      <c r="L186" t="s">
        <v>471</v>
      </c>
      <c r="M186" t="s">
        <v>40</v>
      </c>
      <c r="N186" t="s">
        <v>25</v>
      </c>
      <c r="O186" s="3">
        <v>0.86297453703703708</v>
      </c>
    </row>
    <row r="187" spans="1:15" x14ac:dyDescent="0.25">
      <c r="A187" t="str">
        <f t="shared" si="2"/>
        <v>Sikora Karina</v>
      </c>
      <c r="B187">
        <v>186</v>
      </c>
      <c r="C187" t="s">
        <v>469</v>
      </c>
      <c r="D187" t="s">
        <v>50</v>
      </c>
      <c r="E187">
        <v>5715</v>
      </c>
      <c r="F187">
        <v>0</v>
      </c>
      <c r="G187">
        <v>370042869</v>
      </c>
      <c r="H187" s="2">
        <v>48536880631</v>
      </c>
      <c r="I187" s="1">
        <v>45474</v>
      </c>
      <c r="J187" s="1">
        <v>73050</v>
      </c>
      <c r="K187" t="s">
        <v>51</v>
      </c>
      <c r="L187" t="s">
        <v>99</v>
      </c>
      <c r="M187" t="s">
        <v>18</v>
      </c>
      <c r="N187" t="s">
        <v>25</v>
      </c>
      <c r="O187" s="3">
        <v>0.18635416666666665</v>
      </c>
    </row>
    <row r="188" spans="1:15" x14ac:dyDescent="0.25">
      <c r="A188" t="str">
        <f t="shared" si="2"/>
        <v>Skawinska Dorota Bernadeta</v>
      </c>
      <c r="B188">
        <v>187</v>
      </c>
      <c r="C188" t="s">
        <v>472</v>
      </c>
      <c r="D188" t="s">
        <v>473</v>
      </c>
      <c r="E188">
        <v>155</v>
      </c>
      <c r="F188" t="s">
        <v>474</v>
      </c>
      <c r="G188">
        <v>13190728</v>
      </c>
      <c r="H188" s="2">
        <v>48662952690</v>
      </c>
      <c r="I188" s="1">
        <v>44593</v>
      </c>
      <c r="J188" s="1">
        <v>73050</v>
      </c>
      <c r="K188" t="s">
        <v>128</v>
      </c>
      <c r="L188" t="s">
        <v>157</v>
      </c>
      <c r="M188" t="s">
        <v>40</v>
      </c>
      <c r="N188" t="s">
        <v>28</v>
      </c>
      <c r="O188" s="3">
        <v>0.84726851851851848</v>
      </c>
    </row>
    <row r="189" spans="1:15" x14ac:dyDescent="0.25">
      <c r="A189" t="str">
        <f t="shared" si="2"/>
        <v>Skolarus Sebastian</v>
      </c>
      <c r="B189">
        <v>188</v>
      </c>
      <c r="C189" t="s">
        <v>476</v>
      </c>
      <c r="D189" t="s">
        <v>231</v>
      </c>
      <c r="E189">
        <v>5176</v>
      </c>
      <c r="F189">
        <v>5176</v>
      </c>
      <c r="G189">
        <v>301172958</v>
      </c>
      <c r="H189" s="2">
        <v>48505441730</v>
      </c>
      <c r="I189" s="1">
        <v>45166</v>
      </c>
      <c r="J189" s="1">
        <v>73050</v>
      </c>
      <c r="K189" t="s">
        <v>51</v>
      </c>
      <c r="L189" t="s">
        <v>99</v>
      </c>
      <c r="M189" t="s">
        <v>40</v>
      </c>
      <c r="N189" t="s">
        <v>25</v>
      </c>
      <c r="O189" s="3">
        <v>0.85469907407407408</v>
      </c>
    </row>
    <row r="190" spans="1:15" x14ac:dyDescent="0.25">
      <c r="A190" t="str">
        <f t="shared" si="2"/>
        <v>Slupik Anna</v>
      </c>
      <c r="B190">
        <v>189</v>
      </c>
      <c r="C190" t="s">
        <v>477</v>
      </c>
      <c r="D190" t="s">
        <v>478</v>
      </c>
      <c r="E190">
        <v>9812</v>
      </c>
      <c r="F190">
        <v>0</v>
      </c>
      <c r="G190">
        <v>1353621</v>
      </c>
      <c r="H190" s="2">
        <v>48514369392</v>
      </c>
      <c r="I190" s="1">
        <v>44964</v>
      </c>
      <c r="J190" s="1">
        <v>73050</v>
      </c>
      <c r="K190" t="s">
        <v>26</v>
      </c>
      <c r="L190" t="s">
        <v>27</v>
      </c>
      <c r="M190" t="s">
        <v>24</v>
      </c>
      <c r="N190" t="s">
        <v>28</v>
      </c>
    </row>
    <row r="191" spans="1:15" x14ac:dyDescent="0.25">
      <c r="A191" t="str">
        <f t="shared" si="2"/>
        <v>Slusarczyk Slawomir</v>
      </c>
      <c r="B191">
        <v>190</v>
      </c>
      <c r="C191" t="s">
        <v>479</v>
      </c>
      <c r="D191" t="s">
        <v>229</v>
      </c>
      <c r="E191">
        <v>6062</v>
      </c>
      <c r="F191">
        <v>0</v>
      </c>
      <c r="G191">
        <v>368790</v>
      </c>
      <c r="H191" s="2">
        <v>48663921204</v>
      </c>
      <c r="I191" s="1">
        <v>45610</v>
      </c>
      <c r="J191" s="1">
        <v>73050</v>
      </c>
      <c r="K191" t="s">
        <v>81</v>
      </c>
      <c r="L191" t="s">
        <v>480</v>
      </c>
      <c r="M191" t="s">
        <v>18</v>
      </c>
      <c r="N191" t="s">
        <v>83</v>
      </c>
      <c r="O191" s="3">
        <v>0.1799074074074074</v>
      </c>
    </row>
    <row r="192" spans="1:15" x14ac:dyDescent="0.25">
      <c r="A192" t="str">
        <f t="shared" si="2"/>
        <v>Smagon Damian</v>
      </c>
      <c r="B192">
        <v>191</v>
      </c>
      <c r="C192" t="s">
        <v>481</v>
      </c>
      <c r="D192" t="s">
        <v>287</v>
      </c>
      <c r="E192">
        <v>5919</v>
      </c>
      <c r="F192">
        <v>0</v>
      </c>
      <c r="G192">
        <v>1168813</v>
      </c>
      <c r="H192" s="2">
        <v>48731930377</v>
      </c>
      <c r="I192" s="1">
        <v>44927</v>
      </c>
      <c r="J192" s="1">
        <v>73050</v>
      </c>
      <c r="K192" t="s">
        <v>81</v>
      </c>
      <c r="L192" t="s">
        <v>482</v>
      </c>
      <c r="M192" t="s">
        <v>18</v>
      </c>
      <c r="N192" t="s">
        <v>83</v>
      </c>
      <c r="O192" s="3">
        <v>0.16766203703703703</v>
      </c>
    </row>
    <row r="193" spans="1:15" x14ac:dyDescent="0.25">
      <c r="A193" t="str">
        <f t="shared" si="2"/>
        <v>Smietana Mirela Barbara</v>
      </c>
      <c r="B193">
        <v>192</v>
      </c>
      <c r="C193" t="s">
        <v>483</v>
      </c>
      <c r="D193" t="s">
        <v>484</v>
      </c>
      <c r="E193">
        <v>4163</v>
      </c>
      <c r="F193">
        <v>4163</v>
      </c>
      <c r="G193">
        <v>301162261</v>
      </c>
      <c r="H193" s="2">
        <v>48665142024</v>
      </c>
      <c r="I193" s="1">
        <v>44697</v>
      </c>
      <c r="J193" s="1">
        <v>73050</v>
      </c>
      <c r="K193" t="s">
        <v>51</v>
      </c>
      <c r="L193" t="s">
        <v>99</v>
      </c>
      <c r="M193" t="s">
        <v>18</v>
      </c>
      <c r="N193" t="s">
        <v>25</v>
      </c>
      <c r="O193" s="3">
        <v>0.18628472222222223</v>
      </c>
    </row>
    <row r="194" spans="1:15" x14ac:dyDescent="0.25">
      <c r="A194" t="str">
        <f t="shared" ref="A194:A257" si="3">C194&amp;" "&amp;D194</f>
        <v>Sobik Barbara</v>
      </c>
      <c r="B194">
        <v>193</v>
      </c>
      <c r="C194" t="s">
        <v>485</v>
      </c>
      <c r="D194" t="s">
        <v>486</v>
      </c>
      <c r="E194">
        <v>6178</v>
      </c>
      <c r="F194">
        <v>0</v>
      </c>
      <c r="G194">
        <v>5639434</v>
      </c>
      <c r="H194" s="2">
        <v>48665771437</v>
      </c>
      <c r="I194" s="1">
        <v>45699</v>
      </c>
      <c r="J194" s="1">
        <v>73050</v>
      </c>
      <c r="K194" t="s">
        <v>26</v>
      </c>
      <c r="L194" t="s">
        <v>27</v>
      </c>
      <c r="M194" t="s">
        <v>18</v>
      </c>
      <c r="N194" t="s">
        <v>28</v>
      </c>
      <c r="O194" s="3">
        <v>0.17931712962962962</v>
      </c>
    </row>
    <row r="195" spans="1:15" x14ac:dyDescent="0.25">
      <c r="A195" t="str">
        <f t="shared" si="3"/>
        <v>Sosna Zaneta</v>
      </c>
      <c r="B195">
        <v>194</v>
      </c>
      <c r="C195" t="s">
        <v>487</v>
      </c>
      <c r="D195" t="s">
        <v>488</v>
      </c>
      <c r="E195">
        <v>6345</v>
      </c>
      <c r="F195">
        <v>0</v>
      </c>
      <c r="G195">
        <v>10318169</v>
      </c>
      <c r="H195" s="2">
        <v>48733420438</v>
      </c>
      <c r="I195" s="1">
        <v>45783</v>
      </c>
      <c r="J195" s="1">
        <v>73050</v>
      </c>
      <c r="K195" t="s">
        <v>128</v>
      </c>
      <c r="L195" t="s">
        <v>224</v>
      </c>
      <c r="M195" t="s">
        <v>40</v>
      </c>
      <c r="N195" t="s">
        <v>28</v>
      </c>
      <c r="O195" s="3">
        <v>0.86555555555555552</v>
      </c>
    </row>
    <row r="196" spans="1:15" x14ac:dyDescent="0.25">
      <c r="A196" t="str">
        <f t="shared" si="3"/>
        <v>Sowa (Krzenek) Ryszarda</v>
      </c>
      <c r="B196">
        <v>195</v>
      </c>
      <c r="C196" t="s">
        <v>489</v>
      </c>
      <c r="D196" t="s">
        <v>490</v>
      </c>
      <c r="E196">
        <v>3920</v>
      </c>
      <c r="F196">
        <v>3920</v>
      </c>
      <c r="G196">
        <v>11732040</v>
      </c>
      <c r="H196" s="2">
        <v>48725009441</v>
      </c>
      <c r="I196" s="1">
        <v>44725</v>
      </c>
      <c r="J196" s="1">
        <v>73050</v>
      </c>
      <c r="K196" t="s">
        <v>22</v>
      </c>
      <c r="L196" t="s">
        <v>491</v>
      </c>
      <c r="M196" t="s">
        <v>24</v>
      </c>
      <c r="N196" t="s">
        <v>25</v>
      </c>
      <c r="O196" s="3"/>
    </row>
    <row r="197" spans="1:15" x14ac:dyDescent="0.25">
      <c r="A197" t="str">
        <f t="shared" si="3"/>
        <v>Spiewak Wioletta</v>
      </c>
      <c r="B197">
        <v>196</v>
      </c>
      <c r="C197" t="s">
        <v>492</v>
      </c>
      <c r="D197" t="s">
        <v>493</v>
      </c>
      <c r="E197">
        <v>5601</v>
      </c>
      <c r="F197" t="s">
        <v>494</v>
      </c>
      <c r="G197">
        <v>3781642</v>
      </c>
      <c r="H197" s="2">
        <v>48694782681</v>
      </c>
      <c r="I197" s="1">
        <v>45432</v>
      </c>
      <c r="J197" s="1">
        <v>73050</v>
      </c>
      <c r="K197" t="s">
        <v>26</v>
      </c>
      <c r="L197" t="s">
        <v>31</v>
      </c>
      <c r="M197" t="s">
        <v>40</v>
      </c>
      <c r="N197" t="s">
        <v>28</v>
      </c>
      <c r="O197" s="3">
        <v>0.8651388888888889</v>
      </c>
    </row>
    <row r="198" spans="1:15" x14ac:dyDescent="0.25">
      <c r="A198" t="str">
        <f t="shared" si="3"/>
        <v>Stafiej Lucyna Justyna</v>
      </c>
      <c r="B198">
        <v>197</v>
      </c>
      <c r="C198" t="s">
        <v>495</v>
      </c>
      <c r="D198" t="s">
        <v>496</v>
      </c>
      <c r="E198">
        <v>5152</v>
      </c>
      <c r="F198" t="s">
        <v>497</v>
      </c>
      <c r="G198">
        <v>3371764</v>
      </c>
      <c r="H198" s="2">
        <v>48578210628</v>
      </c>
      <c r="I198" s="1">
        <v>45194</v>
      </c>
      <c r="J198" s="1">
        <v>73050</v>
      </c>
      <c r="K198" t="s">
        <v>17</v>
      </c>
      <c r="L198" t="s">
        <v>17</v>
      </c>
      <c r="M198" t="s">
        <v>18</v>
      </c>
      <c r="N198" t="s">
        <v>28</v>
      </c>
      <c r="O198" s="3">
        <v>0.20835648148148148</v>
      </c>
    </row>
    <row r="199" spans="1:15" x14ac:dyDescent="0.25">
      <c r="A199" t="str">
        <f t="shared" si="3"/>
        <v>Stanek Martyna Katarzyna</v>
      </c>
      <c r="B199">
        <v>198</v>
      </c>
      <c r="C199" t="s">
        <v>498</v>
      </c>
      <c r="D199" t="s">
        <v>499</v>
      </c>
      <c r="E199">
        <v>176</v>
      </c>
      <c r="F199" t="s">
        <v>500</v>
      </c>
      <c r="G199">
        <v>5555530</v>
      </c>
      <c r="H199" s="2">
        <v>48698952544</v>
      </c>
      <c r="I199" s="1">
        <v>44593</v>
      </c>
      <c r="J199" s="1">
        <v>73050</v>
      </c>
      <c r="K199" t="s">
        <v>17</v>
      </c>
      <c r="L199" t="s">
        <v>17</v>
      </c>
      <c r="M199" t="s">
        <v>40</v>
      </c>
      <c r="N199" t="s">
        <v>28</v>
      </c>
      <c r="O199" s="3">
        <v>0.87502314814814819</v>
      </c>
    </row>
    <row r="200" spans="1:15" x14ac:dyDescent="0.25">
      <c r="A200" t="str">
        <f t="shared" si="3"/>
        <v>Stanisz Pawel Piotr</v>
      </c>
      <c r="B200">
        <v>199</v>
      </c>
      <c r="C200" t="s">
        <v>501</v>
      </c>
      <c r="D200" t="s">
        <v>502</v>
      </c>
      <c r="E200">
        <v>2600</v>
      </c>
      <c r="F200">
        <v>7513</v>
      </c>
      <c r="G200">
        <v>12985727</v>
      </c>
      <c r="H200" s="2">
        <v>48696289320</v>
      </c>
      <c r="I200" s="1">
        <v>44843</v>
      </c>
      <c r="J200" s="1">
        <v>73050</v>
      </c>
      <c r="K200" t="s">
        <v>26</v>
      </c>
      <c r="L200" t="s">
        <v>31</v>
      </c>
      <c r="M200" t="s">
        <v>40</v>
      </c>
      <c r="N200" t="s">
        <v>96</v>
      </c>
      <c r="O200" s="3">
        <v>0.86517361111111113</v>
      </c>
    </row>
    <row r="201" spans="1:15" x14ac:dyDescent="0.25">
      <c r="A201" t="str">
        <f t="shared" si="3"/>
        <v>Starzyczny Joanna</v>
      </c>
      <c r="B201">
        <v>200</v>
      </c>
      <c r="C201" t="s">
        <v>503</v>
      </c>
      <c r="D201" t="s">
        <v>62</v>
      </c>
      <c r="E201">
        <v>3257</v>
      </c>
      <c r="F201">
        <v>3257</v>
      </c>
      <c r="G201">
        <v>272698647</v>
      </c>
      <c r="H201" s="2">
        <v>48693474209</v>
      </c>
      <c r="I201" s="1">
        <v>45183</v>
      </c>
      <c r="J201" s="1">
        <v>73050</v>
      </c>
      <c r="K201" t="s">
        <v>51</v>
      </c>
      <c r="L201" t="s">
        <v>417</v>
      </c>
      <c r="M201" t="s">
        <v>24</v>
      </c>
      <c r="N201" t="s">
        <v>25</v>
      </c>
      <c r="O201" s="3"/>
    </row>
    <row r="202" spans="1:15" x14ac:dyDescent="0.25">
      <c r="A202" t="str">
        <f t="shared" si="3"/>
        <v>Stawowski Patryk Tomasz</v>
      </c>
      <c r="B202">
        <v>201</v>
      </c>
      <c r="C202" t="s">
        <v>504</v>
      </c>
      <c r="D202" t="s">
        <v>505</v>
      </c>
      <c r="E202">
        <v>3394</v>
      </c>
      <c r="F202">
        <v>3394</v>
      </c>
      <c r="G202">
        <v>301180452</v>
      </c>
      <c r="H202" s="2">
        <v>48513278184</v>
      </c>
      <c r="I202" s="1">
        <v>44119</v>
      </c>
      <c r="J202" s="1">
        <v>73050</v>
      </c>
      <c r="K202" t="s">
        <v>51</v>
      </c>
      <c r="L202" t="s">
        <v>341</v>
      </c>
      <c r="M202" t="s">
        <v>18</v>
      </c>
      <c r="N202" t="s">
        <v>25</v>
      </c>
      <c r="O202" s="3">
        <v>0.17018518518518519</v>
      </c>
    </row>
    <row r="203" spans="1:15" x14ac:dyDescent="0.25">
      <c r="A203" t="str">
        <f t="shared" si="3"/>
        <v>Stohandel Artur</v>
      </c>
      <c r="B203">
        <v>202</v>
      </c>
      <c r="C203" t="s">
        <v>506</v>
      </c>
      <c r="D203" t="s">
        <v>332</v>
      </c>
      <c r="E203">
        <v>6414</v>
      </c>
      <c r="F203">
        <v>0</v>
      </c>
      <c r="G203">
        <v>0</v>
      </c>
      <c r="H203" s="2">
        <v>48781432761</v>
      </c>
      <c r="I203" s="1">
        <v>45832</v>
      </c>
      <c r="J203" s="1">
        <v>45936</v>
      </c>
      <c r="K203" t="s">
        <v>160</v>
      </c>
      <c r="L203" t="s">
        <v>507</v>
      </c>
      <c r="M203" t="s">
        <v>18</v>
      </c>
      <c r="N203" t="s">
        <v>68</v>
      </c>
      <c r="O203" s="3"/>
    </row>
    <row r="204" spans="1:15" x14ac:dyDescent="0.25">
      <c r="A204" t="str">
        <f t="shared" si="3"/>
        <v>Suchy Anna Katarzyna</v>
      </c>
      <c r="B204">
        <v>203</v>
      </c>
      <c r="C204" t="s">
        <v>510</v>
      </c>
      <c r="D204" t="s">
        <v>511</v>
      </c>
      <c r="E204">
        <v>4155</v>
      </c>
      <c r="F204">
        <v>4155</v>
      </c>
      <c r="G204">
        <v>328608658</v>
      </c>
      <c r="H204" s="2">
        <v>48575850403</v>
      </c>
      <c r="I204" s="1">
        <v>44522</v>
      </c>
      <c r="J204" s="1">
        <v>73050</v>
      </c>
      <c r="K204" t="s">
        <v>51</v>
      </c>
      <c r="L204" t="s">
        <v>442</v>
      </c>
      <c r="M204" t="s">
        <v>40</v>
      </c>
      <c r="N204" t="s">
        <v>25</v>
      </c>
      <c r="O204" s="3">
        <v>0.85008101851851847</v>
      </c>
    </row>
    <row r="205" spans="1:15" x14ac:dyDescent="0.25">
      <c r="A205" t="str">
        <f t="shared" si="3"/>
        <v>Surosz Zaneta</v>
      </c>
      <c r="B205">
        <v>204</v>
      </c>
      <c r="C205" t="s">
        <v>512</v>
      </c>
      <c r="D205" t="s">
        <v>488</v>
      </c>
      <c r="E205">
        <v>0</v>
      </c>
      <c r="F205">
        <v>0</v>
      </c>
      <c r="G205">
        <v>391211405</v>
      </c>
      <c r="H205" s="2">
        <v>48507749260</v>
      </c>
      <c r="I205" s="1">
        <v>45922</v>
      </c>
      <c r="J205" s="1">
        <v>73050</v>
      </c>
      <c r="K205" t="s">
        <v>51</v>
      </c>
      <c r="L205" t="s">
        <v>99</v>
      </c>
      <c r="M205" t="s">
        <v>18</v>
      </c>
      <c r="N205" t="s">
        <v>25</v>
      </c>
      <c r="O205" s="3">
        <v>0.18688657407407408</v>
      </c>
    </row>
    <row r="206" spans="1:15" x14ac:dyDescent="0.25">
      <c r="A206" t="str">
        <f t="shared" si="3"/>
        <v>Święty Czesław</v>
      </c>
      <c r="B206">
        <v>205</v>
      </c>
      <c r="C206" t="s">
        <v>513</v>
      </c>
      <c r="D206" t="s">
        <v>514</v>
      </c>
      <c r="E206">
        <v>6440</v>
      </c>
      <c r="F206">
        <v>0</v>
      </c>
      <c r="G206">
        <v>400328807</v>
      </c>
      <c r="H206" s="2">
        <v>48797459279</v>
      </c>
      <c r="I206" s="1">
        <v>45839</v>
      </c>
      <c r="J206" s="1">
        <v>73050</v>
      </c>
      <c r="K206" t="s">
        <v>160</v>
      </c>
      <c r="L206" t="s">
        <v>515</v>
      </c>
      <c r="M206" t="s">
        <v>18</v>
      </c>
      <c r="N206" t="s">
        <v>68</v>
      </c>
      <c r="O206" s="3">
        <v>0.18060185185185185</v>
      </c>
    </row>
    <row r="207" spans="1:15" x14ac:dyDescent="0.25">
      <c r="A207" t="str">
        <f t="shared" si="3"/>
        <v>Swoboda Martyna Alicja</v>
      </c>
      <c r="B207">
        <v>206</v>
      </c>
      <c r="C207" t="s">
        <v>516</v>
      </c>
      <c r="D207" t="s">
        <v>517</v>
      </c>
      <c r="E207">
        <v>4899</v>
      </c>
      <c r="F207" t="s">
        <v>518</v>
      </c>
      <c r="G207">
        <v>3408083</v>
      </c>
      <c r="H207" s="2">
        <v>48519720150</v>
      </c>
      <c r="I207" s="1">
        <v>45033</v>
      </c>
      <c r="J207" s="1">
        <v>73050</v>
      </c>
      <c r="K207" t="s">
        <v>128</v>
      </c>
      <c r="L207" t="s">
        <v>519</v>
      </c>
      <c r="M207" t="s">
        <v>18</v>
      </c>
      <c r="N207" t="s">
        <v>28</v>
      </c>
      <c r="O207" s="3">
        <v>0.17812500000000001</v>
      </c>
    </row>
    <row r="208" spans="1:15" x14ac:dyDescent="0.25">
      <c r="A208" t="str">
        <f t="shared" si="3"/>
        <v>Sypulek Dariusz</v>
      </c>
      <c r="B208">
        <v>207</v>
      </c>
      <c r="C208" t="s">
        <v>520</v>
      </c>
      <c r="D208" t="s">
        <v>365</v>
      </c>
      <c r="E208">
        <v>6162</v>
      </c>
      <c r="F208">
        <v>0</v>
      </c>
      <c r="G208">
        <v>391237287</v>
      </c>
      <c r="H208" s="2">
        <v>48667366660</v>
      </c>
      <c r="I208" s="1">
        <v>45685</v>
      </c>
      <c r="J208" s="1">
        <v>73050</v>
      </c>
      <c r="K208" t="s">
        <v>66</v>
      </c>
      <c r="L208" t="s">
        <v>289</v>
      </c>
      <c r="M208" t="s">
        <v>18</v>
      </c>
      <c r="N208" t="s">
        <v>68</v>
      </c>
      <c r="O208" s="3">
        <v>0.174375</v>
      </c>
    </row>
    <row r="209" spans="1:15" x14ac:dyDescent="0.25">
      <c r="A209" t="str">
        <f t="shared" si="3"/>
        <v>Szalamacha Maciej</v>
      </c>
      <c r="B209">
        <v>208</v>
      </c>
      <c r="C209" t="s">
        <v>938</v>
      </c>
      <c r="D209" t="s">
        <v>939</v>
      </c>
      <c r="E209">
        <v>6589</v>
      </c>
      <c r="F209">
        <v>0</v>
      </c>
      <c r="G209" t="s">
        <v>959</v>
      </c>
      <c r="H209" s="2">
        <v>48691446021</v>
      </c>
      <c r="I209" s="1">
        <v>45931</v>
      </c>
      <c r="J209" s="1">
        <v>73050</v>
      </c>
      <c r="K209" t="s">
        <v>66</v>
      </c>
      <c r="L209" t="s">
        <v>289</v>
      </c>
      <c r="M209" t="s">
        <v>18</v>
      </c>
      <c r="N209" t="s">
        <v>121</v>
      </c>
      <c r="O209" s="3"/>
    </row>
    <row r="210" spans="1:15" x14ac:dyDescent="0.25">
      <c r="A210" t="str">
        <f t="shared" si="3"/>
        <v>Szalamacha Wojciech</v>
      </c>
      <c r="B210">
        <v>209</v>
      </c>
      <c r="C210" t="s">
        <v>938</v>
      </c>
      <c r="D210" t="s">
        <v>120</v>
      </c>
      <c r="E210">
        <v>6588</v>
      </c>
      <c r="F210">
        <v>0</v>
      </c>
      <c r="G210" t="s">
        <v>960</v>
      </c>
      <c r="H210">
        <v>48782998052</v>
      </c>
      <c r="I210" s="1">
        <v>45931</v>
      </c>
      <c r="J210" s="1">
        <v>73050</v>
      </c>
      <c r="K210" t="s">
        <v>66</v>
      </c>
      <c r="L210" t="s">
        <v>289</v>
      </c>
      <c r="M210" t="s">
        <v>18</v>
      </c>
      <c r="N210" t="s">
        <v>121</v>
      </c>
      <c r="O210" s="3"/>
    </row>
    <row r="211" spans="1:15" x14ac:dyDescent="0.25">
      <c r="A211" t="str">
        <f t="shared" si="3"/>
        <v>Szczesny Agnieszka Joanna</v>
      </c>
      <c r="B211">
        <v>210</v>
      </c>
      <c r="C211" t="s">
        <v>521</v>
      </c>
      <c r="D211" t="s">
        <v>522</v>
      </c>
      <c r="E211">
        <v>177</v>
      </c>
      <c r="F211" t="s">
        <v>523</v>
      </c>
      <c r="G211">
        <v>9551583</v>
      </c>
      <c r="H211" s="2">
        <v>48509182239</v>
      </c>
      <c r="I211" s="1">
        <v>44593</v>
      </c>
      <c r="J211" s="1">
        <v>73050</v>
      </c>
      <c r="K211" t="s">
        <v>26</v>
      </c>
      <c r="L211" t="s">
        <v>31</v>
      </c>
      <c r="M211" t="s">
        <v>24</v>
      </c>
      <c r="N211" t="s">
        <v>28</v>
      </c>
    </row>
    <row r="212" spans="1:15" x14ac:dyDescent="0.25">
      <c r="A212" t="str">
        <f t="shared" si="3"/>
        <v>Szewczyk Agnieszka</v>
      </c>
      <c r="B212">
        <v>211</v>
      </c>
      <c r="C212" t="s">
        <v>524</v>
      </c>
      <c r="D212" t="s">
        <v>197</v>
      </c>
      <c r="E212">
        <v>6205</v>
      </c>
      <c r="F212">
        <v>0</v>
      </c>
      <c r="G212">
        <v>415747</v>
      </c>
      <c r="H212" s="2">
        <v>48731001683</v>
      </c>
      <c r="I212" s="1">
        <v>45719</v>
      </c>
      <c r="J212" s="1">
        <v>73050</v>
      </c>
      <c r="K212" t="s">
        <v>209</v>
      </c>
      <c r="L212" t="s">
        <v>525</v>
      </c>
      <c r="M212" t="s">
        <v>24</v>
      </c>
      <c r="N212" t="s">
        <v>36</v>
      </c>
      <c r="O212" s="3"/>
    </row>
    <row r="213" spans="1:15" x14ac:dyDescent="0.25">
      <c r="A213" t="str">
        <f t="shared" si="3"/>
        <v>Szmyt Dariusz</v>
      </c>
      <c r="B213">
        <v>212</v>
      </c>
      <c r="C213" t="s">
        <v>526</v>
      </c>
      <c r="D213" t="s">
        <v>365</v>
      </c>
      <c r="E213">
        <v>6419</v>
      </c>
      <c r="F213">
        <v>0</v>
      </c>
      <c r="G213">
        <v>400246529</v>
      </c>
      <c r="H213" s="2">
        <v>48505986087</v>
      </c>
      <c r="I213" s="1">
        <v>45832</v>
      </c>
      <c r="J213" s="1">
        <v>73050</v>
      </c>
      <c r="K213" t="s">
        <v>66</v>
      </c>
      <c r="L213" t="s">
        <v>313</v>
      </c>
      <c r="M213" t="s">
        <v>24</v>
      </c>
      <c r="N213" t="s">
        <v>68</v>
      </c>
      <c r="O213" s="3">
        <v>0.17131944444444444</v>
      </c>
    </row>
    <row r="214" spans="1:15" x14ac:dyDescent="0.25">
      <c r="A214" t="str">
        <f t="shared" si="3"/>
        <v>Szopa Daniel</v>
      </c>
      <c r="B214">
        <v>213</v>
      </c>
      <c r="C214" t="s">
        <v>527</v>
      </c>
      <c r="D214" t="s">
        <v>184</v>
      </c>
      <c r="E214">
        <v>6282</v>
      </c>
      <c r="F214">
        <v>0</v>
      </c>
      <c r="G214">
        <v>400329390</v>
      </c>
      <c r="H214" s="2">
        <v>48573957841</v>
      </c>
      <c r="I214" s="1">
        <v>45754</v>
      </c>
      <c r="J214" s="1">
        <v>73050</v>
      </c>
      <c r="K214" t="s">
        <v>66</v>
      </c>
      <c r="L214" t="s">
        <v>82</v>
      </c>
      <c r="M214" t="s">
        <v>18</v>
      </c>
      <c r="N214" t="s">
        <v>121</v>
      </c>
      <c r="O214" s="3"/>
    </row>
    <row r="215" spans="1:15" x14ac:dyDescent="0.25">
      <c r="A215" t="str">
        <f t="shared" si="3"/>
        <v>Szpin Mateusz</v>
      </c>
      <c r="B215">
        <v>214</v>
      </c>
      <c r="C215" t="s">
        <v>528</v>
      </c>
      <c r="D215" t="s">
        <v>329</v>
      </c>
      <c r="E215">
        <v>5555</v>
      </c>
      <c r="F215" t="s">
        <v>529</v>
      </c>
      <c r="G215">
        <v>1828445</v>
      </c>
      <c r="H215" s="2">
        <v>48502296518</v>
      </c>
      <c r="I215" s="1">
        <v>45397</v>
      </c>
      <c r="J215" s="1">
        <v>73050</v>
      </c>
      <c r="K215" t="s">
        <v>17</v>
      </c>
      <c r="L215" t="s">
        <v>17</v>
      </c>
      <c r="M215" t="s">
        <v>24</v>
      </c>
      <c r="N215" t="s">
        <v>28</v>
      </c>
      <c r="O215" s="3"/>
    </row>
    <row r="216" spans="1:15" x14ac:dyDescent="0.25">
      <c r="A216" t="str">
        <f t="shared" si="3"/>
        <v>Szrejder Sebastian</v>
      </c>
      <c r="B216">
        <v>215</v>
      </c>
      <c r="C216" t="s">
        <v>530</v>
      </c>
      <c r="D216" t="s">
        <v>231</v>
      </c>
      <c r="E216">
        <v>6350</v>
      </c>
      <c r="F216">
        <v>0</v>
      </c>
      <c r="G216">
        <v>400335141</v>
      </c>
      <c r="H216">
        <v>48668945691</v>
      </c>
      <c r="I216" s="1">
        <v>45789</v>
      </c>
      <c r="J216" s="1">
        <v>73050</v>
      </c>
      <c r="K216" t="s">
        <v>66</v>
      </c>
      <c r="L216" t="s">
        <v>67</v>
      </c>
      <c r="M216" t="s">
        <v>18</v>
      </c>
      <c r="N216" t="s">
        <v>68</v>
      </c>
      <c r="O216" s="3">
        <v>0.17123842592592592</v>
      </c>
    </row>
    <row r="217" spans="1:15" x14ac:dyDescent="0.25">
      <c r="A217" t="str">
        <f t="shared" si="3"/>
        <v>Sztymelski Lukasz</v>
      </c>
      <c r="B217">
        <v>216</v>
      </c>
      <c r="C217" t="s">
        <v>531</v>
      </c>
      <c r="D217" t="s">
        <v>80</v>
      </c>
      <c r="E217">
        <v>5646</v>
      </c>
      <c r="F217">
        <v>0</v>
      </c>
      <c r="G217">
        <v>13410753</v>
      </c>
      <c r="H217">
        <v>48696720543</v>
      </c>
      <c r="I217" s="1">
        <v>45453</v>
      </c>
      <c r="J217" s="1">
        <v>73050</v>
      </c>
      <c r="K217" t="s">
        <v>81</v>
      </c>
      <c r="L217" t="s">
        <v>532</v>
      </c>
      <c r="M217" t="s">
        <v>18</v>
      </c>
      <c r="N217" t="s">
        <v>83</v>
      </c>
      <c r="O217" s="3">
        <v>0.18065972222222224</v>
      </c>
    </row>
    <row r="218" spans="1:15" x14ac:dyDescent="0.25">
      <c r="A218" t="str">
        <f t="shared" si="3"/>
        <v>Szurman Krystian</v>
      </c>
      <c r="B218">
        <v>217</v>
      </c>
      <c r="C218" t="s">
        <v>533</v>
      </c>
      <c r="D218" t="s">
        <v>65</v>
      </c>
      <c r="E218">
        <v>5742</v>
      </c>
      <c r="F218">
        <v>0</v>
      </c>
      <c r="G218">
        <v>13048529</v>
      </c>
      <c r="H218" s="2">
        <v>48507112901</v>
      </c>
      <c r="I218" s="1">
        <v>45481</v>
      </c>
      <c r="J218" s="1">
        <v>73050</v>
      </c>
      <c r="K218" t="s">
        <v>81</v>
      </c>
      <c r="L218" t="s">
        <v>534</v>
      </c>
      <c r="M218" t="s">
        <v>18</v>
      </c>
      <c r="N218" t="s">
        <v>83</v>
      </c>
      <c r="O218" s="3">
        <v>0.20430555555555555</v>
      </c>
    </row>
    <row r="219" spans="1:15" x14ac:dyDescent="0.25">
      <c r="A219" t="str">
        <f t="shared" si="3"/>
        <v>Szweda Krzysztof</v>
      </c>
      <c r="B219">
        <v>218</v>
      </c>
      <c r="C219" t="s">
        <v>535</v>
      </c>
      <c r="D219" t="s">
        <v>201</v>
      </c>
      <c r="E219">
        <v>6471</v>
      </c>
      <c r="F219">
        <v>0</v>
      </c>
      <c r="G219">
        <v>1186182</v>
      </c>
      <c r="H219">
        <v>48794490135</v>
      </c>
      <c r="I219" s="1">
        <v>45861</v>
      </c>
      <c r="J219" s="1">
        <v>73050</v>
      </c>
      <c r="K219" t="s">
        <v>133</v>
      </c>
      <c r="L219" t="s">
        <v>342</v>
      </c>
      <c r="M219" t="s">
        <v>18</v>
      </c>
      <c r="N219" t="s">
        <v>134</v>
      </c>
      <c r="O219" s="3"/>
    </row>
    <row r="220" spans="1:15" x14ac:dyDescent="0.25">
      <c r="A220" t="str">
        <f t="shared" si="3"/>
        <v>Szymiczek Ewa</v>
      </c>
      <c r="B220">
        <v>219</v>
      </c>
      <c r="C220" t="s">
        <v>536</v>
      </c>
      <c r="D220" t="s">
        <v>85</v>
      </c>
      <c r="E220">
        <v>5179</v>
      </c>
      <c r="F220">
        <v>5179</v>
      </c>
      <c r="G220">
        <v>370026025</v>
      </c>
      <c r="H220" s="2">
        <v>48534483104</v>
      </c>
      <c r="I220" s="1">
        <v>45166</v>
      </c>
      <c r="J220" s="1">
        <v>73050</v>
      </c>
      <c r="K220" t="s">
        <v>51</v>
      </c>
      <c r="L220" t="s">
        <v>52</v>
      </c>
      <c r="M220" t="s">
        <v>40</v>
      </c>
      <c r="N220" t="s">
        <v>25</v>
      </c>
      <c r="O220" s="3">
        <v>0.84137731481481481</v>
      </c>
    </row>
    <row r="221" spans="1:15" x14ac:dyDescent="0.25">
      <c r="A221" t="str">
        <f t="shared" si="3"/>
        <v>Szymura Edyta Marzena</v>
      </c>
      <c r="B221">
        <v>220</v>
      </c>
      <c r="C221" t="s">
        <v>537</v>
      </c>
      <c r="D221" t="s">
        <v>538</v>
      </c>
      <c r="E221">
        <v>4912</v>
      </c>
      <c r="F221">
        <v>4912</v>
      </c>
      <c r="G221">
        <v>301165651</v>
      </c>
      <c r="H221" s="2">
        <v>48514925449</v>
      </c>
      <c r="I221" s="1">
        <v>45006</v>
      </c>
      <c r="J221" s="1">
        <v>73050</v>
      </c>
      <c r="K221" t="s">
        <v>22</v>
      </c>
      <c r="L221" t="s">
        <v>539</v>
      </c>
      <c r="M221" t="s">
        <v>24</v>
      </c>
      <c r="N221" t="s">
        <v>25</v>
      </c>
    </row>
    <row r="222" spans="1:15" x14ac:dyDescent="0.25">
      <c r="A222" t="str">
        <f t="shared" si="3"/>
        <v>Šoštá Ivana</v>
      </c>
      <c r="B222">
        <v>221</v>
      </c>
      <c r="C222" t="s">
        <v>540</v>
      </c>
      <c r="D222" t="s">
        <v>541</v>
      </c>
      <c r="E222">
        <v>0</v>
      </c>
      <c r="F222">
        <v>0</v>
      </c>
      <c r="G222">
        <v>347370</v>
      </c>
      <c r="H222" s="2">
        <v>705981078</v>
      </c>
      <c r="I222" s="1">
        <v>45813</v>
      </c>
      <c r="J222" s="1">
        <v>73050</v>
      </c>
      <c r="K222" t="s">
        <v>51</v>
      </c>
      <c r="L222" t="s">
        <v>154</v>
      </c>
      <c r="M222" t="s">
        <v>40</v>
      </c>
      <c r="N222" t="s">
        <v>284</v>
      </c>
      <c r="O222" s="3">
        <v>0.88225694444444447</v>
      </c>
    </row>
    <row r="223" spans="1:15" x14ac:dyDescent="0.25">
      <c r="A223" t="str">
        <f t="shared" si="3"/>
        <v>Tabor Konrad</v>
      </c>
      <c r="B223">
        <v>222</v>
      </c>
      <c r="C223" t="s">
        <v>542</v>
      </c>
      <c r="D223" t="s">
        <v>543</v>
      </c>
      <c r="E223">
        <v>5917</v>
      </c>
      <c r="F223">
        <v>0</v>
      </c>
      <c r="G223">
        <v>12125590</v>
      </c>
      <c r="H223" s="2">
        <v>48451648262</v>
      </c>
      <c r="I223" s="1">
        <v>45552</v>
      </c>
      <c r="J223" s="1">
        <v>73050</v>
      </c>
      <c r="K223" t="s">
        <v>81</v>
      </c>
      <c r="L223" t="s">
        <v>185</v>
      </c>
      <c r="M223" t="s">
        <v>18</v>
      </c>
      <c r="N223" t="s">
        <v>83</v>
      </c>
      <c r="O223" s="3"/>
    </row>
    <row r="224" spans="1:15" x14ac:dyDescent="0.25">
      <c r="A224" t="str">
        <f t="shared" si="3"/>
        <v>Tomica Janusz Franciszek</v>
      </c>
      <c r="B224">
        <v>223</v>
      </c>
      <c r="C224" t="s">
        <v>544</v>
      </c>
      <c r="D224" t="s">
        <v>545</v>
      </c>
      <c r="E224">
        <v>4959</v>
      </c>
      <c r="F224" t="s">
        <v>546</v>
      </c>
      <c r="G224">
        <v>2013831</v>
      </c>
      <c r="H224" s="2">
        <v>48608142897</v>
      </c>
      <c r="I224" s="1">
        <v>45061</v>
      </c>
      <c r="J224" s="1" t="s">
        <v>630</v>
      </c>
      <c r="K224" t="s">
        <v>17</v>
      </c>
      <c r="L224" t="s">
        <v>17</v>
      </c>
      <c r="M224" t="s">
        <v>24</v>
      </c>
      <c r="N224" t="s">
        <v>28</v>
      </c>
      <c r="O224" s="3"/>
    </row>
    <row r="225" spans="1:15" x14ac:dyDescent="0.25">
      <c r="A225" t="str">
        <f t="shared" si="3"/>
        <v>Tomica Artur</v>
      </c>
      <c r="B225">
        <v>224</v>
      </c>
      <c r="C225" t="s">
        <v>544</v>
      </c>
      <c r="D225" t="s">
        <v>332</v>
      </c>
      <c r="E225">
        <v>5939</v>
      </c>
      <c r="F225">
        <v>0</v>
      </c>
      <c r="G225">
        <v>1483120</v>
      </c>
      <c r="H225" s="2">
        <v>48698656785</v>
      </c>
      <c r="I225" s="1">
        <v>45559</v>
      </c>
      <c r="J225" s="1">
        <v>73050</v>
      </c>
      <c r="K225" t="s">
        <v>81</v>
      </c>
      <c r="L225" t="s">
        <v>547</v>
      </c>
      <c r="M225" t="s">
        <v>18</v>
      </c>
      <c r="N225" t="s">
        <v>83</v>
      </c>
      <c r="O225" s="3">
        <v>0.19898148148148148</v>
      </c>
    </row>
    <row r="226" spans="1:15" x14ac:dyDescent="0.25">
      <c r="A226" t="str">
        <f t="shared" si="3"/>
        <v>Tomiczek Sara Beata</v>
      </c>
      <c r="B226">
        <v>225</v>
      </c>
      <c r="C226" t="s">
        <v>548</v>
      </c>
      <c r="D226" t="s">
        <v>549</v>
      </c>
      <c r="E226">
        <v>4724</v>
      </c>
      <c r="F226" t="s">
        <v>550</v>
      </c>
      <c r="G226">
        <v>1343515</v>
      </c>
      <c r="H226" s="2">
        <v>48516631702</v>
      </c>
      <c r="I226" s="1">
        <v>44837</v>
      </c>
      <c r="J226" s="1">
        <v>73050</v>
      </c>
      <c r="K226" t="s">
        <v>17</v>
      </c>
      <c r="L226" t="s">
        <v>17</v>
      </c>
      <c r="M226" t="s">
        <v>18</v>
      </c>
      <c r="N226" t="s">
        <v>28</v>
      </c>
      <c r="O226" s="3">
        <v>0.20835648148148148</v>
      </c>
    </row>
    <row r="227" spans="1:15" x14ac:dyDescent="0.25">
      <c r="A227" t="str">
        <f t="shared" si="3"/>
        <v>Trzmielowski Adrian Adam</v>
      </c>
      <c r="B227">
        <v>226</v>
      </c>
      <c r="C227" t="s">
        <v>551</v>
      </c>
      <c r="D227" t="s">
        <v>552</v>
      </c>
      <c r="E227">
        <v>6336</v>
      </c>
      <c r="F227">
        <v>0</v>
      </c>
      <c r="G227">
        <v>400333071</v>
      </c>
      <c r="H227">
        <v>48883502467</v>
      </c>
      <c r="I227" s="1">
        <v>45782</v>
      </c>
      <c r="J227" s="1">
        <v>73050</v>
      </c>
      <c r="K227" t="s">
        <v>17</v>
      </c>
      <c r="L227" t="s">
        <v>17</v>
      </c>
      <c r="M227" t="s">
        <v>18</v>
      </c>
      <c r="N227" t="s">
        <v>68</v>
      </c>
      <c r="O227" s="3">
        <v>0.20836805555555554</v>
      </c>
    </row>
    <row r="228" spans="1:15" x14ac:dyDescent="0.25">
      <c r="A228" t="str">
        <f t="shared" si="3"/>
        <v>Tuna Lukáš</v>
      </c>
      <c r="B228">
        <v>227</v>
      </c>
      <c r="C228" t="s">
        <v>553</v>
      </c>
      <c r="D228" t="s">
        <v>45</v>
      </c>
      <c r="E228">
        <v>4919</v>
      </c>
      <c r="F228" t="s">
        <v>554</v>
      </c>
      <c r="G228">
        <v>3785106</v>
      </c>
      <c r="H228" s="2">
        <v>770671910</v>
      </c>
      <c r="I228" s="1">
        <v>45040</v>
      </c>
      <c r="J228" s="1">
        <v>73050</v>
      </c>
      <c r="K228" t="s">
        <v>17</v>
      </c>
      <c r="L228" t="s">
        <v>17</v>
      </c>
      <c r="M228" t="s">
        <v>18</v>
      </c>
      <c r="N228" t="s">
        <v>28</v>
      </c>
      <c r="O228" s="3">
        <v>0.20836805555555554</v>
      </c>
    </row>
    <row r="229" spans="1:15" x14ac:dyDescent="0.25">
      <c r="A229" t="str">
        <f t="shared" si="3"/>
        <v>Tworzydło Slawomir</v>
      </c>
      <c r="B229">
        <v>228</v>
      </c>
      <c r="C229" t="s">
        <v>555</v>
      </c>
      <c r="D229" t="s">
        <v>229</v>
      </c>
      <c r="E229">
        <v>5710</v>
      </c>
      <c r="F229">
        <v>0</v>
      </c>
      <c r="G229">
        <v>13096247</v>
      </c>
      <c r="H229" s="2">
        <v>48690157189</v>
      </c>
      <c r="I229" s="1">
        <v>45474</v>
      </c>
      <c r="J229" s="1">
        <v>73050</v>
      </c>
      <c r="K229" t="s">
        <v>102</v>
      </c>
      <c r="L229" t="s">
        <v>324</v>
      </c>
      <c r="M229" t="s">
        <v>18</v>
      </c>
      <c r="N229" t="s">
        <v>83</v>
      </c>
      <c r="O229" s="3"/>
    </row>
    <row r="230" spans="1:15" x14ac:dyDescent="0.25">
      <c r="A230" t="str">
        <f t="shared" si="3"/>
        <v>Tyminska Sylvia Malgorzata</v>
      </c>
      <c r="B230">
        <v>229</v>
      </c>
      <c r="C230" t="s">
        <v>556</v>
      </c>
      <c r="D230" t="s">
        <v>557</v>
      </c>
      <c r="E230">
        <v>3937</v>
      </c>
      <c r="F230">
        <v>3937</v>
      </c>
      <c r="G230">
        <v>272698648</v>
      </c>
      <c r="H230" s="2">
        <v>48602294398</v>
      </c>
      <c r="I230" s="1">
        <v>44677</v>
      </c>
      <c r="J230" s="1">
        <v>73050</v>
      </c>
      <c r="K230" t="s">
        <v>51</v>
      </c>
      <c r="L230" t="s">
        <v>394</v>
      </c>
      <c r="M230" t="s">
        <v>18</v>
      </c>
      <c r="N230" t="s">
        <v>25</v>
      </c>
      <c r="O230" s="3">
        <v>0.17618055555555556</v>
      </c>
    </row>
    <row r="231" spans="1:15" x14ac:dyDescent="0.25">
      <c r="A231" t="str">
        <f t="shared" si="3"/>
        <v>Tytko Aleksandra Irmina</v>
      </c>
      <c r="B231">
        <v>230</v>
      </c>
      <c r="C231" t="s">
        <v>558</v>
      </c>
      <c r="D231" t="s">
        <v>559</v>
      </c>
      <c r="E231">
        <v>183</v>
      </c>
      <c r="F231" t="s">
        <v>560</v>
      </c>
      <c r="G231">
        <v>4468410</v>
      </c>
      <c r="H231" s="2">
        <v>48510142785</v>
      </c>
      <c r="I231" s="1">
        <v>44593</v>
      </c>
      <c r="J231" s="1">
        <v>73050</v>
      </c>
      <c r="K231" t="s">
        <v>128</v>
      </c>
      <c r="L231" t="s">
        <v>129</v>
      </c>
      <c r="M231" t="s">
        <v>40</v>
      </c>
      <c r="N231" t="s">
        <v>28</v>
      </c>
      <c r="O231" s="3">
        <v>0.84263888888888894</v>
      </c>
    </row>
    <row r="232" spans="1:15" x14ac:dyDescent="0.25">
      <c r="A232" t="str">
        <f t="shared" si="3"/>
        <v>Urbaczka Dominika</v>
      </c>
      <c r="B232">
        <v>231</v>
      </c>
      <c r="C232" t="s">
        <v>562</v>
      </c>
      <c r="D232" t="s">
        <v>563</v>
      </c>
      <c r="E232">
        <v>5545</v>
      </c>
      <c r="F232" t="s">
        <v>564</v>
      </c>
      <c r="G232">
        <v>1342918</v>
      </c>
      <c r="H232" s="2">
        <v>48601627258</v>
      </c>
      <c r="I232" s="1">
        <v>45390</v>
      </c>
      <c r="J232" s="1">
        <v>73050</v>
      </c>
      <c r="K232" t="s">
        <v>17</v>
      </c>
      <c r="L232" t="s">
        <v>17</v>
      </c>
      <c r="M232" t="s">
        <v>24</v>
      </c>
      <c r="N232" t="s">
        <v>28</v>
      </c>
    </row>
    <row r="233" spans="1:15" x14ac:dyDescent="0.25">
      <c r="A233" t="str">
        <f t="shared" si="3"/>
        <v>Urbanowicz Elzbieta</v>
      </c>
      <c r="B233">
        <v>232</v>
      </c>
      <c r="C233" t="s">
        <v>565</v>
      </c>
      <c r="D233" t="s">
        <v>58</v>
      </c>
      <c r="E233">
        <v>6076</v>
      </c>
      <c r="F233">
        <v>0</v>
      </c>
      <c r="G233">
        <v>391224474</v>
      </c>
      <c r="H233" s="2">
        <v>48536836042</v>
      </c>
      <c r="I233" s="1">
        <v>45617</v>
      </c>
      <c r="J233" s="1">
        <v>73050</v>
      </c>
      <c r="K233" t="s">
        <v>51</v>
      </c>
      <c r="L233" t="s">
        <v>99</v>
      </c>
      <c r="M233" t="s">
        <v>18</v>
      </c>
      <c r="N233" t="s">
        <v>25</v>
      </c>
      <c r="O233" s="3">
        <v>0.18681712962962962</v>
      </c>
    </row>
    <row r="234" spans="1:15" x14ac:dyDescent="0.25">
      <c r="A234" t="str">
        <f t="shared" si="3"/>
        <v>Urbas Monika Weronika</v>
      </c>
      <c r="B234">
        <v>233</v>
      </c>
      <c r="C234" t="s">
        <v>566</v>
      </c>
      <c r="D234" t="s">
        <v>569</v>
      </c>
      <c r="E234">
        <v>3648</v>
      </c>
      <c r="F234">
        <v>3648</v>
      </c>
      <c r="G234">
        <v>301166942</v>
      </c>
      <c r="H234" s="2">
        <v>48533524793</v>
      </c>
      <c r="I234" s="1">
        <v>44207</v>
      </c>
      <c r="J234" s="1">
        <v>73050</v>
      </c>
      <c r="K234" t="s">
        <v>51</v>
      </c>
      <c r="L234" t="s">
        <v>341</v>
      </c>
      <c r="M234" t="s">
        <v>24</v>
      </c>
      <c r="N234" t="s">
        <v>25</v>
      </c>
    </row>
    <row r="235" spans="1:15" x14ac:dyDescent="0.25">
      <c r="A235" t="str">
        <f t="shared" si="3"/>
        <v>Urbas Justyna</v>
      </c>
      <c r="B235">
        <v>234</v>
      </c>
      <c r="C235" t="s">
        <v>566</v>
      </c>
      <c r="D235" t="s">
        <v>567</v>
      </c>
      <c r="E235">
        <v>5526</v>
      </c>
      <c r="F235" t="s">
        <v>568</v>
      </c>
      <c r="G235">
        <v>8978254</v>
      </c>
      <c r="H235" s="2">
        <v>48506572134</v>
      </c>
      <c r="I235" s="1">
        <v>45384</v>
      </c>
      <c r="J235" s="1">
        <v>73050</v>
      </c>
      <c r="K235" t="s">
        <v>17</v>
      </c>
      <c r="L235" t="s">
        <v>17</v>
      </c>
      <c r="M235" t="s">
        <v>18</v>
      </c>
      <c r="N235" t="s">
        <v>28</v>
      </c>
      <c r="O235" s="3">
        <v>0.20836805555555554</v>
      </c>
    </row>
    <row r="236" spans="1:15" x14ac:dyDescent="0.25">
      <c r="A236" t="str">
        <f t="shared" si="3"/>
        <v>Veselá Stanislava</v>
      </c>
      <c r="B236">
        <v>235</v>
      </c>
      <c r="C236" t="s">
        <v>570</v>
      </c>
      <c r="D236" t="s">
        <v>571</v>
      </c>
      <c r="E236">
        <v>5192</v>
      </c>
      <c r="F236" t="s">
        <v>572</v>
      </c>
      <c r="G236">
        <v>0</v>
      </c>
      <c r="H236" s="2">
        <v>734505041</v>
      </c>
      <c r="I236" s="1">
        <v>45280</v>
      </c>
      <c r="J236" s="1">
        <v>73050</v>
      </c>
      <c r="K236" t="s">
        <v>17</v>
      </c>
      <c r="L236" t="s">
        <v>17</v>
      </c>
      <c r="M236" t="s">
        <v>18</v>
      </c>
      <c r="N236" t="s">
        <v>28</v>
      </c>
      <c r="O236" s="3">
        <v>0.20836805555555554</v>
      </c>
    </row>
    <row r="237" spans="1:15" x14ac:dyDescent="0.25">
      <c r="A237" t="str">
        <f t="shared" si="3"/>
        <v>Veselý Stanislav</v>
      </c>
      <c r="B237">
        <v>236</v>
      </c>
      <c r="C237" t="s">
        <v>573</v>
      </c>
      <c r="D237" t="s">
        <v>574</v>
      </c>
      <c r="E237">
        <v>4698</v>
      </c>
      <c r="F237" t="s">
        <v>575</v>
      </c>
      <c r="G237">
        <v>4058686</v>
      </c>
      <c r="H237" s="2">
        <v>774071866</v>
      </c>
      <c r="I237" s="1">
        <v>44818</v>
      </c>
      <c r="J237" s="1">
        <v>73050</v>
      </c>
      <c r="K237" t="s">
        <v>17</v>
      </c>
      <c r="L237" t="s">
        <v>17</v>
      </c>
      <c r="M237" t="s">
        <v>18</v>
      </c>
      <c r="N237" t="s">
        <v>28</v>
      </c>
      <c r="O237" s="3">
        <v>0.20836805555555554</v>
      </c>
    </row>
    <row r="238" spans="1:15" x14ac:dyDescent="0.25">
      <c r="A238" t="str">
        <f t="shared" si="3"/>
        <v>Waclawczyk Adam Krzysztof</v>
      </c>
      <c r="B238">
        <v>237</v>
      </c>
      <c r="C238" t="s">
        <v>576</v>
      </c>
      <c r="D238" t="s">
        <v>577</v>
      </c>
      <c r="E238">
        <v>4611</v>
      </c>
      <c r="F238" t="s">
        <v>578</v>
      </c>
      <c r="G238">
        <v>8563338</v>
      </c>
      <c r="H238" s="2">
        <v>48532484452</v>
      </c>
      <c r="I238" s="1">
        <v>44781</v>
      </c>
      <c r="J238" s="1">
        <v>73050</v>
      </c>
      <c r="K238" t="s">
        <v>128</v>
      </c>
      <c r="L238" t="s">
        <v>157</v>
      </c>
      <c r="M238" t="s">
        <v>24</v>
      </c>
      <c r="N238" t="s">
        <v>28</v>
      </c>
      <c r="O238" s="3"/>
    </row>
    <row r="239" spans="1:15" x14ac:dyDescent="0.25">
      <c r="A239" t="str">
        <f t="shared" si="3"/>
        <v>Wagner Irena Agnieszka</v>
      </c>
      <c r="B239">
        <v>238</v>
      </c>
      <c r="C239" t="s">
        <v>579</v>
      </c>
      <c r="D239" t="s">
        <v>580</v>
      </c>
      <c r="E239">
        <v>5069</v>
      </c>
      <c r="F239" t="s">
        <v>581</v>
      </c>
      <c r="G239">
        <v>1985625</v>
      </c>
      <c r="H239" s="2">
        <v>48697653898</v>
      </c>
      <c r="I239" s="1">
        <v>45167</v>
      </c>
      <c r="J239" s="1">
        <v>73050</v>
      </c>
      <c r="K239" t="s">
        <v>17</v>
      </c>
      <c r="L239" t="s">
        <v>17</v>
      </c>
      <c r="M239" t="s">
        <v>24</v>
      </c>
      <c r="N239" t="s">
        <v>28</v>
      </c>
      <c r="O239" s="3"/>
    </row>
    <row r="240" spans="1:15" x14ac:dyDescent="0.25">
      <c r="A240" t="str">
        <f t="shared" si="3"/>
        <v>Wardzala Nicolla</v>
      </c>
      <c r="B240">
        <v>239</v>
      </c>
      <c r="C240" t="s">
        <v>582</v>
      </c>
      <c r="D240" t="s">
        <v>583</v>
      </c>
      <c r="E240">
        <v>5825</v>
      </c>
      <c r="F240">
        <v>0</v>
      </c>
      <c r="G240">
        <v>334545</v>
      </c>
      <c r="H240">
        <v>48798036240</v>
      </c>
      <c r="I240" s="1">
        <v>45523</v>
      </c>
      <c r="J240" s="1">
        <v>73050</v>
      </c>
      <c r="K240" t="s">
        <v>209</v>
      </c>
      <c r="L240" t="s">
        <v>210</v>
      </c>
      <c r="M240" t="s">
        <v>18</v>
      </c>
      <c r="N240" t="s">
        <v>36</v>
      </c>
    </row>
    <row r="241" spans="1:15" x14ac:dyDescent="0.25">
      <c r="A241" t="str">
        <f t="shared" si="3"/>
        <v>Wasik Izabela</v>
      </c>
      <c r="B241">
        <v>240</v>
      </c>
      <c r="C241" t="s">
        <v>584</v>
      </c>
      <c r="D241" t="s">
        <v>247</v>
      </c>
      <c r="E241">
        <v>5863</v>
      </c>
      <c r="F241">
        <v>0</v>
      </c>
      <c r="G241">
        <v>13055194</v>
      </c>
      <c r="H241" s="2">
        <v>48662313830</v>
      </c>
      <c r="I241" s="1">
        <v>45537</v>
      </c>
      <c r="J241" s="1">
        <v>73050</v>
      </c>
      <c r="K241" t="s">
        <v>34</v>
      </c>
      <c r="L241" t="s">
        <v>585</v>
      </c>
      <c r="M241" t="s">
        <v>24</v>
      </c>
      <c r="N241" t="s">
        <v>36</v>
      </c>
      <c r="O241" s="3"/>
    </row>
    <row r="242" spans="1:15" x14ac:dyDescent="0.25">
      <c r="A242" t="str">
        <f t="shared" si="3"/>
        <v>Waszut Lukasz</v>
      </c>
      <c r="B242">
        <v>241</v>
      </c>
      <c r="C242" t="s">
        <v>586</v>
      </c>
      <c r="D242" t="s">
        <v>80</v>
      </c>
      <c r="E242">
        <v>6174</v>
      </c>
      <c r="F242">
        <v>0</v>
      </c>
      <c r="G242">
        <v>391186208</v>
      </c>
      <c r="H242" s="2">
        <v>48660957195</v>
      </c>
      <c r="I242" s="1">
        <v>45698</v>
      </c>
      <c r="J242" s="1">
        <v>73050</v>
      </c>
      <c r="K242" t="s">
        <v>66</v>
      </c>
      <c r="L242" t="s">
        <v>82</v>
      </c>
      <c r="M242" t="s">
        <v>18</v>
      </c>
      <c r="N242" t="s">
        <v>68</v>
      </c>
      <c r="O242" s="3">
        <v>0.1962962962962963</v>
      </c>
    </row>
    <row r="243" spans="1:15" x14ac:dyDescent="0.25">
      <c r="A243" t="str">
        <f t="shared" si="3"/>
        <v>Watroba Leszek Stanislaw</v>
      </c>
      <c r="B243">
        <v>242</v>
      </c>
      <c r="C243" t="s">
        <v>587</v>
      </c>
      <c r="D243" t="s">
        <v>588</v>
      </c>
      <c r="E243">
        <v>4602</v>
      </c>
      <c r="F243">
        <v>4602</v>
      </c>
      <c r="G243">
        <v>289896649</v>
      </c>
      <c r="H243" s="2">
        <v>48791326307</v>
      </c>
      <c r="I243" s="1">
        <v>44795</v>
      </c>
      <c r="J243" s="1">
        <v>73050</v>
      </c>
      <c r="K243" t="s">
        <v>51</v>
      </c>
      <c r="L243" t="s">
        <v>55</v>
      </c>
      <c r="M243" t="s">
        <v>40</v>
      </c>
      <c r="N243" t="s">
        <v>25</v>
      </c>
      <c r="O243" s="3">
        <v>0.83891203703703698</v>
      </c>
    </row>
    <row r="244" spans="1:15" x14ac:dyDescent="0.25">
      <c r="A244" t="str">
        <f t="shared" si="3"/>
        <v>Wawrzyczek Arkadiusz</v>
      </c>
      <c r="B244">
        <v>243</v>
      </c>
      <c r="C244" t="s">
        <v>589</v>
      </c>
      <c r="D244" t="s">
        <v>590</v>
      </c>
      <c r="E244">
        <v>0</v>
      </c>
      <c r="F244">
        <v>0</v>
      </c>
      <c r="G244">
        <v>12104796</v>
      </c>
      <c r="H244" s="2">
        <v>48452513149</v>
      </c>
      <c r="I244" s="1">
        <v>45789</v>
      </c>
      <c r="J244" s="1">
        <v>73050</v>
      </c>
      <c r="K244" t="s">
        <v>26</v>
      </c>
      <c r="L244" t="s">
        <v>142</v>
      </c>
      <c r="M244" t="s">
        <v>18</v>
      </c>
      <c r="N244" t="s">
        <v>71</v>
      </c>
      <c r="O244" s="3">
        <v>0.20880787037037038</v>
      </c>
    </row>
    <row r="245" spans="1:15" x14ac:dyDescent="0.25">
      <c r="A245" t="str">
        <f t="shared" si="3"/>
        <v>Wawrzyczny Leszek Adam</v>
      </c>
      <c r="B245">
        <v>244</v>
      </c>
      <c r="C245" t="s">
        <v>591</v>
      </c>
      <c r="D245" t="s">
        <v>592</v>
      </c>
      <c r="E245">
        <v>185</v>
      </c>
      <c r="F245" t="s">
        <v>593</v>
      </c>
      <c r="G245">
        <v>4741996</v>
      </c>
      <c r="H245" s="2">
        <v>48795273630</v>
      </c>
      <c r="I245" s="1">
        <v>44593</v>
      </c>
      <c r="J245" s="1">
        <v>73050</v>
      </c>
      <c r="K245" t="s">
        <v>128</v>
      </c>
      <c r="L245" t="s">
        <v>594</v>
      </c>
      <c r="M245" t="s">
        <v>40</v>
      </c>
      <c r="N245" t="s">
        <v>28</v>
      </c>
      <c r="O245" s="3">
        <v>0.84826388888888893</v>
      </c>
    </row>
    <row r="246" spans="1:15" x14ac:dyDescent="0.25">
      <c r="A246" t="str">
        <f t="shared" si="3"/>
        <v>Wiącek Robert</v>
      </c>
      <c r="B246">
        <v>245</v>
      </c>
      <c r="C246" t="s">
        <v>595</v>
      </c>
      <c r="D246" t="s">
        <v>101</v>
      </c>
      <c r="E246">
        <v>5390</v>
      </c>
      <c r="F246">
        <v>52029</v>
      </c>
      <c r="G246">
        <v>400343783</v>
      </c>
      <c r="H246" s="2">
        <v>48537272144</v>
      </c>
      <c r="I246" s="1">
        <v>45314</v>
      </c>
      <c r="J246" s="1">
        <v>73050</v>
      </c>
      <c r="K246" t="s">
        <v>66</v>
      </c>
      <c r="L246" t="s">
        <v>223</v>
      </c>
      <c r="M246" t="s">
        <v>18</v>
      </c>
      <c r="N246" t="s">
        <v>68</v>
      </c>
      <c r="O246" s="3">
        <v>0.16995370370370369</v>
      </c>
    </row>
    <row r="247" spans="1:15" x14ac:dyDescent="0.25">
      <c r="A247" t="str">
        <f t="shared" si="3"/>
        <v>Wieszolek Adam</v>
      </c>
      <c r="B247">
        <v>246</v>
      </c>
      <c r="C247" t="s">
        <v>596</v>
      </c>
      <c r="D247" t="s">
        <v>175</v>
      </c>
      <c r="E247">
        <v>6570</v>
      </c>
      <c r="F247">
        <v>0</v>
      </c>
      <c r="G247">
        <v>6448188</v>
      </c>
      <c r="H247">
        <v>48535266104</v>
      </c>
      <c r="I247" s="1">
        <v>45922</v>
      </c>
      <c r="J247" s="1">
        <v>73050</v>
      </c>
      <c r="K247" t="s">
        <v>160</v>
      </c>
      <c r="L247" t="s">
        <v>561</v>
      </c>
      <c r="M247" t="s">
        <v>18</v>
      </c>
      <c r="N247" t="s">
        <v>68</v>
      </c>
      <c r="O247" s="3">
        <v>0.17643518518518519</v>
      </c>
    </row>
    <row r="248" spans="1:15" x14ac:dyDescent="0.25">
      <c r="A248" t="str">
        <f t="shared" si="3"/>
        <v>Właśniak Dariusz</v>
      </c>
      <c r="B248">
        <v>247</v>
      </c>
      <c r="C248" t="s">
        <v>597</v>
      </c>
      <c r="D248" t="s">
        <v>365</v>
      </c>
      <c r="E248">
        <v>5407</v>
      </c>
      <c r="F248">
        <v>52047</v>
      </c>
      <c r="G248">
        <v>392172595</v>
      </c>
      <c r="H248" s="2">
        <v>48501709952</v>
      </c>
      <c r="I248" s="1">
        <v>45321</v>
      </c>
      <c r="J248" s="1">
        <v>45686</v>
      </c>
      <c r="K248" t="s">
        <v>66</v>
      </c>
      <c r="L248" t="s">
        <v>167</v>
      </c>
      <c r="M248" t="s">
        <v>225</v>
      </c>
      <c r="N248" t="s">
        <v>68</v>
      </c>
      <c r="O248" s="3">
        <v>0.18731481481481482</v>
      </c>
    </row>
    <row r="249" spans="1:15" x14ac:dyDescent="0.25">
      <c r="A249" t="str">
        <f t="shared" si="3"/>
        <v>Wojtowicz Wieslawa</v>
      </c>
      <c r="B249">
        <v>248</v>
      </c>
      <c r="C249" t="s">
        <v>599</v>
      </c>
      <c r="D249" t="s">
        <v>208</v>
      </c>
      <c r="E249">
        <v>5720</v>
      </c>
      <c r="F249" t="s">
        <v>600</v>
      </c>
      <c r="G249">
        <v>3790525</v>
      </c>
      <c r="H249" s="2">
        <v>48513737039</v>
      </c>
      <c r="I249" s="1">
        <v>45476</v>
      </c>
      <c r="J249" s="1">
        <v>73050</v>
      </c>
      <c r="K249" t="s">
        <v>26</v>
      </c>
      <c r="L249" t="s">
        <v>142</v>
      </c>
      <c r="M249" t="s">
        <v>24</v>
      </c>
      <c r="N249" t="s">
        <v>28</v>
      </c>
      <c r="O249" s="3"/>
    </row>
    <row r="250" spans="1:15" x14ac:dyDescent="0.25">
      <c r="A250" t="str">
        <f t="shared" si="3"/>
        <v>Wojtowicz Karolina</v>
      </c>
      <c r="B250">
        <v>249</v>
      </c>
      <c r="C250" t="s">
        <v>599</v>
      </c>
      <c r="D250" t="s">
        <v>601</v>
      </c>
      <c r="E250">
        <v>5722</v>
      </c>
      <c r="F250" t="s">
        <v>602</v>
      </c>
      <c r="G250">
        <v>7418733</v>
      </c>
      <c r="H250" s="2">
        <v>48534809053</v>
      </c>
      <c r="I250" s="1">
        <v>45476</v>
      </c>
      <c r="J250" s="1">
        <v>73050</v>
      </c>
      <c r="K250" t="s">
        <v>26</v>
      </c>
      <c r="L250" t="s">
        <v>142</v>
      </c>
      <c r="M250" t="s">
        <v>24</v>
      </c>
      <c r="N250" t="s">
        <v>28</v>
      </c>
    </row>
    <row r="251" spans="1:15" x14ac:dyDescent="0.25">
      <c r="A251" t="str">
        <f t="shared" si="3"/>
        <v>Wronka Rafal</v>
      </c>
      <c r="B251">
        <v>250</v>
      </c>
      <c r="C251" t="s">
        <v>603</v>
      </c>
      <c r="D251" t="s">
        <v>227</v>
      </c>
      <c r="E251">
        <v>6180</v>
      </c>
      <c r="F251">
        <v>0</v>
      </c>
      <c r="G251">
        <v>9182303</v>
      </c>
      <c r="H251" s="2">
        <v>48730888191</v>
      </c>
      <c r="I251" s="1">
        <v>45699</v>
      </c>
      <c r="J251" s="1">
        <v>73050</v>
      </c>
      <c r="K251" t="s">
        <v>26</v>
      </c>
      <c r="L251" t="s">
        <v>142</v>
      </c>
      <c r="M251" t="s">
        <v>40</v>
      </c>
      <c r="N251" t="s">
        <v>28</v>
      </c>
      <c r="O251" s="3">
        <v>0.87553240740740745</v>
      </c>
    </row>
    <row r="252" spans="1:15" x14ac:dyDescent="0.25">
      <c r="A252" t="str">
        <f t="shared" si="3"/>
        <v>Wutzke Ewa Sabina</v>
      </c>
      <c r="B252">
        <v>251</v>
      </c>
      <c r="C252" t="s">
        <v>604</v>
      </c>
      <c r="D252" t="s">
        <v>605</v>
      </c>
      <c r="E252">
        <v>4940</v>
      </c>
      <c r="F252">
        <v>4940</v>
      </c>
      <c r="G252">
        <v>301162124</v>
      </c>
      <c r="H252" s="2">
        <v>48604950674</v>
      </c>
      <c r="I252" s="1">
        <v>45028</v>
      </c>
      <c r="J252" s="1">
        <v>73050</v>
      </c>
      <c r="K252" t="s">
        <v>51</v>
      </c>
      <c r="L252" t="s">
        <v>55</v>
      </c>
      <c r="M252" t="s">
        <v>24</v>
      </c>
      <c r="N252" t="s">
        <v>25</v>
      </c>
      <c r="O252" s="3"/>
    </row>
    <row r="253" spans="1:15" x14ac:dyDescent="0.25">
      <c r="A253" t="str">
        <f t="shared" si="3"/>
        <v>Wywiol Romeusz</v>
      </c>
      <c r="B253">
        <v>252</v>
      </c>
      <c r="C253" t="s">
        <v>606</v>
      </c>
      <c r="D253" t="s">
        <v>607</v>
      </c>
      <c r="E253">
        <v>5660</v>
      </c>
      <c r="F253">
        <v>5175</v>
      </c>
      <c r="G253">
        <v>315321918</v>
      </c>
      <c r="H253" s="2">
        <v>48537280373</v>
      </c>
      <c r="I253" s="1">
        <v>45162</v>
      </c>
      <c r="J253" s="1">
        <v>73050</v>
      </c>
      <c r="K253" t="s">
        <v>51</v>
      </c>
      <c r="L253" t="s">
        <v>394</v>
      </c>
      <c r="M253" t="s">
        <v>18</v>
      </c>
      <c r="N253" t="s">
        <v>25</v>
      </c>
      <c r="O253" s="3">
        <v>0.1762037037037037</v>
      </c>
    </row>
    <row r="254" spans="1:15" x14ac:dyDescent="0.25">
      <c r="A254" t="str">
        <f t="shared" si="3"/>
        <v>Zajac Tomasz</v>
      </c>
      <c r="B254">
        <v>253</v>
      </c>
      <c r="C254" t="s">
        <v>608</v>
      </c>
      <c r="D254" t="s">
        <v>159</v>
      </c>
      <c r="E254">
        <v>6152</v>
      </c>
      <c r="F254">
        <v>0</v>
      </c>
      <c r="G254">
        <v>11642700</v>
      </c>
      <c r="H254" s="2">
        <v>48505592359</v>
      </c>
      <c r="I254" s="1">
        <v>45679</v>
      </c>
      <c r="J254" s="1">
        <v>73050</v>
      </c>
      <c r="K254" t="s">
        <v>26</v>
      </c>
      <c r="L254" t="s">
        <v>311</v>
      </c>
      <c r="M254" t="s">
        <v>18</v>
      </c>
      <c r="N254" t="s">
        <v>96</v>
      </c>
      <c r="O254" s="3">
        <v>0.19247685185185184</v>
      </c>
    </row>
    <row r="255" spans="1:15" x14ac:dyDescent="0.25">
      <c r="A255" t="str">
        <f t="shared" si="3"/>
        <v>Zarebska Ewa</v>
      </c>
      <c r="B255">
        <v>254</v>
      </c>
      <c r="C255" t="s">
        <v>609</v>
      </c>
      <c r="D255" t="s">
        <v>85</v>
      </c>
      <c r="E255">
        <v>5399</v>
      </c>
      <c r="F255">
        <v>70168</v>
      </c>
      <c r="G255">
        <v>12946852</v>
      </c>
      <c r="H255" s="2">
        <v>48789354196</v>
      </c>
      <c r="I255" s="1">
        <v>45320</v>
      </c>
      <c r="J255" s="1">
        <v>45685</v>
      </c>
      <c r="K255" t="s">
        <v>209</v>
      </c>
      <c r="L255" t="s">
        <v>610</v>
      </c>
      <c r="M255" t="s">
        <v>18</v>
      </c>
      <c r="N255" t="s">
        <v>36</v>
      </c>
      <c r="O255" s="3"/>
    </row>
    <row r="256" spans="1:15" x14ac:dyDescent="0.25">
      <c r="A256" t="str">
        <f t="shared" si="3"/>
        <v>Zawada Grzegorz</v>
      </c>
      <c r="B256">
        <v>255</v>
      </c>
      <c r="C256" t="s">
        <v>611</v>
      </c>
      <c r="D256" t="s">
        <v>179</v>
      </c>
      <c r="E256">
        <v>6243</v>
      </c>
      <c r="F256">
        <v>0</v>
      </c>
      <c r="G256">
        <v>1179795</v>
      </c>
      <c r="H256" s="2">
        <v>48881419769</v>
      </c>
      <c r="I256" s="1">
        <v>45733</v>
      </c>
      <c r="J256" s="1">
        <v>73050</v>
      </c>
      <c r="K256" t="s">
        <v>22</v>
      </c>
      <c r="L256" t="s">
        <v>23</v>
      </c>
      <c r="M256" t="s">
        <v>24</v>
      </c>
      <c r="N256" t="s">
        <v>25</v>
      </c>
      <c r="O256" s="3"/>
    </row>
    <row r="257" spans="1:15" x14ac:dyDescent="0.25">
      <c r="A257" t="str">
        <f t="shared" si="3"/>
        <v>Zeromska Aleksandra</v>
      </c>
      <c r="B257">
        <v>256</v>
      </c>
      <c r="C257" t="s">
        <v>936</v>
      </c>
      <c r="D257" t="s">
        <v>937</v>
      </c>
      <c r="E257">
        <v>6585</v>
      </c>
      <c r="F257">
        <v>0</v>
      </c>
      <c r="G257">
        <v>12097138</v>
      </c>
      <c r="H257" s="2">
        <v>48725454793</v>
      </c>
      <c r="I257" s="1">
        <v>45931</v>
      </c>
      <c r="J257" s="1">
        <v>73050</v>
      </c>
      <c r="K257" t="s">
        <v>209</v>
      </c>
      <c r="L257" t="s">
        <v>525</v>
      </c>
      <c r="M257" t="s">
        <v>40</v>
      </c>
      <c r="N257" t="s">
        <v>19</v>
      </c>
      <c r="O257" s="3"/>
    </row>
    <row r="258" spans="1:15" x14ac:dyDescent="0.25">
      <c r="A258" t="str">
        <f t="shared" ref="A258:A291" si="4">C258&amp;" "&amp;D258</f>
        <v>Zjadewicz Robert</v>
      </c>
      <c r="B258">
        <v>257</v>
      </c>
      <c r="C258" t="s">
        <v>613</v>
      </c>
      <c r="D258" t="s">
        <v>101</v>
      </c>
      <c r="E258">
        <v>4928</v>
      </c>
      <c r="F258">
        <v>4928</v>
      </c>
      <c r="G258">
        <v>1246590</v>
      </c>
      <c r="H258" s="2">
        <v>48783448031</v>
      </c>
      <c r="I258" s="1">
        <v>45021</v>
      </c>
      <c r="J258" s="1">
        <v>73050</v>
      </c>
      <c r="K258" t="s">
        <v>51</v>
      </c>
      <c r="L258" t="s">
        <v>55</v>
      </c>
      <c r="M258" t="s">
        <v>40</v>
      </c>
      <c r="N258" t="s">
        <v>25</v>
      </c>
      <c r="O258" s="3">
        <v>0.83895833333333336</v>
      </c>
    </row>
    <row r="259" spans="1:15" x14ac:dyDescent="0.25">
      <c r="A259" t="str">
        <f t="shared" si="4"/>
        <v>Zlotkowski Miroslaw</v>
      </c>
      <c r="B259">
        <v>258</v>
      </c>
      <c r="C259" t="s">
        <v>614</v>
      </c>
      <c r="D259" t="s">
        <v>615</v>
      </c>
      <c r="E259">
        <v>6478</v>
      </c>
      <c r="F259">
        <v>0</v>
      </c>
      <c r="G259">
        <v>13396864</v>
      </c>
      <c r="H259" s="2">
        <v>48514745255</v>
      </c>
      <c r="I259" s="1">
        <v>45861</v>
      </c>
      <c r="J259" s="1">
        <v>73050</v>
      </c>
      <c r="K259" t="s">
        <v>133</v>
      </c>
      <c r="L259" t="s">
        <v>616</v>
      </c>
      <c r="M259" t="s">
        <v>18</v>
      </c>
      <c r="N259" t="s">
        <v>134</v>
      </c>
      <c r="O259" s="3"/>
    </row>
    <row r="260" spans="1:15" x14ac:dyDescent="0.25">
      <c r="A260" t="str">
        <f t="shared" si="4"/>
        <v>Zmarzly Roksana Marzena</v>
      </c>
      <c r="B260">
        <v>259</v>
      </c>
      <c r="C260" t="s">
        <v>617</v>
      </c>
      <c r="D260" t="s">
        <v>618</v>
      </c>
      <c r="E260">
        <v>4423</v>
      </c>
      <c r="F260" t="s">
        <v>619</v>
      </c>
      <c r="G260">
        <v>1988530</v>
      </c>
      <c r="H260" s="2">
        <v>48690020314</v>
      </c>
      <c r="I260" s="1">
        <v>44652</v>
      </c>
      <c r="J260" s="1">
        <v>73050</v>
      </c>
      <c r="K260" t="s">
        <v>128</v>
      </c>
      <c r="L260" t="s">
        <v>620</v>
      </c>
      <c r="M260" t="s">
        <v>40</v>
      </c>
      <c r="N260" t="s">
        <v>28</v>
      </c>
    </row>
    <row r="261" spans="1:15" x14ac:dyDescent="0.25">
      <c r="A261" t="str">
        <f t="shared" si="4"/>
        <v>Zubrzycka Barbara</v>
      </c>
      <c r="B261">
        <v>260</v>
      </c>
      <c r="C261" t="s">
        <v>621</v>
      </c>
      <c r="D261" t="s">
        <v>486</v>
      </c>
      <c r="E261">
        <v>5036</v>
      </c>
      <c r="F261" t="s">
        <v>622</v>
      </c>
      <c r="G261">
        <v>1932033</v>
      </c>
      <c r="H261" s="2">
        <v>48889168210</v>
      </c>
      <c r="I261" s="1">
        <v>45147</v>
      </c>
      <c r="J261" s="1">
        <v>73050</v>
      </c>
      <c r="K261" t="s">
        <v>17</v>
      </c>
      <c r="L261" t="s">
        <v>17</v>
      </c>
      <c r="M261" t="s">
        <v>18</v>
      </c>
      <c r="N261" t="s">
        <v>28</v>
      </c>
      <c r="O261" s="3">
        <v>0.20836805555555554</v>
      </c>
    </row>
    <row r="262" spans="1:15" x14ac:dyDescent="0.25">
      <c r="A262" t="str">
        <f t="shared" si="4"/>
        <v>Żwirek Arkadiusz</v>
      </c>
      <c r="B262">
        <v>261</v>
      </c>
      <c r="C262" t="s">
        <v>623</v>
      </c>
      <c r="D262" t="s">
        <v>590</v>
      </c>
      <c r="E262">
        <v>5743</v>
      </c>
      <c r="F262">
        <v>0</v>
      </c>
      <c r="G262">
        <v>1234766</v>
      </c>
      <c r="H262" s="2">
        <v>48730156784</v>
      </c>
      <c r="I262" s="1">
        <v>45481</v>
      </c>
      <c r="J262" s="1">
        <v>73050</v>
      </c>
      <c r="K262" t="s">
        <v>81</v>
      </c>
      <c r="L262" t="s">
        <v>547</v>
      </c>
      <c r="M262" t="s">
        <v>18</v>
      </c>
      <c r="N262" t="s">
        <v>83</v>
      </c>
      <c r="O262" s="3">
        <v>0.19988425925925926</v>
      </c>
    </row>
    <row r="263" spans="1:15" x14ac:dyDescent="0.25">
      <c r="A263" t="str">
        <f t="shared" si="4"/>
        <v>Żwirek Dawid</v>
      </c>
      <c r="B263">
        <v>262</v>
      </c>
      <c r="C263" t="s">
        <v>623</v>
      </c>
      <c r="D263" t="s">
        <v>89</v>
      </c>
      <c r="E263">
        <v>5744</v>
      </c>
      <c r="F263">
        <v>0</v>
      </c>
      <c r="G263">
        <v>12978024</v>
      </c>
      <c r="H263">
        <v>48506037140</v>
      </c>
      <c r="I263" s="1">
        <v>45481</v>
      </c>
      <c r="J263" s="1">
        <v>73050</v>
      </c>
      <c r="K263" t="s">
        <v>81</v>
      </c>
      <c r="L263" t="s">
        <v>534</v>
      </c>
      <c r="M263" t="s">
        <v>18</v>
      </c>
      <c r="N263" t="s">
        <v>83</v>
      </c>
      <c r="O263" s="3">
        <v>0.20428240740740741</v>
      </c>
    </row>
    <row r="264" spans="1:15" x14ac:dyDescent="0.25">
      <c r="A264" t="str">
        <f t="shared" si="4"/>
        <v>Zybul Paweł</v>
      </c>
      <c r="B264">
        <v>263</v>
      </c>
      <c r="C264" t="s">
        <v>961</v>
      </c>
      <c r="D264" t="s">
        <v>962</v>
      </c>
      <c r="E264">
        <v>6592</v>
      </c>
      <c r="F264">
        <v>0</v>
      </c>
      <c r="G264" t="s">
        <v>963</v>
      </c>
      <c r="H264" s="2">
        <v>48517974452</v>
      </c>
      <c r="I264" s="1">
        <v>45936</v>
      </c>
      <c r="J264" s="1">
        <v>73050</v>
      </c>
      <c r="K264" t="s">
        <v>66</v>
      </c>
      <c r="L264" t="s">
        <v>167</v>
      </c>
      <c r="M264" t="s">
        <v>18</v>
      </c>
      <c r="N264" t="s">
        <v>68</v>
      </c>
      <c r="O264" s="3"/>
    </row>
    <row r="265" spans="1:15" x14ac:dyDescent="0.25">
      <c r="A265" t="str">
        <f t="shared" si="4"/>
        <v>Zygadlinska Aneta</v>
      </c>
      <c r="B265">
        <v>264</v>
      </c>
      <c r="C265" t="s">
        <v>624</v>
      </c>
      <c r="D265" t="s">
        <v>625</v>
      </c>
      <c r="E265">
        <v>5177</v>
      </c>
      <c r="F265" t="s">
        <v>626</v>
      </c>
      <c r="G265">
        <v>3350968</v>
      </c>
      <c r="H265" s="2">
        <v>48690316122</v>
      </c>
      <c r="I265" s="1">
        <v>45225</v>
      </c>
      <c r="J265" s="1">
        <v>45777</v>
      </c>
      <c r="K265" t="s">
        <v>128</v>
      </c>
      <c r="L265" t="s">
        <v>620</v>
      </c>
      <c r="M265" t="s">
        <v>24</v>
      </c>
      <c r="N265" t="s">
        <v>28</v>
      </c>
      <c r="O265" s="3"/>
    </row>
    <row r="266" spans="1:15" x14ac:dyDescent="0.25">
      <c r="A266" t="str">
        <f t="shared" si="4"/>
        <v>Zymelka Krzysztof</v>
      </c>
      <c r="B266">
        <v>265</v>
      </c>
      <c r="C266" t="s">
        <v>627</v>
      </c>
      <c r="D266" t="s">
        <v>201</v>
      </c>
      <c r="E266">
        <v>6558</v>
      </c>
      <c r="F266">
        <v>0</v>
      </c>
      <c r="G266">
        <v>1170190</v>
      </c>
      <c r="H266">
        <v>48692207080</v>
      </c>
      <c r="I266" s="1">
        <v>45911</v>
      </c>
      <c r="J266" s="1">
        <v>73050</v>
      </c>
      <c r="K266" t="s">
        <v>128</v>
      </c>
      <c r="L266" t="s">
        <v>138</v>
      </c>
      <c r="M266" t="s">
        <v>18</v>
      </c>
      <c r="N266" t="s">
        <v>71</v>
      </c>
      <c r="O266" s="3">
        <v>0.17281250000000001</v>
      </c>
    </row>
    <row r="267" spans="1:15" x14ac:dyDescent="0.25">
      <c r="A267" t="str">
        <f t="shared" si="4"/>
        <v>Zynda Wieslaw Józef</v>
      </c>
      <c r="B267">
        <v>266</v>
      </c>
      <c r="C267" t="s">
        <v>628</v>
      </c>
      <c r="D267" t="s">
        <v>629</v>
      </c>
      <c r="E267">
        <v>5073</v>
      </c>
      <c r="F267">
        <v>51905</v>
      </c>
      <c r="G267">
        <v>369912861</v>
      </c>
      <c r="H267" s="2">
        <v>48665068281</v>
      </c>
      <c r="I267" s="1">
        <v>45089</v>
      </c>
      <c r="J267" s="1">
        <v>73050</v>
      </c>
      <c r="K267" t="s">
        <v>66</v>
      </c>
      <c r="L267" t="s">
        <v>337</v>
      </c>
      <c r="M267" t="s">
        <v>18</v>
      </c>
      <c r="N267" t="s">
        <v>68</v>
      </c>
      <c r="O267" s="3">
        <v>0.17347222222222222</v>
      </c>
    </row>
    <row r="268" spans="1:15" x14ac:dyDescent="0.25">
      <c r="A268" t="str">
        <f t="shared" si="4"/>
        <v>Blonski Marcin Ireneusz</v>
      </c>
      <c r="B268">
        <v>266</v>
      </c>
      <c r="C268" t="s">
        <v>72</v>
      </c>
      <c r="D268" t="s">
        <v>73</v>
      </c>
      <c r="E268">
        <v>4834</v>
      </c>
      <c r="F268">
        <v>4834</v>
      </c>
      <c r="G268">
        <v>13117068</v>
      </c>
      <c r="H268" s="2">
        <v>48451203184</v>
      </c>
      <c r="I268" s="1">
        <v>45545</v>
      </c>
      <c r="J268" s="1">
        <v>45908</v>
      </c>
      <c r="K268" t="s">
        <v>34</v>
      </c>
      <c r="L268" t="s">
        <v>35</v>
      </c>
      <c r="M268" t="s">
        <v>18</v>
      </c>
      <c r="N268" t="s">
        <v>36</v>
      </c>
    </row>
    <row r="269" spans="1:15" x14ac:dyDescent="0.25">
      <c r="A269" t="str">
        <f t="shared" si="4"/>
        <v>Brewinski Zbigniew</v>
      </c>
      <c r="B269">
        <v>266</v>
      </c>
      <c r="C269" t="s">
        <v>97</v>
      </c>
      <c r="D269" t="s">
        <v>98</v>
      </c>
      <c r="E269">
        <v>5400</v>
      </c>
      <c r="F269">
        <v>0</v>
      </c>
      <c r="G269">
        <v>13118940</v>
      </c>
      <c r="H269" s="2">
        <v>48578196963</v>
      </c>
      <c r="I269" s="1">
        <v>45446</v>
      </c>
      <c r="J269" s="1">
        <v>45810</v>
      </c>
      <c r="K269" t="s">
        <v>51</v>
      </c>
      <c r="L269" t="s">
        <v>99</v>
      </c>
      <c r="M269" t="s">
        <v>225</v>
      </c>
      <c r="N269" t="s">
        <v>25</v>
      </c>
      <c r="O269" s="3"/>
    </row>
    <row r="270" spans="1:15" x14ac:dyDescent="0.25">
      <c r="A270" t="str">
        <f t="shared" si="4"/>
        <v>Cyrzyk Grazyna Barbara</v>
      </c>
      <c r="B270">
        <v>266</v>
      </c>
      <c r="C270" t="s">
        <v>130</v>
      </c>
      <c r="D270" t="s">
        <v>131</v>
      </c>
      <c r="E270">
        <v>4501</v>
      </c>
      <c r="F270">
        <v>4501</v>
      </c>
      <c r="G270">
        <v>315325883</v>
      </c>
      <c r="H270" s="2">
        <v>48507397115</v>
      </c>
      <c r="I270" s="1">
        <v>44725</v>
      </c>
      <c r="J270" s="1">
        <v>73050</v>
      </c>
      <c r="K270" t="s">
        <v>22</v>
      </c>
      <c r="L270" t="s">
        <v>132</v>
      </c>
      <c r="M270" t="s">
        <v>225</v>
      </c>
      <c r="N270" t="s">
        <v>25</v>
      </c>
      <c r="O270" s="3"/>
    </row>
    <row r="271" spans="1:15" x14ac:dyDescent="0.25">
      <c r="A271" t="str">
        <f t="shared" si="4"/>
        <v>Jerchewicz Iwona</v>
      </c>
      <c r="B271">
        <v>266</v>
      </c>
      <c r="C271" t="s">
        <v>250</v>
      </c>
      <c r="D271" t="s">
        <v>251</v>
      </c>
      <c r="E271">
        <v>6206</v>
      </c>
      <c r="F271">
        <v>0</v>
      </c>
      <c r="G271">
        <v>13068368</v>
      </c>
      <c r="H271" s="2">
        <v>48517946990</v>
      </c>
      <c r="I271" s="1">
        <v>45719</v>
      </c>
      <c r="J271" s="1">
        <v>73050</v>
      </c>
      <c r="K271" t="s">
        <v>34</v>
      </c>
      <c r="L271" t="s">
        <v>93</v>
      </c>
      <c r="M271" t="s">
        <v>225</v>
      </c>
      <c r="N271" t="s">
        <v>36</v>
      </c>
      <c r="O271" s="3"/>
    </row>
    <row r="272" spans="1:15" x14ac:dyDescent="0.25">
      <c r="A272" t="str">
        <f t="shared" si="4"/>
        <v>Kala Janusz Eryk</v>
      </c>
      <c r="B272">
        <v>266</v>
      </c>
      <c r="C272" t="s">
        <v>254</v>
      </c>
      <c r="D272" t="s">
        <v>255</v>
      </c>
      <c r="E272">
        <v>4680</v>
      </c>
      <c r="F272">
        <v>51666</v>
      </c>
      <c r="G272">
        <v>916535</v>
      </c>
      <c r="H272" s="2">
        <v>48537097454</v>
      </c>
      <c r="I272" s="1">
        <v>44837</v>
      </c>
      <c r="J272" s="1">
        <v>73050</v>
      </c>
      <c r="K272" t="s">
        <v>66</v>
      </c>
      <c r="L272" t="s">
        <v>256</v>
      </c>
      <c r="M272" t="s">
        <v>225</v>
      </c>
      <c r="N272" t="s">
        <v>68</v>
      </c>
      <c r="O272" s="3"/>
    </row>
    <row r="273" spans="1:16" x14ac:dyDescent="0.25">
      <c r="A273" t="str">
        <f t="shared" si="4"/>
        <v>Możdżeń Dariusz</v>
      </c>
      <c r="B273">
        <v>266</v>
      </c>
      <c r="C273" t="s">
        <v>364</v>
      </c>
      <c r="D273" t="s">
        <v>365</v>
      </c>
      <c r="E273">
        <v>5871</v>
      </c>
      <c r="F273">
        <v>0</v>
      </c>
      <c r="G273">
        <v>391232813</v>
      </c>
      <c r="H273" s="2">
        <v>48720743015</v>
      </c>
      <c r="I273" s="1">
        <v>45538</v>
      </c>
      <c r="J273" s="1">
        <v>73050</v>
      </c>
      <c r="K273" t="s">
        <v>66</v>
      </c>
      <c r="L273" t="s">
        <v>82</v>
      </c>
      <c r="M273" t="s">
        <v>18</v>
      </c>
      <c r="N273" t="s">
        <v>68</v>
      </c>
      <c r="O273" s="3"/>
    </row>
    <row r="274" spans="1:16" x14ac:dyDescent="0.25">
      <c r="A274" t="str">
        <f t="shared" si="4"/>
        <v>Przybyla Danuta Anna</v>
      </c>
      <c r="B274">
        <v>266</v>
      </c>
      <c r="C274" t="s">
        <v>435</v>
      </c>
      <c r="D274" t="s">
        <v>436</v>
      </c>
      <c r="E274">
        <v>150</v>
      </c>
      <c r="F274" t="s">
        <v>437</v>
      </c>
      <c r="G274">
        <v>2036505</v>
      </c>
      <c r="H274" s="2">
        <v>48781935611</v>
      </c>
      <c r="I274" s="1">
        <v>44593</v>
      </c>
      <c r="J274" s="1">
        <v>73050</v>
      </c>
      <c r="K274" t="s">
        <v>128</v>
      </c>
      <c r="L274" t="s">
        <v>157</v>
      </c>
      <c r="M274" t="s">
        <v>225</v>
      </c>
      <c r="N274" t="s">
        <v>28</v>
      </c>
      <c r="O274" s="3"/>
    </row>
    <row r="275" spans="1:16" x14ac:dyDescent="0.25">
      <c r="A275" t="str">
        <f t="shared" si="4"/>
        <v>Rak Julia</v>
      </c>
      <c r="B275">
        <v>266</v>
      </c>
      <c r="C275" t="s">
        <v>440</v>
      </c>
      <c r="D275" t="s">
        <v>441</v>
      </c>
      <c r="E275">
        <v>5948</v>
      </c>
      <c r="F275">
        <v>0</v>
      </c>
      <c r="G275">
        <v>65286127</v>
      </c>
      <c r="H275">
        <v>48668816576</v>
      </c>
      <c r="I275" s="1">
        <v>45565</v>
      </c>
      <c r="J275" s="1">
        <v>73050</v>
      </c>
      <c r="K275" t="s">
        <v>51</v>
      </c>
      <c r="L275" t="s">
        <v>442</v>
      </c>
      <c r="M275" t="s">
        <v>225</v>
      </c>
      <c r="N275" t="s">
        <v>25</v>
      </c>
      <c r="O275" s="3"/>
    </row>
    <row r="276" spans="1:16" x14ac:dyDescent="0.25">
      <c r="A276" t="str">
        <f t="shared" si="4"/>
        <v>Siekierski Filip</v>
      </c>
      <c r="B276">
        <v>266</v>
      </c>
      <c r="C276" t="s">
        <v>466</v>
      </c>
      <c r="D276" t="s">
        <v>467</v>
      </c>
      <c r="E276">
        <v>6394</v>
      </c>
      <c r="F276">
        <v>0</v>
      </c>
      <c r="G276">
        <v>1164442</v>
      </c>
      <c r="H276">
        <v>48733883743</v>
      </c>
      <c r="I276" s="1">
        <v>45818</v>
      </c>
      <c r="J276" s="1">
        <v>73050</v>
      </c>
      <c r="K276" t="s">
        <v>51</v>
      </c>
      <c r="L276" t="s">
        <v>55</v>
      </c>
      <c r="M276" t="s">
        <v>225</v>
      </c>
      <c r="N276" t="s">
        <v>468</v>
      </c>
      <c r="O276" s="3"/>
    </row>
    <row r="277" spans="1:16" x14ac:dyDescent="0.25">
      <c r="A277" t="str">
        <f t="shared" si="4"/>
        <v>Skierka Dariusz</v>
      </c>
      <c r="B277">
        <v>266</v>
      </c>
      <c r="C277" t="s">
        <v>475</v>
      </c>
      <c r="D277" t="s">
        <v>365</v>
      </c>
      <c r="E277">
        <v>6344</v>
      </c>
      <c r="F277">
        <v>0</v>
      </c>
      <c r="G277">
        <v>400329906</v>
      </c>
      <c r="H277" s="2">
        <v>48514157850</v>
      </c>
      <c r="I277" s="1">
        <v>45783</v>
      </c>
      <c r="J277" s="1">
        <v>73050</v>
      </c>
      <c r="K277" t="s">
        <v>66</v>
      </c>
      <c r="L277" t="s">
        <v>82</v>
      </c>
      <c r="M277" t="s">
        <v>225</v>
      </c>
      <c r="N277" t="s">
        <v>68</v>
      </c>
    </row>
    <row r="278" spans="1:16" x14ac:dyDescent="0.25">
      <c r="A278" t="str">
        <f t="shared" si="4"/>
        <v>Stryjska Beata Malgorzata</v>
      </c>
      <c r="B278">
        <v>266</v>
      </c>
      <c r="C278" t="s">
        <v>508</v>
      </c>
      <c r="D278" t="s">
        <v>509</v>
      </c>
      <c r="E278">
        <v>4828</v>
      </c>
      <c r="F278">
        <v>4828</v>
      </c>
      <c r="G278">
        <v>348338812</v>
      </c>
      <c r="H278" s="2">
        <v>48607421757</v>
      </c>
      <c r="I278" s="1">
        <v>44942</v>
      </c>
      <c r="J278" s="1">
        <v>73050</v>
      </c>
      <c r="K278" t="s">
        <v>22</v>
      </c>
      <c r="L278" t="s">
        <v>110</v>
      </c>
      <c r="M278" t="s">
        <v>225</v>
      </c>
      <c r="N278" t="s">
        <v>25</v>
      </c>
    </row>
    <row r="279" spans="1:16" x14ac:dyDescent="0.25">
      <c r="A279" t="str">
        <f t="shared" si="4"/>
        <v>Wodyk Piotr</v>
      </c>
      <c r="B279">
        <v>266</v>
      </c>
      <c r="C279" t="s">
        <v>598</v>
      </c>
      <c r="D279" t="s">
        <v>222</v>
      </c>
      <c r="E279">
        <v>6388</v>
      </c>
      <c r="F279">
        <v>0</v>
      </c>
      <c r="G279">
        <v>0</v>
      </c>
      <c r="H279">
        <v>48662967022</v>
      </c>
      <c r="I279" s="1">
        <v>45814</v>
      </c>
      <c r="J279" s="1">
        <v>73050</v>
      </c>
      <c r="K279" t="s">
        <v>17</v>
      </c>
      <c r="L279" t="s">
        <v>17</v>
      </c>
      <c r="M279" t="s">
        <v>225</v>
      </c>
      <c r="N279" t="s">
        <v>28</v>
      </c>
      <c r="O279" s="3"/>
    </row>
    <row r="280" spans="1:16" x14ac:dyDescent="0.25">
      <c r="A280" t="str">
        <f t="shared" si="4"/>
        <v>Zglenicka Magdalena</v>
      </c>
      <c r="B280">
        <v>266</v>
      </c>
      <c r="C280" t="s">
        <v>612</v>
      </c>
      <c r="D280" t="s">
        <v>21</v>
      </c>
      <c r="E280">
        <v>6339</v>
      </c>
      <c r="F280">
        <v>0</v>
      </c>
      <c r="G280">
        <v>12113754</v>
      </c>
      <c r="H280" s="2">
        <v>48691408005</v>
      </c>
      <c r="I280" s="1">
        <v>45782</v>
      </c>
      <c r="J280" s="1">
        <v>73050</v>
      </c>
      <c r="K280" t="s">
        <v>51</v>
      </c>
      <c r="L280" t="s">
        <v>55</v>
      </c>
      <c r="M280" t="s">
        <v>225</v>
      </c>
      <c r="N280" t="s">
        <v>25</v>
      </c>
      <c r="O280" s="3"/>
    </row>
    <row r="281" spans="1:16" x14ac:dyDescent="0.25">
      <c r="A281" t="str">
        <f t="shared" si="4"/>
        <v>Ambroziewicz Hanna</v>
      </c>
      <c r="B281">
        <f t="shared" ref="B281:B299" si="5">B280+1</f>
        <v>267</v>
      </c>
      <c r="C281" t="s">
        <v>1021</v>
      </c>
      <c r="D281" t="s">
        <v>1022</v>
      </c>
      <c r="E281">
        <v>6550</v>
      </c>
      <c r="F281">
        <v>0</v>
      </c>
      <c r="G281">
        <v>0</v>
      </c>
      <c r="H281" s="2">
        <v>48695088294</v>
      </c>
      <c r="I281" s="1">
        <v>45908</v>
      </c>
      <c r="J281" s="1">
        <v>73050</v>
      </c>
      <c r="K281" t="s">
        <v>26</v>
      </c>
      <c r="L281" t="s">
        <v>27</v>
      </c>
      <c r="M281" t="s">
        <v>18</v>
      </c>
      <c r="N281" t="s">
        <v>28</v>
      </c>
      <c r="O281">
        <v>0</v>
      </c>
      <c r="P281">
        <v>0</v>
      </c>
    </row>
    <row r="282" spans="1:16" x14ac:dyDescent="0.25">
      <c r="A282" t="str">
        <f t="shared" si="4"/>
        <v>Hak Agnieszka</v>
      </c>
      <c r="B282">
        <f t="shared" si="5"/>
        <v>268</v>
      </c>
      <c r="C282" t="s">
        <v>196</v>
      </c>
      <c r="D282" t="s">
        <v>197</v>
      </c>
      <c r="E282">
        <v>6542</v>
      </c>
      <c r="F282">
        <v>0</v>
      </c>
      <c r="G282">
        <v>345464</v>
      </c>
      <c r="H282">
        <v>48734066515</v>
      </c>
      <c r="I282" s="1">
        <v>45904</v>
      </c>
      <c r="J282" s="1">
        <v>73050</v>
      </c>
      <c r="K282" t="s">
        <v>26</v>
      </c>
      <c r="L282" t="s">
        <v>60</v>
      </c>
      <c r="M282" t="s">
        <v>18</v>
      </c>
      <c r="N282" t="s">
        <v>71</v>
      </c>
      <c r="O282">
        <v>0.17986111111111111</v>
      </c>
      <c r="P282">
        <v>0</v>
      </c>
    </row>
    <row r="283" spans="1:16" x14ac:dyDescent="0.25">
      <c r="A283" t="str">
        <f t="shared" si="4"/>
        <v>Chrzanowska Danuta</v>
      </c>
      <c r="B283">
        <f t="shared" si="5"/>
        <v>269</v>
      </c>
      <c r="C283" t="s">
        <v>1023</v>
      </c>
      <c r="D283" t="s">
        <v>1024</v>
      </c>
      <c r="E283">
        <v>6457</v>
      </c>
      <c r="F283">
        <v>0</v>
      </c>
      <c r="G283">
        <v>13412676</v>
      </c>
      <c r="H283">
        <v>48453457574</v>
      </c>
      <c r="I283" s="1">
        <v>45852</v>
      </c>
      <c r="J283" s="1">
        <v>73050</v>
      </c>
      <c r="K283" t="s">
        <v>128</v>
      </c>
      <c r="L283" t="s">
        <v>224</v>
      </c>
      <c r="M283" t="s">
        <v>225</v>
      </c>
      <c r="N283" t="s">
        <v>71</v>
      </c>
      <c r="O283">
        <v>0</v>
      </c>
      <c r="P283">
        <v>0</v>
      </c>
    </row>
    <row r="284" spans="1:16" x14ac:dyDescent="0.25">
      <c r="A284" t="str">
        <f t="shared" si="4"/>
        <v>Jachym Sebastian</v>
      </c>
      <c r="B284">
        <f t="shared" si="5"/>
        <v>270</v>
      </c>
      <c r="C284" t="s">
        <v>1025</v>
      </c>
      <c r="D284" t="s">
        <v>231</v>
      </c>
      <c r="E284">
        <v>6525</v>
      </c>
      <c r="F284">
        <v>0</v>
      </c>
      <c r="G284">
        <v>406366</v>
      </c>
      <c r="H284">
        <v>48735157330</v>
      </c>
      <c r="I284" s="1">
        <v>45897</v>
      </c>
      <c r="J284" s="1">
        <v>73050</v>
      </c>
      <c r="K284" t="s">
        <v>26</v>
      </c>
      <c r="L284" t="s">
        <v>170</v>
      </c>
      <c r="M284" t="s">
        <v>40</v>
      </c>
      <c r="N284" t="s">
        <v>71</v>
      </c>
      <c r="O284">
        <v>0</v>
      </c>
      <c r="P284">
        <v>0</v>
      </c>
    </row>
    <row r="285" spans="1:16" x14ac:dyDescent="0.25">
      <c r="A285" t="str">
        <f t="shared" si="4"/>
        <v>Kowalak Krzysztof</v>
      </c>
      <c r="B285">
        <f t="shared" si="5"/>
        <v>271</v>
      </c>
      <c r="C285" t="s">
        <v>1026</v>
      </c>
      <c r="D285" t="s">
        <v>201</v>
      </c>
      <c r="E285">
        <v>6551</v>
      </c>
      <c r="F285">
        <v>0</v>
      </c>
      <c r="G285">
        <v>1213224</v>
      </c>
      <c r="H285" s="2">
        <v>48693053232</v>
      </c>
      <c r="I285" s="1">
        <v>45908</v>
      </c>
      <c r="J285" s="1">
        <v>73050</v>
      </c>
      <c r="K285" t="s">
        <v>51</v>
      </c>
      <c r="L285" t="s">
        <v>265</v>
      </c>
      <c r="M285" t="s">
        <v>24</v>
      </c>
      <c r="N285" t="s">
        <v>284</v>
      </c>
      <c r="O285">
        <v>0.52229166666666671</v>
      </c>
      <c r="P285">
        <v>0</v>
      </c>
    </row>
    <row r="286" spans="1:16" x14ac:dyDescent="0.25">
      <c r="A286" t="str">
        <f t="shared" si="4"/>
        <v>Kowalski Damian</v>
      </c>
      <c r="B286">
        <f t="shared" si="5"/>
        <v>272</v>
      </c>
      <c r="C286" t="s">
        <v>1027</v>
      </c>
      <c r="D286" t="s">
        <v>287</v>
      </c>
      <c r="E286">
        <v>6454</v>
      </c>
      <c r="F286">
        <v>0</v>
      </c>
      <c r="G286">
        <v>1219666</v>
      </c>
      <c r="H286">
        <v>48500654483</v>
      </c>
      <c r="I286" s="1">
        <v>45852</v>
      </c>
      <c r="J286" s="1">
        <v>73050</v>
      </c>
      <c r="K286" t="s">
        <v>128</v>
      </c>
      <c r="L286" t="s">
        <v>1028</v>
      </c>
      <c r="M286" t="s">
        <v>40</v>
      </c>
      <c r="N286" t="s">
        <v>71</v>
      </c>
      <c r="O286">
        <v>0</v>
      </c>
      <c r="P286">
        <v>0</v>
      </c>
    </row>
    <row r="287" spans="1:16" x14ac:dyDescent="0.25">
      <c r="A287" t="str">
        <f t="shared" si="4"/>
        <v>Machnik Weronika</v>
      </c>
      <c r="B287">
        <f t="shared" si="5"/>
        <v>273</v>
      </c>
      <c r="C287" t="s">
        <v>1029</v>
      </c>
      <c r="D287" t="s">
        <v>1030</v>
      </c>
      <c r="E287">
        <v>6077</v>
      </c>
      <c r="F287">
        <v>0</v>
      </c>
      <c r="G287">
        <v>391108217</v>
      </c>
      <c r="H287">
        <v>48666314711</v>
      </c>
      <c r="I287" s="1">
        <v>45617</v>
      </c>
      <c r="J287" s="1">
        <v>73050</v>
      </c>
      <c r="K287" t="s">
        <v>22</v>
      </c>
      <c r="L287" t="s">
        <v>23</v>
      </c>
      <c r="M287" t="s">
        <v>225</v>
      </c>
      <c r="N287" t="s">
        <v>25</v>
      </c>
      <c r="O287">
        <v>0</v>
      </c>
      <c r="P287">
        <v>0</v>
      </c>
    </row>
    <row r="288" spans="1:16" x14ac:dyDescent="0.25">
      <c r="A288" t="str">
        <f t="shared" si="4"/>
        <v>Murawski Kamil</v>
      </c>
      <c r="B288">
        <f t="shared" si="5"/>
        <v>274</v>
      </c>
      <c r="C288" t="s">
        <v>1031</v>
      </c>
      <c r="D288" t="s">
        <v>237</v>
      </c>
      <c r="E288">
        <v>6496</v>
      </c>
      <c r="F288">
        <v>0</v>
      </c>
      <c r="G288">
        <v>13311759</v>
      </c>
      <c r="H288" s="2">
        <v>48605111630</v>
      </c>
      <c r="I288" s="1">
        <v>45876</v>
      </c>
      <c r="J288" s="1">
        <v>73050</v>
      </c>
      <c r="K288" t="s">
        <v>26</v>
      </c>
      <c r="L288" t="s">
        <v>87</v>
      </c>
      <c r="M288" t="s">
        <v>18</v>
      </c>
      <c r="N288" t="s">
        <v>71</v>
      </c>
      <c r="O288">
        <v>0.17461805555555557</v>
      </c>
      <c r="P288">
        <v>0</v>
      </c>
    </row>
    <row r="289" spans="1:16" x14ac:dyDescent="0.25">
      <c r="A289" t="str">
        <f t="shared" si="4"/>
        <v>Nowak-Plucińska Beata Renata</v>
      </c>
      <c r="B289">
        <f t="shared" si="5"/>
        <v>275</v>
      </c>
      <c r="C289" t="s">
        <v>1032</v>
      </c>
      <c r="D289" t="s">
        <v>1033</v>
      </c>
      <c r="E289">
        <v>4416</v>
      </c>
      <c r="F289" t="s">
        <v>1034</v>
      </c>
      <c r="G289">
        <v>13262924</v>
      </c>
      <c r="H289">
        <v>48791998879</v>
      </c>
      <c r="I289" s="1">
        <v>44657</v>
      </c>
      <c r="J289" s="1">
        <v>73050</v>
      </c>
      <c r="K289" t="s">
        <v>26</v>
      </c>
      <c r="L289" t="s">
        <v>170</v>
      </c>
      <c r="M289" t="s">
        <v>40</v>
      </c>
      <c r="N289" t="s">
        <v>28</v>
      </c>
      <c r="O289" s="3">
        <v>0</v>
      </c>
      <c r="P289">
        <v>0</v>
      </c>
    </row>
    <row r="290" spans="1:16" x14ac:dyDescent="0.25">
      <c r="A290" t="str">
        <f t="shared" si="4"/>
        <v>Ostafin Andrzej Zbigniew</v>
      </c>
      <c r="B290">
        <f t="shared" si="5"/>
        <v>276</v>
      </c>
      <c r="C290" t="s">
        <v>393</v>
      </c>
      <c r="D290" t="s">
        <v>1035</v>
      </c>
      <c r="E290">
        <v>5009</v>
      </c>
      <c r="F290">
        <v>5009</v>
      </c>
      <c r="G290">
        <v>370026717</v>
      </c>
      <c r="H290">
        <v>48575565409</v>
      </c>
      <c r="I290" s="1">
        <v>45061</v>
      </c>
      <c r="J290" s="1">
        <v>73050</v>
      </c>
      <c r="K290" t="s">
        <v>51</v>
      </c>
      <c r="L290" t="s">
        <v>394</v>
      </c>
      <c r="M290" t="s">
        <v>18</v>
      </c>
      <c r="N290" t="s">
        <v>25</v>
      </c>
      <c r="O290">
        <v>0.17428240740740741</v>
      </c>
      <c r="P290">
        <v>0</v>
      </c>
    </row>
    <row r="291" spans="1:16" x14ac:dyDescent="0.25">
      <c r="A291" t="str">
        <f t="shared" si="4"/>
        <v>Ostafin Hanna</v>
      </c>
      <c r="B291">
        <f t="shared" si="5"/>
        <v>277</v>
      </c>
      <c r="C291" t="s">
        <v>393</v>
      </c>
      <c r="D291" t="s">
        <v>1022</v>
      </c>
      <c r="E291">
        <v>6251</v>
      </c>
      <c r="F291">
        <v>0</v>
      </c>
      <c r="G291">
        <v>364325</v>
      </c>
      <c r="H291">
        <v>48576676104</v>
      </c>
      <c r="I291" s="1">
        <v>45740</v>
      </c>
      <c r="J291">
        <v>73050</v>
      </c>
      <c r="K291" t="s">
        <v>51</v>
      </c>
      <c r="L291" t="s">
        <v>394</v>
      </c>
      <c r="M291" t="s">
        <v>225</v>
      </c>
      <c r="N291" t="s">
        <v>25</v>
      </c>
      <c r="O291">
        <v>0</v>
      </c>
      <c r="P291">
        <v>0</v>
      </c>
    </row>
    <row r="292" spans="1:16" x14ac:dyDescent="0.25">
      <c r="A292" t="str">
        <f t="shared" ref="A292:A299" si="6">C292&amp;" "&amp;D292</f>
        <v>Paduch Andrzej</v>
      </c>
      <c r="B292">
        <f t="shared" si="5"/>
        <v>278</v>
      </c>
      <c r="C292" t="s">
        <v>1036</v>
      </c>
      <c r="D292" t="s">
        <v>166</v>
      </c>
      <c r="E292">
        <v>6346</v>
      </c>
      <c r="F292">
        <v>11704646</v>
      </c>
      <c r="G292">
        <v>370059270</v>
      </c>
      <c r="H292">
        <v>48794099034</v>
      </c>
      <c r="I292" s="1">
        <v>45789</v>
      </c>
      <c r="J292" s="1">
        <v>73050</v>
      </c>
      <c r="K292" t="s">
        <v>51</v>
      </c>
      <c r="L292" t="s">
        <v>341</v>
      </c>
      <c r="M292" t="s">
        <v>18</v>
      </c>
      <c r="N292" t="s">
        <v>25</v>
      </c>
      <c r="O292">
        <v>0.16837962962962963</v>
      </c>
      <c r="P292">
        <v>0</v>
      </c>
    </row>
    <row r="293" spans="1:16" x14ac:dyDescent="0.25">
      <c r="A293" t="str">
        <f t="shared" si="6"/>
        <v>Paluch Joanna</v>
      </c>
      <c r="B293">
        <f t="shared" si="5"/>
        <v>279</v>
      </c>
      <c r="C293" t="s">
        <v>1037</v>
      </c>
      <c r="D293" t="s">
        <v>62</v>
      </c>
      <c r="E293">
        <v>6449</v>
      </c>
      <c r="F293">
        <v>0</v>
      </c>
      <c r="G293">
        <v>13481858</v>
      </c>
      <c r="H293">
        <v>48724783617</v>
      </c>
      <c r="I293" s="1">
        <v>45852</v>
      </c>
      <c r="J293" s="1">
        <v>73050</v>
      </c>
      <c r="K293" t="s">
        <v>26</v>
      </c>
      <c r="L293" t="s">
        <v>60</v>
      </c>
      <c r="M293" t="s">
        <v>18</v>
      </c>
      <c r="N293" t="s">
        <v>71</v>
      </c>
      <c r="O293">
        <v>0.17993055555555557</v>
      </c>
      <c r="P293">
        <v>0</v>
      </c>
    </row>
    <row r="294" spans="1:16" x14ac:dyDescent="0.25">
      <c r="A294" t="str">
        <f t="shared" si="6"/>
        <v>Pasinska Barbara Beata</v>
      </c>
      <c r="B294">
        <f t="shared" si="5"/>
        <v>280</v>
      </c>
      <c r="C294" t="s">
        <v>1038</v>
      </c>
      <c r="D294" t="s">
        <v>1039</v>
      </c>
      <c r="E294">
        <v>5029</v>
      </c>
      <c r="F294" t="s">
        <v>1040</v>
      </c>
      <c r="G294">
        <v>1815974</v>
      </c>
      <c r="H294">
        <v>48518208211</v>
      </c>
      <c r="I294" s="1">
        <v>45145</v>
      </c>
      <c r="J294" s="1" t="s">
        <v>630</v>
      </c>
      <c r="K294" t="s">
        <v>17</v>
      </c>
      <c r="L294" t="s">
        <v>17</v>
      </c>
      <c r="M294" t="s">
        <v>40</v>
      </c>
      <c r="N294" t="s">
        <v>28</v>
      </c>
      <c r="O294">
        <v>0</v>
      </c>
      <c r="P294">
        <v>0</v>
      </c>
    </row>
    <row r="295" spans="1:16" x14ac:dyDescent="0.25">
      <c r="A295" t="str">
        <f t="shared" si="6"/>
        <v>Perlik Przemyslaw</v>
      </c>
      <c r="B295">
        <f t="shared" si="5"/>
        <v>281</v>
      </c>
      <c r="C295" t="s">
        <v>1041</v>
      </c>
      <c r="D295" t="s">
        <v>30</v>
      </c>
      <c r="E295">
        <v>0</v>
      </c>
      <c r="F295">
        <v>0</v>
      </c>
      <c r="G295">
        <v>391047</v>
      </c>
      <c r="H295">
        <v>48785189209</v>
      </c>
      <c r="I295" s="1">
        <v>45876</v>
      </c>
      <c r="J295" s="1">
        <v>73050</v>
      </c>
      <c r="K295" t="s">
        <v>17</v>
      </c>
      <c r="L295" t="s">
        <v>17</v>
      </c>
      <c r="M295" t="s">
        <v>225</v>
      </c>
      <c r="N295" t="s">
        <v>71</v>
      </c>
      <c r="O295">
        <v>0</v>
      </c>
      <c r="P295">
        <v>0</v>
      </c>
    </row>
    <row r="296" spans="1:16" x14ac:dyDescent="0.25">
      <c r="A296" t="str">
        <f t="shared" si="6"/>
        <v>Placzek Michal</v>
      </c>
      <c r="B296">
        <f t="shared" si="5"/>
        <v>282</v>
      </c>
      <c r="C296" t="s">
        <v>1042</v>
      </c>
      <c r="D296" t="s">
        <v>378</v>
      </c>
      <c r="E296">
        <v>6232</v>
      </c>
      <c r="F296">
        <v>0</v>
      </c>
      <c r="G296">
        <v>13062387</v>
      </c>
      <c r="H296">
        <v>48573672931</v>
      </c>
      <c r="I296" s="1">
        <v>45728</v>
      </c>
      <c r="J296" s="1">
        <v>69104</v>
      </c>
      <c r="K296" t="s">
        <v>26</v>
      </c>
      <c r="L296" t="s">
        <v>87</v>
      </c>
      <c r="M296" t="s">
        <v>24</v>
      </c>
      <c r="N296" t="s">
        <v>71</v>
      </c>
      <c r="O296">
        <v>0.51265046296296302</v>
      </c>
      <c r="P296">
        <v>0</v>
      </c>
    </row>
    <row r="297" spans="1:16" x14ac:dyDescent="0.25">
      <c r="A297" t="str">
        <f t="shared" si="6"/>
        <v>Sienkowski Andrzej</v>
      </c>
      <c r="B297">
        <f t="shared" si="5"/>
        <v>283</v>
      </c>
      <c r="C297" t="s">
        <v>1043</v>
      </c>
      <c r="D297" t="s">
        <v>166</v>
      </c>
      <c r="E297">
        <v>6538</v>
      </c>
      <c r="F297">
        <v>0</v>
      </c>
      <c r="G297">
        <v>391211392</v>
      </c>
      <c r="H297">
        <v>48660646530</v>
      </c>
      <c r="I297" s="1">
        <v>45901</v>
      </c>
      <c r="J297" s="1">
        <v>73050</v>
      </c>
      <c r="K297" t="s">
        <v>51</v>
      </c>
      <c r="L297" t="s">
        <v>1044</v>
      </c>
      <c r="M297" t="s">
        <v>18</v>
      </c>
      <c r="N297" t="s">
        <v>25</v>
      </c>
      <c r="O297">
        <v>0.17267361111111112</v>
      </c>
      <c r="P297">
        <v>0</v>
      </c>
    </row>
    <row r="298" spans="1:16" x14ac:dyDescent="0.25">
      <c r="A298" t="str">
        <f t="shared" si="6"/>
        <v>Sikora Aleksandra Barbara</v>
      </c>
      <c r="B298">
        <f t="shared" si="5"/>
        <v>284</v>
      </c>
      <c r="C298" t="s">
        <v>469</v>
      </c>
      <c r="D298" t="s">
        <v>1045</v>
      </c>
      <c r="E298">
        <v>4555</v>
      </c>
      <c r="F298" t="s">
        <v>1046</v>
      </c>
      <c r="G298">
        <v>1337753</v>
      </c>
      <c r="H298">
        <v>48508210457</v>
      </c>
      <c r="I298" s="1">
        <v>44935</v>
      </c>
      <c r="J298" s="1">
        <v>73050</v>
      </c>
      <c r="K298" t="s">
        <v>17</v>
      </c>
      <c r="L298" t="s">
        <v>17</v>
      </c>
      <c r="M298" t="s">
        <v>40</v>
      </c>
      <c r="N298" t="s">
        <v>28</v>
      </c>
      <c r="O298">
        <v>0</v>
      </c>
      <c r="P298">
        <v>0</v>
      </c>
    </row>
    <row r="299" spans="1:16" x14ac:dyDescent="0.25">
      <c r="A299" t="str">
        <f t="shared" si="6"/>
        <v>Skibinski Adrian</v>
      </c>
      <c r="B299">
        <f t="shared" si="5"/>
        <v>285</v>
      </c>
      <c r="C299" t="s">
        <v>1047</v>
      </c>
      <c r="D299" t="s">
        <v>326</v>
      </c>
      <c r="E299">
        <v>6492</v>
      </c>
      <c r="F299">
        <v>0</v>
      </c>
      <c r="G299">
        <v>1208695</v>
      </c>
      <c r="H299">
        <v>48534485022</v>
      </c>
      <c r="I299" s="1">
        <v>45876</v>
      </c>
      <c r="J299" s="1">
        <v>73050</v>
      </c>
      <c r="K299" t="s">
        <v>26</v>
      </c>
      <c r="L299" t="s">
        <v>27</v>
      </c>
      <c r="M299" t="s">
        <v>18</v>
      </c>
      <c r="N299" t="s">
        <v>71</v>
      </c>
      <c r="O299">
        <v>0.17421296296296296</v>
      </c>
      <c r="P299">
        <v>0</v>
      </c>
    </row>
    <row r="300" spans="1:16" x14ac:dyDescent="0.25">
      <c r="A300" t="str">
        <f t="shared" ref="A300:A303" si="7">C300&amp;" "&amp;D300</f>
        <v>Szybiak Tomasz</v>
      </c>
      <c r="C300" t="s">
        <v>1048</v>
      </c>
      <c r="D300" t="s">
        <v>159</v>
      </c>
      <c r="E300">
        <v>6546</v>
      </c>
      <c r="F300">
        <v>0</v>
      </c>
      <c r="G300">
        <v>1201154</v>
      </c>
      <c r="H300">
        <v>48889092223</v>
      </c>
      <c r="I300" s="1">
        <v>45904</v>
      </c>
      <c r="J300" s="1">
        <v>73050</v>
      </c>
      <c r="K300" t="s">
        <v>26</v>
      </c>
      <c r="L300" t="s">
        <v>27</v>
      </c>
      <c r="M300" t="s">
        <v>18</v>
      </c>
      <c r="N300" t="s">
        <v>71</v>
      </c>
      <c r="O300">
        <v>0.19410879629629629</v>
      </c>
      <c r="P300">
        <v>0</v>
      </c>
    </row>
    <row r="301" spans="1:16" x14ac:dyDescent="0.25">
      <c r="A301" t="str">
        <f t="shared" si="7"/>
        <v>Szymiczek Filip</v>
      </c>
      <c r="C301" t="s">
        <v>536</v>
      </c>
      <c r="D301" t="s">
        <v>467</v>
      </c>
      <c r="E301">
        <v>6452</v>
      </c>
      <c r="F301">
        <v>0</v>
      </c>
      <c r="G301">
        <v>12010568</v>
      </c>
      <c r="H301">
        <v>48734220541</v>
      </c>
      <c r="I301" s="1">
        <v>45852</v>
      </c>
      <c r="J301" s="1">
        <v>73050</v>
      </c>
      <c r="K301" t="s">
        <v>128</v>
      </c>
      <c r="L301" t="s">
        <v>519</v>
      </c>
      <c r="M301" t="s">
        <v>24</v>
      </c>
      <c r="N301" t="s">
        <v>71</v>
      </c>
      <c r="O301">
        <v>0.51732638888888893</v>
      </c>
      <c r="P301">
        <v>0</v>
      </c>
    </row>
    <row r="302" spans="1:16" x14ac:dyDescent="0.25">
      <c r="A302" t="str">
        <f t="shared" si="7"/>
        <v>Szymura Mariola</v>
      </c>
      <c r="C302" t="s">
        <v>537</v>
      </c>
      <c r="D302" t="s">
        <v>206</v>
      </c>
      <c r="E302">
        <v>5208</v>
      </c>
      <c r="F302">
        <v>5208</v>
      </c>
      <c r="G302">
        <v>370023455</v>
      </c>
      <c r="H302">
        <v>48789625101</v>
      </c>
      <c r="I302" s="1">
        <v>45180</v>
      </c>
      <c r="J302" s="1">
        <v>73050</v>
      </c>
      <c r="K302" t="s">
        <v>51</v>
      </c>
      <c r="L302" t="s">
        <v>99</v>
      </c>
      <c r="M302" t="s">
        <v>18</v>
      </c>
      <c r="N302" t="s">
        <v>25</v>
      </c>
      <c r="O302">
        <v>0.18702546296296296</v>
      </c>
      <c r="P302">
        <v>0</v>
      </c>
    </row>
    <row r="303" spans="1:16" x14ac:dyDescent="0.25">
      <c r="A303" t="str">
        <f t="shared" si="7"/>
        <v>Wysluch-Brzezek Anna</v>
      </c>
      <c r="C303" t="s">
        <v>1049</v>
      </c>
      <c r="D303" t="s">
        <v>478</v>
      </c>
      <c r="E303">
        <v>6175</v>
      </c>
      <c r="F303">
        <v>0</v>
      </c>
      <c r="G303">
        <v>1196113</v>
      </c>
      <c r="H303">
        <v>48511624219</v>
      </c>
      <c r="I303" s="1">
        <v>45700</v>
      </c>
      <c r="J303" s="1">
        <v>73050</v>
      </c>
      <c r="K303" t="s">
        <v>26</v>
      </c>
      <c r="L303" t="s">
        <v>311</v>
      </c>
      <c r="M303" t="s">
        <v>24</v>
      </c>
      <c r="N303" t="s">
        <v>96</v>
      </c>
      <c r="O303">
        <v>0</v>
      </c>
      <c r="P303">
        <v>0</v>
      </c>
    </row>
  </sheetData>
  <pageMargins left="0.7" right="0.7" top="0.78740157499999996" bottom="0.78740157499999996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F6DCA-D5BF-4AF6-9086-B129F667FB21}">
  <dimension ref="A1:K9992"/>
  <sheetViews>
    <sheetView showGridLines="0" tabSelected="1" topLeftCell="A1754" workbookViewId="0">
      <selection activeCell="I1771" sqref="I1771"/>
    </sheetView>
  </sheetViews>
  <sheetFormatPr defaultRowHeight="15" x14ac:dyDescent="0.25"/>
  <cols>
    <col min="1" max="1" width="23.28515625" style="9" bestFit="1" customWidth="1"/>
    <col min="2" max="2" width="12.42578125" style="20" customWidth="1"/>
    <col min="3" max="3" width="18" style="21" bestFit="1" customWidth="1"/>
    <col min="4" max="4" width="20.5703125" style="21" bestFit="1" customWidth="1"/>
    <col min="5" max="5" width="11.28515625" style="21" customWidth="1"/>
    <col min="6" max="6" width="14.5703125" style="13" customWidth="1"/>
    <col min="7" max="8" width="14.5703125" style="21" customWidth="1"/>
    <col min="9" max="9" width="19.7109375" style="21" bestFit="1" customWidth="1"/>
    <col min="10" max="10" width="11.85546875" style="21" customWidth="1"/>
    <col min="11" max="11" width="63.7109375" style="21" customWidth="1"/>
  </cols>
  <sheetData>
    <row r="1" spans="1:11" s="7" customFormat="1" ht="30" x14ac:dyDescent="0.25">
      <c r="A1" s="8"/>
      <c r="B1" s="10" t="s">
        <v>631</v>
      </c>
      <c r="C1" s="11" t="s">
        <v>632</v>
      </c>
      <c r="D1" s="11" t="s">
        <v>633</v>
      </c>
      <c r="E1" s="11" t="s">
        <v>645</v>
      </c>
      <c r="F1" s="11" t="s">
        <v>650</v>
      </c>
      <c r="G1" s="11" t="s">
        <v>634</v>
      </c>
      <c r="H1" s="11" t="s">
        <v>651</v>
      </c>
      <c r="I1" s="11" t="s">
        <v>9</v>
      </c>
      <c r="J1" s="11" t="s">
        <v>635</v>
      </c>
      <c r="K1" s="14" t="s">
        <v>636</v>
      </c>
    </row>
    <row r="2" spans="1:11" x14ac:dyDescent="0.25">
      <c r="A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" s="15">
        <v>45924</v>
      </c>
      <c r="C2" s="16" t="s">
        <v>25</v>
      </c>
      <c r="D2" s="16" t="s">
        <v>679</v>
      </c>
      <c r="E2" s="17">
        <f>IFERROR(VLOOKUP(Tabulka2[[#This Row],[Pracovník]],DATA!A:L,5,0),"")</f>
        <v>5777</v>
      </c>
      <c r="F2" s="12" t="s">
        <v>654</v>
      </c>
      <c r="G2" s="16"/>
      <c r="H2" s="18"/>
      <c r="I2" s="27" t="str">
        <f>IFERROR(VLOOKUP(Tabulka2[[#This Row],[Pracovník]],DATA!A:L,11,0),"")</f>
        <v>BATZ 2</v>
      </c>
      <c r="J2" s="28"/>
      <c r="K2" s="19"/>
    </row>
    <row r="3" spans="1:11" x14ac:dyDescent="0.25">
      <c r="A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" s="22">
        <v>45924</v>
      </c>
      <c r="C3" s="23" t="s">
        <v>25</v>
      </c>
      <c r="D3" s="23" t="s">
        <v>680</v>
      </c>
      <c r="E3" s="17">
        <f>IFERROR(VLOOKUP(Tabulka2[[#This Row],[Pracovník]],DATA!A:L,5,0),"")</f>
        <v>4838</v>
      </c>
      <c r="F3" s="24" t="s">
        <v>655</v>
      </c>
      <c r="G3" s="23"/>
      <c r="H3" s="25"/>
      <c r="I3" s="27" t="str">
        <f>IFERROR(VLOOKUP(Tabulka2[[#This Row],[Pracovník]],DATA!A:L,11,0),"")</f>
        <v>BATZ 2</v>
      </c>
      <c r="J3" s="23"/>
      <c r="K3" s="26"/>
    </row>
    <row r="4" spans="1:11" x14ac:dyDescent="0.25">
      <c r="A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" s="15">
        <v>45924</v>
      </c>
      <c r="C4" s="16" t="s">
        <v>25</v>
      </c>
      <c r="D4" s="16" t="s">
        <v>681</v>
      </c>
      <c r="E4" s="17">
        <f>IFERROR(VLOOKUP(Tabulka2[[#This Row],[Pracovník]],DATA!A:L,5,0),"")</f>
        <v>4599</v>
      </c>
      <c r="F4" s="12" t="s">
        <v>654</v>
      </c>
      <c r="G4" s="16"/>
      <c r="H4" s="18"/>
      <c r="I4" s="27" t="str">
        <f>IFERROR(VLOOKUP(Tabulka2[[#This Row],[Pracovník]],DATA!A:L,11,0),"")</f>
        <v>BATZ 1</v>
      </c>
      <c r="J4" s="16"/>
      <c r="K4" s="19"/>
    </row>
    <row r="5" spans="1:11" x14ac:dyDescent="0.25">
      <c r="A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" s="22">
        <v>45924</v>
      </c>
      <c r="C5" s="16" t="s">
        <v>25</v>
      </c>
      <c r="D5" s="16" t="s">
        <v>682</v>
      </c>
      <c r="E5" s="17">
        <f>IFERROR(VLOOKUP(Tabulka2[[#This Row],[Pracovník]],DATA!A:L,5,0),"")</f>
        <v>6566</v>
      </c>
      <c r="F5" s="12" t="s">
        <v>655</v>
      </c>
      <c r="G5" s="16"/>
      <c r="H5" s="18"/>
      <c r="I5" s="27" t="str">
        <f>IFERROR(VLOOKUP(Tabulka2[[#This Row],[Pracovník]],DATA!A:L,11,0),"")</f>
        <v>BATZ 1</v>
      </c>
      <c r="J5" s="16"/>
      <c r="K5" s="19"/>
    </row>
    <row r="6" spans="1:11" x14ac:dyDescent="0.25">
      <c r="A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" s="15">
        <v>45924</v>
      </c>
      <c r="C6" s="16" t="s">
        <v>25</v>
      </c>
      <c r="D6" s="16" t="s">
        <v>683</v>
      </c>
      <c r="E6" s="17">
        <f>IFERROR(VLOOKUP(Tabulka2[[#This Row],[Pracovník]],DATA!A:L,5,0),"")</f>
        <v>5400</v>
      </c>
      <c r="F6" s="12" t="s">
        <v>655</v>
      </c>
      <c r="G6" s="16"/>
      <c r="H6" s="18"/>
      <c r="I6" s="27" t="str">
        <f>IFERROR(VLOOKUP(Tabulka2[[#This Row],[Pracovník]],DATA!A:L,11,0),"")</f>
        <v>BATZ 1</v>
      </c>
      <c r="J6" s="16"/>
      <c r="K6" s="19"/>
    </row>
    <row r="7" spans="1:11" x14ac:dyDescent="0.25">
      <c r="A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" s="22">
        <v>45924</v>
      </c>
      <c r="C7" s="16" t="s">
        <v>25</v>
      </c>
      <c r="D7" s="16" t="s">
        <v>684</v>
      </c>
      <c r="E7" s="17">
        <f>IFERROR(VLOOKUP(Tabulka2[[#This Row],[Pracovník]],DATA!A:L,5,0),"")</f>
        <v>5094</v>
      </c>
      <c r="F7" s="12" t="s">
        <v>640</v>
      </c>
      <c r="G7" s="16"/>
      <c r="H7" s="18"/>
      <c r="I7" s="27" t="str">
        <f>IFERROR(VLOOKUP(Tabulka2[[#This Row],[Pracovník]],DATA!A:L,11,0),"")</f>
        <v>BATZ 2</v>
      </c>
      <c r="J7" s="16" t="s">
        <v>970</v>
      </c>
      <c r="K7" s="19"/>
    </row>
    <row r="8" spans="1:11" x14ac:dyDescent="0.25">
      <c r="A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" s="15">
        <v>45924</v>
      </c>
      <c r="C8" s="16" t="s">
        <v>25</v>
      </c>
      <c r="D8" s="16" t="s">
        <v>685</v>
      </c>
      <c r="E8" s="17">
        <f>IFERROR(VLOOKUP(Tabulka2[[#This Row],[Pracovník]],DATA!A:L,5,0),"")</f>
        <v>6001</v>
      </c>
      <c r="F8" s="12" t="s">
        <v>640</v>
      </c>
      <c r="G8" s="16"/>
      <c r="H8" s="18"/>
      <c r="I8" s="27" t="str">
        <f>IFERROR(VLOOKUP(Tabulka2[[#This Row],[Pracovník]],DATA!A:L,11,0),"")</f>
        <v>BATZ 1</v>
      </c>
      <c r="J8" s="16"/>
      <c r="K8" s="19"/>
    </row>
    <row r="9" spans="1:11" x14ac:dyDescent="0.25">
      <c r="A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" s="22">
        <v>45924</v>
      </c>
      <c r="C9" s="16" t="s">
        <v>25</v>
      </c>
      <c r="D9" s="16" t="s">
        <v>686</v>
      </c>
      <c r="E9" s="17">
        <f>IFERROR(VLOOKUP(Tabulka2[[#This Row],[Pracovník]],DATA!A:L,5,0),"")</f>
        <v>6573</v>
      </c>
      <c r="F9" s="12" t="s">
        <v>640</v>
      </c>
      <c r="G9" s="16"/>
      <c r="H9" s="18"/>
      <c r="I9" s="27" t="str">
        <f>IFERROR(VLOOKUP(Tabulka2[[#This Row],[Pracovník]],DATA!A:L,11,0),"")</f>
        <v>BATZ 1</v>
      </c>
      <c r="J9" s="16"/>
      <c r="K9" s="19"/>
    </row>
    <row r="10" spans="1:11" x14ac:dyDescent="0.25">
      <c r="A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" s="15">
        <v>45924</v>
      </c>
      <c r="C10" s="16" t="s">
        <v>25</v>
      </c>
      <c r="D10" s="16" t="s">
        <v>687</v>
      </c>
      <c r="E10" s="17">
        <f>IFERROR(VLOOKUP(Tabulka2[[#This Row],[Pracovník]],DATA!A:L,5,0),"")</f>
        <v>5129</v>
      </c>
      <c r="F10" s="12" t="s">
        <v>654</v>
      </c>
      <c r="G10" s="16"/>
      <c r="H10" s="18"/>
      <c r="I10" s="27" t="str">
        <f>IFERROR(VLOOKUP(Tabulka2[[#This Row],[Pracovník]],DATA!A:L,11,0),"")</f>
        <v>BATZ 1</v>
      </c>
      <c r="J10" s="16"/>
      <c r="K10" s="19"/>
    </row>
    <row r="11" spans="1:11" x14ac:dyDescent="0.25">
      <c r="A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" s="22">
        <v>45924</v>
      </c>
      <c r="C11" s="16" t="s">
        <v>25</v>
      </c>
      <c r="D11" s="16" t="s">
        <v>688</v>
      </c>
      <c r="E11" s="17">
        <f>IFERROR(VLOOKUP(Tabulka2[[#This Row],[Pracovník]],DATA!A:L,5,0),"")</f>
        <v>5663</v>
      </c>
      <c r="F11" s="12" t="s">
        <v>654</v>
      </c>
      <c r="G11" s="16"/>
      <c r="H11" s="18"/>
      <c r="I11" s="27" t="str">
        <f>IFERROR(VLOOKUP(Tabulka2[[#This Row],[Pracovník]],DATA!A:L,11,0),"")</f>
        <v>BATZ 1</v>
      </c>
      <c r="J11" s="16"/>
      <c r="K11" s="19"/>
    </row>
    <row r="12" spans="1:11" x14ac:dyDescent="0.25">
      <c r="A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" s="15">
        <v>45924</v>
      </c>
      <c r="C12" s="16" t="s">
        <v>25</v>
      </c>
      <c r="D12" s="16" t="s">
        <v>690</v>
      </c>
      <c r="E12" s="17">
        <f>IFERROR(VLOOKUP(Tabulka2[[#This Row],[Pracovník]],DATA!A:L,5,0),"")</f>
        <v>4501</v>
      </c>
      <c r="F12" s="12" t="s">
        <v>640</v>
      </c>
      <c r="G12" s="16"/>
      <c r="H12" s="18"/>
      <c r="I12" s="27" t="str">
        <f>IFERROR(VLOOKUP(Tabulka2[[#This Row],[Pracovník]],DATA!A:L,11,0),"")</f>
        <v>BATZ 2</v>
      </c>
      <c r="J12" s="16"/>
      <c r="K12" s="19"/>
    </row>
    <row r="13" spans="1:11" x14ac:dyDescent="0.25">
      <c r="A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" s="22">
        <v>45924</v>
      </c>
      <c r="C13" s="16" t="s">
        <v>25</v>
      </c>
      <c r="D13" s="16" t="s">
        <v>689</v>
      </c>
      <c r="E13" s="17">
        <f>IFERROR(VLOOKUP(Tabulka2[[#This Row],[Pracovník]],DATA!A:L,5,0),"")</f>
        <v>4936</v>
      </c>
      <c r="F13" s="12" t="s">
        <v>640</v>
      </c>
      <c r="G13" s="16"/>
      <c r="H13" s="18"/>
      <c r="I13" s="27" t="str">
        <f>IFERROR(VLOOKUP(Tabulka2[[#This Row],[Pracovník]],DATA!A:L,11,0),"")</f>
        <v>BATZ 1</v>
      </c>
      <c r="J13" s="16"/>
      <c r="K13" s="19"/>
    </row>
    <row r="14" spans="1:11" x14ac:dyDescent="0.25">
      <c r="A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" s="15">
        <v>45924</v>
      </c>
      <c r="C14" s="16" t="s">
        <v>25</v>
      </c>
      <c r="D14" s="16" t="s">
        <v>695</v>
      </c>
      <c r="E14" s="17">
        <f>IFERROR(VLOOKUP(Tabulka2[[#This Row],[Pracovník]],DATA!A:L,5,0),"")</f>
        <v>3728</v>
      </c>
      <c r="F14" s="12" t="s">
        <v>640</v>
      </c>
      <c r="G14" s="16"/>
      <c r="H14" s="18"/>
      <c r="I14" s="27" t="str">
        <f>IFERROR(VLOOKUP(Tabulka2[[#This Row],[Pracovník]],DATA!A:L,11,0),"")</f>
        <v>BATZ 1</v>
      </c>
      <c r="J14" s="16"/>
      <c r="K14" s="19"/>
    </row>
    <row r="15" spans="1:11" x14ac:dyDescent="0.25">
      <c r="A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" s="22">
        <v>45924</v>
      </c>
      <c r="C15" s="16" t="s">
        <v>25</v>
      </c>
      <c r="D15" s="16" t="s">
        <v>691</v>
      </c>
      <c r="E15" s="17">
        <f>IFERROR(VLOOKUP(Tabulka2[[#This Row],[Pracovník]],DATA!A:L,5,0),"")</f>
        <v>4955</v>
      </c>
      <c r="F15" s="12" t="s">
        <v>654</v>
      </c>
      <c r="G15" s="16"/>
      <c r="H15" s="18"/>
      <c r="I15" s="27" t="str">
        <f>IFERROR(VLOOKUP(Tabulka2[[#This Row],[Pracovník]],DATA!A:L,11,0),"")</f>
        <v>BATZ 1</v>
      </c>
      <c r="J15" s="16"/>
      <c r="K15" s="19"/>
    </row>
    <row r="16" spans="1:11" x14ac:dyDescent="0.25">
      <c r="A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" s="15">
        <v>45924</v>
      </c>
      <c r="C16" s="16" t="s">
        <v>25</v>
      </c>
      <c r="D16" s="16" t="s">
        <v>692</v>
      </c>
      <c r="E16" s="17">
        <f>IFERROR(VLOOKUP(Tabulka2[[#This Row],[Pracovník]],DATA!A:L,5,0),"")</f>
        <v>6568</v>
      </c>
      <c r="F16" s="12" t="s">
        <v>640</v>
      </c>
      <c r="G16" s="16"/>
      <c r="H16" s="18"/>
      <c r="I16" s="27" t="str">
        <f>IFERROR(VLOOKUP(Tabulka2[[#This Row],[Pracovník]],DATA!A:L,11,0),"")</f>
        <v>BATZ 2</v>
      </c>
      <c r="J16" s="16"/>
      <c r="K16" s="19"/>
    </row>
    <row r="17" spans="1:11" x14ac:dyDescent="0.25">
      <c r="A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" s="22">
        <v>45924</v>
      </c>
      <c r="C17" s="16" t="s">
        <v>25</v>
      </c>
      <c r="D17" s="16" t="s">
        <v>693</v>
      </c>
      <c r="E17" s="17">
        <f>IFERROR(VLOOKUP(Tabulka2[[#This Row],[Pracovník]],DATA!A:L,5,0),"")</f>
        <v>3721</v>
      </c>
      <c r="F17" s="12" t="s">
        <v>654</v>
      </c>
      <c r="G17" s="16"/>
      <c r="H17" s="18"/>
      <c r="I17" s="27" t="str">
        <f>IFERROR(VLOOKUP(Tabulka2[[#This Row],[Pracovník]],DATA!A:L,11,0),"")</f>
        <v>BATZ 1</v>
      </c>
      <c r="J17" s="16"/>
      <c r="K17" s="19"/>
    </row>
    <row r="18" spans="1:11" x14ac:dyDescent="0.25">
      <c r="A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" s="15">
        <v>45924</v>
      </c>
      <c r="C18" s="16" t="s">
        <v>25</v>
      </c>
      <c r="D18" s="16" t="s">
        <v>694</v>
      </c>
      <c r="E18" s="17">
        <f>IFERROR(VLOOKUP(Tabulka2[[#This Row],[Pracovník]],DATA!A:L,5,0),"")</f>
        <v>6110</v>
      </c>
      <c r="F18" s="12" t="s">
        <v>640</v>
      </c>
      <c r="G18" s="16"/>
      <c r="H18" s="18"/>
      <c r="I18" s="27" t="str">
        <f>IFERROR(VLOOKUP(Tabulka2[[#This Row],[Pracovník]],DATA!A:L,11,0),"")</f>
        <v>BATZ 1</v>
      </c>
      <c r="J18" s="16"/>
      <c r="K18" s="19"/>
    </row>
    <row r="19" spans="1:11" x14ac:dyDescent="0.25">
      <c r="A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" s="22">
        <v>45924</v>
      </c>
      <c r="C19" s="16" t="s">
        <v>25</v>
      </c>
      <c r="D19" s="16" t="s">
        <v>696</v>
      </c>
      <c r="E19" s="17">
        <f>IFERROR(VLOOKUP(Tabulka2[[#This Row],[Pracovník]],DATA!A:L,5,0),"")</f>
        <v>0</v>
      </c>
      <c r="F19" s="12" t="s">
        <v>654</v>
      </c>
      <c r="G19" s="16"/>
      <c r="H19" s="18"/>
      <c r="I19" s="27" t="str">
        <f>IFERROR(VLOOKUP(Tabulka2[[#This Row],[Pracovník]],DATA!A:L,11,0),"")</f>
        <v>BATZ 1</v>
      </c>
      <c r="J19" s="16"/>
      <c r="K19" s="19"/>
    </row>
    <row r="20" spans="1:11" x14ac:dyDescent="0.25">
      <c r="A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0" s="15">
        <v>45924</v>
      </c>
      <c r="C20" s="16" t="s">
        <v>25</v>
      </c>
      <c r="D20" s="16" t="s">
        <v>697</v>
      </c>
      <c r="E20" s="17">
        <f>IFERROR(VLOOKUP(Tabulka2[[#This Row],[Pracovník]],DATA!A:L,5,0),"")</f>
        <v>6330</v>
      </c>
      <c r="F20" s="12" t="s">
        <v>640</v>
      </c>
      <c r="G20" s="16"/>
      <c r="H20" s="18"/>
      <c r="I20" s="27" t="str">
        <f>IFERROR(VLOOKUP(Tabulka2[[#This Row],[Pracovník]],DATA!A:L,11,0),"")</f>
        <v>BATZ 2</v>
      </c>
      <c r="J20" s="16"/>
      <c r="K20" s="19"/>
    </row>
    <row r="21" spans="1:11" x14ac:dyDescent="0.25">
      <c r="A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1" s="22">
        <v>45924</v>
      </c>
      <c r="C21" s="16" t="s">
        <v>25</v>
      </c>
      <c r="D21" s="16" t="s">
        <v>698</v>
      </c>
      <c r="E21" s="17">
        <f>IFERROR(VLOOKUP(Tabulka2[[#This Row],[Pracovník]],DATA!A:L,5,0),"")</f>
        <v>5828</v>
      </c>
      <c r="F21" s="12" t="s">
        <v>654</v>
      </c>
      <c r="G21" s="16"/>
      <c r="H21" s="18"/>
      <c r="I21" s="27" t="str">
        <f>IFERROR(VLOOKUP(Tabulka2[[#This Row],[Pracovník]],DATA!A:L,11,0),"")</f>
        <v>BATZ 1</v>
      </c>
      <c r="J21" s="16"/>
      <c r="K21" s="19"/>
    </row>
    <row r="22" spans="1:11" x14ac:dyDescent="0.25">
      <c r="A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2" s="15">
        <v>45924</v>
      </c>
      <c r="C22" s="16" t="s">
        <v>25</v>
      </c>
      <c r="D22" s="16" t="s">
        <v>699</v>
      </c>
      <c r="E22" s="17">
        <f>IFERROR(VLOOKUP(Tabulka2[[#This Row],[Pracovník]],DATA!A:L,5,0),"")</f>
        <v>4775</v>
      </c>
      <c r="F22" s="12" t="s">
        <v>655</v>
      </c>
      <c r="G22" s="16"/>
      <c r="H22" s="18"/>
      <c r="I22" s="27" t="str">
        <f>IFERROR(VLOOKUP(Tabulka2[[#This Row],[Pracovník]],DATA!A:L,11,0),"")</f>
        <v>BATZ 2</v>
      </c>
      <c r="J22" s="16"/>
      <c r="K22" s="19"/>
    </row>
    <row r="23" spans="1:11" x14ac:dyDescent="0.25">
      <c r="A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3" s="22">
        <v>45924</v>
      </c>
      <c r="C23" s="16" t="s">
        <v>25</v>
      </c>
      <c r="D23" s="16" t="s">
        <v>971</v>
      </c>
      <c r="E23" s="17">
        <f>IFERROR(VLOOKUP(Tabulka2[[#This Row],[Pracovník]],DATA!A:L,5,0),"")</f>
        <v>6551</v>
      </c>
      <c r="F23" s="12" t="s">
        <v>654</v>
      </c>
      <c r="G23" s="16"/>
      <c r="H23" s="18"/>
      <c r="I23" s="27" t="str">
        <f>IFERROR(VLOOKUP(Tabulka2[[#This Row],[Pracovník]],DATA!A:L,11,0),"")</f>
        <v>BATZ 1</v>
      </c>
      <c r="J23" s="16"/>
      <c r="K23" s="19"/>
    </row>
    <row r="24" spans="1:11" x14ac:dyDescent="0.25">
      <c r="A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4" s="15">
        <v>45924</v>
      </c>
      <c r="C24" s="16" t="s">
        <v>25</v>
      </c>
      <c r="D24" s="16" t="s">
        <v>700</v>
      </c>
      <c r="E24" s="17">
        <f>IFERROR(VLOOKUP(Tabulka2[[#This Row],[Pracovník]],DATA!A:L,5,0),"")</f>
        <v>5665</v>
      </c>
      <c r="F24" s="12" t="s">
        <v>653</v>
      </c>
      <c r="G24" s="16" t="s">
        <v>657</v>
      </c>
      <c r="H24" s="18"/>
      <c r="I24" s="27" t="str">
        <f>IFERROR(VLOOKUP(Tabulka2[[#This Row],[Pracovník]],DATA!A:L,11,0),"")</f>
        <v>BATZ 1</v>
      </c>
      <c r="J24" s="16"/>
      <c r="K24" s="19"/>
    </row>
    <row r="25" spans="1:11" x14ac:dyDescent="0.25">
      <c r="A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5" s="22">
        <v>45924</v>
      </c>
      <c r="C25" s="16" t="s">
        <v>25</v>
      </c>
      <c r="D25" s="16" t="s">
        <v>701</v>
      </c>
      <c r="E25" s="17">
        <f>IFERROR(VLOOKUP(Tabulka2[[#This Row],[Pracovník]],DATA!A:L,5,0),"")</f>
        <v>2463</v>
      </c>
      <c r="F25" s="12" t="s">
        <v>655</v>
      </c>
      <c r="G25" s="16"/>
      <c r="H25" s="18"/>
      <c r="I25" s="27" t="str">
        <f>IFERROR(VLOOKUP(Tabulka2[[#This Row],[Pracovník]],DATA!A:L,11,0),"")</f>
        <v>Vlastní auto</v>
      </c>
      <c r="J25" s="16"/>
      <c r="K25" s="19"/>
    </row>
    <row r="26" spans="1:11" x14ac:dyDescent="0.25">
      <c r="A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6" s="15">
        <v>45924</v>
      </c>
      <c r="C26" s="16" t="s">
        <v>25</v>
      </c>
      <c r="D26" s="16" t="s">
        <v>702</v>
      </c>
      <c r="E26" s="17">
        <f>IFERROR(VLOOKUP(Tabulka2[[#This Row],[Pracovník]],DATA!A:L,5,0),"")</f>
        <v>6536</v>
      </c>
      <c r="F26" s="12" t="s">
        <v>655</v>
      </c>
      <c r="G26" s="16"/>
      <c r="H26" s="18"/>
      <c r="I26" s="27" t="str">
        <f>IFERROR(VLOOKUP(Tabulka2[[#This Row],[Pracovník]],DATA!A:L,11,0),"")</f>
        <v>BATZ 2</v>
      </c>
      <c r="J26" s="16"/>
      <c r="K26" s="19"/>
    </row>
    <row r="27" spans="1:11" x14ac:dyDescent="0.25">
      <c r="A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7" s="22">
        <v>45924</v>
      </c>
      <c r="C27" s="16" t="s">
        <v>25</v>
      </c>
      <c r="D27" s="16" t="s">
        <v>703</v>
      </c>
      <c r="E27" s="17">
        <f>IFERROR(VLOOKUP(Tabulka2[[#This Row],[Pracovník]],DATA!A:L,5,0),"")</f>
        <v>4748</v>
      </c>
      <c r="F27" s="12" t="s">
        <v>653</v>
      </c>
      <c r="G27" s="16" t="s">
        <v>657</v>
      </c>
      <c r="H27" s="18"/>
      <c r="I27" s="27" t="str">
        <f>IFERROR(VLOOKUP(Tabulka2[[#This Row],[Pracovník]],DATA!A:L,11,0),"")</f>
        <v>BATZ 1</v>
      </c>
      <c r="J27" s="16"/>
      <c r="K27" s="19"/>
    </row>
    <row r="28" spans="1:11" x14ac:dyDescent="0.25">
      <c r="A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8" s="15">
        <v>45924</v>
      </c>
      <c r="C28" s="16" t="s">
        <v>25</v>
      </c>
      <c r="D28" s="16" t="s">
        <v>972</v>
      </c>
      <c r="E28" s="17">
        <f>IFERROR(VLOOKUP(Tabulka2[[#This Row],[Pracovník]],DATA!A:L,5,0),"")</f>
        <v>6077</v>
      </c>
      <c r="F28" s="12" t="s">
        <v>653</v>
      </c>
      <c r="G28" s="16" t="s">
        <v>657</v>
      </c>
      <c r="H28" s="18"/>
      <c r="I28" s="27" t="str">
        <f>IFERROR(VLOOKUP(Tabulka2[[#This Row],[Pracovník]],DATA!A:L,11,0),"")</f>
        <v>BATZ 2</v>
      </c>
      <c r="J28" s="16"/>
      <c r="K28" s="19" t="s">
        <v>973</v>
      </c>
    </row>
    <row r="29" spans="1:11" x14ac:dyDescent="0.25">
      <c r="A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9" s="22">
        <v>45924</v>
      </c>
      <c r="C29" s="16" t="s">
        <v>25</v>
      </c>
      <c r="D29" s="16" t="s">
        <v>704</v>
      </c>
      <c r="E29" s="17">
        <f>IFERROR(VLOOKUP(Tabulka2[[#This Row],[Pracovník]],DATA!A:L,5,0),"")</f>
        <v>6574</v>
      </c>
      <c r="F29" s="12" t="s">
        <v>655</v>
      </c>
      <c r="G29" s="16"/>
      <c r="H29" s="18"/>
      <c r="I29" s="27" t="str">
        <f>IFERROR(VLOOKUP(Tabulka2[[#This Row],[Pracovník]],DATA!A:L,11,0),"")</f>
        <v>BATZ 1</v>
      </c>
      <c r="J29" s="16"/>
      <c r="K29" s="19"/>
    </row>
    <row r="30" spans="1:11" x14ac:dyDescent="0.25">
      <c r="A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0" s="15">
        <v>45924</v>
      </c>
      <c r="C30" s="16" t="s">
        <v>25</v>
      </c>
      <c r="D30" s="16" t="s">
        <v>705</v>
      </c>
      <c r="E30" s="17">
        <f>IFERROR(VLOOKUP(Tabulka2[[#This Row],[Pracovník]],DATA!A:L,5,0),"")</f>
        <v>4720</v>
      </c>
      <c r="F30" s="12" t="s">
        <v>640</v>
      </c>
      <c r="G30" s="16"/>
      <c r="H30" s="18"/>
      <c r="I30" s="27" t="str">
        <f>IFERROR(VLOOKUP(Tabulka2[[#This Row],[Pracovník]],DATA!A:L,11,0),"")</f>
        <v>BATZ 2</v>
      </c>
      <c r="J30" s="16"/>
      <c r="K30" s="19"/>
    </row>
    <row r="31" spans="1:11" x14ac:dyDescent="0.25">
      <c r="A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1" s="22">
        <v>45924</v>
      </c>
      <c r="C31" s="16" t="s">
        <v>25</v>
      </c>
      <c r="D31" s="16" t="s">
        <v>706</v>
      </c>
      <c r="E31" s="17">
        <f>IFERROR(VLOOKUP(Tabulka2[[#This Row],[Pracovník]],DATA!A:L,5,0),"")</f>
        <v>6409</v>
      </c>
      <c r="F31" s="12" t="s">
        <v>640</v>
      </c>
      <c r="G31" s="16"/>
      <c r="H31" s="18"/>
      <c r="I31" s="27" t="str">
        <f>IFERROR(VLOOKUP(Tabulka2[[#This Row],[Pracovník]],DATA!A:L,11,0),"")</f>
        <v>Vlastní auto</v>
      </c>
      <c r="J31" s="16"/>
      <c r="K31" s="19"/>
    </row>
    <row r="32" spans="1:11" x14ac:dyDescent="0.25">
      <c r="A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2" s="15">
        <v>45924</v>
      </c>
      <c r="C32" s="16" t="s">
        <v>25</v>
      </c>
      <c r="D32" s="16" t="s">
        <v>707</v>
      </c>
      <c r="E32" s="17">
        <f>IFERROR(VLOOKUP(Tabulka2[[#This Row],[Pracovník]],DATA!A:L,5,0),"")</f>
        <v>3396</v>
      </c>
      <c r="F32" s="12" t="s">
        <v>655</v>
      </c>
      <c r="G32" s="16"/>
      <c r="H32" s="18"/>
      <c r="I32" s="27" t="str">
        <f>IFERROR(VLOOKUP(Tabulka2[[#This Row],[Pracovník]],DATA!A:L,11,0),"")</f>
        <v>BATZ 1</v>
      </c>
      <c r="J32" s="16"/>
      <c r="K32" s="19"/>
    </row>
    <row r="33" spans="1:11" x14ac:dyDescent="0.25">
      <c r="A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3" s="22">
        <v>45924</v>
      </c>
      <c r="C33" s="16" t="s">
        <v>25</v>
      </c>
      <c r="D33" s="16" t="s">
        <v>708</v>
      </c>
      <c r="E33" s="17">
        <f>IFERROR(VLOOKUP(Tabulka2[[#This Row],[Pracovník]],DATA!A:L,5,0),"")</f>
        <v>6376</v>
      </c>
      <c r="F33" s="12" t="s">
        <v>655</v>
      </c>
      <c r="G33" s="16"/>
      <c r="H33" s="18"/>
      <c r="I33" s="27" t="str">
        <f>IFERROR(VLOOKUP(Tabulka2[[#This Row],[Pracovník]],DATA!A:L,11,0),"")</f>
        <v>BATZ 2</v>
      </c>
      <c r="J33" s="16"/>
      <c r="K33" s="19"/>
    </row>
    <row r="34" spans="1:11" x14ac:dyDescent="0.25">
      <c r="A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4" s="15">
        <v>45924</v>
      </c>
      <c r="C34" s="16" t="s">
        <v>25</v>
      </c>
      <c r="D34" s="16" t="s">
        <v>709</v>
      </c>
      <c r="E34" s="17">
        <f>IFERROR(VLOOKUP(Tabulka2[[#This Row],[Pracovník]],DATA!A:L,5,0),"")</f>
        <v>5014</v>
      </c>
      <c r="F34" s="12" t="s">
        <v>655</v>
      </c>
      <c r="G34" s="16"/>
      <c r="H34" s="18"/>
      <c r="I34" s="27" t="str">
        <f>IFERROR(VLOOKUP(Tabulka2[[#This Row],[Pracovník]],DATA!A:L,11,0),"")</f>
        <v>BATZ 2</v>
      </c>
      <c r="J34" s="16"/>
      <c r="K34" s="19"/>
    </row>
    <row r="35" spans="1:11" x14ac:dyDescent="0.25">
      <c r="A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5" s="22">
        <v>45924</v>
      </c>
      <c r="C35" s="16" t="s">
        <v>25</v>
      </c>
      <c r="D35" s="16" t="s">
        <v>710</v>
      </c>
      <c r="E35" s="17">
        <f>IFERROR(VLOOKUP(Tabulka2[[#This Row],[Pracovník]],DATA!A:L,5,0),"")</f>
        <v>3369</v>
      </c>
      <c r="F35" s="12" t="s">
        <v>640</v>
      </c>
      <c r="G35" s="16"/>
      <c r="H35" s="18"/>
      <c r="I35" s="27" t="str">
        <f>IFERROR(VLOOKUP(Tabulka2[[#This Row],[Pracovník]],DATA!A:L,11,0),"")</f>
        <v>BATZ 1</v>
      </c>
      <c r="J35" s="16"/>
      <c r="K35" s="19"/>
    </row>
    <row r="36" spans="1:11" x14ac:dyDescent="0.25">
      <c r="A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6" s="15">
        <v>45924</v>
      </c>
      <c r="C36" s="16" t="s">
        <v>25</v>
      </c>
      <c r="D36" s="16" t="s">
        <v>711</v>
      </c>
      <c r="E36" s="17">
        <f>IFERROR(VLOOKUP(Tabulka2[[#This Row],[Pracovník]],DATA!A:L,5,0),"")</f>
        <v>6576</v>
      </c>
      <c r="F36" s="12" t="s">
        <v>640</v>
      </c>
      <c r="G36" s="16"/>
      <c r="H36" s="18"/>
      <c r="I36" s="27" t="str">
        <f>IFERROR(VLOOKUP(Tabulka2[[#This Row],[Pracovník]],DATA!A:L,11,0),"")</f>
        <v>BATZ 1</v>
      </c>
      <c r="J36" s="16"/>
      <c r="K36" s="19"/>
    </row>
    <row r="37" spans="1:11" x14ac:dyDescent="0.25">
      <c r="A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7" s="22">
        <v>45924</v>
      </c>
      <c r="C37" s="16" t="s">
        <v>25</v>
      </c>
      <c r="D37" s="16" t="s">
        <v>712</v>
      </c>
      <c r="E37" s="17">
        <f>IFERROR(VLOOKUP(Tabulka2[[#This Row],[Pracovník]],DATA!A:L,5,0),"")</f>
        <v>6352</v>
      </c>
      <c r="F37" s="12" t="s">
        <v>654</v>
      </c>
      <c r="G37" s="16"/>
      <c r="H37" s="18"/>
      <c r="I37" s="27" t="str">
        <f>IFERROR(VLOOKUP(Tabulka2[[#This Row],[Pracovník]],DATA!A:L,11,0),"")</f>
        <v>BATZ 1</v>
      </c>
      <c r="J37" s="16"/>
      <c r="K37" s="19"/>
    </row>
    <row r="38" spans="1:11" x14ac:dyDescent="0.25">
      <c r="A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8" s="15">
        <v>45924</v>
      </c>
      <c r="C38" s="16" t="s">
        <v>25</v>
      </c>
      <c r="D38" s="16" t="s">
        <v>974</v>
      </c>
      <c r="E38" s="17">
        <f>IFERROR(VLOOKUP(Tabulka2[[#This Row],[Pracovník]],DATA!A:L,5,0),"")</f>
        <v>5009</v>
      </c>
      <c r="F38" s="12" t="s">
        <v>640</v>
      </c>
      <c r="G38" s="16"/>
      <c r="H38" s="18"/>
      <c r="I38" s="27" t="str">
        <f>IFERROR(VLOOKUP(Tabulka2[[#This Row],[Pracovník]],DATA!A:L,11,0),"")</f>
        <v>BATZ 1</v>
      </c>
      <c r="J38" s="16"/>
      <c r="K38" s="19"/>
    </row>
    <row r="39" spans="1:11" x14ac:dyDescent="0.25">
      <c r="A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9" s="22">
        <v>45924</v>
      </c>
      <c r="C39" s="16" t="s">
        <v>25</v>
      </c>
      <c r="D39" s="16" t="s">
        <v>975</v>
      </c>
      <c r="E39" s="17">
        <f>IFERROR(VLOOKUP(Tabulka2[[#This Row],[Pracovník]],DATA!A:L,5,0),"")</f>
        <v>6251</v>
      </c>
      <c r="F39" s="12" t="s">
        <v>653</v>
      </c>
      <c r="G39" s="16" t="s">
        <v>657</v>
      </c>
      <c r="H39" s="18"/>
      <c r="I39" s="27" t="str">
        <f>IFERROR(VLOOKUP(Tabulka2[[#This Row],[Pracovník]],DATA!A:L,11,0),"")</f>
        <v>BATZ 1</v>
      </c>
      <c r="J39" s="16"/>
      <c r="K39" s="19"/>
    </row>
    <row r="40" spans="1:11" x14ac:dyDescent="0.25">
      <c r="A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0" s="15">
        <v>45924</v>
      </c>
      <c r="C40" s="16" t="s">
        <v>25</v>
      </c>
      <c r="D40" s="16" t="s">
        <v>713</v>
      </c>
      <c r="E40" s="17">
        <f>IFERROR(VLOOKUP(Tabulka2[[#This Row],[Pracovník]],DATA!A:L,5,0),"")</f>
        <v>6507</v>
      </c>
      <c r="F40" s="12" t="s">
        <v>640</v>
      </c>
      <c r="G40" s="16"/>
      <c r="H40" s="18"/>
      <c r="I40" s="27" t="str">
        <f>IFERROR(VLOOKUP(Tabulka2[[#This Row],[Pracovník]],DATA!A:L,11,0),"")</f>
        <v>BATZ 1</v>
      </c>
      <c r="J40" s="16"/>
      <c r="K40" s="19"/>
    </row>
    <row r="41" spans="1:11" x14ac:dyDescent="0.25">
      <c r="A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1" s="22">
        <v>45924</v>
      </c>
      <c r="C41" s="16" t="s">
        <v>25</v>
      </c>
      <c r="D41" s="16" t="s">
        <v>976</v>
      </c>
      <c r="E41" s="17">
        <f>IFERROR(VLOOKUP(Tabulka2[[#This Row],[Pracovník]],DATA!A:L,5,0),"")</f>
        <v>6346</v>
      </c>
      <c r="F41" s="12" t="s">
        <v>640</v>
      </c>
      <c r="G41" s="16"/>
      <c r="H41" s="18"/>
      <c r="I41" s="27" t="str">
        <f>IFERROR(VLOOKUP(Tabulka2[[#This Row],[Pracovník]],DATA!A:L,11,0),"")</f>
        <v>BATZ 1</v>
      </c>
      <c r="J41" s="16"/>
      <c r="K41" s="19"/>
    </row>
    <row r="42" spans="1:11" x14ac:dyDescent="0.25">
      <c r="A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2" s="15">
        <v>45924</v>
      </c>
      <c r="C42" s="16" t="s">
        <v>25</v>
      </c>
      <c r="D42" s="16" t="s">
        <v>714</v>
      </c>
      <c r="E42" s="17">
        <f>IFERROR(VLOOKUP(Tabulka2[[#This Row],[Pracovník]],DATA!A:L,5,0),"")</f>
        <v>4972</v>
      </c>
      <c r="F42" s="12" t="s">
        <v>640</v>
      </c>
      <c r="G42" s="16"/>
      <c r="H42" s="18"/>
      <c r="I42" s="27" t="str">
        <f>IFERROR(VLOOKUP(Tabulka2[[#This Row],[Pracovník]],DATA!A:L,11,0),"")</f>
        <v>BATZ 2</v>
      </c>
      <c r="J42" s="16"/>
      <c r="K42" s="19"/>
    </row>
    <row r="43" spans="1:11" x14ac:dyDescent="0.25">
      <c r="A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3" s="22">
        <v>45924</v>
      </c>
      <c r="C43" s="16" t="s">
        <v>25</v>
      </c>
      <c r="D43" s="16" t="s">
        <v>715</v>
      </c>
      <c r="E43" s="17">
        <f>IFERROR(VLOOKUP(Tabulka2[[#This Row],[Pracovník]],DATA!A:L,5,0),"")</f>
        <v>2230</v>
      </c>
      <c r="F43" s="12" t="s">
        <v>640</v>
      </c>
      <c r="G43" s="16"/>
      <c r="H43" s="18"/>
      <c r="I43" s="27" t="str">
        <f>IFERROR(VLOOKUP(Tabulka2[[#This Row],[Pracovník]],DATA!A:L,11,0),"")</f>
        <v>BATZ 1</v>
      </c>
      <c r="J43" s="16"/>
      <c r="K43" s="19"/>
    </row>
    <row r="44" spans="1:11" x14ac:dyDescent="0.25">
      <c r="A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4" s="22">
        <v>45924</v>
      </c>
      <c r="C44" s="16" t="s">
        <v>25</v>
      </c>
      <c r="D44" s="16" t="s">
        <v>716</v>
      </c>
      <c r="E44" s="17">
        <f>IFERROR(VLOOKUP(Tabulka2[[#This Row],[Pracovník]],DATA!A:L,5,0),"")</f>
        <v>5310</v>
      </c>
      <c r="F44" s="12" t="s">
        <v>654</v>
      </c>
      <c r="G44" s="16"/>
      <c r="H44" s="18"/>
      <c r="I44" s="27" t="str">
        <f>IFERROR(VLOOKUP(Tabulka2[[#This Row],[Pracovník]],DATA!A:L,11,0),"")</f>
        <v>BATZ 1</v>
      </c>
      <c r="J44" s="16"/>
      <c r="K44" s="19"/>
    </row>
    <row r="45" spans="1:11" x14ac:dyDescent="0.25">
      <c r="A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5" s="15">
        <v>45924</v>
      </c>
      <c r="C45" s="16" t="s">
        <v>25</v>
      </c>
      <c r="D45" s="16" t="s">
        <v>717</v>
      </c>
      <c r="E45" s="17">
        <f>IFERROR(VLOOKUP(Tabulka2[[#This Row],[Pracovník]],DATA!A:L,5,0),"")</f>
        <v>5948</v>
      </c>
      <c r="F45" s="12" t="s">
        <v>653</v>
      </c>
      <c r="G45" s="16" t="s">
        <v>657</v>
      </c>
      <c r="H45" s="18"/>
      <c r="I45" s="27" t="str">
        <f>IFERROR(VLOOKUP(Tabulka2[[#This Row],[Pracovník]],DATA!A:L,11,0),"")</f>
        <v>BATZ 1</v>
      </c>
      <c r="J45" s="16"/>
      <c r="K45" s="19"/>
    </row>
    <row r="46" spans="1:11" x14ac:dyDescent="0.25">
      <c r="A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6" s="22">
        <v>45924</v>
      </c>
      <c r="C46" s="16" t="s">
        <v>25</v>
      </c>
      <c r="D46" s="16" t="s">
        <v>718</v>
      </c>
      <c r="E46" s="17">
        <f>IFERROR(VLOOKUP(Tabulka2[[#This Row],[Pracovník]],DATA!A:L,5,0),"")</f>
        <v>6549</v>
      </c>
      <c r="F46" s="12" t="s">
        <v>654</v>
      </c>
      <c r="G46" s="16"/>
      <c r="H46" s="18"/>
      <c r="I46" s="27" t="str">
        <f>IFERROR(VLOOKUP(Tabulka2[[#This Row],[Pracovník]],DATA!A:L,11,0),"")</f>
        <v>BATZ 1</v>
      </c>
      <c r="J46" s="16"/>
      <c r="K46" s="19"/>
    </row>
    <row r="47" spans="1:11" x14ac:dyDescent="0.25">
      <c r="A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7" s="15">
        <v>45924</v>
      </c>
      <c r="C47" s="16" t="s">
        <v>25</v>
      </c>
      <c r="D47" s="16" t="s">
        <v>977</v>
      </c>
      <c r="E47" s="17">
        <f>IFERROR(VLOOKUP(Tabulka2[[#This Row],[Pracovník]],DATA!A:L,5,0),"")</f>
        <v>6538</v>
      </c>
      <c r="F47" s="12" t="s">
        <v>640</v>
      </c>
      <c r="G47" s="16"/>
      <c r="H47" s="18"/>
      <c r="I47" s="27" t="str">
        <f>IFERROR(VLOOKUP(Tabulka2[[#This Row],[Pracovník]],DATA!A:L,11,0),"")</f>
        <v>BATZ 1</v>
      </c>
      <c r="J47" s="16"/>
      <c r="K47" s="19"/>
    </row>
    <row r="48" spans="1:11" x14ac:dyDescent="0.25">
      <c r="A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8" s="22">
        <v>45924</v>
      </c>
      <c r="C48" s="16" t="s">
        <v>25</v>
      </c>
      <c r="D48" s="16" t="s">
        <v>719</v>
      </c>
      <c r="E48" s="17">
        <f>IFERROR(VLOOKUP(Tabulka2[[#This Row],[Pracovník]],DATA!A:L,5,0),"")</f>
        <v>5715</v>
      </c>
      <c r="F48" s="12" t="s">
        <v>655</v>
      </c>
      <c r="G48" s="16"/>
      <c r="H48" s="18"/>
      <c r="I48" s="27" t="str">
        <f>IFERROR(VLOOKUP(Tabulka2[[#This Row],[Pracovník]],DATA!A:L,11,0),"")</f>
        <v>BATZ 1</v>
      </c>
      <c r="J48" s="16"/>
      <c r="K48" s="19"/>
    </row>
    <row r="49" spans="1:11" x14ac:dyDescent="0.25">
      <c r="A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9" s="15">
        <v>45924</v>
      </c>
      <c r="C49" s="16" t="s">
        <v>25</v>
      </c>
      <c r="D49" s="16" t="s">
        <v>720</v>
      </c>
      <c r="E49" s="17">
        <f>IFERROR(VLOOKUP(Tabulka2[[#This Row],[Pracovník]],DATA!A:L,5,0),"")</f>
        <v>4514</v>
      </c>
      <c r="F49" s="12" t="s">
        <v>655</v>
      </c>
      <c r="G49" s="16"/>
      <c r="H49" s="18"/>
      <c r="I49" s="27" t="str">
        <f>IFERROR(VLOOKUP(Tabulka2[[#This Row],[Pracovník]],DATA!A:L,11,0),"")</f>
        <v>BATZ 1</v>
      </c>
      <c r="J49" s="16"/>
      <c r="K49" s="19"/>
    </row>
    <row r="50" spans="1:11" x14ac:dyDescent="0.25">
      <c r="A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0" s="22">
        <v>45924</v>
      </c>
      <c r="C50" s="16" t="s">
        <v>25</v>
      </c>
      <c r="D50" s="16" t="s">
        <v>721</v>
      </c>
      <c r="E50" s="17">
        <f>IFERROR(VLOOKUP(Tabulka2[[#This Row],[Pracovník]],DATA!A:L,5,0),"")</f>
        <v>5176</v>
      </c>
      <c r="F50" s="12" t="s">
        <v>654</v>
      </c>
      <c r="G50" s="16"/>
      <c r="H50" s="18"/>
      <c r="I50" s="27" t="str">
        <f>IFERROR(VLOOKUP(Tabulka2[[#This Row],[Pracovník]],DATA!A:L,11,0),"")</f>
        <v>BATZ 1</v>
      </c>
      <c r="J50" s="16"/>
      <c r="K50" s="19"/>
    </row>
    <row r="51" spans="1:11" x14ac:dyDescent="0.25">
      <c r="A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1" s="15">
        <v>45924</v>
      </c>
      <c r="C51" s="16" t="s">
        <v>25</v>
      </c>
      <c r="D51" s="16" t="s">
        <v>722</v>
      </c>
      <c r="E51" s="17">
        <f>IFERROR(VLOOKUP(Tabulka2[[#This Row],[Pracovník]],DATA!A:L,5,0),"")</f>
        <v>4163</v>
      </c>
      <c r="F51" s="12" t="s">
        <v>655</v>
      </c>
      <c r="G51" s="16"/>
      <c r="H51" s="18"/>
      <c r="I51" s="27" t="str">
        <f>IFERROR(VLOOKUP(Tabulka2[[#This Row],[Pracovník]],DATA!A:L,11,0),"")</f>
        <v>BATZ 1</v>
      </c>
      <c r="J51" s="16"/>
      <c r="K51" s="19"/>
    </row>
    <row r="52" spans="1:11" x14ac:dyDescent="0.25">
      <c r="A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2" s="22">
        <v>45924</v>
      </c>
      <c r="C52" s="16" t="s">
        <v>25</v>
      </c>
      <c r="D52" s="16" t="s">
        <v>723</v>
      </c>
      <c r="E52" s="17">
        <f>IFERROR(VLOOKUP(Tabulka2[[#This Row],[Pracovník]],DATA!A:L,5,0),"")</f>
        <v>3920</v>
      </c>
      <c r="F52" s="12" t="s">
        <v>640</v>
      </c>
      <c r="G52" s="16"/>
      <c r="H52" s="18"/>
      <c r="I52" s="27" t="str">
        <f>IFERROR(VLOOKUP(Tabulka2[[#This Row],[Pracovník]],DATA!A:L,11,0),"")</f>
        <v>BATZ 2</v>
      </c>
      <c r="J52" s="16"/>
      <c r="K52" s="19"/>
    </row>
    <row r="53" spans="1:11" x14ac:dyDescent="0.25">
      <c r="A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3" s="22">
        <v>45924</v>
      </c>
      <c r="C53" s="16" t="s">
        <v>25</v>
      </c>
      <c r="D53" s="16" t="s">
        <v>724</v>
      </c>
      <c r="E53" s="17">
        <f>IFERROR(VLOOKUP(Tabulka2[[#This Row],[Pracovník]],DATA!A:L,5,0),"")</f>
        <v>3257</v>
      </c>
      <c r="F53" s="12" t="s">
        <v>640</v>
      </c>
      <c r="G53" s="16"/>
      <c r="H53" s="18"/>
      <c r="I53" s="27" t="str">
        <f>IFERROR(VLOOKUP(Tabulka2[[#This Row],[Pracovník]],DATA!A:L,11,0),"")</f>
        <v>BATZ 1</v>
      </c>
      <c r="J53" s="16"/>
      <c r="K53" s="19"/>
    </row>
    <row r="54" spans="1:11" x14ac:dyDescent="0.25">
      <c r="A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4" s="15">
        <v>45924</v>
      </c>
      <c r="C54" s="16" t="s">
        <v>25</v>
      </c>
      <c r="D54" s="16" t="s">
        <v>725</v>
      </c>
      <c r="E54" s="17">
        <f>IFERROR(VLOOKUP(Tabulka2[[#This Row],[Pracovník]],DATA!A:L,5,0),"")</f>
        <v>3394</v>
      </c>
      <c r="F54" s="12" t="s">
        <v>655</v>
      </c>
      <c r="G54" s="16"/>
      <c r="H54" s="18"/>
      <c r="I54" s="27" t="str">
        <f>IFERROR(VLOOKUP(Tabulka2[[#This Row],[Pracovník]],DATA!A:L,11,0),"")</f>
        <v>BATZ 1</v>
      </c>
      <c r="J54" s="16"/>
      <c r="K54" s="19"/>
    </row>
    <row r="55" spans="1:11" x14ac:dyDescent="0.25">
      <c r="A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5" s="22">
        <v>45924</v>
      </c>
      <c r="C55" s="16" t="s">
        <v>25</v>
      </c>
      <c r="D55" s="16" t="s">
        <v>726</v>
      </c>
      <c r="E55" s="17">
        <f>IFERROR(VLOOKUP(Tabulka2[[#This Row],[Pracovník]],DATA!A:L,5,0),"")</f>
        <v>4828</v>
      </c>
      <c r="F55" s="12" t="s">
        <v>654</v>
      </c>
      <c r="G55" s="16"/>
      <c r="H55" s="18"/>
      <c r="I55" s="27" t="str">
        <f>IFERROR(VLOOKUP(Tabulka2[[#This Row],[Pracovník]],DATA!A:L,11,0),"")</f>
        <v>BATZ 2</v>
      </c>
      <c r="J55" s="16"/>
      <c r="K55" s="19"/>
    </row>
    <row r="56" spans="1:11" x14ac:dyDescent="0.25">
      <c r="A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6" s="15">
        <v>45924</v>
      </c>
      <c r="C56" s="16" t="s">
        <v>25</v>
      </c>
      <c r="D56" s="16" t="s">
        <v>727</v>
      </c>
      <c r="E56" s="17">
        <f>IFERROR(VLOOKUP(Tabulka2[[#This Row],[Pracovník]],DATA!A:L,5,0),"")</f>
        <v>4155</v>
      </c>
      <c r="F56" s="12" t="s">
        <v>654</v>
      </c>
      <c r="G56" s="16"/>
      <c r="H56" s="18"/>
      <c r="I56" s="27" t="str">
        <f>IFERROR(VLOOKUP(Tabulka2[[#This Row],[Pracovník]],DATA!A:L,11,0),"")</f>
        <v>BATZ 1</v>
      </c>
      <c r="J56" s="16"/>
      <c r="K56" s="19"/>
    </row>
    <row r="57" spans="1:11" x14ac:dyDescent="0.25">
      <c r="A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7" s="22">
        <v>45924</v>
      </c>
      <c r="C57" s="16" t="s">
        <v>25</v>
      </c>
      <c r="D57" s="16" t="s">
        <v>728</v>
      </c>
      <c r="E57" s="17">
        <f>IFERROR(VLOOKUP(Tabulka2[[#This Row],[Pracovník]],DATA!A:L,5,0),"")</f>
        <v>0</v>
      </c>
      <c r="F57" s="12" t="s">
        <v>640</v>
      </c>
      <c r="G57" s="16"/>
      <c r="H57" s="18"/>
      <c r="I57" s="27" t="str">
        <f>IFERROR(VLOOKUP(Tabulka2[[#This Row],[Pracovník]],DATA!A:L,11,0),"")</f>
        <v>BATZ 1</v>
      </c>
      <c r="J57" s="16"/>
      <c r="K57" s="19"/>
    </row>
    <row r="58" spans="1:11" x14ac:dyDescent="0.25">
      <c r="A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8" s="15">
        <v>45924</v>
      </c>
      <c r="C58" s="16" t="s">
        <v>25</v>
      </c>
      <c r="D58" s="16" t="s">
        <v>729</v>
      </c>
      <c r="E58" s="17">
        <f>IFERROR(VLOOKUP(Tabulka2[[#This Row],[Pracovník]],DATA!A:L,5,0),"")</f>
        <v>5179</v>
      </c>
      <c r="F58" s="12" t="s">
        <v>654</v>
      </c>
      <c r="G58" s="16"/>
      <c r="H58" s="18"/>
      <c r="I58" s="27" t="str">
        <f>IFERROR(VLOOKUP(Tabulka2[[#This Row],[Pracovník]],DATA!A:L,11,0),"")</f>
        <v>BATZ 1</v>
      </c>
      <c r="J58" s="16"/>
      <c r="K58" s="19"/>
    </row>
    <row r="59" spans="1:11" x14ac:dyDescent="0.25">
      <c r="A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9" s="22">
        <v>45924</v>
      </c>
      <c r="C59" s="16" t="s">
        <v>25</v>
      </c>
      <c r="D59" s="16" t="s">
        <v>730</v>
      </c>
      <c r="E59" s="17">
        <f>IFERROR(VLOOKUP(Tabulka2[[#This Row],[Pracovník]],DATA!A:L,5,0),"")</f>
        <v>4912</v>
      </c>
      <c r="F59" s="12" t="s">
        <v>640</v>
      </c>
      <c r="G59" s="16"/>
      <c r="H59" s="18"/>
      <c r="I59" s="27" t="str">
        <f>IFERROR(VLOOKUP(Tabulka2[[#This Row],[Pracovník]],DATA!A:L,11,0),"")</f>
        <v>BATZ 2</v>
      </c>
      <c r="J59" s="16"/>
      <c r="K59" s="19"/>
    </row>
    <row r="60" spans="1:11" x14ac:dyDescent="0.25">
      <c r="A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0" s="15">
        <v>45924</v>
      </c>
      <c r="C60" s="16" t="s">
        <v>25</v>
      </c>
      <c r="D60" s="16" t="s">
        <v>978</v>
      </c>
      <c r="E60" s="17">
        <f>IFERROR(VLOOKUP(Tabulka2[[#This Row],[Pracovník]],DATA!A:L,5,0),"")</f>
        <v>5208</v>
      </c>
      <c r="F60" s="12" t="s">
        <v>640</v>
      </c>
      <c r="G60" s="16"/>
      <c r="H60" s="18"/>
      <c r="I60" s="27" t="str">
        <f>IFERROR(VLOOKUP(Tabulka2[[#This Row],[Pracovník]],DATA!A:L,11,0),"")</f>
        <v>BATZ 1</v>
      </c>
      <c r="J60" s="16"/>
      <c r="K60" s="19"/>
    </row>
    <row r="61" spans="1:11" x14ac:dyDescent="0.25">
      <c r="A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1" s="22">
        <v>45924</v>
      </c>
      <c r="C61" s="16" t="s">
        <v>25</v>
      </c>
      <c r="D61" s="16" t="s">
        <v>732</v>
      </c>
      <c r="E61" s="17">
        <f>IFERROR(VLOOKUP(Tabulka2[[#This Row],[Pracovník]],DATA!A:L,5,0),"")</f>
        <v>3937</v>
      </c>
      <c r="F61" s="12" t="s">
        <v>655</v>
      </c>
      <c r="G61" s="16"/>
      <c r="H61" s="18"/>
      <c r="I61" s="27" t="str">
        <f>IFERROR(VLOOKUP(Tabulka2[[#This Row],[Pracovník]],DATA!A:L,11,0),"")</f>
        <v>BATZ 1</v>
      </c>
      <c r="J61" s="16"/>
      <c r="K61" s="19"/>
    </row>
    <row r="62" spans="1:11" x14ac:dyDescent="0.25">
      <c r="A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2" s="22">
        <v>45924</v>
      </c>
      <c r="C62" s="16" t="s">
        <v>25</v>
      </c>
      <c r="D62" s="16" t="s">
        <v>733</v>
      </c>
      <c r="E62" s="17">
        <f>IFERROR(VLOOKUP(Tabulka2[[#This Row],[Pracovník]],DATA!A:L,5,0),"")</f>
        <v>6076</v>
      </c>
      <c r="F62" s="12" t="s">
        <v>654</v>
      </c>
      <c r="G62" s="16"/>
      <c r="H62" s="18"/>
      <c r="I62" s="27" t="str">
        <f>IFERROR(VLOOKUP(Tabulka2[[#This Row],[Pracovník]],DATA!A:L,11,0),"")</f>
        <v>BATZ 1</v>
      </c>
      <c r="J62" s="16"/>
      <c r="K62" s="19"/>
    </row>
    <row r="63" spans="1:11" x14ac:dyDescent="0.25">
      <c r="A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3" s="15">
        <v>45924</v>
      </c>
      <c r="C63" s="16" t="s">
        <v>25</v>
      </c>
      <c r="D63" s="16" t="s">
        <v>734</v>
      </c>
      <c r="E63" s="17">
        <f>IFERROR(VLOOKUP(Tabulka2[[#This Row],[Pracovník]],DATA!A:L,5,0),"")</f>
        <v>3648</v>
      </c>
      <c r="F63" s="12" t="s">
        <v>640</v>
      </c>
      <c r="G63" s="16"/>
      <c r="H63" s="18"/>
      <c r="I63" s="27" t="str">
        <f>IFERROR(VLOOKUP(Tabulka2[[#This Row],[Pracovník]],DATA!A:L,11,0),"")</f>
        <v>BATZ 1</v>
      </c>
      <c r="J63" s="16"/>
      <c r="K63" s="19"/>
    </row>
    <row r="64" spans="1:11" x14ac:dyDescent="0.25">
      <c r="A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4" s="22">
        <v>45924</v>
      </c>
      <c r="C64" s="16" t="s">
        <v>25</v>
      </c>
      <c r="D64" s="16" t="s">
        <v>735</v>
      </c>
      <c r="E64" s="17">
        <f>IFERROR(VLOOKUP(Tabulka2[[#This Row],[Pracovník]],DATA!A:L,5,0),"")</f>
        <v>4602</v>
      </c>
      <c r="F64" s="12" t="s">
        <v>654</v>
      </c>
      <c r="G64" s="16"/>
      <c r="H64" s="18"/>
      <c r="I64" s="27" t="str">
        <f>IFERROR(VLOOKUP(Tabulka2[[#This Row],[Pracovník]],DATA!A:L,11,0),"")</f>
        <v>BATZ 1</v>
      </c>
      <c r="J64" s="16"/>
      <c r="K64" s="19"/>
    </row>
    <row r="65" spans="1:11" x14ac:dyDescent="0.25">
      <c r="A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5" s="15">
        <v>45924</v>
      </c>
      <c r="C65" s="16" t="s">
        <v>25</v>
      </c>
      <c r="D65" s="16" t="s">
        <v>736</v>
      </c>
      <c r="E65" s="17">
        <f>IFERROR(VLOOKUP(Tabulka2[[#This Row],[Pracovník]],DATA!A:L,5,0),"")</f>
        <v>4940</v>
      </c>
      <c r="F65" s="12" t="s">
        <v>640</v>
      </c>
      <c r="G65" s="16"/>
      <c r="H65" s="18"/>
      <c r="I65" s="27" t="str">
        <f>IFERROR(VLOOKUP(Tabulka2[[#This Row],[Pracovník]],DATA!A:L,11,0),"")</f>
        <v>BATZ 1</v>
      </c>
      <c r="J65" s="16"/>
      <c r="K65" s="19"/>
    </row>
    <row r="66" spans="1:11" x14ac:dyDescent="0.25">
      <c r="A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6" s="22">
        <v>45924</v>
      </c>
      <c r="C66" s="16" t="s">
        <v>25</v>
      </c>
      <c r="D66" s="16" t="s">
        <v>737</v>
      </c>
      <c r="E66" s="17">
        <f>IFERROR(VLOOKUP(Tabulka2[[#This Row],[Pracovník]],DATA!A:L,5,0),"")</f>
        <v>5660</v>
      </c>
      <c r="F66" s="12" t="s">
        <v>655</v>
      </c>
      <c r="G66" s="16"/>
      <c r="H66" s="18"/>
      <c r="I66" s="27" t="str">
        <f>IFERROR(VLOOKUP(Tabulka2[[#This Row],[Pracovník]],DATA!A:L,11,0),"")</f>
        <v>BATZ 1</v>
      </c>
      <c r="J66" s="16"/>
      <c r="K66" s="19"/>
    </row>
    <row r="67" spans="1:11" x14ac:dyDescent="0.25">
      <c r="A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7" s="15">
        <v>45924</v>
      </c>
      <c r="C67" s="16" t="s">
        <v>25</v>
      </c>
      <c r="D67" s="16" t="s">
        <v>738</v>
      </c>
      <c r="E67" s="17">
        <f>IFERROR(VLOOKUP(Tabulka2[[#This Row],[Pracovník]],DATA!A:L,5,0),"")</f>
        <v>6243</v>
      </c>
      <c r="F67" s="12" t="s">
        <v>640</v>
      </c>
      <c r="G67" s="16"/>
      <c r="H67" s="18"/>
      <c r="I67" s="27" t="str">
        <f>IFERROR(VLOOKUP(Tabulka2[[#This Row],[Pracovník]],DATA!A:L,11,0),"")</f>
        <v>BATZ 2</v>
      </c>
      <c r="J67" s="16"/>
      <c r="K67" s="19"/>
    </row>
    <row r="68" spans="1:11" x14ac:dyDescent="0.25">
      <c r="A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8" s="22">
        <v>45924</v>
      </c>
      <c r="C68" s="16" t="s">
        <v>25</v>
      </c>
      <c r="D68" s="16" t="s">
        <v>739</v>
      </c>
      <c r="E68" s="17">
        <f>IFERROR(VLOOKUP(Tabulka2[[#This Row],[Pracovník]],DATA!A:L,5,0),"")</f>
        <v>6339</v>
      </c>
      <c r="F68" s="12" t="s">
        <v>654</v>
      </c>
      <c r="G68" s="16"/>
      <c r="H68" s="18"/>
      <c r="I68" s="27" t="str">
        <f>IFERROR(VLOOKUP(Tabulka2[[#This Row],[Pracovník]],DATA!A:L,11,0),"")</f>
        <v>BATZ 1</v>
      </c>
      <c r="J68" s="16"/>
      <c r="K68" s="19"/>
    </row>
    <row r="69" spans="1:11" x14ac:dyDescent="0.25">
      <c r="A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9" s="15">
        <v>45924</v>
      </c>
      <c r="C69" s="16" t="s">
        <v>25</v>
      </c>
      <c r="D69" s="16" t="s">
        <v>740</v>
      </c>
      <c r="E69" s="17">
        <f>IFERROR(VLOOKUP(Tabulka2[[#This Row],[Pracovník]],DATA!A:L,5,0),"")</f>
        <v>4928</v>
      </c>
      <c r="F69" s="12" t="s">
        <v>654</v>
      </c>
      <c r="G69" s="16"/>
      <c r="H69" s="18"/>
      <c r="I69" s="27" t="str">
        <f>IFERROR(VLOOKUP(Tabulka2[[#This Row],[Pracovník]],DATA!A:L,11,0),"")</f>
        <v>BATZ 1</v>
      </c>
      <c r="J69" s="16"/>
      <c r="K69" s="19"/>
    </row>
    <row r="70" spans="1:11" x14ac:dyDescent="0.25">
      <c r="A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0" s="22">
        <v>45924</v>
      </c>
      <c r="C70" s="16" t="s">
        <v>25</v>
      </c>
      <c r="D70" s="16" t="s">
        <v>731</v>
      </c>
      <c r="E70" s="17">
        <f>IFERROR(VLOOKUP(Tabulka2[[#This Row],[Pracovník]],DATA!A:L,5,0),"")</f>
        <v>0</v>
      </c>
      <c r="F70" s="12" t="s">
        <v>655</v>
      </c>
      <c r="G70" s="16"/>
      <c r="H70" s="18"/>
      <c r="I70" s="27" t="str">
        <f>IFERROR(VLOOKUP(Tabulka2[[#This Row],[Pracovník]],DATA!A:L,11,0),"")</f>
        <v>BATZ 1</v>
      </c>
      <c r="J70" s="16"/>
      <c r="K70" s="19"/>
    </row>
    <row r="71" spans="1:11" x14ac:dyDescent="0.25">
      <c r="A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1" s="22">
        <v>45924</v>
      </c>
      <c r="C71" s="16" t="s">
        <v>56</v>
      </c>
      <c r="D71" s="16" t="s">
        <v>913</v>
      </c>
      <c r="E71" s="17">
        <f>IFERROR(VLOOKUP(Tabulka2[[#This Row],[Pracovník]],DATA!A:L,5,0),"")</f>
        <v>6394</v>
      </c>
      <c r="F71" s="12" t="s">
        <v>653</v>
      </c>
      <c r="G71" s="16" t="s">
        <v>659</v>
      </c>
      <c r="H71" s="18"/>
      <c r="I71" s="27" t="str">
        <f>IFERROR(VLOOKUP(Tabulka2[[#This Row],[Pracovník]],DATA!A:L,11,0),"")</f>
        <v>BATZ 1</v>
      </c>
      <c r="J71" s="16"/>
      <c r="K71" s="19" t="s">
        <v>979</v>
      </c>
    </row>
    <row r="72" spans="1:11" x14ac:dyDescent="0.25">
      <c r="A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2" s="15">
        <v>45924</v>
      </c>
      <c r="C72" s="16" t="s">
        <v>56</v>
      </c>
      <c r="D72" s="16" t="s">
        <v>911</v>
      </c>
      <c r="E72" s="17">
        <f>IFERROR(VLOOKUP(Tabulka2[[#This Row],[Pracovník]],DATA!A:L,5,0),"")</f>
        <v>5110</v>
      </c>
      <c r="F72" s="12" t="s">
        <v>654</v>
      </c>
      <c r="G72" s="16"/>
      <c r="H72" s="18"/>
      <c r="I72" s="27" t="str">
        <f>IFERROR(VLOOKUP(Tabulka2[[#This Row],[Pracovník]],DATA!A:L,11,0),"")</f>
        <v>BATZ 2</v>
      </c>
      <c r="J72" s="16"/>
      <c r="K72" s="19"/>
    </row>
    <row r="73" spans="1:11" x14ac:dyDescent="0.25">
      <c r="A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3" s="22">
        <v>45924</v>
      </c>
      <c r="C73" s="16" t="s">
        <v>56</v>
      </c>
      <c r="D73" s="16" t="s">
        <v>910</v>
      </c>
      <c r="E73" s="17">
        <f>IFERROR(VLOOKUP(Tabulka2[[#This Row],[Pracovník]],DATA!A:L,5,0),"")</f>
        <v>6474</v>
      </c>
      <c r="F73" s="12" t="s">
        <v>640</v>
      </c>
      <c r="G73" s="16"/>
      <c r="H73" s="18"/>
      <c r="I73" s="27" t="str">
        <f>IFERROR(VLOOKUP(Tabulka2[[#This Row],[Pracovník]],DATA!A:L,11,0),"")</f>
        <v>BATZ 1</v>
      </c>
      <c r="J73" s="16"/>
      <c r="K73" s="19"/>
    </row>
    <row r="74" spans="1:11" x14ac:dyDescent="0.25">
      <c r="A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4" s="15">
        <v>45924</v>
      </c>
      <c r="C74" s="16" t="s">
        <v>56</v>
      </c>
      <c r="D74" s="16" t="s">
        <v>912</v>
      </c>
      <c r="E74" s="17">
        <f>IFERROR(VLOOKUP(Tabulka2[[#This Row],[Pracovník]],DATA!A:L,5,0),"")</f>
        <v>6473</v>
      </c>
      <c r="F74" s="12" t="s">
        <v>654</v>
      </c>
      <c r="G74" s="16"/>
      <c r="H74" s="18"/>
      <c r="I74" s="27" t="str">
        <f>IFERROR(VLOOKUP(Tabulka2[[#This Row],[Pracovník]],DATA!A:L,11,0),"")</f>
        <v>BATZ 1</v>
      </c>
      <c r="J74" s="16"/>
      <c r="K74" s="19"/>
    </row>
    <row r="75" spans="1:11" x14ac:dyDescent="0.25">
      <c r="A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5" s="22">
        <v>45924</v>
      </c>
      <c r="C75" s="16" t="s">
        <v>96</v>
      </c>
      <c r="D75" s="16" t="s">
        <v>641</v>
      </c>
      <c r="E75" s="17">
        <f>IFERROR(VLOOKUP(Tabulka2[[#This Row],[Pracovník]],DATA!A:L,5,0),"")</f>
        <v>6259</v>
      </c>
      <c r="F75" s="12" t="s">
        <v>654</v>
      </c>
      <c r="G75" s="16"/>
      <c r="H75" s="18"/>
      <c r="I75" s="27" t="str">
        <f>IFERROR(VLOOKUP(Tabulka2[[#This Row],[Pracovník]],DATA!A:L,11,0),"")</f>
        <v>Vlastní auto</v>
      </c>
      <c r="J75" s="16"/>
      <c r="K75" s="19"/>
    </row>
    <row r="76" spans="1:11" x14ac:dyDescent="0.25">
      <c r="A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6" s="15">
        <v>45924</v>
      </c>
      <c r="C76" s="16" t="s">
        <v>96</v>
      </c>
      <c r="D76" s="16" t="s">
        <v>649</v>
      </c>
      <c r="E76" s="17">
        <f>IFERROR(VLOOKUP(Tabulka2[[#This Row],[Pracovník]],DATA!A:L,5,0),"")</f>
        <v>3951</v>
      </c>
      <c r="F76" s="12" t="s">
        <v>640</v>
      </c>
      <c r="G76" s="16"/>
      <c r="H76" s="18"/>
      <c r="I76" s="27" t="str">
        <f>IFERROR(VLOOKUP(Tabulka2[[#This Row],[Pracovník]],DATA!A:L,11,0),"")</f>
        <v>Vlastní auto</v>
      </c>
      <c r="J76" s="16"/>
      <c r="K76" s="19"/>
    </row>
    <row r="77" spans="1:11" x14ac:dyDescent="0.25">
      <c r="A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7" s="22">
        <v>45924</v>
      </c>
      <c r="C77" s="16" t="s">
        <v>96</v>
      </c>
      <c r="D77" s="16" t="s">
        <v>742</v>
      </c>
      <c r="E77" s="17">
        <f>IFERROR(VLOOKUP(Tabulka2[[#This Row],[Pracovník]],DATA!A:L,5,0),"")</f>
        <v>6450</v>
      </c>
      <c r="F77" s="12" t="s">
        <v>654</v>
      </c>
      <c r="G77" s="16"/>
      <c r="H77" s="18"/>
      <c r="I77" s="27" t="str">
        <f>IFERROR(VLOOKUP(Tabulka2[[#This Row],[Pracovník]],DATA!A:L,11,0),"")</f>
        <v>DSC 2</v>
      </c>
      <c r="J77" s="16"/>
      <c r="K77" s="19"/>
    </row>
    <row r="78" spans="1:11" x14ac:dyDescent="0.25">
      <c r="A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8" s="15">
        <v>45924</v>
      </c>
      <c r="C78" s="16" t="s">
        <v>96</v>
      </c>
      <c r="D78" s="16" t="s">
        <v>980</v>
      </c>
      <c r="E78" s="17">
        <f>IFERROR(VLOOKUP(Tabulka2[[#This Row],[Pracovník]],DATA!A:L,5,0),"")</f>
        <v>6457</v>
      </c>
      <c r="F78" s="12" t="s">
        <v>653</v>
      </c>
      <c r="G78" s="16" t="s">
        <v>657</v>
      </c>
      <c r="H78" s="18"/>
      <c r="I78" s="27" t="str">
        <f>IFERROR(VLOOKUP(Tabulka2[[#This Row],[Pracovník]],DATA!A:L,11,0),"")</f>
        <v>DSC 1</v>
      </c>
      <c r="J78" s="16"/>
      <c r="K78" s="19"/>
    </row>
    <row r="79" spans="1:11" x14ac:dyDescent="0.25">
      <c r="A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9" s="22">
        <v>45924</v>
      </c>
      <c r="C79" s="16" t="s">
        <v>96</v>
      </c>
      <c r="D79" s="16" t="s">
        <v>744</v>
      </c>
      <c r="E79" s="17">
        <f>IFERROR(VLOOKUP(Tabulka2[[#This Row],[Pracovník]],DATA!A:L,5,0),"")</f>
        <v>5584</v>
      </c>
      <c r="F79" s="12" t="s">
        <v>654</v>
      </c>
      <c r="G79" s="16"/>
      <c r="H79" s="18"/>
      <c r="I79" s="27" t="str">
        <f>IFERROR(VLOOKUP(Tabulka2[[#This Row],[Pracovník]],DATA!A:L,11,0),"")</f>
        <v>Vlastní auto</v>
      </c>
      <c r="J79" s="16"/>
      <c r="K79" s="19"/>
    </row>
    <row r="80" spans="1:11" x14ac:dyDescent="0.25">
      <c r="A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0" s="22">
        <v>45924</v>
      </c>
      <c r="C80" s="16" t="s">
        <v>96</v>
      </c>
      <c r="D80" s="16" t="s">
        <v>745</v>
      </c>
      <c r="E80" s="17">
        <f>IFERROR(VLOOKUP(Tabulka2[[#This Row],[Pracovník]],DATA!A:L,5,0),"")</f>
        <v>6418</v>
      </c>
      <c r="F80" s="12" t="s">
        <v>654</v>
      </c>
      <c r="G80" s="16"/>
      <c r="H80" s="18"/>
      <c r="I80" s="27" t="str">
        <f>IFERROR(VLOOKUP(Tabulka2[[#This Row],[Pracovník]],DATA!A:L,11,0),"")</f>
        <v>Vlastní auto</v>
      </c>
      <c r="J80" s="16"/>
      <c r="K80" s="19"/>
    </row>
    <row r="81" spans="1:11" x14ac:dyDescent="0.25">
      <c r="A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1" s="15">
        <v>45924</v>
      </c>
      <c r="C81" s="16" t="s">
        <v>96</v>
      </c>
      <c r="D81" s="16" t="s">
        <v>747</v>
      </c>
      <c r="E81" s="17">
        <f>IFERROR(VLOOKUP(Tabulka2[[#This Row],[Pracovník]],DATA!A:L,5,0),"")</f>
        <v>6177</v>
      </c>
      <c r="F81" s="12" t="s">
        <v>654</v>
      </c>
      <c r="G81" s="16"/>
      <c r="H81" s="18"/>
      <c r="I81" s="27" t="str">
        <f>IFERROR(VLOOKUP(Tabulka2[[#This Row],[Pracovník]],DATA!A:L,11,0),"")</f>
        <v>DSC 1</v>
      </c>
      <c r="J81" s="16"/>
      <c r="K81" s="19"/>
    </row>
    <row r="82" spans="1:11" x14ac:dyDescent="0.25">
      <c r="A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2" s="22">
        <v>45924</v>
      </c>
      <c r="C82" s="16" t="s">
        <v>96</v>
      </c>
      <c r="D82" s="16" t="s">
        <v>746</v>
      </c>
      <c r="E82" s="17">
        <f>IFERROR(VLOOKUP(Tabulka2[[#This Row],[Pracovník]],DATA!A:L,5,0),"")</f>
        <v>6543</v>
      </c>
      <c r="F82" s="12" t="s">
        <v>640</v>
      </c>
      <c r="G82" s="16"/>
      <c r="H82" s="18"/>
      <c r="I82" s="27" t="str">
        <f>IFERROR(VLOOKUP(Tabulka2[[#This Row],[Pracovník]],DATA!A:L,11,0),"")</f>
        <v>DSC 1</v>
      </c>
      <c r="J82" s="16"/>
      <c r="K82" s="19"/>
    </row>
    <row r="83" spans="1:11" x14ac:dyDescent="0.25">
      <c r="A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3" s="15">
        <v>45924</v>
      </c>
      <c r="C83" s="16" t="s">
        <v>96</v>
      </c>
      <c r="D83" s="16" t="s">
        <v>748</v>
      </c>
      <c r="E83" s="17">
        <f>IFERROR(VLOOKUP(Tabulka2[[#This Row],[Pracovník]],DATA!A:L,5,0),"")</f>
        <v>6541</v>
      </c>
      <c r="F83" s="12" t="s">
        <v>655</v>
      </c>
      <c r="G83" s="16"/>
      <c r="H83" s="18"/>
      <c r="I83" s="27" t="str">
        <f>IFERROR(VLOOKUP(Tabulka2[[#This Row],[Pracovník]],DATA!A:L,11,0),"")</f>
        <v>DSC 2</v>
      </c>
      <c r="J83" s="16"/>
      <c r="K83" s="19"/>
    </row>
    <row r="84" spans="1:11" x14ac:dyDescent="0.25">
      <c r="A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4" s="22">
        <v>45924</v>
      </c>
      <c r="C84" s="16" t="s">
        <v>96</v>
      </c>
      <c r="D84" s="16" t="s">
        <v>749</v>
      </c>
      <c r="E84" s="17">
        <f>IFERROR(VLOOKUP(Tabulka2[[#This Row],[Pracovník]],DATA!A:L,5,0),"")</f>
        <v>6442</v>
      </c>
      <c r="F84" s="12" t="s">
        <v>640</v>
      </c>
      <c r="G84" s="16"/>
      <c r="H84" s="18"/>
      <c r="I84" s="27" t="str">
        <f>IFERROR(VLOOKUP(Tabulka2[[#This Row],[Pracovník]],DATA!A:L,11,0),"")</f>
        <v>DSC 2</v>
      </c>
      <c r="J84" s="16"/>
      <c r="K84" s="19"/>
    </row>
    <row r="85" spans="1:11" x14ac:dyDescent="0.25">
      <c r="A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5" s="15">
        <v>45924</v>
      </c>
      <c r="C85" s="16" t="s">
        <v>96</v>
      </c>
      <c r="D85" s="16" t="s">
        <v>750</v>
      </c>
      <c r="E85" s="17">
        <f>IFERROR(VLOOKUP(Tabulka2[[#This Row],[Pracovník]],DATA!A:L,5,0),"")</f>
        <v>6143</v>
      </c>
      <c r="F85" s="12" t="s">
        <v>654</v>
      </c>
      <c r="G85" s="16"/>
      <c r="H85" s="18"/>
      <c r="I85" s="27" t="str">
        <f>IFERROR(VLOOKUP(Tabulka2[[#This Row],[Pracovník]],DATA!A:L,11,0),"")</f>
        <v>Vlastní auto</v>
      </c>
      <c r="J85" s="16"/>
      <c r="K85" s="19"/>
    </row>
    <row r="86" spans="1:11" x14ac:dyDescent="0.25">
      <c r="A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6" s="22">
        <v>45924</v>
      </c>
      <c r="C86" s="16" t="s">
        <v>96</v>
      </c>
      <c r="D86" s="16" t="s">
        <v>751</v>
      </c>
      <c r="E86" s="17">
        <f>IFERROR(VLOOKUP(Tabulka2[[#This Row],[Pracovník]],DATA!A:L,5,0),"")</f>
        <v>6260</v>
      </c>
      <c r="F86" s="12" t="s">
        <v>654</v>
      </c>
      <c r="G86" s="16"/>
      <c r="H86" s="18"/>
      <c r="I86" s="27" t="str">
        <f>IFERROR(VLOOKUP(Tabulka2[[#This Row],[Pracovník]],DATA!A:L,11,0),"")</f>
        <v>Vlastní auto</v>
      </c>
      <c r="J86" s="16"/>
      <c r="K86" s="19"/>
    </row>
    <row r="87" spans="1:11" x14ac:dyDescent="0.25">
      <c r="A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7" s="15">
        <v>45924</v>
      </c>
      <c r="C87" s="16" t="s">
        <v>96</v>
      </c>
      <c r="D87" s="16" t="s">
        <v>981</v>
      </c>
      <c r="E87" s="17">
        <f>IFERROR(VLOOKUP(Tabulka2[[#This Row],[Pracovník]],DATA!A:L,5,0),"")</f>
        <v>6542</v>
      </c>
      <c r="F87" s="12" t="s">
        <v>640</v>
      </c>
      <c r="G87" s="16"/>
      <c r="H87" s="18"/>
      <c r="I87" s="27" t="str">
        <f>IFERROR(VLOOKUP(Tabulka2[[#This Row],[Pracovník]],DATA!A:L,11,0),"")</f>
        <v>DSC 2</v>
      </c>
      <c r="J87" s="16"/>
      <c r="K87" s="19"/>
    </row>
    <row r="88" spans="1:11" x14ac:dyDescent="0.25">
      <c r="A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8" s="22">
        <v>45924</v>
      </c>
      <c r="C88" s="16" t="s">
        <v>96</v>
      </c>
      <c r="D88" s="16" t="s">
        <v>982</v>
      </c>
      <c r="E88" s="17">
        <f>IFERROR(VLOOKUP(Tabulka2[[#This Row],[Pracovník]],DATA!A:L,5,0),"")</f>
        <v>6525</v>
      </c>
      <c r="F88" s="12" t="s">
        <v>655</v>
      </c>
      <c r="G88" s="16"/>
      <c r="H88" s="18"/>
      <c r="I88" s="27" t="str">
        <f>IFERROR(VLOOKUP(Tabulka2[[#This Row],[Pracovník]],DATA!A:L,11,0),"")</f>
        <v>DSC 2</v>
      </c>
      <c r="J88" s="16"/>
      <c r="K88" s="19"/>
    </row>
    <row r="89" spans="1:11" x14ac:dyDescent="0.25">
      <c r="A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9" s="22">
        <v>45924</v>
      </c>
      <c r="C89" s="16" t="s">
        <v>96</v>
      </c>
      <c r="D89" s="16" t="s">
        <v>752</v>
      </c>
      <c r="E89" s="17">
        <f>IFERROR(VLOOKUP(Tabulka2[[#This Row],[Pracovník]],DATA!A:L,5,0),"")</f>
        <v>6430</v>
      </c>
      <c r="F89" s="12" t="s">
        <v>655</v>
      </c>
      <c r="G89" s="16"/>
      <c r="H89" s="18"/>
      <c r="I89" s="27" t="str">
        <f>IFERROR(VLOOKUP(Tabulka2[[#This Row],[Pracovník]],DATA!A:L,11,0),"")</f>
        <v>Vlastní auto</v>
      </c>
      <c r="J89" s="16"/>
      <c r="K89" s="19"/>
    </row>
    <row r="90" spans="1:11" x14ac:dyDescent="0.25">
      <c r="A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0" s="15">
        <v>45924</v>
      </c>
      <c r="C90" s="16" t="s">
        <v>96</v>
      </c>
      <c r="D90" s="16" t="s">
        <v>983</v>
      </c>
      <c r="E90" s="17">
        <f>IFERROR(VLOOKUP(Tabulka2[[#This Row],[Pracovník]],DATA!A:L,5,0),"")</f>
        <v>6454</v>
      </c>
      <c r="F90" s="12" t="s">
        <v>655</v>
      </c>
      <c r="G90" s="16"/>
      <c r="H90" s="18"/>
      <c r="I90" s="27" t="str">
        <f>IFERROR(VLOOKUP(Tabulka2[[#This Row],[Pracovník]],DATA!A:L,11,0),"")</f>
        <v>DSC 1</v>
      </c>
      <c r="J90" s="16"/>
      <c r="K90" s="19"/>
    </row>
    <row r="91" spans="1:11" x14ac:dyDescent="0.25">
      <c r="A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1" s="22">
        <v>45924</v>
      </c>
      <c r="C91" s="16" t="s">
        <v>96</v>
      </c>
      <c r="D91" s="16" t="s">
        <v>753</v>
      </c>
      <c r="E91" s="17">
        <f>IFERROR(VLOOKUP(Tabulka2[[#This Row],[Pracovník]],DATA!A:L,5,0),"")</f>
        <v>6016</v>
      </c>
      <c r="F91" s="12" t="s">
        <v>640</v>
      </c>
      <c r="G91" s="16"/>
      <c r="H91" s="18"/>
      <c r="I91" s="27" t="str">
        <f>IFERROR(VLOOKUP(Tabulka2[[#This Row],[Pracovník]],DATA!A:L,11,0),"")</f>
        <v>DSC 2</v>
      </c>
      <c r="J91" s="16"/>
      <c r="K91" s="19"/>
    </row>
    <row r="92" spans="1:11" x14ac:dyDescent="0.25">
      <c r="A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2" s="15">
        <v>45924</v>
      </c>
      <c r="C92" s="16" t="s">
        <v>96</v>
      </c>
      <c r="D92" s="16" t="s">
        <v>754</v>
      </c>
      <c r="E92" s="17">
        <f>IFERROR(VLOOKUP(Tabulka2[[#This Row],[Pracovník]],DATA!A:L,5,0),"")</f>
        <v>6437</v>
      </c>
      <c r="F92" s="12" t="s">
        <v>654</v>
      </c>
      <c r="G92" s="16"/>
      <c r="H92" s="18"/>
      <c r="I92" s="27" t="str">
        <f>IFERROR(VLOOKUP(Tabulka2[[#This Row],[Pracovník]],DATA!A:L,11,0),"")</f>
        <v>DSC 2</v>
      </c>
      <c r="J92" s="16"/>
      <c r="K92" s="19"/>
    </row>
    <row r="93" spans="1:11" x14ac:dyDescent="0.25">
      <c r="A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3" s="22">
        <v>45924</v>
      </c>
      <c r="C93" s="16" t="s">
        <v>96</v>
      </c>
      <c r="D93" s="16" t="s">
        <v>756</v>
      </c>
      <c r="E93" s="17">
        <f>IFERROR(VLOOKUP(Tabulka2[[#This Row],[Pracovník]],DATA!A:L,5,0),"")</f>
        <v>6431</v>
      </c>
      <c r="F93" s="12" t="s">
        <v>640</v>
      </c>
      <c r="G93" s="16"/>
      <c r="H93" s="18"/>
      <c r="I93" s="27" t="str">
        <f>IFERROR(VLOOKUP(Tabulka2[[#This Row],[Pracovník]],DATA!A:L,11,0),"")</f>
        <v>DSC 1</v>
      </c>
      <c r="J93" s="16"/>
      <c r="K93" s="19"/>
    </row>
    <row r="94" spans="1:11" x14ac:dyDescent="0.25">
      <c r="A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4" s="15">
        <v>45924</v>
      </c>
      <c r="C94" s="16" t="s">
        <v>96</v>
      </c>
      <c r="D94" s="16" t="s">
        <v>642</v>
      </c>
      <c r="E94" s="17">
        <f>IFERROR(VLOOKUP(Tabulka2[[#This Row],[Pracovník]],DATA!A:L,5,0),"")</f>
        <v>6119</v>
      </c>
      <c r="F94" s="12" t="s">
        <v>653</v>
      </c>
      <c r="G94" s="16" t="s">
        <v>657</v>
      </c>
      <c r="H94" s="18"/>
      <c r="I94" s="27" t="str">
        <f>IFERROR(VLOOKUP(Tabulka2[[#This Row],[Pracovník]],DATA!A:L,11,0),"")</f>
        <v>DSC 1</v>
      </c>
      <c r="J94" s="16"/>
      <c r="K94" s="19"/>
    </row>
    <row r="95" spans="1:11" x14ac:dyDescent="0.25">
      <c r="A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5" s="22">
        <v>45924</v>
      </c>
      <c r="C95" s="16" t="s">
        <v>96</v>
      </c>
      <c r="D95" s="16" t="s">
        <v>757</v>
      </c>
      <c r="E95" s="17">
        <f>IFERROR(VLOOKUP(Tabulka2[[#This Row],[Pracovník]],DATA!A:L,5,0),"")</f>
        <v>6559</v>
      </c>
      <c r="F95" s="12" t="s">
        <v>654</v>
      </c>
      <c r="G95" s="16"/>
      <c r="H95" s="18"/>
      <c r="I95" s="27" t="str">
        <f>IFERROR(VLOOKUP(Tabulka2[[#This Row],[Pracovník]],DATA!A:L,11,0),"")</f>
        <v>DSC 1</v>
      </c>
      <c r="J95" s="16"/>
      <c r="K95" s="19"/>
    </row>
    <row r="96" spans="1:11" x14ac:dyDescent="0.25">
      <c r="A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6" s="22">
        <v>45924</v>
      </c>
      <c r="C96" s="16" t="s">
        <v>96</v>
      </c>
      <c r="D96" s="16" t="s">
        <v>984</v>
      </c>
      <c r="E96" s="17">
        <f>IFERROR(VLOOKUP(Tabulka2[[#This Row],[Pracovník]],DATA!A:L,5,0),"")</f>
        <v>6496</v>
      </c>
      <c r="F96" s="12" t="s">
        <v>640</v>
      </c>
      <c r="G96" s="16"/>
      <c r="H96" s="18"/>
      <c r="I96" s="27" t="str">
        <f>IFERROR(VLOOKUP(Tabulka2[[#This Row],[Pracovník]],DATA!A:L,11,0),"")</f>
        <v>DSC 2</v>
      </c>
      <c r="J96" s="16"/>
      <c r="K96" s="19"/>
    </row>
    <row r="97" spans="1:11" x14ac:dyDescent="0.25">
      <c r="A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7" s="15">
        <v>45924</v>
      </c>
      <c r="C97" s="16" t="s">
        <v>96</v>
      </c>
      <c r="D97" s="16" t="s">
        <v>758</v>
      </c>
      <c r="E97" s="17">
        <f>IFERROR(VLOOKUP(Tabulka2[[#This Row],[Pracovník]],DATA!A:L,5,0),"")</f>
        <v>4392</v>
      </c>
      <c r="F97" s="12" t="s">
        <v>640</v>
      </c>
      <c r="G97" s="16"/>
      <c r="H97" s="18"/>
      <c r="I97" s="27" t="str">
        <f>IFERROR(VLOOKUP(Tabulka2[[#This Row],[Pracovník]],DATA!A:L,11,0),"")</f>
        <v>DSC 1</v>
      </c>
      <c r="J97" s="16"/>
      <c r="K97" s="19"/>
    </row>
    <row r="98" spans="1:11" x14ac:dyDescent="0.25">
      <c r="A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8" s="22">
        <v>45924</v>
      </c>
      <c r="C98" s="16" t="s">
        <v>96</v>
      </c>
      <c r="D98" s="16" t="s">
        <v>760</v>
      </c>
      <c r="E98" s="17">
        <f>IFERROR(VLOOKUP(Tabulka2[[#This Row],[Pracovník]],DATA!A:L,5,0),"")</f>
        <v>6514</v>
      </c>
      <c r="F98" s="12" t="s">
        <v>654</v>
      </c>
      <c r="G98" s="16"/>
      <c r="H98" s="18"/>
      <c r="I98" s="27" t="str">
        <f>IFERROR(VLOOKUP(Tabulka2[[#This Row],[Pracovník]],DATA!A:L,11,0),"")</f>
        <v>DSC 2</v>
      </c>
      <c r="J98" s="16"/>
      <c r="K98" s="19"/>
    </row>
    <row r="99" spans="1:11" x14ac:dyDescent="0.25">
      <c r="A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9" s="15">
        <v>45924</v>
      </c>
      <c r="C99" s="16" t="s">
        <v>96</v>
      </c>
      <c r="D99" s="16" t="s">
        <v>761</v>
      </c>
      <c r="E99" s="17">
        <f>IFERROR(VLOOKUP(Tabulka2[[#This Row],[Pracovník]],DATA!A:L,5,0),"")</f>
        <v>6516</v>
      </c>
      <c r="F99" s="12" t="s">
        <v>640</v>
      </c>
      <c r="G99" s="16"/>
      <c r="H99" s="18"/>
      <c r="I99" s="27" t="str">
        <f>IFERROR(VLOOKUP(Tabulka2[[#This Row],[Pracovník]],DATA!A:L,11,0),"")</f>
        <v>DSC 1</v>
      </c>
      <c r="J99" s="16"/>
      <c r="K99" s="19"/>
    </row>
    <row r="100" spans="1:11" x14ac:dyDescent="0.25">
      <c r="A1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0" s="22">
        <v>45924</v>
      </c>
      <c r="C100" s="16" t="s">
        <v>96</v>
      </c>
      <c r="D100" s="16" t="s">
        <v>762</v>
      </c>
      <c r="E100" s="17">
        <f>IFERROR(VLOOKUP(Tabulka2[[#This Row],[Pracovník]],DATA!A:L,5,0),"")</f>
        <v>0</v>
      </c>
      <c r="F100" s="12" t="s">
        <v>640</v>
      </c>
      <c r="G100" s="16"/>
      <c r="H100" s="18"/>
      <c r="I100" s="27" t="str">
        <f>IFERROR(VLOOKUP(Tabulka2[[#This Row],[Pracovník]],DATA!A:L,11,0),"")</f>
        <v>Vlastní auto</v>
      </c>
      <c r="J100" s="16"/>
      <c r="K100" s="19"/>
    </row>
    <row r="101" spans="1:11" x14ac:dyDescent="0.25">
      <c r="A1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1" s="15">
        <v>45924</v>
      </c>
      <c r="C101" s="16" t="s">
        <v>96</v>
      </c>
      <c r="D101" s="16" t="s">
        <v>985</v>
      </c>
      <c r="E101" s="17">
        <f>IFERROR(VLOOKUP(Tabulka2[[#This Row],[Pracovník]],DATA!A:L,5,0),"")</f>
        <v>6449</v>
      </c>
      <c r="F101" s="12" t="s">
        <v>640</v>
      </c>
      <c r="G101" s="16"/>
      <c r="H101" s="18"/>
      <c r="I101" s="27" t="str">
        <f>IFERROR(VLOOKUP(Tabulka2[[#This Row],[Pracovník]],DATA!A:L,11,0),"")</f>
        <v>DSC 2</v>
      </c>
      <c r="J101" s="16"/>
      <c r="K101" s="19"/>
    </row>
    <row r="102" spans="1:11" x14ac:dyDescent="0.25">
      <c r="A1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2" s="22">
        <v>45924</v>
      </c>
      <c r="C102" s="16" t="s">
        <v>96</v>
      </c>
      <c r="D102" s="16" t="s">
        <v>763</v>
      </c>
      <c r="E102" s="17">
        <f>IFERROR(VLOOKUP(Tabulka2[[#This Row],[Pracovník]],DATA!A:L,5,0),"")</f>
        <v>6158</v>
      </c>
      <c r="F102" s="12" t="s">
        <v>640</v>
      </c>
      <c r="G102" s="16"/>
      <c r="H102" s="18"/>
      <c r="I102" s="27" t="str">
        <f>IFERROR(VLOOKUP(Tabulka2[[#This Row],[Pracovník]],DATA!A:L,11,0),"")</f>
        <v>DSC 2</v>
      </c>
      <c r="J102" s="16"/>
      <c r="K102" s="19"/>
    </row>
    <row r="103" spans="1:11" x14ac:dyDescent="0.25">
      <c r="A1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3" s="22">
        <v>45924</v>
      </c>
      <c r="C103" s="16" t="s">
        <v>96</v>
      </c>
      <c r="D103" s="16" t="s">
        <v>986</v>
      </c>
      <c r="E103" s="17">
        <f>IFERROR(VLOOKUP(Tabulka2[[#This Row],[Pracovník]],DATA!A:L,5,0),"")</f>
        <v>6232</v>
      </c>
      <c r="F103" s="12" t="s">
        <v>654</v>
      </c>
      <c r="G103" s="16"/>
      <c r="H103" s="18"/>
      <c r="I103" s="27" t="str">
        <f>IFERROR(VLOOKUP(Tabulka2[[#This Row],[Pracovník]],DATA!A:L,11,0),"")</f>
        <v>DSC 2</v>
      </c>
      <c r="J103" s="16"/>
      <c r="K103" s="19"/>
    </row>
    <row r="104" spans="1:11" x14ac:dyDescent="0.25">
      <c r="A1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4" s="15">
        <v>45924</v>
      </c>
      <c r="C104" s="16" t="s">
        <v>96</v>
      </c>
      <c r="D104" s="16" t="s">
        <v>764</v>
      </c>
      <c r="E104" s="17">
        <f>IFERROR(VLOOKUP(Tabulka2[[#This Row],[Pracovník]],DATA!A:L,5,0),"")</f>
        <v>3063</v>
      </c>
      <c r="F104" s="12" t="s">
        <v>654</v>
      </c>
      <c r="G104" s="16"/>
      <c r="H104" s="18"/>
      <c r="I104" s="27" t="str">
        <f>IFERROR(VLOOKUP(Tabulka2[[#This Row],[Pracovník]],DATA!A:L,11,0),"")</f>
        <v>DSC 2</v>
      </c>
      <c r="J104" s="16"/>
      <c r="K104" s="19"/>
    </row>
    <row r="105" spans="1:11" x14ac:dyDescent="0.25">
      <c r="A1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5" s="22">
        <v>45924</v>
      </c>
      <c r="C105" s="16" t="s">
        <v>96</v>
      </c>
      <c r="D105" s="16" t="s">
        <v>765</v>
      </c>
      <c r="E105" s="17">
        <f>IFERROR(VLOOKUP(Tabulka2[[#This Row],[Pracovník]],DATA!A:L,5,0),"")</f>
        <v>5853</v>
      </c>
      <c r="F105" s="12" t="s">
        <v>640</v>
      </c>
      <c r="G105" s="16"/>
      <c r="H105" s="18"/>
      <c r="I105" s="27" t="str">
        <f>IFERROR(VLOOKUP(Tabulka2[[#This Row],[Pracovník]],DATA!A:L,11,0),"")</f>
        <v>DSC 2</v>
      </c>
      <c r="J105" s="16"/>
      <c r="K105" s="19"/>
    </row>
    <row r="106" spans="1:11" x14ac:dyDescent="0.25">
      <c r="A1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6" s="15">
        <v>45924</v>
      </c>
      <c r="C106" s="16" t="s">
        <v>96</v>
      </c>
      <c r="D106" s="16" t="s">
        <v>766</v>
      </c>
      <c r="E106" s="17">
        <f>IFERROR(VLOOKUP(Tabulka2[[#This Row],[Pracovník]],DATA!A:L,5,0),"")</f>
        <v>6408</v>
      </c>
      <c r="F106" s="12" t="s">
        <v>655</v>
      </c>
      <c r="G106" s="16"/>
      <c r="H106" s="18"/>
      <c r="I106" s="27" t="str">
        <f>IFERROR(VLOOKUP(Tabulka2[[#This Row],[Pracovník]],DATA!A:L,11,0),"")</f>
        <v>Vlastní auto</v>
      </c>
      <c r="J106" s="16"/>
      <c r="K106" s="19"/>
    </row>
    <row r="107" spans="1:11" x14ac:dyDescent="0.25">
      <c r="A1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7" s="22">
        <v>45924</v>
      </c>
      <c r="C107" s="16" t="s">
        <v>96</v>
      </c>
      <c r="D107" s="16" t="s">
        <v>767</v>
      </c>
      <c r="E107" s="17">
        <f>IFERROR(VLOOKUP(Tabulka2[[#This Row],[Pracovník]],DATA!A:L,5,0),"")</f>
        <v>6544</v>
      </c>
      <c r="F107" s="12" t="s">
        <v>640</v>
      </c>
      <c r="G107" s="16"/>
      <c r="H107" s="18"/>
      <c r="I107" s="27" t="str">
        <f>IFERROR(VLOOKUP(Tabulka2[[#This Row],[Pracovník]],DATA!A:L,11,0),"")</f>
        <v>DSC 1</v>
      </c>
      <c r="J107" s="16"/>
      <c r="K107" s="19"/>
    </row>
    <row r="108" spans="1:11" x14ac:dyDescent="0.25">
      <c r="A1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8" s="15">
        <v>45924</v>
      </c>
      <c r="C108" s="16" t="s">
        <v>96</v>
      </c>
      <c r="D108" s="16" t="s">
        <v>987</v>
      </c>
      <c r="E108" s="17">
        <f>IFERROR(VLOOKUP(Tabulka2[[#This Row],[Pracovník]],DATA!A:L,5,0),"")</f>
        <v>6492</v>
      </c>
      <c r="F108" s="12" t="s">
        <v>640</v>
      </c>
      <c r="G108" s="16"/>
      <c r="H108" s="18"/>
      <c r="I108" s="27" t="str">
        <f>IFERROR(VLOOKUP(Tabulka2[[#This Row],[Pracovník]],DATA!A:L,11,0),"")</f>
        <v>DSC 2</v>
      </c>
      <c r="J108" s="16"/>
      <c r="K108" s="19"/>
    </row>
    <row r="109" spans="1:11" x14ac:dyDescent="0.25">
      <c r="A1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9" s="22">
        <v>45924</v>
      </c>
      <c r="C109" s="16" t="s">
        <v>96</v>
      </c>
      <c r="D109" s="16" t="s">
        <v>988</v>
      </c>
      <c r="E109" s="17">
        <f>IFERROR(VLOOKUP(Tabulka2[[#This Row],[Pracovník]],DATA!A:L,5,0),"")</f>
        <v>6452</v>
      </c>
      <c r="F109" s="12" t="s">
        <v>654</v>
      </c>
      <c r="G109" s="16"/>
      <c r="H109" s="18"/>
      <c r="I109" s="27" t="str">
        <f>IFERROR(VLOOKUP(Tabulka2[[#This Row],[Pracovník]],DATA!A:L,11,0),"")</f>
        <v>DSC 1</v>
      </c>
      <c r="J109" s="16"/>
      <c r="K109" s="19"/>
    </row>
    <row r="110" spans="1:11" x14ac:dyDescent="0.25">
      <c r="A1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0" s="22">
        <v>45924</v>
      </c>
      <c r="C110" s="16" t="s">
        <v>96</v>
      </c>
      <c r="D110" s="16" t="s">
        <v>989</v>
      </c>
      <c r="E110" s="17">
        <f>IFERROR(VLOOKUP(Tabulka2[[#This Row],[Pracovník]],DATA!A:L,5,0),"")</f>
        <v>6546</v>
      </c>
      <c r="F110" s="12" t="s">
        <v>640</v>
      </c>
      <c r="G110" s="16"/>
      <c r="H110" s="18"/>
      <c r="I110" s="27" t="str">
        <f>IFERROR(VLOOKUP(Tabulka2[[#This Row],[Pracovník]],DATA!A:L,11,0),"")</f>
        <v>DSC 2</v>
      </c>
      <c r="J110" s="16"/>
      <c r="K110" s="19"/>
    </row>
    <row r="111" spans="1:11" x14ac:dyDescent="0.25">
      <c r="A1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1" s="15">
        <v>45924</v>
      </c>
      <c r="C111" s="16" t="s">
        <v>96</v>
      </c>
      <c r="D111" s="16" t="s">
        <v>769</v>
      </c>
      <c r="E111" s="17">
        <f>IFERROR(VLOOKUP(Tabulka2[[#This Row],[Pracovník]],DATA!A:L,5,0),"")</f>
        <v>0</v>
      </c>
      <c r="F111" s="12" t="s">
        <v>655</v>
      </c>
      <c r="G111" s="16"/>
      <c r="H111" s="18"/>
      <c r="I111" s="27" t="str">
        <f>IFERROR(VLOOKUP(Tabulka2[[#This Row],[Pracovník]],DATA!A:L,11,0),"")</f>
        <v>DSC 2</v>
      </c>
      <c r="J111" s="16"/>
      <c r="K111" s="19"/>
    </row>
    <row r="112" spans="1:11" x14ac:dyDescent="0.25">
      <c r="A1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2" s="22">
        <v>45924</v>
      </c>
      <c r="C112" s="16" t="s">
        <v>96</v>
      </c>
      <c r="D112" s="16" t="s">
        <v>990</v>
      </c>
      <c r="E112" s="17">
        <f>IFERROR(VLOOKUP(Tabulka2[[#This Row],[Pracovník]],DATA!A:L,5,0),"")</f>
        <v>6175</v>
      </c>
      <c r="F112" s="12" t="s">
        <v>653</v>
      </c>
      <c r="G112" s="16" t="s">
        <v>657</v>
      </c>
      <c r="H112" s="18"/>
      <c r="I112" s="27" t="str">
        <f>IFERROR(VLOOKUP(Tabulka2[[#This Row],[Pracovník]],DATA!A:L,11,0),"")</f>
        <v>DSC 2</v>
      </c>
      <c r="J112" s="16"/>
      <c r="K112" s="19"/>
    </row>
    <row r="113" spans="1:11" x14ac:dyDescent="0.25">
      <c r="A1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3" s="15">
        <v>45924</v>
      </c>
      <c r="C113" s="16" t="s">
        <v>96</v>
      </c>
      <c r="D113" s="16" t="s">
        <v>770</v>
      </c>
      <c r="E113" s="17">
        <f>IFERROR(VLOOKUP(Tabulka2[[#This Row],[Pracovník]],DATA!A:L,5,0),"")</f>
        <v>6152</v>
      </c>
      <c r="F113" s="12" t="s">
        <v>655</v>
      </c>
      <c r="G113" s="16"/>
      <c r="H113" s="18"/>
      <c r="I113" s="27" t="str">
        <f>IFERROR(VLOOKUP(Tabulka2[[#This Row],[Pracovník]],DATA!A:L,11,0),"")</f>
        <v>DSC 2</v>
      </c>
      <c r="J113" s="16"/>
      <c r="K113" s="19"/>
    </row>
    <row r="114" spans="1:11" x14ac:dyDescent="0.25">
      <c r="A1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4" s="22">
        <v>45924</v>
      </c>
      <c r="C114" s="16" t="s">
        <v>96</v>
      </c>
      <c r="D114" s="16" t="s">
        <v>771</v>
      </c>
      <c r="E114" s="17">
        <f>IFERROR(VLOOKUP(Tabulka2[[#This Row],[Pracovník]],DATA!A:L,5,0),"")</f>
        <v>6558</v>
      </c>
      <c r="F114" s="12" t="s">
        <v>640</v>
      </c>
      <c r="G114" s="16"/>
      <c r="H114" s="18"/>
      <c r="I114" s="27" t="str">
        <f>IFERROR(VLOOKUP(Tabulka2[[#This Row],[Pracovník]],DATA!A:L,11,0),"")</f>
        <v>DSC 1</v>
      </c>
      <c r="J114" s="16"/>
      <c r="K114" s="19"/>
    </row>
    <row r="115" spans="1:11" x14ac:dyDescent="0.25">
      <c r="A1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5" s="15">
        <v>45924</v>
      </c>
      <c r="C115" s="16" t="s">
        <v>96</v>
      </c>
      <c r="D115" s="16" t="s">
        <v>991</v>
      </c>
      <c r="E115" s="17">
        <f>IFERROR(VLOOKUP(Tabulka2[[#This Row],[Pracovník]],DATA!A:L,5,0),"")</f>
        <v>0</v>
      </c>
      <c r="F115" s="12" t="s">
        <v>653</v>
      </c>
      <c r="G115" s="16" t="s">
        <v>657</v>
      </c>
      <c r="H115" s="18"/>
      <c r="I115" s="27" t="str">
        <f>IFERROR(VLOOKUP(Tabulka2[[#This Row],[Pracovník]],DATA!A:L,11,0),"")</f>
        <v>Vlastní auto</v>
      </c>
      <c r="J115" s="16"/>
      <c r="K115" s="19"/>
    </row>
    <row r="116" spans="1:11" x14ac:dyDescent="0.25">
      <c r="A1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6" s="22">
        <v>45924</v>
      </c>
      <c r="C116" s="16" t="s">
        <v>28</v>
      </c>
      <c r="D116" s="16" t="s">
        <v>992</v>
      </c>
      <c r="E116" s="17">
        <f>IFERROR(VLOOKUP(Tabulka2[[#This Row],[Pracovník]],DATA!A:L,5,0),"")</f>
        <v>6550</v>
      </c>
      <c r="F116" s="12" t="s">
        <v>653</v>
      </c>
      <c r="G116" s="16" t="s">
        <v>659</v>
      </c>
      <c r="H116" s="18"/>
      <c r="I116" s="27" t="str">
        <f>IFERROR(VLOOKUP(Tabulka2[[#This Row],[Pracovník]],DATA!A:L,11,0),"")</f>
        <v>DSC 2</v>
      </c>
      <c r="J116" s="16"/>
      <c r="K116" s="19" t="s">
        <v>993</v>
      </c>
    </row>
    <row r="117" spans="1:11" x14ac:dyDescent="0.25">
      <c r="A1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7" s="22">
        <v>45924</v>
      </c>
      <c r="C117" s="16" t="s">
        <v>28</v>
      </c>
      <c r="D117" s="16" t="s">
        <v>646</v>
      </c>
      <c r="E117" s="17">
        <f>IFERROR(VLOOKUP(Tabulka2[[#This Row],[Pracovník]],DATA!A:L,5,0),"")</f>
        <v>6537</v>
      </c>
      <c r="F117" s="12" t="s">
        <v>640</v>
      </c>
      <c r="G117" s="16"/>
      <c r="H117" s="18"/>
      <c r="I117" s="27" t="str">
        <f>IFERROR(VLOOKUP(Tabulka2[[#This Row],[Pracovník]],DATA!A:L,11,0),"")</f>
        <v>DSC 2</v>
      </c>
      <c r="J117" s="16"/>
      <c r="K117" s="19"/>
    </row>
    <row r="118" spans="1:11" x14ac:dyDescent="0.25">
      <c r="A1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8" s="15">
        <v>45924</v>
      </c>
      <c r="C118" s="16" t="s">
        <v>28</v>
      </c>
      <c r="D118" s="16" t="s">
        <v>648</v>
      </c>
      <c r="E118" s="17">
        <f>IFERROR(VLOOKUP(Tabulka2[[#This Row],[Pracovník]],DATA!A:L,5,0),"")</f>
        <v>5802</v>
      </c>
      <c r="F118" s="12" t="s">
        <v>655</v>
      </c>
      <c r="G118" s="16"/>
      <c r="H118" s="18"/>
      <c r="I118" s="27" t="str">
        <f>IFERROR(VLOOKUP(Tabulka2[[#This Row],[Pracovník]],DATA!A:L,11,0),"")</f>
        <v>Vlastní auto</v>
      </c>
      <c r="J118" s="16"/>
      <c r="K118" s="19"/>
    </row>
    <row r="119" spans="1:11" x14ac:dyDescent="0.25">
      <c r="A1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9" s="22">
        <v>45924</v>
      </c>
      <c r="C119" s="16" t="s">
        <v>28</v>
      </c>
      <c r="D119" s="16" t="s">
        <v>772</v>
      </c>
      <c r="E119" s="17">
        <f>IFERROR(VLOOKUP(Tabulka2[[#This Row],[Pracovník]],DATA!A:L,5,0),"")</f>
        <v>4869</v>
      </c>
      <c r="F119" s="12" t="s">
        <v>654</v>
      </c>
      <c r="G119" s="16"/>
      <c r="H119" s="18"/>
      <c r="I119" s="27" t="str">
        <f>IFERROR(VLOOKUP(Tabulka2[[#This Row],[Pracovník]],DATA!A:L,11,0),"")</f>
        <v>Vlastní auto</v>
      </c>
      <c r="J119" s="16"/>
      <c r="K119" s="19"/>
    </row>
    <row r="120" spans="1:11" x14ac:dyDescent="0.25">
      <c r="A1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0" s="15">
        <v>45924</v>
      </c>
      <c r="C120" s="16" t="s">
        <v>28</v>
      </c>
      <c r="D120" s="16" t="s">
        <v>773</v>
      </c>
      <c r="E120" s="17">
        <f>IFERROR(VLOOKUP(Tabulka2[[#This Row],[Pracovník]],DATA!A:L,5,0),"")</f>
        <v>6508</v>
      </c>
      <c r="F120" s="12" t="s">
        <v>640</v>
      </c>
      <c r="G120" s="16"/>
      <c r="H120" s="18"/>
      <c r="I120" s="27" t="str">
        <f>IFERROR(VLOOKUP(Tabulka2[[#This Row],[Pracovník]],DATA!A:L,11,0),"")</f>
        <v>Vlastní auto</v>
      </c>
      <c r="J120" s="16"/>
      <c r="K120" s="19"/>
    </row>
    <row r="121" spans="1:11" x14ac:dyDescent="0.25">
      <c r="A1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1" s="22">
        <v>45924</v>
      </c>
      <c r="C121" s="16" t="s">
        <v>28</v>
      </c>
      <c r="D121" s="16" t="s">
        <v>774</v>
      </c>
      <c r="E121" s="17">
        <f>IFERROR(VLOOKUP(Tabulka2[[#This Row],[Pracovník]],DATA!A:L,5,0),"")</f>
        <v>4607</v>
      </c>
      <c r="F121" s="12" t="s">
        <v>655</v>
      </c>
      <c r="G121" s="16"/>
      <c r="H121" s="18"/>
      <c r="I121" s="27" t="str">
        <f>IFERROR(VLOOKUP(Tabulka2[[#This Row],[Pracovník]],DATA!A:L,11,0),"")</f>
        <v>DSC 2</v>
      </c>
      <c r="J121" s="16"/>
      <c r="K121" s="19"/>
    </row>
    <row r="122" spans="1:11" x14ac:dyDescent="0.25">
      <c r="A1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2" s="15">
        <v>45924</v>
      </c>
      <c r="C122" s="16" t="s">
        <v>28</v>
      </c>
      <c r="D122" s="16" t="s">
        <v>775</v>
      </c>
      <c r="E122" s="17">
        <f>IFERROR(VLOOKUP(Tabulka2[[#This Row],[Pracovník]],DATA!A:L,5,0),"")</f>
        <v>5047</v>
      </c>
      <c r="F122" s="12" t="s">
        <v>654</v>
      </c>
      <c r="G122" s="16"/>
      <c r="H122" s="18"/>
      <c r="I122" s="27" t="str">
        <f>IFERROR(VLOOKUP(Tabulka2[[#This Row],[Pracovník]],DATA!A:L,11,0),"")</f>
        <v>Vlastní auto</v>
      </c>
      <c r="J122" s="16"/>
      <c r="K122" s="19"/>
    </row>
    <row r="123" spans="1:11" x14ac:dyDescent="0.25">
      <c r="A1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3" s="22">
        <v>45924</v>
      </c>
      <c r="C123" s="16" t="s">
        <v>28</v>
      </c>
      <c r="D123" s="16" t="s">
        <v>777</v>
      </c>
      <c r="E123" s="17">
        <f>IFERROR(VLOOKUP(Tabulka2[[#This Row],[Pracovník]],DATA!A:L,5,0),"")</f>
        <v>4616</v>
      </c>
      <c r="F123" s="12" t="s">
        <v>655</v>
      </c>
      <c r="G123" s="16"/>
      <c r="H123" s="18"/>
      <c r="I123" s="27" t="str">
        <f>IFERROR(VLOOKUP(Tabulka2[[#This Row],[Pracovník]],DATA!A:L,11,0),"")</f>
        <v>Vlastní auto</v>
      </c>
      <c r="J123" s="16"/>
      <c r="K123" s="19"/>
    </row>
    <row r="124" spans="1:11" x14ac:dyDescent="0.25">
      <c r="A1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4" s="22">
        <v>45924</v>
      </c>
      <c r="C124" s="16" t="s">
        <v>28</v>
      </c>
      <c r="D124" s="16" t="s">
        <v>776</v>
      </c>
      <c r="E124" s="17">
        <f>IFERROR(VLOOKUP(Tabulka2[[#This Row],[Pracovník]],DATA!A:L,5,0),"")</f>
        <v>4961</v>
      </c>
      <c r="F124" s="12" t="s">
        <v>640</v>
      </c>
      <c r="G124" s="16"/>
      <c r="H124" s="18"/>
      <c r="I124" s="27" t="str">
        <f>IFERROR(VLOOKUP(Tabulka2[[#This Row],[Pracovník]],DATA!A:L,11,0),"")</f>
        <v>Vlastní auto</v>
      </c>
      <c r="J124" s="16"/>
      <c r="K124" s="19"/>
    </row>
    <row r="125" spans="1:11" x14ac:dyDescent="0.25">
      <c r="A1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5" s="15">
        <v>45924</v>
      </c>
      <c r="C125" s="16" t="s">
        <v>28</v>
      </c>
      <c r="D125" s="16" t="s">
        <v>778</v>
      </c>
      <c r="E125" s="17">
        <f>IFERROR(VLOOKUP(Tabulka2[[#This Row],[Pracovník]],DATA!A:L,5,0),"")</f>
        <v>4721</v>
      </c>
      <c r="F125" s="12" t="s">
        <v>640</v>
      </c>
      <c r="G125" s="16"/>
      <c r="H125" s="18"/>
      <c r="I125" s="27" t="str">
        <f>IFERROR(VLOOKUP(Tabulka2[[#This Row],[Pracovník]],DATA!A:L,11,0),"")</f>
        <v>DSC 2</v>
      </c>
      <c r="J125" s="16"/>
      <c r="K125" s="19"/>
    </row>
    <row r="126" spans="1:11" x14ac:dyDescent="0.25">
      <c r="A1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6" s="22">
        <v>45924</v>
      </c>
      <c r="C126" s="16" t="s">
        <v>28</v>
      </c>
      <c r="D126" s="16" t="s">
        <v>779</v>
      </c>
      <c r="E126" s="17">
        <f>IFERROR(VLOOKUP(Tabulka2[[#This Row],[Pracovník]],DATA!A:L,5,0),"")</f>
        <v>4845</v>
      </c>
      <c r="F126" s="12" t="s">
        <v>640</v>
      </c>
      <c r="G126" s="16"/>
      <c r="H126" s="18"/>
      <c r="I126" s="27" t="str">
        <f>IFERROR(VLOOKUP(Tabulka2[[#This Row],[Pracovník]],DATA!A:L,11,0),"")</f>
        <v>Vlastní auto</v>
      </c>
      <c r="J126" s="16"/>
      <c r="K126" s="19"/>
    </row>
    <row r="127" spans="1:11" x14ac:dyDescent="0.25">
      <c r="A1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7" s="15">
        <v>45924</v>
      </c>
      <c r="C127" s="16" t="s">
        <v>28</v>
      </c>
      <c r="D127" s="16" t="s">
        <v>780</v>
      </c>
      <c r="E127" s="17">
        <f>IFERROR(VLOOKUP(Tabulka2[[#This Row],[Pracovník]],DATA!A:L,5,0),"")</f>
        <v>47</v>
      </c>
      <c r="F127" s="12" t="s">
        <v>640</v>
      </c>
      <c r="G127" s="16"/>
      <c r="H127" s="18"/>
      <c r="I127" s="27" t="str">
        <f>IFERROR(VLOOKUP(Tabulka2[[#This Row],[Pracovník]],DATA!A:L,11,0),"")</f>
        <v>DSC 1</v>
      </c>
      <c r="J127" s="16"/>
      <c r="K127" s="19"/>
    </row>
    <row r="128" spans="1:11" x14ac:dyDescent="0.25">
      <c r="A1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8" s="22">
        <v>45924</v>
      </c>
      <c r="C128" s="16" t="s">
        <v>28</v>
      </c>
      <c r="D128" s="16" t="s">
        <v>792</v>
      </c>
      <c r="E128" s="17">
        <f>IFERROR(VLOOKUP(Tabulka2[[#This Row],[Pracovník]],DATA!A:L,5,0),"")</f>
        <v>6332</v>
      </c>
      <c r="F128" s="12" t="s">
        <v>653</v>
      </c>
      <c r="G128" s="16" t="s">
        <v>656</v>
      </c>
      <c r="H128" s="18"/>
      <c r="I128" s="27" t="str">
        <f>IFERROR(VLOOKUP(Tabulka2[[#This Row],[Pracovník]],DATA!A:L,11,0),"")</f>
        <v>Vlastní auto</v>
      </c>
      <c r="J128" s="16"/>
      <c r="K128" s="19" t="s">
        <v>994</v>
      </c>
    </row>
    <row r="129" spans="1:11" x14ac:dyDescent="0.25">
      <c r="A1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9" s="15">
        <v>45924</v>
      </c>
      <c r="C129" s="16" t="s">
        <v>28</v>
      </c>
      <c r="D129" s="16" t="s">
        <v>793</v>
      </c>
      <c r="E129" s="17">
        <f>IFERROR(VLOOKUP(Tabulka2[[#This Row],[Pracovník]],DATA!A:L,5,0),"")</f>
        <v>4871</v>
      </c>
      <c r="F129" s="12" t="s">
        <v>653</v>
      </c>
      <c r="G129" s="16" t="s">
        <v>656</v>
      </c>
      <c r="H129" s="18"/>
      <c r="I129" s="27" t="str">
        <f>IFERROR(VLOOKUP(Tabulka2[[#This Row],[Pracovník]],DATA!A:L,11,0),"")</f>
        <v>Vlastní auto</v>
      </c>
      <c r="J129" s="16"/>
      <c r="K129" s="19" t="s">
        <v>994</v>
      </c>
    </row>
    <row r="130" spans="1:11" x14ac:dyDescent="0.25">
      <c r="A1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0" s="22">
        <v>45924</v>
      </c>
      <c r="C130" s="16" t="s">
        <v>28</v>
      </c>
      <c r="D130" s="16" t="s">
        <v>794</v>
      </c>
      <c r="E130" s="17">
        <f>IFERROR(VLOOKUP(Tabulka2[[#This Row],[Pracovník]],DATA!A:L,5,0),"")</f>
        <v>4755</v>
      </c>
      <c r="F130" s="12" t="s">
        <v>655</v>
      </c>
      <c r="G130" s="16"/>
      <c r="H130" s="18"/>
      <c r="I130" s="27" t="str">
        <f>IFERROR(VLOOKUP(Tabulka2[[#This Row],[Pracovník]],DATA!A:L,11,0),"")</f>
        <v>DSC 2</v>
      </c>
      <c r="J130" s="16"/>
      <c r="K130" s="19"/>
    </row>
    <row r="131" spans="1:11" x14ac:dyDescent="0.25">
      <c r="A1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1" s="22">
        <v>45924</v>
      </c>
      <c r="C131" s="16" t="s">
        <v>28</v>
      </c>
      <c r="D131" s="16" t="s">
        <v>781</v>
      </c>
      <c r="E131" s="17">
        <f>IFERROR(VLOOKUP(Tabulka2[[#This Row],[Pracovník]],DATA!A:L,5,0),"")</f>
        <v>49</v>
      </c>
      <c r="F131" s="12" t="s">
        <v>654</v>
      </c>
      <c r="G131" s="16"/>
      <c r="H131" s="18"/>
      <c r="I131" s="27" t="str">
        <f>IFERROR(VLOOKUP(Tabulka2[[#This Row],[Pracovník]],DATA!A:L,11,0),"")</f>
        <v>DSC 2</v>
      </c>
      <c r="J131" s="16" t="s">
        <v>995</v>
      </c>
      <c r="K131" s="19"/>
    </row>
    <row r="132" spans="1:11" x14ac:dyDescent="0.25">
      <c r="A1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2" s="15">
        <v>45924</v>
      </c>
      <c r="C132" s="16" t="s">
        <v>28</v>
      </c>
      <c r="D132" s="16" t="s">
        <v>782</v>
      </c>
      <c r="E132" s="17">
        <f>IFERROR(VLOOKUP(Tabulka2[[#This Row],[Pracovník]],DATA!A:L,5,0),"")</f>
        <v>5839</v>
      </c>
      <c r="F132" s="12" t="s">
        <v>654</v>
      </c>
      <c r="G132" s="16"/>
      <c r="H132" s="18"/>
      <c r="I132" s="27" t="str">
        <f>IFERROR(VLOOKUP(Tabulka2[[#This Row],[Pracovník]],DATA!A:L,11,0),"")</f>
        <v>DSC 1</v>
      </c>
      <c r="J132" s="16"/>
      <c r="K132" s="19"/>
    </row>
    <row r="133" spans="1:11" x14ac:dyDescent="0.25">
      <c r="A1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3" s="22">
        <v>45924</v>
      </c>
      <c r="C133" s="16" t="s">
        <v>28</v>
      </c>
      <c r="D133" s="16" t="s">
        <v>783</v>
      </c>
      <c r="E133" s="17">
        <f>IFERROR(VLOOKUP(Tabulka2[[#This Row],[Pracovník]],DATA!A:L,5,0),"")</f>
        <v>6487</v>
      </c>
      <c r="F133" s="12" t="s">
        <v>655</v>
      </c>
      <c r="G133" s="16"/>
      <c r="H133" s="18"/>
      <c r="I133" s="27" t="str">
        <f>IFERROR(VLOOKUP(Tabulka2[[#This Row],[Pracovník]],DATA!A:L,11,0),"")</f>
        <v>DSC 1</v>
      </c>
      <c r="J133" s="16"/>
      <c r="K133" s="19"/>
    </row>
    <row r="134" spans="1:11" x14ac:dyDescent="0.25">
      <c r="A1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4" s="15">
        <v>45924</v>
      </c>
      <c r="C134" s="16" t="s">
        <v>28</v>
      </c>
      <c r="D134" s="16" t="s">
        <v>784</v>
      </c>
      <c r="E134" s="17">
        <f>IFERROR(VLOOKUP(Tabulka2[[#This Row],[Pracovník]],DATA!A:L,5,0),"")</f>
        <v>6292</v>
      </c>
      <c r="F134" s="12" t="s">
        <v>654</v>
      </c>
      <c r="G134" s="16"/>
      <c r="H134" s="18"/>
      <c r="I134" s="27" t="str">
        <f>IFERROR(VLOOKUP(Tabulka2[[#This Row],[Pracovník]],DATA!A:L,11,0),"")</f>
        <v>Vlastní auto</v>
      </c>
      <c r="J134" s="16"/>
      <c r="K134" s="19"/>
    </row>
    <row r="135" spans="1:11" x14ac:dyDescent="0.25">
      <c r="A1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5" s="22">
        <v>45924</v>
      </c>
      <c r="C135" s="16" t="s">
        <v>28</v>
      </c>
      <c r="D135" s="16" t="s">
        <v>788</v>
      </c>
      <c r="E135" s="17">
        <f>IFERROR(VLOOKUP(Tabulka2[[#This Row],[Pracovník]],DATA!A:L,5,0),"")</f>
        <v>5198</v>
      </c>
      <c r="F135" s="12" t="s">
        <v>655</v>
      </c>
      <c r="G135" s="16"/>
      <c r="H135" s="18"/>
      <c r="I135" s="27" t="str">
        <f>IFERROR(VLOOKUP(Tabulka2[[#This Row],[Pracovník]],DATA!A:L,11,0),"")</f>
        <v>Vlastní auto</v>
      </c>
      <c r="J135" s="16"/>
      <c r="K135" s="19"/>
    </row>
    <row r="136" spans="1:11" x14ac:dyDescent="0.25">
      <c r="A1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6" s="15">
        <v>45924</v>
      </c>
      <c r="C136" s="16" t="s">
        <v>28</v>
      </c>
      <c r="D136" s="16" t="s">
        <v>789</v>
      </c>
      <c r="E136" s="17">
        <f>IFERROR(VLOOKUP(Tabulka2[[#This Row],[Pracovník]],DATA!A:L,5,0),"")</f>
        <v>6368</v>
      </c>
      <c r="F136" s="12" t="s">
        <v>654</v>
      </c>
      <c r="G136" s="16"/>
      <c r="H136" s="18"/>
      <c r="I136" s="27" t="str">
        <f>IFERROR(VLOOKUP(Tabulka2[[#This Row],[Pracovník]],DATA!A:L,11,0),"")</f>
        <v>Vlastní auto</v>
      </c>
      <c r="J136" s="16"/>
      <c r="K136" s="19"/>
    </row>
    <row r="137" spans="1:11" x14ac:dyDescent="0.25">
      <c r="A1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7" s="22">
        <v>45924</v>
      </c>
      <c r="C137" s="16" t="s">
        <v>28</v>
      </c>
      <c r="D137" s="16" t="s">
        <v>786</v>
      </c>
      <c r="E137" s="17">
        <f>IFERROR(VLOOKUP(Tabulka2[[#This Row],[Pracovník]],DATA!A:L,5,0),"")</f>
        <v>5595</v>
      </c>
      <c r="F137" s="12" t="s">
        <v>640</v>
      </c>
      <c r="G137" s="16"/>
      <c r="H137" s="18"/>
      <c r="I137" s="27" t="str">
        <f>IFERROR(VLOOKUP(Tabulka2[[#This Row],[Pracovník]],DATA!A:L,11,0),"")</f>
        <v>DSC 2</v>
      </c>
      <c r="J137" s="16"/>
      <c r="K137" s="19"/>
    </row>
    <row r="138" spans="1:11" x14ac:dyDescent="0.25">
      <c r="A1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8" s="15">
        <v>45924</v>
      </c>
      <c r="C138" s="16" t="s">
        <v>28</v>
      </c>
      <c r="D138" s="16" t="s">
        <v>795</v>
      </c>
      <c r="E138" s="17">
        <f>IFERROR(VLOOKUP(Tabulka2[[#This Row],[Pracovník]],DATA!A:L,5,0),"")</f>
        <v>4960</v>
      </c>
      <c r="F138" s="12" t="s">
        <v>654</v>
      </c>
      <c r="G138" s="16"/>
      <c r="H138" s="18"/>
      <c r="I138" s="27" t="str">
        <f>IFERROR(VLOOKUP(Tabulka2[[#This Row],[Pracovník]],DATA!A:L,11,0),"")</f>
        <v>DSC 1</v>
      </c>
      <c r="J138" s="16"/>
      <c r="K138" s="19"/>
    </row>
    <row r="139" spans="1:11" x14ac:dyDescent="0.25">
      <c r="A1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9" s="22">
        <v>45924</v>
      </c>
      <c r="C139" s="16" t="s">
        <v>28</v>
      </c>
      <c r="D139" s="16" t="s">
        <v>790</v>
      </c>
      <c r="E139" s="17">
        <f>IFERROR(VLOOKUP(Tabulka2[[#This Row],[Pracovník]],DATA!A:L,5,0),"")</f>
        <v>5125</v>
      </c>
      <c r="F139" s="12" t="s">
        <v>655</v>
      </c>
      <c r="G139" s="16"/>
      <c r="H139" s="18"/>
      <c r="I139" s="27" t="str">
        <f>IFERROR(VLOOKUP(Tabulka2[[#This Row],[Pracovník]],DATA!A:L,11,0),"")</f>
        <v>Vlastní auto</v>
      </c>
      <c r="J139" s="16"/>
      <c r="K139" s="19"/>
    </row>
    <row r="140" spans="1:11" x14ac:dyDescent="0.25">
      <c r="A1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0" s="15">
        <v>45924</v>
      </c>
      <c r="C140" s="16" t="s">
        <v>28</v>
      </c>
      <c r="D140" s="16" t="s">
        <v>791</v>
      </c>
      <c r="E140" s="17">
        <f>IFERROR(VLOOKUP(Tabulka2[[#This Row],[Pracovník]],DATA!A:L,5,0),"")</f>
        <v>6127</v>
      </c>
      <c r="F140" s="12" t="s">
        <v>655</v>
      </c>
      <c r="G140" s="16"/>
      <c r="H140" s="18"/>
      <c r="I140" s="27" t="str">
        <f>IFERROR(VLOOKUP(Tabulka2[[#This Row],[Pracovník]],DATA!A:L,11,0),"")</f>
        <v>DSC 2</v>
      </c>
      <c r="J140" s="16"/>
      <c r="K140" s="19"/>
    </row>
    <row r="141" spans="1:11" x14ac:dyDescent="0.25">
      <c r="A1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1" s="22">
        <v>45924</v>
      </c>
      <c r="C141" s="16" t="s">
        <v>28</v>
      </c>
      <c r="D141" s="16" t="s">
        <v>796</v>
      </c>
      <c r="E141" s="17">
        <f>IFERROR(VLOOKUP(Tabulka2[[#This Row],[Pracovník]],DATA!A:L,5,0),"")</f>
        <v>5583</v>
      </c>
      <c r="F141" s="12" t="s">
        <v>654</v>
      </c>
      <c r="G141" s="16"/>
      <c r="H141" s="18"/>
      <c r="I141" s="27" t="str">
        <f>IFERROR(VLOOKUP(Tabulka2[[#This Row],[Pracovník]],DATA!A:L,11,0),"")</f>
        <v>DSC 2</v>
      </c>
      <c r="J141" s="16"/>
      <c r="K141" s="19"/>
    </row>
    <row r="142" spans="1:11" x14ac:dyDescent="0.25">
      <c r="A1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2" s="22">
        <v>45924</v>
      </c>
      <c r="C142" s="16" t="s">
        <v>28</v>
      </c>
      <c r="D142" s="16" t="s">
        <v>644</v>
      </c>
      <c r="E142" s="17">
        <f>IFERROR(VLOOKUP(Tabulka2[[#This Row],[Pracovník]],DATA!A:L,5,0),"")</f>
        <v>123</v>
      </c>
      <c r="F142" s="12" t="s">
        <v>655</v>
      </c>
      <c r="G142" s="16"/>
      <c r="H142" s="18"/>
      <c r="I142" s="27" t="str">
        <f>IFERROR(VLOOKUP(Tabulka2[[#This Row],[Pracovník]],DATA!A:L,11,0),"")</f>
        <v>DSC 1</v>
      </c>
      <c r="J142" s="16"/>
      <c r="K142" s="19"/>
    </row>
    <row r="143" spans="1:11" x14ac:dyDescent="0.25">
      <c r="A1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3" s="15">
        <v>45924</v>
      </c>
      <c r="C143" s="16" t="s">
        <v>28</v>
      </c>
      <c r="D143" s="16" t="s">
        <v>797</v>
      </c>
      <c r="E143" s="17">
        <f>IFERROR(VLOOKUP(Tabulka2[[#This Row],[Pracovník]],DATA!A:L,5,0),"")</f>
        <v>5525</v>
      </c>
      <c r="F143" s="12" t="s">
        <v>655</v>
      </c>
      <c r="G143" s="16"/>
      <c r="H143" s="18"/>
      <c r="I143" s="27" t="str">
        <f>IFERROR(VLOOKUP(Tabulka2[[#This Row],[Pracovník]],DATA!A:L,11,0),"")</f>
        <v>Vlastní auto</v>
      </c>
      <c r="J143" s="16"/>
      <c r="K143" s="19"/>
    </row>
    <row r="144" spans="1:11" x14ac:dyDescent="0.25">
      <c r="A1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4" s="22">
        <v>45924</v>
      </c>
      <c r="C144" s="16" t="s">
        <v>28</v>
      </c>
      <c r="D144" s="16" t="s">
        <v>798</v>
      </c>
      <c r="E144" s="17">
        <f>IFERROR(VLOOKUP(Tabulka2[[#This Row],[Pracovník]],DATA!A:L,5,0),"")</f>
        <v>126</v>
      </c>
      <c r="F144" s="12" t="s">
        <v>640</v>
      </c>
      <c r="G144" s="16"/>
      <c r="H144" s="18"/>
      <c r="I144" s="27" t="str">
        <f>IFERROR(VLOOKUP(Tabulka2[[#This Row],[Pracovník]],DATA!A:L,11,0),"")</f>
        <v>Vlastní auto</v>
      </c>
      <c r="J144" s="16"/>
      <c r="K144" s="19"/>
    </row>
    <row r="145" spans="1:11" x14ac:dyDescent="0.25">
      <c r="A1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5" s="15">
        <v>45924</v>
      </c>
      <c r="C145" s="16" t="s">
        <v>28</v>
      </c>
      <c r="D145" s="16" t="s">
        <v>799</v>
      </c>
      <c r="E145" s="17">
        <f>IFERROR(VLOOKUP(Tabulka2[[#This Row],[Pracovník]],DATA!A:L,5,0),"")</f>
        <v>127</v>
      </c>
      <c r="F145" s="12" t="s">
        <v>640</v>
      </c>
      <c r="G145" s="16"/>
      <c r="H145" s="18"/>
      <c r="I145" s="27" t="str">
        <f>IFERROR(VLOOKUP(Tabulka2[[#This Row],[Pracovník]],DATA!A:L,11,0),"")</f>
        <v>DSC 2</v>
      </c>
      <c r="J145" s="16"/>
      <c r="K145" s="19"/>
    </row>
    <row r="146" spans="1:11" x14ac:dyDescent="0.25">
      <c r="A1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6" s="22">
        <v>45924</v>
      </c>
      <c r="C146" s="16" t="s">
        <v>28</v>
      </c>
      <c r="D146" s="16" t="s">
        <v>800</v>
      </c>
      <c r="E146" s="17">
        <f>IFERROR(VLOOKUP(Tabulka2[[#This Row],[Pracovník]],DATA!A:L,5,0),"")</f>
        <v>4847</v>
      </c>
      <c r="F146" s="12" t="s">
        <v>640</v>
      </c>
      <c r="G146" s="16"/>
      <c r="H146" s="18"/>
      <c r="I146" s="27" t="str">
        <f>IFERROR(VLOOKUP(Tabulka2[[#This Row],[Pracovník]],DATA!A:L,11,0),"")</f>
        <v>Vlastní auto</v>
      </c>
      <c r="J146" s="16"/>
      <c r="K146" s="19"/>
    </row>
    <row r="147" spans="1:11" x14ac:dyDescent="0.25">
      <c r="A1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7" s="15">
        <v>45924</v>
      </c>
      <c r="C147" s="16" t="s">
        <v>28</v>
      </c>
      <c r="D147" s="16" t="s">
        <v>801</v>
      </c>
      <c r="E147" s="17">
        <f>IFERROR(VLOOKUP(Tabulka2[[#This Row],[Pracovník]],DATA!A:L,5,0),"")</f>
        <v>750</v>
      </c>
      <c r="F147" s="12" t="s">
        <v>654</v>
      </c>
      <c r="G147" s="16"/>
      <c r="H147" s="18"/>
      <c r="I147" s="27" t="str">
        <f>IFERROR(VLOOKUP(Tabulka2[[#This Row],[Pracovník]],DATA!A:L,11,0),"")</f>
        <v>Vlastní auto</v>
      </c>
      <c r="J147" s="16"/>
      <c r="K147" s="19"/>
    </row>
    <row r="148" spans="1:11" x14ac:dyDescent="0.25">
      <c r="A1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8" s="22">
        <v>45924</v>
      </c>
      <c r="C148" s="16" t="s">
        <v>28</v>
      </c>
      <c r="D148" s="16" t="s">
        <v>802</v>
      </c>
      <c r="E148" s="17">
        <f>IFERROR(VLOOKUP(Tabulka2[[#This Row],[Pracovník]],DATA!A:L,5,0),"")</f>
        <v>4663</v>
      </c>
      <c r="F148" s="12" t="s">
        <v>655</v>
      </c>
      <c r="G148" s="16"/>
      <c r="H148" s="18"/>
      <c r="I148" s="27" t="str">
        <f>IFERROR(VLOOKUP(Tabulka2[[#This Row],[Pracovník]],DATA!A:L,11,0),"")</f>
        <v>DSC 2</v>
      </c>
      <c r="J148" s="16"/>
      <c r="K148" s="19"/>
    </row>
    <row r="149" spans="1:11" x14ac:dyDescent="0.25">
      <c r="A1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9" s="15">
        <v>45924</v>
      </c>
      <c r="C149" s="16" t="s">
        <v>28</v>
      </c>
      <c r="D149" s="16" t="s">
        <v>803</v>
      </c>
      <c r="E149" s="17">
        <f>IFERROR(VLOOKUP(Tabulka2[[#This Row],[Pracovník]],DATA!A:L,5,0),"")</f>
        <v>131</v>
      </c>
      <c r="F149" s="12" t="s">
        <v>640</v>
      </c>
      <c r="G149" s="16"/>
      <c r="H149" s="18"/>
      <c r="I149" s="27" t="str">
        <f>IFERROR(VLOOKUP(Tabulka2[[#This Row],[Pracovník]],DATA!A:L,11,0),"")</f>
        <v>DSC 2</v>
      </c>
      <c r="J149" s="16"/>
      <c r="K149" s="19"/>
    </row>
    <row r="150" spans="1:11" x14ac:dyDescent="0.25">
      <c r="A1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0" s="22">
        <v>45924</v>
      </c>
      <c r="C150" s="16" t="s">
        <v>28</v>
      </c>
      <c r="D150" s="16" t="s">
        <v>643</v>
      </c>
      <c r="E150" s="17">
        <f>IFERROR(VLOOKUP(Tabulka2[[#This Row],[Pracovník]],DATA!A:L,5,0),"")</f>
        <v>5620</v>
      </c>
      <c r="F150" s="12" t="s">
        <v>655</v>
      </c>
      <c r="G150" s="16"/>
      <c r="H150" s="18"/>
      <c r="I150" s="27" t="str">
        <f>IFERROR(VLOOKUP(Tabulka2[[#This Row],[Pracovník]],DATA!A:L,11,0),"")</f>
        <v>Vlastní auto</v>
      </c>
      <c r="J150" s="16"/>
      <c r="K150" s="19"/>
    </row>
    <row r="151" spans="1:11" x14ac:dyDescent="0.25">
      <c r="A1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1" s="15">
        <v>45924</v>
      </c>
      <c r="C151" s="16" t="s">
        <v>28</v>
      </c>
      <c r="D151" s="16" t="s">
        <v>804</v>
      </c>
      <c r="E151" s="17">
        <f>IFERROR(VLOOKUP(Tabulka2[[#This Row],[Pracovník]],DATA!A:L,5,0),"")</f>
        <v>4868</v>
      </c>
      <c r="F151" s="12" t="s">
        <v>640</v>
      </c>
      <c r="G151" s="16"/>
      <c r="H151" s="18"/>
      <c r="I151" s="27" t="str">
        <f>IFERROR(VLOOKUP(Tabulka2[[#This Row],[Pracovník]],DATA!A:L,11,0),"")</f>
        <v>Vlastní auto</v>
      </c>
      <c r="J151" s="16"/>
      <c r="K151" s="19"/>
    </row>
    <row r="152" spans="1:11" x14ac:dyDescent="0.25">
      <c r="A1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2" s="22">
        <v>45924</v>
      </c>
      <c r="C152" s="16" t="s">
        <v>28</v>
      </c>
      <c r="D152" s="16" t="s">
        <v>805</v>
      </c>
      <c r="E152" s="17">
        <f>IFERROR(VLOOKUP(Tabulka2[[#This Row],[Pracovník]],DATA!A:L,5,0),"")</f>
        <v>5026</v>
      </c>
      <c r="F152" s="12" t="s">
        <v>640</v>
      </c>
      <c r="G152" s="16"/>
      <c r="H152" s="18"/>
      <c r="I152" s="27" t="str">
        <f>IFERROR(VLOOKUP(Tabulka2[[#This Row],[Pracovník]],DATA!A:L,11,0),"")</f>
        <v>Vlastní auto</v>
      </c>
      <c r="J152" s="16"/>
      <c r="K152" s="19"/>
    </row>
    <row r="153" spans="1:11" x14ac:dyDescent="0.25">
      <c r="A1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3" s="22">
        <v>45924</v>
      </c>
      <c r="C153" s="16" t="s">
        <v>28</v>
      </c>
      <c r="D153" s="16" t="s">
        <v>806</v>
      </c>
      <c r="E153" s="17">
        <f>IFERROR(VLOOKUP(Tabulka2[[#This Row],[Pracovník]],DATA!A:L,5,0),"")</f>
        <v>6424</v>
      </c>
      <c r="F153" s="12" t="s">
        <v>654</v>
      </c>
      <c r="G153" s="16"/>
      <c r="H153" s="18"/>
      <c r="I153" s="27" t="str">
        <f>IFERROR(VLOOKUP(Tabulka2[[#This Row],[Pracovník]],DATA!A:L,11,0),"")</f>
        <v>DSC 1</v>
      </c>
      <c r="J153" s="16"/>
      <c r="K153" s="19"/>
    </row>
    <row r="154" spans="1:11" x14ac:dyDescent="0.25">
      <c r="A1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4" s="15">
        <v>45924</v>
      </c>
      <c r="C154" s="16" t="s">
        <v>28</v>
      </c>
      <c r="D154" s="16" t="s">
        <v>807</v>
      </c>
      <c r="E154" s="17">
        <f>IFERROR(VLOOKUP(Tabulka2[[#This Row],[Pracovník]],DATA!A:L,5,0),"")</f>
        <v>5004</v>
      </c>
      <c r="F154" s="12" t="s">
        <v>640</v>
      </c>
      <c r="G154" s="16"/>
      <c r="H154" s="18"/>
      <c r="I154" s="27" t="str">
        <f>IFERROR(VLOOKUP(Tabulka2[[#This Row],[Pracovník]],DATA!A:L,11,0),"")</f>
        <v>Vlastní auto</v>
      </c>
      <c r="J154" s="16"/>
      <c r="K154" s="19"/>
    </row>
    <row r="155" spans="1:11" x14ac:dyDescent="0.25">
      <c r="A1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5" s="22">
        <v>45924</v>
      </c>
      <c r="C155" s="16" t="s">
        <v>28</v>
      </c>
      <c r="D155" s="16" t="s">
        <v>808</v>
      </c>
      <c r="E155" s="17">
        <f>IFERROR(VLOOKUP(Tabulka2[[#This Row],[Pracovník]],DATA!A:L,5,0),"")</f>
        <v>136</v>
      </c>
      <c r="F155" s="12" t="s">
        <v>640</v>
      </c>
      <c r="G155" s="16"/>
      <c r="H155" s="18"/>
      <c r="I155" s="27" t="str">
        <f>IFERROR(VLOOKUP(Tabulka2[[#This Row],[Pracovník]],DATA!A:L,11,0),"")</f>
        <v>DSC 2</v>
      </c>
      <c r="J155" s="16"/>
      <c r="K155" s="19"/>
    </row>
    <row r="156" spans="1:11" x14ac:dyDescent="0.25">
      <c r="A1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6" s="15">
        <v>45924</v>
      </c>
      <c r="C156" s="16" t="s">
        <v>28</v>
      </c>
      <c r="D156" s="16" t="s">
        <v>809</v>
      </c>
      <c r="E156" s="17">
        <f>IFERROR(VLOOKUP(Tabulka2[[#This Row],[Pracovník]],DATA!A:L,5,0),"")</f>
        <v>19</v>
      </c>
      <c r="F156" s="12" t="s">
        <v>640</v>
      </c>
      <c r="G156" s="16"/>
      <c r="H156" s="18"/>
      <c r="I156" s="27" t="str">
        <f>IFERROR(VLOOKUP(Tabulka2[[#This Row],[Pracovník]],DATA!A:L,11,0),"")</f>
        <v>Vlastní auto</v>
      </c>
      <c r="J156" s="16"/>
      <c r="K156" s="19"/>
    </row>
    <row r="157" spans="1:11" x14ac:dyDescent="0.25">
      <c r="A1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7" s="22">
        <v>45924</v>
      </c>
      <c r="C157" s="16" t="s">
        <v>28</v>
      </c>
      <c r="D157" s="16" t="s">
        <v>810</v>
      </c>
      <c r="E157" s="17">
        <f>IFERROR(VLOOKUP(Tabulka2[[#This Row],[Pracovník]],DATA!A:L,5,0),"")</f>
        <v>4791</v>
      </c>
      <c r="F157" s="12" t="s">
        <v>640</v>
      </c>
      <c r="G157" s="16"/>
      <c r="H157" s="18"/>
      <c r="I157" s="27" t="str">
        <f>IFERROR(VLOOKUP(Tabulka2[[#This Row],[Pracovník]],DATA!A:L,11,0),"")</f>
        <v>Vlastní auto</v>
      </c>
      <c r="J157" s="16"/>
      <c r="K157" s="19"/>
    </row>
    <row r="158" spans="1:11" x14ac:dyDescent="0.25">
      <c r="A1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8" s="15">
        <v>45924</v>
      </c>
      <c r="C158" s="16" t="s">
        <v>28</v>
      </c>
      <c r="D158" s="16" t="s">
        <v>811</v>
      </c>
      <c r="E158" s="17">
        <f>IFERROR(VLOOKUP(Tabulka2[[#This Row],[Pracovník]],DATA!A:L,5,0),"")</f>
        <v>5121</v>
      </c>
      <c r="F158" s="12" t="s">
        <v>655</v>
      </c>
      <c r="G158" s="16"/>
      <c r="H158" s="18"/>
      <c r="I158" s="27" t="str">
        <f>IFERROR(VLOOKUP(Tabulka2[[#This Row],[Pracovník]],DATA!A:L,11,0),"")</f>
        <v>DSC 2</v>
      </c>
      <c r="J158" s="16"/>
      <c r="K158" s="19"/>
    </row>
    <row r="159" spans="1:11" x14ac:dyDescent="0.25">
      <c r="A1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9" s="22">
        <v>45924</v>
      </c>
      <c r="C159" s="16" t="s">
        <v>28</v>
      </c>
      <c r="D159" s="16" t="s">
        <v>996</v>
      </c>
      <c r="E159" s="17">
        <f>IFERROR(VLOOKUP(Tabulka2[[#This Row],[Pracovník]],DATA!A:L,5,0),"")</f>
        <v>4416</v>
      </c>
      <c r="F159" s="12" t="s">
        <v>655</v>
      </c>
      <c r="G159" s="16"/>
      <c r="H159" s="18"/>
      <c r="I159" s="27" t="str">
        <f>IFERROR(VLOOKUP(Tabulka2[[#This Row],[Pracovník]],DATA!A:L,11,0),"")</f>
        <v>DSC 2</v>
      </c>
      <c r="J159" s="16"/>
      <c r="K159" s="19"/>
    </row>
    <row r="160" spans="1:11" x14ac:dyDescent="0.25">
      <c r="A1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0" s="15">
        <v>45924</v>
      </c>
      <c r="C160" s="16" t="s">
        <v>28</v>
      </c>
      <c r="D160" s="16" t="s">
        <v>825</v>
      </c>
      <c r="E160" s="17">
        <f>IFERROR(VLOOKUP(Tabulka2[[#This Row],[Pracovník]],DATA!A:L,5,0),"")</f>
        <v>6193</v>
      </c>
      <c r="F160" s="12" t="s">
        <v>655</v>
      </c>
      <c r="G160" s="16"/>
      <c r="H160" s="18"/>
      <c r="I160" s="27" t="str">
        <f>IFERROR(VLOOKUP(Tabulka2[[#This Row],[Pracovník]],DATA!A:L,11,0),"")</f>
        <v>DSC 2</v>
      </c>
      <c r="J160" s="16"/>
      <c r="K160" s="19"/>
    </row>
    <row r="161" spans="1:11" x14ac:dyDescent="0.25">
      <c r="A1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1" s="22">
        <v>45924</v>
      </c>
      <c r="C161" s="16" t="s">
        <v>28</v>
      </c>
      <c r="D161" s="16" t="s">
        <v>812</v>
      </c>
      <c r="E161" s="17">
        <f>IFERROR(VLOOKUP(Tabulka2[[#This Row],[Pracovník]],DATA!A:L,5,0),"")</f>
        <v>146</v>
      </c>
      <c r="F161" s="12" t="s">
        <v>653</v>
      </c>
      <c r="G161" s="16" t="s">
        <v>657</v>
      </c>
      <c r="H161" s="18"/>
      <c r="I161" s="27" t="str">
        <f>IFERROR(VLOOKUP(Tabulka2[[#This Row],[Pracovník]],DATA!A:L,11,0),"")</f>
        <v>DSC 2</v>
      </c>
      <c r="J161" s="16"/>
      <c r="K161" s="19"/>
    </row>
    <row r="162" spans="1:11" x14ac:dyDescent="0.25">
      <c r="A1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2" s="15">
        <v>45924</v>
      </c>
      <c r="C162" s="16" t="s">
        <v>28</v>
      </c>
      <c r="D162" s="16" t="s">
        <v>814</v>
      </c>
      <c r="E162" s="17">
        <f>IFERROR(VLOOKUP(Tabulka2[[#This Row],[Pracovník]],DATA!A:L,5,0),"")</f>
        <v>4745</v>
      </c>
      <c r="F162" s="12" t="s">
        <v>640</v>
      </c>
      <c r="G162" s="16"/>
      <c r="H162" s="18"/>
      <c r="I162" s="27" t="str">
        <f>IFERROR(VLOOKUP(Tabulka2[[#This Row],[Pracovník]],DATA!A:L,11,0),"")</f>
        <v>Vlastní auto</v>
      </c>
      <c r="J162" s="16"/>
      <c r="K162" s="19"/>
    </row>
    <row r="163" spans="1:11" x14ac:dyDescent="0.25">
      <c r="A1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3" s="22">
        <v>45924</v>
      </c>
      <c r="C163" s="16" t="s">
        <v>28</v>
      </c>
      <c r="D163" s="16" t="s">
        <v>997</v>
      </c>
      <c r="E163" s="17">
        <f>IFERROR(VLOOKUP(Tabulka2[[#This Row],[Pracovník]],DATA!A:L,5,0),"")</f>
        <v>5029</v>
      </c>
      <c r="F163" s="12" t="s">
        <v>655</v>
      </c>
      <c r="G163" s="16"/>
      <c r="H163" s="18"/>
      <c r="I163" s="27" t="str">
        <f>IFERROR(VLOOKUP(Tabulka2[[#This Row],[Pracovník]],DATA!A:L,11,0),"")</f>
        <v>Vlastní auto</v>
      </c>
      <c r="J163" s="16"/>
      <c r="K163" s="19"/>
    </row>
    <row r="164" spans="1:11" x14ac:dyDescent="0.25">
      <c r="A1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4" s="22">
        <v>45924</v>
      </c>
      <c r="C164" s="16" t="s">
        <v>28</v>
      </c>
      <c r="D164" s="16" t="s">
        <v>816</v>
      </c>
      <c r="E164" s="17">
        <f>IFERROR(VLOOKUP(Tabulka2[[#This Row],[Pracovník]],DATA!A:L,5,0),"")</f>
        <v>5209</v>
      </c>
      <c r="F164" s="12" t="s">
        <v>655</v>
      </c>
      <c r="G164" s="16"/>
      <c r="H164" s="18"/>
      <c r="I164" s="27" t="str">
        <f>IFERROR(VLOOKUP(Tabulka2[[#This Row],[Pracovník]],DATA!A:L,11,0),"")</f>
        <v>Vlastní auto</v>
      </c>
      <c r="J164" s="16"/>
      <c r="K164" s="19"/>
    </row>
    <row r="165" spans="1:11" x14ac:dyDescent="0.25">
      <c r="A1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5" s="15">
        <v>45924</v>
      </c>
      <c r="C165" s="16" t="s">
        <v>28</v>
      </c>
      <c r="D165" s="16" t="s">
        <v>815</v>
      </c>
      <c r="E165" s="17">
        <f>IFERROR(VLOOKUP(Tabulka2[[#This Row],[Pracovník]],DATA!A:L,5,0),"")</f>
        <v>4790</v>
      </c>
      <c r="F165" s="12" t="s">
        <v>640</v>
      </c>
      <c r="G165" s="16"/>
      <c r="H165" s="18"/>
      <c r="I165" s="27" t="str">
        <f>IFERROR(VLOOKUP(Tabulka2[[#This Row],[Pracovník]],DATA!A:L,11,0),"")</f>
        <v>DSC 2</v>
      </c>
      <c r="J165" s="16"/>
      <c r="K165" s="19"/>
    </row>
    <row r="166" spans="1:11" x14ac:dyDescent="0.25">
      <c r="A1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6" s="22">
        <v>45924</v>
      </c>
      <c r="C166" s="16" t="s">
        <v>28</v>
      </c>
      <c r="D166" s="16" t="s">
        <v>817</v>
      </c>
      <c r="E166" s="17">
        <f>IFERROR(VLOOKUP(Tabulka2[[#This Row],[Pracovník]],DATA!A:L,5,0),"")</f>
        <v>4727</v>
      </c>
      <c r="F166" s="12" t="s">
        <v>654</v>
      </c>
      <c r="G166" s="16"/>
      <c r="H166" s="18"/>
      <c r="I166" s="27" t="str">
        <f>IFERROR(VLOOKUP(Tabulka2[[#This Row],[Pracovník]],DATA!A:L,11,0),"")</f>
        <v>DSC 1</v>
      </c>
      <c r="J166" s="16"/>
      <c r="K166" s="19"/>
    </row>
    <row r="167" spans="1:11" x14ac:dyDescent="0.25">
      <c r="A1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7" s="15">
        <v>45924</v>
      </c>
      <c r="C167" s="16" t="s">
        <v>28</v>
      </c>
      <c r="D167" s="16" t="s">
        <v>818</v>
      </c>
      <c r="E167" s="17">
        <f>IFERROR(VLOOKUP(Tabulka2[[#This Row],[Pracovník]],DATA!A:L,5,0),"")</f>
        <v>6488</v>
      </c>
      <c r="F167" s="12" t="s">
        <v>655</v>
      </c>
      <c r="G167" s="16"/>
      <c r="H167" s="18"/>
      <c r="I167" s="27" t="str">
        <f>IFERROR(VLOOKUP(Tabulka2[[#This Row],[Pracovník]],DATA!A:L,11,0),"")</f>
        <v>DSC 2</v>
      </c>
      <c r="J167" s="16"/>
      <c r="K167" s="19"/>
    </row>
    <row r="168" spans="1:11" x14ac:dyDescent="0.25">
      <c r="A1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8" s="22">
        <v>45924</v>
      </c>
      <c r="C168" s="16" t="s">
        <v>28</v>
      </c>
      <c r="D168" s="16" t="s">
        <v>820</v>
      </c>
      <c r="E168" s="17">
        <f>IFERROR(VLOOKUP(Tabulka2[[#This Row],[Pracovník]],DATA!A:L,5,0),"")</f>
        <v>5604</v>
      </c>
      <c r="F168" s="12" t="s">
        <v>655</v>
      </c>
      <c r="G168" s="16"/>
      <c r="H168" s="18"/>
      <c r="I168" s="27" t="str">
        <f>IFERROR(VLOOKUP(Tabulka2[[#This Row],[Pracovník]],DATA!A:L,11,0),"")</f>
        <v>Vlastní auto</v>
      </c>
      <c r="J168" s="16"/>
      <c r="K168" s="19"/>
    </row>
    <row r="169" spans="1:11" x14ac:dyDescent="0.25">
      <c r="A1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9" s="15">
        <v>45924</v>
      </c>
      <c r="C169" s="16" t="s">
        <v>28</v>
      </c>
      <c r="D169" s="16" t="s">
        <v>821</v>
      </c>
      <c r="E169" s="17">
        <f>IFERROR(VLOOKUP(Tabulka2[[#This Row],[Pracovník]],DATA!A:L,5,0),"")</f>
        <v>5632</v>
      </c>
      <c r="F169" s="12" t="s">
        <v>655</v>
      </c>
      <c r="G169" s="16"/>
      <c r="H169" s="18"/>
      <c r="I169" s="27" t="str">
        <f>IFERROR(VLOOKUP(Tabulka2[[#This Row],[Pracovník]],DATA!A:L,11,0),"")</f>
        <v>DSC 1</v>
      </c>
      <c r="J169" s="16"/>
      <c r="K169" s="19"/>
    </row>
    <row r="170" spans="1:11" x14ac:dyDescent="0.25">
      <c r="A1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0" s="22">
        <v>45924</v>
      </c>
      <c r="C170" s="16" t="s">
        <v>28</v>
      </c>
      <c r="D170" s="16" t="s">
        <v>822</v>
      </c>
      <c r="E170" s="17">
        <f>IFERROR(VLOOKUP(Tabulka2[[#This Row],[Pracovník]],DATA!A:L,5,0),"")</f>
        <v>5980</v>
      </c>
      <c r="F170" s="12" t="s">
        <v>640</v>
      </c>
      <c r="G170" s="16"/>
      <c r="H170" s="18"/>
      <c r="I170" s="27" t="str">
        <f>IFERROR(VLOOKUP(Tabulka2[[#This Row],[Pracovník]],DATA!A:L,11,0),"")</f>
        <v>DSC 2</v>
      </c>
      <c r="J170" s="16"/>
      <c r="K170" s="19"/>
    </row>
    <row r="171" spans="1:11" x14ac:dyDescent="0.25">
      <c r="A1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1" s="15">
        <v>45924</v>
      </c>
      <c r="C171" s="16" t="s">
        <v>28</v>
      </c>
      <c r="D171" s="16" t="s">
        <v>823</v>
      </c>
      <c r="E171" s="17">
        <f>IFERROR(VLOOKUP(Tabulka2[[#This Row],[Pracovník]],DATA!A:L,5,0),"")</f>
        <v>5481</v>
      </c>
      <c r="F171" s="12" t="s">
        <v>640</v>
      </c>
      <c r="G171" s="16"/>
      <c r="H171" s="18"/>
      <c r="I171" s="27" t="str">
        <f>IFERROR(VLOOKUP(Tabulka2[[#This Row],[Pracovník]],DATA!A:L,11,0),"")</f>
        <v>DSC 2</v>
      </c>
      <c r="J171" s="16"/>
      <c r="K171" s="19"/>
    </row>
    <row r="172" spans="1:11" x14ac:dyDescent="0.25">
      <c r="A1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2" s="22">
        <v>45924</v>
      </c>
      <c r="C172" s="16" t="s">
        <v>28</v>
      </c>
      <c r="D172" s="16" t="s">
        <v>824</v>
      </c>
      <c r="E172" s="17">
        <f>IFERROR(VLOOKUP(Tabulka2[[#This Row],[Pracovník]],DATA!A:L,5,0),"")</f>
        <v>150</v>
      </c>
      <c r="F172" s="12" t="s">
        <v>653</v>
      </c>
      <c r="G172" s="16" t="s">
        <v>657</v>
      </c>
      <c r="H172" s="18"/>
      <c r="I172" s="27" t="str">
        <f>IFERROR(VLOOKUP(Tabulka2[[#This Row],[Pracovník]],DATA!A:L,11,0),"")</f>
        <v>DSC 1</v>
      </c>
      <c r="J172" s="16"/>
      <c r="K172" s="19"/>
    </row>
    <row r="173" spans="1:11" x14ac:dyDescent="0.25">
      <c r="A1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3" s="15">
        <v>45924</v>
      </c>
      <c r="C173" s="16" t="s">
        <v>28</v>
      </c>
      <c r="D173" s="16" t="s">
        <v>826</v>
      </c>
      <c r="E173" s="17">
        <f>IFERROR(VLOOKUP(Tabulka2[[#This Row],[Pracovník]],DATA!A:L,5,0),"")</f>
        <v>5120</v>
      </c>
      <c r="F173" s="12" t="s">
        <v>655</v>
      </c>
      <c r="G173" s="16"/>
      <c r="H173" s="18"/>
      <c r="I173" s="27" t="str">
        <f>IFERROR(VLOOKUP(Tabulka2[[#This Row],[Pracovník]],DATA!A:L,11,0),"")</f>
        <v>Vlastní auto</v>
      </c>
      <c r="J173" s="16"/>
      <c r="K173" s="19"/>
    </row>
    <row r="174" spans="1:11" x14ac:dyDescent="0.25">
      <c r="A1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4" s="22">
        <v>45924</v>
      </c>
      <c r="C174" s="16" t="s">
        <v>28</v>
      </c>
      <c r="D174" s="16" t="s">
        <v>827</v>
      </c>
      <c r="E174" s="17">
        <f>IFERROR(VLOOKUP(Tabulka2[[#This Row],[Pracovník]],DATA!A:L,5,0),"")</f>
        <v>4713</v>
      </c>
      <c r="F174" s="12" t="s">
        <v>640</v>
      </c>
      <c r="G174" s="16"/>
      <c r="H174" s="18"/>
      <c r="I174" s="27" t="str">
        <f>IFERROR(VLOOKUP(Tabulka2[[#This Row],[Pracovník]],DATA!A:L,11,0),"")</f>
        <v>DSC 1</v>
      </c>
      <c r="J174" s="16"/>
      <c r="K174" s="19"/>
    </row>
    <row r="175" spans="1:11" x14ac:dyDescent="0.25">
      <c r="A1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5" s="22">
        <v>45924</v>
      </c>
      <c r="C175" s="16" t="s">
        <v>28</v>
      </c>
      <c r="D175" s="16" t="s">
        <v>828</v>
      </c>
      <c r="E175" s="17">
        <f>IFERROR(VLOOKUP(Tabulka2[[#This Row],[Pracovník]],DATA!A:L,5,0),"")</f>
        <v>6318</v>
      </c>
      <c r="F175" s="12" t="s">
        <v>655</v>
      </c>
      <c r="G175" s="16"/>
      <c r="H175" s="18"/>
      <c r="I175" s="27" t="str">
        <f>IFERROR(VLOOKUP(Tabulka2[[#This Row],[Pracovník]],DATA!A:L,11,0),"")</f>
        <v>DSC 1</v>
      </c>
      <c r="J175" s="16"/>
      <c r="K175" s="19"/>
    </row>
    <row r="176" spans="1:11" x14ac:dyDescent="0.25">
      <c r="A1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6" s="15">
        <v>45924</v>
      </c>
      <c r="C176" s="16" t="s">
        <v>28</v>
      </c>
      <c r="D176" s="16" t="s">
        <v>829</v>
      </c>
      <c r="E176" s="17">
        <f>IFERROR(VLOOKUP(Tabulka2[[#This Row],[Pracovník]],DATA!A:L,5,0),"")</f>
        <v>5712</v>
      </c>
      <c r="F176" s="12" t="s">
        <v>655</v>
      </c>
      <c r="G176" s="16"/>
      <c r="H176" s="18"/>
      <c r="I176" s="27" t="str">
        <f>IFERROR(VLOOKUP(Tabulka2[[#This Row],[Pracovník]],DATA!A:L,11,0),"")</f>
        <v>Vlastní auto</v>
      </c>
      <c r="J176" s="16"/>
      <c r="K176" s="19"/>
    </row>
    <row r="177" spans="1:11" x14ac:dyDescent="0.25">
      <c r="A1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7" s="22">
        <v>45924</v>
      </c>
      <c r="C177" s="16" t="s">
        <v>28</v>
      </c>
      <c r="D177" s="16" t="s">
        <v>830</v>
      </c>
      <c r="E177" s="17">
        <f>IFERROR(VLOOKUP(Tabulka2[[#This Row],[Pracovník]],DATA!A:L,5,0),"")</f>
        <v>4744</v>
      </c>
      <c r="F177" s="12" t="s">
        <v>654</v>
      </c>
      <c r="G177" s="16"/>
      <c r="H177" s="18"/>
      <c r="I177" s="27" t="str">
        <f>IFERROR(VLOOKUP(Tabulka2[[#This Row],[Pracovník]],DATA!A:L,11,0),"")</f>
        <v>DSC 2</v>
      </c>
      <c r="J177" s="16"/>
      <c r="K177" s="19"/>
    </row>
    <row r="178" spans="1:11" x14ac:dyDescent="0.25">
      <c r="A1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8" s="15">
        <v>45924</v>
      </c>
      <c r="C178" s="16" t="s">
        <v>28</v>
      </c>
      <c r="D178" s="16" t="s">
        <v>998</v>
      </c>
      <c r="E178" s="17">
        <f>IFERROR(VLOOKUP(Tabulka2[[#This Row],[Pracovník]],DATA!A:L,5,0),"")</f>
        <v>4555</v>
      </c>
      <c r="F178" s="12" t="s">
        <v>655</v>
      </c>
      <c r="G178" s="16"/>
      <c r="H178" s="18"/>
      <c r="I178" s="27" t="str">
        <f>IFERROR(VLOOKUP(Tabulka2[[#This Row],[Pracovník]],DATA!A:L,11,0),"")</f>
        <v>Vlastní auto</v>
      </c>
      <c r="J178" s="16"/>
      <c r="K178" s="19"/>
    </row>
    <row r="179" spans="1:11" x14ac:dyDescent="0.25">
      <c r="A1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9" s="22">
        <v>45924</v>
      </c>
      <c r="C179" s="16" t="s">
        <v>28</v>
      </c>
      <c r="D179" s="16" t="s">
        <v>831</v>
      </c>
      <c r="E179" s="17">
        <f>IFERROR(VLOOKUP(Tabulka2[[#This Row],[Pracovník]],DATA!A:L,5,0),"")</f>
        <v>155</v>
      </c>
      <c r="F179" s="12" t="s">
        <v>654</v>
      </c>
      <c r="G179" s="16"/>
      <c r="H179" s="18"/>
      <c r="I179" s="27" t="str">
        <f>IFERROR(VLOOKUP(Tabulka2[[#This Row],[Pracovník]],DATA!A:L,11,0),"")</f>
        <v>DSC 1</v>
      </c>
      <c r="J179" s="16"/>
      <c r="K179" s="19"/>
    </row>
    <row r="180" spans="1:11" x14ac:dyDescent="0.25">
      <c r="A1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0" s="15">
        <v>45924</v>
      </c>
      <c r="C180" s="16" t="s">
        <v>28</v>
      </c>
      <c r="D180" s="16" t="s">
        <v>833</v>
      </c>
      <c r="E180" s="17">
        <f>IFERROR(VLOOKUP(Tabulka2[[#This Row],[Pracovník]],DATA!A:L,5,0),"")</f>
        <v>6178</v>
      </c>
      <c r="F180" s="12" t="s">
        <v>655</v>
      </c>
      <c r="G180" s="16"/>
      <c r="H180" s="18"/>
      <c r="I180" s="27" t="str">
        <f>IFERROR(VLOOKUP(Tabulka2[[#This Row],[Pracovník]],DATA!A:L,11,0),"")</f>
        <v>DSC 2</v>
      </c>
      <c r="J180" s="16"/>
      <c r="K180" s="19"/>
    </row>
    <row r="181" spans="1:11" x14ac:dyDescent="0.25">
      <c r="A1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1" s="22">
        <v>45924</v>
      </c>
      <c r="C181" s="16" t="s">
        <v>28</v>
      </c>
      <c r="D181" s="16" t="s">
        <v>834</v>
      </c>
      <c r="E181" s="17">
        <f>IFERROR(VLOOKUP(Tabulka2[[#This Row],[Pracovník]],DATA!A:L,5,0),"")</f>
        <v>6345</v>
      </c>
      <c r="F181" s="12" t="s">
        <v>654</v>
      </c>
      <c r="G181" s="16"/>
      <c r="H181" s="18"/>
      <c r="I181" s="27" t="str">
        <f>IFERROR(VLOOKUP(Tabulka2[[#This Row],[Pracovník]],DATA!A:L,11,0),"")</f>
        <v>DSC 1</v>
      </c>
      <c r="J181" s="16"/>
      <c r="K181" s="19" t="s">
        <v>999</v>
      </c>
    </row>
    <row r="182" spans="1:11" x14ac:dyDescent="0.25">
      <c r="A1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2" s="15">
        <v>45924</v>
      </c>
      <c r="C182" s="16" t="s">
        <v>28</v>
      </c>
      <c r="D182" s="16" t="s">
        <v>835</v>
      </c>
      <c r="E182" s="17">
        <f>IFERROR(VLOOKUP(Tabulka2[[#This Row],[Pracovník]],DATA!A:L,5,0),"")</f>
        <v>5601</v>
      </c>
      <c r="F182" s="12" t="s">
        <v>654</v>
      </c>
      <c r="G182" s="16"/>
      <c r="H182" s="18"/>
      <c r="I182" s="27" t="str">
        <f>IFERROR(VLOOKUP(Tabulka2[[#This Row],[Pracovník]],DATA!A:L,11,0),"")</f>
        <v>DSC 2</v>
      </c>
      <c r="J182" s="16"/>
      <c r="K182" s="19"/>
    </row>
    <row r="183" spans="1:11" x14ac:dyDescent="0.25">
      <c r="A1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3" s="22">
        <v>45924</v>
      </c>
      <c r="C183" s="16" t="s">
        <v>28</v>
      </c>
      <c r="D183" s="16" t="s">
        <v>836</v>
      </c>
      <c r="E183" s="17">
        <f>IFERROR(VLOOKUP(Tabulka2[[#This Row],[Pracovník]],DATA!A:L,5,0),"")</f>
        <v>5152</v>
      </c>
      <c r="F183" s="12" t="s">
        <v>655</v>
      </c>
      <c r="G183" s="16"/>
      <c r="H183" s="18"/>
      <c r="I183" s="27" t="str">
        <f>IFERROR(VLOOKUP(Tabulka2[[#This Row],[Pracovník]],DATA!A:L,11,0),"")</f>
        <v>Vlastní auto</v>
      </c>
      <c r="J183" s="16"/>
      <c r="K183" s="19"/>
    </row>
    <row r="184" spans="1:11" x14ac:dyDescent="0.25">
      <c r="A1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4" s="15">
        <v>45924</v>
      </c>
      <c r="C184" s="16" t="s">
        <v>28</v>
      </c>
      <c r="D184" s="16" t="s">
        <v>837</v>
      </c>
      <c r="E184" s="17">
        <f>IFERROR(VLOOKUP(Tabulka2[[#This Row],[Pracovník]],DATA!A:L,5,0),"")</f>
        <v>176</v>
      </c>
      <c r="F184" s="12" t="s">
        <v>654</v>
      </c>
      <c r="G184" s="16"/>
      <c r="H184" s="18"/>
      <c r="I184" s="27" t="str">
        <f>IFERROR(VLOOKUP(Tabulka2[[#This Row],[Pracovník]],DATA!A:L,11,0),"")</f>
        <v>Vlastní auto</v>
      </c>
      <c r="J184" s="16"/>
      <c r="K184" s="19"/>
    </row>
    <row r="185" spans="1:11" x14ac:dyDescent="0.25">
      <c r="A1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5" s="22">
        <v>45924</v>
      </c>
      <c r="C185" s="16" t="s">
        <v>28</v>
      </c>
      <c r="D185" s="16" t="s">
        <v>839</v>
      </c>
      <c r="E185" s="17">
        <f>IFERROR(VLOOKUP(Tabulka2[[#This Row],[Pracovník]],DATA!A:L,5,0),"")</f>
        <v>177</v>
      </c>
      <c r="F185" s="12" t="s">
        <v>640</v>
      </c>
      <c r="G185" s="16"/>
      <c r="H185" s="18"/>
      <c r="I185" s="27" t="str">
        <f>IFERROR(VLOOKUP(Tabulka2[[#This Row],[Pracovník]],DATA!A:L,11,0),"")</f>
        <v>DSC 2</v>
      </c>
      <c r="J185" s="16"/>
      <c r="K185" s="19"/>
    </row>
    <row r="186" spans="1:11" x14ac:dyDescent="0.25">
      <c r="A1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6" s="22">
        <v>45924</v>
      </c>
      <c r="C186" s="16" t="s">
        <v>28</v>
      </c>
      <c r="D186" s="16" t="s">
        <v>840</v>
      </c>
      <c r="E186" s="17">
        <f>IFERROR(VLOOKUP(Tabulka2[[#This Row],[Pracovník]],DATA!A:L,5,0),"")</f>
        <v>5555</v>
      </c>
      <c r="F186" s="12" t="s">
        <v>640</v>
      </c>
      <c r="G186" s="16"/>
      <c r="H186" s="18"/>
      <c r="I186" s="27" t="str">
        <f>IFERROR(VLOOKUP(Tabulka2[[#This Row],[Pracovník]],DATA!A:L,11,0),"")</f>
        <v>Vlastní auto</v>
      </c>
      <c r="J186" s="16"/>
      <c r="K186" s="19"/>
    </row>
    <row r="187" spans="1:11" x14ac:dyDescent="0.25">
      <c r="A1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7" s="15">
        <v>45924</v>
      </c>
      <c r="C187" s="16" t="s">
        <v>28</v>
      </c>
      <c r="D187" s="16" t="s">
        <v>841</v>
      </c>
      <c r="E187" s="17">
        <f>IFERROR(VLOOKUP(Tabulka2[[#This Row],[Pracovník]],DATA!A:L,5,0),"")</f>
        <v>4959</v>
      </c>
      <c r="F187" s="12" t="s">
        <v>640</v>
      </c>
      <c r="G187" s="16"/>
      <c r="H187" s="18"/>
      <c r="I187" s="27" t="str">
        <f>IFERROR(VLOOKUP(Tabulka2[[#This Row],[Pracovník]],DATA!A:L,11,0),"")</f>
        <v>Vlastní auto</v>
      </c>
      <c r="J187" s="16"/>
      <c r="K187" s="19"/>
    </row>
    <row r="188" spans="1:11" x14ac:dyDescent="0.25">
      <c r="A1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8" s="22">
        <v>45924</v>
      </c>
      <c r="C188" s="16" t="s">
        <v>28</v>
      </c>
      <c r="D188" s="16" t="s">
        <v>843</v>
      </c>
      <c r="E188" s="17">
        <f>IFERROR(VLOOKUP(Tabulka2[[#This Row],[Pracovník]],DATA!A:L,5,0),"")</f>
        <v>4919</v>
      </c>
      <c r="F188" s="12" t="s">
        <v>655</v>
      </c>
      <c r="G188" s="16"/>
      <c r="H188" s="18"/>
      <c r="I188" s="27" t="str">
        <f>IFERROR(VLOOKUP(Tabulka2[[#This Row],[Pracovník]],DATA!A:L,11,0),"")</f>
        <v>Vlastní auto</v>
      </c>
      <c r="J188" s="16"/>
      <c r="K188" s="19"/>
    </row>
    <row r="189" spans="1:11" x14ac:dyDescent="0.25">
      <c r="A1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9" s="15">
        <v>45924</v>
      </c>
      <c r="C189" s="16" t="s">
        <v>28</v>
      </c>
      <c r="D189" s="16" t="s">
        <v>842</v>
      </c>
      <c r="E189" s="17">
        <f>IFERROR(VLOOKUP(Tabulka2[[#This Row],[Pracovník]],DATA!A:L,5,0),"")</f>
        <v>4724</v>
      </c>
      <c r="F189" s="12" t="s">
        <v>655</v>
      </c>
      <c r="G189" s="16"/>
      <c r="H189" s="18"/>
      <c r="I189" s="27" t="str">
        <f>IFERROR(VLOOKUP(Tabulka2[[#This Row],[Pracovník]],DATA!A:L,11,0),"")</f>
        <v>Vlastní auto</v>
      </c>
      <c r="J189" s="16"/>
      <c r="K189" s="19"/>
    </row>
    <row r="190" spans="1:11" x14ac:dyDescent="0.25">
      <c r="A1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0" s="22">
        <v>45924</v>
      </c>
      <c r="C190" s="16" t="s">
        <v>28</v>
      </c>
      <c r="D190" s="16" t="s">
        <v>844</v>
      </c>
      <c r="E190" s="17">
        <f>IFERROR(VLOOKUP(Tabulka2[[#This Row],[Pracovník]],DATA!A:L,5,0),"")</f>
        <v>183</v>
      </c>
      <c r="F190" s="12" t="s">
        <v>654</v>
      </c>
      <c r="G190" s="16"/>
      <c r="H190" s="18"/>
      <c r="I190" s="27" t="str">
        <f>IFERROR(VLOOKUP(Tabulka2[[#This Row],[Pracovník]],DATA!A:L,11,0),"")</f>
        <v>DSC 1</v>
      </c>
      <c r="J190" s="16"/>
      <c r="K190" s="19"/>
    </row>
    <row r="191" spans="1:11" x14ac:dyDescent="0.25">
      <c r="A1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1" s="15">
        <v>45924</v>
      </c>
      <c r="C191" s="16" t="s">
        <v>28</v>
      </c>
      <c r="D191" s="16" t="s">
        <v>845</v>
      </c>
      <c r="E191" s="17">
        <f>IFERROR(VLOOKUP(Tabulka2[[#This Row],[Pracovník]],DATA!A:L,5,0),"")</f>
        <v>5545</v>
      </c>
      <c r="F191" s="12" t="s">
        <v>640</v>
      </c>
      <c r="G191" s="16"/>
      <c r="H191" s="18"/>
      <c r="I191" s="27" t="str">
        <f>IFERROR(VLOOKUP(Tabulka2[[#This Row],[Pracovník]],DATA!A:L,11,0),"")</f>
        <v>Vlastní auto</v>
      </c>
      <c r="J191" s="16"/>
      <c r="K191" s="19"/>
    </row>
    <row r="192" spans="1:11" x14ac:dyDescent="0.25">
      <c r="A1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2" s="22">
        <v>45924</v>
      </c>
      <c r="C192" s="16" t="s">
        <v>28</v>
      </c>
      <c r="D192" s="16" t="s">
        <v>846</v>
      </c>
      <c r="E192" s="17">
        <f>IFERROR(VLOOKUP(Tabulka2[[#This Row],[Pracovník]],DATA!A:L,5,0),"")</f>
        <v>5526</v>
      </c>
      <c r="F192" s="12" t="s">
        <v>655</v>
      </c>
      <c r="G192" s="16"/>
      <c r="H192" s="18"/>
      <c r="I192" s="27" t="str">
        <f>IFERROR(VLOOKUP(Tabulka2[[#This Row],[Pracovník]],DATA!A:L,11,0),"")</f>
        <v>Vlastní auto</v>
      </c>
      <c r="J192" s="16"/>
      <c r="K192" s="19"/>
    </row>
    <row r="193" spans="1:11" x14ac:dyDescent="0.25">
      <c r="A1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3" s="15">
        <v>45924</v>
      </c>
      <c r="C193" s="16" t="s">
        <v>28</v>
      </c>
      <c r="D193" s="16" t="s">
        <v>847</v>
      </c>
      <c r="E193" s="17">
        <f>IFERROR(VLOOKUP(Tabulka2[[#This Row],[Pracovník]],DATA!A:L,5,0),"")</f>
        <v>5192</v>
      </c>
      <c r="F193" s="12" t="s">
        <v>655</v>
      </c>
      <c r="G193" s="16"/>
      <c r="H193" s="18"/>
      <c r="I193" s="27" t="str">
        <f>IFERROR(VLOOKUP(Tabulka2[[#This Row],[Pracovník]],DATA!A:L,11,0),"")</f>
        <v>Vlastní auto</v>
      </c>
      <c r="J193" s="16"/>
      <c r="K193" s="19"/>
    </row>
    <row r="194" spans="1:11" x14ac:dyDescent="0.25">
      <c r="A1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4" s="22">
        <v>45924</v>
      </c>
      <c r="C194" s="16" t="s">
        <v>28</v>
      </c>
      <c r="D194" s="16" t="s">
        <v>848</v>
      </c>
      <c r="E194" s="17">
        <f>IFERROR(VLOOKUP(Tabulka2[[#This Row],[Pracovník]],DATA!A:L,5,0),"")</f>
        <v>4698</v>
      </c>
      <c r="F194" s="12" t="s">
        <v>655</v>
      </c>
      <c r="G194" s="16"/>
      <c r="H194" s="18"/>
      <c r="I194" s="27" t="str">
        <f>IFERROR(VLOOKUP(Tabulka2[[#This Row],[Pracovník]],DATA!A:L,11,0),"")</f>
        <v>Vlastní auto</v>
      </c>
      <c r="J194" s="16"/>
      <c r="K194" s="19"/>
    </row>
    <row r="195" spans="1:11" x14ac:dyDescent="0.25">
      <c r="A1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5" s="15">
        <v>45924</v>
      </c>
      <c r="C195" s="16" t="s">
        <v>28</v>
      </c>
      <c r="D195" s="16" t="s">
        <v>849</v>
      </c>
      <c r="E195" s="17">
        <f>IFERROR(VLOOKUP(Tabulka2[[#This Row],[Pracovník]],DATA!A:L,5,0),"")</f>
        <v>4611</v>
      </c>
      <c r="F195" s="12" t="s">
        <v>640</v>
      </c>
      <c r="G195" s="16"/>
      <c r="H195" s="18"/>
      <c r="I195" s="27" t="str">
        <f>IFERROR(VLOOKUP(Tabulka2[[#This Row],[Pracovník]],DATA!A:L,11,0),"")</f>
        <v>DSC 1</v>
      </c>
      <c r="J195" s="16"/>
      <c r="K195" s="19"/>
    </row>
    <row r="196" spans="1:11" x14ac:dyDescent="0.25">
      <c r="A1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6" s="22">
        <v>45924</v>
      </c>
      <c r="C196" s="16" t="s">
        <v>28</v>
      </c>
      <c r="D196" s="16" t="s">
        <v>850</v>
      </c>
      <c r="E196" s="17">
        <f>IFERROR(VLOOKUP(Tabulka2[[#This Row],[Pracovník]],DATA!A:L,5,0),"")</f>
        <v>5069</v>
      </c>
      <c r="F196" s="12" t="s">
        <v>640</v>
      </c>
      <c r="G196" s="16"/>
      <c r="H196" s="18"/>
      <c r="I196" s="27" t="str">
        <f>IFERROR(VLOOKUP(Tabulka2[[#This Row],[Pracovník]],DATA!A:L,11,0),"")</f>
        <v>Vlastní auto</v>
      </c>
      <c r="J196" s="16"/>
      <c r="K196" s="19"/>
    </row>
    <row r="197" spans="1:11" x14ac:dyDescent="0.25">
      <c r="A1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7" s="22">
        <v>45924</v>
      </c>
      <c r="C197" s="16" t="s">
        <v>28</v>
      </c>
      <c r="D197" s="16" t="s">
        <v>851</v>
      </c>
      <c r="E197" s="17">
        <f>IFERROR(VLOOKUP(Tabulka2[[#This Row],[Pracovník]],DATA!A:L,5,0),"")</f>
        <v>185</v>
      </c>
      <c r="F197" s="12" t="s">
        <v>654</v>
      </c>
      <c r="G197" s="16"/>
      <c r="H197" s="18"/>
      <c r="I197" s="27" t="str">
        <f>IFERROR(VLOOKUP(Tabulka2[[#This Row],[Pracovník]],DATA!A:L,11,0),"")</f>
        <v>DSC 1</v>
      </c>
      <c r="J197" s="16"/>
      <c r="K197" s="19"/>
    </row>
    <row r="198" spans="1:11" x14ac:dyDescent="0.25">
      <c r="A1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8" s="15">
        <v>45924</v>
      </c>
      <c r="C198" s="16" t="s">
        <v>28</v>
      </c>
      <c r="D198" s="16" t="s">
        <v>852</v>
      </c>
      <c r="E198" s="17">
        <f>IFERROR(VLOOKUP(Tabulka2[[#This Row],[Pracovník]],DATA!A:L,5,0),"")</f>
        <v>6388</v>
      </c>
      <c r="F198" s="12" t="s">
        <v>655</v>
      </c>
      <c r="G198" s="16"/>
      <c r="H198" s="18"/>
      <c r="I198" s="27" t="str">
        <f>IFERROR(VLOOKUP(Tabulka2[[#This Row],[Pracovník]],DATA!A:L,11,0),"")</f>
        <v>Vlastní auto</v>
      </c>
      <c r="J198" s="16"/>
      <c r="K198" s="19"/>
    </row>
    <row r="199" spans="1:11" x14ac:dyDescent="0.25">
      <c r="A1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9" s="22">
        <v>45924</v>
      </c>
      <c r="C199" s="16" t="s">
        <v>28</v>
      </c>
      <c r="D199" s="16" t="s">
        <v>854</v>
      </c>
      <c r="E199" s="17">
        <f>IFERROR(VLOOKUP(Tabulka2[[#This Row],[Pracovník]],DATA!A:L,5,0),"")</f>
        <v>5720</v>
      </c>
      <c r="F199" s="12" t="s">
        <v>640</v>
      </c>
      <c r="G199" s="16"/>
      <c r="H199" s="18"/>
      <c r="I199" s="27" t="str">
        <f>IFERROR(VLOOKUP(Tabulka2[[#This Row],[Pracovník]],DATA!A:L,11,0),"")</f>
        <v>DSC 2</v>
      </c>
      <c r="J199" s="16"/>
      <c r="K199" s="19"/>
    </row>
    <row r="200" spans="1:11" x14ac:dyDescent="0.25">
      <c r="A2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00" s="15">
        <v>45924</v>
      </c>
      <c r="C200" s="16" t="s">
        <v>28</v>
      </c>
      <c r="D200" s="16" t="s">
        <v>853</v>
      </c>
      <c r="E200" s="17">
        <f>IFERROR(VLOOKUP(Tabulka2[[#This Row],[Pracovník]],DATA!A:L,5,0),"")</f>
        <v>5722</v>
      </c>
      <c r="F200" s="12" t="s">
        <v>640</v>
      </c>
      <c r="G200" s="16"/>
      <c r="H200" s="18"/>
      <c r="I200" s="27" t="str">
        <f>IFERROR(VLOOKUP(Tabulka2[[#This Row],[Pracovník]],DATA!A:L,11,0),"")</f>
        <v>DSC 2</v>
      </c>
      <c r="J200" s="16"/>
      <c r="K200" s="19"/>
    </row>
    <row r="201" spans="1:11" x14ac:dyDescent="0.25">
      <c r="A2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01" s="22">
        <v>45924</v>
      </c>
      <c r="C201" s="16" t="s">
        <v>28</v>
      </c>
      <c r="D201" s="16" t="s">
        <v>855</v>
      </c>
      <c r="E201" s="17">
        <f>IFERROR(VLOOKUP(Tabulka2[[#This Row],[Pracovník]],DATA!A:L,5,0),"")</f>
        <v>6180</v>
      </c>
      <c r="F201" s="12" t="s">
        <v>654</v>
      </c>
      <c r="G201" s="16"/>
      <c r="H201" s="18"/>
      <c r="I201" s="27" t="str">
        <f>IFERROR(VLOOKUP(Tabulka2[[#This Row],[Pracovník]],DATA!A:L,11,0),"")</f>
        <v>DSC 2</v>
      </c>
      <c r="J201" s="16"/>
      <c r="K201" s="19"/>
    </row>
    <row r="202" spans="1:11" x14ac:dyDescent="0.25">
      <c r="A2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02" s="15">
        <v>45924</v>
      </c>
      <c r="C202" s="16" t="s">
        <v>28</v>
      </c>
      <c r="D202" s="16" t="s">
        <v>856</v>
      </c>
      <c r="E202" s="17">
        <f>IFERROR(VLOOKUP(Tabulka2[[#This Row],[Pracovník]],DATA!A:L,5,0),"")</f>
        <v>4423</v>
      </c>
      <c r="F202" s="12" t="s">
        <v>654</v>
      </c>
      <c r="G202" s="16"/>
      <c r="H202" s="18"/>
      <c r="I202" s="27" t="str">
        <f>IFERROR(VLOOKUP(Tabulka2[[#This Row],[Pracovník]],DATA!A:L,11,0),"")</f>
        <v>DSC 1</v>
      </c>
      <c r="J202" s="16"/>
      <c r="K202" s="19"/>
    </row>
    <row r="203" spans="1:11" x14ac:dyDescent="0.25">
      <c r="A2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03" s="22">
        <v>45924</v>
      </c>
      <c r="C203" s="16" t="s">
        <v>28</v>
      </c>
      <c r="D203" s="16" t="s">
        <v>857</v>
      </c>
      <c r="E203" s="17">
        <f>IFERROR(VLOOKUP(Tabulka2[[#This Row],[Pracovník]],DATA!A:L,5,0),"")</f>
        <v>5036</v>
      </c>
      <c r="F203" s="12" t="s">
        <v>655</v>
      </c>
      <c r="G203" s="16"/>
      <c r="H203" s="18"/>
      <c r="I203" s="27" t="str">
        <f>IFERROR(VLOOKUP(Tabulka2[[#This Row],[Pracovník]],DATA!A:L,11,0),"")</f>
        <v>Vlastní auto</v>
      </c>
      <c r="J203" s="16"/>
      <c r="K203" s="19"/>
    </row>
    <row r="204" spans="1:11" x14ac:dyDescent="0.25">
      <c r="A2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04" s="15">
        <v>45924</v>
      </c>
      <c r="C204" s="16" t="s">
        <v>28</v>
      </c>
      <c r="D204" s="16" t="s">
        <v>838</v>
      </c>
      <c r="E204" s="17">
        <f>IFERROR(VLOOKUP(Tabulka2[[#This Row],[Pracovník]],DATA!A:L,5,0),"")</f>
        <v>4899</v>
      </c>
      <c r="F204" s="12" t="s">
        <v>654</v>
      </c>
      <c r="G204" s="16"/>
      <c r="H204" s="18"/>
      <c r="I204" s="27" t="str">
        <f>IFERROR(VLOOKUP(Tabulka2[[#This Row],[Pracovník]],DATA!A:L,11,0),"")</f>
        <v>DSC 1</v>
      </c>
      <c r="J204" s="16"/>
      <c r="K204" s="19"/>
    </row>
    <row r="205" spans="1:11" x14ac:dyDescent="0.25">
      <c r="A2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05" s="22">
        <v>45925</v>
      </c>
      <c r="C205" s="16" t="s">
        <v>25</v>
      </c>
      <c r="D205" s="16" t="s">
        <v>679</v>
      </c>
      <c r="E205" s="17">
        <f>IFERROR(VLOOKUP(Tabulka2[[#This Row],[Pracovník]],DATA!A:L,5,0),"")</f>
        <v>5777</v>
      </c>
      <c r="F205" s="12" t="s">
        <v>654</v>
      </c>
      <c r="G205" s="16"/>
      <c r="H205" s="18"/>
      <c r="I205" s="27" t="str">
        <f>IFERROR(VLOOKUP(Tabulka2[[#This Row],[Pracovník]],DATA!A:L,11,0),"")</f>
        <v>BATZ 2</v>
      </c>
      <c r="J205" s="16"/>
      <c r="K205" s="19"/>
    </row>
    <row r="206" spans="1:11" x14ac:dyDescent="0.25">
      <c r="A2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06" s="22">
        <v>45925</v>
      </c>
      <c r="C206" s="16" t="s">
        <v>25</v>
      </c>
      <c r="D206" s="23" t="s">
        <v>680</v>
      </c>
      <c r="E206" s="17">
        <f>IFERROR(VLOOKUP(Tabulka2[[#This Row],[Pracovník]],DATA!A:L,5,0),"")</f>
        <v>4838</v>
      </c>
      <c r="F206" s="24" t="s">
        <v>655</v>
      </c>
      <c r="G206" s="16"/>
      <c r="H206" s="18"/>
      <c r="I206" s="27" t="str">
        <f>IFERROR(VLOOKUP(Tabulka2[[#This Row],[Pracovník]],DATA!A:L,11,0),"")</f>
        <v>BATZ 2</v>
      </c>
      <c r="J206" s="16"/>
      <c r="K206" s="19"/>
    </row>
    <row r="207" spans="1:11" x14ac:dyDescent="0.25">
      <c r="A2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07" s="22">
        <v>45925</v>
      </c>
      <c r="C207" s="16" t="s">
        <v>25</v>
      </c>
      <c r="D207" s="16" t="s">
        <v>681</v>
      </c>
      <c r="E207" s="17">
        <f>IFERROR(VLOOKUP(Tabulka2[[#This Row],[Pracovník]],DATA!A:L,5,0),"")</f>
        <v>4599</v>
      </c>
      <c r="F207" s="12" t="s">
        <v>654</v>
      </c>
      <c r="G207" s="16"/>
      <c r="H207" s="18"/>
      <c r="I207" s="27" t="str">
        <f>IFERROR(VLOOKUP(Tabulka2[[#This Row],[Pracovník]],DATA!A:L,11,0),"")</f>
        <v>BATZ 1</v>
      </c>
      <c r="J207" s="16"/>
      <c r="K207" s="19"/>
    </row>
    <row r="208" spans="1:11" x14ac:dyDescent="0.25">
      <c r="A2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08" s="22">
        <v>45925</v>
      </c>
      <c r="C208" s="16" t="s">
        <v>25</v>
      </c>
      <c r="D208" s="16" t="s">
        <v>682</v>
      </c>
      <c r="E208" s="17">
        <f>IFERROR(VLOOKUP(Tabulka2[[#This Row],[Pracovník]],DATA!A:L,5,0),"")</f>
        <v>6566</v>
      </c>
      <c r="F208" s="12" t="s">
        <v>655</v>
      </c>
      <c r="G208" s="16"/>
      <c r="H208" s="18"/>
      <c r="I208" s="27" t="str">
        <f>IFERROR(VLOOKUP(Tabulka2[[#This Row],[Pracovník]],DATA!A:L,11,0),"")</f>
        <v>BATZ 1</v>
      </c>
      <c r="J208" s="16"/>
      <c r="K208" s="19"/>
    </row>
    <row r="209" spans="1:11" x14ac:dyDescent="0.25">
      <c r="A2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09" s="22">
        <v>45925</v>
      </c>
      <c r="C209" s="16" t="s">
        <v>25</v>
      </c>
      <c r="D209" s="16" t="s">
        <v>683</v>
      </c>
      <c r="E209" s="17">
        <f>IFERROR(VLOOKUP(Tabulka2[[#This Row],[Pracovník]],DATA!A:L,5,0),"")</f>
        <v>5400</v>
      </c>
      <c r="F209" s="12" t="s">
        <v>655</v>
      </c>
      <c r="G209" s="16"/>
      <c r="H209" s="18"/>
      <c r="I209" s="27" t="str">
        <f>IFERROR(VLOOKUP(Tabulka2[[#This Row],[Pracovník]],DATA!A:L,11,0),"")</f>
        <v>BATZ 1</v>
      </c>
      <c r="J209" s="16"/>
      <c r="K209" s="19"/>
    </row>
    <row r="210" spans="1:11" x14ac:dyDescent="0.25">
      <c r="A2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10" s="22">
        <v>45925</v>
      </c>
      <c r="C210" s="16" t="s">
        <v>25</v>
      </c>
      <c r="D210" s="16" t="s">
        <v>684</v>
      </c>
      <c r="E210" s="17">
        <f>IFERROR(VLOOKUP(Tabulka2[[#This Row],[Pracovník]],DATA!A:L,5,0),"")</f>
        <v>5094</v>
      </c>
      <c r="F210" s="12" t="s">
        <v>640</v>
      </c>
      <c r="G210" s="16"/>
      <c r="H210" s="18"/>
      <c r="I210" s="27" t="str">
        <f>IFERROR(VLOOKUP(Tabulka2[[#This Row],[Pracovník]],DATA!A:L,11,0),"")</f>
        <v>BATZ 2</v>
      </c>
      <c r="J210" s="16"/>
      <c r="K210" s="19"/>
    </row>
    <row r="211" spans="1:11" x14ac:dyDescent="0.25">
      <c r="A2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11" s="22">
        <v>45925</v>
      </c>
      <c r="C211" s="16" t="s">
        <v>25</v>
      </c>
      <c r="D211" s="16" t="s">
        <v>685</v>
      </c>
      <c r="E211" s="17">
        <f>IFERROR(VLOOKUP(Tabulka2[[#This Row],[Pracovník]],DATA!A:L,5,0),"")</f>
        <v>6001</v>
      </c>
      <c r="F211" s="12" t="s">
        <v>640</v>
      </c>
      <c r="G211" s="16"/>
      <c r="H211" s="18"/>
      <c r="I211" s="27" t="str">
        <f>IFERROR(VLOOKUP(Tabulka2[[#This Row],[Pracovník]],DATA!A:L,11,0),"")</f>
        <v>BATZ 1</v>
      </c>
      <c r="J211" s="16"/>
      <c r="K211" s="19"/>
    </row>
    <row r="212" spans="1:11" x14ac:dyDescent="0.25">
      <c r="A2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12" s="22">
        <v>45925</v>
      </c>
      <c r="C212" s="16" t="s">
        <v>25</v>
      </c>
      <c r="D212" s="16" t="s">
        <v>686</v>
      </c>
      <c r="E212" s="17">
        <f>IFERROR(VLOOKUP(Tabulka2[[#This Row],[Pracovník]],DATA!A:L,5,0),"")</f>
        <v>6573</v>
      </c>
      <c r="F212" s="12" t="s">
        <v>640</v>
      </c>
      <c r="G212" s="16"/>
      <c r="H212" s="18"/>
      <c r="I212" s="27" t="str">
        <f>IFERROR(VLOOKUP(Tabulka2[[#This Row],[Pracovník]],DATA!A:L,11,0),"")</f>
        <v>BATZ 1</v>
      </c>
      <c r="J212" s="16"/>
      <c r="K212" s="19"/>
    </row>
    <row r="213" spans="1:11" x14ac:dyDescent="0.25">
      <c r="A2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13" s="22">
        <v>45925</v>
      </c>
      <c r="C213" s="16" t="s">
        <v>25</v>
      </c>
      <c r="D213" s="16" t="s">
        <v>687</v>
      </c>
      <c r="E213" s="17">
        <f>IFERROR(VLOOKUP(Tabulka2[[#This Row],[Pracovník]],DATA!A:L,5,0),"")</f>
        <v>5129</v>
      </c>
      <c r="F213" s="12" t="s">
        <v>654</v>
      </c>
      <c r="G213" s="16"/>
      <c r="H213" s="18"/>
      <c r="I213" s="27" t="str">
        <f>IFERROR(VLOOKUP(Tabulka2[[#This Row],[Pracovník]],DATA!A:L,11,0),"")</f>
        <v>BATZ 1</v>
      </c>
      <c r="J213" s="16"/>
      <c r="K213" s="19"/>
    </row>
    <row r="214" spans="1:11" x14ac:dyDescent="0.25">
      <c r="A2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14" s="22">
        <v>45925</v>
      </c>
      <c r="C214" s="16" t="s">
        <v>25</v>
      </c>
      <c r="D214" s="16" t="s">
        <v>688</v>
      </c>
      <c r="E214" s="17">
        <f>IFERROR(VLOOKUP(Tabulka2[[#This Row],[Pracovník]],DATA!A:L,5,0),"")</f>
        <v>5663</v>
      </c>
      <c r="F214" s="12" t="s">
        <v>654</v>
      </c>
      <c r="G214" s="16"/>
      <c r="H214" s="18"/>
      <c r="I214" s="27" t="str">
        <f>IFERROR(VLOOKUP(Tabulka2[[#This Row],[Pracovník]],DATA!A:L,11,0),"")</f>
        <v>BATZ 1</v>
      </c>
      <c r="J214" s="16"/>
      <c r="K214" s="19"/>
    </row>
    <row r="215" spans="1:11" x14ac:dyDescent="0.25">
      <c r="A2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15" s="22">
        <v>45925</v>
      </c>
      <c r="C215" s="16" t="s">
        <v>25</v>
      </c>
      <c r="D215" s="16" t="s">
        <v>690</v>
      </c>
      <c r="E215" s="17">
        <f>IFERROR(VLOOKUP(Tabulka2[[#This Row],[Pracovník]],DATA!A:L,5,0),"")</f>
        <v>4501</v>
      </c>
      <c r="F215" s="12" t="s">
        <v>640</v>
      </c>
      <c r="G215" s="16"/>
      <c r="H215" s="18"/>
      <c r="I215" s="27" t="str">
        <f>IFERROR(VLOOKUP(Tabulka2[[#This Row],[Pracovník]],DATA!A:L,11,0),"")</f>
        <v>BATZ 2</v>
      </c>
      <c r="J215" s="16"/>
      <c r="K215" s="19"/>
    </row>
    <row r="216" spans="1:11" x14ac:dyDescent="0.25">
      <c r="A2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16" s="22">
        <v>45925</v>
      </c>
      <c r="C216" s="16" t="s">
        <v>25</v>
      </c>
      <c r="D216" s="16" t="s">
        <v>689</v>
      </c>
      <c r="E216" s="17">
        <f>IFERROR(VLOOKUP(Tabulka2[[#This Row],[Pracovník]],DATA!A:L,5,0),"")</f>
        <v>4936</v>
      </c>
      <c r="F216" s="12" t="s">
        <v>640</v>
      </c>
      <c r="G216" s="16"/>
      <c r="H216" s="18"/>
      <c r="I216" s="27" t="str">
        <f>IFERROR(VLOOKUP(Tabulka2[[#This Row],[Pracovník]],DATA!A:L,11,0),"")</f>
        <v>BATZ 1</v>
      </c>
      <c r="J216" s="16"/>
      <c r="K216" s="19"/>
    </row>
    <row r="217" spans="1:11" x14ac:dyDescent="0.25">
      <c r="A2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17" s="22">
        <v>45925</v>
      </c>
      <c r="C217" s="16" t="s">
        <v>25</v>
      </c>
      <c r="D217" s="16" t="s">
        <v>695</v>
      </c>
      <c r="E217" s="17">
        <f>IFERROR(VLOOKUP(Tabulka2[[#This Row],[Pracovník]],DATA!A:L,5,0),"")</f>
        <v>3728</v>
      </c>
      <c r="F217" s="12" t="s">
        <v>640</v>
      </c>
      <c r="G217" s="16"/>
      <c r="H217" s="18"/>
      <c r="I217" s="27" t="str">
        <f>IFERROR(VLOOKUP(Tabulka2[[#This Row],[Pracovník]],DATA!A:L,11,0),"")</f>
        <v>BATZ 1</v>
      </c>
      <c r="J217" s="16"/>
      <c r="K217" s="19"/>
    </row>
    <row r="218" spans="1:11" x14ac:dyDescent="0.25">
      <c r="A2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18" s="22">
        <v>45925</v>
      </c>
      <c r="C218" s="16" t="s">
        <v>25</v>
      </c>
      <c r="D218" s="16" t="s">
        <v>691</v>
      </c>
      <c r="E218" s="17">
        <f>IFERROR(VLOOKUP(Tabulka2[[#This Row],[Pracovník]],DATA!A:L,5,0),"")</f>
        <v>4955</v>
      </c>
      <c r="F218" s="12" t="s">
        <v>654</v>
      </c>
      <c r="G218" s="16"/>
      <c r="H218" s="18"/>
      <c r="I218" s="27" t="str">
        <f>IFERROR(VLOOKUP(Tabulka2[[#This Row],[Pracovník]],DATA!A:L,11,0),"")</f>
        <v>BATZ 1</v>
      </c>
      <c r="J218" s="16"/>
      <c r="K218" s="19"/>
    </row>
    <row r="219" spans="1:11" x14ac:dyDescent="0.25">
      <c r="A2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19" s="22">
        <v>45925</v>
      </c>
      <c r="C219" s="16" t="s">
        <v>25</v>
      </c>
      <c r="D219" s="16" t="s">
        <v>692</v>
      </c>
      <c r="E219" s="17">
        <f>IFERROR(VLOOKUP(Tabulka2[[#This Row],[Pracovník]],DATA!A:L,5,0),"")</f>
        <v>6568</v>
      </c>
      <c r="F219" s="12" t="s">
        <v>653</v>
      </c>
      <c r="G219" s="16" t="s">
        <v>656</v>
      </c>
      <c r="H219" s="18"/>
      <c r="I219" s="27" t="str">
        <f>IFERROR(VLOOKUP(Tabulka2[[#This Row],[Pracovník]],DATA!A:L,11,0),"")</f>
        <v>BATZ 2</v>
      </c>
      <c r="J219" s="16"/>
      <c r="K219" s="19" t="s">
        <v>1000</v>
      </c>
    </row>
    <row r="220" spans="1:11" x14ac:dyDescent="0.25">
      <c r="A2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20" s="22">
        <v>45925</v>
      </c>
      <c r="C220" s="16" t="s">
        <v>25</v>
      </c>
      <c r="D220" s="16" t="s">
        <v>693</v>
      </c>
      <c r="E220" s="17">
        <f>IFERROR(VLOOKUP(Tabulka2[[#This Row],[Pracovník]],DATA!A:L,5,0),"")</f>
        <v>3721</v>
      </c>
      <c r="F220" s="12" t="s">
        <v>654</v>
      </c>
      <c r="G220" s="16"/>
      <c r="H220" s="18"/>
      <c r="I220" s="27" t="str">
        <f>IFERROR(VLOOKUP(Tabulka2[[#This Row],[Pracovník]],DATA!A:L,11,0),"")</f>
        <v>BATZ 1</v>
      </c>
      <c r="J220" s="16"/>
      <c r="K220" s="19"/>
    </row>
    <row r="221" spans="1:11" x14ac:dyDescent="0.25">
      <c r="A2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21" s="22">
        <v>45925</v>
      </c>
      <c r="C221" s="16" t="s">
        <v>25</v>
      </c>
      <c r="D221" s="16" t="s">
        <v>694</v>
      </c>
      <c r="E221" s="17">
        <f>IFERROR(VLOOKUP(Tabulka2[[#This Row],[Pracovník]],DATA!A:L,5,0),"")</f>
        <v>6110</v>
      </c>
      <c r="F221" s="12" t="s">
        <v>640</v>
      </c>
      <c r="G221" s="16"/>
      <c r="H221" s="18"/>
      <c r="I221" s="27" t="str">
        <f>IFERROR(VLOOKUP(Tabulka2[[#This Row],[Pracovník]],DATA!A:L,11,0),"")</f>
        <v>BATZ 1</v>
      </c>
      <c r="J221" s="16"/>
      <c r="K221" s="19"/>
    </row>
    <row r="222" spans="1:11" x14ac:dyDescent="0.25">
      <c r="A2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22" s="22">
        <v>45925</v>
      </c>
      <c r="C222" s="16" t="s">
        <v>25</v>
      </c>
      <c r="D222" s="16" t="s">
        <v>696</v>
      </c>
      <c r="E222" s="17">
        <f>IFERROR(VLOOKUP(Tabulka2[[#This Row],[Pracovník]],DATA!A:L,5,0),"")</f>
        <v>0</v>
      </c>
      <c r="F222" s="12" t="s">
        <v>654</v>
      </c>
      <c r="G222" s="16"/>
      <c r="H222" s="18"/>
      <c r="I222" s="27" t="str">
        <f>IFERROR(VLOOKUP(Tabulka2[[#This Row],[Pracovník]],DATA!A:L,11,0),"")</f>
        <v>BATZ 1</v>
      </c>
      <c r="J222" s="16"/>
      <c r="K222" s="19"/>
    </row>
    <row r="223" spans="1:11" x14ac:dyDescent="0.25">
      <c r="A2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23" s="22">
        <v>45925</v>
      </c>
      <c r="C223" s="16" t="s">
        <v>25</v>
      </c>
      <c r="D223" s="16" t="s">
        <v>697</v>
      </c>
      <c r="E223" s="17">
        <f>IFERROR(VLOOKUP(Tabulka2[[#This Row],[Pracovník]],DATA!A:L,5,0),"")</f>
        <v>6330</v>
      </c>
      <c r="F223" s="12" t="s">
        <v>640</v>
      </c>
      <c r="G223" s="16"/>
      <c r="H223" s="18"/>
      <c r="I223" s="27" t="str">
        <f>IFERROR(VLOOKUP(Tabulka2[[#This Row],[Pracovník]],DATA!A:L,11,0),"")</f>
        <v>BATZ 2</v>
      </c>
      <c r="J223" s="16"/>
      <c r="K223" s="19"/>
    </row>
    <row r="224" spans="1:11" x14ac:dyDescent="0.25">
      <c r="A2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24" s="22">
        <v>45925</v>
      </c>
      <c r="C224" s="16" t="s">
        <v>25</v>
      </c>
      <c r="D224" s="16" t="s">
        <v>698</v>
      </c>
      <c r="E224" s="17">
        <f>IFERROR(VLOOKUP(Tabulka2[[#This Row],[Pracovník]],DATA!A:L,5,0),"")</f>
        <v>5828</v>
      </c>
      <c r="F224" s="12" t="s">
        <v>654</v>
      </c>
      <c r="G224" s="16"/>
      <c r="H224" s="18"/>
      <c r="I224" s="27" t="str">
        <f>IFERROR(VLOOKUP(Tabulka2[[#This Row],[Pracovník]],DATA!A:L,11,0),"")</f>
        <v>BATZ 1</v>
      </c>
      <c r="J224" s="16"/>
      <c r="K224" s="19"/>
    </row>
    <row r="225" spans="1:11" x14ac:dyDescent="0.25">
      <c r="A2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25" s="22">
        <v>45925</v>
      </c>
      <c r="C225" s="16" t="s">
        <v>25</v>
      </c>
      <c r="D225" s="16" t="s">
        <v>699</v>
      </c>
      <c r="E225" s="17">
        <f>IFERROR(VLOOKUP(Tabulka2[[#This Row],[Pracovník]],DATA!A:L,5,0),"")</f>
        <v>4775</v>
      </c>
      <c r="F225" s="12" t="s">
        <v>655</v>
      </c>
      <c r="G225" s="16"/>
      <c r="H225" s="18"/>
      <c r="I225" s="27" t="str">
        <f>IFERROR(VLOOKUP(Tabulka2[[#This Row],[Pracovník]],DATA!A:L,11,0),"")</f>
        <v>BATZ 2</v>
      </c>
      <c r="J225" s="16"/>
      <c r="K225" s="19"/>
    </row>
    <row r="226" spans="1:11" x14ac:dyDescent="0.25">
      <c r="A2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26" s="22">
        <v>45925</v>
      </c>
      <c r="C226" s="16" t="s">
        <v>25</v>
      </c>
      <c r="D226" s="16" t="s">
        <v>971</v>
      </c>
      <c r="E226" s="17">
        <f>IFERROR(VLOOKUP(Tabulka2[[#This Row],[Pracovník]],DATA!A:L,5,0),"")</f>
        <v>6551</v>
      </c>
      <c r="F226" s="12" t="s">
        <v>653</v>
      </c>
      <c r="G226" s="16" t="s">
        <v>659</v>
      </c>
      <c r="H226" s="18"/>
      <c r="I226" s="27" t="str">
        <f>IFERROR(VLOOKUP(Tabulka2[[#This Row],[Pracovník]],DATA!A:L,11,0),"")</f>
        <v>BATZ 1</v>
      </c>
      <c r="J226" s="16"/>
      <c r="K226" s="19"/>
    </row>
    <row r="227" spans="1:11" x14ac:dyDescent="0.25">
      <c r="A2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27" s="22">
        <v>45925</v>
      </c>
      <c r="C227" s="16" t="s">
        <v>25</v>
      </c>
      <c r="D227" s="16" t="s">
        <v>700</v>
      </c>
      <c r="E227" s="17">
        <f>IFERROR(VLOOKUP(Tabulka2[[#This Row],[Pracovník]],DATA!A:L,5,0),"")</f>
        <v>5665</v>
      </c>
      <c r="F227" s="12" t="s">
        <v>653</v>
      </c>
      <c r="G227" s="16" t="s">
        <v>657</v>
      </c>
      <c r="H227" s="18"/>
      <c r="I227" s="27" t="str">
        <f>IFERROR(VLOOKUP(Tabulka2[[#This Row],[Pracovník]],DATA!A:L,11,0),"")</f>
        <v>BATZ 1</v>
      </c>
      <c r="J227" s="16"/>
      <c r="K227" s="19"/>
    </row>
    <row r="228" spans="1:11" x14ac:dyDescent="0.25">
      <c r="A2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28" s="22">
        <v>45925</v>
      </c>
      <c r="C228" s="16" t="s">
        <v>25</v>
      </c>
      <c r="D228" s="16" t="s">
        <v>701</v>
      </c>
      <c r="E228" s="17">
        <f>IFERROR(VLOOKUP(Tabulka2[[#This Row],[Pracovník]],DATA!A:L,5,0),"")</f>
        <v>2463</v>
      </c>
      <c r="F228" s="12" t="s">
        <v>655</v>
      </c>
      <c r="G228" s="16"/>
      <c r="H228" s="18"/>
      <c r="I228" s="27" t="str">
        <f>IFERROR(VLOOKUP(Tabulka2[[#This Row],[Pracovník]],DATA!A:L,11,0),"")</f>
        <v>Vlastní auto</v>
      </c>
      <c r="J228" s="16"/>
      <c r="K228" s="19"/>
    </row>
    <row r="229" spans="1:11" x14ac:dyDescent="0.25">
      <c r="A2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29" s="22">
        <v>45925</v>
      </c>
      <c r="C229" s="16" t="s">
        <v>25</v>
      </c>
      <c r="D229" s="16" t="s">
        <v>702</v>
      </c>
      <c r="E229" s="17">
        <f>IFERROR(VLOOKUP(Tabulka2[[#This Row],[Pracovník]],DATA!A:L,5,0),"")</f>
        <v>6536</v>
      </c>
      <c r="F229" s="12" t="s">
        <v>655</v>
      </c>
      <c r="G229" s="16"/>
      <c r="H229" s="18"/>
      <c r="I229" s="27" t="str">
        <f>IFERROR(VLOOKUP(Tabulka2[[#This Row],[Pracovník]],DATA!A:L,11,0),"")</f>
        <v>BATZ 2</v>
      </c>
      <c r="J229" s="16"/>
      <c r="K229" s="19"/>
    </row>
    <row r="230" spans="1:11" x14ac:dyDescent="0.25">
      <c r="A2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30" s="22">
        <v>45925</v>
      </c>
      <c r="C230" s="16" t="s">
        <v>25</v>
      </c>
      <c r="D230" s="16" t="s">
        <v>703</v>
      </c>
      <c r="E230" s="17">
        <f>IFERROR(VLOOKUP(Tabulka2[[#This Row],[Pracovník]],DATA!A:L,5,0),"")</f>
        <v>4748</v>
      </c>
      <c r="F230" s="12" t="s">
        <v>653</v>
      </c>
      <c r="G230" s="16" t="s">
        <v>657</v>
      </c>
      <c r="H230" s="18"/>
      <c r="I230" s="27" t="str">
        <f>IFERROR(VLOOKUP(Tabulka2[[#This Row],[Pracovník]],DATA!A:L,11,0),"")</f>
        <v>BATZ 1</v>
      </c>
      <c r="J230" s="16"/>
      <c r="K230" s="19"/>
    </row>
    <row r="231" spans="1:11" x14ac:dyDescent="0.25">
      <c r="A2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31" s="22">
        <v>45925</v>
      </c>
      <c r="C231" s="16" t="s">
        <v>25</v>
      </c>
      <c r="D231" s="16" t="s">
        <v>972</v>
      </c>
      <c r="E231" s="17">
        <f>IFERROR(VLOOKUP(Tabulka2[[#This Row],[Pracovník]],DATA!A:L,5,0),"")</f>
        <v>6077</v>
      </c>
      <c r="F231" s="12" t="s">
        <v>653</v>
      </c>
      <c r="G231" s="16" t="s">
        <v>657</v>
      </c>
      <c r="H231" s="18"/>
      <c r="I231" s="27" t="str">
        <f>IFERROR(VLOOKUP(Tabulka2[[#This Row],[Pracovník]],DATA!A:L,11,0),"")</f>
        <v>BATZ 2</v>
      </c>
      <c r="J231" s="16"/>
      <c r="K231" s="19"/>
    </row>
    <row r="232" spans="1:11" x14ac:dyDescent="0.25">
      <c r="A2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32" s="22">
        <v>45925</v>
      </c>
      <c r="C232" s="16" t="s">
        <v>25</v>
      </c>
      <c r="D232" s="16" t="s">
        <v>704</v>
      </c>
      <c r="E232" s="17">
        <f>IFERROR(VLOOKUP(Tabulka2[[#This Row],[Pracovník]],DATA!A:L,5,0),"")</f>
        <v>6574</v>
      </c>
      <c r="F232" s="12" t="s">
        <v>655</v>
      </c>
      <c r="G232" s="16"/>
      <c r="H232" s="18"/>
      <c r="I232" s="27" t="str">
        <f>IFERROR(VLOOKUP(Tabulka2[[#This Row],[Pracovník]],DATA!A:L,11,0),"")</f>
        <v>BATZ 1</v>
      </c>
      <c r="J232" s="16"/>
      <c r="K232" s="19"/>
    </row>
    <row r="233" spans="1:11" x14ac:dyDescent="0.25">
      <c r="A2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33" s="22">
        <v>45925</v>
      </c>
      <c r="C233" s="16" t="s">
        <v>25</v>
      </c>
      <c r="D233" s="16" t="s">
        <v>705</v>
      </c>
      <c r="E233" s="17">
        <f>IFERROR(VLOOKUP(Tabulka2[[#This Row],[Pracovník]],DATA!A:L,5,0),"")</f>
        <v>4720</v>
      </c>
      <c r="F233" s="12" t="s">
        <v>640</v>
      </c>
      <c r="G233" s="16"/>
      <c r="H233" s="18"/>
      <c r="I233" s="27" t="str">
        <f>IFERROR(VLOOKUP(Tabulka2[[#This Row],[Pracovník]],DATA!A:L,11,0),"")</f>
        <v>BATZ 2</v>
      </c>
      <c r="J233" s="16"/>
      <c r="K233" s="19"/>
    </row>
    <row r="234" spans="1:11" x14ac:dyDescent="0.25">
      <c r="A2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34" s="22">
        <v>45925</v>
      </c>
      <c r="C234" s="16" t="s">
        <v>25</v>
      </c>
      <c r="D234" s="16" t="s">
        <v>706</v>
      </c>
      <c r="E234" s="17">
        <f>IFERROR(VLOOKUP(Tabulka2[[#This Row],[Pracovník]],DATA!A:L,5,0),"")</f>
        <v>6409</v>
      </c>
      <c r="F234" s="12" t="s">
        <v>640</v>
      </c>
      <c r="G234" s="16"/>
      <c r="H234" s="18"/>
      <c r="I234" s="27" t="str">
        <f>IFERROR(VLOOKUP(Tabulka2[[#This Row],[Pracovník]],DATA!A:L,11,0),"")</f>
        <v>Vlastní auto</v>
      </c>
      <c r="J234" s="16"/>
      <c r="K234" s="19"/>
    </row>
    <row r="235" spans="1:11" x14ac:dyDescent="0.25">
      <c r="A2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35" s="22">
        <v>45925</v>
      </c>
      <c r="C235" s="16" t="s">
        <v>25</v>
      </c>
      <c r="D235" s="16" t="s">
        <v>707</v>
      </c>
      <c r="E235" s="17">
        <f>IFERROR(VLOOKUP(Tabulka2[[#This Row],[Pracovník]],DATA!A:L,5,0),"")</f>
        <v>3396</v>
      </c>
      <c r="F235" s="12" t="s">
        <v>655</v>
      </c>
      <c r="G235" s="16"/>
      <c r="H235" s="18"/>
      <c r="I235" s="27" t="str">
        <f>IFERROR(VLOOKUP(Tabulka2[[#This Row],[Pracovník]],DATA!A:L,11,0),"")</f>
        <v>BATZ 1</v>
      </c>
      <c r="J235" s="16"/>
      <c r="K235" s="19"/>
    </row>
    <row r="236" spans="1:11" x14ac:dyDescent="0.25">
      <c r="A2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36" s="22">
        <v>45925</v>
      </c>
      <c r="C236" s="16" t="s">
        <v>25</v>
      </c>
      <c r="D236" s="16" t="s">
        <v>708</v>
      </c>
      <c r="E236" s="17">
        <f>IFERROR(VLOOKUP(Tabulka2[[#This Row],[Pracovník]],DATA!A:L,5,0),"")</f>
        <v>6376</v>
      </c>
      <c r="F236" s="12" t="s">
        <v>655</v>
      </c>
      <c r="G236" s="16"/>
      <c r="H236" s="18"/>
      <c r="I236" s="27" t="str">
        <f>IFERROR(VLOOKUP(Tabulka2[[#This Row],[Pracovník]],DATA!A:L,11,0),"")</f>
        <v>BATZ 2</v>
      </c>
      <c r="J236" s="16"/>
      <c r="K236" s="19"/>
    </row>
    <row r="237" spans="1:11" x14ac:dyDescent="0.25">
      <c r="A2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37" s="22">
        <v>45925</v>
      </c>
      <c r="C237" s="16" t="s">
        <v>25</v>
      </c>
      <c r="D237" s="16" t="s">
        <v>709</v>
      </c>
      <c r="E237" s="17">
        <f>IFERROR(VLOOKUP(Tabulka2[[#This Row],[Pracovník]],DATA!A:L,5,0),"")</f>
        <v>5014</v>
      </c>
      <c r="F237" s="12" t="s">
        <v>655</v>
      </c>
      <c r="G237" s="16"/>
      <c r="H237" s="18"/>
      <c r="I237" s="27" t="str">
        <f>IFERROR(VLOOKUP(Tabulka2[[#This Row],[Pracovník]],DATA!A:L,11,0),"")</f>
        <v>BATZ 2</v>
      </c>
      <c r="J237" s="16"/>
      <c r="K237" s="19"/>
    </row>
    <row r="238" spans="1:11" x14ac:dyDescent="0.25">
      <c r="A2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38" s="22">
        <v>45925</v>
      </c>
      <c r="C238" s="16" t="s">
        <v>25</v>
      </c>
      <c r="D238" s="16" t="s">
        <v>710</v>
      </c>
      <c r="E238" s="17">
        <f>IFERROR(VLOOKUP(Tabulka2[[#This Row],[Pracovník]],DATA!A:L,5,0),"")</f>
        <v>3369</v>
      </c>
      <c r="F238" s="12" t="s">
        <v>640</v>
      </c>
      <c r="G238" s="16"/>
      <c r="H238" s="18"/>
      <c r="I238" s="27" t="str">
        <f>IFERROR(VLOOKUP(Tabulka2[[#This Row],[Pracovník]],DATA!A:L,11,0),"")</f>
        <v>BATZ 1</v>
      </c>
      <c r="J238" s="16"/>
      <c r="K238" s="19"/>
    </row>
    <row r="239" spans="1:11" x14ac:dyDescent="0.25">
      <c r="A2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39" s="22">
        <v>45925</v>
      </c>
      <c r="C239" s="16" t="s">
        <v>25</v>
      </c>
      <c r="D239" s="16" t="s">
        <v>711</v>
      </c>
      <c r="E239" s="17">
        <f>IFERROR(VLOOKUP(Tabulka2[[#This Row],[Pracovník]],DATA!A:L,5,0),"")</f>
        <v>6576</v>
      </c>
      <c r="F239" s="12" t="s">
        <v>640</v>
      </c>
      <c r="G239" s="16"/>
      <c r="H239" s="18"/>
      <c r="I239" s="27" t="str">
        <f>IFERROR(VLOOKUP(Tabulka2[[#This Row],[Pracovník]],DATA!A:L,11,0),"")</f>
        <v>BATZ 1</v>
      </c>
      <c r="J239" s="16"/>
      <c r="K239" s="19"/>
    </row>
    <row r="240" spans="1:11" x14ac:dyDescent="0.25">
      <c r="A2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40" s="22">
        <v>45925</v>
      </c>
      <c r="C240" s="16" t="s">
        <v>25</v>
      </c>
      <c r="D240" s="16" t="s">
        <v>712</v>
      </c>
      <c r="E240" s="17">
        <f>IFERROR(VLOOKUP(Tabulka2[[#This Row],[Pracovník]],DATA!A:L,5,0),"")</f>
        <v>6352</v>
      </c>
      <c r="F240" s="12" t="s">
        <v>654</v>
      </c>
      <c r="G240" s="16"/>
      <c r="H240" s="18"/>
      <c r="I240" s="27" t="str">
        <f>IFERROR(VLOOKUP(Tabulka2[[#This Row],[Pracovník]],DATA!A:L,11,0),"")</f>
        <v>BATZ 1</v>
      </c>
      <c r="J240" s="16"/>
      <c r="K240" s="19"/>
    </row>
    <row r="241" spans="1:11" x14ac:dyDescent="0.25">
      <c r="A2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41" s="22">
        <v>45925</v>
      </c>
      <c r="C241" s="16" t="s">
        <v>25</v>
      </c>
      <c r="D241" s="16" t="s">
        <v>974</v>
      </c>
      <c r="E241" s="17">
        <f>IFERROR(VLOOKUP(Tabulka2[[#This Row],[Pracovník]],DATA!A:L,5,0),"")</f>
        <v>5009</v>
      </c>
      <c r="F241" s="12" t="s">
        <v>653</v>
      </c>
      <c r="G241" s="16" t="s">
        <v>657</v>
      </c>
      <c r="H241" s="18"/>
      <c r="I241" s="27" t="str">
        <f>IFERROR(VLOOKUP(Tabulka2[[#This Row],[Pracovník]],DATA!A:L,11,0),"")</f>
        <v>BATZ 1</v>
      </c>
      <c r="J241" s="16"/>
      <c r="K241" s="19"/>
    </row>
    <row r="242" spans="1:11" x14ac:dyDescent="0.25">
      <c r="A2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42" s="22">
        <v>45925</v>
      </c>
      <c r="C242" s="16" t="s">
        <v>25</v>
      </c>
      <c r="D242" s="16" t="s">
        <v>975</v>
      </c>
      <c r="E242" s="17">
        <f>IFERROR(VLOOKUP(Tabulka2[[#This Row],[Pracovník]],DATA!A:L,5,0),"")</f>
        <v>6251</v>
      </c>
      <c r="F242" s="12" t="s">
        <v>653</v>
      </c>
      <c r="G242" s="16" t="s">
        <v>657</v>
      </c>
      <c r="H242" s="18"/>
      <c r="I242" s="27" t="str">
        <f>IFERROR(VLOOKUP(Tabulka2[[#This Row],[Pracovník]],DATA!A:L,11,0),"")</f>
        <v>BATZ 1</v>
      </c>
      <c r="J242" s="16"/>
      <c r="K242" s="19"/>
    </row>
    <row r="243" spans="1:11" x14ac:dyDescent="0.25">
      <c r="A2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43" s="22">
        <v>45925</v>
      </c>
      <c r="C243" s="16" t="s">
        <v>25</v>
      </c>
      <c r="D243" s="16" t="s">
        <v>713</v>
      </c>
      <c r="E243" s="17">
        <f>IFERROR(VLOOKUP(Tabulka2[[#This Row],[Pracovník]],DATA!A:L,5,0),"")</f>
        <v>6507</v>
      </c>
      <c r="F243" s="12" t="s">
        <v>640</v>
      </c>
      <c r="G243" s="16"/>
      <c r="H243" s="18"/>
      <c r="I243" s="27" t="str">
        <f>IFERROR(VLOOKUP(Tabulka2[[#This Row],[Pracovník]],DATA!A:L,11,0),"")</f>
        <v>BATZ 1</v>
      </c>
      <c r="J243" s="16"/>
      <c r="K243" s="19"/>
    </row>
    <row r="244" spans="1:11" x14ac:dyDescent="0.25">
      <c r="A2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44" s="22">
        <v>45925</v>
      </c>
      <c r="C244" s="16" t="s">
        <v>25</v>
      </c>
      <c r="D244" s="16" t="s">
        <v>976</v>
      </c>
      <c r="E244" s="17">
        <f>IFERROR(VLOOKUP(Tabulka2[[#This Row],[Pracovník]],DATA!A:L,5,0),"")</f>
        <v>6346</v>
      </c>
      <c r="F244" s="12" t="s">
        <v>640</v>
      </c>
      <c r="G244" s="16"/>
      <c r="H244" s="18"/>
      <c r="I244" s="27" t="str">
        <f>IFERROR(VLOOKUP(Tabulka2[[#This Row],[Pracovník]],DATA!A:L,11,0),"")</f>
        <v>BATZ 1</v>
      </c>
      <c r="J244" s="16"/>
      <c r="K244" s="19"/>
    </row>
    <row r="245" spans="1:11" x14ac:dyDescent="0.25">
      <c r="A2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45" s="22">
        <v>45925</v>
      </c>
      <c r="C245" s="16" t="s">
        <v>25</v>
      </c>
      <c r="D245" s="16" t="s">
        <v>714</v>
      </c>
      <c r="E245" s="17">
        <f>IFERROR(VLOOKUP(Tabulka2[[#This Row],[Pracovník]],DATA!A:L,5,0),"")</f>
        <v>4972</v>
      </c>
      <c r="F245" s="12" t="s">
        <v>640</v>
      </c>
      <c r="G245" s="16"/>
      <c r="H245" s="18"/>
      <c r="I245" s="27" t="str">
        <f>IFERROR(VLOOKUP(Tabulka2[[#This Row],[Pracovník]],DATA!A:L,11,0),"")</f>
        <v>BATZ 2</v>
      </c>
      <c r="J245" s="16"/>
      <c r="K245" s="19"/>
    </row>
    <row r="246" spans="1:11" x14ac:dyDescent="0.25">
      <c r="A2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46" s="22">
        <v>45925</v>
      </c>
      <c r="C246" s="16" t="s">
        <v>25</v>
      </c>
      <c r="D246" s="16" t="s">
        <v>715</v>
      </c>
      <c r="E246" s="17">
        <f>IFERROR(VLOOKUP(Tabulka2[[#This Row],[Pracovník]],DATA!A:L,5,0),"")</f>
        <v>2230</v>
      </c>
      <c r="F246" s="12" t="s">
        <v>640</v>
      </c>
      <c r="G246" s="16"/>
      <c r="H246" s="18"/>
      <c r="I246" s="27" t="str">
        <f>IFERROR(VLOOKUP(Tabulka2[[#This Row],[Pracovník]],DATA!A:L,11,0),"")</f>
        <v>BATZ 1</v>
      </c>
      <c r="J246" s="16"/>
      <c r="K246" s="19"/>
    </row>
    <row r="247" spans="1:11" x14ac:dyDescent="0.25">
      <c r="A2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47" s="22">
        <v>45925</v>
      </c>
      <c r="C247" s="16" t="s">
        <v>25</v>
      </c>
      <c r="D247" s="16" t="s">
        <v>716</v>
      </c>
      <c r="E247" s="17">
        <f>IFERROR(VLOOKUP(Tabulka2[[#This Row],[Pracovník]],DATA!A:L,5,0),"")</f>
        <v>5310</v>
      </c>
      <c r="F247" s="12" t="s">
        <v>654</v>
      </c>
      <c r="G247" s="16"/>
      <c r="H247" s="18"/>
      <c r="I247" s="27" t="str">
        <f>IFERROR(VLOOKUP(Tabulka2[[#This Row],[Pracovník]],DATA!A:L,11,0),"")</f>
        <v>BATZ 1</v>
      </c>
      <c r="J247" s="16"/>
      <c r="K247" s="19"/>
    </row>
    <row r="248" spans="1:11" x14ac:dyDescent="0.25">
      <c r="A2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48" s="22">
        <v>45925</v>
      </c>
      <c r="C248" s="16" t="s">
        <v>25</v>
      </c>
      <c r="D248" s="16" t="s">
        <v>717</v>
      </c>
      <c r="E248" s="17">
        <f>IFERROR(VLOOKUP(Tabulka2[[#This Row],[Pracovník]],DATA!A:L,5,0),"")</f>
        <v>5948</v>
      </c>
      <c r="F248" s="12" t="s">
        <v>653</v>
      </c>
      <c r="G248" s="16" t="s">
        <v>657</v>
      </c>
      <c r="H248" s="18"/>
      <c r="I248" s="27" t="str">
        <f>IFERROR(VLOOKUP(Tabulka2[[#This Row],[Pracovník]],DATA!A:L,11,0),"")</f>
        <v>BATZ 1</v>
      </c>
      <c r="J248" s="16"/>
      <c r="K248" s="19"/>
    </row>
    <row r="249" spans="1:11" x14ac:dyDescent="0.25">
      <c r="A2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49" s="22">
        <v>45925</v>
      </c>
      <c r="C249" s="16" t="s">
        <v>25</v>
      </c>
      <c r="D249" s="16" t="s">
        <v>718</v>
      </c>
      <c r="E249" s="17">
        <f>IFERROR(VLOOKUP(Tabulka2[[#This Row],[Pracovník]],DATA!A:L,5,0),"")</f>
        <v>6549</v>
      </c>
      <c r="F249" s="12" t="s">
        <v>654</v>
      </c>
      <c r="G249" s="16"/>
      <c r="H249" s="18"/>
      <c r="I249" s="27" t="str">
        <f>IFERROR(VLOOKUP(Tabulka2[[#This Row],[Pracovník]],DATA!A:L,11,0),"")</f>
        <v>BATZ 1</v>
      </c>
      <c r="J249" s="16"/>
      <c r="K249" s="19"/>
    </row>
    <row r="250" spans="1:11" x14ac:dyDescent="0.25">
      <c r="A2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50" s="22">
        <v>45925</v>
      </c>
      <c r="C250" s="16" t="s">
        <v>25</v>
      </c>
      <c r="D250" s="16" t="s">
        <v>977</v>
      </c>
      <c r="E250" s="17">
        <f>IFERROR(VLOOKUP(Tabulka2[[#This Row],[Pracovník]],DATA!A:L,5,0),"")</f>
        <v>6538</v>
      </c>
      <c r="F250" s="12" t="s">
        <v>640</v>
      </c>
      <c r="G250" s="16"/>
      <c r="H250" s="18"/>
      <c r="I250" s="27" t="str">
        <f>IFERROR(VLOOKUP(Tabulka2[[#This Row],[Pracovník]],DATA!A:L,11,0),"")</f>
        <v>BATZ 1</v>
      </c>
      <c r="J250" s="16"/>
      <c r="K250" s="19"/>
    </row>
    <row r="251" spans="1:11" x14ac:dyDescent="0.25">
      <c r="A2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51" s="22">
        <v>45925</v>
      </c>
      <c r="C251" s="16" t="s">
        <v>25</v>
      </c>
      <c r="D251" s="16" t="s">
        <v>719</v>
      </c>
      <c r="E251" s="17">
        <f>IFERROR(VLOOKUP(Tabulka2[[#This Row],[Pracovník]],DATA!A:L,5,0),"")</f>
        <v>5715</v>
      </c>
      <c r="F251" s="12" t="s">
        <v>655</v>
      </c>
      <c r="G251" s="16"/>
      <c r="H251" s="18"/>
      <c r="I251" s="27" t="str">
        <f>IFERROR(VLOOKUP(Tabulka2[[#This Row],[Pracovník]],DATA!A:L,11,0),"")</f>
        <v>BATZ 1</v>
      </c>
      <c r="J251" s="16"/>
      <c r="K251" s="19"/>
    </row>
    <row r="252" spans="1:11" x14ac:dyDescent="0.25">
      <c r="A2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52" s="22">
        <v>45925</v>
      </c>
      <c r="C252" s="16" t="s">
        <v>25</v>
      </c>
      <c r="D252" s="16" t="s">
        <v>720</v>
      </c>
      <c r="E252" s="17">
        <f>IFERROR(VLOOKUP(Tabulka2[[#This Row],[Pracovník]],DATA!A:L,5,0),"")</f>
        <v>4514</v>
      </c>
      <c r="F252" s="12" t="s">
        <v>655</v>
      </c>
      <c r="G252" s="16"/>
      <c r="H252" s="18"/>
      <c r="I252" s="27" t="str">
        <f>IFERROR(VLOOKUP(Tabulka2[[#This Row],[Pracovník]],DATA!A:L,11,0),"")</f>
        <v>BATZ 1</v>
      </c>
      <c r="J252" s="16"/>
      <c r="K252" s="19"/>
    </row>
    <row r="253" spans="1:11" x14ac:dyDescent="0.25">
      <c r="A2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53" s="22">
        <v>45925</v>
      </c>
      <c r="C253" s="16" t="s">
        <v>25</v>
      </c>
      <c r="D253" s="16" t="s">
        <v>721</v>
      </c>
      <c r="E253" s="17">
        <f>IFERROR(VLOOKUP(Tabulka2[[#This Row],[Pracovník]],DATA!A:L,5,0),"")</f>
        <v>5176</v>
      </c>
      <c r="F253" s="12" t="s">
        <v>654</v>
      </c>
      <c r="G253" s="16"/>
      <c r="H253" s="18"/>
      <c r="I253" s="27" t="str">
        <f>IFERROR(VLOOKUP(Tabulka2[[#This Row],[Pracovník]],DATA!A:L,11,0),"")</f>
        <v>BATZ 1</v>
      </c>
      <c r="J253" s="16"/>
      <c r="K253" s="19"/>
    </row>
    <row r="254" spans="1:11" x14ac:dyDescent="0.25">
      <c r="A2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54" s="22">
        <v>45925</v>
      </c>
      <c r="C254" s="16" t="s">
        <v>25</v>
      </c>
      <c r="D254" s="16" t="s">
        <v>722</v>
      </c>
      <c r="E254" s="17">
        <f>IFERROR(VLOOKUP(Tabulka2[[#This Row],[Pracovník]],DATA!A:L,5,0),"")</f>
        <v>4163</v>
      </c>
      <c r="F254" s="12" t="s">
        <v>655</v>
      </c>
      <c r="G254" s="16"/>
      <c r="H254" s="18"/>
      <c r="I254" s="27" t="str">
        <f>IFERROR(VLOOKUP(Tabulka2[[#This Row],[Pracovník]],DATA!A:L,11,0),"")</f>
        <v>BATZ 1</v>
      </c>
      <c r="J254" s="16"/>
      <c r="K254" s="19"/>
    </row>
    <row r="255" spans="1:11" x14ac:dyDescent="0.25">
      <c r="A2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55" s="22">
        <v>45925</v>
      </c>
      <c r="C255" s="16" t="s">
        <v>25</v>
      </c>
      <c r="D255" s="16" t="s">
        <v>723</v>
      </c>
      <c r="E255" s="17">
        <f>IFERROR(VLOOKUP(Tabulka2[[#This Row],[Pracovník]],DATA!A:L,5,0),"")</f>
        <v>3920</v>
      </c>
      <c r="F255" s="12" t="s">
        <v>640</v>
      </c>
      <c r="G255" s="16"/>
      <c r="H255" s="18"/>
      <c r="I255" s="27" t="str">
        <f>IFERROR(VLOOKUP(Tabulka2[[#This Row],[Pracovník]],DATA!A:L,11,0),"")</f>
        <v>BATZ 2</v>
      </c>
      <c r="J255" s="16"/>
      <c r="K255" s="19"/>
    </row>
    <row r="256" spans="1:11" x14ac:dyDescent="0.25">
      <c r="A2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56" s="22">
        <v>45925</v>
      </c>
      <c r="C256" s="16" t="s">
        <v>25</v>
      </c>
      <c r="D256" s="16" t="s">
        <v>724</v>
      </c>
      <c r="E256" s="17">
        <f>IFERROR(VLOOKUP(Tabulka2[[#This Row],[Pracovník]],DATA!A:L,5,0),"")</f>
        <v>3257</v>
      </c>
      <c r="F256" s="12" t="s">
        <v>640</v>
      </c>
      <c r="G256" s="16"/>
      <c r="H256" s="18"/>
      <c r="I256" s="27" t="str">
        <f>IFERROR(VLOOKUP(Tabulka2[[#This Row],[Pracovník]],DATA!A:L,11,0),"")</f>
        <v>BATZ 1</v>
      </c>
      <c r="J256" s="16"/>
      <c r="K256" s="19"/>
    </row>
    <row r="257" spans="1:11" x14ac:dyDescent="0.25">
      <c r="A2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57" s="22">
        <v>45925</v>
      </c>
      <c r="C257" s="16" t="s">
        <v>25</v>
      </c>
      <c r="D257" s="16" t="s">
        <v>725</v>
      </c>
      <c r="E257" s="17">
        <f>IFERROR(VLOOKUP(Tabulka2[[#This Row],[Pracovník]],DATA!A:L,5,0),"")</f>
        <v>3394</v>
      </c>
      <c r="F257" s="12" t="s">
        <v>655</v>
      </c>
      <c r="G257" s="16"/>
      <c r="H257" s="18"/>
      <c r="I257" s="27" t="str">
        <f>IFERROR(VLOOKUP(Tabulka2[[#This Row],[Pracovník]],DATA!A:L,11,0),"")</f>
        <v>BATZ 1</v>
      </c>
      <c r="J257" s="16"/>
      <c r="K257" s="19"/>
    </row>
    <row r="258" spans="1:11" x14ac:dyDescent="0.25">
      <c r="A2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58" s="22">
        <v>45925</v>
      </c>
      <c r="C258" s="16" t="s">
        <v>25</v>
      </c>
      <c r="D258" s="16" t="s">
        <v>726</v>
      </c>
      <c r="E258" s="17">
        <f>IFERROR(VLOOKUP(Tabulka2[[#This Row],[Pracovník]],DATA!A:L,5,0),"")</f>
        <v>4828</v>
      </c>
      <c r="F258" s="12" t="s">
        <v>654</v>
      </c>
      <c r="G258" s="16"/>
      <c r="H258" s="18"/>
      <c r="I258" s="27" t="str">
        <f>IFERROR(VLOOKUP(Tabulka2[[#This Row],[Pracovník]],DATA!A:L,11,0),"")</f>
        <v>BATZ 2</v>
      </c>
      <c r="J258" s="16"/>
      <c r="K258" s="19"/>
    </row>
    <row r="259" spans="1:11" x14ac:dyDescent="0.25">
      <c r="A2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59" s="22">
        <v>45925</v>
      </c>
      <c r="C259" s="16" t="s">
        <v>25</v>
      </c>
      <c r="D259" s="16" t="s">
        <v>727</v>
      </c>
      <c r="E259" s="17">
        <f>IFERROR(VLOOKUP(Tabulka2[[#This Row],[Pracovník]],DATA!A:L,5,0),"")</f>
        <v>4155</v>
      </c>
      <c r="F259" s="12" t="s">
        <v>653</v>
      </c>
      <c r="G259" s="16" t="s">
        <v>656</v>
      </c>
      <c r="H259" s="18"/>
      <c r="I259" s="27" t="str">
        <f>IFERROR(VLOOKUP(Tabulka2[[#This Row],[Pracovník]],DATA!A:L,11,0),"")</f>
        <v>BATZ 1</v>
      </c>
      <c r="J259" s="16"/>
      <c r="K259" s="19"/>
    </row>
    <row r="260" spans="1:11" x14ac:dyDescent="0.25">
      <c r="A2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60" s="22">
        <v>45925</v>
      </c>
      <c r="C260" s="16" t="s">
        <v>25</v>
      </c>
      <c r="D260" s="16" t="s">
        <v>728</v>
      </c>
      <c r="E260" s="17">
        <f>IFERROR(VLOOKUP(Tabulka2[[#This Row],[Pracovník]],DATA!A:L,5,0),"")</f>
        <v>0</v>
      </c>
      <c r="F260" s="12" t="s">
        <v>640</v>
      </c>
      <c r="G260" s="16"/>
      <c r="H260" s="18"/>
      <c r="I260" s="27" t="str">
        <f>IFERROR(VLOOKUP(Tabulka2[[#This Row],[Pracovník]],DATA!A:L,11,0),"")</f>
        <v>BATZ 1</v>
      </c>
      <c r="J260" s="16"/>
      <c r="K260" s="19"/>
    </row>
    <row r="261" spans="1:11" x14ac:dyDescent="0.25">
      <c r="A2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61" s="22">
        <v>45925</v>
      </c>
      <c r="C261" s="16" t="s">
        <v>25</v>
      </c>
      <c r="D261" s="16" t="s">
        <v>729</v>
      </c>
      <c r="E261" s="17">
        <f>IFERROR(VLOOKUP(Tabulka2[[#This Row],[Pracovník]],DATA!A:L,5,0),"")</f>
        <v>5179</v>
      </c>
      <c r="F261" s="12" t="s">
        <v>654</v>
      </c>
      <c r="G261" s="16"/>
      <c r="H261" s="18"/>
      <c r="I261" s="27" t="str">
        <f>IFERROR(VLOOKUP(Tabulka2[[#This Row],[Pracovník]],DATA!A:L,11,0),"")</f>
        <v>BATZ 1</v>
      </c>
      <c r="J261" s="16"/>
      <c r="K261" s="19"/>
    </row>
    <row r="262" spans="1:11" x14ac:dyDescent="0.25">
      <c r="A2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62" s="22">
        <v>45925</v>
      </c>
      <c r="C262" s="16" t="s">
        <v>25</v>
      </c>
      <c r="D262" s="16" t="s">
        <v>730</v>
      </c>
      <c r="E262" s="17">
        <f>IFERROR(VLOOKUP(Tabulka2[[#This Row],[Pracovník]],DATA!A:L,5,0),"")</f>
        <v>4912</v>
      </c>
      <c r="F262" s="12" t="s">
        <v>640</v>
      </c>
      <c r="G262" s="16"/>
      <c r="H262" s="18"/>
      <c r="I262" s="27" t="str">
        <f>IFERROR(VLOOKUP(Tabulka2[[#This Row],[Pracovník]],DATA!A:L,11,0),"")</f>
        <v>BATZ 2</v>
      </c>
      <c r="J262" s="16"/>
      <c r="K262" s="19"/>
    </row>
    <row r="263" spans="1:11" x14ac:dyDescent="0.25">
      <c r="A2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63" s="22">
        <v>45925</v>
      </c>
      <c r="C263" s="16" t="s">
        <v>25</v>
      </c>
      <c r="D263" s="16" t="s">
        <v>978</v>
      </c>
      <c r="E263" s="17">
        <f>IFERROR(VLOOKUP(Tabulka2[[#This Row],[Pracovník]],DATA!A:L,5,0),"")</f>
        <v>5208</v>
      </c>
      <c r="F263" s="12" t="s">
        <v>640</v>
      </c>
      <c r="G263" s="16"/>
      <c r="H263" s="18"/>
      <c r="I263" s="27" t="str">
        <f>IFERROR(VLOOKUP(Tabulka2[[#This Row],[Pracovník]],DATA!A:L,11,0),"")</f>
        <v>BATZ 1</v>
      </c>
      <c r="J263" s="16"/>
      <c r="K263" s="19"/>
    </row>
    <row r="264" spans="1:11" x14ac:dyDescent="0.25">
      <c r="A2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64" s="22">
        <v>45925</v>
      </c>
      <c r="C264" s="16" t="s">
        <v>25</v>
      </c>
      <c r="D264" s="16" t="s">
        <v>732</v>
      </c>
      <c r="E264" s="17">
        <f>IFERROR(VLOOKUP(Tabulka2[[#This Row],[Pracovník]],DATA!A:L,5,0),"")</f>
        <v>3937</v>
      </c>
      <c r="F264" s="12" t="s">
        <v>655</v>
      </c>
      <c r="G264" s="16"/>
      <c r="H264" s="18"/>
      <c r="I264" s="27" t="str">
        <f>IFERROR(VLOOKUP(Tabulka2[[#This Row],[Pracovník]],DATA!A:L,11,0),"")</f>
        <v>BATZ 1</v>
      </c>
      <c r="J264" s="16"/>
      <c r="K264" s="19"/>
    </row>
    <row r="265" spans="1:11" x14ac:dyDescent="0.25">
      <c r="A2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65" s="22">
        <v>45925</v>
      </c>
      <c r="C265" s="16" t="s">
        <v>25</v>
      </c>
      <c r="D265" s="16" t="s">
        <v>733</v>
      </c>
      <c r="E265" s="17">
        <f>IFERROR(VLOOKUP(Tabulka2[[#This Row],[Pracovník]],DATA!A:L,5,0),"")</f>
        <v>6076</v>
      </c>
      <c r="F265" s="12" t="s">
        <v>654</v>
      </c>
      <c r="G265" s="16"/>
      <c r="H265" s="18"/>
      <c r="I265" s="27" t="str">
        <f>IFERROR(VLOOKUP(Tabulka2[[#This Row],[Pracovník]],DATA!A:L,11,0),"")</f>
        <v>BATZ 1</v>
      </c>
      <c r="J265" s="16"/>
      <c r="K265" s="19"/>
    </row>
    <row r="266" spans="1:11" x14ac:dyDescent="0.25">
      <c r="A2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66" s="22">
        <v>45925</v>
      </c>
      <c r="C266" s="16" t="s">
        <v>25</v>
      </c>
      <c r="D266" s="16" t="s">
        <v>734</v>
      </c>
      <c r="E266" s="17">
        <f>IFERROR(VLOOKUP(Tabulka2[[#This Row],[Pracovník]],DATA!A:L,5,0),"")</f>
        <v>3648</v>
      </c>
      <c r="F266" s="12" t="s">
        <v>640</v>
      </c>
      <c r="G266" s="16"/>
      <c r="H266" s="18"/>
      <c r="I266" s="27" t="str">
        <f>IFERROR(VLOOKUP(Tabulka2[[#This Row],[Pracovník]],DATA!A:L,11,0),"")</f>
        <v>BATZ 1</v>
      </c>
      <c r="J266" s="16"/>
      <c r="K266" s="19"/>
    </row>
    <row r="267" spans="1:11" x14ac:dyDescent="0.25">
      <c r="A2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67" s="22">
        <v>45925</v>
      </c>
      <c r="C267" s="16" t="s">
        <v>25</v>
      </c>
      <c r="D267" s="16" t="s">
        <v>735</v>
      </c>
      <c r="E267" s="17">
        <f>IFERROR(VLOOKUP(Tabulka2[[#This Row],[Pracovník]],DATA!A:L,5,0),"")</f>
        <v>4602</v>
      </c>
      <c r="F267" s="12" t="s">
        <v>654</v>
      </c>
      <c r="G267" s="16"/>
      <c r="H267" s="18"/>
      <c r="I267" s="27" t="str">
        <f>IFERROR(VLOOKUP(Tabulka2[[#This Row],[Pracovník]],DATA!A:L,11,0),"")</f>
        <v>BATZ 1</v>
      </c>
      <c r="J267" s="16"/>
      <c r="K267" s="19"/>
    </row>
    <row r="268" spans="1:11" x14ac:dyDescent="0.25">
      <c r="A2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68" s="22">
        <v>45925</v>
      </c>
      <c r="C268" s="16" t="s">
        <v>25</v>
      </c>
      <c r="D268" s="16" t="s">
        <v>736</v>
      </c>
      <c r="E268" s="17">
        <f>IFERROR(VLOOKUP(Tabulka2[[#This Row],[Pracovník]],DATA!A:L,5,0),"")</f>
        <v>4940</v>
      </c>
      <c r="F268" s="12" t="s">
        <v>653</v>
      </c>
      <c r="G268" s="16" t="s">
        <v>656</v>
      </c>
      <c r="H268" s="18"/>
      <c r="I268" s="27" t="str">
        <f>IFERROR(VLOOKUP(Tabulka2[[#This Row],[Pracovník]],DATA!A:L,11,0),"")</f>
        <v>BATZ 1</v>
      </c>
      <c r="J268" s="16"/>
      <c r="K268" s="19"/>
    </row>
    <row r="269" spans="1:11" x14ac:dyDescent="0.25">
      <c r="A2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69" s="22">
        <v>45925</v>
      </c>
      <c r="C269" s="16" t="s">
        <v>25</v>
      </c>
      <c r="D269" s="16" t="s">
        <v>737</v>
      </c>
      <c r="E269" s="17">
        <f>IFERROR(VLOOKUP(Tabulka2[[#This Row],[Pracovník]],DATA!A:L,5,0),"")</f>
        <v>5660</v>
      </c>
      <c r="F269" s="12" t="s">
        <v>655</v>
      </c>
      <c r="G269" s="16"/>
      <c r="H269" s="18"/>
      <c r="I269" s="27" t="str">
        <f>IFERROR(VLOOKUP(Tabulka2[[#This Row],[Pracovník]],DATA!A:L,11,0),"")</f>
        <v>BATZ 1</v>
      </c>
      <c r="J269" s="16"/>
      <c r="K269" s="19"/>
    </row>
    <row r="270" spans="1:11" x14ac:dyDescent="0.25">
      <c r="A2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70" s="22">
        <v>45925</v>
      </c>
      <c r="C270" s="16" t="s">
        <v>25</v>
      </c>
      <c r="D270" s="16" t="s">
        <v>738</v>
      </c>
      <c r="E270" s="17">
        <f>IFERROR(VLOOKUP(Tabulka2[[#This Row],[Pracovník]],DATA!A:L,5,0),"")</f>
        <v>6243</v>
      </c>
      <c r="F270" s="12" t="s">
        <v>640</v>
      </c>
      <c r="G270" s="16"/>
      <c r="H270" s="18"/>
      <c r="I270" s="27" t="str">
        <f>IFERROR(VLOOKUP(Tabulka2[[#This Row],[Pracovník]],DATA!A:L,11,0),"")</f>
        <v>BATZ 2</v>
      </c>
      <c r="J270" s="16"/>
      <c r="K270" s="19"/>
    </row>
    <row r="271" spans="1:11" x14ac:dyDescent="0.25">
      <c r="A2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71" s="22">
        <v>45925</v>
      </c>
      <c r="C271" s="16" t="s">
        <v>25</v>
      </c>
      <c r="D271" s="16" t="s">
        <v>739</v>
      </c>
      <c r="E271" s="17">
        <f>IFERROR(VLOOKUP(Tabulka2[[#This Row],[Pracovník]],DATA!A:L,5,0),"")</f>
        <v>6339</v>
      </c>
      <c r="F271" s="12" t="s">
        <v>654</v>
      </c>
      <c r="G271" s="16"/>
      <c r="H271" s="18"/>
      <c r="I271" s="27" t="str">
        <f>IFERROR(VLOOKUP(Tabulka2[[#This Row],[Pracovník]],DATA!A:L,11,0),"")</f>
        <v>BATZ 1</v>
      </c>
      <c r="J271" s="16"/>
      <c r="K271" s="19"/>
    </row>
    <row r="272" spans="1:11" x14ac:dyDescent="0.25">
      <c r="A2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72" s="22">
        <v>45925</v>
      </c>
      <c r="C272" s="16" t="s">
        <v>25</v>
      </c>
      <c r="D272" s="16" t="s">
        <v>740</v>
      </c>
      <c r="E272" s="17">
        <f>IFERROR(VLOOKUP(Tabulka2[[#This Row],[Pracovník]],DATA!A:L,5,0),"")</f>
        <v>4928</v>
      </c>
      <c r="F272" s="12" t="s">
        <v>654</v>
      </c>
      <c r="G272" s="16"/>
      <c r="H272" s="18"/>
      <c r="I272" s="27" t="str">
        <f>IFERROR(VLOOKUP(Tabulka2[[#This Row],[Pracovník]],DATA!A:L,11,0),"")</f>
        <v>BATZ 1</v>
      </c>
      <c r="J272" s="16"/>
      <c r="K272" s="19"/>
    </row>
    <row r="273" spans="1:11" x14ac:dyDescent="0.25">
      <c r="A2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73" s="22">
        <v>45925</v>
      </c>
      <c r="C273" s="16" t="s">
        <v>25</v>
      </c>
      <c r="D273" s="16" t="s">
        <v>731</v>
      </c>
      <c r="E273" s="17">
        <f>IFERROR(VLOOKUP(Tabulka2[[#This Row],[Pracovník]],DATA!A:L,5,0),"")</f>
        <v>0</v>
      </c>
      <c r="F273" s="12" t="s">
        <v>655</v>
      </c>
      <c r="G273" s="16"/>
      <c r="H273" s="18"/>
      <c r="I273" s="27" t="str">
        <f>IFERROR(VLOOKUP(Tabulka2[[#This Row],[Pracovník]],DATA!A:L,11,0),"")</f>
        <v>BATZ 1</v>
      </c>
      <c r="J273" s="16"/>
      <c r="K273" s="19"/>
    </row>
    <row r="274" spans="1:11" x14ac:dyDescent="0.25">
      <c r="A2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74" s="22">
        <v>45925</v>
      </c>
      <c r="C274" s="16" t="s">
        <v>56</v>
      </c>
      <c r="D274" s="16" t="s">
        <v>910</v>
      </c>
      <c r="E274" s="17">
        <f>IFERROR(VLOOKUP(Tabulka2[[#This Row],[Pracovník]],DATA!A:L,5,0),"")</f>
        <v>6474</v>
      </c>
      <c r="F274" s="12" t="s">
        <v>640</v>
      </c>
      <c r="G274" s="16"/>
      <c r="H274" s="18"/>
      <c r="I274" s="27" t="str">
        <f>IFERROR(VLOOKUP(Tabulka2[[#This Row],[Pracovník]],DATA!A:L,11,0),"")</f>
        <v>BATZ 1</v>
      </c>
      <c r="J274" s="16"/>
      <c r="K274" s="19"/>
    </row>
    <row r="275" spans="1:11" x14ac:dyDescent="0.25">
      <c r="A2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75" s="22">
        <v>45925</v>
      </c>
      <c r="C275" s="16" t="s">
        <v>56</v>
      </c>
      <c r="D275" s="16" t="s">
        <v>911</v>
      </c>
      <c r="E275" s="17">
        <f>IFERROR(VLOOKUP(Tabulka2[[#This Row],[Pracovník]],DATA!A:L,5,0),"")</f>
        <v>5110</v>
      </c>
      <c r="F275" s="12" t="s">
        <v>653</v>
      </c>
      <c r="G275" s="16" t="s">
        <v>656</v>
      </c>
      <c r="H275" s="18"/>
      <c r="I275" s="27" t="str">
        <f>IFERROR(VLOOKUP(Tabulka2[[#This Row],[Pracovník]],DATA!A:L,11,0),"")</f>
        <v>BATZ 2</v>
      </c>
      <c r="J275" s="16"/>
      <c r="K275" s="19"/>
    </row>
    <row r="276" spans="1:11" x14ac:dyDescent="0.25">
      <c r="A2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76" s="22">
        <v>45925</v>
      </c>
      <c r="C276" s="16" t="s">
        <v>56</v>
      </c>
      <c r="D276" s="16" t="s">
        <v>912</v>
      </c>
      <c r="E276" s="17">
        <f>IFERROR(VLOOKUP(Tabulka2[[#This Row],[Pracovník]],DATA!A:L,5,0),"")</f>
        <v>6473</v>
      </c>
      <c r="F276" s="12" t="s">
        <v>654</v>
      </c>
      <c r="G276" s="16"/>
      <c r="H276" s="18"/>
      <c r="I276" s="27" t="str">
        <f>IFERROR(VLOOKUP(Tabulka2[[#This Row],[Pracovník]],DATA!A:L,11,0),"")</f>
        <v>BATZ 1</v>
      </c>
      <c r="J276" s="16"/>
      <c r="K276" s="19"/>
    </row>
    <row r="277" spans="1:11" x14ac:dyDescent="0.25">
      <c r="A2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77" s="22">
        <v>45925</v>
      </c>
      <c r="C277" s="16" t="s">
        <v>56</v>
      </c>
      <c r="D277" s="16" t="s">
        <v>913</v>
      </c>
      <c r="E277" s="17">
        <f>IFERROR(VLOOKUP(Tabulka2[[#This Row],[Pracovník]],DATA!A:L,5,0),"")</f>
        <v>6394</v>
      </c>
      <c r="F277" s="12" t="s">
        <v>640</v>
      </c>
      <c r="G277" s="16"/>
      <c r="H277" s="18"/>
      <c r="I277" s="27" t="str">
        <f>IFERROR(VLOOKUP(Tabulka2[[#This Row],[Pracovník]],DATA!A:L,11,0),"")</f>
        <v>BATZ 1</v>
      </c>
      <c r="J277" s="16"/>
      <c r="K277" s="19"/>
    </row>
    <row r="278" spans="1:11" x14ac:dyDescent="0.25">
      <c r="A2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78" s="22">
        <v>45925</v>
      </c>
      <c r="C278" s="16" t="s">
        <v>96</v>
      </c>
      <c r="D278" s="16" t="s">
        <v>641</v>
      </c>
      <c r="E278" s="17">
        <f>IFERROR(VLOOKUP(Tabulka2[[#This Row],[Pracovník]],DATA!A:L,5,0),"")</f>
        <v>6259</v>
      </c>
      <c r="F278" s="12" t="s">
        <v>654</v>
      </c>
      <c r="G278" s="16"/>
      <c r="H278" s="18"/>
      <c r="I278" s="27" t="str">
        <f>IFERROR(VLOOKUP(Tabulka2[[#This Row],[Pracovník]],DATA!A:L,11,0),"")</f>
        <v>Vlastní auto</v>
      </c>
      <c r="J278" s="16"/>
      <c r="K278" s="19"/>
    </row>
    <row r="279" spans="1:11" x14ac:dyDescent="0.25">
      <c r="A2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79" s="22">
        <v>45925</v>
      </c>
      <c r="C279" s="16" t="s">
        <v>96</v>
      </c>
      <c r="D279" s="16" t="s">
        <v>649</v>
      </c>
      <c r="E279" s="17">
        <f>IFERROR(VLOOKUP(Tabulka2[[#This Row],[Pracovník]],DATA!A:L,5,0),"")</f>
        <v>3951</v>
      </c>
      <c r="F279" s="12" t="s">
        <v>640</v>
      </c>
      <c r="G279" s="16"/>
      <c r="H279" s="18"/>
      <c r="I279" s="27" t="str">
        <f>IFERROR(VLOOKUP(Tabulka2[[#This Row],[Pracovník]],DATA!A:L,11,0),"")</f>
        <v>Vlastní auto</v>
      </c>
      <c r="J279" s="16"/>
      <c r="K279" s="19"/>
    </row>
    <row r="280" spans="1:11" x14ac:dyDescent="0.25">
      <c r="A2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80" s="22">
        <v>45925</v>
      </c>
      <c r="C280" s="16" t="s">
        <v>96</v>
      </c>
      <c r="D280" s="16" t="s">
        <v>742</v>
      </c>
      <c r="E280" s="17">
        <f>IFERROR(VLOOKUP(Tabulka2[[#This Row],[Pracovník]],DATA!A:L,5,0),"")</f>
        <v>6450</v>
      </c>
      <c r="F280" s="12" t="s">
        <v>654</v>
      </c>
      <c r="G280" s="16"/>
      <c r="H280" s="18"/>
      <c r="I280" s="27" t="str">
        <f>IFERROR(VLOOKUP(Tabulka2[[#This Row],[Pracovník]],DATA!A:L,11,0),"")</f>
        <v>DSC 2</v>
      </c>
      <c r="J280" s="16"/>
      <c r="K280" s="19"/>
    </row>
    <row r="281" spans="1:11" x14ac:dyDescent="0.25">
      <c r="A2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81" s="22">
        <v>45925</v>
      </c>
      <c r="C281" s="16" t="s">
        <v>96</v>
      </c>
      <c r="D281" s="16" t="s">
        <v>980</v>
      </c>
      <c r="E281" s="17">
        <f>IFERROR(VLOOKUP(Tabulka2[[#This Row],[Pracovník]],DATA!A:L,5,0),"")</f>
        <v>6457</v>
      </c>
      <c r="F281" s="12" t="s">
        <v>653</v>
      </c>
      <c r="G281" s="16" t="s">
        <v>657</v>
      </c>
      <c r="H281" s="18"/>
      <c r="I281" s="27" t="str">
        <f>IFERROR(VLOOKUP(Tabulka2[[#This Row],[Pracovník]],DATA!A:L,11,0),"")</f>
        <v>DSC 1</v>
      </c>
      <c r="J281" s="16"/>
      <c r="K281" s="19"/>
    </row>
    <row r="282" spans="1:11" x14ac:dyDescent="0.25">
      <c r="A2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82" s="22">
        <v>45925</v>
      </c>
      <c r="C282" s="16" t="s">
        <v>96</v>
      </c>
      <c r="D282" s="16" t="s">
        <v>744</v>
      </c>
      <c r="E282" s="17">
        <f>IFERROR(VLOOKUP(Tabulka2[[#This Row],[Pracovník]],DATA!A:L,5,0),"")</f>
        <v>5584</v>
      </c>
      <c r="F282" s="12" t="s">
        <v>654</v>
      </c>
      <c r="G282" s="16"/>
      <c r="H282" s="18"/>
      <c r="I282" s="27" t="str">
        <f>IFERROR(VLOOKUP(Tabulka2[[#This Row],[Pracovník]],DATA!A:L,11,0),"")</f>
        <v>Vlastní auto</v>
      </c>
      <c r="J282" s="16"/>
      <c r="K282" s="19"/>
    </row>
    <row r="283" spans="1:11" x14ac:dyDescent="0.25">
      <c r="A2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83" s="22">
        <v>45925</v>
      </c>
      <c r="C283" s="16" t="s">
        <v>96</v>
      </c>
      <c r="D283" s="16" t="s">
        <v>745</v>
      </c>
      <c r="E283" s="17">
        <f>IFERROR(VLOOKUP(Tabulka2[[#This Row],[Pracovník]],DATA!A:L,5,0),"")</f>
        <v>6418</v>
      </c>
      <c r="F283" s="12" t="s">
        <v>654</v>
      </c>
      <c r="G283" s="16"/>
      <c r="H283" s="18"/>
      <c r="I283" s="27" t="str">
        <f>IFERROR(VLOOKUP(Tabulka2[[#This Row],[Pracovník]],DATA!A:L,11,0),"")</f>
        <v>Vlastní auto</v>
      </c>
      <c r="J283" s="16"/>
      <c r="K283" s="19"/>
    </row>
    <row r="284" spans="1:11" x14ac:dyDescent="0.25">
      <c r="A2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84" s="22">
        <v>45925</v>
      </c>
      <c r="C284" s="16" t="s">
        <v>96</v>
      </c>
      <c r="D284" s="16" t="s">
        <v>747</v>
      </c>
      <c r="E284" s="17">
        <f>IFERROR(VLOOKUP(Tabulka2[[#This Row],[Pracovník]],DATA!A:L,5,0),"")</f>
        <v>6177</v>
      </c>
      <c r="F284" s="12" t="s">
        <v>654</v>
      </c>
      <c r="G284" s="16"/>
      <c r="H284" s="18"/>
      <c r="I284" s="27" t="str">
        <f>IFERROR(VLOOKUP(Tabulka2[[#This Row],[Pracovník]],DATA!A:L,11,0),"")</f>
        <v>DSC 1</v>
      </c>
      <c r="J284" s="16"/>
      <c r="K284" s="19"/>
    </row>
    <row r="285" spans="1:11" x14ac:dyDescent="0.25">
      <c r="A2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85" s="22">
        <v>45925</v>
      </c>
      <c r="C285" s="16" t="s">
        <v>96</v>
      </c>
      <c r="D285" s="16" t="s">
        <v>746</v>
      </c>
      <c r="E285" s="17">
        <f>IFERROR(VLOOKUP(Tabulka2[[#This Row],[Pracovník]],DATA!A:L,5,0),"")</f>
        <v>6543</v>
      </c>
      <c r="F285" s="12" t="s">
        <v>640</v>
      </c>
      <c r="G285" s="16"/>
      <c r="H285" s="18"/>
      <c r="I285" s="27" t="str">
        <f>IFERROR(VLOOKUP(Tabulka2[[#This Row],[Pracovník]],DATA!A:L,11,0),"")</f>
        <v>DSC 1</v>
      </c>
      <c r="J285" s="16"/>
      <c r="K285" s="19"/>
    </row>
    <row r="286" spans="1:11" x14ac:dyDescent="0.25">
      <c r="A2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86" s="22">
        <v>45925</v>
      </c>
      <c r="C286" s="16" t="s">
        <v>96</v>
      </c>
      <c r="D286" s="16" t="s">
        <v>748</v>
      </c>
      <c r="E286" s="17">
        <f>IFERROR(VLOOKUP(Tabulka2[[#This Row],[Pracovník]],DATA!A:L,5,0),"")</f>
        <v>6541</v>
      </c>
      <c r="F286" s="12" t="s">
        <v>655</v>
      </c>
      <c r="G286" s="16"/>
      <c r="H286" s="18"/>
      <c r="I286" s="27" t="str">
        <f>IFERROR(VLOOKUP(Tabulka2[[#This Row],[Pracovník]],DATA!A:L,11,0),"")</f>
        <v>DSC 2</v>
      </c>
      <c r="J286" s="16"/>
      <c r="K286" s="19"/>
    </row>
    <row r="287" spans="1:11" x14ac:dyDescent="0.25">
      <c r="A2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87" s="22">
        <v>45925</v>
      </c>
      <c r="C287" s="16" t="s">
        <v>96</v>
      </c>
      <c r="D287" s="16" t="s">
        <v>749</v>
      </c>
      <c r="E287" s="17">
        <f>IFERROR(VLOOKUP(Tabulka2[[#This Row],[Pracovník]],DATA!A:L,5,0),"")</f>
        <v>6442</v>
      </c>
      <c r="F287" s="12" t="s">
        <v>640</v>
      </c>
      <c r="G287" s="16"/>
      <c r="H287" s="18"/>
      <c r="I287" s="27" t="str">
        <f>IFERROR(VLOOKUP(Tabulka2[[#This Row],[Pracovník]],DATA!A:L,11,0),"")</f>
        <v>DSC 2</v>
      </c>
      <c r="J287" s="16"/>
      <c r="K287" s="19"/>
    </row>
    <row r="288" spans="1:11" x14ac:dyDescent="0.25">
      <c r="A2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88" s="22">
        <v>45925</v>
      </c>
      <c r="C288" s="16" t="s">
        <v>96</v>
      </c>
      <c r="D288" s="16" t="s">
        <v>750</v>
      </c>
      <c r="E288" s="17">
        <f>IFERROR(VLOOKUP(Tabulka2[[#This Row],[Pracovník]],DATA!A:L,5,0),"")</f>
        <v>6143</v>
      </c>
      <c r="F288" s="12" t="s">
        <v>654</v>
      </c>
      <c r="G288" s="16"/>
      <c r="H288" s="18"/>
      <c r="I288" s="27" t="str">
        <f>IFERROR(VLOOKUP(Tabulka2[[#This Row],[Pracovník]],DATA!A:L,11,0),"")</f>
        <v>Vlastní auto</v>
      </c>
      <c r="J288" s="16"/>
      <c r="K288" s="19"/>
    </row>
    <row r="289" spans="1:11" x14ac:dyDescent="0.25">
      <c r="A2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89" s="22">
        <v>45925</v>
      </c>
      <c r="C289" s="16" t="s">
        <v>96</v>
      </c>
      <c r="D289" s="16" t="s">
        <v>751</v>
      </c>
      <c r="E289" s="17">
        <f>IFERROR(VLOOKUP(Tabulka2[[#This Row],[Pracovník]],DATA!A:L,5,0),"")</f>
        <v>6260</v>
      </c>
      <c r="F289" s="12" t="s">
        <v>654</v>
      </c>
      <c r="G289" s="16"/>
      <c r="H289" s="18"/>
      <c r="I289" s="27" t="str">
        <f>IFERROR(VLOOKUP(Tabulka2[[#This Row],[Pracovník]],DATA!A:L,11,0),"")</f>
        <v>Vlastní auto</v>
      </c>
      <c r="J289" s="16"/>
      <c r="K289" s="19"/>
    </row>
    <row r="290" spans="1:11" x14ac:dyDescent="0.25">
      <c r="A2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90" s="22">
        <v>45925</v>
      </c>
      <c r="C290" s="16" t="s">
        <v>96</v>
      </c>
      <c r="D290" s="16" t="s">
        <v>981</v>
      </c>
      <c r="E290" s="17">
        <f>IFERROR(VLOOKUP(Tabulka2[[#This Row],[Pracovník]],DATA!A:L,5,0),"")</f>
        <v>6542</v>
      </c>
      <c r="F290" s="12" t="s">
        <v>640</v>
      </c>
      <c r="G290" s="16"/>
      <c r="H290" s="18"/>
      <c r="I290" s="27" t="str">
        <f>IFERROR(VLOOKUP(Tabulka2[[#This Row],[Pracovník]],DATA!A:L,11,0),"")</f>
        <v>DSC 2</v>
      </c>
      <c r="J290" s="16"/>
      <c r="K290" s="19"/>
    </row>
    <row r="291" spans="1:11" x14ac:dyDescent="0.25">
      <c r="A2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91" s="22">
        <v>45925</v>
      </c>
      <c r="C291" s="16" t="s">
        <v>96</v>
      </c>
      <c r="D291" s="16" t="s">
        <v>982</v>
      </c>
      <c r="E291" s="17">
        <f>IFERROR(VLOOKUP(Tabulka2[[#This Row],[Pracovník]],DATA!A:L,5,0),"")</f>
        <v>6525</v>
      </c>
      <c r="F291" s="12" t="s">
        <v>655</v>
      </c>
      <c r="G291" s="16"/>
      <c r="H291" s="18"/>
      <c r="I291" s="27" t="str">
        <f>IFERROR(VLOOKUP(Tabulka2[[#This Row],[Pracovník]],DATA!A:L,11,0),"")</f>
        <v>DSC 2</v>
      </c>
      <c r="J291" s="16"/>
      <c r="K291" s="19"/>
    </row>
    <row r="292" spans="1:11" x14ac:dyDescent="0.25">
      <c r="A2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92" s="22">
        <v>45925</v>
      </c>
      <c r="C292" s="16" t="s">
        <v>96</v>
      </c>
      <c r="D292" s="16" t="s">
        <v>752</v>
      </c>
      <c r="E292" s="17">
        <f>IFERROR(VLOOKUP(Tabulka2[[#This Row],[Pracovník]],DATA!A:L,5,0),"")</f>
        <v>6430</v>
      </c>
      <c r="F292" s="12" t="s">
        <v>655</v>
      </c>
      <c r="G292" s="16"/>
      <c r="H292" s="18"/>
      <c r="I292" s="27" t="str">
        <f>IFERROR(VLOOKUP(Tabulka2[[#This Row],[Pracovník]],DATA!A:L,11,0),"")</f>
        <v>Vlastní auto</v>
      </c>
      <c r="J292" s="16"/>
      <c r="K292" s="19"/>
    </row>
    <row r="293" spans="1:11" x14ac:dyDescent="0.25">
      <c r="A2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93" s="22">
        <v>45925</v>
      </c>
      <c r="C293" s="16" t="s">
        <v>96</v>
      </c>
      <c r="D293" s="16" t="s">
        <v>983</v>
      </c>
      <c r="E293" s="17">
        <f>IFERROR(VLOOKUP(Tabulka2[[#This Row],[Pracovník]],DATA!A:L,5,0),"")</f>
        <v>6454</v>
      </c>
      <c r="F293" s="12" t="s">
        <v>655</v>
      </c>
      <c r="G293" s="16"/>
      <c r="H293" s="18"/>
      <c r="I293" s="27" t="str">
        <f>IFERROR(VLOOKUP(Tabulka2[[#This Row],[Pracovník]],DATA!A:L,11,0),"")</f>
        <v>DSC 1</v>
      </c>
      <c r="J293" s="16"/>
      <c r="K293" s="19"/>
    </row>
    <row r="294" spans="1:11" x14ac:dyDescent="0.25">
      <c r="A2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94" s="22">
        <v>45925</v>
      </c>
      <c r="C294" s="16" t="s">
        <v>96</v>
      </c>
      <c r="D294" s="16" t="s">
        <v>753</v>
      </c>
      <c r="E294" s="17">
        <f>IFERROR(VLOOKUP(Tabulka2[[#This Row],[Pracovník]],DATA!A:L,5,0),"")</f>
        <v>6016</v>
      </c>
      <c r="F294" s="12" t="s">
        <v>640</v>
      </c>
      <c r="G294" s="16"/>
      <c r="H294" s="18"/>
      <c r="I294" s="27" t="str">
        <f>IFERROR(VLOOKUP(Tabulka2[[#This Row],[Pracovník]],DATA!A:L,11,0),"")</f>
        <v>DSC 2</v>
      </c>
      <c r="J294" s="16"/>
      <c r="K294" s="19"/>
    </row>
    <row r="295" spans="1:11" x14ac:dyDescent="0.25">
      <c r="A2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95" s="22">
        <v>45925</v>
      </c>
      <c r="C295" s="16" t="s">
        <v>96</v>
      </c>
      <c r="D295" s="16" t="s">
        <v>754</v>
      </c>
      <c r="E295" s="17">
        <f>IFERROR(VLOOKUP(Tabulka2[[#This Row],[Pracovník]],DATA!A:L,5,0),"")</f>
        <v>6437</v>
      </c>
      <c r="F295" s="12" t="s">
        <v>654</v>
      </c>
      <c r="G295" s="16"/>
      <c r="H295" s="18"/>
      <c r="I295" s="27" t="str">
        <f>IFERROR(VLOOKUP(Tabulka2[[#This Row],[Pracovník]],DATA!A:L,11,0),"")</f>
        <v>DSC 2</v>
      </c>
      <c r="J295" s="16"/>
      <c r="K295" s="19"/>
    </row>
    <row r="296" spans="1:11" x14ac:dyDescent="0.25">
      <c r="A2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96" s="22">
        <v>45925</v>
      </c>
      <c r="C296" s="16" t="s">
        <v>96</v>
      </c>
      <c r="D296" s="16" t="s">
        <v>756</v>
      </c>
      <c r="E296" s="17">
        <f>IFERROR(VLOOKUP(Tabulka2[[#This Row],[Pracovník]],DATA!A:L,5,0),"")</f>
        <v>6431</v>
      </c>
      <c r="F296" s="12" t="s">
        <v>653</v>
      </c>
      <c r="G296" s="16" t="s">
        <v>656</v>
      </c>
      <c r="H296" s="18"/>
      <c r="I296" s="27" t="str">
        <f>IFERROR(VLOOKUP(Tabulka2[[#This Row],[Pracovník]],DATA!A:L,11,0),"")</f>
        <v>DSC 1</v>
      </c>
      <c r="J296" s="16"/>
      <c r="K296" s="19"/>
    </row>
    <row r="297" spans="1:11" x14ac:dyDescent="0.25">
      <c r="A2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97" s="22">
        <v>45925</v>
      </c>
      <c r="C297" s="16" t="s">
        <v>96</v>
      </c>
      <c r="D297" s="16" t="s">
        <v>642</v>
      </c>
      <c r="E297" s="17">
        <f>IFERROR(VLOOKUP(Tabulka2[[#This Row],[Pracovník]],DATA!A:L,5,0),"")</f>
        <v>6119</v>
      </c>
      <c r="F297" s="12" t="s">
        <v>653</v>
      </c>
      <c r="G297" s="16" t="s">
        <v>657</v>
      </c>
      <c r="H297" s="18"/>
      <c r="I297" s="27" t="str">
        <f>IFERROR(VLOOKUP(Tabulka2[[#This Row],[Pracovník]],DATA!A:L,11,0),"")</f>
        <v>DSC 1</v>
      </c>
      <c r="J297" s="16"/>
      <c r="K297" s="19"/>
    </row>
    <row r="298" spans="1:11" x14ac:dyDescent="0.25">
      <c r="A2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98" s="22">
        <v>45925</v>
      </c>
      <c r="C298" s="16" t="s">
        <v>96</v>
      </c>
      <c r="D298" s="16" t="s">
        <v>757</v>
      </c>
      <c r="E298" s="17">
        <f>IFERROR(VLOOKUP(Tabulka2[[#This Row],[Pracovník]],DATA!A:L,5,0),"")</f>
        <v>6559</v>
      </c>
      <c r="F298" s="12" t="s">
        <v>654</v>
      </c>
      <c r="G298" s="16"/>
      <c r="H298" s="18"/>
      <c r="I298" s="27" t="str">
        <f>IFERROR(VLOOKUP(Tabulka2[[#This Row],[Pracovník]],DATA!A:L,11,0),"")</f>
        <v>DSC 1</v>
      </c>
      <c r="J298" s="16"/>
      <c r="K298" s="19"/>
    </row>
    <row r="299" spans="1:11" x14ac:dyDescent="0.25">
      <c r="A2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299" s="22">
        <v>45925</v>
      </c>
      <c r="C299" s="16" t="s">
        <v>96</v>
      </c>
      <c r="D299" s="16" t="s">
        <v>984</v>
      </c>
      <c r="E299" s="17">
        <f>IFERROR(VLOOKUP(Tabulka2[[#This Row],[Pracovník]],DATA!A:L,5,0),"")</f>
        <v>6496</v>
      </c>
      <c r="F299" s="12" t="s">
        <v>640</v>
      </c>
      <c r="G299" s="16"/>
      <c r="H299" s="18"/>
      <c r="I299" s="27" t="str">
        <f>IFERROR(VLOOKUP(Tabulka2[[#This Row],[Pracovník]],DATA!A:L,11,0),"")</f>
        <v>DSC 2</v>
      </c>
      <c r="J299" s="16"/>
      <c r="K299" s="19"/>
    </row>
    <row r="300" spans="1:11" x14ac:dyDescent="0.25">
      <c r="A3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00" s="22">
        <v>45925</v>
      </c>
      <c r="C300" s="16" t="s">
        <v>96</v>
      </c>
      <c r="D300" s="16" t="s">
        <v>758</v>
      </c>
      <c r="E300" s="17">
        <f>IFERROR(VLOOKUP(Tabulka2[[#This Row],[Pracovník]],DATA!A:L,5,0),"")</f>
        <v>4392</v>
      </c>
      <c r="F300" s="12" t="s">
        <v>640</v>
      </c>
      <c r="G300" s="16"/>
      <c r="H300" s="18"/>
      <c r="I300" s="27" t="str">
        <f>IFERROR(VLOOKUP(Tabulka2[[#This Row],[Pracovník]],DATA!A:L,11,0),"")</f>
        <v>DSC 1</v>
      </c>
      <c r="J300" s="16"/>
      <c r="K300" s="19"/>
    </row>
    <row r="301" spans="1:11" x14ac:dyDescent="0.25">
      <c r="A3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01" s="22">
        <v>45925</v>
      </c>
      <c r="C301" s="16" t="s">
        <v>96</v>
      </c>
      <c r="D301" s="16" t="s">
        <v>760</v>
      </c>
      <c r="E301" s="17">
        <f>IFERROR(VLOOKUP(Tabulka2[[#This Row],[Pracovník]],DATA!A:L,5,0),"")</f>
        <v>6514</v>
      </c>
      <c r="F301" s="12" t="s">
        <v>654</v>
      </c>
      <c r="G301" s="16"/>
      <c r="H301" s="18"/>
      <c r="I301" s="27" t="str">
        <f>IFERROR(VLOOKUP(Tabulka2[[#This Row],[Pracovník]],DATA!A:L,11,0),"")</f>
        <v>DSC 2</v>
      </c>
      <c r="J301" s="16"/>
      <c r="K301" s="19"/>
    </row>
    <row r="302" spans="1:11" x14ac:dyDescent="0.25">
      <c r="A3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02" s="22">
        <v>45925</v>
      </c>
      <c r="C302" s="16" t="s">
        <v>96</v>
      </c>
      <c r="D302" s="16" t="s">
        <v>761</v>
      </c>
      <c r="E302" s="17">
        <f>IFERROR(VLOOKUP(Tabulka2[[#This Row],[Pracovník]],DATA!A:L,5,0),"")</f>
        <v>6516</v>
      </c>
      <c r="F302" s="12" t="s">
        <v>640</v>
      </c>
      <c r="G302" s="16"/>
      <c r="H302" s="18"/>
      <c r="I302" s="27" t="str">
        <f>IFERROR(VLOOKUP(Tabulka2[[#This Row],[Pracovník]],DATA!A:L,11,0),"")</f>
        <v>DSC 1</v>
      </c>
      <c r="J302" s="16"/>
      <c r="K302" s="19"/>
    </row>
    <row r="303" spans="1:11" x14ac:dyDescent="0.25">
      <c r="A3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03" s="22">
        <v>45925</v>
      </c>
      <c r="C303" s="16" t="s">
        <v>96</v>
      </c>
      <c r="D303" s="16" t="s">
        <v>762</v>
      </c>
      <c r="E303" s="17">
        <f>IFERROR(VLOOKUP(Tabulka2[[#This Row],[Pracovník]],DATA!A:L,5,0),"")</f>
        <v>0</v>
      </c>
      <c r="F303" s="12" t="s">
        <v>640</v>
      </c>
      <c r="G303" s="16"/>
      <c r="H303" s="18"/>
      <c r="I303" s="27" t="str">
        <f>IFERROR(VLOOKUP(Tabulka2[[#This Row],[Pracovník]],DATA!A:L,11,0),"")</f>
        <v>Vlastní auto</v>
      </c>
      <c r="J303" s="16"/>
      <c r="K303" s="19"/>
    </row>
    <row r="304" spans="1:11" x14ac:dyDescent="0.25">
      <c r="A3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04" s="22">
        <v>45925</v>
      </c>
      <c r="C304" s="16" t="s">
        <v>96</v>
      </c>
      <c r="D304" s="16" t="s">
        <v>985</v>
      </c>
      <c r="E304" s="17">
        <f>IFERROR(VLOOKUP(Tabulka2[[#This Row],[Pracovník]],DATA!A:L,5,0),"")</f>
        <v>6449</v>
      </c>
      <c r="F304" s="12" t="s">
        <v>640</v>
      </c>
      <c r="G304" s="16"/>
      <c r="H304" s="18"/>
      <c r="I304" s="27" t="str">
        <f>IFERROR(VLOOKUP(Tabulka2[[#This Row],[Pracovník]],DATA!A:L,11,0),"")</f>
        <v>DSC 2</v>
      </c>
      <c r="J304" s="16"/>
      <c r="K304" s="19"/>
    </row>
    <row r="305" spans="1:11" x14ac:dyDescent="0.25">
      <c r="A3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05" s="22">
        <v>45925</v>
      </c>
      <c r="C305" s="16" t="s">
        <v>96</v>
      </c>
      <c r="D305" s="16" t="s">
        <v>763</v>
      </c>
      <c r="E305" s="17">
        <f>IFERROR(VLOOKUP(Tabulka2[[#This Row],[Pracovník]],DATA!A:L,5,0),"")</f>
        <v>6158</v>
      </c>
      <c r="F305" s="12" t="s">
        <v>640</v>
      </c>
      <c r="G305" s="16"/>
      <c r="H305" s="18"/>
      <c r="I305" s="27" t="str">
        <f>IFERROR(VLOOKUP(Tabulka2[[#This Row],[Pracovník]],DATA!A:L,11,0),"")</f>
        <v>DSC 2</v>
      </c>
      <c r="J305" s="16"/>
      <c r="K305" s="19"/>
    </row>
    <row r="306" spans="1:11" x14ac:dyDescent="0.25">
      <c r="A3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06" s="22">
        <v>45925</v>
      </c>
      <c r="C306" s="16" t="s">
        <v>96</v>
      </c>
      <c r="D306" s="16" t="s">
        <v>986</v>
      </c>
      <c r="E306" s="17">
        <f>IFERROR(VLOOKUP(Tabulka2[[#This Row],[Pracovník]],DATA!A:L,5,0),"")</f>
        <v>6232</v>
      </c>
      <c r="F306" s="12" t="s">
        <v>654</v>
      </c>
      <c r="G306" s="16"/>
      <c r="H306" s="18"/>
      <c r="I306" s="27" t="str">
        <f>IFERROR(VLOOKUP(Tabulka2[[#This Row],[Pracovník]],DATA!A:L,11,0),"")</f>
        <v>DSC 2</v>
      </c>
      <c r="J306" s="16"/>
      <c r="K306" s="19"/>
    </row>
    <row r="307" spans="1:11" x14ac:dyDescent="0.25">
      <c r="A3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07" s="22">
        <v>45925</v>
      </c>
      <c r="C307" s="16" t="s">
        <v>96</v>
      </c>
      <c r="D307" s="16" t="s">
        <v>764</v>
      </c>
      <c r="E307" s="17">
        <f>IFERROR(VLOOKUP(Tabulka2[[#This Row],[Pracovník]],DATA!A:L,5,0),"")</f>
        <v>3063</v>
      </c>
      <c r="F307" s="12" t="s">
        <v>654</v>
      </c>
      <c r="G307" s="16"/>
      <c r="H307" s="18"/>
      <c r="I307" s="27" t="str">
        <f>IFERROR(VLOOKUP(Tabulka2[[#This Row],[Pracovník]],DATA!A:L,11,0),"")</f>
        <v>DSC 2</v>
      </c>
      <c r="J307" s="16"/>
      <c r="K307" s="19"/>
    </row>
    <row r="308" spans="1:11" x14ac:dyDescent="0.25">
      <c r="A3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08" s="22">
        <v>45925</v>
      </c>
      <c r="C308" s="16" t="s">
        <v>96</v>
      </c>
      <c r="D308" s="16" t="s">
        <v>765</v>
      </c>
      <c r="E308" s="17">
        <f>IFERROR(VLOOKUP(Tabulka2[[#This Row],[Pracovník]],DATA!A:L,5,0),"")</f>
        <v>5853</v>
      </c>
      <c r="F308" s="12" t="s">
        <v>640</v>
      </c>
      <c r="G308" s="16"/>
      <c r="H308" s="18"/>
      <c r="I308" s="27" t="str">
        <f>IFERROR(VLOOKUP(Tabulka2[[#This Row],[Pracovník]],DATA!A:L,11,0),"")</f>
        <v>DSC 2</v>
      </c>
      <c r="J308" s="16"/>
      <c r="K308" s="19"/>
    </row>
    <row r="309" spans="1:11" x14ac:dyDescent="0.25">
      <c r="A3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09" s="22">
        <v>45925</v>
      </c>
      <c r="C309" s="16" t="s">
        <v>96</v>
      </c>
      <c r="D309" s="16" t="s">
        <v>766</v>
      </c>
      <c r="E309" s="17">
        <f>IFERROR(VLOOKUP(Tabulka2[[#This Row],[Pracovník]],DATA!A:L,5,0),"")</f>
        <v>6408</v>
      </c>
      <c r="F309" s="12" t="s">
        <v>655</v>
      </c>
      <c r="G309" s="16"/>
      <c r="H309" s="18"/>
      <c r="I309" s="27" t="str">
        <f>IFERROR(VLOOKUP(Tabulka2[[#This Row],[Pracovník]],DATA!A:L,11,0),"")</f>
        <v>Vlastní auto</v>
      </c>
      <c r="J309" s="16"/>
      <c r="K309" s="19"/>
    </row>
    <row r="310" spans="1:11" x14ac:dyDescent="0.25">
      <c r="A3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10" s="22">
        <v>45925</v>
      </c>
      <c r="C310" s="16" t="s">
        <v>96</v>
      </c>
      <c r="D310" s="16" t="s">
        <v>767</v>
      </c>
      <c r="E310" s="17">
        <f>IFERROR(VLOOKUP(Tabulka2[[#This Row],[Pracovník]],DATA!A:L,5,0),"")</f>
        <v>6544</v>
      </c>
      <c r="F310" s="12" t="s">
        <v>640</v>
      </c>
      <c r="G310" s="16"/>
      <c r="H310" s="18"/>
      <c r="I310" s="27" t="str">
        <f>IFERROR(VLOOKUP(Tabulka2[[#This Row],[Pracovník]],DATA!A:L,11,0),"")</f>
        <v>DSC 1</v>
      </c>
      <c r="J310" s="16"/>
      <c r="K310" s="19"/>
    </row>
    <row r="311" spans="1:11" x14ac:dyDescent="0.25">
      <c r="A3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11" s="22">
        <v>45925</v>
      </c>
      <c r="C311" s="16" t="s">
        <v>96</v>
      </c>
      <c r="D311" s="16" t="s">
        <v>987</v>
      </c>
      <c r="E311" s="17">
        <f>IFERROR(VLOOKUP(Tabulka2[[#This Row],[Pracovník]],DATA!A:L,5,0),"")</f>
        <v>6492</v>
      </c>
      <c r="F311" s="12" t="s">
        <v>640</v>
      </c>
      <c r="G311" s="16"/>
      <c r="H311" s="18"/>
      <c r="I311" s="27" t="str">
        <f>IFERROR(VLOOKUP(Tabulka2[[#This Row],[Pracovník]],DATA!A:L,11,0),"")</f>
        <v>DSC 2</v>
      </c>
      <c r="J311" s="16"/>
      <c r="K311" s="19"/>
    </row>
    <row r="312" spans="1:11" x14ac:dyDescent="0.25">
      <c r="A3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12" s="22">
        <v>45925</v>
      </c>
      <c r="C312" s="16" t="s">
        <v>96</v>
      </c>
      <c r="D312" s="16" t="s">
        <v>988</v>
      </c>
      <c r="E312" s="17">
        <f>IFERROR(VLOOKUP(Tabulka2[[#This Row],[Pracovník]],DATA!A:L,5,0),"")</f>
        <v>6452</v>
      </c>
      <c r="F312" s="12" t="s">
        <v>654</v>
      </c>
      <c r="G312" s="16"/>
      <c r="H312" s="18"/>
      <c r="I312" s="27" t="str">
        <f>IFERROR(VLOOKUP(Tabulka2[[#This Row],[Pracovník]],DATA!A:L,11,0),"")</f>
        <v>DSC 1</v>
      </c>
      <c r="J312" s="16"/>
      <c r="K312" s="19"/>
    </row>
    <row r="313" spans="1:11" x14ac:dyDescent="0.25">
      <c r="A3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13" s="22">
        <v>45925</v>
      </c>
      <c r="C313" s="16" t="s">
        <v>96</v>
      </c>
      <c r="D313" s="16" t="s">
        <v>989</v>
      </c>
      <c r="E313" s="17">
        <f>IFERROR(VLOOKUP(Tabulka2[[#This Row],[Pracovník]],DATA!A:L,5,0),"")</f>
        <v>6546</v>
      </c>
      <c r="F313" s="12" t="s">
        <v>640</v>
      </c>
      <c r="G313" s="16"/>
      <c r="H313" s="18"/>
      <c r="I313" s="27" t="str">
        <f>IFERROR(VLOOKUP(Tabulka2[[#This Row],[Pracovník]],DATA!A:L,11,0),"")</f>
        <v>DSC 2</v>
      </c>
      <c r="J313" s="16"/>
      <c r="K313" s="19"/>
    </row>
    <row r="314" spans="1:11" x14ac:dyDescent="0.25">
      <c r="A3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14" s="22">
        <v>45925</v>
      </c>
      <c r="C314" s="16" t="s">
        <v>96</v>
      </c>
      <c r="D314" s="16" t="s">
        <v>769</v>
      </c>
      <c r="E314" s="17">
        <f>IFERROR(VLOOKUP(Tabulka2[[#This Row],[Pracovník]],DATA!A:L,5,0),"")</f>
        <v>0</v>
      </c>
      <c r="F314" s="12" t="s">
        <v>655</v>
      </c>
      <c r="G314" s="16"/>
      <c r="H314" s="18"/>
      <c r="I314" s="27" t="str">
        <f>IFERROR(VLOOKUP(Tabulka2[[#This Row],[Pracovník]],DATA!A:L,11,0),"")</f>
        <v>DSC 2</v>
      </c>
      <c r="J314" s="16"/>
      <c r="K314" s="19"/>
    </row>
    <row r="315" spans="1:11" x14ac:dyDescent="0.25">
      <c r="A3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15" s="22">
        <v>45925</v>
      </c>
      <c r="C315" s="16" t="s">
        <v>96</v>
      </c>
      <c r="D315" s="16" t="s">
        <v>990</v>
      </c>
      <c r="E315" s="17">
        <f>IFERROR(VLOOKUP(Tabulka2[[#This Row],[Pracovník]],DATA!A:L,5,0),"")</f>
        <v>6175</v>
      </c>
      <c r="F315" s="12" t="s">
        <v>653</v>
      </c>
      <c r="G315" s="16" t="s">
        <v>657</v>
      </c>
      <c r="H315" s="18"/>
      <c r="I315" s="27" t="str">
        <f>IFERROR(VLOOKUP(Tabulka2[[#This Row],[Pracovník]],DATA!A:L,11,0),"")</f>
        <v>DSC 2</v>
      </c>
      <c r="J315" s="16"/>
      <c r="K315" s="19"/>
    </row>
    <row r="316" spans="1:11" x14ac:dyDescent="0.25">
      <c r="A3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16" s="22">
        <v>45925</v>
      </c>
      <c r="C316" s="16" t="s">
        <v>96</v>
      </c>
      <c r="D316" s="16" t="s">
        <v>770</v>
      </c>
      <c r="E316" s="17">
        <f>IFERROR(VLOOKUP(Tabulka2[[#This Row],[Pracovník]],DATA!A:L,5,0),"")</f>
        <v>6152</v>
      </c>
      <c r="F316" s="12" t="s">
        <v>655</v>
      </c>
      <c r="G316" s="16"/>
      <c r="H316" s="18"/>
      <c r="I316" s="27" t="str">
        <f>IFERROR(VLOOKUP(Tabulka2[[#This Row],[Pracovník]],DATA!A:L,11,0),"")</f>
        <v>DSC 2</v>
      </c>
      <c r="J316" s="16"/>
      <c r="K316" s="19"/>
    </row>
    <row r="317" spans="1:11" x14ac:dyDescent="0.25">
      <c r="A3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17" s="22">
        <v>45925</v>
      </c>
      <c r="C317" s="16" t="s">
        <v>96</v>
      </c>
      <c r="D317" s="16" t="s">
        <v>771</v>
      </c>
      <c r="E317" s="17">
        <f>IFERROR(VLOOKUP(Tabulka2[[#This Row],[Pracovník]],DATA!A:L,5,0),"")</f>
        <v>6558</v>
      </c>
      <c r="F317" s="12" t="s">
        <v>640</v>
      </c>
      <c r="G317" s="16"/>
      <c r="H317" s="18"/>
      <c r="I317" s="27" t="str">
        <f>IFERROR(VLOOKUP(Tabulka2[[#This Row],[Pracovník]],DATA!A:L,11,0),"")</f>
        <v>DSC 1</v>
      </c>
      <c r="J317" s="16"/>
      <c r="K317" s="19"/>
    </row>
    <row r="318" spans="1:11" x14ac:dyDescent="0.25">
      <c r="A3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18" s="22">
        <v>45925</v>
      </c>
      <c r="C318" s="16" t="s">
        <v>96</v>
      </c>
      <c r="D318" s="16" t="s">
        <v>991</v>
      </c>
      <c r="E318" s="17">
        <f>IFERROR(VLOOKUP(Tabulka2[[#This Row],[Pracovník]],DATA!A:L,5,0),"")</f>
        <v>0</v>
      </c>
      <c r="F318" s="12" t="s">
        <v>653</v>
      </c>
      <c r="G318" s="16" t="s">
        <v>657</v>
      </c>
      <c r="H318" s="18"/>
      <c r="I318" s="27" t="str">
        <f>IFERROR(VLOOKUP(Tabulka2[[#This Row],[Pracovník]],DATA!A:L,11,0),"")</f>
        <v>Vlastní auto</v>
      </c>
      <c r="J318" s="16"/>
      <c r="K318" s="19"/>
    </row>
    <row r="319" spans="1:11" x14ac:dyDescent="0.25">
      <c r="A3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19" s="22">
        <v>45925</v>
      </c>
      <c r="C319" s="16" t="s">
        <v>96</v>
      </c>
      <c r="D319" s="16" t="s">
        <v>771</v>
      </c>
      <c r="E319" s="17">
        <f>IFERROR(VLOOKUP(Tabulka2[[#This Row],[Pracovník]],DATA!A:L,5,0),"")</f>
        <v>6558</v>
      </c>
      <c r="F319" s="12" t="s">
        <v>655</v>
      </c>
      <c r="G319" s="16"/>
      <c r="H319" s="18"/>
      <c r="I319" s="27" t="str">
        <f>IFERROR(VLOOKUP(Tabulka2[[#This Row],[Pracovník]],DATA!A:L,11,0),"")</f>
        <v>DSC 1</v>
      </c>
      <c r="J319" s="16"/>
      <c r="K319" s="19"/>
    </row>
    <row r="320" spans="1:11" x14ac:dyDescent="0.25">
      <c r="A3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20" s="22">
        <v>45925</v>
      </c>
      <c r="C320" s="16" t="s">
        <v>28</v>
      </c>
      <c r="D320" s="16" t="s">
        <v>646</v>
      </c>
      <c r="E320" s="17">
        <f>IFERROR(VLOOKUP(Tabulka2[[#This Row],[Pracovník]],DATA!A:L,5,0),"")</f>
        <v>6537</v>
      </c>
      <c r="F320" s="12" t="s">
        <v>640</v>
      </c>
      <c r="G320" s="16"/>
      <c r="H320" s="18"/>
      <c r="I320" s="27" t="str">
        <f>IFERROR(VLOOKUP(Tabulka2[[#This Row],[Pracovník]],DATA!A:L,11,0),"")</f>
        <v>DSC 2</v>
      </c>
      <c r="J320" s="16"/>
      <c r="K320" s="19"/>
    </row>
    <row r="321" spans="1:11" x14ac:dyDescent="0.25">
      <c r="A3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21" s="22">
        <v>45925</v>
      </c>
      <c r="C321" s="16" t="s">
        <v>28</v>
      </c>
      <c r="D321" s="16" t="s">
        <v>648</v>
      </c>
      <c r="E321" s="17">
        <f>IFERROR(VLOOKUP(Tabulka2[[#This Row],[Pracovník]],DATA!A:L,5,0),"")</f>
        <v>5802</v>
      </c>
      <c r="F321" s="12" t="s">
        <v>655</v>
      </c>
      <c r="G321" s="16"/>
      <c r="H321" s="18"/>
      <c r="I321" s="27" t="str">
        <f>IFERROR(VLOOKUP(Tabulka2[[#This Row],[Pracovník]],DATA!A:L,11,0),"")</f>
        <v>Vlastní auto</v>
      </c>
      <c r="J321" s="16"/>
      <c r="K321" s="19"/>
    </row>
    <row r="322" spans="1:11" x14ac:dyDescent="0.25">
      <c r="A3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22" s="22">
        <v>45925</v>
      </c>
      <c r="C322" s="16" t="s">
        <v>28</v>
      </c>
      <c r="D322" s="16" t="s">
        <v>772</v>
      </c>
      <c r="E322" s="17">
        <f>IFERROR(VLOOKUP(Tabulka2[[#This Row],[Pracovník]],DATA!A:L,5,0),"")</f>
        <v>4869</v>
      </c>
      <c r="F322" s="12" t="s">
        <v>654</v>
      </c>
      <c r="G322" s="16"/>
      <c r="H322" s="18"/>
      <c r="I322" s="27" t="str">
        <f>IFERROR(VLOOKUP(Tabulka2[[#This Row],[Pracovník]],DATA!A:L,11,0),"")</f>
        <v>Vlastní auto</v>
      </c>
      <c r="J322" s="16"/>
      <c r="K322" s="19"/>
    </row>
    <row r="323" spans="1:11" x14ac:dyDescent="0.25">
      <c r="A3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23" s="22">
        <v>45925</v>
      </c>
      <c r="C323" s="16" t="s">
        <v>28</v>
      </c>
      <c r="D323" s="16" t="s">
        <v>773</v>
      </c>
      <c r="E323" s="17">
        <f>IFERROR(VLOOKUP(Tabulka2[[#This Row],[Pracovník]],DATA!A:L,5,0),"")</f>
        <v>6508</v>
      </c>
      <c r="F323" s="12" t="s">
        <v>640</v>
      </c>
      <c r="G323" s="16"/>
      <c r="H323" s="18"/>
      <c r="I323" s="27" t="str">
        <f>IFERROR(VLOOKUP(Tabulka2[[#This Row],[Pracovník]],DATA!A:L,11,0),"")</f>
        <v>Vlastní auto</v>
      </c>
      <c r="J323" s="16"/>
      <c r="K323" s="19"/>
    </row>
    <row r="324" spans="1:11" x14ac:dyDescent="0.25">
      <c r="A3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24" s="22">
        <v>45925</v>
      </c>
      <c r="C324" s="16" t="s">
        <v>28</v>
      </c>
      <c r="D324" s="16" t="s">
        <v>774</v>
      </c>
      <c r="E324" s="17">
        <f>IFERROR(VLOOKUP(Tabulka2[[#This Row],[Pracovník]],DATA!A:L,5,0),"")</f>
        <v>4607</v>
      </c>
      <c r="F324" s="12" t="s">
        <v>655</v>
      </c>
      <c r="G324" s="16"/>
      <c r="H324" s="18"/>
      <c r="I324" s="27" t="str">
        <f>IFERROR(VLOOKUP(Tabulka2[[#This Row],[Pracovník]],DATA!A:L,11,0),"")</f>
        <v>DSC 2</v>
      </c>
      <c r="J324" s="16"/>
      <c r="K324" s="19"/>
    </row>
    <row r="325" spans="1:11" x14ac:dyDescent="0.25">
      <c r="A3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25" s="22">
        <v>45925</v>
      </c>
      <c r="C325" s="16" t="s">
        <v>28</v>
      </c>
      <c r="D325" s="16" t="s">
        <v>775</v>
      </c>
      <c r="E325" s="17">
        <f>IFERROR(VLOOKUP(Tabulka2[[#This Row],[Pracovník]],DATA!A:L,5,0),"")</f>
        <v>5047</v>
      </c>
      <c r="F325" s="12" t="s">
        <v>654</v>
      </c>
      <c r="G325" s="16"/>
      <c r="H325" s="18"/>
      <c r="I325" s="27" t="str">
        <f>IFERROR(VLOOKUP(Tabulka2[[#This Row],[Pracovník]],DATA!A:L,11,0),"")</f>
        <v>Vlastní auto</v>
      </c>
      <c r="J325" s="16"/>
      <c r="K325" s="19"/>
    </row>
    <row r="326" spans="1:11" x14ac:dyDescent="0.25">
      <c r="A3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26" s="22">
        <v>45925</v>
      </c>
      <c r="C326" s="16" t="s">
        <v>28</v>
      </c>
      <c r="D326" s="16" t="s">
        <v>777</v>
      </c>
      <c r="E326" s="17">
        <f>IFERROR(VLOOKUP(Tabulka2[[#This Row],[Pracovník]],DATA!A:L,5,0),"")</f>
        <v>4616</v>
      </c>
      <c r="F326" s="12" t="s">
        <v>655</v>
      </c>
      <c r="G326" s="16"/>
      <c r="H326" s="18"/>
      <c r="I326" s="27" t="str">
        <f>IFERROR(VLOOKUP(Tabulka2[[#This Row],[Pracovník]],DATA!A:L,11,0),"")</f>
        <v>Vlastní auto</v>
      </c>
      <c r="J326" s="16"/>
      <c r="K326" s="19"/>
    </row>
    <row r="327" spans="1:11" x14ac:dyDescent="0.25">
      <c r="A3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27" s="22">
        <v>45925</v>
      </c>
      <c r="C327" s="16" t="s">
        <v>28</v>
      </c>
      <c r="D327" s="16" t="s">
        <v>776</v>
      </c>
      <c r="E327" s="17">
        <f>IFERROR(VLOOKUP(Tabulka2[[#This Row],[Pracovník]],DATA!A:L,5,0),"")</f>
        <v>4961</v>
      </c>
      <c r="F327" s="12" t="s">
        <v>640</v>
      </c>
      <c r="G327" s="16"/>
      <c r="H327" s="18"/>
      <c r="I327" s="27" t="str">
        <f>IFERROR(VLOOKUP(Tabulka2[[#This Row],[Pracovník]],DATA!A:L,11,0),"")</f>
        <v>Vlastní auto</v>
      </c>
      <c r="J327" s="16"/>
      <c r="K327" s="19"/>
    </row>
    <row r="328" spans="1:11" x14ac:dyDescent="0.25">
      <c r="A3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28" s="22">
        <v>45925</v>
      </c>
      <c r="C328" s="16" t="s">
        <v>28</v>
      </c>
      <c r="D328" s="16" t="s">
        <v>778</v>
      </c>
      <c r="E328" s="17">
        <f>IFERROR(VLOOKUP(Tabulka2[[#This Row],[Pracovník]],DATA!A:L,5,0),"")</f>
        <v>4721</v>
      </c>
      <c r="F328" s="12" t="s">
        <v>640</v>
      </c>
      <c r="G328" s="16"/>
      <c r="H328" s="18"/>
      <c r="I328" s="27" t="str">
        <f>IFERROR(VLOOKUP(Tabulka2[[#This Row],[Pracovník]],DATA!A:L,11,0),"")</f>
        <v>DSC 2</v>
      </c>
      <c r="J328" s="16"/>
      <c r="K328" s="19"/>
    </row>
    <row r="329" spans="1:11" x14ac:dyDescent="0.25">
      <c r="A3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29" s="22">
        <v>45925</v>
      </c>
      <c r="C329" s="16" t="s">
        <v>28</v>
      </c>
      <c r="D329" s="16" t="s">
        <v>779</v>
      </c>
      <c r="E329" s="17">
        <f>IFERROR(VLOOKUP(Tabulka2[[#This Row],[Pracovník]],DATA!A:L,5,0),"")</f>
        <v>4845</v>
      </c>
      <c r="F329" s="12" t="s">
        <v>640</v>
      </c>
      <c r="G329" s="16"/>
      <c r="H329" s="18"/>
      <c r="I329" s="27" t="str">
        <f>IFERROR(VLOOKUP(Tabulka2[[#This Row],[Pracovník]],DATA!A:L,11,0),"")</f>
        <v>Vlastní auto</v>
      </c>
      <c r="J329" s="16"/>
      <c r="K329" s="19"/>
    </row>
    <row r="330" spans="1:11" x14ac:dyDescent="0.25">
      <c r="A3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30" s="22">
        <v>45925</v>
      </c>
      <c r="C330" s="16" t="s">
        <v>28</v>
      </c>
      <c r="D330" s="16" t="s">
        <v>780</v>
      </c>
      <c r="E330" s="17">
        <f>IFERROR(VLOOKUP(Tabulka2[[#This Row],[Pracovník]],DATA!A:L,5,0),"")</f>
        <v>47</v>
      </c>
      <c r="F330" s="12" t="s">
        <v>640</v>
      </c>
      <c r="G330" s="16"/>
      <c r="H330" s="18"/>
      <c r="I330" s="27" t="str">
        <f>IFERROR(VLOOKUP(Tabulka2[[#This Row],[Pracovník]],DATA!A:L,11,0),"")</f>
        <v>DSC 1</v>
      </c>
      <c r="J330" s="16"/>
      <c r="K330" s="19"/>
    </row>
    <row r="331" spans="1:11" x14ac:dyDescent="0.25">
      <c r="A3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31" s="22">
        <v>45925</v>
      </c>
      <c r="C331" s="16" t="s">
        <v>28</v>
      </c>
      <c r="D331" s="16" t="s">
        <v>792</v>
      </c>
      <c r="E331" s="17">
        <f>IFERROR(VLOOKUP(Tabulka2[[#This Row],[Pracovník]],DATA!A:L,5,0),"")</f>
        <v>6332</v>
      </c>
      <c r="F331" s="12" t="s">
        <v>653</v>
      </c>
      <c r="G331" s="16" t="s">
        <v>656</v>
      </c>
      <c r="H331" s="18"/>
      <c r="I331" s="27" t="str">
        <f>IFERROR(VLOOKUP(Tabulka2[[#This Row],[Pracovník]],DATA!A:L,11,0),"")</f>
        <v>Vlastní auto</v>
      </c>
      <c r="J331" s="16"/>
      <c r="K331" s="19" t="s">
        <v>994</v>
      </c>
    </row>
    <row r="332" spans="1:11" x14ac:dyDescent="0.25">
      <c r="A3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32" s="22">
        <v>45925</v>
      </c>
      <c r="C332" s="16" t="s">
        <v>28</v>
      </c>
      <c r="D332" s="16" t="s">
        <v>793</v>
      </c>
      <c r="E332" s="17">
        <f>IFERROR(VLOOKUP(Tabulka2[[#This Row],[Pracovník]],DATA!A:L,5,0),"")</f>
        <v>4871</v>
      </c>
      <c r="F332" s="12" t="s">
        <v>653</v>
      </c>
      <c r="G332" s="16" t="s">
        <v>656</v>
      </c>
      <c r="H332" s="18"/>
      <c r="I332" s="27" t="str">
        <f>IFERROR(VLOOKUP(Tabulka2[[#This Row],[Pracovník]],DATA!A:L,11,0),"")</f>
        <v>Vlastní auto</v>
      </c>
      <c r="J332" s="16"/>
      <c r="K332" s="19" t="s">
        <v>994</v>
      </c>
    </row>
    <row r="333" spans="1:11" x14ac:dyDescent="0.25">
      <c r="A3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33" s="22">
        <v>45925</v>
      </c>
      <c r="C333" s="16" t="s">
        <v>28</v>
      </c>
      <c r="D333" s="16" t="s">
        <v>794</v>
      </c>
      <c r="E333" s="17">
        <f>IFERROR(VLOOKUP(Tabulka2[[#This Row],[Pracovník]],DATA!A:L,5,0),"")</f>
        <v>4755</v>
      </c>
      <c r="F333" s="12" t="s">
        <v>655</v>
      </c>
      <c r="G333" s="16"/>
      <c r="H333" s="18"/>
      <c r="I333" s="27" t="str">
        <f>IFERROR(VLOOKUP(Tabulka2[[#This Row],[Pracovník]],DATA!A:L,11,0),"")</f>
        <v>DSC 2</v>
      </c>
      <c r="J333" s="16"/>
      <c r="K333" s="19"/>
    </row>
    <row r="334" spans="1:11" x14ac:dyDescent="0.25">
      <c r="A3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34" s="22">
        <v>45925</v>
      </c>
      <c r="C334" s="16" t="s">
        <v>28</v>
      </c>
      <c r="D334" s="16" t="s">
        <v>781</v>
      </c>
      <c r="E334" s="17">
        <f>IFERROR(VLOOKUP(Tabulka2[[#This Row],[Pracovník]],DATA!A:L,5,0),"")</f>
        <v>49</v>
      </c>
      <c r="F334" s="12" t="s">
        <v>654</v>
      </c>
      <c r="G334" s="16"/>
      <c r="H334" s="18"/>
      <c r="I334" s="27" t="str">
        <f>IFERROR(VLOOKUP(Tabulka2[[#This Row],[Pracovník]],DATA!A:L,11,0),"")</f>
        <v>DSC 2</v>
      </c>
      <c r="J334" s="16"/>
      <c r="K334" s="19"/>
    </row>
    <row r="335" spans="1:11" x14ac:dyDescent="0.25">
      <c r="A3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35" s="22">
        <v>45925</v>
      </c>
      <c r="C335" s="16" t="s">
        <v>28</v>
      </c>
      <c r="D335" s="16" t="s">
        <v>782</v>
      </c>
      <c r="E335" s="17">
        <f>IFERROR(VLOOKUP(Tabulka2[[#This Row],[Pracovník]],DATA!A:L,5,0),"")</f>
        <v>5839</v>
      </c>
      <c r="F335" s="12" t="s">
        <v>654</v>
      </c>
      <c r="G335" s="16"/>
      <c r="H335" s="18"/>
      <c r="I335" s="27" t="str">
        <f>IFERROR(VLOOKUP(Tabulka2[[#This Row],[Pracovník]],DATA!A:L,11,0),"")</f>
        <v>DSC 1</v>
      </c>
      <c r="J335" s="16"/>
      <c r="K335" s="19"/>
    </row>
    <row r="336" spans="1:11" x14ac:dyDescent="0.25">
      <c r="A3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36" s="22">
        <v>45925</v>
      </c>
      <c r="C336" s="16" t="s">
        <v>28</v>
      </c>
      <c r="D336" s="16" t="s">
        <v>783</v>
      </c>
      <c r="E336" s="17">
        <f>IFERROR(VLOOKUP(Tabulka2[[#This Row],[Pracovník]],DATA!A:L,5,0),"")</f>
        <v>6487</v>
      </c>
      <c r="F336" s="12" t="s">
        <v>655</v>
      </c>
      <c r="G336" s="16"/>
      <c r="H336" s="18"/>
      <c r="I336" s="27" t="str">
        <f>IFERROR(VLOOKUP(Tabulka2[[#This Row],[Pracovník]],DATA!A:L,11,0),"")</f>
        <v>DSC 1</v>
      </c>
      <c r="J336" s="16"/>
      <c r="K336" s="19"/>
    </row>
    <row r="337" spans="1:11" x14ac:dyDescent="0.25">
      <c r="A3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37" s="22">
        <v>45925</v>
      </c>
      <c r="C337" s="16" t="s">
        <v>28</v>
      </c>
      <c r="D337" s="16" t="s">
        <v>784</v>
      </c>
      <c r="E337" s="17">
        <f>IFERROR(VLOOKUP(Tabulka2[[#This Row],[Pracovník]],DATA!A:L,5,0),"")</f>
        <v>6292</v>
      </c>
      <c r="F337" s="12" t="s">
        <v>654</v>
      </c>
      <c r="G337" s="16"/>
      <c r="H337" s="18"/>
      <c r="I337" s="27" t="str">
        <f>IFERROR(VLOOKUP(Tabulka2[[#This Row],[Pracovník]],DATA!A:L,11,0),"")</f>
        <v>Vlastní auto</v>
      </c>
      <c r="J337" s="16"/>
      <c r="K337" s="19"/>
    </row>
    <row r="338" spans="1:11" x14ac:dyDescent="0.25">
      <c r="A3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38" s="22">
        <v>45925</v>
      </c>
      <c r="C338" s="16" t="s">
        <v>28</v>
      </c>
      <c r="D338" s="16" t="s">
        <v>788</v>
      </c>
      <c r="E338" s="17">
        <f>IFERROR(VLOOKUP(Tabulka2[[#This Row],[Pracovník]],DATA!A:L,5,0),"")</f>
        <v>5198</v>
      </c>
      <c r="F338" s="12" t="s">
        <v>655</v>
      </c>
      <c r="G338" s="16"/>
      <c r="H338" s="18"/>
      <c r="I338" s="27" t="str">
        <f>IFERROR(VLOOKUP(Tabulka2[[#This Row],[Pracovník]],DATA!A:L,11,0),"")</f>
        <v>Vlastní auto</v>
      </c>
      <c r="J338" s="16"/>
      <c r="K338" s="19"/>
    </row>
    <row r="339" spans="1:11" x14ac:dyDescent="0.25">
      <c r="A3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39" s="22">
        <v>45925</v>
      </c>
      <c r="C339" s="16" t="s">
        <v>28</v>
      </c>
      <c r="D339" s="16" t="s">
        <v>789</v>
      </c>
      <c r="E339" s="17">
        <f>IFERROR(VLOOKUP(Tabulka2[[#This Row],[Pracovník]],DATA!A:L,5,0),"")</f>
        <v>6368</v>
      </c>
      <c r="F339" s="12" t="s">
        <v>654</v>
      </c>
      <c r="G339" s="16"/>
      <c r="H339" s="18"/>
      <c r="I339" s="27" t="str">
        <f>IFERROR(VLOOKUP(Tabulka2[[#This Row],[Pracovník]],DATA!A:L,11,0),"")</f>
        <v>Vlastní auto</v>
      </c>
      <c r="J339" s="16"/>
      <c r="K339" s="19"/>
    </row>
    <row r="340" spans="1:11" x14ac:dyDescent="0.25">
      <c r="A3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40" s="22">
        <v>45925</v>
      </c>
      <c r="C340" s="16" t="s">
        <v>28</v>
      </c>
      <c r="D340" s="16" t="s">
        <v>786</v>
      </c>
      <c r="E340" s="17">
        <f>IFERROR(VLOOKUP(Tabulka2[[#This Row],[Pracovník]],DATA!A:L,5,0),"")</f>
        <v>5595</v>
      </c>
      <c r="F340" s="12" t="s">
        <v>640</v>
      </c>
      <c r="G340" s="16"/>
      <c r="H340" s="18"/>
      <c r="I340" s="27" t="str">
        <f>IFERROR(VLOOKUP(Tabulka2[[#This Row],[Pracovník]],DATA!A:L,11,0),"")</f>
        <v>DSC 2</v>
      </c>
      <c r="J340" s="16"/>
      <c r="K340" s="19"/>
    </row>
    <row r="341" spans="1:11" x14ac:dyDescent="0.25">
      <c r="A3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41" s="22">
        <v>45925</v>
      </c>
      <c r="C341" s="16" t="s">
        <v>28</v>
      </c>
      <c r="D341" s="16" t="s">
        <v>795</v>
      </c>
      <c r="E341" s="17">
        <f>IFERROR(VLOOKUP(Tabulka2[[#This Row],[Pracovník]],DATA!A:L,5,0),"")</f>
        <v>4960</v>
      </c>
      <c r="F341" s="12" t="s">
        <v>654</v>
      </c>
      <c r="G341" s="16"/>
      <c r="H341" s="18"/>
      <c r="I341" s="27" t="str">
        <f>IFERROR(VLOOKUP(Tabulka2[[#This Row],[Pracovník]],DATA!A:L,11,0),"")</f>
        <v>DSC 1</v>
      </c>
      <c r="J341" s="16"/>
      <c r="K341" s="19"/>
    </row>
    <row r="342" spans="1:11" x14ac:dyDescent="0.25">
      <c r="A3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42" s="22">
        <v>45925</v>
      </c>
      <c r="C342" s="16" t="s">
        <v>28</v>
      </c>
      <c r="D342" s="16" t="s">
        <v>790</v>
      </c>
      <c r="E342" s="17">
        <f>IFERROR(VLOOKUP(Tabulka2[[#This Row],[Pracovník]],DATA!A:L,5,0),"")</f>
        <v>5125</v>
      </c>
      <c r="F342" s="12" t="s">
        <v>655</v>
      </c>
      <c r="G342" s="16"/>
      <c r="H342" s="18"/>
      <c r="I342" s="27" t="str">
        <f>IFERROR(VLOOKUP(Tabulka2[[#This Row],[Pracovník]],DATA!A:L,11,0),"")</f>
        <v>Vlastní auto</v>
      </c>
      <c r="J342" s="16"/>
      <c r="K342" s="19"/>
    </row>
    <row r="343" spans="1:11" x14ac:dyDescent="0.25">
      <c r="A3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43" s="22">
        <v>45925</v>
      </c>
      <c r="C343" s="16" t="s">
        <v>28</v>
      </c>
      <c r="D343" s="16" t="s">
        <v>791</v>
      </c>
      <c r="E343" s="17">
        <f>IFERROR(VLOOKUP(Tabulka2[[#This Row],[Pracovník]],DATA!A:L,5,0),"")</f>
        <v>6127</v>
      </c>
      <c r="F343" s="12" t="s">
        <v>655</v>
      </c>
      <c r="G343" s="16"/>
      <c r="H343" s="18"/>
      <c r="I343" s="27" t="str">
        <f>IFERROR(VLOOKUP(Tabulka2[[#This Row],[Pracovník]],DATA!A:L,11,0),"")</f>
        <v>DSC 2</v>
      </c>
      <c r="J343" s="16"/>
      <c r="K343" s="19"/>
    </row>
    <row r="344" spans="1:11" x14ac:dyDescent="0.25">
      <c r="A3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44" s="22">
        <v>45925</v>
      </c>
      <c r="C344" s="16" t="s">
        <v>28</v>
      </c>
      <c r="D344" s="16" t="s">
        <v>796</v>
      </c>
      <c r="E344" s="17">
        <f>IFERROR(VLOOKUP(Tabulka2[[#This Row],[Pracovník]],DATA!A:L,5,0),"")</f>
        <v>5583</v>
      </c>
      <c r="F344" s="12" t="s">
        <v>654</v>
      </c>
      <c r="G344" s="16"/>
      <c r="H344" s="18"/>
      <c r="I344" s="27" t="str">
        <f>IFERROR(VLOOKUP(Tabulka2[[#This Row],[Pracovník]],DATA!A:L,11,0),"")</f>
        <v>DSC 2</v>
      </c>
      <c r="J344" s="16"/>
      <c r="K344" s="19"/>
    </row>
    <row r="345" spans="1:11" x14ac:dyDescent="0.25">
      <c r="A3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45" s="22">
        <v>45925</v>
      </c>
      <c r="C345" s="16" t="s">
        <v>28</v>
      </c>
      <c r="D345" s="16" t="s">
        <v>644</v>
      </c>
      <c r="E345" s="17">
        <f>IFERROR(VLOOKUP(Tabulka2[[#This Row],[Pracovník]],DATA!A:L,5,0),"")</f>
        <v>123</v>
      </c>
      <c r="F345" s="12" t="s">
        <v>655</v>
      </c>
      <c r="G345" s="16"/>
      <c r="H345" s="18"/>
      <c r="I345" s="27" t="str">
        <f>IFERROR(VLOOKUP(Tabulka2[[#This Row],[Pracovník]],DATA!A:L,11,0),"")</f>
        <v>DSC 1</v>
      </c>
      <c r="J345" s="16"/>
      <c r="K345" s="19"/>
    </row>
    <row r="346" spans="1:11" x14ac:dyDescent="0.25">
      <c r="A3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46" s="22">
        <v>45925</v>
      </c>
      <c r="C346" s="16" t="s">
        <v>28</v>
      </c>
      <c r="D346" s="16" t="s">
        <v>797</v>
      </c>
      <c r="E346" s="17">
        <f>IFERROR(VLOOKUP(Tabulka2[[#This Row],[Pracovník]],DATA!A:L,5,0),"")</f>
        <v>5525</v>
      </c>
      <c r="F346" s="12" t="s">
        <v>655</v>
      </c>
      <c r="G346" s="16"/>
      <c r="H346" s="18"/>
      <c r="I346" s="27" t="str">
        <f>IFERROR(VLOOKUP(Tabulka2[[#This Row],[Pracovník]],DATA!A:L,11,0),"")</f>
        <v>Vlastní auto</v>
      </c>
      <c r="J346" s="16"/>
      <c r="K346" s="19"/>
    </row>
    <row r="347" spans="1:11" x14ac:dyDescent="0.25">
      <c r="A3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47" s="22">
        <v>45925</v>
      </c>
      <c r="C347" s="16" t="s">
        <v>28</v>
      </c>
      <c r="D347" s="16" t="s">
        <v>798</v>
      </c>
      <c r="E347" s="17">
        <f>IFERROR(VLOOKUP(Tabulka2[[#This Row],[Pracovník]],DATA!A:L,5,0),"")</f>
        <v>126</v>
      </c>
      <c r="F347" s="12" t="s">
        <v>640</v>
      </c>
      <c r="G347" s="16"/>
      <c r="H347" s="18"/>
      <c r="I347" s="27" t="str">
        <f>IFERROR(VLOOKUP(Tabulka2[[#This Row],[Pracovník]],DATA!A:L,11,0),"")</f>
        <v>Vlastní auto</v>
      </c>
      <c r="J347" s="16"/>
      <c r="K347" s="19"/>
    </row>
    <row r="348" spans="1:11" x14ac:dyDescent="0.25">
      <c r="A3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48" s="22">
        <v>45925</v>
      </c>
      <c r="C348" s="16" t="s">
        <v>28</v>
      </c>
      <c r="D348" s="16" t="s">
        <v>799</v>
      </c>
      <c r="E348" s="17">
        <f>IFERROR(VLOOKUP(Tabulka2[[#This Row],[Pracovník]],DATA!A:L,5,0),"")</f>
        <v>127</v>
      </c>
      <c r="F348" s="12" t="s">
        <v>640</v>
      </c>
      <c r="G348" s="16"/>
      <c r="H348" s="18"/>
      <c r="I348" s="27" t="str">
        <f>IFERROR(VLOOKUP(Tabulka2[[#This Row],[Pracovník]],DATA!A:L,11,0),"")</f>
        <v>DSC 2</v>
      </c>
      <c r="J348" s="16"/>
      <c r="K348" s="19"/>
    </row>
    <row r="349" spans="1:11" x14ac:dyDescent="0.25">
      <c r="A3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49" s="22">
        <v>45925</v>
      </c>
      <c r="C349" s="16" t="s">
        <v>28</v>
      </c>
      <c r="D349" s="16" t="s">
        <v>800</v>
      </c>
      <c r="E349" s="17">
        <f>IFERROR(VLOOKUP(Tabulka2[[#This Row],[Pracovník]],DATA!A:L,5,0),"")</f>
        <v>4847</v>
      </c>
      <c r="F349" s="12" t="s">
        <v>640</v>
      </c>
      <c r="G349" s="16"/>
      <c r="H349" s="18"/>
      <c r="I349" s="27" t="str">
        <f>IFERROR(VLOOKUP(Tabulka2[[#This Row],[Pracovník]],DATA!A:L,11,0),"")</f>
        <v>Vlastní auto</v>
      </c>
      <c r="J349" s="16"/>
      <c r="K349" s="19"/>
    </row>
    <row r="350" spans="1:11" x14ac:dyDescent="0.25">
      <c r="A3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50" s="22">
        <v>45925</v>
      </c>
      <c r="C350" s="16" t="s">
        <v>28</v>
      </c>
      <c r="D350" s="16" t="s">
        <v>801</v>
      </c>
      <c r="E350" s="17">
        <f>IFERROR(VLOOKUP(Tabulka2[[#This Row],[Pracovník]],DATA!A:L,5,0),"")</f>
        <v>750</v>
      </c>
      <c r="F350" s="12" t="s">
        <v>654</v>
      </c>
      <c r="G350" s="16"/>
      <c r="H350" s="18"/>
      <c r="I350" s="27" t="str">
        <f>IFERROR(VLOOKUP(Tabulka2[[#This Row],[Pracovník]],DATA!A:L,11,0),"")</f>
        <v>Vlastní auto</v>
      </c>
      <c r="J350" s="16"/>
      <c r="K350" s="19"/>
    </row>
    <row r="351" spans="1:11" x14ac:dyDescent="0.25">
      <c r="A3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51" s="22">
        <v>45925</v>
      </c>
      <c r="C351" s="16" t="s">
        <v>28</v>
      </c>
      <c r="D351" s="16" t="s">
        <v>802</v>
      </c>
      <c r="E351" s="17">
        <f>IFERROR(VLOOKUP(Tabulka2[[#This Row],[Pracovník]],DATA!A:L,5,0),"")</f>
        <v>4663</v>
      </c>
      <c r="F351" s="12" t="s">
        <v>655</v>
      </c>
      <c r="G351" s="16"/>
      <c r="H351" s="18"/>
      <c r="I351" s="27" t="str">
        <f>IFERROR(VLOOKUP(Tabulka2[[#This Row],[Pracovník]],DATA!A:L,11,0),"")</f>
        <v>DSC 2</v>
      </c>
      <c r="J351" s="16"/>
      <c r="K351" s="19"/>
    </row>
    <row r="352" spans="1:11" x14ac:dyDescent="0.25">
      <c r="A3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52" s="22">
        <v>45925</v>
      </c>
      <c r="C352" s="16" t="s">
        <v>28</v>
      </c>
      <c r="D352" s="16" t="s">
        <v>803</v>
      </c>
      <c r="E352" s="17">
        <f>IFERROR(VLOOKUP(Tabulka2[[#This Row],[Pracovník]],DATA!A:L,5,0),"")</f>
        <v>131</v>
      </c>
      <c r="F352" s="12" t="s">
        <v>640</v>
      </c>
      <c r="G352" s="16"/>
      <c r="H352" s="18"/>
      <c r="I352" s="27" t="str">
        <f>IFERROR(VLOOKUP(Tabulka2[[#This Row],[Pracovník]],DATA!A:L,11,0),"")</f>
        <v>DSC 2</v>
      </c>
      <c r="J352" s="16"/>
      <c r="K352" s="19"/>
    </row>
    <row r="353" spans="1:11" x14ac:dyDescent="0.25">
      <c r="A3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53" s="22">
        <v>45925</v>
      </c>
      <c r="C353" s="16" t="s">
        <v>28</v>
      </c>
      <c r="D353" s="16" t="s">
        <v>643</v>
      </c>
      <c r="E353" s="17">
        <f>IFERROR(VLOOKUP(Tabulka2[[#This Row],[Pracovník]],DATA!A:L,5,0),"")</f>
        <v>5620</v>
      </c>
      <c r="F353" s="12" t="s">
        <v>655</v>
      </c>
      <c r="G353" s="16"/>
      <c r="H353" s="18"/>
      <c r="I353" s="27" t="str">
        <f>IFERROR(VLOOKUP(Tabulka2[[#This Row],[Pracovník]],DATA!A:L,11,0),"")</f>
        <v>Vlastní auto</v>
      </c>
      <c r="J353" s="16"/>
      <c r="K353" s="19"/>
    </row>
    <row r="354" spans="1:11" x14ac:dyDescent="0.25">
      <c r="A3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54" s="22">
        <v>45925</v>
      </c>
      <c r="C354" s="16" t="s">
        <v>28</v>
      </c>
      <c r="D354" s="16" t="s">
        <v>804</v>
      </c>
      <c r="E354" s="17">
        <f>IFERROR(VLOOKUP(Tabulka2[[#This Row],[Pracovník]],DATA!A:L,5,0),"")</f>
        <v>4868</v>
      </c>
      <c r="F354" s="12" t="s">
        <v>640</v>
      </c>
      <c r="G354" s="16"/>
      <c r="H354" s="18"/>
      <c r="I354" s="27" t="str">
        <f>IFERROR(VLOOKUP(Tabulka2[[#This Row],[Pracovník]],DATA!A:L,11,0),"")</f>
        <v>Vlastní auto</v>
      </c>
      <c r="J354" s="16"/>
      <c r="K354" s="19"/>
    </row>
    <row r="355" spans="1:11" x14ac:dyDescent="0.25">
      <c r="A3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55" s="22">
        <v>45925</v>
      </c>
      <c r="C355" s="16" t="s">
        <v>28</v>
      </c>
      <c r="D355" s="16" t="s">
        <v>805</v>
      </c>
      <c r="E355" s="17">
        <f>IFERROR(VLOOKUP(Tabulka2[[#This Row],[Pracovník]],DATA!A:L,5,0),"")</f>
        <v>5026</v>
      </c>
      <c r="F355" s="12" t="s">
        <v>640</v>
      </c>
      <c r="G355" s="16"/>
      <c r="H355" s="18"/>
      <c r="I355" s="27" t="str">
        <f>IFERROR(VLOOKUP(Tabulka2[[#This Row],[Pracovník]],DATA!A:L,11,0),"")</f>
        <v>Vlastní auto</v>
      </c>
      <c r="J355" s="16"/>
      <c r="K355" s="19"/>
    </row>
    <row r="356" spans="1:11" x14ac:dyDescent="0.25">
      <c r="A3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56" s="22">
        <v>45925</v>
      </c>
      <c r="C356" s="16" t="s">
        <v>28</v>
      </c>
      <c r="D356" s="16" t="s">
        <v>806</v>
      </c>
      <c r="E356" s="17">
        <f>IFERROR(VLOOKUP(Tabulka2[[#This Row],[Pracovník]],DATA!A:L,5,0),"")</f>
        <v>6424</v>
      </c>
      <c r="F356" s="12" t="s">
        <v>654</v>
      </c>
      <c r="G356" s="16"/>
      <c r="H356" s="18"/>
      <c r="I356" s="27" t="str">
        <f>IFERROR(VLOOKUP(Tabulka2[[#This Row],[Pracovník]],DATA!A:L,11,0),"")</f>
        <v>DSC 1</v>
      </c>
      <c r="J356" s="16"/>
      <c r="K356" s="19"/>
    </row>
    <row r="357" spans="1:11" x14ac:dyDescent="0.25">
      <c r="A3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57" s="22">
        <v>45925</v>
      </c>
      <c r="C357" s="16" t="s">
        <v>28</v>
      </c>
      <c r="D357" s="16" t="s">
        <v>807</v>
      </c>
      <c r="E357" s="17">
        <f>IFERROR(VLOOKUP(Tabulka2[[#This Row],[Pracovník]],DATA!A:L,5,0),"")</f>
        <v>5004</v>
      </c>
      <c r="F357" s="12" t="s">
        <v>640</v>
      </c>
      <c r="G357" s="16"/>
      <c r="H357" s="18"/>
      <c r="I357" s="27" t="str">
        <f>IFERROR(VLOOKUP(Tabulka2[[#This Row],[Pracovník]],DATA!A:L,11,0),"")</f>
        <v>Vlastní auto</v>
      </c>
      <c r="J357" s="16"/>
      <c r="K357" s="19"/>
    </row>
    <row r="358" spans="1:11" x14ac:dyDescent="0.25">
      <c r="A3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58" s="22">
        <v>45925</v>
      </c>
      <c r="C358" s="16" t="s">
        <v>28</v>
      </c>
      <c r="D358" s="16" t="s">
        <v>808</v>
      </c>
      <c r="E358" s="17">
        <f>IFERROR(VLOOKUP(Tabulka2[[#This Row],[Pracovník]],DATA!A:L,5,0),"")</f>
        <v>136</v>
      </c>
      <c r="F358" s="12" t="s">
        <v>640</v>
      </c>
      <c r="G358" s="16"/>
      <c r="H358" s="18"/>
      <c r="I358" s="27" t="str">
        <f>IFERROR(VLOOKUP(Tabulka2[[#This Row],[Pracovník]],DATA!A:L,11,0),"")</f>
        <v>DSC 2</v>
      </c>
      <c r="J358" s="16"/>
      <c r="K358" s="19"/>
    </row>
    <row r="359" spans="1:11" x14ac:dyDescent="0.25">
      <c r="A3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59" s="22">
        <v>45925</v>
      </c>
      <c r="C359" s="16" t="s">
        <v>28</v>
      </c>
      <c r="D359" s="16" t="s">
        <v>809</v>
      </c>
      <c r="E359" s="17">
        <f>IFERROR(VLOOKUP(Tabulka2[[#This Row],[Pracovník]],DATA!A:L,5,0),"")</f>
        <v>19</v>
      </c>
      <c r="F359" s="12" t="s">
        <v>640</v>
      </c>
      <c r="G359" s="16"/>
      <c r="H359" s="18"/>
      <c r="I359" s="27" t="str">
        <f>IFERROR(VLOOKUP(Tabulka2[[#This Row],[Pracovník]],DATA!A:L,11,0),"")</f>
        <v>Vlastní auto</v>
      </c>
      <c r="J359" s="16"/>
      <c r="K359" s="19"/>
    </row>
    <row r="360" spans="1:11" x14ac:dyDescent="0.25">
      <c r="A3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60" s="22">
        <v>45925</v>
      </c>
      <c r="C360" s="16" t="s">
        <v>28</v>
      </c>
      <c r="D360" s="16" t="s">
        <v>810</v>
      </c>
      <c r="E360" s="17">
        <f>IFERROR(VLOOKUP(Tabulka2[[#This Row],[Pracovník]],DATA!A:L,5,0),"")</f>
        <v>4791</v>
      </c>
      <c r="F360" s="12" t="s">
        <v>640</v>
      </c>
      <c r="G360" s="16"/>
      <c r="H360" s="18"/>
      <c r="I360" s="27" t="str">
        <f>IFERROR(VLOOKUP(Tabulka2[[#This Row],[Pracovník]],DATA!A:L,11,0),"")</f>
        <v>Vlastní auto</v>
      </c>
      <c r="J360" s="16"/>
      <c r="K360" s="19"/>
    </row>
    <row r="361" spans="1:11" x14ac:dyDescent="0.25">
      <c r="A3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61" s="22">
        <v>45925</v>
      </c>
      <c r="C361" s="16" t="s">
        <v>28</v>
      </c>
      <c r="D361" s="16" t="s">
        <v>811</v>
      </c>
      <c r="E361" s="17">
        <f>IFERROR(VLOOKUP(Tabulka2[[#This Row],[Pracovník]],DATA!A:L,5,0),"")</f>
        <v>5121</v>
      </c>
      <c r="F361" s="12" t="s">
        <v>655</v>
      </c>
      <c r="G361" s="16"/>
      <c r="H361" s="18"/>
      <c r="I361" s="27" t="str">
        <f>IFERROR(VLOOKUP(Tabulka2[[#This Row],[Pracovník]],DATA!A:L,11,0),"")</f>
        <v>DSC 2</v>
      </c>
      <c r="J361" s="16"/>
      <c r="K361" s="19"/>
    </row>
    <row r="362" spans="1:11" x14ac:dyDescent="0.25">
      <c r="A3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62" s="22">
        <v>45925</v>
      </c>
      <c r="C362" s="16" t="s">
        <v>28</v>
      </c>
      <c r="D362" s="16" t="s">
        <v>996</v>
      </c>
      <c r="E362" s="17">
        <f>IFERROR(VLOOKUP(Tabulka2[[#This Row],[Pracovník]],DATA!A:L,5,0),"")</f>
        <v>4416</v>
      </c>
      <c r="F362" s="12" t="s">
        <v>655</v>
      </c>
      <c r="G362" s="16"/>
      <c r="H362" s="18"/>
      <c r="I362" s="27" t="str">
        <f>IFERROR(VLOOKUP(Tabulka2[[#This Row],[Pracovník]],DATA!A:L,11,0),"")</f>
        <v>DSC 2</v>
      </c>
      <c r="J362" s="16"/>
      <c r="K362" s="19"/>
    </row>
    <row r="363" spans="1:11" x14ac:dyDescent="0.25">
      <c r="A3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63" s="22">
        <v>45925</v>
      </c>
      <c r="C363" s="16" t="s">
        <v>28</v>
      </c>
      <c r="D363" s="16" t="s">
        <v>825</v>
      </c>
      <c r="E363" s="17">
        <f>IFERROR(VLOOKUP(Tabulka2[[#This Row],[Pracovník]],DATA!A:L,5,0),"")</f>
        <v>6193</v>
      </c>
      <c r="F363" s="12" t="s">
        <v>655</v>
      </c>
      <c r="G363" s="16"/>
      <c r="H363" s="18"/>
      <c r="I363" s="27" t="str">
        <f>IFERROR(VLOOKUP(Tabulka2[[#This Row],[Pracovník]],DATA!A:L,11,0),"")</f>
        <v>DSC 2</v>
      </c>
      <c r="J363" s="16"/>
      <c r="K363" s="19"/>
    </row>
    <row r="364" spans="1:11" x14ac:dyDescent="0.25">
      <c r="A3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64" s="22">
        <v>45925</v>
      </c>
      <c r="C364" s="16" t="s">
        <v>28</v>
      </c>
      <c r="D364" s="16" t="s">
        <v>812</v>
      </c>
      <c r="E364" s="17">
        <f>IFERROR(VLOOKUP(Tabulka2[[#This Row],[Pracovník]],DATA!A:L,5,0),"")</f>
        <v>146</v>
      </c>
      <c r="F364" s="12" t="s">
        <v>653</v>
      </c>
      <c r="G364" s="16" t="s">
        <v>657</v>
      </c>
      <c r="H364" s="18"/>
      <c r="I364" s="27" t="str">
        <f>IFERROR(VLOOKUP(Tabulka2[[#This Row],[Pracovník]],DATA!A:L,11,0),"")</f>
        <v>DSC 2</v>
      </c>
      <c r="J364" s="16"/>
      <c r="K364" s="19"/>
    </row>
    <row r="365" spans="1:11" x14ac:dyDescent="0.25">
      <c r="A3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65" s="22">
        <v>45925</v>
      </c>
      <c r="C365" s="16" t="s">
        <v>28</v>
      </c>
      <c r="D365" s="16" t="s">
        <v>814</v>
      </c>
      <c r="E365" s="17">
        <f>IFERROR(VLOOKUP(Tabulka2[[#This Row],[Pracovník]],DATA!A:L,5,0),"")</f>
        <v>4745</v>
      </c>
      <c r="F365" s="12" t="s">
        <v>640</v>
      </c>
      <c r="G365" s="16"/>
      <c r="H365" s="18"/>
      <c r="I365" s="27" t="str">
        <f>IFERROR(VLOOKUP(Tabulka2[[#This Row],[Pracovník]],DATA!A:L,11,0),"")</f>
        <v>Vlastní auto</v>
      </c>
      <c r="J365" s="16"/>
      <c r="K365" s="19"/>
    </row>
    <row r="366" spans="1:11" x14ac:dyDescent="0.25">
      <c r="A3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66" s="22">
        <v>45925</v>
      </c>
      <c r="C366" s="16" t="s">
        <v>28</v>
      </c>
      <c r="D366" s="16" t="s">
        <v>997</v>
      </c>
      <c r="E366" s="17">
        <f>IFERROR(VLOOKUP(Tabulka2[[#This Row],[Pracovník]],DATA!A:L,5,0),"")</f>
        <v>5029</v>
      </c>
      <c r="F366" s="12" t="s">
        <v>655</v>
      </c>
      <c r="G366" s="16"/>
      <c r="H366" s="18"/>
      <c r="I366" s="27" t="str">
        <f>IFERROR(VLOOKUP(Tabulka2[[#This Row],[Pracovník]],DATA!A:L,11,0),"")</f>
        <v>Vlastní auto</v>
      </c>
      <c r="J366" s="16"/>
      <c r="K366" s="19"/>
    </row>
    <row r="367" spans="1:11" x14ac:dyDescent="0.25">
      <c r="A3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67" s="22">
        <v>45925</v>
      </c>
      <c r="C367" s="16" t="s">
        <v>28</v>
      </c>
      <c r="D367" s="16" t="s">
        <v>816</v>
      </c>
      <c r="E367" s="17">
        <f>IFERROR(VLOOKUP(Tabulka2[[#This Row],[Pracovník]],DATA!A:L,5,0),"")</f>
        <v>5209</v>
      </c>
      <c r="F367" s="12" t="s">
        <v>655</v>
      </c>
      <c r="G367" s="16"/>
      <c r="H367" s="18"/>
      <c r="I367" s="27" t="str">
        <f>IFERROR(VLOOKUP(Tabulka2[[#This Row],[Pracovník]],DATA!A:L,11,0),"")</f>
        <v>Vlastní auto</v>
      </c>
      <c r="J367" s="16"/>
      <c r="K367" s="19"/>
    </row>
    <row r="368" spans="1:11" x14ac:dyDescent="0.25">
      <c r="A3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68" s="22">
        <v>45925</v>
      </c>
      <c r="C368" s="16" t="s">
        <v>28</v>
      </c>
      <c r="D368" s="16" t="s">
        <v>815</v>
      </c>
      <c r="E368" s="17">
        <f>IFERROR(VLOOKUP(Tabulka2[[#This Row],[Pracovník]],DATA!A:L,5,0),"")</f>
        <v>4790</v>
      </c>
      <c r="F368" s="12" t="s">
        <v>640</v>
      </c>
      <c r="G368" s="16"/>
      <c r="H368" s="18"/>
      <c r="I368" s="27" t="str">
        <f>IFERROR(VLOOKUP(Tabulka2[[#This Row],[Pracovník]],DATA!A:L,11,0),"")</f>
        <v>DSC 2</v>
      </c>
      <c r="J368" s="16"/>
      <c r="K368" s="19"/>
    </row>
    <row r="369" spans="1:11" x14ac:dyDescent="0.25">
      <c r="A3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69" s="22">
        <v>45925</v>
      </c>
      <c r="C369" s="16" t="s">
        <v>28</v>
      </c>
      <c r="D369" s="16" t="s">
        <v>817</v>
      </c>
      <c r="E369" s="17">
        <f>IFERROR(VLOOKUP(Tabulka2[[#This Row],[Pracovník]],DATA!A:L,5,0),"")</f>
        <v>4727</v>
      </c>
      <c r="F369" s="12" t="s">
        <v>654</v>
      </c>
      <c r="G369" s="16"/>
      <c r="H369" s="18"/>
      <c r="I369" s="27" t="str">
        <f>IFERROR(VLOOKUP(Tabulka2[[#This Row],[Pracovník]],DATA!A:L,11,0),"")</f>
        <v>DSC 1</v>
      </c>
      <c r="J369" s="16"/>
      <c r="K369" s="19"/>
    </row>
    <row r="370" spans="1:11" x14ac:dyDescent="0.25">
      <c r="A3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70" s="22">
        <v>45925</v>
      </c>
      <c r="C370" s="16" t="s">
        <v>28</v>
      </c>
      <c r="D370" s="16" t="s">
        <v>818</v>
      </c>
      <c r="E370" s="17">
        <f>IFERROR(VLOOKUP(Tabulka2[[#This Row],[Pracovník]],DATA!A:L,5,0),"")</f>
        <v>6488</v>
      </c>
      <c r="F370" s="12" t="s">
        <v>655</v>
      </c>
      <c r="G370" s="16"/>
      <c r="H370" s="18"/>
      <c r="I370" s="27" t="str">
        <f>IFERROR(VLOOKUP(Tabulka2[[#This Row],[Pracovník]],DATA!A:L,11,0),"")</f>
        <v>DSC 2</v>
      </c>
      <c r="J370" s="16"/>
      <c r="K370" s="19"/>
    </row>
    <row r="371" spans="1:11" x14ac:dyDescent="0.25">
      <c r="A3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71" s="22">
        <v>45925</v>
      </c>
      <c r="C371" s="16" t="s">
        <v>28</v>
      </c>
      <c r="D371" s="16" t="s">
        <v>820</v>
      </c>
      <c r="E371" s="17">
        <f>IFERROR(VLOOKUP(Tabulka2[[#This Row],[Pracovník]],DATA!A:L,5,0),"")</f>
        <v>5604</v>
      </c>
      <c r="F371" s="12" t="s">
        <v>655</v>
      </c>
      <c r="G371" s="16"/>
      <c r="H371" s="18"/>
      <c r="I371" s="27" t="str">
        <f>IFERROR(VLOOKUP(Tabulka2[[#This Row],[Pracovník]],DATA!A:L,11,0),"")</f>
        <v>Vlastní auto</v>
      </c>
      <c r="J371" s="16"/>
      <c r="K371" s="19"/>
    </row>
    <row r="372" spans="1:11" x14ac:dyDescent="0.25">
      <c r="A3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72" s="22">
        <v>45925</v>
      </c>
      <c r="C372" s="16" t="s">
        <v>28</v>
      </c>
      <c r="D372" s="16" t="s">
        <v>821</v>
      </c>
      <c r="E372" s="17">
        <f>IFERROR(VLOOKUP(Tabulka2[[#This Row],[Pracovník]],DATA!A:L,5,0),"")</f>
        <v>5632</v>
      </c>
      <c r="F372" s="12" t="s">
        <v>655</v>
      </c>
      <c r="G372" s="16"/>
      <c r="H372" s="18"/>
      <c r="I372" s="27" t="str">
        <f>IFERROR(VLOOKUP(Tabulka2[[#This Row],[Pracovník]],DATA!A:L,11,0),"")</f>
        <v>DSC 1</v>
      </c>
      <c r="J372" s="16"/>
      <c r="K372" s="19"/>
    </row>
    <row r="373" spans="1:11" x14ac:dyDescent="0.25">
      <c r="A3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73" s="22">
        <v>45925</v>
      </c>
      <c r="C373" s="16" t="s">
        <v>28</v>
      </c>
      <c r="D373" s="16" t="s">
        <v>822</v>
      </c>
      <c r="E373" s="17">
        <f>IFERROR(VLOOKUP(Tabulka2[[#This Row],[Pracovník]],DATA!A:L,5,0),"")</f>
        <v>5980</v>
      </c>
      <c r="F373" s="12" t="s">
        <v>640</v>
      </c>
      <c r="G373" s="16"/>
      <c r="H373" s="18"/>
      <c r="I373" s="27" t="str">
        <f>IFERROR(VLOOKUP(Tabulka2[[#This Row],[Pracovník]],DATA!A:L,11,0),"")</f>
        <v>DSC 2</v>
      </c>
      <c r="J373" s="16"/>
      <c r="K373" s="19"/>
    </row>
    <row r="374" spans="1:11" x14ac:dyDescent="0.25">
      <c r="A3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74" s="22">
        <v>45925</v>
      </c>
      <c r="C374" s="16" t="s">
        <v>28</v>
      </c>
      <c r="D374" s="16" t="s">
        <v>823</v>
      </c>
      <c r="E374" s="17">
        <f>IFERROR(VLOOKUP(Tabulka2[[#This Row],[Pracovník]],DATA!A:L,5,0),"")</f>
        <v>5481</v>
      </c>
      <c r="F374" s="12" t="s">
        <v>640</v>
      </c>
      <c r="G374" s="16"/>
      <c r="H374" s="18"/>
      <c r="I374" s="27" t="str">
        <f>IFERROR(VLOOKUP(Tabulka2[[#This Row],[Pracovník]],DATA!A:L,11,0),"")</f>
        <v>DSC 2</v>
      </c>
      <c r="J374" s="16"/>
      <c r="K374" s="19"/>
    </row>
    <row r="375" spans="1:11" x14ac:dyDescent="0.25">
      <c r="A3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75" s="22">
        <v>45925</v>
      </c>
      <c r="C375" s="16" t="s">
        <v>28</v>
      </c>
      <c r="D375" s="16" t="s">
        <v>824</v>
      </c>
      <c r="E375" s="17">
        <f>IFERROR(VLOOKUP(Tabulka2[[#This Row],[Pracovník]],DATA!A:L,5,0),"")</f>
        <v>150</v>
      </c>
      <c r="F375" s="12" t="s">
        <v>653</v>
      </c>
      <c r="G375" s="16" t="s">
        <v>657</v>
      </c>
      <c r="H375" s="18"/>
      <c r="I375" s="27" t="str">
        <f>IFERROR(VLOOKUP(Tabulka2[[#This Row],[Pracovník]],DATA!A:L,11,0),"")</f>
        <v>DSC 1</v>
      </c>
      <c r="J375" s="16"/>
      <c r="K375" s="19"/>
    </row>
    <row r="376" spans="1:11" x14ac:dyDescent="0.25">
      <c r="A3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76" s="22">
        <v>45925</v>
      </c>
      <c r="C376" s="16" t="s">
        <v>28</v>
      </c>
      <c r="D376" s="16" t="s">
        <v>826</v>
      </c>
      <c r="E376" s="17">
        <f>IFERROR(VLOOKUP(Tabulka2[[#This Row],[Pracovník]],DATA!A:L,5,0),"")</f>
        <v>5120</v>
      </c>
      <c r="F376" s="12" t="s">
        <v>655</v>
      </c>
      <c r="G376" s="16"/>
      <c r="H376" s="18"/>
      <c r="I376" s="27" t="str">
        <f>IFERROR(VLOOKUP(Tabulka2[[#This Row],[Pracovník]],DATA!A:L,11,0),"")</f>
        <v>Vlastní auto</v>
      </c>
      <c r="J376" s="16"/>
      <c r="K376" s="19"/>
    </row>
    <row r="377" spans="1:11" x14ac:dyDescent="0.25">
      <c r="A3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77" s="22">
        <v>45925</v>
      </c>
      <c r="C377" s="16" t="s">
        <v>28</v>
      </c>
      <c r="D377" s="16" t="s">
        <v>827</v>
      </c>
      <c r="E377" s="17">
        <f>IFERROR(VLOOKUP(Tabulka2[[#This Row],[Pracovník]],DATA!A:L,5,0),"")</f>
        <v>4713</v>
      </c>
      <c r="F377" s="12" t="s">
        <v>640</v>
      </c>
      <c r="G377" s="16"/>
      <c r="H377" s="18"/>
      <c r="I377" s="27" t="str">
        <f>IFERROR(VLOOKUP(Tabulka2[[#This Row],[Pracovník]],DATA!A:L,11,0),"")</f>
        <v>DSC 1</v>
      </c>
      <c r="J377" s="16"/>
      <c r="K377" s="19"/>
    </row>
    <row r="378" spans="1:11" x14ac:dyDescent="0.25">
      <c r="A3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78" s="22">
        <v>45925</v>
      </c>
      <c r="C378" s="16" t="s">
        <v>28</v>
      </c>
      <c r="D378" s="16" t="s">
        <v>828</v>
      </c>
      <c r="E378" s="17">
        <f>IFERROR(VLOOKUP(Tabulka2[[#This Row],[Pracovník]],DATA!A:L,5,0),"")</f>
        <v>6318</v>
      </c>
      <c r="F378" s="12" t="s">
        <v>655</v>
      </c>
      <c r="G378" s="16"/>
      <c r="H378" s="18"/>
      <c r="I378" s="27" t="str">
        <f>IFERROR(VLOOKUP(Tabulka2[[#This Row],[Pracovník]],DATA!A:L,11,0),"")</f>
        <v>DSC 1</v>
      </c>
      <c r="J378" s="16"/>
      <c r="K378" s="19"/>
    </row>
    <row r="379" spans="1:11" x14ac:dyDescent="0.25">
      <c r="A3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79" s="22">
        <v>45925</v>
      </c>
      <c r="C379" s="16" t="s">
        <v>28</v>
      </c>
      <c r="D379" s="16" t="s">
        <v>829</v>
      </c>
      <c r="E379" s="17">
        <f>IFERROR(VLOOKUP(Tabulka2[[#This Row],[Pracovník]],DATA!A:L,5,0),"")</f>
        <v>5712</v>
      </c>
      <c r="F379" s="12" t="s">
        <v>655</v>
      </c>
      <c r="G379" s="16"/>
      <c r="H379" s="18"/>
      <c r="I379" s="27" t="str">
        <f>IFERROR(VLOOKUP(Tabulka2[[#This Row],[Pracovník]],DATA!A:L,11,0),"")</f>
        <v>Vlastní auto</v>
      </c>
      <c r="J379" s="16"/>
      <c r="K379" s="19"/>
    </row>
    <row r="380" spans="1:11" x14ac:dyDescent="0.25">
      <c r="A3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80" s="22">
        <v>45925</v>
      </c>
      <c r="C380" s="16" t="s">
        <v>28</v>
      </c>
      <c r="D380" s="16" t="s">
        <v>830</v>
      </c>
      <c r="E380" s="17">
        <f>IFERROR(VLOOKUP(Tabulka2[[#This Row],[Pracovník]],DATA!A:L,5,0),"")</f>
        <v>4744</v>
      </c>
      <c r="F380" s="12" t="s">
        <v>654</v>
      </c>
      <c r="G380" s="16"/>
      <c r="H380" s="18"/>
      <c r="I380" s="27" t="str">
        <f>IFERROR(VLOOKUP(Tabulka2[[#This Row],[Pracovník]],DATA!A:L,11,0),"")</f>
        <v>DSC 2</v>
      </c>
      <c r="J380" s="16"/>
      <c r="K380" s="19"/>
    </row>
    <row r="381" spans="1:11" x14ac:dyDescent="0.25">
      <c r="A3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81" s="22">
        <v>45925</v>
      </c>
      <c r="C381" s="16" t="s">
        <v>28</v>
      </c>
      <c r="D381" s="16" t="s">
        <v>998</v>
      </c>
      <c r="E381" s="17">
        <f>IFERROR(VLOOKUP(Tabulka2[[#This Row],[Pracovník]],DATA!A:L,5,0),"")</f>
        <v>4555</v>
      </c>
      <c r="F381" s="12" t="s">
        <v>653</v>
      </c>
      <c r="G381" s="16" t="s">
        <v>656</v>
      </c>
      <c r="H381" s="18"/>
      <c r="I381" s="27" t="str">
        <f>IFERROR(VLOOKUP(Tabulka2[[#This Row],[Pracovník]],DATA!A:L,11,0),"")</f>
        <v>Vlastní auto</v>
      </c>
      <c r="J381" s="16"/>
      <c r="K381" s="19"/>
    </row>
    <row r="382" spans="1:11" x14ac:dyDescent="0.25">
      <c r="A3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82" s="22">
        <v>45925</v>
      </c>
      <c r="C382" s="16" t="s">
        <v>28</v>
      </c>
      <c r="D382" s="16" t="s">
        <v>831</v>
      </c>
      <c r="E382" s="17">
        <f>IFERROR(VLOOKUP(Tabulka2[[#This Row],[Pracovník]],DATA!A:L,5,0),"")</f>
        <v>155</v>
      </c>
      <c r="F382" s="12" t="s">
        <v>654</v>
      </c>
      <c r="G382" s="16"/>
      <c r="H382" s="18"/>
      <c r="I382" s="27" t="str">
        <f>IFERROR(VLOOKUP(Tabulka2[[#This Row],[Pracovník]],DATA!A:L,11,0),"")</f>
        <v>DSC 1</v>
      </c>
      <c r="J382" s="16"/>
      <c r="K382" s="19"/>
    </row>
    <row r="383" spans="1:11" x14ac:dyDescent="0.25">
      <c r="A3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83" s="22">
        <v>45925</v>
      </c>
      <c r="C383" s="16" t="s">
        <v>28</v>
      </c>
      <c r="D383" s="16" t="s">
        <v>833</v>
      </c>
      <c r="E383" s="17">
        <f>IFERROR(VLOOKUP(Tabulka2[[#This Row],[Pracovník]],DATA!A:L,5,0),"")</f>
        <v>6178</v>
      </c>
      <c r="F383" s="12" t="s">
        <v>655</v>
      </c>
      <c r="G383" s="16"/>
      <c r="H383" s="18"/>
      <c r="I383" s="27" t="str">
        <f>IFERROR(VLOOKUP(Tabulka2[[#This Row],[Pracovník]],DATA!A:L,11,0),"")</f>
        <v>DSC 2</v>
      </c>
      <c r="J383" s="16"/>
      <c r="K383" s="19"/>
    </row>
    <row r="384" spans="1:11" x14ac:dyDescent="0.25">
      <c r="A3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84" s="22">
        <v>45925</v>
      </c>
      <c r="C384" s="16" t="s">
        <v>28</v>
      </c>
      <c r="D384" s="16" t="s">
        <v>834</v>
      </c>
      <c r="E384" s="17">
        <f>IFERROR(VLOOKUP(Tabulka2[[#This Row],[Pracovník]],DATA!A:L,5,0),"")</f>
        <v>6345</v>
      </c>
      <c r="F384" s="12" t="s">
        <v>654</v>
      </c>
      <c r="G384" s="16"/>
      <c r="H384" s="18"/>
      <c r="I384" s="27" t="str">
        <f>IFERROR(VLOOKUP(Tabulka2[[#This Row],[Pracovník]],DATA!A:L,11,0),"")</f>
        <v>DSC 1</v>
      </c>
      <c r="J384" s="16"/>
      <c r="K384" s="19"/>
    </row>
    <row r="385" spans="1:11" x14ac:dyDescent="0.25">
      <c r="A3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85" s="22">
        <v>45925</v>
      </c>
      <c r="C385" s="16" t="s">
        <v>28</v>
      </c>
      <c r="D385" s="16" t="s">
        <v>835</v>
      </c>
      <c r="E385" s="17">
        <f>IFERROR(VLOOKUP(Tabulka2[[#This Row],[Pracovník]],DATA!A:L,5,0),"")</f>
        <v>5601</v>
      </c>
      <c r="F385" s="12" t="s">
        <v>654</v>
      </c>
      <c r="G385" s="16"/>
      <c r="H385" s="18"/>
      <c r="I385" s="27" t="str">
        <f>IFERROR(VLOOKUP(Tabulka2[[#This Row],[Pracovník]],DATA!A:L,11,0),"")</f>
        <v>DSC 2</v>
      </c>
      <c r="J385" s="16"/>
      <c r="K385" s="19"/>
    </row>
    <row r="386" spans="1:11" x14ac:dyDescent="0.25">
      <c r="A3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86" s="22">
        <v>45925</v>
      </c>
      <c r="C386" s="16" t="s">
        <v>28</v>
      </c>
      <c r="D386" s="16" t="s">
        <v>836</v>
      </c>
      <c r="E386" s="17">
        <f>IFERROR(VLOOKUP(Tabulka2[[#This Row],[Pracovník]],DATA!A:L,5,0),"")</f>
        <v>5152</v>
      </c>
      <c r="F386" s="12" t="s">
        <v>655</v>
      </c>
      <c r="G386" s="16"/>
      <c r="H386" s="18"/>
      <c r="I386" s="27" t="str">
        <f>IFERROR(VLOOKUP(Tabulka2[[#This Row],[Pracovník]],DATA!A:L,11,0),"")</f>
        <v>Vlastní auto</v>
      </c>
      <c r="J386" s="16"/>
      <c r="K386" s="19"/>
    </row>
    <row r="387" spans="1:11" x14ac:dyDescent="0.25">
      <c r="A3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87" s="22">
        <v>45925</v>
      </c>
      <c r="C387" s="16" t="s">
        <v>28</v>
      </c>
      <c r="D387" s="16" t="s">
        <v>837</v>
      </c>
      <c r="E387" s="17">
        <f>IFERROR(VLOOKUP(Tabulka2[[#This Row],[Pracovník]],DATA!A:L,5,0),"")</f>
        <v>176</v>
      </c>
      <c r="F387" s="12" t="s">
        <v>654</v>
      </c>
      <c r="G387" s="16"/>
      <c r="H387" s="18"/>
      <c r="I387" s="27" t="str">
        <f>IFERROR(VLOOKUP(Tabulka2[[#This Row],[Pracovník]],DATA!A:L,11,0),"")</f>
        <v>Vlastní auto</v>
      </c>
      <c r="J387" s="16"/>
      <c r="K387" s="19"/>
    </row>
    <row r="388" spans="1:11" x14ac:dyDescent="0.25">
      <c r="A3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88" s="22">
        <v>45925</v>
      </c>
      <c r="C388" s="16" t="s">
        <v>28</v>
      </c>
      <c r="D388" s="16" t="s">
        <v>839</v>
      </c>
      <c r="E388" s="17">
        <f>IFERROR(VLOOKUP(Tabulka2[[#This Row],[Pracovník]],DATA!A:L,5,0),"")</f>
        <v>177</v>
      </c>
      <c r="F388" s="12" t="s">
        <v>640</v>
      </c>
      <c r="G388" s="16"/>
      <c r="H388" s="18"/>
      <c r="I388" s="27" t="str">
        <f>IFERROR(VLOOKUP(Tabulka2[[#This Row],[Pracovník]],DATA!A:L,11,0),"")</f>
        <v>DSC 2</v>
      </c>
      <c r="J388" s="16"/>
      <c r="K388" s="19"/>
    </row>
    <row r="389" spans="1:11" x14ac:dyDescent="0.25">
      <c r="A3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89" s="22">
        <v>45925</v>
      </c>
      <c r="C389" s="16" t="s">
        <v>28</v>
      </c>
      <c r="D389" s="16" t="s">
        <v>840</v>
      </c>
      <c r="E389" s="17">
        <f>IFERROR(VLOOKUP(Tabulka2[[#This Row],[Pracovník]],DATA!A:L,5,0),"")</f>
        <v>5555</v>
      </c>
      <c r="F389" s="12" t="s">
        <v>640</v>
      </c>
      <c r="G389" s="16"/>
      <c r="H389" s="18"/>
      <c r="I389" s="27" t="str">
        <f>IFERROR(VLOOKUP(Tabulka2[[#This Row],[Pracovník]],DATA!A:L,11,0),"")</f>
        <v>Vlastní auto</v>
      </c>
      <c r="J389" s="16"/>
      <c r="K389" s="19"/>
    </row>
    <row r="390" spans="1:11" x14ac:dyDescent="0.25">
      <c r="A3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90" s="22">
        <v>45925</v>
      </c>
      <c r="C390" s="16" t="s">
        <v>28</v>
      </c>
      <c r="D390" s="16" t="s">
        <v>841</v>
      </c>
      <c r="E390" s="17">
        <f>IFERROR(VLOOKUP(Tabulka2[[#This Row],[Pracovník]],DATA!A:L,5,0),"")</f>
        <v>4959</v>
      </c>
      <c r="F390" s="12" t="s">
        <v>640</v>
      </c>
      <c r="G390" s="16"/>
      <c r="H390" s="18"/>
      <c r="I390" s="27" t="str">
        <f>IFERROR(VLOOKUP(Tabulka2[[#This Row],[Pracovník]],DATA!A:L,11,0),"")</f>
        <v>Vlastní auto</v>
      </c>
      <c r="J390" s="16"/>
      <c r="K390" s="19"/>
    </row>
    <row r="391" spans="1:11" x14ac:dyDescent="0.25">
      <c r="A3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91" s="22">
        <v>45925</v>
      </c>
      <c r="C391" s="16" t="s">
        <v>28</v>
      </c>
      <c r="D391" s="16" t="s">
        <v>843</v>
      </c>
      <c r="E391" s="17">
        <f>IFERROR(VLOOKUP(Tabulka2[[#This Row],[Pracovník]],DATA!A:L,5,0),"")</f>
        <v>4919</v>
      </c>
      <c r="F391" s="12" t="s">
        <v>655</v>
      </c>
      <c r="G391" s="16"/>
      <c r="H391" s="18"/>
      <c r="I391" s="27" t="str">
        <f>IFERROR(VLOOKUP(Tabulka2[[#This Row],[Pracovník]],DATA!A:L,11,0),"")</f>
        <v>Vlastní auto</v>
      </c>
      <c r="J391" s="16"/>
      <c r="K391" s="19"/>
    </row>
    <row r="392" spans="1:11" x14ac:dyDescent="0.25">
      <c r="A3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92" s="22">
        <v>45925</v>
      </c>
      <c r="C392" s="16" t="s">
        <v>28</v>
      </c>
      <c r="D392" s="16" t="s">
        <v>842</v>
      </c>
      <c r="E392" s="17">
        <f>IFERROR(VLOOKUP(Tabulka2[[#This Row],[Pracovník]],DATA!A:L,5,0),"")</f>
        <v>4724</v>
      </c>
      <c r="F392" s="12" t="s">
        <v>655</v>
      </c>
      <c r="G392" s="16"/>
      <c r="H392" s="18"/>
      <c r="I392" s="27" t="str">
        <f>IFERROR(VLOOKUP(Tabulka2[[#This Row],[Pracovník]],DATA!A:L,11,0),"")</f>
        <v>Vlastní auto</v>
      </c>
      <c r="J392" s="16"/>
      <c r="K392" s="19"/>
    </row>
    <row r="393" spans="1:11" x14ac:dyDescent="0.25">
      <c r="A3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93" s="22">
        <v>45925</v>
      </c>
      <c r="C393" s="16" t="s">
        <v>28</v>
      </c>
      <c r="D393" s="16" t="s">
        <v>844</v>
      </c>
      <c r="E393" s="17">
        <f>IFERROR(VLOOKUP(Tabulka2[[#This Row],[Pracovník]],DATA!A:L,5,0),"")</f>
        <v>183</v>
      </c>
      <c r="F393" s="12" t="s">
        <v>654</v>
      </c>
      <c r="G393" s="16"/>
      <c r="H393" s="18"/>
      <c r="I393" s="27" t="str">
        <f>IFERROR(VLOOKUP(Tabulka2[[#This Row],[Pracovník]],DATA!A:L,11,0),"")</f>
        <v>DSC 1</v>
      </c>
      <c r="J393" s="16"/>
      <c r="K393" s="19"/>
    </row>
    <row r="394" spans="1:11" x14ac:dyDescent="0.25">
      <c r="A3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94" s="22">
        <v>45925</v>
      </c>
      <c r="C394" s="16" t="s">
        <v>28</v>
      </c>
      <c r="D394" s="16" t="s">
        <v>845</v>
      </c>
      <c r="E394" s="17">
        <f>IFERROR(VLOOKUP(Tabulka2[[#This Row],[Pracovník]],DATA!A:L,5,0),"")</f>
        <v>5545</v>
      </c>
      <c r="F394" s="12" t="s">
        <v>640</v>
      </c>
      <c r="G394" s="16"/>
      <c r="H394" s="18"/>
      <c r="I394" s="27" t="str">
        <f>IFERROR(VLOOKUP(Tabulka2[[#This Row],[Pracovník]],DATA!A:L,11,0),"")</f>
        <v>Vlastní auto</v>
      </c>
      <c r="J394" s="16"/>
      <c r="K394" s="19"/>
    </row>
    <row r="395" spans="1:11" x14ac:dyDescent="0.25">
      <c r="A3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95" s="22">
        <v>45925</v>
      </c>
      <c r="C395" s="16" t="s">
        <v>28</v>
      </c>
      <c r="D395" s="16" t="s">
        <v>846</v>
      </c>
      <c r="E395" s="17">
        <f>IFERROR(VLOOKUP(Tabulka2[[#This Row],[Pracovník]],DATA!A:L,5,0),"")</f>
        <v>5526</v>
      </c>
      <c r="F395" s="12" t="s">
        <v>655</v>
      </c>
      <c r="G395" s="16"/>
      <c r="H395" s="18"/>
      <c r="I395" s="27" t="str">
        <f>IFERROR(VLOOKUP(Tabulka2[[#This Row],[Pracovník]],DATA!A:L,11,0),"")</f>
        <v>Vlastní auto</v>
      </c>
      <c r="J395" s="16"/>
      <c r="K395" s="19"/>
    </row>
    <row r="396" spans="1:11" x14ac:dyDescent="0.25">
      <c r="A3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96" s="22">
        <v>45925</v>
      </c>
      <c r="C396" s="16" t="s">
        <v>28</v>
      </c>
      <c r="D396" s="16" t="s">
        <v>847</v>
      </c>
      <c r="E396" s="17">
        <f>IFERROR(VLOOKUP(Tabulka2[[#This Row],[Pracovník]],DATA!A:L,5,0),"")</f>
        <v>5192</v>
      </c>
      <c r="F396" s="12" t="s">
        <v>655</v>
      </c>
      <c r="G396" s="16"/>
      <c r="H396" s="18"/>
      <c r="I396" s="27" t="str">
        <f>IFERROR(VLOOKUP(Tabulka2[[#This Row],[Pracovník]],DATA!A:L,11,0),"")</f>
        <v>Vlastní auto</v>
      </c>
      <c r="J396" s="16"/>
      <c r="K396" s="19"/>
    </row>
    <row r="397" spans="1:11" x14ac:dyDescent="0.25">
      <c r="A3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97" s="22">
        <v>45925</v>
      </c>
      <c r="C397" s="16" t="s">
        <v>28</v>
      </c>
      <c r="D397" s="16" t="s">
        <v>848</v>
      </c>
      <c r="E397" s="17">
        <f>IFERROR(VLOOKUP(Tabulka2[[#This Row],[Pracovník]],DATA!A:L,5,0),"")</f>
        <v>4698</v>
      </c>
      <c r="F397" s="12" t="s">
        <v>655</v>
      </c>
      <c r="G397" s="16"/>
      <c r="H397" s="18"/>
      <c r="I397" s="27" t="str">
        <f>IFERROR(VLOOKUP(Tabulka2[[#This Row],[Pracovník]],DATA!A:L,11,0),"")</f>
        <v>Vlastní auto</v>
      </c>
      <c r="J397" s="16"/>
      <c r="K397" s="19"/>
    </row>
    <row r="398" spans="1:11" x14ac:dyDescent="0.25">
      <c r="A3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98" s="22">
        <v>45925</v>
      </c>
      <c r="C398" s="16" t="s">
        <v>28</v>
      </c>
      <c r="D398" s="16" t="s">
        <v>849</v>
      </c>
      <c r="E398" s="17">
        <f>IFERROR(VLOOKUP(Tabulka2[[#This Row],[Pracovník]],DATA!A:L,5,0),"")</f>
        <v>4611</v>
      </c>
      <c r="F398" s="12" t="s">
        <v>640</v>
      </c>
      <c r="G398" s="16"/>
      <c r="H398" s="18"/>
      <c r="I398" s="27" t="str">
        <f>IFERROR(VLOOKUP(Tabulka2[[#This Row],[Pracovník]],DATA!A:L,11,0),"")</f>
        <v>DSC 1</v>
      </c>
      <c r="J398" s="16"/>
      <c r="K398" s="19"/>
    </row>
    <row r="399" spans="1:11" x14ac:dyDescent="0.25">
      <c r="A3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399" s="22">
        <v>45925</v>
      </c>
      <c r="C399" s="16" t="s">
        <v>28</v>
      </c>
      <c r="D399" s="16" t="s">
        <v>850</v>
      </c>
      <c r="E399" s="17">
        <f>IFERROR(VLOOKUP(Tabulka2[[#This Row],[Pracovník]],DATA!A:L,5,0),"")</f>
        <v>5069</v>
      </c>
      <c r="F399" s="12" t="s">
        <v>640</v>
      </c>
      <c r="G399" s="16"/>
      <c r="H399" s="18"/>
      <c r="I399" s="27" t="str">
        <f>IFERROR(VLOOKUP(Tabulka2[[#This Row],[Pracovník]],DATA!A:L,11,0),"")</f>
        <v>Vlastní auto</v>
      </c>
      <c r="J399" s="16"/>
      <c r="K399" s="19"/>
    </row>
    <row r="400" spans="1:11" x14ac:dyDescent="0.25">
      <c r="A4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00" s="22">
        <v>45925</v>
      </c>
      <c r="C400" s="16" t="s">
        <v>28</v>
      </c>
      <c r="D400" s="16" t="s">
        <v>851</v>
      </c>
      <c r="E400" s="17">
        <f>IFERROR(VLOOKUP(Tabulka2[[#This Row],[Pracovník]],DATA!A:L,5,0),"")</f>
        <v>185</v>
      </c>
      <c r="F400" s="12" t="s">
        <v>654</v>
      </c>
      <c r="G400" s="16"/>
      <c r="H400" s="18"/>
      <c r="I400" s="27" t="str">
        <f>IFERROR(VLOOKUP(Tabulka2[[#This Row],[Pracovník]],DATA!A:L,11,0),"")</f>
        <v>DSC 1</v>
      </c>
      <c r="J400" s="16"/>
      <c r="K400" s="19"/>
    </row>
    <row r="401" spans="1:11" x14ac:dyDescent="0.25">
      <c r="A4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01" s="22">
        <v>45925</v>
      </c>
      <c r="C401" s="16" t="s">
        <v>28</v>
      </c>
      <c r="D401" s="16" t="s">
        <v>852</v>
      </c>
      <c r="E401" s="17">
        <f>IFERROR(VLOOKUP(Tabulka2[[#This Row],[Pracovník]],DATA!A:L,5,0),"")</f>
        <v>6388</v>
      </c>
      <c r="F401" s="12" t="s">
        <v>655</v>
      </c>
      <c r="G401" s="16"/>
      <c r="H401" s="18"/>
      <c r="I401" s="27" t="str">
        <f>IFERROR(VLOOKUP(Tabulka2[[#This Row],[Pracovník]],DATA!A:L,11,0),"")</f>
        <v>Vlastní auto</v>
      </c>
      <c r="J401" s="16"/>
      <c r="K401" s="19"/>
    </row>
    <row r="402" spans="1:11" x14ac:dyDescent="0.25">
      <c r="A4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02" s="22">
        <v>45925</v>
      </c>
      <c r="C402" s="16" t="s">
        <v>28</v>
      </c>
      <c r="D402" s="16" t="s">
        <v>854</v>
      </c>
      <c r="E402" s="17">
        <f>IFERROR(VLOOKUP(Tabulka2[[#This Row],[Pracovník]],DATA!A:L,5,0),"")</f>
        <v>5720</v>
      </c>
      <c r="F402" s="12" t="s">
        <v>640</v>
      </c>
      <c r="G402" s="16"/>
      <c r="H402" s="18"/>
      <c r="I402" s="27" t="str">
        <f>IFERROR(VLOOKUP(Tabulka2[[#This Row],[Pracovník]],DATA!A:L,11,0),"")</f>
        <v>DSC 2</v>
      </c>
      <c r="J402" s="16"/>
      <c r="K402" s="19"/>
    </row>
    <row r="403" spans="1:11" x14ac:dyDescent="0.25">
      <c r="A4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03" s="22">
        <v>45925</v>
      </c>
      <c r="C403" s="16" t="s">
        <v>28</v>
      </c>
      <c r="D403" s="16" t="s">
        <v>853</v>
      </c>
      <c r="E403" s="17">
        <f>IFERROR(VLOOKUP(Tabulka2[[#This Row],[Pracovník]],DATA!A:L,5,0),"")</f>
        <v>5722</v>
      </c>
      <c r="F403" s="12" t="s">
        <v>640</v>
      </c>
      <c r="G403" s="16"/>
      <c r="H403" s="18"/>
      <c r="I403" s="27" t="str">
        <f>IFERROR(VLOOKUP(Tabulka2[[#This Row],[Pracovník]],DATA!A:L,11,0),"")</f>
        <v>DSC 2</v>
      </c>
      <c r="J403" s="16"/>
      <c r="K403" s="19"/>
    </row>
    <row r="404" spans="1:11" x14ac:dyDescent="0.25">
      <c r="A4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04" s="22">
        <v>45925</v>
      </c>
      <c r="C404" s="16" t="s">
        <v>28</v>
      </c>
      <c r="D404" s="16" t="s">
        <v>855</v>
      </c>
      <c r="E404" s="17">
        <f>IFERROR(VLOOKUP(Tabulka2[[#This Row],[Pracovník]],DATA!A:L,5,0),"")</f>
        <v>6180</v>
      </c>
      <c r="F404" s="12" t="s">
        <v>654</v>
      </c>
      <c r="G404" s="16"/>
      <c r="H404" s="18"/>
      <c r="I404" s="27" t="str">
        <f>IFERROR(VLOOKUP(Tabulka2[[#This Row],[Pracovník]],DATA!A:L,11,0),"")</f>
        <v>DSC 2</v>
      </c>
      <c r="J404" s="16"/>
      <c r="K404" s="19"/>
    </row>
    <row r="405" spans="1:11" x14ac:dyDescent="0.25">
      <c r="A4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05" s="22">
        <v>45925</v>
      </c>
      <c r="C405" s="16" t="s">
        <v>28</v>
      </c>
      <c r="D405" s="16" t="s">
        <v>856</v>
      </c>
      <c r="E405" s="17">
        <f>IFERROR(VLOOKUP(Tabulka2[[#This Row],[Pracovník]],DATA!A:L,5,0),"")</f>
        <v>4423</v>
      </c>
      <c r="F405" s="12" t="s">
        <v>654</v>
      </c>
      <c r="G405" s="16"/>
      <c r="H405" s="18"/>
      <c r="I405" s="27" t="str">
        <f>IFERROR(VLOOKUP(Tabulka2[[#This Row],[Pracovník]],DATA!A:L,11,0),"")</f>
        <v>DSC 1</v>
      </c>
      <c r="J405" s="16"/>
      <c r="K405" s="19"/>
    </row>
    <row r="406" spans="1:11" x14ac:dyDescent="0.25">
      <c r="A4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06" s="22">
        <v>45925</v>
      </c>
      <c r="C406" s="16" t="s">
        <v>28</v>
      </c>
      <c r="D406" s="16" t="s">
        <v>857</v>
      </c>
      <c r="E406" s="17">
        <f>IFERROR(VLOOKUP(Tabulka2[[#This Row],[Pracovník]],DATA!A:L,5,0),"")</f>
        <v>5036</v>
      </c>
      <c r="F406" s="12" t="s">
        <v>655</v>
      </c>
      <c r="G406" s="16"/>
      <c r="H406" s="18"/>
      <c r="I406" s="27" t="str">
        <f>IFERROR(VLOOKUP(Tabulka2[[#This Row],[Pracovník]],DATA!A:L,11,0),"")</f>
        <v>Vlastní auto</v>
      </c>
      <c r="J406" s="16"/>
      <c r="K406" s="19"/>
    </row>
    <row r="407" spans="1:11" x14ac:dyDescent="0.25">
      <c r="A4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07" s="22">
        <v>45925</v>
      </c>
      <c r="C407" s="16" t="s">
        <v>28</v>
      </c>
      <c r="D407" s="16" t="s">
        <v>838</v>
      </c>
      <c r="E407" s="17">
        <f>IFERROR(VLOOKUP(Tabulka2[[#This Row],[Pracovník]],DATA!A:L,5,0),"")</f>
        <v>4899</v>
      </c>
      <c r="F407" s="12" t="s">
        <v>654</v>
      </c>
      <c r="G407" s="16"/>
      <c r="H407" s="18"/>
      <c r="I407" s="27" t="str">
        <f>IFERROR(VLOOKUP(Tabulka2[[#This Row],[Pracovník]],DATA!A:L,11,0),"")</f>
        <v>DSC 1</v>
      </c>
      <c r="J407" s="16"/>
      <c r="K407" s="19"/>
    </row>
    <row r="408" spans="1:11" x14ac:dyDescent="0.25">
      <c r="A4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08" s="22">
        <v>45926</v>
      </c>
      <c r="C408" s="16" t="s">
        <v>56</v>
      </c>
      <c r="D408" s="16" t="s">
        <v>910</v>
      </c>
      <c r="E408" s="17">
        <f>IFERROR(VLOOKUP(Tabulka2[[#This Row],[Pracovník]],DATA!A:L,5,0),"")</f>
        <v>6474</v>
      </c>
      <c r="F408" s="12" t="s">
        <v>653</v>
      </c>
      <c r="G408" s="16" t="s">
        <v>656</v>
      </c>
      <c r="H408" s="18"/>
      <c r="I408" s="27" t="str">
        <f>IFERROR(VLOOKUP(Tabulka2[[#This Row],[Pracovník]],DATA!A:L,11,0),"")</f>
        <v>BATZ 1</v>
      </c>
      <c r="J408" s="16"/>
      <c r="K408" s="19"/>
    </row>
    <row r="409" spans="1:11" x14ac:dyDescent="0.25">
      <c r="A4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09" s="22">
        <v>45926</v>
      </c>
      <c r="C409" s="16" t="s">
        <v>56</v>
      </c>
      <c r="D409" s="16" t="s">
        <v>911</v>
      </c>
      <c r="E409" s="17">
        <f>IFERROR(VLOOKUP(Tabulka2[[#This Row],[Pracovník]],DATA!A:L,5,0),"")</f>
        <v>5110</v>
      </c>
      <c r="F409" s="12" t="s">
        <v>654</v>
      </c>
      <c r="G409" s="16"/>
      <c r="H409" s="18"/>
      <c r="I409" s="27" t="str">
        <f>IFERROR(VLOOKUP(Tabulka2[[#This Row],[Pracovník]],DATA!A:L,11,0),"")</f>
        <v>BATZ 2</v>
      </c>
      <c r="J409" s="16"/>
      <c r="K409" s="19"/>
    </row>
    <row r="410" spans="1:11" x14ac:dyDescent="0.25">
      <c r="A4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10" s="22">
        <v>45926</v>
      </c>
      <c r="C410" s="16" t="s">
        <v>56</v>
      </c>
      <c r="D410" s="16" t="s">
        <v>912</v>
      </c>
      <c r="E410" s="17">
        <f>IFERROR(VLOOKUP(Tabulka2[[#This Row],[Pracovník]],DATA!A:L,5,0),"")</f>
        <v>6473</v>
      </c>
      <c r="F410" s="12" t="s">
        <v>654</v>
      </c>
      <c r="G410" s="16"/>
      <c r="H410" s="18"/>
      <c r="I410" s="27" t="str">
        <f>IFERROR(VLOOKUP(Tabulka2[[#This Row],[Pracovník]],DATA!A:L,11,0),"")</f>
        <v>BATZ 1</v>
      </c>
      <c r="J410" s="16"/>
      <c r="K410" s="19"/>
    </row>
    <row r="411" spans="1:11" x14ac:dyDescent="0.25">
      <c r="A4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11" s="22">
        <v>45926</v>
      </c>
      <c r="C411" s="16" t="s">
        <v>56</v>
      </c>
      <c r="D411" s="16" t="s">
        <v>913</v>
      </c>
      <c r="E411" s="17">
        <f>IFERROR(VLOOKUP(Tabulka2[[#This Row],[Pracovník]],DATA!A:L,5,0),"")</f>
        <v>6394</v>
      </c>
      <c r="F411" s="12" t="s">
        <v>640</v>
      </c>
      <c r="G411" s="16"/>
      <c r="H411" s="18"/>
      <c r="I411" s="27" t="str">
        <f>IFERROR(VLOOKUP(Tabulka2[[#This Row],[Pracovník]],DATA!A:L,11,0),"")</f>
        <v>BATZ 1</v>
      </c>
      <c r="J411" s="16" t="s">
        <v>1001</v>
      </c>
      <c r="K411" s="19"/>
    </row>
    <row r="412" spans="1:11" x14ac:dyDescent="0.25">
      <c r="A4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12" s="22">
        <v>45926</v>
      </c>
      <c r="C412" s="16" t="s">
        <v>25</v>
      </c>
      <c r="D412" s="16" t="s">
        <v>679</v>
      </c>
      <c r="E412" s="17">
        <f>IFERROR(VLOOKUP(Tabulka2[[#This Row],[Pracovník]],DATA!A:L,5,0),"")</f>
        <v>5777</v>
      </c>
      <c r="F412" s="12" t="s">
        <v>653</v>
      </c>
      <c r="G412" s="16" t="s">
        <v>656</v>
      </c>
      <c r="H412" s="18"/>
      <c r="I412" s="27" t="str">
        <f>IFERROR(VLOOKUP(Tabulka2[[#This Row],[Pracovník]],DATA!A:L,11,0),"")</f>
        <v>BATZ 2</v>
      </c>
      <c r="J412" s="16"/>
      <c r="K412" s="19"/>
    </row>
    <row r="413" spans="1:11" x14ac:dyDescent="0.25">
      <c r="A4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13" s="22">
        <v>45926</v>
      </c>
      <c r="C413" s="16" t="s">
        <v>25</v>
      </c>
      <c r="D413" s="23" t="s">
        <v>680</v>
      </c>
      <c r="E413" s="17">
        <f>IFERROR(VLOOKUP(Tabulka2[[#This Row],[Pracovník]],DATA!A:L,5,0),"")</f>
        <v>4838</v>
      </c>
      <c r="F413" s="24" t="s">
        <v>655</v>
      </c>
      <c r="G413" s="16"/>
      <c r="H413" s="18"/>
      <c r="I413" s="27" t="str">
        <f>IFERROR(VLOOKUP(Tabulka2[[#This Row],[Pracovník]],DATA!A:L,11,0),"")</f>
        <v>BATZ 2</v>
      </c>
      <c r="J413" s="16"/>
      <c r="K413" s="19"/>
    </row>
    <row r="414" spans="1:11" x14ac:dyDescent="0.25">
      <c r="A4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14" s="22">
        <v>45926</v>
      </c>
      <c r="C414" s="16" t="s">
        <v>25</v>
      </c>
      <c r="D414" s="16" t="s">
        <v>681</v>
      </c>
      <c r="E414" s="17">
        <f>IFERROR(VLOOKUP(Tabulka2[[#This Row],[Pracovník]],DATA!A:L,5,0),"")</f>
        <v>4599</v>
      </c>
      <c r="F414" s="12" t="s">
        <v>654</v>
      </c>
      <c r="G414" s="16"/>
      <c r="H414" s="18"/>
      <c r="I414" s="27" t="str">
        <f>IFERROR(VLOOKUP(Tabulka2[[#This Row],[Pracovník]],DATA!A:L,11,0),"")</f>
        <v>BATZ 1</v>
      </c>
      <c r="J414" s="16"/>
      <c r="K414" s="19"/>
    </row>
    <row r="415" spans="1:11" x14ac:dyDescent="0.25">
      <c r="A4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15" s="22">
        <v>45926</v>
      </c>
      <c r="C415" s="16" t="s">
        <v>25</v>
      </c>
      <c r="D415" s="16" t="s">
        <v>682</v>
      </c>
      <c r="E415" s="17">
        <f>IFERROR(VLOOKUP(Tabulka2[[#This Row],[Pracovník]],DATA!A:L,5,0),"")</f>
        <v>6566</v>
      </c>
      <c r="F415" s="12" t="s">
        <v>655</v>
      </c>
      <c r="G415" s="16"/>
      <c r="H415" s="18"/>
      <c r="I415" s="27" t="str">
        <f>IFERROR(VLOOKUP(Tabulka2[[#This Row],[Pracovník]],DATA!A:L,11,0),"")</f>
        <v>BATZ 1</v>
      </c>
      <c r="J415" s="16"/>
      <c r="K415" s="19"/>
    </row>
    <row r="416" spans="1:11" x14ac:dyDescent="0.25">
      <c r="A4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16" s="22">
        <v>45926</v>
      </c>
      <c r="C416" s="16" t="s">
        <v>25</v>
      </c>
      <c r="D416" s="16" t="s">
        <v>683</v>
      </c>
      <c r="E416" s="17">
        <f>IFERROR(VLOOKUP(Tabulka2[[#This Row],[Pracovník]],DATA!A:L,5,0),"")</f>
        <v>5400</v>
      </c>
      <c r="F416" s="12" t="s">
        <v>655</v>
      </c>
      <c r="G416" s="16"/>
      <c r="H416" s="18"/>
      <c r="I416" s="27" t="str">
        <f>IFERROR(VLOOKUP(Tabulka2[[#This Row],[Pracovník]],DATA!A:L,11,0),"")</f>
        <v>BATZ 1</v>
      </c>
      <c r="J416" s="16"/>
      <c r="K416" s="19"/>
    </row>
    <row r="417" spans="1:11" x14ac:dyDescent="0.25">
      <c r="A4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17" s="22">
        <v>45926</v>
      </c>
      <c r="C417" s="16" t="s">
        <v>25</v>
      </c>
      <c r="D417" s="16" t="s">
        <v>684</v>
      </c>
      <c r="E417" s="17">
        <f>IFERROR(VLOOKUP(Tabulka2[[#This Row],[Pracovník]],DATA!A:L,5,0),"")</f>
        <v>5094</v>
      </c>
      <c r="F417" s="12" t="s">
        <v>640</v>
      </c>
      <c r="G417" s="16"/>
      <c r="H417" s="18"/>
      <c r="I417" s="27" t="str">
        <f>IFERROR(VLOOKUP(Tabulka2[[#This Row],[Pracovník]],DATA!A:L,11,0),"")</f>
        <v>BATZ 2</v>
      </c>
      <c r="J417" s="16"/>
      <c r="K417" s="19"/>
    </row>
    <row r="418" spans="1:11" x14ac:dyDescent="0.25">
      <c r="A4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18" s="22">
        <v>45926</v>
      </c>
      <c r="C418" s="16" t="s">
        <v>25</v>
      </c>
      <c r="D418" s="16" t="s">
        <v>685</v>
      </c>
      <c r="E418" s="17">
        <f>IFERROR(VLOOKUP(Tabulka2[[#This Row],[Pracovník]],DATA!A:L,5,0),"")</f>
        <v>6001</v>
      </c>
      <c r="F418" s="12" t="s">
        <v>640</v>
      </c>
      <c r="G418" s="16"/>
      <c r="H418" s="18"/>
      <c r="I418" s="27" t="str">
        <f>IFERROR(VLOOKUP(Tabulka2[[#This Row],[Pracovník]],DATA!A:L,11,0),"")</f>
        <v>BATZ 1</v>
      </c>
      <c r="J418" s="16"/>
      <c r="K418" s="19"/>
    </row>
    <row r="419" spans="1:11" x14ac:dyDescent="0.25">
      <c r="A4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19" s="22">
        <v>45926</v>
      </c>
      <c r="C419" s="16" t="s">
        <v>25</v>
      </c>
      <c r="D419" s="16" t="s">
        <v>686</v>
      </c>
      <c r="E419" s="17">
        <f>IFERROR(VLOOKUP(Tabulka2[[#This Row],[Pracovník]],DATA!A:L,5,0),"")</f>
        <v>6573</v>
      </c>
      <c r="F419" s="12" t="s">
        <v>640</v>
      </c>
      <c r="G419" s="16"/>
      <c r="H419" s="18"/>
      <c r="I419" s="27" t="str">
        <f>IFERROR(VLOOKUP(Tabulka2[[#This Row],[Pracovník]],DATA!A:L,11,0),"")</f>
        <v>BATZ 1</v>
      </c>
      <c r="J419" s="16"/>
      <c r="K419" s="19"/>
    </row>
    <row r="420" spans="1:11" x14ac:dyDescent="0.25">
      <c r="A4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20" s="22">
        <v>45926</v>
      </c>
      <c r="C420" s="16" t="s">
        <v>25</v>
      </c>
      <c r="D420" s="16" t="s">
        <v>687</v>
      </c>
      <c r="E420" s="17">
        <f>IFERROR(VLOOKUP(Tabulka2[[#This Row],[Pracovník]],DATA!A:L,5,0),"")</f>
        <v>5129</v>
      </c>
      <c r="F420" s="12" t="s">
        <v>654</v>
      </c>
      <c r="G420" s="16"/>
      <c r="H420" s="18"/>
      <c r="I420" s="27" t="str">
        <f>IFERROR(VLOOKUP(Tabulka2[[#This Row],[Pracovník]],DATA!A:L,11,0),"")</f>
        <v>BATZ 1</v>
      </c>
      <c r="J420" s="16"/>
      <c r="K420" s="19"/>
    </row>
    <row r="421" spans="1:11" x14ac:dyDescent="0.25">
      <c r="A4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21" s="22">
        <v>45926</v>
      </c>
      <c r="C421" s="16" t="s">
        <v>25</v>
      </c>
      <c r="D421" s="16" t="s">
        <v>688</v>
      </c>
      <c r="E421" s="17">
        <f>IFERROR(VLOOKUP(Tabulka2[[#This Row],[Pracovník]],DATA!A:L,5,0),"")</f>
        <v>5663</v>
      </c>
      <c r="F421" s="12" t="s">
        <v>654</v>
      </c>
      <c r="G421" s="16"/>
      <c r="H421" s="18"/>
      <c r="I421" s="27" t="str">
        <f>IFERROR(VLOOKUP(Tabulka2[[#This Row],[Pracovník]],DATA!A:L,11,0),"")</f>
        <v>BATZ 1</v>
      </c>
      <c r="J421" s="16"/>
      <c r="K421" s="19"/>
    </row>
    <row r="422" spans="1:11" x14ac:dyDescent="0.25">
      <c r="A4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22" s="22">
        <v>45926</v>
      </c>
      <c r="C422" s="16" t="s">
        <v>25</v>
      </c>
      <c r="D422" s="16" t="s">
        <v>690</v>
      </c>
      <c r="E422" s="17">
        <f>IFERROR(VLOOKUP(Tabulka2[[#This Row],[Pracovník]],DATA!A:L,5,0),"")</f>
        <v>4501</v>
      </c>
      <c r="F422" s="12" t="s">
        <v>640</v>
      </c>
      <c r="G422" s="16"/>
      <c r="H422" s="18"/>
      <c r="I422" s="27" t="str">
        <f>IFERROR(VLOOKUP(Tabulka2[[#This Row],[Pracovník]],DATA!A:L,11,0),"")</f>
        <v>BATZ 2</v>
      </c>
      <c r="J422" s="16"/>
      <c r="K422" s="19"/>
    </row>
    <row r="423" spans="1:11" x14ac:dyDescent="0.25">
      <c r="A4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23" s="22">
        <v>45926</v>
      </c>
      <c r="C423" s="16" t="s">
        <v>25</v>
      </c>
      <c r="D423" s="16" t="s">
        <v>689</v>
      </c>
      <c r="E423" s="17">
        <f>IFERROR(VLOOKUP(Tabulka2[[#This Row],[Pracovník]],DATA!A:L,5,0),"")</f>
        <v>4936</v>
      </c>
      <c r="F423" s="12" t="s">
        <v>640</v>
      </c>
      <c r="G423" s="16"/>
      <c r="H423" s="18"/>
      <c r="I423" s="27" t="str">
        <f>IFERROR(VLOOKUP(Tabulka2[[#This Row],[Pracovník]],DATA!A:L,11,0),"")</f>
        <v>BATZ 1</v>
      </c>
      <c r="J423" s="16"/>
      <c r="K423" s="19"/>
    </row>
    <row r="424" spans="1:11" x14ac:dyDescent="0.25">
      <c r="A4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24" s="22">
        <v>45926</v>
      </c>
      <c r="C424" s="16" t="s">
        <v>25</v>
      </c>
      <c r="D424" s="16" t="s">
        <v>695</v>
      </c>
      <c r="E424" s="17">
        <f>IFERROR(VLOOKUP(Tabulka2[[#This Row],[Pracovník]],DATA!A:L,5,0),"")</f>
        <v>3728</v>
      </c>
      <c r="F424" s="12" t="s">
        <v>640</v>
      </c>
      <c r="G424" s="16"/>
      <c r="H424" s="18"/>
      <c r="I424" s="27" t="str">
        <f>IFERROR(VLOOKUP(Tabulka2[[#This Row],[Pracovník]],DATA!A:L,11,0),"")</f>
        <v>BATZ 1</v>
      </c>
      <c r="J424" s="16"/>
      <c r="K424" s="19"/>
    </row>
    <row r="425" spans="1:11" x14ac:dyDescent="0.25">
      <c r="A4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25" s="22">
        <v>45926</v>
      </c>
      <c r="C425" s="16" t="s">
        <v>25</v>
      </c>
      <c r="D425" s="16" t="s">
        <v>691</v>
      </c>
      <c r="E425" s="17">
        <f>IFERROR(VLOOKUP(Tabulka2[[#This Row],[Pracovník]],DATA!A:L,5,0),"")</f>
        <v>4955</v>
      </c>
      <c r="F425" s="12" t="s">
        <v>654</v>
      </c>
      <c r="G425" s="16"/>
      <c r="H425" s="18"/>
      <c r="I425" s="27" t="str">
        <f>IFERROR(VLOOKUP(Tabulka2[[#This Row],[Pracovník]],DATA!A:L,11,0),"")</f>
        <v>BATZ 1</v>
      </c>
      <c r="J425" s="16"/>
      <c r="K425" s="19"/>
    </row>
    <row r="426" spans="1:11" x14ac:dyDescent="0.25">
      <c r="A4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26" s="22">
        <v>45926</v>
      </c>
      <c r="C426" s="16" t="s">
        <v>25</v>
      </c>
      <c r="D426" s="16" t="s">
        <v>692</v>
      </c>
      <c r="E426" s="17">
        <f>IFERROR(VLOOKUP(Tabulka2[[#This Row],[Pracovník]],DATA!A:L,5,0),"")</f>
        <v>6568</v>
      </c>
      <c r="F426" s="12" t="s">
        <v>654</v>
      </c>
      <c r="G426" s="16"/>
      <c r="H426" s="18"/>
      <c r="I426" s="27" t="str">
        <f>IFERROR(VLOOKUP(Tabulka2[[#This Row],[Pracovník]],DATA!A:L,11,0),"")</f>
        <v>BATZ 2</v>
      </c>
      <c r="J426" s="16"/>
      <c r="K426" s="19"/>
    </row>
    <row r="427" spans="1:11" x14ac:dyDescent="0.25">
      <c r="A4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27" s="22">
        <v>45926</v>
      </c>
      <c r="C427" s="16" t="s">
        <v>25</v>
      </c>
      <c r="D427" s="16" t="s">
        <v>693</v>
      </c>
      <c r="E427" s="17">
        <f>IFERROR(VLOOKUP(Tabulka2[[#This Row],[Pracovník]],DATA!A:L,5,0),"")</f>
        <v>3721</v>
      </c>
      <c r="F427" s="12" t="s">
        <v>654</v>
      </c>
      <c r="G427" s="16"/>
      <c r="H427" s="18"/>
      <c r="I427" s="27" t="str">
        <f>IFERROR(VLOOKUP(Tabulka2[[#This Row],[Pracovník]],DATA!A:L,11,0),"")</f>
        <v>BATZ 1</v>
      </c>
      <c r="J427" s="16"/>
      <c r="K427" s="19"/>
    </row>
    <row r="428" spans="1:11" x14ac:dyDescent="0.25">
      <c r="A4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28" s="22">
        <v>45926</v>
      </c>
      <c r="C428" s="16" t="s">
        <v>25</v>
      </c>
      <c r="D428" s="16" t="s">
        <v>694</v>
      </c>
      <c r="E428" s="17">
        <f>IFERROR(VLOOKUP(Tabulka2[[#This Row],[Pracovník]],DATA!A:L,5,0),"")</f>
        <v>6110</v>
      </c>
      <c r="F428" s="12" t="s">
        <v>653</v>
      </c>
      <c r="G428" s="16" t="s">
        <v>656</v>
      </c>
      <c r="H428" s="18"/>
      <c r="I428" s="27" t="str">
        <f>IFERROR(VLOOKUP(Tabulka2[[#This Row],[Pracovník]],DATA!A:L,11,0),"")</f>
        <v>BATZ 1</v>
      </c>
      <c r="J428" s="16"/>
      <c r="K428" s="19"/>
    </row>
    <row r="429" spans="1:11" x14ac:dyDescent="0.25">
      <c r="A4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29" s="22">
        <v>45926</v>
      </c>
      <c r="C429" s="16" t="s">
        <v>25</v>
      </c>
      <c r="D429" s="16" t="s">
        <v>696</v>
      </c>
      <c r="E429" s="17">
        <f>IFERROR(VLOOKUP(Tabulka2[[#This Row],[Pracovník]],DATA!A:L,5,0),"")</f>
        <v>0</v>
      </c>
      <c r="F429" s="12" t="s">
        <v>654</v>
      </c>
      <c r="G429" s="16"/>
      <c r="H429" s="18"/>
      <c r="I429" s="27" t="str">
        <f>IFERROR(VLOOKUP(Tabulka2[[#This Row],[Pracovník]],DATA!A:L,11,0),"")</f>
        <v>BATZ 1</v>
      </c>
      <c r="J429" s="16"/>
      <c r="K429" s="19"/>
    </row>
    <row r="430" spans="1:11" x14ac:dyDescent="0.25">
      <c r="A4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30" s="22">
        <v>45926</v>
      </c>
      <c r="C430" s="16" t="s">
        <v>25</v>
      </c>
      <c r="D430" s="16" t="s">
        <v>697</v>
      </c>
      <c r="E430" s="17">
        <f>IFERROR(VLOOKUP(Tabulka2[[#This Row],[Pracovník]],DATA!A:L,5,0),"")</f>
        <v>6330</v>
      </c>
      <c r="F430" s="12" t="s">
        <v>640</v>
      </c>
      <c r="G430" s="16"/>
      <c r="H430" s="18"/>
      <c r="I430" s="27" t="str">
        <f>IFERROR(VLOOKUP(Tabulka2[[#This Row],[Pracovník]],DATA!A:L,11,0),"")</f>
        <v>BATZ 2</v>
      </c>
      <c r="J430" s="16"/>
      <c r="K430" s="19"/>
    </row>
    <row r="431" spans="1:11" x14ac:dyDescent="0.25">
      <c r="A4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31" s="22">
        <v>45926</v>
      </c>
      <c r="C431" s="16" t="s">
        <v>25</v>
      </c>
      <c r="D431" s="16" t="s">
        <v>698</v>
      </c>
      <c r="E431" s="17">
        <f>IFERROR(VLOOKUP(Tabulka2[[#This Row],[Pracovník]],DATA!A:L,5,0),"")</f>
        <v>5828</v>
      </c>
      <c r="F431" s="12" t="s">
        <v>654</v>
      </c>
      <c r="G431" s="16"/>
      <c r="H431" s="18"/>
      <c r="I431" s="27" t="str">
        <f>IFERROR(VLOOKUP(Tabulka2[[#This Row],[Pracovník]],DATA!A:L,11,0),"")</f>
        <v>BATZ 1</v>
      </c>
      <c r="J431" s="16"/>
      <c r="K431" s="19"/>
    </row>
    <row r="432" spans="1:11" x14ac:dyDescent="0.25">
      <c r="A4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32" s="22">
        <v>45926</v>
      </c>
      <c r="C432" s="16" t="s">
        <v>25</v>
      </c>
      <c r="D432" s="16" t="s">
        <v>699</v>
      </c>
      <c r="E432" s="17">
        <f>IFERROR(VLOOKUP(Tabulka2[[#This Row],[Pracovník]],DATA!A:L,5,0),"")</f>
        <v>4775</v>
      </c>
      <c r="F432" s="12" t="s">
        <v>655</v>
      </c>
      <c r="G432" s="16"/>
      <c r="H432" s="18"/>
      <c r="I432" s="27" t="str">
        <f>IFERROR(VLOOKUP(Tabulka2[[#This Row],[Pracovník]],DATA!A:L,11,0),"")</f>
        <v>BATZ 2</v>
      </c>
      <c r="J432" s="16"/>
      <c r="K432" s="19"/>
    </row>
    <row r="433" spans="1:11" x14ac:dyDescent="0.25">
      <c r="A4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33" s="22">
        <v>45926</v>
      </c>
      <c r="C433" s="16" t="s">
        <v>25</v>
      </c>
      <c r="D433" s="16" t="s">
        <v>971</v>
      </c>
      <c r="E433" s="17">
        <f>IFERROR(VLOOKUP(Tabulka2[[#This Row],[Pracovník]],DATA!A:L,5,0),"")</f>
        <v>6551</v>
      </c>
      <c r="F433" s="12" t="s">
        <v>653</v>
      </c>
      <c r="G433" s="16" t="s">
        <v>659</v>
      </c>
      <c r="H433" s="18"/>
      <c r="I433" s="27" t="str">
        <f>IFERROR(VLOOKUP(Tabulka2[[#This Row],[Pracovník]],DATA!A:L,11,0),"")</f>
        <v>BATZ 1</v>
      </c>
      <c r="J433" s="16"/>
      <c r="K433" s="19"/>
    </row>
    <row r="434" spans="1:11" x14ac:dyDescent="0.25">
      <c r="A4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34" s="22">
        <v>45926</v>
      </c>
      <c r="C434" s="16" t="s">
        <v>25</v>
      </c>
      <c r="D434" s="16" t="s">
        <v>700</v>
      </c>
      <c r="E434" s="17">
        <f>IFERROR(VLOOKUP(Tabulka2[[#This Row],[Pracovník]],DATA!A:L,5,0),"")</f>
        <v>5665</v>
      </c>
      <c r="F434" s="12" t="s">
        <v>653</v>
      </c>
      <c r="G434" s="16" t="s">
        <v>657</v>
      </c>
      <c r="H434" s="18"/>
      <c r="I434" s="27" t="str">
        <f>IFERROR(VLOOKUP(Tabulka2[[#This Row],[Pracovník]],DATA!A:L,11,0),"")</f>
        <v>BATZ 1</v>
      </c>
      <c r="J434" s="16"/>
      <c r="K434" s="19"/>
    </row>
    <row r="435" spans="1:11" x14ac:dyDescent="0.25">
      <c r="A4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35" s="22">
        <v>45926</v>
      </c>
      <c r="C435" s="16" t="s">
        <v>25</v>
      </c>
      <c r="D435" s="16" t="s">
        <v>701</v>
      </c>
      <c r="E435" s="17">
        <f>IFERROR(VLOOKUP(Tabulka2[[#This Row],[Pracovník]],DATA!A:L,5,0),"")</f>
        <v>2463</v>
      </c>
      <c r="F435" s="12" t="s">
        <v>655</v>
      </c>
      <c r="G435" s="16"/>
      <c r="H435" s="18"/>
      <c r="I435" s="27" t="str">
        <f>IFERROR(VLOOKUP(Tabulka2[[#This Row],[Pracovník]],DATA!A:L,11,0),"")</f>
        <v>Vlastní auto</v>
      </c>
      <c r="J435" s="16"/>
      <c r="K435" s="19"/>
    </row>
    <row r="436" spans="1:11" x14ac:dyDescent="0.25">
      <c r="A4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36" s="22">
        <v>45926</v>
      </c>
      <c r="C436" s="16" t="s">
        <v>25</v>
      </c>
      <c r="D436" s="16" t="s">
        <v>702</v>
      </c>
      <c r="E436" s="17">
        <f>IFERROR(VLOOKUP(Tabulka2[[#This Row],[Pracovník]],DATA!A:L,5,0),"")</f>
        <v>6536</v>
      </c>
      <c r="F436" s="12" t="s">
        <v>655</v>
      </c>
      <c r="G436" s="16"/>
      <c r="H436" s="18"/>
      <c r="I436" s="27" t="str">
        <f>IFERROR(VLOOKUP(Tabulka2[[#This Row],[Pracovník]],DATA!A:L,11,0),"")</f>
        <v>BATZ 2</v>
      </c>
      <c r="J436" s="16"/>
      <c r="K436" s="19"/>
    </row>
    <row r="437" spans="1:11" x14ac:dyDescent="0.25">
      <c r="A4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37" s="22">
        <v>45926</v>
      </c>
      <c r="C437" s="16" t="s">
        <v>25</v>
      </c>
      <c r="D437" s="16" t="s">
        <v>703</v>
      </c>
      <c r="E437" s="17">
        <f>IFERROR(VLOOKUP(Tabulka2[[#This Row],[Pracovník]],DATA!A:L,5,0),"")</f>
        <v>4748</v>
      </c>
      <c r="F437" s="12" t="s">
        <v>653</v>
      </c>
      <c r="G437" s="16" t="s">
        <v>657</v>
      </c>
      <c r="H437" s="18"/>
      <c r="I437" s="27" t="str">
        <f>IFERROR(VLOOKUP(Tabulka2[[#This Row],[Pracovník]],DATA!A:L,11,0),"")</f>
        <v>BATZ 1</v>
      </c>
      <c r="J437" s="16"/>
      <c r="K437" s="19"/>
    </row>
    <row r="438" spans="1:11" x14ac:dyDescent="0.25">
      <c r="A4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38" s="22">
        <v>45926</v>
      </c>
      <c r="C438" s="16" t="s">
        <v>25</v>
      </c>
      <c r="D438" s="16" t="s">
        <v>972</v>
      </c>
      <c r="E438" s="17">
        <f>IFERROR(VLOOKUP(Tabulka2[[#This Row],[Pracovník]],DATA!A:L,5,0),"")</f>
        <v>6077</v>
      </c>
      <c r="F438" s="12" t="s">
        <v>653</v>
      </c>
      <c r="G438" s="16" t="s">
        <v>657</v>
      </c>
      <c r="H438" s="18"/>
      <c r="I438" s="27" t="str">
        <f>IFERROR(VLOOKUP(Tabulka2[[#This Row],[Pracovník]],DATA!A:L,11,0),"")</f>
        <v>BATZ 2</v>
      </c>
      <c r="J438" s="16"/>
      <c r="K438" s="19"/>
    </row>
    <row r="439" spans="1:11" x14ac:dyDescent="0.25">
      <c r="A4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39" s="22">
        <v>45926</v>
      </c>
      <c r="C439" s="16" t="s">
        <v>25</v>
      </c>
      <c r="D439" s="16" t="s">
        <v>704</v>
      </c>
      <c r="E439" s="17">
        <f>IFERROR(VLOOKUP(Tabulka2[[#This Row],[Pracovník]],DATA!A:L,5,0),"")</f>
        <v>6574</v>
      </c>
      <c r="F439" s="12" t="s">
        <v>655</v>
      </c>
      <c r="G439" s="16"/>
      <c r="H439" s="18"/>
      <c r="I439" s="27" t="str">
        <f>IFERROR(VLOOKUP(Tabulka2[[#This Row],[Pracovník]],DATA!A:L,11,0),"")</f>
        <v>BATZ 1</v>
      </c>
      <c r="J439" s="16"/>
      <c r="K439" s="19"/>
    </row>
    <row r="440" spans="1:11" x14ac:dyDescent="0.25">
      <c r="A4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40" s="22">
        <v>45926</v>
      </c>
      <c r="C440" s="16" t="s">
        <v>25</v>
      </c>
      <c r="D440" s="16" t="s">
        <v>705</v>
      </c>
      <c r="E440" s="17">
        <f>IFERROR(VLOOKUP(Tabulka2[[#This Row],[Pracovník]],DATA!A:L,5,0),"")</f>
        <v>4720</v>
      </c>
      <c r="F440" s="12" t="s">
        <v>640</v>
      </c>
      <c r="G440" s="16"/>
      <c r="H440" s="18"/>
      <c r="I440" s="27" t="str">
        <f>IFERROR(VLOOKUP(Tabulka2[[#This Row],[Pracovník]],DATA!A:L,11,0),"")</f>
        <v>BATZ 2</v>
      </c>
      <c r="J440" s="16"/>
      <c r="K440" s="19"/>
    </row>
    <row r="441" spans="1:11" x14ac:dyDescent="0.25">
      <c r="A4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41" s="22">
        <v>45926</v>
      </c>
      <c r="C441" s="16" t="s">
        <v>25</v>
      </c>
      <c r="D441" s="16" t="s">
        <v>706</v>
      </c>
      <c r="E441" s="17">
        <f>IFERROR(VLOOKUP(Tabulka2[[#This Row],[Pracovník]],DATA!A:L,5,0),"")</f>
        <v>6409</v>
      </c>
      <c r="F441" s="12" t="s">
        <v>640</v>
      </c>
      <c r="G441" s="16"/>
      <c r="H441" s="18"/>
      <c r="I441" s="27" t="str">
        <f>IFERROR(VLOOKUP(Tabulka2[[#This Row],[Pracovník]],DATA!A:L,11,0),"")</f>
        <v>Vlastní auto</v>
      </c>
      <c r="J441" s="16"/>
      <c r="K441" s="19"/>
    </row>
    <row r="442" spans="1:11" x14ac:dyDescent="0.25">
      <c r="A4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42" s="22">
        <v>45926</v>
      </c>
      <c r="C442" s="16" t="s">
        <v>25</v>
      </c>
      <c r="D442" s="16" t="s">
        <v>707</v>
      </c>
      <c r="E442" s="17">
        <f>IFERROR(VLOOKUP(Tabulka2[[#This Row],[Pracovník]],DATA!A:L,5,0),"")</f>
        <v>3396</v>
      </c>
      <c r="F442" s="12" t="s">
        <v>655</v>
      </c>
      <c r="G442" s="16"/>
      <c r="H442" s="18"/>
      <c r="I442" s="27" t="str">
        <f>IFERROR(VLOOKUP(Tabulka2[[#This Row],[Pracovník]],DATA!A:L,11,0),"")</f>
        <v>BATZ 1</v>
      </c>
      <c r="J442" s="16"/>
      <c r="K442" s="19"/>
    </row>
    <row r="443" spans="1:11" x14ac:dyDescent="0.25">
      <c r="A4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43" s="22">
        <v>45926</v>
      </c>
      <c r="C443" s="16" t="s">
        <v>25</v>
      </c>
      <c r="D443" s="16" t="s">
        <v>708</v>
      </c>
      <c r="E443" s="17">
        <f>IFERROR(VLOOKUP(Tabulka2[[#This Row],[Pracovník]],DATA!A:L,5,0),"")</f>
        <v>6376</v>
      </c>
      <c r="F443" s="12" t="s">
        <v>655</v>
      </c>
      <c r="G443" s="16"/>
      <c r="H443" s="18"/>
      <c r="I443" s="27" t="str">
        <f>IFERROR(VLOOKUP(Tabulka2[[#This Row],[Pracovník]],DATA!A:L,11,0),"")</f>
        <v>BATZ 2</v>
      </c>
      <c r="J443" s="16"/>
      <c r="K443" s="19"/>
    </row>
    <row r="444" spans="1:11" x14ac:dyDescent="0.25">
      <c r="A4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44" s="22">
        <v>45926</v>
      </c>
      <c r="C444" s="16" t="s">
        <v>25</v>
      </c>
      <c r="D444" s="16" t="s">
        <v>709</v>
      </c>
      <c r="E444" s="17">
        <f>IFERROR(VLOOKUP(Tabulka2[[#This Row],[Pracovník]],DATA!A:L,5,0),"")</f>
        <v>5014</v>
      </c>
      <c r="F444" s="12" t="s">
        <v>655</v>
      </c>
      <c r="G444" s="16"/>
      <c r="H444" s="18"/>
      <c r="I444" s="27" t="str">
        <f>IFERROR(VLOOKUP(Tabulka2[[#This Row],[Pracovník]],DATA!A:L,11,0),"")</f>
        <v>BATZ 2</v>
      </c>
      <c r="J444" s="16"/>
      <c r="K444" s="19"/>
    </row>
    <row r="445" spans="1:11" x14ac:dyDescent="0.25">
      <c r="A4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45" s="22">
        <v>45926</v>
      </c>
      <c r="C445" s="16" t="s">
        <v>25</v>
      </c>
      <c r="D445" s="16" t="s">
        <v>710</v>
      </c>
      <c r="E445" s="17">
        <f>IFERROR(VLOOKUP(Tabulka2[[#This Row],[Pracovník]],DATA!A:L,5,0),"")</f>
        <v>3369</v>
      </c>
      <c r="F445" s="12" t="s">
        <v>640</v>
      </c>
      <c r="G445" s="16"/>
      <c r="H445" s="18"/>
      <c r="I445" s="27" t="str">
        <f>IFERROR(VLOOKUP(Tabulka2[[#This Row],[Pracovník]],DATA!A:L,11,0),"")</f>
        <v>BATZ 1</v>
      </c>
      <c r="J445" s="16"/>
      <c r="K445" s="19"/>
    </row>
    <row r="446" spans="1:11" x14ac:dyDescent="0.25">
      <c r="A4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46" s="22">
        <v>45926</v>
      </c>
      <c r="C446" s="16" t="s">
        <v>25</v>
      </c>
      <c r="D446" s="16" t="s">
        <v>711</v>
      </c>
      <c r="E446" s="17">
        <f>IFERROR(VLOOKUP(Tabulka2[[#This Row],[Pracovník]],DATA!A:L,5,0),"")</f>
        <v>6576</v>
      </c>
      <c r="F446" s="12" t="s">
        <v>653</v>
      </c>
      <c r="G446" s="16" t="s">
        <v>659</v>
      </c>
      <c r="H446" s="18"/>
      <c r="I446" s="27" t="str">
        <f>IFERROR(VLOOKUP(Tabulka2[[#This Row],[Pracovník]],DATA!A:L,11,0),"")</f>
        <v>BATZ 1</v>
      </c>
      <c r="J446" s="16"/>
      <c r="K446" s="19"/>
    </row>
    <row r="447" spans="1:11" x14ac:dyDescent="0.25">
      <c r="A4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47" s="22">
        <v>45926</v>
      </c>
      <c r="C447" s="16" t="s">
        <v>25</v>
      </c>
      <c r="D447" s="16" t="s">
        <v>712</v>
      </c>
      <c r="E447" s="17">
        <f>IFERROR(VLOOKUP(Tabulka2[[#This Row],[Pracovník]],DATA!A:L,5,0),"")</f>
        <v>6352</v>
      </c>
      <c r="F447" s="12" t="s">
        <v>654</v>
      </c>
      <c r="G447" s="16"/>
      <c r="H447" s="18"/>
      <c r="I447" s="27" t="str">
        <f>IFERROR(VLOOKUP(Tabulka2[[#This Row],[Pracovník]],DATA!A:L,11,0),"")</f>
        <v>BATZ 1</v>
      </c>
      <c r="J447" s="16"/>
      <c r="K447" s="19"/>
    </row>
    <row r="448" spans="1:11" x14ac:dyDescent="0.25">
      <c r="A4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48" s="22">
        <v>45926</v>
      </c>
      <c r="C448" s="16" t="s">
        <v>25</v>
      </c>
      <c r="D448" s="16" t="s">
        <v>974</v>
      </c>
      <c r="E448" s="17">
        <f>IFERROR(VLOOKUP(Tabulka2[[#This Row],[Pracovník]],DATA!A:L,5,0),"")</f>
        <v>5009</v>
      </c>
      <c r="F448" s="12" t="s">
        <v>653</v>
      </c>
      <c r="G448" s="16" t="s">
        <v>657</v>
      </c>
      <c r="H448" s="18"/>
      <c r="I448" s="27" t="str">
        <f>IFERROR(VLOOKUP(Tabulka2[[#This Row],[Pracovník]],DATA!A:L,11,0),"")</f>
        <v>BATZ 1</v>
      </c>
      <c r="J448" s="16"/>
      <c r="K448" s="19"/>
    </row>
    <row r="449" spans="1:11" x14ac:dyDescent="0.25">
      <c r="A4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49" s="22">
        <v>45926</v>
      </c>
      <c r="C449" s="16" t="s">
        <v>25</v>
      </c>
      <c r="D449" s="16" t="s">
        <v>975</v>
      </c>
      <c r="E449" s="17">
        <f>IFERROR(VLOOKUP(Tabulka2[[#This Row],[Pracovník]],DATA!A:L,5,0),"")</f>
        <v>6251</v>
      </c>
      <c r="F449" s="12" t="s">
        <v>653</v>
      </c>
      <c r="G449" s="16" t="s">
        <v>657</v>
      </c>
      <c r="H449" s="18"/>
      <c r="I449" s="27" t="str">
        <f>IFERROR(VLOOKUP(Tabulka2[[#This Row],[Pracovník]],DATA!A:L,11,0),"")</f>
        <v>BATZ 1</v>
      </c>
      <c r="J449" s="16"/>
      <c r="K449" s="19"/>
    </row>
    <row r="450" spans="1:11" x14ac:dyDescent="0.25">
      <c r="A4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50" s="22">
        <v>45926</v>
      </c>
      <c r="C450" s="16" t="s">
        <v>25</v>
      </c>
      <c r="D450" s="16" t="s">
        <v>713</v>
      </c>
      <c r="E450" s="17">
        <f>IFERROR(VLOOKUP(Tabulka2[[#This Row],[Pracovník]],DATA!A:L,5,0),"")</f>
        <v>6507</v>
      </c>
      <c r="F450" s="12" t="s">
        <v>640</v>
      </c>
      <c r="G450" s="16"/>
      <c r="H450" s="18"/>
      <c r="I450" s="27" t="str">
        <f>IFERROR(VLOOKUP(Tabulka2[[#This Row],[Pracovník]],DATA!A:L,11,0),"")</f>
        <v>BATZ 1</v>
      </c>
      <c r="J450" s="16"/>
      <c r="K450" s="19"/>
    </row>
    <row r="451" spans="1:11" x14ac:dyDescent="0.25">
      <c r="A4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51" s="22">
        <v>45926</v>
      </c>
      <c r="C451" s="16" t="s">
        <v>25</v>
      </c>
      <c r="D451" s="16" t="s">
        <v>976</v>
      </c>
      <c r="E451" s="17">
        <f>IFERROR(VLOOKUP(Tabulka2[[#This Row],[Pracovník]],DATA!A:L,5,0),"")</f>
        <v>6346</v>
      </c>
      <c r="F451" s="12" t="s">
        <v>640</v>
      </c>
      <c r="G451" s="16"/>
      <c r="H451" s="18"/>
      <c r="I451" s="27" t="str">
        <f>IFERROR(VLOOKUP(Tabulka2[[#This Row],[Pracovník]],DATA!A:L,11,0),"")</f>
        <v>BATZ 1</v>
      </c>
      <c r="J451" s="16"/>
      <c r="K451" s="19"/>
    </row>
    <row r="452" spans="1:11" x14ac:dyDescent="0.25">
      <c r="A4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52" s="22">
        <v>45926</v>
      </c>
      <c r="C452" s="16" t="s">
        <v>25</v>
      </c>
      <c r="D452" s="16" t="s">
        <v>714</v>
      </c>
      <c r="E452" s="17">
        <f>IFERROR(VLOOKUP(Tabulka2[[#This Row],[Pracovník]],DATA!A:L,5,0),"")</f>
        <v>4972</v>
      </c>
      <c r="F452" s="12" t="s">
        <v>640</v>
      </c>
      <c r="G452" s="16"/>
      <c r="H452" s="18"/>
      <c r="I452" s="27" t="str">
        <f>IFERROR(VLOOKUP(Tabulka2[[#This Row],[Pracovník]],DATA!A:L,11,0),"")</f>
        <v>BATZ 2</v>
      </c>
      <c r="J452" s="16"/>
      <c r="K452" s="19"/>
    </row>
    <row r="453" spans="1:11" x14ac:dyDescent="0.25">
      <c r="A4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53" s="22">
        <v>45926</v>
      </c>
      <c r="C453" s="16" t="s">
        <v>25</v>
      </c>
      <c r="D453" s="16" t="s">
        <v>715</v>
      </c>
      <c r="E453" s="17">
        <f>IFERROR(VLOOKUP(Tabulka2[[#This Row],[Pracovník]],DATA!A:L,5,0),"")</f>
        <v>2230</v>
      </c>
      <c r="F453" s="12" t="s">
        <v>653</v>
      </c>
      <c r="G453" s="16" t="s">
        <v>656</v>
      </c>
      <c r="H453" s="18"/>
      <c r="I453" s="27" t="str">
        <f>IFERROR(VLOOKUP(Tabulka2[[#This Row],[Pracovník]],DATA!A:L,11,0),"")</f>
        <v>BATZ 1</v>
      </c>
      <c r="J453" s="16"/>
      <c r="K453" s="19"/>
    </row>
    <row r="454" spans="1:11" x14ac:dyDescent="0.25">
      <c r="A4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54" s="22">
        <v>45926</v>
      </c>
      <c r="C454" s="16" t="s">
        <v>25</v>
      </c>
      <c r="D454" s="16" t="s">
        <v>716</v>
      </c>
      <c r="E454" s="17">
        <f>IFERROR(VLOOKUP(Tabulka2[[#This Row],[Pracovník]],DATA!A:L,5,0),"")</f>
        <v>5310</v>
      </c>
      <c r="F454" s="12" t="s">
        <v>654</v>
      </c>
      <c r="G454" s="16"/>
      <c r="H454" s="18"/>
      <c r="I454" s="27" t="str">
        <f>IFERROR(VLOOKUP(Tabulka2[[#This Row],[Pracovník]],DATA!A:L,11,0),"")</f>
        <v>BATZ 1</v>
      </c>
      <c r="J454" s="16"/>
      <c r="K454" s="19"/>
    </row>
    <row r="455" spans="1:11" x14ac:dyDescent="0.25">
      <c r="A4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55" s="22">
        <v>45926</v>
      </c>
      <c r="C455" s="16" t="s">
        <v>25</v>
      </c>
      <c r="D455" s="16" t="s">
        <v>717</v>
      </c>
      <c r="E455" s="17">
        <f>IFERROR(VLOOKUP(Tabulka2[[#This Row],[Pracovník]],DATA!A:L,5,0),"")</f>
        <v>5948</v>
      </c>
      <c r="F455" s="12" t="s">
        <v>653</v>
      </c>
      <c r="G455" s="16" t="s">
        <v>657</v>
      </c>
      <c r="H455" s="18"/>
      <c r="I455" s="27" t="str">
        <f>IFERROR(VLOOKUP(Tabulka2[[#This Row],[Pracovník]],DATA!A:L,11,0),"")</f>
        <v>BATZ 1</v>
      </c>
      <c r="J455" s="16"/>
      <c r="K455" s="19"/>
    </row>
    <row r="456" spans="1:11" x14ac:dyDescent="0.25">
      <c r="A4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56" s="22">
        <v>45926</v>
      </c>
      <c r="C456" s="16" t="s">
        <v>25</v>
      </c>
      <c r="D456" s="16" t="s">
        <v>718</v>
      </c>
      <c r="E456" s="17">
        <f>IFERROR(VLOOKUP(Tabulka2[[#This Row],[Pracovník]],DATA!A:L,5,0),"")</f>
        <v>6549</v>
      </c>
      <c r="F456" s="12" t="s">
        <v>653</v>
      </c>
      <c r="G456" s="16" t="s">
        <v>656</v>
      </c>
      <c r="H456" s="18"/>
      <c r="I456" s="27" t="str">
        <f>IFERROR(VLOOKUP(Tabulka2[[#This Row],[Pracovník]],DATA!A:L,11,0),"")</f>
        <v>BATZ 1</v>
      </c>
      <c r="J456" s="16"/>
      <c r="K456" s="19" t="s">
        <v>1000</v>
      </c>
    </row>
    <row r="457" spans="1:11" x14ac:dyDescent="0.25">
      <c r="A4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57" s="22">
        <v>45926</v>
      </c>
      <c r="C457" s="16" t="s">
        <v>25</v>
      </c>
      <c r="D457" s="16" t="s">
        <v>977</v>
      </c>
      <c r="E457" s="17">
        <f>IFERROR(VLOOKUP(Tabulka2[[#This Row],[Pracovník]],DATA!A:L,5,0),"")</f>
        <v>6538</v>
      </c>
      <c r="F457" s="12" t="s">
        <v>640</v>
      </c>
      <c r="G457" s="16"/>
      <c r="H457" s="18"/>
      <c r="I457" s="27" t="str">
        <f>IFERROR(VLOOKUP(Tabulka2[[#This Row],[Pracovník]],DATA!A:L,11,0),"")</f>
        <v>BATZ 1</v>
      </c>
      <c r="J457" s="16"/>
      <c r="K457" s="19"/>
    </row>
    <row r="458" spans="1:11" x14ac:dyDescent="0.25">
      <c r="A4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58" s="22">
        <v>45926</v>
      </c>
      <c r="C458" s="16" t="s">
        <v>25</v>
      </c>
      <c r="D458" s="16" t="s">
        <v>719</v>
      </c>
      <c r="E458" s="17">
        <f>IFERROR(VLOOKUP(Tabulka2[[#This Row],[Pracovník]],DATA!A:L,5,0),"")</f>
        <v>5715</v>
      </c>
      <c r="F458" s="12" t="s">
        <v>655</v>
      </c>
      <c r="G458" s="16"/>
      <c r="H458" s="18"/>
      <c r="I458" s="27" t="str">
        <f>IFERROR(VLOOKUP(Tabulka2[[#This Row],[Pracovník]],DATA!A:L,11,0),"")</f>
        <v>BATZ 1</v>
      </c>
      <c r="J458" s="16"/>
      <c r="K458" s="19"/>
    </row>
    <row r="459" spans="1:11" x14ac:dyDescent="0.25">
      <c r="A4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59" s="22">
        <v>45926</v>
      </c>
      <c r="C459" s="16" t="s">
        <v>25</v>
      </c>
      <c r="D459" s="16" t="s">
        <v>720</v>
      </c>
      <c r="E459" s="17">
        <f>IFERROR(VLOOKUP(Tabulka2[[#This Row],[Pracovník]],DATA!A:L,5,0),"")</f>
        <v>4514</v>
      </c>
      <c r="F459" s="12" t="s">
        <v>655</v>
      </c>
      <c r="G459" s="16"/>
      <c r="H459" s="18"/>
      <c r="I459" s="27" t="str">
        <f>IFERROR(VLOOKUP(Tabulka2[[#This Row],[Pracovník]],DATA!A:L,11,0),"")</f>
        <v>BATZ 1</v>
      </c>
      <c r="J459" s="16"/>
      <c r="K459" s="19"/>
    </row>
    <row r="460" spans="1:11" x14ac:dyDescent="0.25">
      <c r="A4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60" s="22">
        <v>45926</v>
      </c>
      <c r="C460" s="16" t="s">
        <v>25</v>
      </c>
      <c r="D460" s="16" t="s">
        <v>721</v>
      </c>
      <c r="E460" s="17">
        <f>IFERROR(VLOOKUP(Tabulka2[[#This Row],[Pracovník]],DATA!A:L,5,0),"")</f>
        <v>5176</v>
      </c>
      <c r="F460" s="12" t="s">
        <v>654</v>
      </c>
      <c r="G460" s="16"/>
      <c r="H460" s="18"/>
      <c r="I460" s="27" t="str">
        <f>IFERROR(VLOOKUP(Tabulka2[[#This Row],[Pracovník]],DATA!A:L,11,0),"")</f>
        <v>BATZ 1</v>
      </c>
      <c r="J460" s="16"/>
      <c r="K460" s="19"/>
    </row>
    <row r="461" spans="1:11" x14ac:dyDescent="0.25">
      <c r="A4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61" s="22">
        <v>45926</v>
      </c>
      <c r="C461" s="16" t="s">
        <v>25</v>
      </c>
      <c r="D461" s="16" t="s">
        <v>722</v>
      </c>
      <c r="E461" s="17">
        <f>IFERROR(VLOOKUP(Tabulka2[[#This Row],[Pracovník]],DATA!A:L,5,0),"")</f>
        <v>4163</v>
      </c>
      <c r="F461" s="12" t="s">
        <v>655</v>
      </c>
      <c r="G461" s="16"/>
      <c r="H461" s="18"/>
      <c r="I461" s="27" t="str">
        <f>IFERROR(VLOOKUP(Tabulka2[[#This Row],[Pracovník]],DATA!A:L,11,0),"")</f>
        <v>BATZ 1</v>
      </c>
      <c r="J461" s="16"/>
      <c r="K461" s="19"/>
    </row>
    <row r="462" spans="1:11" x14ac:dyDescent="0.25">
      <c r="A4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62" s="22">
        <v>45926</v>
      </c>
      <c r="C462" s="16" t="s">
        <v>25</v>
      </c>
      <c r="D462" s="16" t="s">
        <v>723</v>
      </c>
      <c r="E462" s="17">
        <f>IFERROR(VLOOKUP(Tabulka2[[#This Row],[Pracovník]],DATA!A:L,5,0),"")</f>
        <v>3920</v>
      </c>
      <c r="F462" s="12" t="s">
        <v>640</v>
      </c>
      <c r="G462" s="16"/>
      <c r="H462" s="18"/>
      <c r="I462" s="27" t="str">
        <f>IFERROR(VLOOKUP(Tabulka2[[#This Row],[Pracovník]],DATA!A:L,11,0),"")</f>
        <v>BATZ 2</v>
      </c>
      <c r="J462" s="16"/>
      <c r="K462" s="19"/>
    </row>
    <row r="463" spans="1:11" x14ac:dyDescent="0.25">
      <c r="A4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63" s="22">
        <v>45926</v>
      </c>
      <c r="C463" s="16" t="s">
        <v>25</v>
      </c>
      <c r="D463" s="16" t="s">
        <v>724</v>
      </c>
      <c r="E463" s="17">
        <f>IFERROR(VLOOKUP(Tabulka2[[#This Row],[Pracovník]],DATA!A:L,5,0),"")</f>
        <v>3257</v>
      </c>
      <c r="F463" s="12" t="s">
        <v>653</v>
      </c>
      <c r="G463" s="16" t="s">
        <v>917</v>
      </c>
      <c r="H463" s="18"/>
      <c r="I463" s="27" t="str">
        <f>IFERROR(VLOOKUP(Tabulka2[[#This Row],[Pracovník]],DATA!A:L,11,0),"")</f>
        <v>BATZ 1</v>
      </c>
      <c r="J463" s="16"/>
      <c r="K463" s="19"/>
    </row>
    <row r="464" spans="1:11" x14ac:dyDescent="0.25">
      <c r="A4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64" s="22">
        <v>45926</v>
      </c>
      <c r="C464" s="16" t="s">
        <v>25</v>
      </c>
      <c r="D464" s="16" t="s">
        <v>725</v>
      </c>
      <c r="E464" s="17">
        <f>IFERROR(VLOOKUP(Tabulka2[[#This Row],[Pracovník]],DATA!A:L,5,0),"")</f>
        <v>3394</v>
      </c>
      <c r="F464" s="12" t="s">
        <v>655</v>
      </c>
      <c r="G464" s="16"/>
      <c r="H464" s="18"/>
      <c r="I464" s="27" t="str">
        <f>IFERROR(VLOOKUP(Tabulka2[[#This Row],[Pracovník]],DATA!A:L,11,0),"")</f>
        <v>BATZ 1</v>
      </c>
      <c r="J464" s="16"/>
      <c r="K464" s="19"/>
    </row>
    <row r="465" spans="1:11" x14ac:dyDescent="0.25">
      <c r="A4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65" s="22">
        <v>45926</v>
      </c>
      <c r="C465" s="16" t="s">
        <v>25</v>
      </c>
      <c r="D465" s="16" t="s">
        <v>726</v>
      </c>
      <c r="E465" s="17">
        <f>IFERROR(VLOOKUP(Tabulka2[[#This Row],[Pracovník]],DATA!A:L,5,0),"")</f>
        <v>4828</v>
      </c>
      <c r="F465" s="12" t="s">
        <v>654</v>
      </c>
      <c r="G465" s="16"/>
      <c r="H465" s="18"/>
      <c r="I465" s="27" t="str">
        <f>IFERROR(VLOOKUP(Tabulka2[[#This Row],[Pracovník]],DATA!A:L,11,0),"")</f>
        <v>BATZ 2</v>
      </c>
      <c r="J465" s="16"/>
      <c r="K465" s="19"/>
    </row>
    <row r="466" spans="1:11" x14ac:dyDescent="0.25">
      <c r="A4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66" s="22">
        <v>45926</v>
      </c>
      <c r="C466" s="16" t="s">
        <v>25</v>
      </c>
      <c r="D466" s="16" t="s">
        <v>727</v>
      </c>
      <c r="E466" s="17">
        <f>IFERROR(VLOOKUP(Tabulka2[[#This Row],[Pracovník]],DATA!A:L,5,0),"")</f>
        <v>4155</v>
      </c>
      <c r="F466" s="12" t="s">
        <v>653</v>
      </c>
      <c r="G466" s="16" t="s">
        <v>656</v>
      </c>
      <c r="H466" s="18"/>
      <c r="I466" s="27" t="str">
        <f>IFERROR(VLOOKUP(Tabulka2[[#This Row],[Pracovník]],DATA!A:L,11,0),"")</f>
        <v>BATZ 1</v>
      </c>
      <c r="J466" s="16"/>
      <c r="K466" s="19"/>
    </row>
    <row r="467" spans="1:11" x14ac:dyDescent="0.25">
      <c r="A4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67" s="22">
        <v>45926</v>
      </c>
      <c r="C467" s="16" t="s">
        <v>25</v>
      </c>
      <c r="D467" s="16" t="s">
        <v>728</v>
      </c>
      <c r="E467" s="17">
        <f>IFERROR(VLOOKUP(Tabulka2[[#This Row],[Pracovník]],DATA!A:L,5,0),"")</f>
        <v>0</v>
      </c>
      <c r="F467" s="12" t="s">
        <v>640</v>
      </c>
      <c r="G467" s="16"/>
      <c r="H467" s="18"/>
      <c r="I467" s="27" t="str">
        <f>IFERROR(VLOOKUP(Tabulka2[[#This Row],[Pracovník]],DATA!A:L,11,0),"")</f>
        <v>BATZ 1</v>
      </c>
      <c r="J467" s="16"/>
      <c r="K467" s="19"/>
    </row>
    <row r="468" spans="1:11" x14ac:dyDescent="0.25">
      <c r="A4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68" s="22">
        <v>45926</v>
      </c>
      <c r="C468" s="16" t="s">
        <v>25</v>
      </c>
      <c r="D468" s="16" t="s">
        <v>729</v>
      </c>
      <c r="E468" s="17">
        <f>IFERROR(VLOOKUP(Tabulka2[[#This Row],[Pracovník]],DATA!A:L,5,0),"")</f>
        <v>5179</v>
      </c>
      <c r="F468" s="12" t="s">
        <v>654</v>
      </c>
      <c r="G468" s="16"/>
      <c r="H468" s="18"/>
      <c r="I468" s="27" t="str">
        <f>IFERROR(VLOOKUP(Tabulka2[[#This Row],[Pracovník]],DATA!A:L,11,0),"")</f>
        <v>BATZ 1</v>
      </c>
      <c r="J468" s="16"/>
      <c r="K468" s="19"/>
    </row>
    <row r="469" spans="1:11" x14ac:dyDescent="0.25">
      <c r="A4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69" s="22">
        <v>45926</v>
      </c>
      <c r="C469" s="16" t="s">
        <v>25</v>
      </c>
      <c r="D469" s="16" t="s">
        <v>730</v>
      </c>
      <c r="E469" s="17">
        <f>IFERROR(VLOOKUP(Tabulka2[[#This Row],[Pracovník]],DATA!A:L,5,0),"")</f>
        <v>4912</v>
      </c>
      <c r="F469" s="12" t="s">
        <v>653</v>
      </c>
      <c r="G469" s="16" t="s">
        <v>917</v>
      </c>
      <c r="H469" s="18"/>
      <c r="I469" s="27" t="str">
        <f>IFERROR(VLOOKUP(Tabulka2[[#This Row],[Pracovník]],DATA!A:L,11,0),"")</f>
        <v>BATZ 2</v>
      </c>
      <c r="J469" s="16"/>
      <c r="K469" s="19"/>
    </row>
    <row r="470" spans="1:11" x14ac:dyDescent="0.25">
      <c r="A4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70" s="22">
        <v>45926</v>
      </c>
      <c r="C470" s="16" t="s">
        <v>25</v>
      </c>
      <c r="D470" s="16" t="s">
        <v>978</v>
      </c>
      <c r="E470" s="17">
        <f>IFERROR(VLOOKUP(Tabulka2[[#This Row],[Pracovník]],DATA!A:L,5,0),"")</f>
        <v>5208</v>
      </c>
      <c r="F470" s="12" t="s">
        <v>653</v>
      </c>
      <c r="G470" s="16" t="s">
        <v>656</v>
      </c>
      <c r="H470" s="18"/>
      <c r="I470" s="27" t="str">
        <f>IFERROR(VLOOKUP(Tabulka2[[#This Row],[Pracovník]],DATA!A:L,11,0),"")</f>
        <v>BATZ 1</v>
      </c>
      <c r="J470" s="16"/>
      <c r="K470" s="19" t="s">
        <v>1002</v>
      </c>
    </row>
    <row r="471" spans="1:11" x14ac:dyDescent="0.25">
      <c r="A4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71" s="22">
        <v>45926</v>
      </c>
      <c r="C471" s="16" t="s">
        <v>25</v>
      </c>
      <c r="D471" s="16" t="s">
        <v>732</v>
      </c>
      <c r="E471" s="17">
        <f>IFERROR(VLOOKUP(Tabulka2[[#This Row],[Pracovník]],DATA!A:L,5,0),"")</f>
        <v>3937</v>
      </c>
      <c r="F471" s="12" t="s">
        <v>655</v>
      </c>
      <c r="G471" s="16"/>
      <c r="H471" s="18"/>
      <c r="I471" s="27" t="str">
        <f>IFERROR(VLOOKUP(Tabulka2[[#This Row],[Pracovník]],DATA!A:L,11,0),"")</f>
        <v>BATZ 1</v>
      </c>
      <c r="J471" s="16"/>
      <c r="K471" s="19"/>
    </row>
    <row r="472" spans="1:11" x14ac:dyDescent="0.25">
      <c r="A4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72" s="22">
        <v>45926</v>
      </c>
      <c r="C472" s="16" t="s">
        <v>25</v>
      </c>
      <c r="D472" s="16" t="s">
        <v>733</v>
      </c>
      <c r="E472" s="17">
        <f>IFERROR(VLOOKUP(Tabulka2[[#This Row],[Pracovník]],DATA!A:L,5,0),"")</f>
        <v>6076</v>
      </c>
      <c r="F472" s="12" t="s">
        <v>653</v>
      </c>
      <c r="G472" s="16" t="s">
        <v>657</v>
      </c>
      <c r="H472" s="18"/>
      <c r="I472" s="27" t="str">
        <f>IFERROR(VLOOKUP(Tabulka2[[#This Row],[Pracovník]],DATA!A:L,11,0),"")</f>
        <v>BATZ 1</v>
      </c>
      <c r="J472" s="16"/>
      <c r="K472" s="19"/>
    </row>
    <row r="473" spans="1:11" x14ac:dyDescent="0.25">
      <c r="A4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73" s="22">
        <v>45926</v>
      </c>
      <c r="C473" s="16" t="s">
        <v>25</v>
      </c>
      <c r="D473" s="16" t="s">
        <v>734</v>
      </c>
      <c r="E473" s="17">
        <f>IFERROR(VLOOKUP(Tabulka2[[#This Row],[Pracovník]],DATA!A:L,5,0),"")</f>
        <v>3648</v>
      </c>
      <c r="F473" s="12" t="s">
        <v>640</v>
      </c>
      <c r="G473" s="16"/>
      <c r="H473" s="18"/>
      <c r="I473" s="27" t="str">
        <f>IFERROR(VLOOKUP(Tabulka2[[#This Row],[Pracovník]],DATA!A:L,11,0),"")</f>
        <v>BATZ 1</v>
      </c>
      <c r="J473" s="16"/>
      <c r="K473" s="19"/>
    </row>
    <row r="474" spans="1:11" x14ac:dyDescent="0.25">
      <c r="A4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74" s="22">
        <v>45926</v>
      </c>
      <c r="C474" s="16" t="s">
        <v>25</v>
      </c>
      <c r="D474" s="16" t="s">
        <v>735</v>
      </c>
      <c r="E474" s="17">
        <f>IFERROR(VLOOKUP(Tabulka2[[#This Row],[Pracovník]],DATA!A:L,5,0),"")</f>
        <v>4602</v>
      </c>
      <c r="F474" s="12" t="s">
        <v>654</v>
      </c>
      <c r="G474" s="16"/>
      <c r="H474" s="18"/>
      <c r="I474" s="27" t="str">
        <f>IFERROR(VLOOKUP(Tabulka2[[#This Row],[Pracovník]],DATA!A:L,11,0),"")</f>
        <v>BATZ 1</v>
      </c>
      <c r="J474" s="16"/>
      <c r="K474" s="19"/>
    </row>
    <row r="475" spans="1:11" x14ac:dyDescent="0.25">
      <c r="A4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75" s="22">
        <v>45926</v>
      </c>
      <c r="C475" s="16" t="s">
        <v>25</v>
      </c>
      <c r="D475" s="16" t="s">
        <v>736</v>
      </c>
      <c r="E475" s="17">
        <f>IFERROR(VLOOKUP(Tabulka2[[#This Row],[Pracovník]],DATA!A:L,5,0),"")</f>
        <v>4940</v>
      </c>
      <c r="F475" s="12" t="s">
        <v>653</v>
      </c>
      <c r="G475" s="16" t="s">
        <v>656</v>
      </c>
      <c r="H475" s="18"/>
      <c r="I475" s="27" t="str">
        <f>IFERROR(VLOOKUP(Tabulka2[[#This Row],[Pracovník]],DATA!A:L,11,0),"")</f>
        <v>BATZ 1</v>
      </c>
      <c r="J475" s="16"/>
      <c r="K475" s="19"/>
    </row>
    <row r="476" spans="1:11" x14ac:dyDescent="0.25">
      <c r="A4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76" s="22">
        <v>45926</v>
      </c>
      <c r="C476" s="16" t="s">
        <v>25</v>
      </c>
      <c r="D476" s="16" t="s">
        <v>737</v>
      </c>
      <c r="E476" s="17">
        <f>IFERROR(VLOOKUP(Tabulka2[[#This Row],[Pracovník]],DATA!A:L,5,0),"")</f>
        <v>5660</v>
      </c>
      <c r="F476" s="12" t="s">
        <v>654</v>
      </c>
      <c r="G476" s="16"/>
      <c r="H476" s="18"/>
      <c r="I476" s="27" t="str">
        <f>IFERROR(VLOOKUP(Tabulka2[[#This Row],[Pracovník]],DATA!A:L,11,0),"")</f>
        <v>BATZ 1</v>
      </c>
      <c r="J476" s="16"/>
      <c r="K476" s="19"/>
    </row>
    <row r="477" spans="1:11" x14ac:dyDescent="0.25">
      <c r="A4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77" s="22">
        <v>45926</v>
      </c>
      <c r="C477" s="16" t="s">
        <v>25</v>
      </c>
      <c r="D477" s="16" t="s">
        <v>738</v>
      </c>
      <c r="E477" s="17">
        <f>IFERROR(VLOOKUP(Tabulka2[[#This Row],[Pracovník]],DATA!A:L,5,0),"")</f>
        <v>6243</v>
      </c>
      <c r="F477" s="12" t="s">
        <v>655</v>
      </c>
      <c r="G477" s="16"/>
      <c r="H477" s="18"/>
      <c r="I477" s="27" t="str">
        <f>IFERROR(VLOOKUP(Tabulka2[[#This Row],[Pracovník]],DATA!A:L,11,0),"")</f>
        <v>BATZ 2</v>
      </c>
      <c r="J477" s="16"/>
      <c r="K477" s="19"/>
    </row>
    <row r="478" spans="1:11" x14ac:dyDescent="0.25">
      <c r="A4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78" s="22">
        <v>45926</v>
      </c>
      <c r="C478" s="16" t="s">
        <v>25</v>
      </c>
      <c r="D478" s="16" t="s">
        <v>739</v>
      </c>
      <c r="E478" s="17">
        <f>IFERROR(VLOOKUP(Tabulka2[[#This Row],[Pracovník]],DATA!A:L,5,0),"")</f>
        <v>6339</v>
      </c>
      <c r="F478" s="12" t="s">
        <v>654</v>
      </c>
      <c r="G478" s="16"/>
      <c r="H478" s="18"/>
      <c r="I478" s="27" t="str">
        <f>IFERROR(VLOOKUP(Tabulka2[[#This Row],[Pracovník]],DATA!A:L,11,0),"")</f>
        <v>BATZ 1</v>
      </c>
      <c r="J478" s="16"/>
      <c r="K478" s="19"/>
    </row>
    <row r="479" spans="1:11" x14ac:dyDescent="0.25">
      <c r="A4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79" s="22">
        <v>45926</v>
      </c>
      <c r="C479" s="16" t="s">
        <v>25</v>
      </c>
      <c r="D479" s="16" t="s">
        <v>740</v>
      </c>
      <c r="E479" s="17">
        <f>IFERROR(VLOOKUP(Tabulka2[[#This Row],[Pracovník]],DATA!A:L,5,0),"")</f>
        <v>4928</v>
      </c>
      <c r="F479" s="12" t="s">
        <v>654</v>
      </c>
      <c r="G479" s="16"/>
      <c r="H479" s="18"/>
      <c r="I479" s="27" t="str">
        <f>IFERROR(VLOOKUP(Tabulka2[[#This Row],[Pracovník]],DATA!A:L,11,0),"")</f>
        <v>BATZ 1</v>
      </c>
      <c r="J479" s="16"/>
      <c r="K479" s="19"/>
    </row>
    <row r="480" spans="1:11" x14ac:dyDescent="0.25">
      <c r="A4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80" s="22">
        <v>45926</v>
      </c>
      <c r="C480" s="16" t="s">
        <v>25</v>
      </c>
      <c r="D480" s="16" t="s">
        <v>731</v>
      </c>
      <c r="E480" s="17">
        <f>IFERROR(VLOOKUP(Tabulka2[[#This Row],[Pracovník]],DATA!A:L,5,0),"")</f>
        <v>0</v>
      </c>
      <c r="F480" s="12" t="s">
        <v>655</v>
      </c>
      <c r="G480" s="16"/>
      <c r="H480" s="18"/>
      <c r="I480" s="27" t="str">
        <f>IFERROR(VLOOKUP(Tabulka2[[#This Row],[Pracovník]],DATA!A:L,11,0),"")</f>
        <v>BATZ 1</v>
      </c>
      <c r="J480" s="16"/>
      <c r="K480" s="19"/>
    </row>
    <row r="481" spans="1:11" x14ac:dyDescent="0.25">
      <c r="A4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81" s="22">
        <v>45926</v>
      </c>
      <c r="C481" s="16" t="s">
        <v>96</v>
      </c>
      <c r="D481" s="16" t="s">
        <v>641</v>
      </c>
      <c r="E481" s="17">
        <f>IFERROR(VLOOKUP(Tabulka2[[#This Row],[Pracovník]],DATA!A:L,5,0),"")</f>
        <v>6259</v>
      </c>
      <c r="F481" s="12" t="s">
        <v>653</v>
      </c>
      <c r="G481" s="16" t="s">
        <v>657</v>
      </c>
      <c r="H481" s="18"/>
      <c r="I481" s="27" t="str">
        <f>IFERROR(VLOOKUP(Tabulka2[[#This Row],[Pracovník]],DATA!A:L,11,0),"")</f>
        <v>Vlastní auto</v>
      </c>
      <c r="J481" s="16"/>
      <c r="K481" s="19"/>
    </row>
    <row r="482" spans="1:11" x14ac:dyDescent="0.25">
      <c r="A4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82" s="22">
        <v>45926</v>
      </c>
      <c r="C482" s="16" t="s">
        <v>96</v>
      </c>
      <c r="D482" s="16" t="s">
        <v>649</v>
      </c>
      <c r="E482" s="17">
        <f>IFERROR(VLOOKUP(Tabulka2[[#This Row],[Pracovník]],DATA!A:L,5,0),"")</f>
        <v>3951</v>
      </c>
      <c r="F482" s="12" t="s">
        <v>640</v>
      </c>
      <c r="G482" s="16"/>
      <c r="H482" s="18"/>
      <c r="I482" s="27" t="str">
        <f>IFERROR(VLOOKUP(Tabulka2[[#This Row],[Pracovník]],DATA!A:L,11,0),"")</f>
        <v>Vlastní auto</v>
      </c>
      <c r="J482" s="16"/>
      <c r="K482" s="19"/>
    </row>
    <row r="483" spans="1:11" x14ac:dyDescent="0.25">
      <c r="A4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83" s="22">
        <v>45926</v>
      </c>
      <c r="C483" s="16" t="s">
        <v>96</v>
      </c>
      <c r="D483" s="16" t="s">
        <v>742</v>
      </c>
      <c r="E483" s="17">
        <f>IFERROR(VLOOKUP(Tabulka2[[#This Row],[Pracovník]],DATA!A:L,5,0),"")</f>
        <v>6450</v>
      </c>
      <c r="F483" s="12" t="s">
        <v>654</v>
      </c>
      <c r="G483" s="16"/>
      <c r="H483" s="18"/>
      <c r="I483" s="27" t="str">
        <f>IFERROR(VLOOKUP(Tabulka2[[#This Row],[Pracovník]],DATA!A:L,11,0),"")</f>
        <v>DSC 2</v>
      </c>
      <c r="J483" s="16"/>
      <c r="K483" s="19"/>
    </row>
    <row r="484" spans="1:11" x14ac:dyDescent="0.25">
      <c r="A4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84" s="22">
        <v>45926</v>
      </c>
      <c r="C484" s="16" t="s">
        <v>96</v>
      </c>
      <c r="D484" s="16" t="s">
        <v>980</v>
      </c>
      <c r="E484" s="17">
        <f>IFERROR(VLOOKUP(Tabulka2[[#This Row],[Pracovník]],DATA!A:L,5,0),"")</f>
        <v>6457</v>
      </c>
      <c r="F484" s="12" t="s">
        <v>653</v>
      </c>
      <c r="G484" s="16" t="s">
        <v>657</v>
      </c>
      <c r="H484" s="18"/>
      <c r="I484" s="27" t="str">
        <f>IFERROR(VLOOKUP(Tabulka2[[#This Row],[Pracovník]],DATA!A:L,11,0),"")</f>
        <v>DSC 1</v>
      </c>
      <c r="J484" s="16"/>
      <c r="K484" s="19" t="s">
        <v>1003</v>
      </c>
    </row>
    <row r="485" spans="1:11" x14ac:dyDescent="0.25">
      <c r="A4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85" s="22">
        <v>45926</v>
      </c>
      <c r="C485" s="16" t="s">
        <v>96</v>
      </c>
      <c r="D485" s="16" t="s">
        <v>744</v>
      </c>
      <c r="E485" s="17">
        <f>IFERROR(VLOOKUP(Tabulka2[[#This Row],[Pracovník]],DATA!A:L,5,0),"")</f>
        <v>5584</v>
      </c>
      <c r="F485" s="12" t="s">
        <v>654</v>
      </c>
      <c r="G485" s="16"/>
      <c r="H485" s="18"/>
      <c r="I485" s="27" t="str">
        <f>IFERROR(VLOOKUP(Tabulka2[[#This Row],[Pracovník]],DATA!A:L,11,0),"")</f>
        <v>Vlastní auto</v>
      </c>
      <c r="J485" s="16"/>
      <c r="K485" s="19"/>
    </row>
    <row r="486" spans="1:11" x14ac:dyDescent="0.25">
      <c r="A4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86" s="22">
        <v>45926</v>
      </c>
      <c r="C486" s="16" t="s">
        <v>96</v>
      </c>
      <c r="D486" s="16" t="s">
        <v>745</v>
      </c>
      <c r="E486" s="17">
        <f>IFERROR(VLOOKUP(Tabulka2[[#This Row],[Pracovník]],DATA!A:L,5,0),"")</f>
        <v>6418</v>
      </c>
      <c r="F486" s="12" t="s">
        <v>654</v>
      </c>
      <c r="G486" s="16"/>
      <c r="H486" s="18"/>
      <c r="I486" s="27" t="str">
        <f>IFERROR(VLOOKUP(Tabulka2[[#This Row],[Pracovník]],DATA!A:L,11,0),"")</f>
        <v>Vlastní auto</v>
      </c>
      <c r="J486" s="16"/>
      <c r="K486" s="19"/>
    </row>
    <row r="487" spans="1:11" x14ac:dyDescent="0.25">
      <c r="A4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87" s="22">
        <v>45926</v>
      </c>
      <c r="C487" s="16" t="s">
        <v>96</v>
      </c>
      <c r="D487" s="16" t="s">
        <v>747</v>
      </c>
      <c r="E487" s="17">
        <f>IFERROR(VLOOKUP(Tabulka2[[#This Row],[Pracovník]],DATA!A:L,5,0),"")</f>
        <v>6177</v>
      </c>
      <c r="F487" s="12" t="s">
        <v>654</v>
      </c>
      <c r="G487" s="16"/>
      <c r="H487" s="18"/>
      <c r="I487" s="27" t="str">
        <f>IFERROR(VLOOKUP(Tabulka2[[#This Row],[Pracovník]],DATA!A:L,11,0),"")</f>
        <v>DSC 1</v>
      </c>
      <c r="J487" s="16"/>
      <c r="K487" s="19"/>
    </row>
    <row r="488" spans="1:11" x14ac:dyDescent="0.25">
      <c r="A4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88" s="22">
        <v>45926</v>
      </c>
      <c r="C488" s="16" t="s">
        <v>96</v>
      </c>
      <c r="D488" s="16" t="s">
        <v>746</v>
      </c>
      <c r="E488" s="17">
        <f>IFERROR(VLOOKUP(Tabulka2[[#This Row],[Pracovník]],DATA!A:L,5,0),"")</f>
        <v>6543</v>
      </c>
      <c r="F488" s="12" t="s">
        <v>640</v>
      </c>
      <c r="G488" s="16"/>
      <c r="H488" s="18"/>
      <c r="I488" s="27" t="str">
        <f>IFERROR(VLOOKUP(Tabulka2[[#This Row],[Pracovník]],DATA!A:L,11,0),"")</f>
        <v>DSC 1</v>
      </c>
      <c r="J488" s="16"/>
      <c r="K488" s="19"/>
    </row>
    <row r="489" spans="1:11" x14ac:dyDescent="0.25">
      <c r="A4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89" s="22">
        <v>45926</v>
      </c>
      <c r="C489" s="16" t="s">
        <v>96</v>
      </c>
      <c r="D489" s="16" t="s">
        <v>748</v>
      </c>
      <c r="E489" s="17">
        <f>IFERROR(VLOOKUP(Tabulka2[[#This Row],[Pracovník]],DATA!A:L,5,0),"")</f>
        <v>6541</v>
      </c>
      <c r="F489" s="12" t="s">
        <v>655</v>
      </c>
      <c r="G489" s="16"/>
      <c r="H489" s="18"/>
      <c r="I489" s="27" t="str">
        <f>IFERROR(VLOOKUP(Tabulka2[[#This Row],[Pracovník]],DATA!A:L,11,0),"")</f>
        <v>DSC 2</v>
      </c>
      <c r="J489" s="16"/>
      <c r="K489" s="19"/>
    </row>
    <row r="490" spans="1:11" x14ac:dyDescent="0.25">
      <c r="A4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90" s="22">
        <v>45926</v>
      </c>
      <c r="C490" s="16" t="s">
        <v>96</v>
      </c>
      <c r="D490" s="16" t="s">
        <v>749</v>
      </c>
      <c r="E490" s="17">
        <f>IFERROR(VLOOKUP(Tabulka2[[#This Row],[Pracovník]],DATA!A:L,5,0),"")</f>
        <v>6442</v>
      </c>
      <c r="F490" s="12" t="s">
        <v>640</v>
      </c>
      <c r="G490" s="16"/>
      <c r="H490" s="18"/>
      <c r="I490" s="27" t="str">
        <f>IFERROR(VLOOKUP(Tabulka2[[#This Row],[Pracovník]],DATA!A:L,11,0),"")</f>
        <v>DSC 2</v>
      </c>
      <c r="J490" s="16"/>
      <c r="K490" s="19"/>
    </row>
    <row r="491" spans="1:11" x14ac:dyDescent="0.25">
      <c r="A4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91" s="22">
        <v>45926</v>
      </c>
      <c r="C491" s="16" t="s">
        <v>96</v>
      </c>
      <c r="D491" s="16" t="s">
        <v>750</v>
      </c>
      <c r="E491" s="17">
        <f>IFERROR(VLOOKUP(Tabulka2[[#This Row],[Pracovník]],DATA!A:L,5,0),"")</f>
        <v>6143</v>
      </c>
      <c r="F491" s="12" t="s">
        <v>654</v>
      </c>
      <c r="G491" s="16"/>
      <c r="H491" s="18"/>
      <c r="I491" s="27" t="str">
        <f>IFERROR(VLOOKUP(Tabulka2[[#This Row],[Pracovník]],DATA!A:L,11,0),"")</f>
        <v>Vlastní auto</v>
      </c>
      <c r="J491" s="16"/>
      <c r="K491" s="19"/>
    </row>
    <row r="492" spans="1:11" x14ac:dyDescent="0.25">
      <c r="A4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92" s="22">
        <v>45926</v>
      </c>
      <c r="C492" s="16" t="s">
        <v>96</v>
      </c>
      <c r="D492" s="16" t="s">
        <v>751</v>
      </c>
      <c r="E492" s="17">
        <f>IFERROR(VLOOKUP(Tabulka2[[#This Row],[Pracovník]],DATA!A:L,5,0),"")</f>
        <v>6260</v>
      </c>
      <c r="F492" s="12" t="s">
        <v>654</v>
      </c>
      <c r="G492" s="16"/>
      <c r="H492" s="18"/>
      <c r="I492" s="27" t="str">
        <f>IFERROR(VLOOKUP(Tabulka2[[#This Row],[Pracovník]],DATA!A:L,11,0),"")</f>
        <v>Vlastní auto</v>
      </c>
      <c r="J492" s="16"/>
      <c r="K492" s="19"/>
    </row>
    <row r="493" spans="1:11" x14ac:dyDescent="0.25">
      <c r="A4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93" s="22">
        <v>45926</v>
      </c>
      <c r="C493" s="16" t="s">
        <v>96</v>
      </c>
      <c r="D493" s="16" t="s">
        <v>981</v>
      </c>
      <c r="E493" s="17">
        <f>IFERROR(VLOOKUP(Tabulka2[[#This Row],[Pracovník]],DATA!A:L,5,0),"")</f>
        <v>6542</v>
      </c>
      <c r="F493" s="12" t="s">
        <v>640</v>
      </c>
      <c r="G493" s="16"/>
      <c r="H493" s="18"/>
      <c r="I493" s="27" t="str">
        <f>IFERROR(VLOOKUP(Tabulka2[[#This Row],[Pracovník]],DATA!A:L,11,0),"")</f>
        <v>DSC 2</v>
      </c>
      <c r="J493" s="16"/>
      <c r="K493" s="19"/>
    </row>
    <row r="494" spans="1:11" x14ac:dyDescent="0.25">
      <c r="A4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94" s="22">
        <v>45926</v>
      </c>
      <c r="C494" s="16" t="s">
        <v>96</v>
      </c>
      <c r="D494" s="16" t="s">
        <v>982</v>
      </c>
      <c r="E494" s="17">
        <f>IFERROR(VLOOKUP(Tabulka2[[#This Row],[Pracovník]],DATA!A:L,5,0),"")</f>
        <v>6525</v>
      </c>
      <c r="F494" s="12" t="s">
        <v>655</v>
      </c>
      <c r="G494" s="16"/>
      <c r="H494" s="18"/>
      <c r="I494" s="27" t="str">
        <f>IFERROR(VLOOKUP(Tabulka2[[#This Row],[Pracovník]],DATA!A:L,11,0),"")</f>
        <v>DSC 2</v>
      </c>
      <c r="J494" s="16"/>
      <c r="K494" s="19" t="s">
        <v>1004</v>
      </c>
    </row>
    <row r="495" spans="1:11" x14ac:dyDescent="0.25">
      <c r="A4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95" s="22">
        <v>45926</v>
      </c>
      <c r="C495" s="16" t="s">
        <v>96</v>
      </c>
      <c r="D495" s="16" t="s">
        <v>752</v>
      </c>
      <c r="E495" s="17">
        <f>IFERROR(VLOOKUP(Tabulka2[[#This Row],[Pracovník]],DATA!A:L,5,0),"")</f>
        <v>6430</v>
      </c>
      <c r="F495" s="12" t="s">
        <v>655</v>
      </c>
      <c r="G495" s="16"/>
      <c r="H495" s="18"/>
      <c r="I495" s="27" t="str">
        <f>IFERROR(VLOOKUP(Tabulka2[[#This Row],[Pracovník]],DATA!A:L,11,0),"")</f>
        <v>Vlastní auto</v>
      </c>
      <c r="J495" s="16"/>
      <c r="K495" s="19"/>
    </row>
    <row r="496" spans="1:11" x14ac:dyDescent="0.25">
      <c r="A4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96" s="22">
        <v>45926</v>
      </c>
      <c r="C496" s="16" t="s">
        <v>96</v>
      </c>
      <c r="D496" s="16" t="s">
        <v>983</v>
      </c>
      <c r="E496" s="17">
        <f>IFERROR(VLOOKUP(Tabulka2[[#This Row],[Pracovník]],DATA!A:L,5,0),"")</f>
        <v>6454</v>
      </c>
      <c r="F496" s="12" t="s">
        <v>655</v>
      </c>
      <c r="G496" s="16"/>
      <c r="H496" s="18"/>
      <c r="I496" s="27" t="str">
        <f>IFERROR(VLOOKUP(Tabulka2[[#This Row],[Pracovník]],DATA!A:L,11,0),"")</f>
        <v>DSC 1</v>
      </c>
      <c r="J496" s="16"/>
      <c r="K496" s="19" t="s">
        <v>1004</v>
      </c>
    </row>
    <row r="497" spans="1:11" x14ac:dyDescent="0.25">
      <c r="A4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97" s="22">
        <v>45926</v>
      </c>
      <c r="C497" s="16" t="s">
        <v>96</v>
      </c>
      <c r="D497" s="16" t="s">
        <v>753</v>
      </c>
      <c r="E497" s="17">
        <f>IFERROR(VLOOKUP(Tabulka2[[#This Row],[Pracovník]],DATA!A:L,5,0),"")</f>
        <v>6016</v>
      </c>
      <c r="F497" s="12" t="s">
        <v>640</v>
      </c>
      <c r="G497" s="16"/>
      <c r="H497" s="18"/>
      <c r="I497" s="27" t="str">
        <f>IFERROR(VLOOKUP(Tabulka2[[#This Row],[Pracovník]],DATA!A:L,11,0),"")</f>
        <v>DSC 2</v>
      </c>
      <c r="J497" s="16"/>
      <c r="K497" s="19"/>
    </row>
    <row r="498" spans="1:11" x14ac:dyDescent="0.25">
      <c r="A4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98" s="22">
        <v>45926</v>
      </c>
      <c r="C498" s="16" t="s">
        <v>96</v>
      </c>
      <c r="D498" s="16" t="s">
        <v>754</v>
      </c>
      <c r="E498" s="17">
        <f>IFERROR(VLOOKUP(Tabulka2[[#This Row],[Pracovník]],DATA!A:L,5,0),"")</f>
        <v>6437</v>
      </c>
      <c r="F498" s="12" t="s">
        <v>654</v>
      </c>
      <c r="G498" s="16"/>
      <c r="H498" s="18"/>
      <c r="I498" s="27" t="str">
        <f>IFERROR(VLOOKUP(Tabulka2[[#This Row],[Pracovník]],DATA!A:L,11,0),"")</f>
        <v>DSC 2</v>
      </c>
      <c r="J498" s="16"/>
      <c r="K498" s="19"/>
    </row>
    <row r="499" spans="1:11" x14ac:dyDescent="0.25">
      <c r="A4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499" s="22">
        <v>45926</v>
      </c>
      <c r="C499" s="16" t="s">
        <v>96</v>
      </c>
      <c r="D499" s="16" t="s">
        <v>756</v>
      </c>
      <c r="E499" s="17">
        <f>IFERROR(VLOOKUP(Tabulka2[[#This Row],[Pracovník]],DATA!A:L,5,0),"")</f>
        <v>6431</v>
      </c>
      <c r="F499" s="12" t="s">
        <v>653</v>
      </c>
      <c r="G499" s="16" t="s">
        <v>656</v>
      </c>
      <c r="H499" s="18"/>
      <c r="I499" s="27" t="str">
        <f>IFERROR(VLOOKUP(Tabulka2[[#This Row],[Pracovník]],DATA!A:L,11,0),"")</f>
        <v>DSC 1</v>
      </c>
      <c r="J499" s="16"/>
      <c r="K499" s="19"/>
    </row>
    <row r="500" spans="1:11" x14ac:dyDescent="0.25">
      <c r="A5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00" s="22">
        <v>45926</v>
      </c>
      <c r="C500" s="16" t="s">
        <v>96</v>
      </c>
      <c r="D500" s="16" t="s">
        <v>642</v>
      </c>
      <c r="E500" s="17">
        <f>IFERROR(VLOOKUP(Tabulka2[[#This Row],[Pracovník]],DATA!A:L,5,0),"")</f>
        <v>6119</v>
      </c>
      <c r="F500" s="12" t="s">
        <v>653</v>
      </c>
      <c r="G500" s="16" t="s">
        <v>657</v>
      </c>
      <c r="H500" s="18"/>
      <c r="I500" s="27" t="str">
        <f>IFERROR(VLOOKUP(Tabulka2[[#This Row],[Pracovník]],DATA!A:L,11,0),"")</f>
        <v>DSC 1</v>
      </c>
      <c r="J500" s="16"/>
      <c r="K500" s="19"/>
    </row>
    <row r="501" spans="1:11" x14ac:dyDescent="0.25">
      <c r="A5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01" s="22">
        <v>45926</v>
      </c>
      <c r="C501" s="16" t="s">
        <v>96</v>
      </c>
      <c r="D501" s="16" t="s">
        <v>757</v>
      </c>
      <c r="E501" s="17">
        <f>IFERROR(VLOOKUP(Tabulka2[[#This Row],[Pracovník]],DATA!A:L,5,0),"")</f>
        <v>6559</v>
      </c>
      <c r="F501" s="12" t="s">
        <v>654</v>
      </c>
      <c r="G501" s="16"/>
      <c r="H501" s="18"/>
      <c r="I501" s="27" t="str">
        <f>IFERROR(VLOOKUP(Tabulka2[[#This Row],[Pracovník]],DATA!A:L,11,0),"")</f>
        <v>DSC 1</v>
      </c>
      <c r="J501" s="16"/>
      <c r="K501" s="19"/>
    </row>
    <row r="502" spans="1:11" x14ac:dyDescent="0.25">
      <c r="A5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02" s="22">
        <v>45926</v>
      </c>
      <c r="C502" s="16" t="s">
        <v>96</v>
      </c>
      <c r="D502" s="16" t="s">
        <v>984</v>
      </c>
      <c r="E502" s="17">
        <f>IFERROR(VLOOKUP(Tabulka2[[#This Row],[Pracovník]],DATA!A:L,5,0),"")</f>
        <v>6496</v>
      </c>
      <c r="F502" s="12" t="s">
        <v>640</v>
      </c>
      <c r="G502" s="16"/>
      <c r="H502" s="18"/>
      <c r="I502" s="27" t="str">
        <f>IFERROR(VLOOKUP(Tabulka2[[#This Row],[Pracovník]],DATA!A:L,11,0),"")</f>
        <v>DSC 2</v>
      </c>
      <c r="J502" s="16"/>
      <c r="K502" s="19" t="s">
        <v>1004</v>
      </c>
    </row>
    <row r="503" spans="1:11" x14ac:dyDescent="0.25">
      <c r="A5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03" s="22">
        <v>45926</v>
      </c>
      <c r="C503" s="16" t="s">
        <v>96</v>
      </c>
      <c r="D503" s="16" t="s">
        <v>758</v>
      </c>
      <c r="E503" s="17">
        <f>IFERROR(VLOOKUP(Tabulka2[[#This Row],[Pracovník]],DATA!A:L,5,0),"")</f>
        <v>4392</v>
      </c>
      <c r="F503" s="12" t="s">
        <v>640</v>
      </c>
      <c r="G503" s="16"/>
      <c r="H503" s="18"/>
      <c r="I503" s="27" t="str">
        <f>IFERROR(VLOOKUP(Tabulka2[[#This Row],[Pracovník]],DATA!A:L,11,0),"")</f>
        <v>DSC 1</v>
      </c>
      <c r="J503" s="16"/>
      <c r="K503" s="19"/>
    </row>
    <row r="504" spans="1:11" x14ac:dyDescent="0.25">
      <c r="A5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04" s="22">
        <v>45926</v>
      </c>
      <c r="C504" s="16" t="s">
        <v>96</v>
      </c>
      <c r="D504" s="16" t="s">
        <v>760</v>
      </c>
      <c r="E504" s="17">
        <f>IFERROR(VLOOKUP(Tabulka2[[#This Row],[Pracovník]],DATA!A:L,5,0),"")</f>
        <v>6514</v>
      </c>
      <c r="F504" s="12" t="s">
        <v>654</v>
      </c>
      <c r="G504" s="16"/>
      <c r="H504" s="18"/>
      <c r="I504" s="27" t="str">
        <f>IFERROR(VLOOKUP(Tabulka2[[#This Row],[Pracovník]],DATA!A:L,11,0),"")</f>
        <v>DSC 2</v>
      </c>
      <c r="J504" s="16"/>
      <c r="K504" s="19"/>
    </row>
    <row r="505" spans="1:11" x14ac:dyDescent="0.25">
      <c r="A5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05" s="22">
        <v>45926</v>
      </c>
      <c r="C505" s="16" t="s">
        <v>96</v>
      </c>
      <c r="D505" s="16" t="s">
        <v>761</v>
      </c>
      <c r="E505" s="17">
        <f>IFERROR(VLOOKUP(Tabulka2[[#This Row],[Pracovník]],DATA!A:L,5,0),"")</f>
        <v>6516</v>
      </c>
      <c r="F505" s="12" t="s">
        <v>653</v>
      </c>
      <c r="G505" s="16" t="s">
        <v>656</v>
      </c>
      <c r="H505" s="18"/>
      <c r="I505" s="27" t="str">
        <f>IFERROR(VLOOKUP(Tabulka2[[#This Row],[Pracovník]],DATA!A:L,11,0),"")</f>
        <v>DSC 1</v>
      </c>
      <c r="J505" s="16"/>
      <c r="K505" s="19"/>
    </row>
    <row r="506" spans="1:11" x14ac:dyDescent="0.25">
      <c r="A5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06" s="22">
        <v>45926</v>
      </c>
      <c r="C506" s="16" t="s">
        <v>96</v>
      </c>
      <c r="D506" s="16" t="s">
        <v>762</v>
      </c>
      <c r="E506" s="17">
        <f>IFERROR(VLOOKUP(Tabulka2[[#This Row],[Pracovník]],DATA!A:L,5,0),"")</f>
        <v>0</v>
      </c>
      <c r="F506" s="12" t="s">
        <v>640</v>
      </c>
      <c r="G506" s="16"/>
      <c r="H506" s="18"/>
      <c r="I506" s="27" t="str">
        <f>IFERROR(VLOOKUP(Tabulka2[[#This Row],[Pracovník]],DATA!A:L,11,0),"")</f>
        <v>Vlastní auto</v>
      </c>
      <c r="J506" s="16"/>
      <c r="K506" s="19"/>
    </row>
    <row r="507" spans="1:11" x14ac:dyDescent="0.25">
      <c r="A5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07" s="22">
        <v>45926</v>
      </c>
      <c r="C507" s="16" t="s">
        <v>96</v>
      </c>
      <c r="D507" s="16" t="s">
        <v>985</v>
      </c>
      <c r="E507" s="17">
        <f>IFERROR(VLOOKUP(Tabulka2[[#This Row],[Pracovník]],DATA!A:L,5,0),"")</f>
        <v>6449</v>
      </c>
      <c r="F507" s="12" t="s">
        <v>653</v>
      </c>
      <c r="G507" s="16" t="s">
        <v>656</v>
      </c>
      <c r="H507" s="18"/>
      <c r="I507" s="27" t="str">
        <f>IFERROR(VLOOKUP(Tabulka2[[#This Row],[Pracovník]],DATA!A:L,11,0),"")</f>
        <v>DSC 2</v>
      </c>
      <c r="J507" s="16"/>
      <c r="K507" s="19"/>
    </row>
    <row r="508" spans="1:11" x14ac:dyDescent="0.25">
      <c r="A5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08" s="22">
        <v>45926</v>
      </c>
      <c r="C508" s="16" t="s">
        <v>96</v>
      </c>
      <c r="D508" s="16" t="s">
        <v>763</v>
      </c>
      <c r="E508" s="17">
        <f>IFERROR(VLOOKUP(Tabulka2[[#This Row],[Pracovník]],DATA!A:L,5,0),"")</f>
        <v>6158</v>
      </c>
      <c r="F508" s="12" t="s">
        <v>640</v>
      </c>
      <c r="G508" s="16"/>
      <c r="H508" s="18"/>
      <c r="I508" s="27" t="str">
        <f>IFERROR(VLOOKUP(Tabulka2[[#This Row],[Pracovník]],DATA!A:L,11,0),"")</f>
        <v>DSC 2</v>
      </c>
      <c r="J508" s="16"/>
      <c r="K508" s="19"/>
    </row>
    <row r="509" spans="1:11" x14ac:dyDescent="0.25">
      <c r="A5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09" s="22">
        <v>45926</v>
      </c>
      <c r="C509" s="16" t="s">
        <v>96</v>
      </c>
      <c r="D509" s="16" t="s">
        <v>986</v>
      </c>
      <c r="E509" s="17">
        <f>IFERROR(VLOOKUP(Tabulka2[[#This Row],[Pracovník]],DATA!A:L,5,0),"")</f>
        <v>6232</v>
      </c>
      <c r="F509" s="12" t="s">
        <v>654</v>
      </c>
      <c r="G509" s="16"/>
      <c r="H509" s="18"/>
      <c r="I509" s="27" t="str">
        <f>IFERROR(VLOOKUP(Tabulka2[[#This Row],[Pracovník]],DATA!A:L,11,0),"")</f>
        <v>DSC 2</v>
      </c>
      <c r="J509" s="16"/>
      <c r="K509" s="19"/>
    </row>
    <row r="510" spans="1:11" x14ac:dyDescent="0.25">
      <c r="A5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10" s="22">
        <v>45926</v>
      </c>
      <c r="C510" s="16" t="s">
        <v>96</v>
      </c>
      <c r="D510" s="16" t="s">
        <v>764</v>
      </c>
      <c r="E510" s="17">
        <f>IFERROR(VLOOKUP(Tabulka2[[#This Row],[Pracovník]],DATA!A:L,5,0),"")</f>
        <v>3063</v>
      </c>
      <c r="F510" s="12" t="s">
        <v>654</v>
      </c>
      <c r="G510" s="16"/>
      <c r="H510" s="18"/>
      <c r="I510" s="27" t="str">
        <f>IFERROR(VLOOKUP(Tabulka2[[#This Row],[Pracovník]],DATA!A:L,11,0),"")</f>
        <v>DSC 2</v>
      </c>
      <c r="J510" s="16"/>
      <c r="K510" s="19"/>
    </row>
    <row r="511" spans="1:11" x14ac:dyDescent="0.25">
      <c r="A5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11" s="22">
        <v>45926</v>
      </c>
      <c r="C511" s="16" t="s">
        <v>96</v>
      </c>
      <c r="D511" s="16" t="s">
        <v>765</v>
      </c>
      <c r="E511" s="17">
        <f>IFERROR(VLOOKUP(Tabulka2[[#This Row],[Pracovník]],DATA!A:L,5,0),"")</f>
        <v>5853</v>
      </c>
      <c r="F511" s="12" t="s">
        <v>640</v>
      </c>
      <c r="G511" s="16"/>
      <c r="H511" s="18"/>
      <c r="I511" s="27" t="str">
        <f>IFERROR(VLOOKUP(Tabulka2[[#This Row],[Pracovník]],DATA!A:L,11,0),"")</f>
        <v>DSC 2</v>
      </c>
      <c r="J511" s="16"/>
      <c r="K511" s="19"/>
    </row>
    <row r="512" spans="1:11" x14ac:dyDescent="0.25">
      <c r="A5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12" s="22">
        <v>45926</v>
      </c>
      <c r="C512" s="16" t="s">
        <v>96</v>
      </c>
      <c r="D512" s="16" t="s">
        <v>766</v>
      </c>
      <c r="E512" s="17">
        <f>IFERROR(VLOOKUP(Tabulka2[[#This Row],[Pracovník]],DATA!A:L,5,0),"")</f>
        <v>6408</v>
      </c>
      <c r="F512" s="12" t="s">
        <v>655</v>
      </c>
      <c r="G512" s="16"/>
      <c r="H512" s="18"/>
      <c r="I512" s="27" t="str">
        <f>IFERROR(VLOOKUP(Tabulka2[[#This Row],[Pracovník]],DATA!A:L,11,0),"")</f>
        <v>Vlastní auto</v>
      </c>
      <c r="J512" s="16"/>
      <c r="K512" s="19"/>
    </row>
    <row r="513" spans="1:11" x14ac:dyDescent="0.25">
      <c r="A5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13" s="22">
        <v>45926</v>
      </c>
      <c r="C513" s="16" t="s">
        <v>96</v>
      </c>
      <c r="D513" s="16" t="s">
        <v>767</v>
      </c>
      <c r="E513" s="17">
        <f>IFERROR(VLOOKUP(Tabulka2[[#This Row],[Pracovník]],DATA!A:L,5,0),"")</f>
        <v>6544</v>
      </c>
      <c r="F513" s="12" t="s">
        <v>640</v>
      </c>
      <c r="G513" s="16"/>
      <c r="H513" s="18"/>
      <c r="I513" s="27" t="str">
        <f>IFERROR(VLOOKUP(Tabulka2[[#This Row],[Pracovník]],DATA!A:L,11,0),"")</f>
        <v>DSC 1</v>
      </c>
      <c r="J513" s="16"/>
      <c r="K513" s="19"/>
    </row>
    <row r="514" spans="1:11" x14ac:dyDescent="0.25">
      <c r="A5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14" s="22">
        <v>45926</v>
      </c>
      <c r="C514" s="16" t="s">
        <v>96</v>
      </c>
      <c r="D514" s="16" t="s">
        <v>987</v>
      </c>
      <c r="E514" s="17">
        <f>IFERROR(VLOOKUP(Tabulka2[[#This Row],[Pracovník]],DATA!A:L,5,0),"")</f>
        <v>6492</v>
      </c>
      <c r="F514" s="12" t="s">
        <v>640</v>
      </c>
      <c r="G514" s="16"/>
      <c r="H514" s="18"/>
      <c r="I514" s="27" t="str">
        <f>IFERROR(VLOOKUP(Tabulka2[[#This Row],[Pracovník]],DATA!A:L,11,0),"")</f>
        <v>DSC 2</v>
      </c>
      <c r="J514" s="16"/>
      <c r="K514" s="19"/>
    </row>
    <row r="515" spans="1:11" x14ac:dyDescent="0.25">
      <c r="A5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15" s="22">
        <v>45926</v>
      </c>
      <c r="C515" s="16" t="s">
        <v>96</v>
      </c>
      <c r="D515" s="16" t="s">
        <v>988</v>
      </c>
      <c r="E515" s="17">
        <f>IFERROR(VLOOKUP(Tabulka2[[#This Row],[Pracovník]],DATA!A:L,5,0),"")</f>
        <v>6452</v>
      </c>
      <c r="F515" s="12" t="s">
        <v>654</v>
      </c>
      <c r="G515" s="16"/>
      <c r="H515" s="18"/>
      <c r="I515" s="27" t="str">
        <f>IFERROR(VLOOKUP(Tabulka2[[#This Row],[Pracovník]],DATA!A:L,11,0),"")</f>
        <v>DSC 1</v>
      </c>
      <c r="J515" s="16"/>
      <c r="K515" s="19" t="s">
        <v>1004</v>
      </c>
    </row>
    <row r="516" spans="1:11" x14ac:dyDescent="0.25">
      <c r="A5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16" s="22">
        <v>45926</v>
      </c>
      <c r="C516" s="16" t="s">
        <v>96</v>
      </c>
      <c r="D516" s="16" t="s">
        <v>989</v>
      </c>
      <c r="E516" s="17">
        <f>IFERROR(VLOOKUP(Tabulka2[[#This Row],[Pracovník]],DATA!A:L,5,0),"")</f>
        <v>6546</v>
      </c>
      <c r="F516" s="12" t="s">
        <v>640</v>
      </c>
      <c r="G516" s="16"/>
      <c r="H516" s="18"/>
      <c r="I516" s="27" t="str">
        <f>IFERROR(VLOOKUP(Tabulka2[[#This Row],[Pracovník]],DATA!A:L,11,0),"")</f>
        <v>DSC 2</v>
      </c>
      <c r="J516" s="16"/>
      <c r="K516" s="19" t="s">
        <v>1004</v>
      </c>
    </row>
    <row r="517" spans="1:11" x14ac:dyDescent="0.25">
      <c r="A5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17" s="22">
        <v>45926</v>
      </c>
      <c r="C517" s="16" t="s">
        <v>96</v>
      </c>
      <c r="D517" s="16" t="s">
        <v>769</v>
      </c>
      <c r="E517" s="17">
        <f>IFERROR(VLOOKUP(Tabulka2[[#This Row],[Pracovník]],DATA!A:L,5,0),"")</f>
        <v>0</v>
      </c>
      <c r="F517" s="12" t="s">
        <v>655</v>
      </c>
      <c r="G517" s="16"/>
      <c r="H517" s="18"/>
      <c r="I517" s="27" t="str">
        <f>IFERROR(VLOOKUP(Tabulka2[[#This Row],[Pracovník]],DATA!A:L,11,0),"")</f>
        <v>DSC 2</v>
      </c>
      <c r="J517" s="16"/>
      <c r="K517" s="19"/>
    </row>
    <row r="518" spans="1:11" x14ac:dyDescent="0.25">
      <c r="A5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18" s="22">
        <v>45926</v>
      </c>
      <c r="C518" s="16" t="s">
        <v>96</v>
      </c>
      <c r="D518" s="16" t="s">
        <v>990</v>
      </c>
      <c r="E518" s="17">
        <f>IFERROR(VLOOKUP(Tabulka2[[#This Row],[Pracovník]],DATA!A:L,5,0),"")</f>
        <v>6175</v>
      </c>
      <c r="F518" s="12" t="s">
        <v>653</v>
      </c>
      <c r="G518" s="16" t="s">
        <v>657</v>
      </c>
      <c r="H518" s="18"/>
      <c r="I518" s="27" t="str">
        <f>IFERROR(VLOOKUP(Tabulka2[[#This Row],[Pracovník]],DATA!A:L,11,0),"")</f>
        <v>DSC 2</v>
      </c>
      <c r="J518" s="16"/>
      <c r="K518" s="19" t="s">
        <v>1003</v>
      </c>
    </row>
    <row r="519" spans="1:11" x14ac:dyDescent="0.25">
      <c r="A5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19" s="22">
        <v>45926</v>
      </c>
      <c r="C519" s="16" t="s">
        <v>96</v>
      </c>
      <c r="D519" s="16" t="s">
        <v>770</v>
      </c>
      <c r="E519" s="17">
        <f>IFERROR(VLOOKUP(Tabulka2[[#This Row],[Pracovník]],DATA!A:L,5,0),"")</f>
        <v>6152</v>
      </c>
      <c r="F519" s="12" t="s">
        <v>655</v>
      </c>
      <c r="G519" s="16"/>
      <c r="H519" s="18"/>
      <c r="I519" s="27" t="str">
        <f>IFERROR(VLOOKUP(Tabulka2[[#This Row],[Pracovník]],DATA!A:L,11,0),"")</f>
        <v>DSC 2</v>
      </c>
      <c r="J519" s="16"/>
      <c r="K519" s="19"/>
    </row>
    <row r="520" spans="1:11" x14ac:dyDescent="0.25">
      <c r="A5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20" s="22">
        <v>45926</v>
      </c>
      <c r="C520" s="16" t="s">
        <v>96</v>
      </c>
      <c r="D520" s="16" t="s">
        <v>771</v>
      </c>
      <c r="E520" s="17">
        <f>IFERROR(VLOOKUP(Tabulka2[[#This Row],[Pracovník]],DATA!A:L,5,0),"")</f>
        <v>6558</v>
      </c>
      <c r="F520" s="12" t="s">
        <v>640</v>
      </c>
      <c r="G520" s="16"/>
      <c r="H520" s="18"/>
      <c r="I520" s="27" t="str">
        <f>IFERROR(VLOOKUP(Tabulka2[[#This Row],[Pracovník]],DATA!A:L,11,0),"")</f>
        <v>DSC 1</v>
      </c>
      <c r="J520" s="16"/>
      <c r="K520" s="19"/>
    </row>
    <row r="521" spans="1:11" x14ac:dyDescent="0.25">
      <c r="A5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21" s="22">
        <v>45926</v>
      </c>
      <c r="C521" s="16" t="s">
        <v>96</v>
      </c>
      <c r="D521" s="16" t="s">
        <v>991</v>
      </c>
      <c r="E521" s="17">
        <f>IFERROR(VLOOKUP(Tabulka2[[#This Row],[Pracovník]],DATA!A:L,5,0),"")</f>
        <v>0</v>
      </c>
      <c r="F521" s="12" t="s">
        <v>653</v>
      </c>
      <c r="G521" s="16" t="s">
        <v>657</v>
      </c>
      <c r="H521" s="18"/>
      <c r="I521" s="27" t="str">
        <f>IFERROR(VLOOKUP(Tabulka2[[#This Row],[Pracovník]],DATA!A:L,11,0),"")</f>
        <v>Vlastní auto</v>
      </c>
      <c r="J521" s="16"/>
      <c r="K521" s="19"/>
    </row>
    <row r="522" spans="1:11" x14ac:dyDescent="0.25">
      <c r="A5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22" s="22">
        <v>45926</v>
      </c>
      <c r="C522" s="16" t="s">
        <v>96</v>
      </c>
      <c r="D522" s="16" t="s">
        <v>771</v>
      </c>
      <c r="E522" s="17">
        <f>IFERROR(VLOOKUP(Tabulka2[[#This Row],[Pracovník]],DATA!A:L,5,0),"")</f>
        <v>6558</v>
      </c>
      <c r="F522" s="12" t="s">
        <v>655</v>
      </c>
      <c r="G522" s="16"/>
      <c r="H522" s="18"/>
      <c r="I522" s="27" t="str">
        <f>IFERROR(VLOOKUP(Tabulka2[[#This Row],[Pracovník]],DATA!A:L,11,0),"")</f>
        <v>DSC 1</v>
      </c>
      <c r="J522" s="16"/>
      <c r="K522" s="19"/>
    </row>
    <row r="523" spans="1:11" x14ac:dyDescent="0.25">
      <c r="A5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23" s="22">
        <v>45926</v>
      </c>
      <c r="C523" s="16" t="s">
        <v>28</v>
      </c>
      <c r="D523" s="16" t="s">
        <v>646</v>
      </c>
      <c r="E523" s="17">
        <f>IFERROR(VLOOKUP(Tabulka2[[#This Row],[Pracovník]],DATA!A:L,5,0),"")</f>
        <v>6537</v>
      </c>
      <c r="F523" s="12" t="s">
        <v>640</v>
      </c>
      <c r="G523" s="16"/>
      <c r="H523" s="18"/>
      <c r="I523" s="27" t="str">
        <f>IFERROR(VLOOKUP(Tabulka2[[#This Row],[Pracovník]],DATA!A:L,11,0),"")</f>
        <v>DSC 2</v>
      </c>
      <c r="J523" s="16"/>
      <c r="K523" s="19"/>
    </row>
    <row r="524" spans="1:11" x14ac:dyDescent="0.25">
      <c r="A5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24" s="22">
        <v>45926</v>
      </c>
      <c r="C524" s="16" t="s">
        <v>28</v>
      </c>
      <c r="D524" s="16" t="s">
        <v>648</v>
      </c>
      <c r="E524" s="17">
        <f>IFERROR(VLOOKUP(Tabulka2[[#This Row],[Pracovník]],DATA!A:L,5,0),"")</f>
        <v>5802</v>
      </c>
      <c r="F524" s="12" t="s">
        <v>655</v>
      </c>
      <c r="G524" s="16"/>
      <c r="H524" s="18"/>
      <c r="I524" s="27" t="str">
        <f>IFERROR(VLOOKUP(Tabulka2[[#This Row],[Pracovník]],DATA!A:L,11,0),"")</f>
        <v>Vlastní auto</v>
      </c>
      <c r="J524" s="16"/>
      <c r="K524" s="19"/>
    </row>
    <row r="525" spans="1:11" x14ac:dyDescent="0.25">
      <c r="A5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25" s="22">
        <v>45926</v>
      </c>
      <c r="C525" s="16" t="s">
        <v>28</v>
      </c>
      <c r="D525" s="16" t="s">
        <v>772</v>
      </c>
      <c r="E525" s="17">
        <f>IFERROR(VLOOKUP(Tabulka2[[#This Row],[Pracovník]],DATA!A:L,5,0),"")</f>
        <v>4869</v>
      </c>
      <c r="F525" s="12" t="s">
        <v>654</v>
      </c>
      <c r="G525" s="16"/>
      <c r="H525" s="18"/>
      <c r="I525" s="27" t="str">
        <f>IFERROR(VLOOKUP(Tabulka2[[#This Row],[Pracovník]],DATA!A:L,11,0),"")</f>
        <v>Vlastní auto</v>
      </c>
      <c r="J525" s="16"/>
      <c r="K525" s="19"/>
    </row>
    <row r="526" spans="1:11" x14ac:dyDescent="0.25">
      <c r="A5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26" s="22">
        <v>45926</v>
      </c>
      <c r="C526" s="16" t="s">
        <v>28</v>
      </c>
      <c r="D526" s="16" t="s">
        <v>773</v>
      </c>
      <c r="E526" s="17">
        <f>IFERROR(VLOOKUP(Tabulka2[[#This Row],[Pracovník]],DATA!A:L,5,0),"")</f>
        <v>6508</v>
      </c>
      <c r="F526" s="12" t="s">
        <v>640</v>
      </c>
      <c r="G526" s="16"/>
      <c r="H526" s="18"/>
      <c r="I526" s="27" t="str">
        <f>IFERROR(VLOOKUP(Tabulka2[[#This Row],[Pracovník]],DATA!A:L,11,0),"")</f>
        <v>Vlastní auto</v>
      </c>
      <c r="J526" s="16"/>
      <c r="K526" s="19"/>
    </row>
    <row r="527" spans="1:11" x14ac:dyDescent="0.25">
      <c r="A5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27" s="22">
        <v>45926</v>
      </c>
      <c r="C527" s="16" t="s">
        <v>28</v>
      </c>
      <c r="D527" s="16" t="s">
        <v>774</v>
      </c>
      <c r="E527" s="17">
        <f>IFERROR(VLOOKUP(Tabulka2[[#This Row],[Pracovník]],DATA!A:L,5,0),"")</f>
        <v>4607</v>
      </c>
      <c r="F527" s="12" t="s">
        <v>655</v>
      </c>
      <c r="G527" s="16"/>
      <c r="H527" s="18"/>
      <c r="I527" s="27" t="str">
        <f>IFERROR(VLOOKUP(Tabulka2[[#This Row],[Pracovník]],DATA!A:L,11,0),"")</f>
        <v>DSC 2</v>
      </c>
      <c r="J527" s="16"/>
      <c r="K527" s="19"/>
    </row>
    <row r="528" spans="1:11" x14ac:dyDescent="0.25">
      <c r="A5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28" s="22">
        <v>45926</v>
      </c>
      <c r="C528" s="16" t="s">
        <v>28</v>
      </c>
      <c r="D528" s="16" t="s">
        <v>775</v>
      </c>
      <c r="E528" s="17">
        <f>IFERROR(VLOOKUP(Tabulka2[[#This Row],[Pracovník]],DATA!A:L,5,0),"")</f>
        <v>5047</v>
      </c>
      <c r="F528" s="12" t="s">
        <v>654</v>
      </c>
      <c r="G528" s="16"/>
      <c r="H528" s="18"/>
      <c r="I528" s="27" t="str">
        <f>IFERROR(VLOOKUP(Tabulka2[[#This Row],[Pracovník]],DATA!A:L,11,0),"")</f>
        <v>Vlastní auto</v>
      </c>
      <c r="J528" s="16"/>
      <c r="K528" s="19"/>
    </row>
    <row r="529" spans="1:11" x14ac:dyDescent="0.25">
      <c r="A5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29" s="22">
        <v>45926</v>
      </c>
      <c r="C529" s="16" t="s">
        <v>28</v>
      </c>
      <c r="D529" s="16" t="s">
        <v>777</v>
      </c>
      <c r="E529" s="17">
        <f>IFERROR(VLOOKUP(Tabulka2[[#This Row],[Pracovník]],DATA!A:L,5,0),"")</f>
        <v>4616</v>
      </c>
      <c r="F529" s="12" t="s">
        <v>655</v>
      </c>
      <c r="G529" s="16"/>
      <c r="H529" s="18"/>
      <c r="I529" s="27" t="str">
        <f>IFERROR(VLOOKUP(Tabulka2[[#This Row],[Pracovník]],DATA!A:L,11,0),"")</f>
        <v>Vlastní auto</v>
      </c>
      <c r="J529" s="16"/>
      <c r="K529" s="19"/>
    </row>
    <row r="530" spans="1:11" x14ac:dyDescent="0.25">
      <c r="A5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30" s="22">
        <v>45926</v>
      </c>
      <c r="C530" s="16" t="s">
        <v>28</v>
      </c>
      <c r="D530" s="16" t="s">
        <v>776</v>
      </c>
      <c r="E530" s="17">
        <f>IFERROR(VLOOKUP(Tabulka2[[#This Row],[Pracovník]],DATA!A:L,5,0),"")</f>
        <v>4961</v>
      </c>
      <c r="F530" s="12" t="s">
        <v>640</v>
      </c>
      <c r="G530" s="16"/>
      <c r="H530" s="18"/>
      <c r="I530" s="27" t="str">
        <f>IFERROR(VLOOKUP(Tabulka2[[#This Row],[Pracovník]],DATA!A:L,11,0),"")</f>
        <v>Vlastní auto</v>
      </c>
      <c r="J530" s="16"/>
      <c r="K530" s="19"/>
    </row>
    <row r="531" spans="1:11" x14ac:dyDescent="0.25">
      <c r="A5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31" s="22">
        <v>45926</v>
      </c>
      <c r="C531" s="16" t="s">
        <v>28</v>
      </c>
      <c r="D531" s="16" t="s">
        <v>778</v>
      </c>
      <c r="E531" s="17">
        <f>IFERROR(VLOOKUP(Tabulka2[[#This Row],[Pracovník]],DATA!A:L,5,0),"")</f>
        <v>4721</v>
      </c>
      <c r="F531" s="12" t="s">
        <v>640</v>
      </c>
      <c r="G531" s="16"/>
      <c r="H531" s="18"/>
      <c r="I531" s="27" t="str">
        <f>IFERROR(VLOOKUP(Tabulka2[[#This Row],[Pracovník]],DATA!A:L,11,0),"")</f>
        <v>DSC 2</v>
      </c>
      <c r="J531" s="16"/>
      <c r="K531" s="19"/>
    </row>
    <row r="532" spans="1:11" x14ac:dyDescent="0.25">
      <c r="A5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32" s="22">
        <v>45926</v>
      </c>
      <c r="C532" s="16" t="s">
        <v>28</v>
      </c>
      <c r="D532" s="16" t="s">
        <v>779</v>
      </c>
      <c r="E532" s="17">
        <f>IFERROR(VLOOKUP(Tabulka2[[#This Row],[Pracovník]],DATA!A:L,5,0),"")</f>
        <v>4845</v>
      </c>
      <c r="F532" s="12" t="s">
        <v>640</v>
      </c>
      <c r="G532" s="16"/>
      <c r="H532" s="18"/>
      <c r="I532" s="27" t="str">
        <f>IFERROR(VLOOKUP(Tabulka2[[#This Row],[Pracovník]],DATA!A:L,11,0),"")</f>
        <v>Vlastní auto</v>
      </c>
      <c r="J532" s="16"/>
      <c r="K532" s="19"/>
    </row>
    <row r="533" spans="1:11" x14ac:dyDescent="0.25">
      <c r="A5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33" s="22">
        <v>45926</v>
      </c>
      <c r="C533" s="16" t="s">
        <v>28</v>
      </c>
      <c r="D533" s="16" t="s">
        <v>780</v>
      </c>
      <c r="E533" s="17">
        <f>IFERROR(VLOOKUP(Tabulka2[[#This Row],[Pracovník]],DATA!A:L,5,0),"")</f>
        <v>47</v>
      </c>
      <c r="F533" s="12" t="s">
        <v>640</v>
      </c>
      <c r="G533" s="16"/>
      <c r="H533" s="18"/>
      <c r="I533" s="27" t="str">
        <f>IFERROR(VLOOKUP(Tabulka2[[#This Row],[Pracovník]],DATA!A:L,11,0),"")</f>
        <v>DSC 1</v>
      </c>
      <c r="J533" s="16"/>
      <c r="K533" s="19"/>
    </row>
    <row r="534" spans="1:11" x14ac:dyDescent="0.25">
      <c r="A5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34" s="22">
        <v>45926</v>
      </c>
      <c r="C534" s="16" t="s">
        <v>28</v>
      </c>
      <c r="D534" s="16" t="s">
        <v>792</v>
      </c>
      <c r="E534" s="17">
        <f>IFERROR(VLOOKUP(Tabulka2[[#This Row],[Pracovník]],DATA!A:L,5,0),"")</f>
        <v>6332</v>
      </c>
      <c r="F534" s="12" t="s">
        <v>653</v>
      </c>
      <c r="G534" s="16" t="s">
        <v>916</v>
      </c>
      <c r="H534" s="18"/>
      <c r="I534" s="27" t="str">
        <f>IFERROR(VLOOKUP(Tabulka2[[#This Row],[Pracovník]],DATA!A:L,11,0),"")</f>
        <v>Vlastní auto</v>
      </c>
      <c r="J534" s="16"/>
      <c r="K534" s="19"/>
    </row>
    <row r="535" spans="1:11" x14ac:dyDescent="0.25">
      <c r="A5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35" s="22">
        <v>45926</v>
      </c>
      <c r="C535" s="16" t="s">
        <v>28</v>
      </c>
      <c r="D535" s="16" t="s">
        <v>793</v>
      </c>
      <c r="E535" s="17">
        <f>IFERROR(VLOOKUP(Tabulka2[[#This Row],[Pracovník]],DATA!A:L,5,0),"")</f>
        <v>4871</v>
      </c>
      <c r="F535" s="12" t="s">
        <v>653</v>
      </c>
      <c r="G535" s="16" t="s">
        <v>916</v>
      </c>
      <c r="H535" s="18"/>
      <c r="I535" s="27" t="str">
        <f>IFERROR(VLOOKUP(Tabulka2[[#This Row],[Pracovník]],DATA!A:L,11,0),"")</f>
        <v>Vlastní auto</v>
      </c>
      <c r="J535" s="16"/>
      <c r="K535" s="19"/>
    </row>
    <row r="536" spans="1:11" x14ac:dyDescent="0.25">
      <c r="A5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36" s="22">
        <v>45926</v>
      </c>
      <c r="C536" s="16" t="s">
        <v>28</v>
      </c>
      <c r="D536" s="16" t="s">
        <v>794</v>
      </c>
      <c r="E536" s="17">
        <f>IFERROR(VLOOKUP(Tabulka2[[#This Row],[Pracovník]],DATA!A:L,5,0),"")</f>
        <v>4755</v>
      </c>
      <c r="F536" s="12" t="s">
        <v>655</v>
      </c>
      <c r="G536" s="16"/>
      <c r="H536" s="18"/>
      <c r="I536" s="27" t="str">
        <f>IFERROR(VLOOKUP(Tabulka2[[#This Row],[Pracovník]],DATA!A:L,11,0),"")</f>
        <v>DSC 2</v>
      </c>
      <c r="J536" s="16"/>
      <c r="K536" s="19"/>
    </row>
    <row r="537" spans="1:11" x14ac:dyDescent="0.25">
      <c r="A5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37" s="22">
        <v>45926</v>
      </c>
      <c r="C537" s="16" t="s">
        <v>28</v>
      </c>
      <c r="D537" s="16" t="s">
        <v>781</v>
      </c>
      <c r="E537" s="17">
        <f>IFERROR(VLOOKUP(Tabulka2[[#This Row],[Pracovník]],DATA!A:L,5,0),"")</f>
        <v>49</v>
      </c>
      <c r="F537" s="12" t="s">
        <v>654</v>
      </c>
      <c r="G537" s="16"/>
      <c r="H537" s="18"/>
      <c r="I537" s="27" t="str">
        <f>IFERROR(VLOOKUP(Tabulka2[[#This Row],[Pracovník]],DATA!A:L,11,0),"")</f>
        <v>DSC 2</v>
      </c>
      <c r="J537" s="16"/>
      <c r="K537" s="19"/>
    </row>
    <row r="538" spans="1:11" x14ac:dyDescent="0.25">
      <c r="A5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38" s="22">
        <v>45926</v>
      </c>
      <c r="C538" s="16" t="s">
        <v>28</v>
      </c>
      <c r="D538" s="16" t="s">
        <v>782</v>
      </c>
      <c r="E538" s="17">
        <f>IFERROR(VLOOKUP(Tabulka2[[#This Row],[Pracovník]],DATA!A:L,5,0),"")</f>
        <v>5839</v>
      </c>
      <c r="F538" s="12" t="s">
        <v>654</v>
      </c>
      <c r="G538" s="16"/>
      <c r="H538" s="18"/>
      <c r="I538" s="27" t="str">
        <f>IFERROR(VLOOKUP(Tabulka2[[#This Row],[Pracovník]],DATA!A:L,11,0),"")</f>
        <v>DSC 1</v>
      </c>
      <c r="J538" s="16"/>
      <c r="K538" s="19"/>
    </row>
    <row r="539" spans="1:11" x14ac:dyDescent="0.25">
      <c r="A5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39" s="22">
        <v>45926</v>
      </c>
      <c r="C539" s="16" t="s">
        <v>28</v>
      </c>
      <c r="D539" s="16" t="s">
        <v>783</v>
      </c>
      <c r="E539" s="17">
        <f>IFERROR(VLOOKUP(Tabulka2[[#This Row],[Pracovník]],DATA!A:L,5,0),"")</f>
        <v>6487</v>
      </c>
      <c r="F539" s="12" t="s">
        <v>655</v>
      </c>
      <c r="G539" s="16"/>
      <c r="H539" s="18"/>
      <c r="I539" s="27" t="str">
        <f>IFERROR(VLOOKUP(Tabulka2[[#This Row],[Pracovník]],DATA!A:L,11,0),"")</f>
        <v>DSC 1</v>
      </c>
      <c r="J539" s="16"/>
      <c r="K539" s="19"/>
    </row>
    <row r="540" spans="1:11" x14ac:dyDescent="0.25">
      <c r="A5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40" s="22">
        <v>45926</v>
      </c>
      <c r="C540" s="16" t="s">
        <v>28</v>
      </c>
      <c r="D540" s="16" t="s">
        <v>784</v>
      </c>
      <c r="E540" s="17">
        <f>IFERROR(VLOOKUP(Tabulka2[[#This Row],[Pracovník]],DATA!A:L,5,0),"")</f>
        <v>6292</v>
      </c>
      <c r="F540" s="12" t="s">
        <v>654</v>
      </c>
      <c r="G540" s="16"/>
      <c r="H540" s="18"/>
      <c r="I540" s="27" t="str">
        <f>IFERROR(VLOOKUP(Tabulka2[[#This Row],[Pracovník]],DATA!A:L,11,0),"")</f>
        <v>Vlastní auto</v>
      </c>
      <c r="J540" s="16"/>
      <c r="K540" s="19"/>
    </row>
    <row r="541" spans="1:11" x14ac:dyDescent="0.25">
      <c r="A5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41" s="22">
        <v>45926</v>
      </c>
      <c r="C541" s="16" t="s">
        <v>28</v>
      </c>
      <c r="D541" s="16" t="s">
        <v>788</v>
      </c>
      <c r="E541" s="17">
        <f>IFERROR(VLOOKUP(Tabulka2[[#This Row],[Pracovník]],DATA!A:L,5,0),"")</f>
        <v>5198</v>
      </c>
      <c r="F541" s="12" t="s">
        <v>655</v>
      </c>
      <c r="G541" s="16"/>
      <c r="H541" s="18"/>
      <c r="I541" s="27" t="str">
        <f>IFERROR(VLOOKUP(Tabulka2[[#This Row],[Pracovník]],DATA!A:L,11,0),"")</f>
        <v>Vlastní auto</v>
      </c>
      <c r="J541" s="16"/>
      <c r="K541" s="19"/>
    </row>
    <row r="542" spans="1:11" x14ac:dyDescent="0.25">
      <c r="A5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42" s="22">
        <v>45926</v>
      </c>
      <c r="C542" s="16" t="s">
        <v>28</v>
      </c>
      <c r="D542" s="16" t="s">
        <v>789</v>
      </c>
      <c r="E542" s="17">
        <f>IFERROR(VLOOKUP(Tabulka2[[#This Row],[Pracovník]],DATA!A:L,5,0),"")</f>
        <v>6368</v>
      </c>
      <c r="F542" s="12" t="s">
        <v>654</v>
      </c>
      <c r="G542" s="16"/>
      <c r="H542" s="18"/>
      <c r="I542" s="27" t="str">
        <f>IFERROR(VLOOKUP(Tabulka2[[#This Row],[Pracovník]],DATA!A:L,11,0),"")</f>
        <v>Vlastní auto</v>
      </c>
      <c r="J542" s="16"/>
      <c r="K542" s="19"/>
    </row>
    <row r="543" spans="1:11" x14ac:dyDescent="0.25">
      <c r="A5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43" s="22">
        <v>45926</v>
      </c>
      <c r="C543" s="16" t="s">
        <v>28</v>
      </c>
      <c r="D543" s="16" t="s">
        <v>786</v>
      </c>
      <c r="E543" s="17">
        <f>IFERROR(VLOOKUP(Tabulka2[[#This Row],[Pracovník]],DATA!A:L,5,0),"")</f>
        <v>5595</v>
      </c>
      <c r="F543" s="12" t="s">
        <v>640</v>
      </c>
      <c r="G543" s="16"/>
      <c r="H543" s="18"/>
      <c r="I543" s="27" t="str">
        <f>IFERROR(VLOOKUP(Tabulka2[[#This Row],[Pracovník]],DATA!A:L,11,0),"")</f>
        <v>DSC 2</v>
      </c>
      <c r="J543" s="16"/>
      <c r="K543" s="19"/>
    </row>
    <row r="544" spans="1:11" x14ac:dyDescent="0.25">
      <c r="A5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44" s="22">
        <v>45926</v>
      </c>
      <c r="C544" s="16" t="s">
        <v>28</v>
      </c>
      <c r="D544" s="16" t="s">
        <v>795</v>
      </c>
      <c r="E544" s="17">
        <f>IFERROR(VLOOKUP(Tabulka2[[#This Row],[Pracovník]],DATA!A:L,5,0),"")</f>
        <v>4960</v>
      </c>
      <c r="F544" s="12" t="s">
        <v>654</v>
      </c>
      <c r="G544" s="16"/>
      <c r="H544" s="18"/>
      <c r="I544" s="27" t="str">
        <f>IFERROR(VLOOKUP(Tabulka2[[#This Row],[Pracovník]],DATA!A:L,11,0),"")</f>
        <v>DSC 1</v>
      </c>
      <c r="J544" s="16"/>
      <c r="K544" s="19"/>
    </row>
    <row r="545" spans="1:11" x14ac:dyDescent="0.25">
      <c r="A5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45" s="22">
        <v>45926</v>
      </c>
      <c r="C545" s="16" t="s">
        <v>28</v>
      </c>
      <c r="D545" s="16" t="s">
        <v>790</v>
      </c>
      <c r="E545" s="17">
        <f>IFERROR(VLOOKUP(Tabulka2[[#This Row],[Pracovník]],DATA!A:L,5,0),"")</f>
        <v>5125</v>
      </c>
      <c r="F545" s="12" t="s">
        <v>655</v>
      </c>
      <c r="G545" s="16"/>
      <c r="H545" s="18"/>
      <c r="I545" s="27" t="str">
        <f>IFERROR(VLOOKUP(Tabulka2[[#This Row],[Pracovník]],DATA!A:L,11,0),"")</f>
        <v>Vlastní auto</v>
      </c>
      <c r="J545" s="16"/>
      <c r="K545" s="19"/>
    </row>
    <row r="546" spans="1:11" x14ac:dyDescent="0.25">
      <c r="A5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46" s="22">
        <v>45926</v>
      </c>
      <c r="C546" s="16" t="s">
        <v>28</v>
      </c>
      <c r="D546" s="16" t="s">
        <v>791</v>
      </c>
      <c r="E546" s="17">
        <f>IFERROR(VLOOKUP(Tabulka2[[#This Row],[Pracovník]],DATA!A:L,5,0),"")</f>
        <v>6127</v>
      </c>
      <c r="F546" s="12" t="s">
        <v>655</v>
      </c>
      <c r="G546" s="16"/>
      <c r="H546" s="18"/>
      <c r="I546" s="27" t="str">
        <f>IFERROR(VLOOKUP(Tabulka2[[#This Row],[Pracovník]],DATA!A:L,11,0),"")</f>
        <v>DSC 2</v>
      </c>
      <c r="J546" s="16"/>
      <c r="K546" s="19"/>
    </row>
    <row r="547" spans="1:11" x14ac:dyDescent="0.25">
      <c r="A5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47" s="22">
        <v>45926</v>
      </c>
      <c r="C547" s="16" t="s">
        <v>28</v>
      </c>
      <c r="D547" s="16" t="s">
        <v>796</v>
      </c>
      <c r="E547" s="17">
        <f>IFERROR(VLOOKUP(Tabulka2[[#This Row],[Pracovník]],DATA!A:L,5,0),"")</f>
        <v>5583</v>
      </c>
      <c r="F547" s="12" t="s">
        <v>654</v>
      </c>
      <c r="G547" s="16"/>
      <c r="H547" s="18"/>
      <c r="I547" s="27" t="str">
        <f>IFERROR(VLOOKUP(Tabulka2[[#This Row],[Pracovník]],DATA!A:L,11,0),"")</f>
        <v>DSC 2</v>
      </c>
      <c r="J547" s="16"/>
      <c r="K547" s="19"/>
    </row>
    <row r="548" spans="1:11" x14ac:dyDescent="0.25">
      <c r="A5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48" s="22">
        <v>45926</v>
      </c>
      <c r="C548" s="16" t="s">
        <v>28</v>
      </c>
      <c r="D548" s="16" t="s">
        <v>644</v>
      </c>
      <c r="E548" s="17">
        <f>IFERROR(VLOOKUP(Tabulka2[[#This Row],[Pracovník]],DATA!A:L,5,0),"")</f>
        <v>123</v>
      </c>
      <c r="F548" s="12" t="s">
        <v>655</v>
      </c>
      <c r="G548" s="16"/>
      <c r="H548" s="18"/>
      <c r="I548" s="27" t="str">
        <f>IFERROR(VLOOKUP(Tabulka2[[#This Row],[Pracovník]],DATA!A:L,11,0),"")</f>
        <v>DSC 1</v>
      </c>
      <c r="J548" s="16"/>
      <c r="K548" s="19"/>
    </row>
    <row r="549" spans="1:11" x14ac:dyDescent="0.25">
      <c r="A5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49" s="22">
        <v>45926</v>
      </c>
      <c r="C549" s="16" t="s">
        <v>28</v>
      </c>
      <c r="D549" s="16" t="s">
        <v>797</v>
      </c>
      <c r="E549" s="17">
        <f>IFERROR(VLOOKUP(Tabulka2[[#This Row],[Pracovník]],DATA!A:L,5,0),"")</f>
        <v>5525</v>
      </c>
      <c r="F549" s="12" t="s">
        <v>653</v>
      </c>
      <c r="G549" s="16" t="s">
        <v>656</v>
      </c>
      <c r="H549" s="18"/>
      <c r="I549" s="27" t="str">
        <f>IFERROR(VLOOKUP(Tabulka2[[#This Row],[Pracovník]],DATA!A:L,11,0),"")</f>
        <v>Vlastní auto</v>
      </c>
      <c r="J549" s="16"/>
      <c r="K549" s="19"/>
    </row>
    <row r="550" spans="1:11" x14ac:dyDescent="0.25">
      <c r="A5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50" s="22">
        <v>45926</v>
      </c>
      <c r="C550" s="16" t="s">
        <v>28</v>
      </c>
      <c r="D550" s="16" t="s">
        <v>798</v>
      </c>
      <c r="E550" s="17">
        <f>IFERROR(VLOOKUP(Tabulka2[[#This Row],[Pracovník]],DATA!A:L,5,0),"")</f>
        <v>126</v>
      </c>
      <c r="F550" s="12" t="s">
        <v>640</v>
      </c>
      <c r="G550" s="16"/>
      <c r="H550" s="18"/>
      <c r="I550" s="27" t="str">
        <f>IFERROR(VLOOKUP(Tabulka2[[#This Row],[Pracovník]],DATA!A:L,11,0),"")</f>
        <v>Vlastní auto</v>
      </c>
      <c r="J550" s="16"/>
      <c r="K550" s="19"/>
    </row>
    <row r="551" spans="1:11" x14ac:dyDescent="0.25">
      <c r="A5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51" s="22">
        <v>45926</v>
      </c>
      <c r="C551" s="16" t="s">
        <v>28</v>
      </c>
      <c r="D551" s="16" t="s">
        <v>799</v>
      </c>
      <c r="E551" s="17">
        <f>IFERROR(VLOOKUP(Tabulka2[[#This Row],[Pracovník]],DATA!A:L,5,0),"")</f>
        <v>127</v>
      </c>
      <c r="F551" s="12" t="s">
        <v>640</v>
      </c>
      <c r="G551" s="16"/>
      <c r="H551" s="18"/>
      <c r="I551" s="27" t="str">
        <f>IFERROR(VLOOKUP(Tabulka2[[#This Row],[Pracovník]],DATA!A:L,11,0),"")</f>
        <v>DSC 2</v>
      </c>
      <c r="J551" s="16"/>
      <c r="K551" s="19"/>
    </row>
    <row r="552" spans="1:11" x14ac:dyDescent="0.25">
      <c r="A5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52" s="22">
        <v>45926</v>
      </c>
      <c r="C552" s="16" t="s">
        <v>28</v>
      </c>
      <c r="D552" s="16" t="s">
        <v>800</v>
      </c>
      <c r="E552" s="17">
        <f>IFERROR(VLOOKUP(Tabulka2[[#This Row],[Pracovník]],DATA!A:L,5,0),"")</f>
        <v>4847</v>
      </c>
      <c r="F552" s="12" t="s">
        <v>640</v>
      </c>
      <c r="G552" s="16"/>
      <c r="H552" s="18"/>
      <c r="I552" s="27" t="str">
        <f>IFERROR(VLOOKUP(Tabulka2[[#This Row],[Pracovník]],DATA!A:L,11,0),"")</f>
        <v>Vlastní auto</v>
      </c>
      <c r="J552" s="16"/>
      <c r="K552" s="19"/>
    </row>
    <row r="553" spans="1:11" x14ac:dyDescent="0.25">
      <c r="A5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53" s="22">
        <v>45926</v>
      </c>
      <c r="C553" s="16" t="s">
        <v>28</v>
      </c>
      <c r="D553" s="16" t="s">
        <v>801</v>
      </c>
      <c r="E553" s="17">
        <f>IFERROR(VLOOKUP(Tabulka2[[#This Row],[Pracovník]],DATA!A:L,5,0),"")</f>
        <v>750</v>
      </c>
      <c r="F553" s="12" t="s">
        <v>654</v>
      </c>
      <c r="G553" s="16"/>
      <c r="H553" s="18"/>
      <c r="I553" s="27" t="str">
        <f>IFERROR(VLOOKUP(Tabulka2[[#This Row],[Pracovník]],DATA!A:L,11,0),"")</f>
        <v>Vlastní auto</v>
      </c>
      <c r="J553" s="16"/>
      <c r="K553" s="19"/>
    </row>
    <row r="554" spans="1:11" x14ac:dyDescent="0.25">
      <c r="A5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54" s="22">
        <v>45926</v>
      </c>
      <c r="C554" s="16" t="s">
        <v>28</v>
      </c>
      <c r="D554" s="16" t="s">
        <v>802</v>
      </c>
      <c r="E554" s="17">
        <f>IFERROR(VLOOKUP(Tabulka2[[#This Row],[Pracovník]],DATA!A:L,5,0),"")</f>
        <v>4663</v>
      </c>
      <c r="F554" s="12" t="s">
        <v>655</v>
      </c>
      <c r="G554" s="16"/>
      <c r="H554" s="18"/>
      <c r="I554" s="27" t="str">
        <f>IFERROR(VLOOKUP(Tabulka2[[#This Row],[Pracovník]],DATA!A:L,11,0),"")</f>
        <v>DSC 2</v>
      </c>
      <c r="J554" s="16"/>
      <c r="K554" s="19"/>
    </row>
    <row r="555" spans="1:11" x14ac:dyDescent="0.25">
      <c r="A5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55" s="22">
        <v>45926</v>
      </c>
      <c r="C555" s="16" t="s">
        <v>28</v>
      </c>
      <c r="D555" s="16" t="s">
        <v>803</v>
      </c>
      <c r="E555" s="17">
        <f>IFERROR(VLOOKUP(Tabulka2[[#This Row],[Pracovník]],DATA!A:L,5,0),"")</f>
        <v>131</v>
      </c>
      <c r="F555" s="12" t="s">
        <v>640</v>
      </c>
      <c r="G555" s="16"/>
      <c r="H555" s="18"/>
      <c r="I555" s="27" t="str">
        <f>IFERROR(VLOOKUP(Tabulka2[[#This Row],[Pracovník]],DATA!A:L,11,0),"")</f>
        <v>DSC 2</v>
      </c>
      <c r="J555" s="16"/>
      <c r="K555" s="19"/>
    </row>
    <row r="556" spans="1:11" x14ac:dyDescent="0.25">
      <c r="A5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56" s="22">
        <v>45926</v>
      </c>
      <c r="C556" s="16" t="s">
        <v>28</v>
      </c>
      <c r="D556" s="16" t="s">
        <v>643</v>
      </c>
      <c r="E556" s="17">
        <f>IFERROR(VLOOKUP(Tabulka2[[#This Row],[Pracovník]],DATA!A:L,5,0),"")</f>
        <v>5620</v>
      </c>
      <c r="F556" s="12" t="s">
        <v>655</v>
      </c>
      <c r="G556" s="16"/>
      <c r="H556" s="18"/>
      <c r="I556" s="27" t="str">
        <f>IFERROR(VLOOKUP(Tabulka2[[#This Row],[Pracovník]],DATA!A:L,11,0),"")</f>
        <v>Vlastní auto</v>
      </c>
      <c r="J556" s="16"/>
      <c r="K556" s="19"/>
    </row>
    <row r="557" spans="1:11" x14ac:dyDescent="0.25">
      <c r="A5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57" s="22">
        <v>45926</v>
      </c>
      <c r="C557" s="16" t="s">
        <v>28</v>
      </c>
      <c r="D557" s="16" t="s">
        <v>804</v>
      </c>
      <c r="E557" s="17">
        <f>IFERROR(VLOOKUP(Tabulka2[[#This Row],[Pracovník]],DATA!A:L,5,0),"")</f>
        <v>4868</v>
      </c>
      <c r="F557" s="12" t="s">
        <v>640</v>
      </c>
      <c r="G557" s="16"/>
      <c r="H557" s="18"/>
      <c r="I557" s="27" t="str">
        <f>IFERROR(VLOOKUP(Tabulka2[[#This Row],[Pracovník]],DATA!A:L,11,0),"")</f>
        <v>Vlastní auto</v>
      </c>
      <c r="J557" s="16"/>
      <c r="K557" s="19"/>
    </row>
    <row r="558" spans="1:11" x14ac:dyDescent="0.25">
      <c r="A5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58" s="22">
        <v>45926</v>
      </c>
      <c r="C558" s="16" t="s">
        <v>28</v>
      </c>
      <c r="D558" s="16" t="s">
        <v>805</v>
      </c>
      <c r="E558" s="17">
        <f>IFERROR(VLOOKUP(Tabulka2[[#This Row],[Pracovník]],DATA!A:L,5,0),"")</f>
        <v>5026</v>
      </c>
      <c r="F558" s="12" t="s">
        <v>640</v>
      </c>
      <c r="G558" s="16"/>
      <c r="H558" s="18"/>
      <c r="I558" s="27" t="str">
        <f>IFERROR(VLOOKUP(Tabulka2[[#This Row],[Pracovník]],DATA!A:L,11,0),"")</f>
        <v>Vlastní auto</v>
      </c>
      <c r="J558" s="16"/>
      <c r="K558" s="19"/>
    </row>
    <row r="559" spans="1:11" x14ac:dyDescent="0.25">
      <c r="A5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59" s="22">
        <v>45926</v>
      </c>
      <c r="C559" s="16" t="s">
        <v>28</v>
      </c>
      <c r="D559" s="16" t="s">
        <v>806</v>
      </c>
      <c r="E559" s="17">
        <f>IFERROR(VLOOKUP(Tabulka2[[#This Row],[Pracovník]],DATA!A:L,5,0),"")</f>
        <v>6424</v>
      </c>
      <c r="F559" s="12" t="s">
        <v>654</v>
      </c>
      <c r="G559" s="16"/>
      <c r="H559" s="18"/>
      <c r="I559" s="27" t="str">
        <f>IFERROR(VLOOKUP(Tabulka2[[#This Row],[Pracovník]],DATA!A:L,11,0),"")</f>
        <v>DSC 1</v>
      </c>
      <c r="J559" s="16"/>
      <c r="K559" s="19"/>
    </row>
    <row r="560" spans="1:11" x14ac:dyDescent="0.25">
      <c r="A5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60" s="22">
        <v>45926</v>
      </c>
      <c r="C560" s="16" t="s">
        <v>28</v>
      </c>
      <c r="D560" s="16" t="s">
        <v>807</v>
      </c>
      <c r="E560" s="17">
        <f>IFERROR(VLOOKUP(Tabulka2[[#This Row],[Pracovník]],DATA!A:L,5,0),"")</f>
        <v>5004</v>
      </c>
      <c r="F560" s="12" t="s">
        <v>640</v>
      </c>
      <c r="G560" s="16"/>
      <c r="H560" s="18"/>
      <c r="I560" s="27" t="str">
        <f>IFERROR(VLOOKUP(Tabulka2[[#This Row],[Pracovník]],DATA!A:L,11,0),"")</f>
        <v>Vlastní auto</v>
      </c>
      <c r="J560" s="16"/>
      <c r="K560" s="19"/>
    </row>
    <row r="561" spans="1:11" x14ac:dyDescent="0.25">
      <c r="A5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61" s="22">
        <v>45926</v>
      </c>
      <c r="C561" s="16" t="s">
        <v>28</v>
      </c>
      <c r="D561" s="16" t="s">
        <v>808</v>
      </c>
      <c r="E561" s="17">
        <f>IFERROR(VLOOKUP(Tabulka2[[#This Row],[Pracovník]],DATA!A:L,5,0),"")</f>
        <v>136</v>
      </c>
      <c r="F561" s="12" t="s">
        <v>640</v>
      </c>
      <c r="G561" s="16"/>
      <c r="H561" s="18"/>
      <c r="I561" s="27" t="str">
        <f>IFERROR(VLOOKUP(Tabulka2[[#This Row],[Pracovník]],DATA!A:L,11,0),"")</f>
        <v>DSC 2</v>
      </c>
      <c r="J561" s="16"/>
      <c r="K561" s="19"/>
    </row>
    <row r="562" spans="1:11" x14ac:dyDescent="0.25">
      <c r="A5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62" s="22">
        <v>45926</v>
      </c>
      <c r="C562" s="16" t="s">
        <v>28</v>
      </c>
      <c r="D562" s="16" t="s">
        <v>809</v>
      </c>
      <c r="E562" s="17">
        <f>IFERROR(VLOOKUP(Tabulka2[[#This Row],[Pracovník]],DATA!A:L,5,0),"")</f>
        <v>19</v>
      </c>
      <c r="F562" s="12" t="s">
        <v>640</v>
      </c>
      <c r="G562" s="16"/>
      <c r="H562" s="18"/>
      <c r="I562" s="27" t="str">
        <f>IFERROR(VLOOKUP(Tabulka2[[#This Row],[Pracovník]],DATA!A:L,11,0),"")</f>
        <v>Vlastní auto</v>
      </c>
      <c r="J562" s="16"/>
      <c r="K562" s="19"/>
    </row>
    <row r="563" spans="1:11" x14ac:dyDescent="0.25">
      <c r="A5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63" s="22">
        <v>45926</v>
      </c>
      <c r="C563" s="16" t="s">
        <v>28</v>
      </c>
      <c r="D563" s="16" t="s">
        <v>810</v>
      </c>
      <c r="E563" s="17">
        <f>IFERROR(VLOOKUP(Tabulka2[[#This Row],[Pracovník]],DATA!A:L,5,0),"")</f>
        <v>4791</v>
      </c>
      <c r="F563" s="12" t="s">
        <v>640</v>
      </c>
      <c r="G563" s="16"/>
      <c r="H563" s="18"/>
      <c r="I563" s="27" t="str">
        <f>IFERROR(VLOOKUP(Tabulka2[[#This Row],[Pracovník]],DATA!A:L,11,0),"")</f>
        <v>Vlastní auto</v>
      </c>
      <c r="J563" s="16"/>
      <c r="K563" s="19"/>
    </row>
    <row r="564" spans="1:11" x14ac:dyDescent="0.25">
      <c r="A5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64" s="22">
        <v>45926</v>
      </c>
      <c r="C564" s="16" t="s">
        <v>28</v>
      </c>
      <c r="D564" s="16" t="s">
        <v>811</v>
      </c>
      <c r="E564" s="17">
        <f>IFERROR(VLOOKUP(Tabulka2[[#This Row],[Pracovník]],DATA!A:L,5,0),"")</f>
        <v>5121</v>
      </c>
      <c r="F564" s="12" t="s">
        <v>655</v>
      </c>
      <c r="G564" s="16"/>
      <c r="H564" s="18"/>
      <c r="I564" s="27" t="str">
        <f>IFERROR(VLOOKUP(Tabulka2[[#This Row],[Pracovník]],DATA!A:L,11,0),"")</f>
        <v>DSC 2</v>
      </c>
      <c r="J564" s="16"/>
      <c r="K564" s="19"/>
    </row>
    <row r="565" spans="1:11" x14ac:dyDescent="0.25">
      <c r="A5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65" s="22">
        <v>45926</v>
      </c>
      <c r="C565" s="16" t="s">
        <v>28</v>
      </c>
      <c r="D565" s="16" t="s">
        <v>996</v>
      </c>
      <c r="E565" s="17">
        <f>IFERROR(VLOOKUP(Tabulka2[[#This Row],[Pracovník]],DATA!A:L,5,0),"")</f>
        <v>4416</v>
      </c>
      <c r="F565" s="12" t="s">
        <v>653</v>
      </c>
      <c r="G565" s="16" t="s">
        <v>656</v>
      </c>
      <c r="H565" s="18"/>
      <c r="I565" s="27" t="str">
        <f>IFERROR(VLOOKUP(Tabulka2[[#This Row],[Pracovník]],DATA!A:L,11,0),"")</f>
        <v>DSC 2</v>
      </c>
      <c r="J565" s="16"/>
      <c r="K565" s="19"/>
    </row>
    <row r="566" spans="1:11" x14ac:dyDescent="0.25">
      <c r="A5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66" s="22">
        <v>45926</v>
      </c>
      <c r="C566" s="16" t="s">
        <v>28</v>
      </c>
      <c r="D566" s="16" t="s">
        <v>825</v>
      </c>
      <c r="E566" s="17">
        <f>IFERROR(VLOOKUP(Tabulka2[[#This Row],[Pracovník]],DATA!A:L,5,0),"")</f>
        <v>6193</v>
      </c>
      <c r="F566" s="12" t="s">
        <v>655</v>
      </c>
      <c r="G566" s="16"/>
      <c r="H566" s="18"/>
      <c r="I566" s="27" t="str">
        <f>IFERROR(VLOOKUP(Tabulka2[[#This Row],[Pracovník]],DATA!A:L,11,0),"")</f>
        <v>DSC 2</v>
      </c>
      <c r="J566" s="16"/>
      <c r="K566" s="19"/>
    </row>
    <row r="567" spans="1:11" x14ac:dyDescent="0.25">
      <c r="A5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67" s="22">
        <v>45926</v>
      </c>
      <c r="C567" s="16" t="s">
        <v>28</v>
      </c>
      <c r="D567" s="16" t="s">
        <v>812</v>
      </c>
      <c r="E567" s="17">
        <f>IFERROR(VLOOKUP(Tabulka2[[#This Row],[Pracovník]],DATA!A:L,5,0),"")</f>
        <v>146</v>
      </c>
      <c r="F567" s="12" t="s">
        <v>653</v>
      </c>
      <c r="G567" s="16" t="s">
        <v>657</v>
      </c>
      <c r="H567" s="18"/>
      <c r="I567" s="27" t="str">
        <f>IFERROR(VLOOKUP(Tabulka2[[#This Row],[Pracovník]],DATA!A:L,11,0),"")</f>
        <v>DSC 2</v>
      </c>
      <c r="J567" s="16"/>
      <c r="K567" s="19"/>
    </row>
    <row r="568" spans="1:11" x14ac:dyDescent="0.25">
      <c r="A5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68" s="22">
        <v>45926</v>
      </c>
      <c r="C568" s="16" t="s">
        <v>28</v>
      </c>
      <c r="D568" s="16" t="s">
        <v>814</v>
      </c>
      <c r="E568" s="17">
        <f>IFERROR(VLOOKUP(Tabulka2[[#This Row],[Pracovník]],DATA!A:L,5,0),"")</f>
        <v>4745</v>
      </c>
      <c r="F568" s="12" t="s">
        <v>640</v>
      </c>
      <c r="G568" s="16"/>
      <c r="H568" s="18"/>
      <c r="I568" s="27" t="str">
        <f>IFERROR(VLOOKUP(Tabulka2[[#This Row],[Pracovník]],DATA!A:L,11,0),"")</f>
        <v>Vlastní auto</v>
      </c>
      <c r="J568" s="16"/>
      <c r="K568" s="19"/>
    </row>
    <row r="569" spans="1:11" x14ac:dyDescent="0.25">
      <c r="A5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69" s="22">
        <v>45926</v>
      </c>
      <c r="C569" s="16" t="s">
        <v>28</v>
      </c>
      <c r="D569" s="16" t="s">
        <v>997</v>
      </c>
      <c r="E569" s="17">
        <f>IFERROR(VLOOKUP(Tabulka2[[#This Row],[Pracovník]],DATA!A:L,5,0),"")</f>
        <v>5029</v>
      </c>
      <c r="F569" s="12" t="s">
        <v>655</v>
      </c>
      <c r="G569" s="16"/>
      <c r="H569" s="18"/>
      <c r="I569" s="27" t="str">
        <f>IFERROR(VLOOKUP(Tabulka2[[#This Row],[Pracovník]],DATA!A:L,11,0),"")</f>
        <v>Vlastní auto</v>
      </c>
      <c r="J569" s="16"/>
      <c r="K569" s="19"/>
    </row>
    <row r="570" spans="1:11" x14ac:dyDescent="0.25">
      <c r="A5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70" s="22">
        <v>45926</v>
      </c>
      <c r="C570" s="16" t="s">
        <v>28</v>
      </c>
      <c r="D570" s="16" t="s">
        <v>816</v>
      </c>
      <c r="E570" s="17">
        <f>IFERROR(VLOOKUP(Tabulka2[[#This Row],[Pracovník]],DATA!A:L,5,0),"")</f>
        <v>5209</v>
      </c>
      <c r="F570" s="12" t="s">
        <v>655</v>
      </c>
      <c r="G570" s="16"/>
      <c r="H570" s="18"/>
      <c r="I570" s="27" t="str">
        <f>IFERROR(VLOOKUP(Tabulka2[[#This Row],[Pracovník]],DATA!A:L,11,0),"")</f>
        <v>Vlastní auto</v>
      </c>
      <c r="J570" s="16"/>
      <c r="K570" s="19"/>
    </row>
    <row r="571" spans="1:11" x14ac:dyDescent="0.25">
      <c r="A5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71" s="22">
        <v>45926</v>
      </c>
      <c r="C571" s="16" t="s">
        <v>28</v>
      </c>
      <c r="D571" s="16" t="s">
        <v>815</v>
      </c>
      <c r="E571" s="17">
        <f>IFERROR(VLOOKUP(Tabulka2[[#This Row],[Pracovník]],DATA!A:L,5,0),"")</f>
        <v>4790</v>
      </c>
      <c r="F571" s="12" t="s">
        <v>640</v>
      </c>
      <c r="G571" s="16"/>
      <c r="H571" s="18"/>
      <c r="I571" s="27" t="str">
        <f>IFERROR(VLOOKUP(Tabulka2[[#This Row],[Pracovník]],DATA!A:L,11,0),"")</f>
        <v>DSC 2</v>
      </c>
      <c r="J571" s="16"/>
      <c r="K571" s="19"/>
    </row>
    <row r="572" spans="1:11" x14ac:dyDescent="0.25">
      <c r="A5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72" s="22">
        <v>45926</v>
      </c>
      <c r="C572" s="16" t="s">
        <v>28</v>
      </c>
      <c r="D572" s="16" t="s">
        <v>817</v>
      </c>
      <c r="E572" s="17">
        <f>IFERROR(VLOOKUP(Tabulka2[[#This Row],[Pracovník]],DATA!A:L,5,0),"")</f>
        <v>4727</v>
      </c>
      <c r="F572" s="12" t="s">
        <v>654</v>
      </c>
      <c r="G572" s="16"/>
      <c r="H572" s="18"/>
      <c r="I572" s="27" t="str">
        <f>IFERROR(VLOOKUP(Tabulka2[[#This Row],[Pracovník]],DATA!A:L,11,0),"")</f>
        <v>DSC 1</v>
      </c>
      <c r="J572" s="16"/>
      <c r="K572" s="19"/>
    </row>
    <row r="573" spans="1:11" x14ac:dyDescent="0.25">
      <c r="A5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73" s="22">
        <v>45926</v>
      </c>
      <c r="C573" s="16" t="s">
        <v>28</v>
      </c>
      <c r="D573" s="16" t="s">
        <v>818</v>
      </c>
      <c r="E573" s="17">
        <f>IFERROR(VLOOKUP(Tabulka2[[#This Row],[Pracovník]],DATA!A:L,5,0),"")</f>
        <v>6488</v>
      </c>
      <c r="F573" s="12" t="s">
        <v>655</v>
      </c>
      <c r="G573" s="16"/>
      <c r="H573" s="18"/>
      <c r="I573" s="27" t="str">
        <f>IFERROR(VLOOKUP(Tabulka2[[#This Row],[Pracovník]],DATA!A:L,11,0),"")</f>
        <v>DSC 2</v>
      </c>
      <c r="J573" s="16"/>
      <c r="K573" s="19"/>
    </row>
    <row r="574" spans="1:11" x14ac:dyDescent="0.25">
      <c r="A5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74" s="22">
        <v>45926</v>
      </c>
      <c r="C574" s="16" t="s">
        <v>28</v>
      </c>
      <c r="D574" s="16" t="s">
        <v>820</v>
      </c>
      <c r="E574" s="17">
        <f>IFERROR(VLOOKUP(Tabulka2[[#This Row],[Pracovník]],DATA!A:L,5,0),"")</f>
        <v>5604</v>
      </c>
      <c r="F574" s="12" t="s">
        <v>655</v>
      </c>
      <c r="G574" s="16"/>
      <c r="H574" s="18"/>
      <c r="I574" s="27" t="str">
        <f>IFERROR(VLOOKUP(Tabulka2[[#This Row],[Pracovník]],DATA!A:L,11,0),"")</f>
        <v>Vlastní auto</v>
      </c>
      <c r="J574" s="16"/>
      <c r="K574" s="19"/>
    </row>
    <row r="575" spans="1:11" x14ac:dyDescent="0.25">
      <c r="A5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75" s="22">
        <v>45926</v>
      </c>
      <c r="C575" s="16" t="s">
        <v>28</v>
      </c>
      <c r="D575" s="16" t="s">
        <v>821</v>
      </c>
      <c r="E575" s="17">
        <f>IFERROR(VLOOKUP(Tabulka2[[#This Row],[Pracovník]],DATA!A:L,5,0),"")</f>
        <v>5632</v>
      </c>
      <c r="F575" s="12" t="s">
        <v>655</v>
      </c>
      <c r="G575" s="16"/>
      <c r="H575" s="18"/>
      <c r="I575" s="27" t="str">
        <f>IFERROR(VLOOKUP(Tabulka2[[#This Row],[Pracovník]],DATA!A:L,11,0),"")</f>
        <v>DSC 1</v>
      </c>
      <c r="J575" s="16"/>
      <c r="K575" s="19"/>
    </row>
    <row r="576" spans="1:11" x14ac:dyDescent="0.25">
      <c r="A5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76" s="22">
        <v>45926</v>
      </c>
      <c r="C576" s="16" t="s">
        <v>28</v>
      </c>
      <c r="D576" s="16" t="s">
        <v>822</v>
      </c>
      <c r="E576" s="17">
        <f>IFERROR(VLOOKUP(Tabulka2[[#This Row],[Pracovník]],DATA!A:L,5,0),"")</f>
        <v>5980</v>
      </c>
      <c r="F576" s="12" t="s">
        <v>640</v>
      </c>
      <c r="G576" s="16"/>
      <c r="H576" s="18"/>
      <c r="I576" s="27" t="str">
        <f>IFERROR(VLOOKUP(Tabulka2[[#This Row],[Pracovník]],DATA!A:L,11,0),"")</f>
        <v>DSC 2</v>
      </c>
      <c r="J576" s="16"/>
      <c r="K576" s="19"/>
    </row>
    <row r="577" spans="1:11" x14ac:dyDescent="0.25">
      <c r="A5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77" s="22">
        <v>45926</v>
      </c>
      <c r="C577" s="16" t="s">
        <v>28</v>
      </c>
      <c r="D577" s="16" t="s">
        <v>823</v>
      </c>
      <c r="E577" s="17">
        <f>IFERROR(VLOOKUP(Tabulka2[[#This Row],[Pracovník]],DATA!A:L,5,0),"")</f>
        <v>5481</v>
      </c>
      <c r="F577" s="12" t="s">
        <v>640</v>
      </c>
      <c r="G577" s="16"/>
      <c r="H577" s="18"/>
      <c r="I577" s="27" t="str">
        <f>IFERROR(VLOOKUP(Tabulka2[[#This Row],[Pracovník]],DATA!A:L,11,0),"")</f>
        <v>DSC 2</v>
      </c>
      <c r="J577" s="16"/>
      <c r="K577" s="19"/>
    </row>
    <row r="578" spans="1:11" x14ac:dyDescent="0.25">
      <c r="A5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78" s="22">
        <v>45926</v>
      </c>
      <c r="C578" s="16" t="s">
        <v>28</v>
      </c>
      <c r="D578" s="16" t="s">
        <v>824</v>
      </c>
      <c r="E578" s="17">
        <f>IFERROR(VLOOKUP(Tabulka2[[#This Row],[Pracovník]],DATA!A:L,5,0),"")</f>
        <v>150</v>
      </c>
      <c r="F578" s="12" t="s">
        <v>653</v>
      </c>
      <c r="G578" s="16" t="s">
        <v>657</v>
      </c>
      <c r="H578" s="18"/>
      <c r="I578" s="27" t="str">
        <f>IFERROR(VLOOKUP(Tabulka2[[#This Row],[Pracovník]],DATA!A:L,11,0),"")</f>
        <v>DSC 1</v>
      </c>
      <c r="J578" s="16"/>
      <c r="K578" s="19"/>
    </row>
    <row r="579" spans="1:11" x14ac:dyDescent="0.25">
      <c r="A5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79" s="22">
        <v>45926</v>
      </c>
      <c r="C579" s="16" t="s">
        <v>28</v>
      </c>
      <c r="D579" s="16" t="s">
        <v>826</v>
      </c>
      <c r="E579" s="17">
        <f>IFERROR(VLOOKUP(Tabulka2[[#This Row],[Pracovník]],DATA!A:L,5,0),"")</f>
        <v>5120</v>
      </c>
      <c r="F579" s="12" t="s">
        <v>655</v>
      </c>
      <c r="G579" s="16"/>
      <c r="H579" s="18"/>
      <c r="I579" s="27" t="str">
        <f>IFERROR(VLOOKUP(Tabulka2[[#This Row],[Pracovník]],DATA!A:L,11,0),"")</f>
        <v>Vlastní auto</v>
      </c>
      <c r="J579" s="16"/>
      <c r="K579" s="19"/>
    </row>
    <row r="580" spans="1:11" x14ac:dyDescent="0.25">
      <c r="A5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80" s="22">
        <v>45926</v>
      </c>
      <c r="C580" s="16" t="s">
        <v>28</v>
      </c>
      <c r="D580" s="16" t="s">
        <v>827</v>
      </c>
      <c r="E580" s="17">
        <f>IFERROR(VLOOKUP(Tabulka2[[#This Row],[Pracovník]],DATA!A:L,5,0),"")</f>
        <v>4713</v>
      </c>
      <c r="F580" s="12" t="s">
        <v>640</v>
      </c>
      <c r="G580" s="16"/>
      <c r="H580" s="18"/>
      <c r="I580" s="27" t="str">
        <f>IFERROR(VLOOKUP(Tabulka2[[#This Row],[Pracovník]],DATA!A:L,11,0),"")</f>
        <v>DSC 1</v>
      </c>
      <c r="J580" s="16"/>
      <c r="K580" s="19"/>
    </row>
    <row r="581" spans="1:11" x14ac:dyDescent="0.25">
      <c r="A5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81" s="22">
        <v>45926</v>
      </c>
      <c r="C581" s="16" t="s">
        <v>28</v>
      </c>
      <c r="D581" s="16" t="s">
        <v>828</v>
      </c>
      <c r="E581" s="17">
        <f>IFERROR(VLOOKUP(Tabulka2[[#This Row],[Pracovník]],DATA!A:L,5,0),"")</f>
        <v>6318</v>
      </c>
      <c r="F581" s="12" t="s">
        <v>655</v>
      </c>
      <c r="G581" s="16"/>
      <c r="H581" s="18"/>
      <c r="I581" s="27" t="str">
        <f>IFERROR(VLOOKUP(Tabulka2[[#This Row],[Pracovník]],DATA!A:L,11,0),"")</f>
        <v>DSC 1</v>
      </c>
      <c r="J581" s="16"/>
      <c r="K581" s="19"/>
    </row>
    <row r="582" spans="1:11" x14ac:dyDescent="0.25">
      <c r="A5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82" s="22">
        <v>45926</v>
      </c>
      <c r="C582" s="16" t="s">
        <v>28</v>
      </c>
      <c r="D582" s="16" t="s">
        <v>829</v>
      </c>
      <c r="E582" s="17">
        <f>IFERROR(VLOOKUP(Tabulka2[[#This Row],[Pracovník]],DATA!A:L,5,0),"")</f>
        <v>5712</v>
      </c>
      <c r="F582" s="12" t="s">
        <v>655</v>
      </c>
      <c r="G582" s="16"/>
      <c r="H582" s="18"/>
      <c r="I582" s="27" t="str">
        <f>IFERROR(VLOOKUP(Tabulka2[[#This Row],[Pracovník]],DATA!A:L,11,0),"")</f>
        <v>Vlastní auto</v>
      </c>
      <c r="J582" s="16"/>
      <c r="K582" s="19"/>
    </row>
    <row r="583" spans="1:11" x14ac:dyDescent="0.25">
      <c r="A5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83" s="22">
        <v>45926</v>
      </c>
      <c r="C583" s="16" t="s">
        <v>28</v>
      </c>
      <c r="D583" s="16" t="s">
        <v>830</v>
      </c>
      <c r="E583" s="17">
        <f>IFERROR(VLOOKUP(Tabulka2[[#This Row],[Pracovník]],DATA!A:L,5,0),"")</f>
        <v>4744</v>
      </c>
      <c r="F583" s="12" t="s">
        <v>654</v>
      </c>
      <c r="G583" s="16"/>
      <c r="H583" s="18"/>
      <c r="I583" s="27" t="str">
        <f>IFERROR(VLOOKUP(Tabulka2[[#This Row],[Pracovník]],DATA!A:L,11,0),"")</f>
        <v>DSC 2</v>
      </c>
      <c r="J583" s="16"/>
      <c r="K583" s="19"/>
    </row>
    <row r="584" spans="1:11" x14ac:dyDescent="0.25">
      <c r="A5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84" s="22">
        <v>45926</v>
      </c>
      <c r="C584" s="16" t="s">
        <v>28</v>
      </c>
      <c r="D584" s="16" t="s">
        <v>998</v>
      </c>
      <c r="E584" s="17">
        <f>IFERROR(VLOOKUP(Tabulka2[[#This Row],[Pracovník]],DATA!A:L,5,0),"")</f>
        <v>4555</v>
      </c>
      <c r="F584" s="12" t="s">
        <v>653</v>
      </c>
      <c r="G584" s="16" t="s">
        <v>656</v>
      </c>
      <c r="H584" s="18"/>
      <c r="I584" s="27" t="str">
        <f>IFERROR(VLOOKUP(Tabulka2[[#This Row],[Pracovník]],DATA!A:L,11,0),"")</f>
        <v>Vlastní auto</v>
      </c>
      <c r="J584" s="16"/>
      <c r="K584" s="19"/>
    </row>
    <row r="585" spans="1:11" x14ac:dyDescent="0.25">
      <c r="A5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85" s="22">
        <v>45926</v>
      </c>
      <c r="C585" s="16" t="s">
        <v>28</v>
      </c>
      <c r="D585" s="16" t="s">
        <v>831</v>
      </c>
      <c r="E585" s="17">
        <f>IFERROR(VLOOKUP(Tabulka2[[#This Row],[Pracovník]],DATA!A:L,5,0),"")</f>
        <v>155</v>
      </c>
      <c r="F585" s="12" t="s">
        <v>654</v>
      </c>
      <c r="G585" s="16"/>
      <c r="H585" s="18"/>
      <c r="I585" s="27" t="str">
        <f>IFERROR(VLOOKUP(Tabulka2[[#This Row],[Pracovník]],DATA!A:L,11,0),"")</f>
        <v>DSC 1</v>
      </c>
      <c r="J585" s="16"/>
      <c r="K585" s="19"/>
    </row>
    <row r="586" spans="1:11" x14ac:dyDescent="0.25">
      <c r="A5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86" s="22">
        <v>45926</v>
      </c>
      <c r="C586" s="16" t="s">
        <v>28</v>
      </c>
      <c r="D586" s="16" t="s">
        <v>833</v>
      </c>
      <c r="E586" s="17">
        <f>IFERROR(VLOOKUP(Tabulka2[[#This Row],[Pracovník]],DATA!A:L,5,0),"")</f>
        <v>6178</v>
      </c>
      <c r="F586" s="12" t="s">
        <v>655</v>
      </c>
      <c r="G586" s="16"/>
      <c r="H586" s="18"/>
      <c r="I586" s="27" t="str">
        <f>IFERROR(VLOOKUP(Tabulka2[[#This Row],[Pracovník]],DATA!A:L,11,0),"")</f>
        <v>DSC 2</v>
      </c>
      <c r="J586" s="16"/>
      <c r="K586" s="19"/>
    </row>
    <row r="587" spans="1:11" x14ac:dyDescent="0.25">
      <c r="A5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87" s="22">
        <v>45926</v>
      </c>
      <c r="C587" s="16" t="s">
        <v>28</v>
      </c>
      <c r="D587" s="16" t="s">
        <v>834</v>
      </c>
      <c r="E587" s="17">
        <f>IFERROR(VLOOKUP(Tabulka2[[#This Row],[Pracovník]],DATA!A:L,5,0),"")</f>
        <v>6345</v>
      </c>
      <c r="F587" s="12" t="s">
        <v>654</v>
      </c>
      <c r="G587" s="16"/>
      <c r="H587" s="18"/>
      <c r="I587" s="27" t="str">
        <f>IFERROR(VLOOKUP(Tabulka2[[#This Row],[Pracovník]],DATA!A:L,11,0),"")</f>
        <v>DSC 1</v>
      </c>
      <c r="J587" s="16"/>
      <c r="K587" s="19"/>
    </row>
    <row r="588" spans="1:11" x14ac:dyDescent="0.25">
      <c r="A5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88" s="22">
        <v>45926</v>
      </c>
      <c r="C588" s="16" t="s">
        <v>28</v>
      </c>
      <c r="D588" s="16" t="s">
        <v>835</v>
      </c>
      <c r="E588" s="17">
        <f>IFERROR(VLOOKUP(Tabulka2[[#This Row],[Pracovník]],DATA!A:L,5,0),"")</f>
        <v>5601</v>
      </c>
      <c r="F588" s="12" t="s">
        <v>654</v>
      </c>
      <c r="G588" s="16"/>
      <c r="H588" s="18"/>
      <c r="I588" s="27" t="str">
        <f>IFERROR(VLOOKUP(Tabulka2[[#This Row],[Pracovník]],DATA!A:L,11,0),"")</f>
        <v>DSC 2</v>
      </c>
      <c r="J588" s="16"/>
      <c r="K588" s="19"/>
    </row>
    <row r="589" spans="1:11" x14ac:dyDescent="0.25">
      <c r="A5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89" s="22">
        <v>45926</v>
      </c>
      <c r="C589" s="16" t="s">
        <v>28</v>
      </c>
      <c r="D589" s="16" t="s">
        <v>836</v>
      </c>
      <c r="E589" s="17">
        <f>IFERROR(VLOOKUP(Tabulka2[[#This Row],[Pracovník]],DATA!A:L,5,0),"")</f>
        <v>5152</v>
      </c>
      <c r="F589" s="12" t="s">
        <v>655</v>
      </c>
      <c r="G589" s="16"/>
      <c r="H589" s="18"/>
      <c r="I589" s="27" t="str">
        <f>IFERROR(VLOOKUP(Tabulka2[[#This Row],[Pracovník]],DATA!A:L,11,0),"")</f>
        <v>Vlastní auto</v>
      </c>
      <c r="J589" s="16"/>
      <c r="K589" s="19"/>
    </row>
    <row r="590" spans="1:11" x14ac:dyDescent="0.25">
      <c r="A5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90" s="22">
        <v>45926</v>
      </c>
      <c r="C590" s="16" t="s">
        <v>28</v>
      </c>
      <c r="D590" s="16" t="s">
        <v>837</v>
      </c>
      <c r="E590" s="17">
        <f>IFERROR(VLOOKUP(Tabulka2[[#This Row],[Pracovník]],DATA!A:L,5,0),"")</f>
        <v>176</v>
      </c>
      <c r="F590" s="12" t="s">
        <v>654</v>
      </c>
      <c r="G590" s="16"/>
      <c r="H590" s="18"/>
      <c r="I590" s="27" t="str">
        <f>IFERROR(VLOOKUP(Tabulka2[[#This Row],[Pracovník]],DATA!A:L,11,0),"")</f>
        <v>Vlastní auto</v>
      </c>
      <c r="J590" s="16"/>
      <c r="K590" s="19"/>
    </row>
    <row r="591" spans="1:11" x14ac:dyDescent="0.25">
      <c r="A5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91" s="22">
        <v>45926</v>
      </c>
      <c r="C591" s="16" t="s">
        <v>28</v>
      </c>
      <c r="D591" s="16" t="s">
        <v>839</v>
      </c>
      <c r="E591" s="17">
        <f>IFERROR(VLOOKUP(Tabulka2[[#This Row],[Pracovník]],DATA!A:L,5,0),"")</f>
        <v>177</v>
      </c>
      <c r="F591" s="12" t="s">
        <v>640</v>
      </c>
      <c r="G591" s="16"/>
      <c r="H591" s="18"/>
      <c r="I591" s="27" t="str">
        <f>IFERROR(VLOOKUP(Tabulka2[[#This Row],[Pracovník]],DATA!A:L,11,0),"")</f>
        <v>DSC 2</v>
      </c>
      <c r="J591" s="16"/>
      <c r="K591" s="19"/>
    </row>
    <row r="592" spans="1:11" x14ac:dyDescent="0.25">
      <c r="A5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92" s="22">
        <v>45926</v>
      </c>
      <c r="C592" s="16" t="s">
        <v>28</v>
      </c>
      <c r="D592" s="16" t="s">
        <v>840</v>
      </c>
      <c r="E592" s="17">
        <f>IFERROR(VLOOKUP(Tabulka2[[#This Row],[Pracovník]],DATA!A:L,5,0),"")</f>
        <v>5555</v>
      </c>
      <c r="F592" s="12" t="s">
        <v>640</v>
      </c>
      <c r="G592" s="16"/>
      <c r="H592" s="18"/>
      <c r="I592" s="27" t="str">
        <f>IFERROR(VLOOKUP(Tabulka2[[#This Row],[Pracovník]],DATA!A:L,11,0),"")</f>
        <v>Vlastní auto</v>
      </c>
      <c r="J592" s="16"/>
      <c r="K592" s="19"/>
    </row>
    <row r="593" spans="1:11" x14ac:dyDescent="0.25">
      <c r="A5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93" s="22">
        <v>45926</v>
      </c>
      <c r="C593" s="16" t="s">
        <v>28</v>
      </c>
      <c r="D593" s="16" t="s">
        <v>841</v>
      </c>
      <c r="E593" s="17">
        <f>IFERROR(VLOOKUP(Tabulka2[[#This Row],[Pracovník]],DATA!A:L,5,0),"")</f>
        <v>4959</v>
      </c>
      <c r="F593" s="12" t="s">
        <v>640</v>
      </c>
      <c r="G593" s="16"/>
      <c r="H593" s="18"/>
      <c r="I593" s="27" t="str">
        <f>IFERROR(VLOOKUP(Tabulka2[[#This Row],[Pracovník]],DATA!A:L,11,0),"")</f>
        <v>Vlastní auto</v>
      </c>
      <c r="J593" s="16"/>
      <c r="K593" s="19"/>
    </row>
    <row r="594" spans="1:11" x14ac:dyDescent="0.25">
      <c r="A5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94" s="22">
        <v>45926</v>
      </c>
      <c r="C594" s="16" t="s">
        <v>28</v>
      </c>
      <c r="D594" s="16" t="s">
        <v>843</v>
      </c>
      <c r="E594" s="17">
        <f>IFERROR(VLOOKUP(Tabulka2[[#This Row],[Pracovník]],DATA!A:L,5,0),"")</f>
        <v>4919</v>
      </c>
      <c r="F594" s="12" t="s">
        <v>655</v>
      </c>
      <c r="G594" s="16"/>
      <c r="H594" s="18"/>
      <c r="I594" s="27" t="str">
        <f>IFERROR(VLOOKUP(Tabulka2[[#This Row],[Pracovník]],DATA!A:L,11,0),"")</f>
        <v>Vlastní auto</v>
      </c>
      <c r="J594" s="16"/>
      <c r="K594" s="19"/>
    </row>
    <row r="595" spans="1:11" x14ac:dyDescent="0.25">
      <c r="A5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95" s="22">
        <v>45926</v>
      </c>
      <c r="C595" s="16" t="s">
        <v>28</v>
      </c>
      <c r="D595" s="16" t="s">
        <v>842</v>
      </c>
      <c r="E595" s="17">
        <f>IFERROR(VLOOKUP(Tabulka2[[#This Row],[Pracovník]],DATA!A:L,5,0),"")</f>
        <v>4724</v>
      </c>
      <c r="F595" s="12" t="s">
        <v>655</v>
      </c>
      <c r="G595" s="16"/>
      <c r="H595" s="18"/>
      <c r="I595" s="27" t="str">
        <f>IFERROR(VLOOKUP(Tabulka2[[#This Row],[Pracovník]],DATA!A:L,11,0),"")</f>
        <v>Vlastní auto</v>
      </c>
      <c r="J595" s="16"/>
      <c r="K595" s="19"/>
    </row>
    <row r="596" spans="1:11" x14ac:dyDescent="0.25">
      <c r="A5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96" s="22">
        <v>45926</v>
      </c>
      <c r="C596" s="16" t="s">
        <v>28</v>
      </c>
      <c r="D596" s="16" t="s">
        <v>844</v>
      </c>
      <c r="E596" s="17">
        <f>IFERROR(VLOOKUP(Tabulka2[[#This Row],[Pracovník]],DATA!A:L,5,0),"")</f>
        <v>183</v>
      </c>
      <c r="F596" s="12" t="s">
        <v>654</v>
      </c>
      <c r="G596" s="16"/>
      <c r="H596" s="18"/>
      <c r="I596" s="27" t="str">
        <f>IFERROR(VLOOKUP(Tabulka2[[#This Row],[Pracovník]],DATA!A:L,11,0),"")</f>
        <v>DSC 1</v>
      </c>
      <c r="J596" s="16"/>
      <c r="K596" s="19"/>
    </row>
    <row r="597" spans="1:11" x14ac:dyDescent="0.25">
      <c r="A5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97" s="22">
        <v>45926</v>
      </c>
      <c r="C597" s="16" t="s">
        <v>28</v>
      </c>
      <c r="D597" s="16" t="s">
        <v>845</v>
      </c>
      <c r="E597" s="17">
        <f>IFERROR(VLOOKUP(Tabulka2[[#This Row],[Pracovník]],DATA!A:L,5,0),"")</f>
        <v>5545</v>
      </c>
      <c r="F597" s="12" t="s">
        <v>640</v>
      </c>
      <c r="G597" s="16"/>
      <c r="H597" s="18"/>
      <c r="I597" s="27" t="str">
        <f>IFERROR(VLOOKUP(Tabulka2[[#This Row],[Pracovník]],DATA!A:L,11,0),"")</f>
        <v>Vlastní auto</v>
      </c>
      <c r="J597" s="16"/>
      <c r="K597" s="19"/>
    </row>
    <row r="598" spans="1:11" x14ac:dyDescent="0.25">
      <c r="A5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98" s="22">
        <v>45926</v>
      </c>
      <c r="C598" s="16" t="s">
        <v>28</v>
      </c>
      <c r="D598" s="16" t="s">
        <v>846</v>
      </c>
      <c r="E598" s="17">
        <f>IFERROR(VLOOKUP(Tabulka2[[#This Row],[Pracovník]],DATA!A:L,5,0),"")</f>
        <v>5526</v>
      </c>
      <c r="F598" s="12" t="s">
        <v>655</v>
      </c>
      <c r="G598" s="16"/>
      <c r="H598" s="18"/>
      <c r="I598" s="27" t="str">
        <f>IFERROR(VLOOKUP(Tabulka2[[#This Row],[Pracovník]],DATA!A:L,11,0),"")</f>
        <v>Vlastní auto</v>
      </c>
      <c r="J598" s="16"/>
      <c r="K598" s="19"/>
    </row>
    <row r="599" spans="1:11" x14ac:dyDescent="0.25">
      <c r="A5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599" s="22">
        <v>45926</v>
      </c>
      <c r="C599" s="16" t="s">
        <v>28</v>
      </c>
      <c r="D599" s="16" t="s">
        <v>847</v>
      </c>
      <c r="E599" s="17">
        <f>IFERROR(VLOOKUP(Tabulka2[[#This Row],[Pracovník]],DATA!A:L,5,0),"")</f>
        <v>5192</v>
      </c>
      <c r="F599" s="12" t="s">
        <v>655</v>
      </c>
      <c r="G599" s="16"/>
      <c r="H599" s="18"/>
      <c r="I599" s="27" t="str">
        <f>IFERROR(VLOOKUP(Tabulka2[[#This Row],[Pracovník]],DATA!A:L,11,0),"")</f>
        <v>Vlastní auto</v>
      </c>
      <c r="J599" s="16"/>
      <c r="K599" s="19"/>
    </row>
    <row r="600" spans="1:11" x14ac:dyDescent="0.25">
      <c r="A6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00" s="22">
        <v>45926</v>
      </c>
      <c r="C600" s="16" t="s">
        <v>28</v>
      </c>
      <c r="D600" s="16" t="s">
        <v>848</v>
      </c>
      <c r="E600" s="17">
        <f>IFERROR(VLOOKUP(Tabulka2[[#This Row],[Pracovník]],DATA!A:L,5,0),"")</f>
        <v>4698</v>
      </c>
      <c r="F600" s="12" t="s">
        <v>655</v>
      </c>
      <c r="G600" s="16"/>
      <c r="H600" s="18"/>
      <c r="I600" s="27" t="str">
        <f>IFERROR(VLOOKUP(Tabulka2[[#This Row],[Pracovník]],DATA!A:L,11,0),"")</f>
        <v>Vlastní auto</v>
      </c>
      <c r="J600" s="16"/>
      <c r="K600" s="19"/>
    </row>
    <row r="601" spans="1:11" x14ac:dyDescent="0.25">
      <c r="A6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01" s="22">
        <v>45926</v>
      </c>
      <c r="C601" s="16" t="s">
        <v>28</v>
      </c>
      <c r="D601" s="16" t="s">
        <v>849</v>
      </c>
      <c r="E601" s="17">
        <f>IFERROR(VLOOKUP(Tabulka2[[#This Row],[Pracovník]],DATA!A:L,5,0),"")</f>
        <v>4611</v>
      </c>
      <c r="F601" s="12" t="s">
        <v>640</v>
      </c>
      <c r="G601" s="16"/>
      <c r="H601" s="18"/>
      <c r="I601" s="27" t="str">
        <f>IFERROR(VLOOKUP(Tabulka2[[#This Row],[Pracovník]],DATA!A:L,11,0),"")</f>
        <v>DSC 1</v>
      </c>
      <c r="J601" s="16"/>
      <c r="K601" s="19"/>
    </row>
    <row r="602" spans="1:11" x14ac:dyDescent="0.25">
      <c r="A6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02" s="22">
        <v>45926</v>
      </c>
      <c r="C602" s="16" t="s">
        <v>28</v>
      </c>
      <c r="D602" s="16" t="s">
        <v>850</v>
      </c>
      <c r="E602" s="17">
        <f>IFERROR(VLOOKUP(Tabulka2[[#This Row],[Pracovník]],DATA!A:L,5,0),"")</f>
        <v>5069</v>
      </c>
      <c r="F602" s="12" t="s">
        <v>640</v>
      </c>
      <c r="G602" s="16"/>
      <c r="H602" s="18"/>
      <c r="I602" s="27" t="str">
        <f>IFERROR(VLOOKUP(Tabulka2[[#This Row],[Pracovník]],DATA!A:L,11,0),"")</f>
        <v>Vlastní auto</v>
      </c>
      <c r="J602" s="16"/>
      <c r="K602" s="19"/>
    </row>
    <row r="603" spans="1:11" x14ac:dyDescent="0.25">
      <c r="A6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03" s="22">
        <v>45926</v>
      </c>
      <c r="C603" s="16" t="s">
        <v>28</v>
      </c>
      <c r="D603" s="16" t="s">
        <v>851</v>
      </c>
      <c r="E603" s="17">
        <f>IFERROR(VLOOKUP(Tabulka2[[#This Row],[Pracovník]],DATA!A:L,5,0),"")</f>
        <v>185</v>
      </c>
      <c r="F603" s="12" t="s">
        <v>654</v>
      </c>
      <c r="G603" s="16"/>
      <c r="H603" s="18"/>
      <c r="I603" s="27" t="str">
        <f>IFERROR(VLOOKUP(Tabulka2[[#This Row],[Pracovník]],DATA!A:L,11,0),"")</f>
        <v>DSC 1</v>
      </c>
      <c r="J603" s="16"/>
      <c r="K603" s="19"/>
    </row>
    <row r="604" spans="1:11" x14ac:dyDescent="0.25">
      <c r="A6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04" s="22">
        <v>45926</v>
      </c>
      <c r="C604" s="16" t="s">
        <v>28</v>
      </c>
      <c r="D604" s="16" t="s">
        <v>852</v>
      </c>
      <c r="E604" s="17">
        <f>IFERROR(VLOOKUP(Tabulka2[[#This Row],[Pracovník]],DATA!A:L,5,0),"")</f>
        <v>6388</v>
      </c>
      <c r="F604" s="12" t="s">
        <v>655</v>
      </c>
      <c r="G604" s="16"/>
      <c r="H604" s="18"/>
      <c r="I604" s="27" t="str">
        <f>IFERROR(VLOOKUP(Tabulka2[[#This Row],[Pracovník]],DATA!A:L,11,0),"")</f>
        <v>Vlastní auto</v>
      </c>
      <c r="J604" s="16"/>
      <c r="K604" s="19"/>
    </row>
    <row r="605" spans="1:11" x14ac:dyDescent="0.25">
      <c r="A6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05" s="22">
        <v>45926</v>
      </c>
      <c r="C605" s="16" t="s">
        <v>28</v>
      </c>
      <c r="D605" s="16" t="s">
        <v>854</v>
      </c>
      <c r="E605" s="17">
        <f>IFERROR(VLOOKUP(Tabulka2[[#This Row],[Pracovník]],DATA!A:L,5,0),"")</f>
        <v>5720</v>
      </c>
      <c r="F605" s="12" t="s">
        <v>640</v>
      </c>
      <c r="G605" s="16"/>
      <c r="H605" s="18"/>
      <c r="I605" s="27" t="str">
        <f>IFERROR(VLOOKUP(Tabulka2[[#This Row],[Pracovník]],DATA!A:L,11,0),"")</f>
        <v>DSC 2</v>
      </c>
      <c r="J605" s="16"/>
      <c r="K605" s="19"/>
    </row>
    <row r="606" spans="1:11" x14ac:dyDescent="0.25">
      <c r="A6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06" s="22">
        <v>45926</v>
      </c>
      <c r="C606" s="16" t="s">
        <v>28</v>
      </c>
      <c r="D606" s="16" t="s">
        <v>853</v>
      </c>
      <c r="E606" s="17">
        <f>IFERROR(VLOOKUP(Tabulka2[[#This Row],[Pracovník]],DATA!A:L,5,0),"")</f>
        <v>5722</v>
      </c>
      <c r="F606" s="12" t="s">
        <v>640</v>
      </c>
      <c r="G606" s="16"/>
      <c r="H606" s="18"/>
      <c r="I606" s="27" t="str">
        <f>IFERROR(VLOOKUP(Tabulka2[[#This Row],[Pracovník]],DATA!A:L,11,0),"")</f>
        <v>DSC 2</v>
      </c>
      <c r="J606" s="16"/>
      <c r="K606" s="19"/>
    </row>
    <row r="607" spans="1:11" x14ac:dyDescent="0.25">
      <c r="A6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07" s="22">
        <v>45926</v>
      </c>
      <c r="C607" s="16" t="s">
        <v>28</v>
      </c>
      <c r="D607" s="16" t="s">
        <v>855</v>
      </c>
      <c r="E607" s="17">
        <f>IFERROR(VLOOKUP(Tabulka2[[#This Row],[Pracovník]],DATA!A:L,5,0),"")</f>
        <v>6180</v>
      </c>
      <c r="F607" s="12" t="s">
        <v>654</v>
      </c>
      <c r="G607" s="16"/>
      <c r="H607" s="18"/>
      <c r="I607" s="27" t="str">
        <f>IFERROR(VLOOKUP(Tabulka2[[#This Row],[Pracovník]],DATA!A:L,11,0),"")</f>
        <v>DSC 2</v>
      </c>
      <c r="J607" s="16"/>
      <c r="K607" s="19"/>
    </row>
    <row r="608" spans="1:11" x14ac:dyDescent="0.25">
      <c r="A6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08" s="22">
        <v>45926</v>
      </c>
      <c r="C608" s="16" t="s">
        <v>28</v>
      </c>
      <c r="D608" s="16" t="s">
        <v>856</v>
      </c>
      <c r="E608" s="17">
        <f>IFERROR(VLOOKUP(Tabulka2[[#This Row],[Pracovník]],DATA!A:L,5,0),"")</f>
        <v>4423</v>
      </c>
      <c r="F608" s="12" t="s">
        <v>654</v>
      </c>
      <c r="G608" s="16"/>
      <c r="H608" s="18"/>
      <c r="I608" s="27" t="str">
        <f>IFERROR(VLOOKUP(Tabulka2[[#This Row],[Pracovník]],DATA!A:L,11,0),"")</f>
        <v>DSC 1</v>
      </c>
      <c r="J608" s="16"/>
      <c r="K608" s="19"/>
    </row>
    <row r="609" spans="1:11" x14ac:dyDescent="0.25">
      <c r="A6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09" s="22">
        <v>45926</v>
      </c>
      <c r="C609" s="16" t="s">
        <v>28</v>
      </c>
      <c r="D609" s="16" t="s">
        <v>857</v>
      </c>
      <c r="E609" s="17">
        <f>IFERROR(VLOOKUP(Tabulka2[[#This Row],[Pracovník]],DATA!A:L,5,0),"")</f>
        <v>5036</v>
      </c>
      <c r="F609" s="12" t="s">
        <v>655</v>
      </c>
      <c r="G609" s="16"/>
      <c r="H609" s="18"/>
      <c r="I609" s="27" t="str">
        <f>IFERROR(VLOOKUP(Tabulka2[[#This Row],[Pracovník]],DATA!A:L,11,0),"")</f>
        <v>Vlastní auto</v>
      </c>
      <c r="J609" s="16"/>
      <c r="K609" s="19"/>
    </row>
    <row r="610" spans="1:11" x14ac:dyDescent="0.25">
      <c r="A6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10" s="22">
        <v>45926</v>
      </c>
      <c r="C610" s="16" t="s">
        <v>28</v>
      </c>
      <c r="D610" s="16" t="s">
        <v>838</v>
      </c>
      <c r="E610" s="17">
        <f>IFERROR(VLOOKUP(Tabulka2[[#This Row],[Pracovník]],DATA!A:L,5,0),"")</f>
        <v>4899</v>
      </c>
      <c r="F610" s="12" t="s">
        <v>654</v>
      </c>
      <c r="G610" s="16"/>
      <c r="H610" s="18"/>
      <c r="I610" s="27" t="str">
        <f>IFERROR(VLOOKUP(Tabulka2[[#This Row],[Pracovník]],DATA!A:L,11,0),"")</f>
        <v>DSC 1</v>
      </c>
      <c r="J610" s="16"/>
      <c r="K610" s="19"/>
    </row>
    <row r="611" spans="1:11" x14ac:dyDescent="0.25">
      <c r="A6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11" s="22">
        <v>45929</v>
      </c>
      <c r="C611" s="23" t="s">
        <v>56</v>
      </c>
      <c r="D611" s="23" t="s">
        <v>910</v>
      </c>
      <c r="E611" s="17">
        <f>IFERROR(VLOOKUP(Tabulka2[[#This Row],[Pracovník]],DATA!A:L,5,0),"")</f>
        <v>6474</v>
      </c>
      <c r="F611" s="24" t="s">
        <v>654</v>
      </c>
      <c r="G611" s="23"/>
      <c r="H611" s="25"/>
      <c r="I611" s="27" t="str">
        <f>IFERROR(VLOOKUP(Tabulka2[[#This Row],[Pracovník]],DATA!A:L,11,0),"")</f>
        <v>BATZ 1</v>
      </c>
      <c r="J611" s="23"/>
      <c r="K611" s="26"/>
    </row>
    <row r="612" spans="1:11" x14ac:dyDescent="0.25">
      <c r="A6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12" s="22">
        <v>45929</v>
      </c>
      <c r="C612" s="23" t="s">
        <v>56</v>
      </c>
      <c r="D612" s="23" t="s">
        <v>911</v>
      </c>
      <c r="E612" s="17">
        <f>IFERROR(VLOOKUP(Tabulka2[[#This Row],[Pracovník]],DATA!A:L,5,0),"")</f>
        <v>5110</v>
      </c>
      <c r="F612" s="24" t="s">
        <v>640</v>
      </c>
      <c r="G612" s="23"/>
      <c r="H612" s="25"/>
      <c r="I612" s="27" t="str">
        <f>IFERROR(VLOOKUP(Tabulka2[[#This Row],[Pracovník]],DATA!A:L,11,0),"")</f>
        <v>BATZ 2</v>
      </c>
      <c r="J612" s="23"/>
      <c r="K612" s="26"/>
    </row>
    <row r="613" spans="1:11" x14ac:dyDescent="0.25">
      <c r="A6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13" s="22">
        <v>45929</v>
      </c>
      <c r="C613" s="23" t="s">
        <v>56</v>
      </c>
      <c r="D613" s="23" t="s">
        <v>912</v>
      </c>
      <c r="E613" s="17">
        <f>IFERROR(VLOOKUP(Tabulka2[[#This Row],[Pracovník]],DATA!A:L,5,0),"")</f>
        <v>6473</v>
      </c>
      <c r="F613" s="24" t="s">
        <v>640</v>
      </c>
      <c r="G613" s="23"/>
      <c r="H613" s="25"/>
      <c r="I613" s="27" t="str">
        <f>IFERROR(VLOOKUP(Tabulka2[[#This Row],[Pracovník]],DATA!A:L,11,0),"")</f>
        <v>BATZ 1</v>
      </c>
      <c r="J613" s="23"/>
      <c r="K613" s="26"/>
    </row>
    <row r="614" spans="1:11" x14ac:dyDescent="0.25">
      <c r="A6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14" s="22">
        <v>45929</v>
      </c>
      <c r="C614" s="16" t="s">
        <v>56</v>
      </c>
      <c r="D614" s="16" t="s">
        <v>913</v>
      </c>
      <c r="E614" s="17">
        <f>IFERROR(VLOOKUP(Tabulka2[[#This Row],[Pracovník]],DATA!A:L,5,0),"")</f>
        <v>6394</v>
      </c>
      <c r="F614" s="12" t="s">
        <v>654</v>
      </c>
      <c r="G614" s="16"/>
      <c r="H614" s="18"/>
      <c r="I614" s="27" t="str">
        <f>IFERROR(VLOOKUP(Tabulka2[[#This Row],[Pracovník]],DATA!A:L,11,0),"")</f>
        <v>BATZ 1</v>
      </c>
      <c r="J614" s="16"/>
      <c r="K614" s="19"/>
    </row>
    <row r="615" spans="1:11" x14ac:dyDescent="0.25">
      <c r="A6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15" s="22">
        <v>45929</v>
      </c>
      <c r="C615" s="16" t="s">
        <v>25</v>
      </c>
      <c r="D615" s="16" t="s">
        <v>679</v>
      </c>
      <c r="E615" s="17">
        <f>IFERROR(VLOOKUP(Tabulka2[[#This Row],[Pracovník]],DATA!A:L,5,0),"")</f>
        <v>5777</v>
      </c>
      <c r="F615" s="12" t="s">
        <v>640</v>
      </c>
      <c r="G615" s="16"/>
      <c r="H615" s="18"/>
      <c r="I615" s="27" t="str">
        <f>IFERROR(VLOOKUP(Tabulka2[[#This Row],[Pracovník]],DATA!A:L,11,0),"")</f>
        <v>BATZ 2</v>
      </c>
      <c r="J615" s="16"/>
      <c r="K615" s="19"/>
    </row>
    <row r="616" spans="1:11" x14ac:dyDescent="0.25">
      <c r="A6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16" s="22">
        <v>45929</v>
      </c>
      <c r="C616" s="16" t="s">
        <v>25</v>
      </c>
      <c r="D616" s="23" t="s">
        <v>680</v>
      </c>
      <c r="E616" s="17">
        <f>IFERROR(VLOOKUP(Tabulka2[[#This Row],[Pracovník]],DATA!A:L,5,0),"")</f>
        <v>4838</v>
      </c>
      <c r="F616" s="24" t="s">
        <v>654</v>
      </c>
      <c r="G616" s="16"/>
      <c r="H616" s="18"/>
      <c r="I616" s="27" t="str">
        <f>IFERROR(VLOOKUP(Tabulka2[[#This Row],[Pracovník]],DATA!A:L,11,0),"")</f>
        <v>BATZ 2</v>
      </c>
      <c r="J616" s="16"/>
      <c r="K616" s="19"/>
    </row>
    <row r="617" spans="1:11" x14ac:dyDescent="0.25">
      <c r="A6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17" s="22">
        <v>45929</v>
      </c>
      <c r="C617" s="16" t="s">
        <v>25</v>
      </c>
      <c r="D617" s="16" t="s">
        <v>681</v>
      </c>
      <c r="E617" s="17">
        <f>IFERROR(VLOOKUP(Tabulka2[[#This Row],[Pracovník]],DATA!A:L,5,0),"")</f>
        <v>4599</v>
      </c>
      <c r="F617" s="12" t="s">
        <v>640</v>
      </c>
      <c r="G617" s="16"/>
      <c r="H617" s="18"/>
      <c r="I617" s="27" t="str">
        <f>IFERROR(VLOOKUP(Tabulka2[[#This Row],[Pracovník]],DATA!A:L,11,0),"")</f>
        <v>BATZ 1</v>
      </c>
      <c r="J617" s="16"/>
      <c r="K617" s="19"/>
    </row>
    <row r="618" spans="1:11" x14ac:dyDescent="0.25">
      <c r="A6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18" s="22">
        <v>45929</v>
      </c>
      <c r="C618" s="16" t="s">
        <v>25</v>
      </c>
      <c r="D618" s="16" t="s">
        <v>682</v>
      </c>
      <c r="E618" s="17">
        <f>IFERROR(VLOOKUP(Tabulka2[[#This Row],[Pracovník]],DATA!A:L,5,0),"")</f>
        <v>6566</v>
      </c>
      <c r="F618" s="12" t="s">
        <v>654</v>
      </c>
      <c r="G618" s="16"/>
      <c r="H618" s="18"/>
      <c r="I618" s="27" t="str">
        <f>IFERROR(VLOOKUP(Tabulka2[[#This Row],[Pracovník]],DATA!A:L,11,0),"")</f>
        <v>BATZ 1</v>
      </c>
      <c r="J618" s="16"/>
      <c r="K618" s="19"/>
    </row>
    <row r="619" spans="1:11" x14ac:dyDescent="0.25">
      <c r="A6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19" s="22">
        <v>45929</v>
      </c>
      <c r="C619" s="16" t="s">
        <v>25</v>
      </c>
      <c r="D619" s="16" t="s">
        <v>683</v>
      </c>
      <c r="E619" s="17">
        <f>IFERROR(VLOOKUP(Tabulka2[[#This Row],[Pracovník]],DATA!A:L,5,0),"")</f>
        <v>5400</v>
      </c>
      <c r="F619" s="12" t="s">
        <v>654</v>
      </c>
      <c r="G619" s="16"/>
      <c r="H619" s="18"/>
      <c r="I619" s="27" t="str">
        <f>IFERROR(VLOOKUP(Tabulka2[[#This Row],[Pracovník]],DATA!A:L,11,0),"")</f>
        <v>BATZ 1</v>
      </c>
      <c r="J619" s="16"/>
      <c r="K619" s="19"/>
    </row>
    <row r="620" spans="1:11" x14ac:dyDescent="0.25">
      <c r="A6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20" s="22">
        <v>45929</v>
      </c>
      <c r="C620" s="16" t="s">
        <v>25</v>
      </c>
      <c r="D620" s="16" t="s">
        <v>684</v>
      </c>
      <c r="E620" s="17">
        <f>IFERROR(VLOOKUP(Tabulka2[[#This Row],[Pracovník]],DATA!A:L,5,0),"")</f>
        <v>5094</v>
      </c>
      <c r="F620" s="12" t="s">
        <v>655</v>
      </c>
      <c r="G620" s="16"/>
      <c r="H620" s="18"/>
      <c r="I620" s="27" t="str">
        <f>IFERROR(VLOOKUP(Tabulka2[[#This Row],[Pracovník]],DATA!A:L,11,0),"")</f>
        <v>BATZ 2</v>
      </c>
      <c r="J620" s="16"/>
      <c r="K620" s="19"/>
    </row>
    <row r="621" spans="1:11" x14ac:dyDescent="0.25">
      <c r="A6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21" s="22">
        <v>45929</v>
      </c>
      <c r="C621" s="16" t="s">
        <v>25</v>
      </c>
      <c r="D621" s="16" t="s">
        <v>685</v>
      </c>
      <c r="E621" s="17">
        <f>IFERROR(VLOOKUP(Tabulka2[[#This Row],[Pracovník]],DATA!A:L,5,0),"")</f>
        <v>6001</v>
      </c>
      <c r="F621" s="12" t="s">
        <v>655</v>
      </c>
      <c r="G621" s="16"/>
      <c r="H621" s="18"/>
      <c r="I621" s="27" t="str">
        <f>IFERROR(VLOOKUP(Tabulka2[[#This Row],[Pracovník]],DATA!A:L,11,0),"")</f>
        <v>BATZ 1</v>
      </c>
      <c r="J621" s="16"/>
      <c r="K621" s="19"/>
    </row>
    <row r="622" spans="1:11" x14ac:dyDescent="0.25">
      <c r="A6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22" s="22">
        <v>45929</v>
      </c>
      <c r="C622" s="16" t="s">
        <v>25</v>
      </c>
      <c r="D622" s="16" t="s">
        <v>686</v>
      </c>
      <c r="E622" s="17">
        <f>IFERROR(VLOOKUP(Tabulka2[[#This Row],[Pracovník]],DATA!A:L,5,0),"")</f>
        <v>6573</v>
      </c>
      <c r="F622" s="12" t="s">
        <v>655</v>
      </c>
      <c r="G622" s="16"/>
      <c r="H622" s="18"/>
      <c r="I622" s="27" t="str">
        <f>IFERROR(VLOOKUP(Tabulka2[[#This Row],[Pracovník]],DATA!A:L,11,0),"")</f>
        <v>BATZ 1</v>
      </c>
      <c r="J622" s="16"/>
      <c r="K622" s="19"/>
    </row>
    <row r="623" spans="1:11" x14ac:dyDescent="0.25">
      <c r="A6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23" s="22">
        <v>45929</v>
      </c>
      <c r="C623" s="16" t="s">
        <v>25</v>
      </c>
      <c r="D623" s="16" t="s">
        <v>687</v>
      </c>
      <c r="E623" s="17">
        <f>IFERROR(VLOOKUP(Tabulka2[[#This Row],[Pracovník]],DATA!A:L,5,0),"")</f>
        <v>5129</v>
      </c>
      <c r="F623" s="12" t="s">
        <v>640</v>
      </c>
      <c r="G623" s="16"/>
      <c r="H623" s="18"/>
      <c r="I623" s="27" t="str">
        <f>IFERROR(VLOOKUP(Tabulka2[[#This Row],[Pracovník]],DATA!A:L,11,0),"")</f>
        <v>BATZ 1</v>
      </c>
      <c r="J623" s="16"/>
      <c r="K623" s="19"/>
    </row>
    <row r="624" spans="1:11" x14ac:dyDescent="0.25">
      <c r="A6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24" s="22">
        <v>45929</v>
      </c>
      <c r="C624" s="16" t="s">
        <v>25</v>
      </c>
      <c r="D624" s="16" t="s">
        <v>688</v>
      </c>
      <c r="E624" s="17">
        <f>IFERROR(VLOOKUP(Tabulka2[[#This Row],[Pracovník]],DATA!A:L,5,0),"")</f>
        <v>5663</v>
      </c>
      <c r="F624" s="12" t="s">
        <v>653</v>
      </c>
      <c r="G624" s="16" t="s">
        <v>657</v>
      </c>
      <c r="H624" s="18"/>
      <c r="I624" s="27" t="str">
        <f>IFERROR(VLOOKUP(Tabulka2[[#This Row],[Pracovník]],DATA!A:L,11,0),"")</f>
        <v>BATZ 1</v>
      </c>
      <c r="J624" s="16"/>
      <c r="K624" s="19"/>
    </row>
    <row r="625" spans="1:11" x14ac:dyDescent="0.25">
      <c r="A6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25" s="22">
        <v>45929</v>
      </c>
      <c r="C625" s="16" t="s">
        <v>25</v>
      </c>
      <c r="D625" s="16" t="s">
        <v>690</v>
      </c>
      <c r="E625" s="17">
        <f>IFERROR(VLOOKUP(Tabulka2[[#This Row],[Pracovník]],DATA!A:L,5,0),"")</f>
        <v>4501</v>
      </c>
      <c r="F625" s="12" t="s">
        <v>653</v>
      </c>
      <c r="G625" s="16" t="s">
        <v>657</v>
      </c>
      <c r="H625" s="18"/>
      <c r="I625" s="27" t="str">
        <f>IFERROR(VLOOKUP(Tabulka2[[#This Row],[Pracovník]],DATA!A:L,11,0),"")</f>
        <v>BATZ 2</v>
      </c>
      <c r="J625" s="16"/>
      <c r="K625" s="19"/>
    </row>
    <row r="626" spans="1:11" x14ac:dyDescent="0.25">
      <c r="A6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26" s="22">
        <v>45929</v>
      </c>
      <c r="C626" s="16" t="s">
        <v>25</v>
      </c>
      <c r="D626" s="16" t="s">
        <v>689</v>
      </c>
      <c r="E626" s="17">
        <f>IFERROR(VLOOKUP(Tabulka2[[#This Row],[Pracovník]],DATA!A:L,5,0),"")</f>
        <v>4936</v>
      </c>
      <c r="F626" s="12" t="s">
        <v>655</v>
      </c>
      <c r="G626" s="16"/>
      <c r="H626" s="18"/>
      <c r="I626" s="27" t="str">
        <f>IFERROR(VLOOKUP(Tabulka2[[#This Row],[Pracovník]],DATA!A:L,11,0),"")</f>
        <v>BATZ 1</v>
      </c>
      <c r="J626" s="16"/>
      <c r="K626" s="19"/>
    </row>
    <row r="627" spans="1:11" x14ac:dyDescent="0.25">
      <c r="A6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27" s="22">
        <v>45929</v>
      </c>
      <c r="C627" s="16" t="s">
        <v>25</v>
      </c>
      <c r="D627" s="16" t="s">
        <v>695</v>
      </c>
      <c r="E627" s="17">
        <f>IFERROR(VLOOKUP(Tabulka2[[#This Row],[Pracovník]],DATA!A:L,5,0),"")</f>
        <v>3728</v>
      </c>
      <c r="F627" s="12" t="s">
        <v>655</v>
      </c>
      <c r="G627" s="16"/>
      <c r="H627" s="18"/>
      <c r="I627" s="27" t="str">
        <f>IFERROR(VLOOKUP(Tabulka2[[#This Row],[Pracovník]],DATA!A:L,11,0),"")</f>
        <v>BATZ 1</v>
      </c>
      <c r="J627" s="16"/>
      <c r="K627" s="19"/>
    </row>
    <row r="628" spans="1:11" x14ac:dyDescent="0.25">
      <c r="A6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28" s="22">
        <v>45929</v>
      </c>
      <c r="C628" s="16" t="s">
        <v>25</v>
      </c>
      <c r="D628" s="16" t="s">
        <v>691</v>
      </c>
      <c r="E628" s="17">
        <f>IFERROR(VLOOKUP(Tabulka2[[#This Row],[Pracovník]],DATA!A:L,5,0),"")</f>
        <v>4955</v>
      </c>
      <c r="F628" s="12" t="s">
        <v>640</v>
      </c>
      <c r="G628" s="16"/>
      <c r="H628" s="18"/>
      <c r="I628" s="27" t="str">
        <f>IFERROR(VLOOKUP(Tabulka2[[#This Row],[Pracovník]],DATA!A:L,11,0),"")</f>
        <v>BATZ 1</v>
      </c>
      <c r="J628" s="16"/>
      <c r="K628" s="19"/>
    </row>
    <row r="629" spans="1:11" x14ac:dyDescent="0.25">
      <c r="A6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29" s="22">
        <v>45929</v>
      </c>
      <c r="C629" s="16" t="s">
        <v>25</v>
      </c>
      <c r="D629" s="16" t="s">
        <v>692</v>
      </c>
      <c r="E629" s="17">
        <f>IFERROR(VLOOKUP(Tabulka2[[#This Row],[Pracovník]],DATA!A:L,5,0),"")</f>
        <v>6568</v>
      </c>
      <c r="F629" s="12" t="s">
        <v>654</v>
      </c>
      <c r="G629" s="16"/>
      <c r="H629" s="18"/>
      <c r="I629" s="27" t="str">
        <f>IFERROR(VLOOKUP(Tabulka2[[#This Row],[Pracovník]],DATA!A:L,11,0),"")</f>
        <v>BATZ 2</v>
      </c>
      <c r="J629" s="16"/>
      <c r="K629" s="19"/>
    </row>
    <row r="630" spans="1:11" x14ac:dyDescent="0.25">
      <c r="A6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30" s="22">
        <v>45929</v>
      </c>
      <c r="C630" s="16" t="s">
        <v>25</v>
      </c>
      <c r="D630" s="16" t="s">
        <v>693</v>
      </c>
      <c r="E630" s="17">
        <f>IFERROR(VLOOKUP(Tabulka2[[#This Row],[Pracovník]],DATA!A:L,5,0),"")</f>
        <v>3721</v>
      </c>
      <c r="F630" s="12" t="s">
        <v>640</v>
      </c>
      <c r="G630" s="16"/>
      <c r="H630" s="18"/>
      <c r="I630" s="27" t="str">
        <f>IFERROR(VLOOKUP(Tabulka2[[#This Row],[Pracovník]],DATA!A:L,11,0),"")</f>
        <v>BATZ 1</v>
      </c>
      <c r="J630" s="16"/>
      <c r="K630" s="19"/>
    </row>
    <row r="631" spans="1:11" x14ac:dyDescent="0.25">
      <c r="A6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31" s="22">
        <v>45929</v>
      </c>
      <c r="C631" s="16" t="s">
        <v>25</v>
      </c>
      <c r="D631" s="16" t="s">
        <v>694</v>
      </c>
      <c r="E631" s="17">
        <f>IFERROR(VLOOKUP(Tabulka2[[#This Row],[Pracovník]],DATA!A:L,5,0),"")</f>
        <v>6110</v>
      </c>
      <c r="F631" s="12" t="s">
        <v>655</v>
      </c>
      <c r="G631" s="16"/>
      <c r="H631" s="18"/>
      <c r="I631" s="27" t="str">
        <f>IFERROR(VLOOKUP(Tabulka2[[#This Row],[Pracovník]],DATA!A:L,11,0),"")</f>
        <v>BATZ 1</v>
      </c>
      <c r="J631" s="16"/>
      <c r="K631" s="19"/>
    </row>
    <row r="632" spans="1:11" x14ac:dyDescent="0.25">
      <c r="A6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32" s="22">
        <v>45929</v>
      </c>
      <c r="C632" s="16" t="s">
        <v>25</v>
      </c>
      <c r="D632" s="16" t="s">
        <v>696</v>
      </c>
      <c r="E632" s="17">
        <f>IFERROR(VLOOKUP(Tabulka2[[#This Row],[Pracovník]],DATA!A:L,5,0),"")</f>
        <v>0</v>
      </c>
      <c r="F632" s="12" t="s">
        <v>640</v>
      </c>
      <c r="G632" s="16"/>
      <c r="H632" s="18"/>
      <c r="I632" s="27" t="str">
        <f>IFERROR(VLOOKUP(Tabulka2[[#This Row],[Pracovník]],DATA!A:L,11,0),"")</f>
        <v>BATZ 1</v>
      </c>
      <c r="J632" s="16"/>
      <c r="K632" s="19"/>
    </row>
    <row r="633" spans="1:11" x14ac:dyDescent="0.25">
      <c r="A6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33" s="22">
        <v>45929</v>
      </c>
      <c r="C633" s="16" t="s">
        <v>25</v>
      </c>
      <c r="D633" s="16" t="s">
        <v>697</v>
      </c>
      <c r="E633" s="17">
        <f>IFERROR(VLOOKUP(Tabulka2[[#This Row],[Pracovník]],DATA!A:L,5,0),"")</f>
        <v>6330</v>
      </c>
      <c r="F633" s="12" t="s">
        <v>655</v>
      </c>
      <c r="G633" s="16"/>
      <c r="H633" s="18"/>
      <c r="I633" s="27" t="str">
        <f>IFERROR(VLOOKUP(Tabulka2[[#This Row],[Pracovník]],DATA!A:L,11,0),"")</f>
        <v>BATZ 2</v>
      </c>
      <c r="J633" s="16"/>
      <c r="K633" s="19"/>
    </row>
    <row r="634" spans="1:11" x14ac:dyDescent="0.25">
      <c r="A6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34" s="22">
        <v>45929</v>
      </c>
      <c r="C634" s="16" t="s">
        <v>25</v>
      </c>
      <c r="D634" s="16" t="s">
        <v>698</v>
      </c>
      <c r="E634" s="17">
        <f>IFERROR(VLOOKUP(Tabulka2[[#This Row],[Pracovník]],DATA!A:L,5,0),"")</f>
        <v>5828</v>
      </c>
      <c r="F634" s="12" t="s">
        <v>640</v>
      </c>
      <c r="G634" s="16"/>
      <c r="H634" s="18"/>
      <c r="I634" s="27" t="str">
        <f>IFERROR(VLOOKUP(Tabulka2[[#This Row],[Pracovník]],DATA!A:L,11,0),"")</f>
        <v>BATZ 1</v>
      </c>
      <c r="J634" s="16"/>
      <c r="K634" s="19"/>
    </row>
    <row r="635" spans="1:11" x14ac:dyDescent="0.25">
      <c r="A6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35" s="22">
        <v>45929</v>
      </c>
      <c r="C635" s="16" t="s">
        <v>25</v>
      </c>
      <c r="D635" s="16" t="s">
        <v>699</v>
      </c>
      <c r="E635" s="17">
        <f>IFERROR(VLOOKUP(Tabulka2[[#This Row],[Pracovník]],DATA!A:L,5,0),"")</f>
        <v>4775</v>
      </c>
      <c r="F635" s="12" t="s">
        <v>655</v>
      </c>
      <c r="G635" s="16"/>
      <c r="H635" s="18"/>
      <c r="I635" s="27" t="str">
        <f>IFERROR(VLOOKUP(Tabulka2[[#This Row],[Pracovník]],DATA!A:L,11,0),"")</f>
        <v>BATZ 2</v>
      </c>
      <c r="J635" s="16"/>
      <c r="K635" s="19"/>
    </row>
    <row r="636" spans="1:11" x14ac:dyDescent="0.25">
      <c r="A6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36" s="22">
        <v>45929</v>
      </c>
      <c r="C636" s="16" t="s">
        <v>25</v>
      </c>
      <c r="D636" s="16" t="s">
        <v>971</v>
      </c>
      <c r="E636" s="17">
        <f>IFERROR(VLOOKUP(Tabulka2[[#This Row],[Pracovník]],DATA!A:L,5,0),"")</f>
        <v>6551</v>
      </c>
      <c r="F636" s="12" t="s">
        <v>653</v>
      </c>
      <c r="G636" s="16" t="s">
        <v>659</v>
      </c>
      <c r="H636" s="18"/>
      <c r="I636" s="27" t="str">
        <f>IFERROR(VLOOKUP(Tabulka2[[#This Row],[Pracovník]],DATA!A:L,11,0),"")</f>
        <v>BATZ 1</v>
      </c>
      <c r="J636" s="16"/>
      <c r="K636" s="19" t="s">
        <v>1005</v>
      </c>
    </row>
    <row r="637" spans="1:11" x14ac:dyDescent="0.25">
      <c r="A6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37" s="22">
        <v>45929</v>
      </c>
      <c r="C637" s="16" t="s">
        <v>25</v>
      </c>
      <c r="D637" s="16" t="s">
        <v>700</v>
      </c>
      <c r="E637" s="17">
        <f>IFERROR(VLOOKUP(Tabulka2[[#This Row],[Pracovník]],DATA!A:L,5,0),"")</f>
        <v>5665</v>
      </c>
      <c r="F637" s="12" t="s">
        <v>653</v>
      </c>
      <c r="G637" s="16" t="s">
        <v>657</v>
      </c>
      <c r="H637" s="18"/>
      <c r="I637" s="27" t="str">
        <f>IFERROR(VLOOKUP(Tabulka2[[#This Row],[Pracovník]],DATA!A:L,11,0),"")</f>
        <v>BATZ 1</v>
      </c>
      <c r="J637" s="16"/>
      <c r="K637" s="19"/>
    </row>
    <row r="638" spans="1:11" x14ac:dyDescent="0.25">
      <c r="A6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38" s="22">
        <v>45929</v>
      </c>
      <c r="C638" s="16" t="s">
        <v>25</v>
      </c>
      <c r="D638" s="16" t="s">
        <v>701</v>
      </c>
      <c r="E638" s="17">
        <f>IFERROR(VLOOKUP(Tabulka2[[#This Row],[Pracovník]],DATA!A:L,5,0),"")</f>
        <v>2463</v>
      </c>
      <c r="F638" s="12" t="s">
        <v>654</v>
      </c>
      <c r="G638" s="16"/>
      <c r="H638" s="18"/>
      <c r="I638" s="27" t="str">
        <f>IFERROR(VLOOKUP(Tabulka2[[#This Row],[Pracovník]],DATA!A:L,11,0),"")</f>
        <v>Vlastní auto</v>
      </c>
      <c r="J638" s="16"/>
      <c r="K638" s="19"/>
    </row>
    <row r="639" spans="1:11" x14ac:dyDescent="0.25">
      <c r="A6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39" s="22">
        <v>45929</v>
      </c>
      <c r="C639" s="16" t="s">
        <v>25</v>
      </c>
      <c r="D639" s="16" t="s">
        <v>702</v>
      </c>
      <c r="E639" s="17">
        <f>IFERROR(VLOOKUP(Tabulka2[[#This Row],[Pracovník]],DATA!A:L,5,0),"")</f>
        <v>6536</v>
      </c>
      <c r="F639" s="12" t="s">
        <v>654</v>
      </c>
      <c r="G639" s="16"/>
      <c r="H639" s="18"/>
      <c r="I639" s="27" t="str">
        <f>IFERROR(VLOOKUP(Tabulka2[[#This Row],[Pracovník]],DATA!A:L,11,0),"")</f>
        <v>BATZ 2</v>
      </c>
      <c r="J639" s="16"/>
      <c r="K639" s="19"/>
    </row>
    <row r="640" spans="1:11" x14ac:dyDescent="0.25">
      <c r="A6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40" s="22">
        <v>45929</v>
      </c>
      <c r="C640" s="16" t="s">
        <v>25</v>
      </c>
      <c r="D640" s="16" t="s">
        <v>703</v>
      </c>
      <c r="E640" s="17">
        <f>IFERROR(VLOOKUP(Tabulka2[[#This Row],[Pracovník]],DATA!A:L,5,0),"")</f>
        <v>4748</v>
      </c>
      <c r="F640" s="12" t="s">
        <v>640</v>
      </c>
      <c r="G640" s="16"/>
      <c r="H640" s="18"/>
      <c r="I640" s="27" t="str">
        <f>IFERROR(VLOOKUP(Tabulka2[[#This Row],[Pracovník]],DATA!A:L,11,0),"")</f>
        <v>BATZ 1</v>
      </c>
      <c r="J640" s="16"/>
      <c r="K640" s="19"/>
    </row>
    <row r="641" spans="1:11" x14ac:dyDescent="0.25">
      <c r="A6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41" s="22">
        <v>45929</v>
      </c>
      <c r="C641" s="16" t="s">
        <v>25</v>
      </c>
      <c r="D641" s="16" t="s">
        <v>972</v>
      </c>
      <c r="E641" s="17">
        <f>IFERROR(VLOOKUP(Tabulka2[[#This Row],[Pracovník]],DATA!A:L,5,0),"")</f>
        <v>6077</v>
      </c>
      <c r="F641" s="12" t="s">
        <v>653</v>
      </c>
      <c r="G641" s="16" t="s">
        <v>657</v>
      </c>
      <c r="H641" s="18"/>
      <c r="I641" s="27" t="str">
        <f>IFERROR(VLOOKUP(Tabulka2[[#This Row],[Pracovník]],DATA!A:L,11,0),"")</f>
        <v>BATZ 2</v>
      </c>
      <c r="J641" s="16"/>
      <c r="K641" s="19"/>
    </row>
    <row r="642" spans="1:11" x14ac:dyDescent="0.25">
      <c r="A6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42" s="22">
        <v>45929</v>
      </c>
      <c r="C642" s="16" t="s">
        <v>25</v>
      </c>
      <c r="D642" s="16" t="s">
        <v>704</v>
      </c>
      <c r="E642" s="17">
        <f>IFERROR(VLOOKUP(Tabulka2[[#This Row],[Pracovník]],DATA!A:L,5,0),"")</f>
        <v>6574</v>
      </c>
      <c r="F642" s="12" t="s">
        <v>655</v>
      </c>
      <c r="G642" s="16"/>
      <c r="H642" s="18"/>
      <c r="I642" s="27" t="str">
        <f>IFERROR(VLOOKUP(Tabulka2[[#This Row],[Pracovník]],DATA!A:L,11,0),"")</f>
        <v>BATZ 1</v>
      </c>
      <c r="J642" s="16"/>
      <c r="K642" s="19"/>
    </row>
    <row r="643" spans="1:11" x14ac:dyDescent="0.25">
      <c r="A6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43" s="22">
        <v>45929</v>
      </c>
      <c r="C643" s="16" t="s">
        <v>25</v>
      </c>
      <c r="D643" s="16" t="s">
        <v>705</v>
      </c>
      <c r="E643" s="17">
        <f>IFERROR(VLOOKUP(Tabulka2[[#This Row],[Pracovník]],DATA!A:L,5,0),"")</f>
        <v>4720</v>
      </c>
      <c r="F643" s="12" t="s">
        <v>654</v>
      </c>
      <c r="G643" s="16"/>
      <c r="H643" s="18"/>
      <c r="I643" s="27" t="str">
        <f>IFERROR(VLOOKUP(Tabulka2[[#This Row],[Pracovník]],DATA!A:L,11,0),"")</f>
        <v>BATZ 2</v>
      </c>
      <c r="J643" s="16"/>
      <c r="K643" s="19"/>
    </row>
    <row r="644" spans="1:11" x14ac:dyDescent="0.25">
      <c r="A6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44" s="22">
        <v>45929</v>
      </c>
      <c r="C644" s="16" t="s">
        <v>25</v>
      </c>
      <c r="D644" s="16" t="s">
        <v>706</v>
      </c>
      <c r="E644" s="17">
        <f>IFERROR(VLOOKUP(Tabulka2[[#This Row],[Pracovník]],DATA!A:L,5,0),"")</f>
        <v>6409</v>
      </c>
      <c r="F644" s="12" t="s">
        <v>655</v>
      </c>
      <c r="G644" s="16"/>
      <c r="H644" s="18"/>
      <c r="I644" s="27" t="str">
        <f>IFERROR(VLOOKUP(Tabulka2[[#This Row],[Pracovník]],DATA!A:L,11,0),"")</f>
        <v>Vlastní auto</v>
      </c>
      <c r="J644" s="16"/>
      <c r="K644" s="19"/>
    </row>
    <row r="645" spans="1:11" x14ac:dyDescent="0.25">
      <c r="A6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45" s="22">
        <v>45929</v>
      </c>
      <c r="C645" s="16" t="s">
        <v>25</v>
      </c>
      <c r="D645" s="16" t="s">
        <v>707</v>
      </c>
      <c r="E645" s="17">
        <f>IFERROR(VLOOKUP(Tabulka2[[#This Row],[Pracovník]],DATA!A:L,5,0),"")</f>
        <v>3396</v>
      </c>
      <c r="F645" s="12" t="s">
        <v>654</v>
      </c>
      <c r="G645" s="16"/>
      <c r="H645" s="18"/>
      <c r="I645" s="27" t="str">
        <f>IFERROR(VLOOKUP(Tabulka2[[#This Row],[Pracovník]],DATA!A:L,11,0),"")</f>
        <v>BATZ 1</v>
      </c>
      <c r="J645" s="16"/>
      <c r="K645" s="19"/>
    </row>
    <row r="646" spans="1:11" x14ac:dyDescent="0.25">
      <c r="A6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46" s="22">
        <v>45929</v>
      </c>
      <c r="C646" s="16" t="s">
        <v>25</v>
      </c>
      <c r="D646" s="16" t="s">
        <v>708</v>
      </c>
      <c r="E646" s="17">
        <f>IFERROR(VLOOKUP(Tabulka2[[#This Row],[Pracovník]],DATA!A:L,5,0),"")</f>
        <v>6376</v>
      </c>
      <c r="F646" s="12" t="s">
        <v>654</v>
      </c>
      <c r="G646" s="16"/>
      <c r="H646" s="18"/>
      <c r="I646" s="27" t="str">
        <f>IFERROR(VLOOKUP(Tabulka2[[#This Row],[Pracovník]],DATA!A:L,11,0),"")</f>
        <v>BATZ 2</v>
      </c>
      <c r="J646" s="16"/>
      <c r="K646" s="19"/>
    </row>
    <row r="647" spans="1:11" x14ac:dyDescent="0.25">
      <c r="A6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47" s="22">
        <v>45929</v>
      </c>
      <c r="C647" s="16" t="s">
        <v>25</v>
      </c>
      <c r="D647" s="16" t="s">
        <v>709</v>
      </c>
      <c r="E647" s="17">
        <f>IFERROR(VLOOKUP(Tabulka2[[#This Row],[Pracovník]],DATA!A:L,5,0),"")</f>
        <v>5014</v>
      </c>
      <c r="F647" s="12" t="s">
        <v>654</v>
      </c>
      <c r="G647" s="16"/>
      <c r="H647" s="18"/>
      <c r="I647" s="27" t="str">
        <f>IFERROR(VLOOKUP(Tabulka2[[#This Row],[Pracovník]],DATA!A:L,11,0),"")</f>
        <v>BATZ 2</v>
      </c>
      <c r="J647" s="16"/>
      <c r="K647" s="19"/>
    </row>
    <row r="648" spans="1:11" x14ac:dyDescent="0.25">
      <c r="A6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48" s="22">
        <v>45929</v>
      </c>
      <c r="C648" s="16" t="s">
        <v>25</v>
      </c>
      <c r="D648" s="16" t="s">
        <v>710</v>
      </c>
      <c r="E648" s="17">
        <f>IFERROR(VLOOKUP(Tabulka2[[#This Row],[Pracovník]],DATA!A:L,5,0),"")</f>
        <v>3369</v>
      </c>
      <c r="F648" s="12" t="s">
        <v>640</v>
      </c>
      <c r="G648" s="16"/>
      <c r="H648" s="18"/>
      <c r="I648" s="27" t="str">
        <f>IFERROR(VLOOKUP(Tabulka2[[#This Row],[Pracovník]],DATA!A:L,11,0),"")</f>
        <v>BATZ 1</v>
      </c>
      <c r="J648" s="16"/>
      <c r="K648" s="19"/>
    </row>
    <row r="649" spans="1:11" x14ac:dyDescent="0.25">
      <c r="A6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49" s="22">
        <v>45929</v>
      </c>
      <c r="C649" s="16" t="s">
        <v>25</v>
      </c>
      <c r="D649" s="16" t="s">
        <v>711</v>
      </c>
      <c r="E649" s="17">
        <f>IFERROR(VLOOKUP(Tabulka2[[#This Row],[Pracovník]],DATA!A:L,5,0),"")</f>
        <v>6576</v>
      </c>
      <c r="F649" s="12" t="s">
        <v>640</v>
      </c>
      <c r="G649" s="16"/>
      <c r="H649" s="18"/>
      <c r="I649" s="27" t="str">
        <f>IFERROR(VLOOKUP(Tabulka2[[#This Row],[Pracovník]],DATA!A:L,11,0),"")</f>
        <v>BATZ 1</v>
      </c>
      <c r="J649" s="16"/>
      <c r="K649" s="19"/>
    </row>
    <row r="650" spans="1:11" x14ac:dyDescent="0.25">
      <c r="A6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50" s="22">
        <v>45929</v>
      </c>
      <c r="C650" s="16" t="s">
        <v>25</v>
      </c>
      <c r="D650" s="16" t="s">
        <v>712</v>
      </c>
      <c r="E650" s="17">
        <f>IFERROR(VLOOKUP(Tabulka2[[#This Row],[Pracovník]],DATA!A:L,5,0),"")</f>
        <v>6352</v>
      </c>
      <c r="F650" s="12" t="s">
        <v>654</v>
      </c>
      <c r="G650" s="16"/>
      <c r="H650" s="18"/>
      <c r="I650" s="27" t="str">
        <f>IFERROR(VLOOKUP(Tabulka2[[#This Row],[Pracovník]],DATA!A:L,11,0),"")</f>
        <v>BATZ 1</v>
      </c>
      <c r="J650" s="16"/>
      <c r="K650" s="19"/>
    </row>
    <row r="651" spans="1:11" x14ac:dyDescent="0.25">
      <c r="A6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51" s="22">
        <v>45929</v>
      </c>
      <c r="C651" s="16" t="s">
        <v>25</v>
      </c>
      <c r="D651" s="16" t="s">
        <v>974</v>
      </c>
      <c r="E651" s="17">
        <f>IFERROR(VLOOKUP(Tabulka2[[#This Row],[Pracovník]],DATA!A:L,5,0),"")</f>
        <v>5009</v>
      </c>
      <c r="F651" s="12" t="s">
        <v>653</v>
      </c>
      <c r="G651" s="16"/>
      <c r="H651" s="18"/>
      <c r="I651" s="27" t="str">
        <f>IFERROR(VLOOKUP(Tabulka2[[#This Row],[Pracovník]],DATA!A:L,11,0),"")</f>
        <v>BATZ 1</v>
      </c>
      <c r="J651" s="16"/>
      <c r="K651" s="19" t="s">
        <v>1006</v>
      </c>
    </row>
    <row r="652" spans="1:11" x14ac:dyDescent="0.25">
      <c r="A6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52" s="22">
        <v>45929</v>
      </c>
      <c r="C652" s="16" t="s">
        <v>25</v>
      </c>
      <c r="D652" s="16" t="s">
        <v>975</v>
      </c>
      <c r="E652" s="17">
        <f>IFERROR(VLOOKUP(Tabulka2[[#This Row],[Pracovník]],DATA!A:L,5,0),"")</f>
        <v>6251</v>
      </c>
      <c r="F652" s="12" t="s">
        <v>653</v>
      </c>
      <c r="G652" s="16"/>
      <c r="H652" s="18"/>
      <c r="I652" s="27" t="str">
        <f>IFERROR(VLOOKUP(Tabulka2[[#This Row],[Pracovník]],DATA!A:L,11,0),"")</f>
        <v>BATZ 1</v>
      </c>
      <c r="J652" s="16"/>
      <c r="K652" s="19" t="s">
        <v>1007</v>
      </c>
    </row>
    <row r="653" spans="1:11" x14ac:dyDescent="0.25">
      <c r="A6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53" s="22">
        <v>45929</v>
      </c>
      <c r="C653" s="16" t="s">
        <v>25</v>
      </c>
      <c r="D653" s="16" t="s">
        <v>713</v>
      </c>
      <c r="E653" s="17">
        <f>IFERROR(VLOOKUP(Tabulka2[[#This Row],[Pracovník]],DATA!A:L,5,0),"")</f>
        <v>6507</v>
      </c>
      <c r="F653" s="12" t="s">
        <v>653</v>
      </c>
      <c r="G653" s="16"/>
      <c r="H653" s="18"/>
      <c r="I653" s="27" t="str">
        <f>IFERROR(VLOOKUP(Tabulka2[[#This Row],[Pracovník]],DATA!A:L,11,0),"")</f>
        <v>BATZ 1</v>
      </c>
      <c r="J653" s="16"/>
      <c r="K653" s="19"/>
    </row>
    <row r="654" spans="1:11" x14ac:dyDescent="0.25">
      <c r="A6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54" s="22">
        <v>45929</v>
      </c>
      <c r="C654" s="16" t="s">
        <v>25</v>
      </c>
      <c r="D654" s="16" t="s">
        <v>976</v>
      </c>
      <c r="E654" s="17">
        <f>IFERROR(VLOOKUP(Tabulka2[[#This Row],[Pracovník]],DATA!A:L,5,0),"")</f>
        <v>6346</v>
      </c>
      <c r="F654" s="12" t="s">
        <v>653</v>
      </c>
      <c r="G654" s="16"/>
      <c r="H654" s="18"/>
      <c r="I654" s="27" t="str">
        <f>IFERROR(VLOOKUP(Tabulka2[[#This Row],[Pracovník]],DATA!A:L,11,0),"")</f>
        <v>BATZ 1</v>
      </c>
      <c r="J654" s="16"/>
      <c r="K654" s="19"/>
    </row>
    <row r="655" spans="1:11" x14ac:dyDescent="0.25">
      <c r="A6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55" s="22">
        <v>45929</v>
      </c>
      <c r="C655" s="16" t="s">
        <v>25</v>
      </c>
      <c r="D655" s="16" t="s">
        <v>714</v>
      </c>
      <c r="E655" s="17">
        <f>IFERROR(VLOOKUP(Tabulka2[[#This Row],[Pracovník]],DATA!A:L,5,0),"")</f>
        <v>4972</v>
      </c>
      <c r="F655" s="12" t="s">
        <v>653</v>
      </c>
      <c r="G655" s="16"/>
      <c r="H655" s="18"/>
      <c r="I655" s="27" t="str">
        <f>IFERROR(VLOOKUP(Tabulka2[[#This Row],[Pracovník]],DATA!A:L,11,0),"")</f>
        <v>BATZ 2</v>
      </c>
      <c r="J655" s="16"/>
      <c r="K655" s="19"/>
    </row>
    <row r="656" spans="1:11" x14ac:dyDescent="0.25">
      <c r="A6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56" s="22">
        <v>45929</v>
      </c>
      <c r="C656" s="16" t="s">
        <v>25</v>
      </c>
      <c r="D656" s="16" t="s">
        <v>715</v>
      </c>
      <c r="E656" s="17">
        <f>IFERROR(VLOOKUP(Tabulka2[[#This Row],[Pracovník]],DATA!A:L,5,0),"")</f>
        <v>2230</v>
      </c>
      <c r="F656" s="12" t="s">
        <v>653</v>
      </c>
      <c r="G656" s="16" t="s">
        <v>656</v>
      </c>
      <c r="H656" s="18"/>
      <c r="I656" s="27" t="str">
        <f>IFERROR(VLOOKUP(Tabulka2[[#This Row],[Pracovník]],DATA!A:L,11,0),"")</f>
        <v>BATZ 1</v>
      </c>
      <c r="J656" s="16"/>
      <c r="K656" s="19"/>
    </row>
    <row r="657" spans="1:11" x14ac:dyDescent="0.25">
      <c r="A6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57" s="22">
        <v>45929</v>
      </c>
      <c r="C657" s="16" t="s">
        <v>25</v>
      </c>
      <c r="D657" s="16" t="s">
        <v>716</v>
      </c>
      <c r="E657" s="17">
        <f>IFERROR(VLOOKUP(Tabulka2[[#This Row],[Pracovník]],DATA!A:L,5,0),"")</f>
        <v>5310</v>
      </c>
      <c r="F657" s="12" t="s">
        <v>653</v>
      </c>
      <c r="G657" s="16"/>
      <c r="H657" s="18"/>
      <c r="I657" s="27" t="str">
        <f>IFERROR(VLOOKUP(Tabulka2[[#This Row],[Pracovník]],DATA!A:L,11,0),"")</f>
        <v>BATZ 1</v>
      </c>
      <c r="J657" s="16"/>
      <c r="K657" s="19"/>
    </row>
    <row r="658" spans="1:11" x14ac:dyDescent="0.25">
      <c r="A6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58" s="22">
        <v>45929</v>
      </c>
      <c r="C658" s="16" t="s">
        <v>25</v>
      </c>
      <c r="D658" s="16" t="s">
        <v>717</v>
      </c>
      <c r="E658" s="17">
        <f>IFERROR(VLOOKUP(Tabulka2[[#This Row],[Pracovník]],DATA!A:L,5,0),"")</f>
        <v>5948</v>
      </c>
      <c r="F658" s="12" t="s">
        <v>653</v>
      </c>
      <c r="G658" s="16"/>
      <c r="H658" s="18"/>
      <c r="I658" s="27" t="str">
        <f>IFERROR(VLOOKUP(Tabulka2[[#This Row],[Pracovník]],DATA!A:L,11,0),"")</f>
        <v>BATZ 1</v>
      </c>
      <c r="J658" s="16"/>
      <c r="K658" s="19"/>
    </row>
    <row r="659" spans="1:11" x14ac:dyDescent="0.25">
      <c r="A6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59" s="22">
        <v>45929</v>
      </c>
      <c r="C659" s="16" t="s">
        <v>25</v>
      </c>
      <c r="D659" s="16" t="s">
        <v>718</v>
      </c>
      <c r="E659" s="17">
        <f>IFERROR(VLOOKUP(Tabulka2[[#This Row],[Pracovník]],DATA!A:L,5,0),"")</f>
        <v>6549</v>
      </c>
      <c r="F659" s="12" t="s">
        <v>653</v>
      </c>
      <c r="G659" s="16"/>
      <c r="H659" s="18"/>
      <c r="I659" s="27" t="str">
        <f>IFERROR(VLOOKUP(Tabulka2[[#This Row],[Pracovník]],DATA!A:L,11,0),"")</f>
        <v>BATZ 1</v>
      </c>
      <c r="J659" s="16"/>
      <c r="K659" s="19"/>
    </row>
    <row r="660" spans="1:11" x14ac:dyDescent="0.25">
      <c r="A6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60" s="22">
        <v>45929</v>
      </c>
      <c r="C660" s="16" t="s">
        <v>25</v>
      </c>
      <c r="D660" s="16" t="s">
        <v>977</v>
      </c>
      <c r="E660" s="17">
        <f>IFERROR(VLOOKUP(Tabulka2[[#This Row],[Pracovník]],DATA!A:L,5,0),"")</f>
        <v>6538</v>
      </c>
      <c r="F660" s="12" t="s">
        <v>653</v>
      </c>
      <c r="G660" s="16"/>
      <c r="H660" s="18"/>
      <c r="I660" s="27" t="str">
        <f>IFERROR(VLOOKUP(Tabulka2[[#This Row],[Pracovník]],DATA!A:L,11,0),"")</f>
        <v>BATZ 1</v>
      </c>
      <c r="J660" s="16"/>
      <c r="K660" s="19"/>
    </row>
    <row r="661" spans="1:11" x14ac:dyDescent="0.25">
      <c r="A6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61" s="22">
        <v>45929</v>
      </c>
      <c r="C661" s="16" t="s">
        <v>25</v>
      </c>
      <c r="D661" s="16" t="s">
        <v>719</v>
      </c>
      <c r="E661" s="17">
        <f>IFERROR(VLOOKUP(Tabulka2[[#This Row],[Pracovník]],DATA!A:L,5,0),"")</f>
        <v>5715</v>
      </c>
      <c r="F661" s="12" t="s">
        <v>653</v>
      </c>
      <c r="G661" s="16"/>
      <c r="H661" s="18"/>
      <c r="I661" s="27" t="str">
        <f>IFERROR(VLOOKUP(Tabulka2[[#This Row],[Pracovník]],DATA!A:L,11,0),"")</f>
        <v>BATZ 1</v>
      </c>
      <c r="J661" s="16"/>
      <c r="K661" s="19"/>
    </row>
    <row r="662" spans="1:11" x14ac:dyDescent="0.25">
      <c r="A6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62" s="22">
        <v>45929</v>
      </c>
      <c r="C662" s="16" t="s">
        <v>25</v>
      </c>
      <c r="D662" s="16" t="s">
        <v>720</v>
      </c>
      <c r="E662" s="17">
        <f>IFERROR(VLOOKUP(Tabulka2[[#This Row],[Pracovník]],DATA!A:L,5,0),"")</f>
        <v>4514</v>
      </c>
      <c r="F662" s="12" t="s">
        <v>653</v>
      </c>
      <c r="G662" s="16"/>
      <c r="H662" s="18"/>
      <c r="I662" s="27" t="str">
        <f>IFERROR(VLOOKUP(Tabulka2[[#This Row],[Pracovník]],DATA!A:L,11,0),"")</f>
        <v>BATZ 1</v>
      </c>
      <c r="J662" s="16"/>
      <c r="K662" s="19"/>
    </row>
    <row r="663" spans="1:11" x14ac:dyDescent="0.25">
      <c r="A6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63" s="22">
        <v>45929</v>
      </c>
      <c r="C663" s="16" t="s">
        <v>25</v>
      </c>
      <c r="D663" s="16" t="s">
        <v>721</v>
      </c>
      <c r="E663" s="17">
        <f>IFERROR(VLOOKUP(Tabulka2[[#This Row],[Pracovník]],DATA!A:L,5,0),"")</f>
        <v>5176</v>
      </c>
      <c r="F663" s="12" t="s">
        <v>653</v>
      </c>
      <c r="G663" s="16"/>
      <c r="H663" s="18"/>
      <c r="I663" s="27" t="str">
        <f>IFERROR(VLOOKUP(Tabulka2[[#This Row],[Pracovník]],DATA!A:L,11,0),"")</f>
        <v>BATZ 1</v>
      </c>
      <c r="J663" s="16"/>
      <c r="K663" s="19"/>
    </row>
    <row r="664" spans="1:11" x14ac:dyDescent="0.25">
      <c r="A6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64" s="22">
        <v>45929</v>
      </c>
      <c r="C664" s="16" t="s">
        <v>25</v>
      </c>
      <c r="D664" s="16" t="s">
        <v>722</v>
      </c>
      <c r="E664" s="17">
        <f>IFERROR(VLOOKUP(Tabulka2[[#This Row],[Pracovník]],DATA!A:L,5,0),"")</f>
        <v>4163</v>
      </c>
      <c r="F664" s="12" t="s">
        <v>653</v>
      </c>
      <c r="G664" s="16"/>
      <c r="H664" s="18"/>
      <c r="I664" s="27" t="str">
        <f>IFERROR(VLOOKUP(Tabulka2[[#This Row],[Pracovník]],DATA!A:L,11,0),"")</f>
        <v>BATZ 1</v>
      </c>
      <c r="J664" s="16"/>
      <c r="K664" s="19"/>
    </row>
    <row r="665" spans="1:11" x14ac:dyDescent="0.25">
      <c r="A6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65" s="22">
        <v>45929</v>
      </c>
      <c r="C665" s="16" t="s">
        <v>25</v>
      </c>
      <c r="D665" s="16" t="s">
        <v>723</v>
      </c>
      <c r="E665" s="17">
        <f>IFERROR(VLOOKUP(Tabulka2[[#This Row],[Pracovník]],DATA!A:L,5,0),"")</f>
        <v>3920</v>
      </c>
      <c r="F665" s="12" t="s">
        <v>653</v>
      </c>
      <c r="G665" s="16"/>
      <c r="H665" s="18"/>
      <c r="I665" s="27" t="str">
        <f>IFERROR(VLOOKUP(Tabulka2[[#This Row],[Pracovník]],DATA!A:L,11,0),"")</f>
        <v>BATZ 2</v>
      </c>
      <c r="J665" s="16"/>
      <c r="K665" s="19"/>
    </row>
    <row r="666" spans="1:11" x14ac:dyDescent="0.25">
      <c r="A6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66" s="22">
        <v>45929</v>
      </c>
      <c r="C666" s="16" t="s">
        <v>25</v>
      </c>
      <c r="D666" s="16" t="s">
        <v>724</v>
      </c>
      <c r="E666" s="17">
        <f>IFERROR(VLOOKUP(Tabulka2[[#This Row],[Pracovník]],DATA!A:L,5,0),"")</f>
        <v>3257</v>
      </c>
      <c r="F666" s="12" t="s">
        <v>653</v>
      </c>
      <c r="G666" s="16"/>
      <c r="H666" s="18"/>
      <c r="I666" s="27" t="str">
        <f>IFERROR(VLOOKUP(Tabulka2[[#This Row],[Pracovník]],DATA!A:L,11,0),"")</f>
        <v>BATZ 1</v>
      </c>
      <c r="J666" s="16"/>
      <c r="K666" s="19"/>
    </row>
    <row r="667" spans="1:11" x14ac:dyDescent="0.25">
      <c r="A6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67" s="22">
        <v>45929</v>
      </c>
      <c r="C667" s="16" t="s">
        <v>25</v>
      </c>
      <c r="D667" s="16" t="s">
        <v>725</v>
      </c>
      <c r="E667" s="17">
        <f>IFERROR(VLOOKUP(Tabulka2[[#This Row],[Pracovník]],DATA!A:L,5,0),"")</f>
        <v>3394</v>
      </c>
      <c r="F667" s="12" t="s">
        <v>653</v>
      </c>
      <c r="G667" s="16"/>
      <c r="H667" s="18"/>
      <c r="I667" s="27" t="str">
        <f>IFERROR(VLOOKUP(Tabulka2[[#This Row],[Pracovník]],DATA!A:L,11,0),"")</f>
        <v>BATZ 1</v>
      </c>
      <c r="J667" s="16"/>
      <c r="K667" s="19"/>
    </row>
    <row r="668" spans="1:11" x14ac:dyDescent="0.25">
      <c r="A6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68" s="22">
        <v>45929</v>
      </c>
      <c r="C668" s="16" t="s">
        <v>25</v>
      </c>
      <c r="D668" s="16" t="s">
        <v>726</v>
      </c>
      <c r="E668" s="17">
        <f>IFERROR(VLOOKUP(Tabulka2[[#This Row],[Pracovník]],DATA!A:L,5,0),"")</f>
        <v>4828</v>
      </c>
      <c r="F668" s="12" t="s">
        <v>653</v>
      </c>
      <c r="G668" s="16"/>
      <c r="H668" s="18"/>
      <c r="I668" s="27" t="str">
        <f>IFERROR(VLOOKUP(Tabulka2[[#This Row],[Pracovník]],DATA!A:L,11,0),"")</f>
        <v>BATZ 2</v>
      </c>
      <c r="J668" s="16"/>
      <c r="K668" s="19"/>
    </row>
    <row r="669" spans="1:11" x14ac:dyDescent="0.25">
      <c r="A6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69" s="22">
        <v>45929</v>
      </c>
      <c r="C669" s="16" t="s">
        <v>25</v>
      </c>
      <c r="D669" s="16" t="s">
        <v>727</v>
      </c>
      <c r="E669" s="17">
        <f>IFERROR(VLOOKUP(Tabulka2[[#This Row],[Pracovník]],DATA!A:L,5,0),"")</f>
        <v>4155</v>
      </c>
      <c r="F669" s="12" t="s">
        <v>653</v>
      </c>
      <c r="G669" s="16"/>
      <c r="H669" s="18"/>
      <c r="I669" s="27" t="str">
        <f>IFERROR(VLOOKUP(Tabulka2[[#This Row],[Pracovník]],DATA!A:L,11,0),"")</f>
        <v>BATZ 1</v>
      </c>
      <c r="J669" s="16"/>
      <c r="K669" s="19"/>
    </row>
    <row r="670" spans="1:11" x14ac:dyDescent="0.25">
      <c r="A6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70" s="22">
        <v>45929</v>
      </c>
      <c r="C670" s="16" t="s">
        <v>25</v>
      </c>
      <c r="D670" s="16" t="s">
        <v>728</v>
      </c>
      <c r="E670" s="17">
        <f>IFERROR(VLOOKUP(Tabulka2[[#This Row],[Pracovník]],DATA!A:L,5,0),"")</f>
        <v>0</v>
      </c>
      <c r="F670" s="12" t="s">
        <v>653</v>
      </c>
      <c r="G670" s="16"/>
      <c r="H670" s="18"/>
      <c r="I670" s="27" t="str">
        <f>IFERROR(VLOOKUP(Tabulka2[[#This Row],[Pracovník]],DATA!A:L,11,0),"")</f>
        <v>BATZ 1</v>
      </c>
      <c r="J670" s="16"/>
      <c r="K670" s="19"/>
    </row>
    <row r="671" spans="1:11" x14ac:dyDescent="0.25">
      <c r="A6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71" s="22">
        <v>45929</v>
      </c>
      <c r="C671" s="16" t="s">
        <v>25</v>
      </c>
      <c r="D671" s="16" t="s">
        <v>729</v>
      </c>
      <c r="E671" s="17">
        <f>IFERROR(VLOOKUP(Tabulka2[[#This Row],[Pracovník]],DATA!A:L,5,0),"")</f>
        <v>5179</v>
      </c>
      <c r="F671" s="12" t="s">
        <v>653</v>
      </c>
      <c r="G671" s="16"/>
      <c r="H671" s="18"/>
      <c r="I671" s="27" t="str">
        <f>IFERROR(VLOOKUP(Tabulka2[[#This Row],[Pracovník]],DATA!A:L,11,0),"")</f>
        <v>BATZ 1</v>
      </c>
      <c r="J671" s="16"/>
      <c r="K671" s="19"/>
    </row>
    <row r="672" spans="1:11" x14ac:dyDescent="0.25">
      <c r="A6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72" s="22">
        <v>45929</v>
      </c>
      <c r="C672" s="16" t="s">
        <v>25</v>
      </c>
      <c r="D672" s="16" t="s">
        <v>730</v>
      </c>
      <c r="E672" s="17">
        <f>IFERROR(VLOOKUP(Tabulka2[[#This Row],[Pracovník]],DATA!A:L,5,0),"")</f>
        <v>4912</v>
      </c>
      <c r="F672" s="12" t="s">
        <v>653</v>
      </c>
      <c r="G672" s="16" t="s">
        <v>658</v>
      </c>
      <c r="H672" s="18"/>
      <c r="I672" s="27" t="str">
        <f>IFERROR(VLOOKUP(Tabulka2[[#This Row],[Pracovník]],DATA!A:L,11,0),"")</f>
        <v>BATZ 2</v>
      </c>
      <c r="J672" s="16"/>
      <c r="K672" s="19"/>
    </row>
    <row r="673" spans="1:11" x14ac:dyDescent="0.25">
      <c r="A6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73" s="22">
        <v>45929</v>
      </c>
      <c r="C673" s="16" t="s">
        <v>25</v>
      </c>
      <c r="D673" s="16" t="s">
        <v>978</v>
      </c>
      <c r="E673" s="17">
        <f>IFERROR(VLOOKUP(Tabulka2[[#This Row],[Pracovník]],DATA!A:L,5,0),"")</f>
        <v>5208</v>
      </c>
      <c r="F673" s="12" t="s">
        <v>653</v>
      </c>
      <c r="G673" s="16"/>
      <c r="H673" s="18"/>
      <c r="I673" s="27" t="str">
        <f>IFERROR(VLOOKUP(Tabulka2[[#This Row],[Pracovník]],DATA!A:L,11,0),"")</f>
        <v>BATZ 1</v>
      </c>
      <c r="J673" s="16"/>
      <c r="K673" s="19"/>
    </row>
    <row r="674" spans="1:11" x14ac:dyDescent="0.25">
      <c r="A6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74" s="22">
        <v>45929</v>
      </c>
      <c r="C674" s="16" t="s">
        <v>25</v>
      </c>
      <c r="D674" s="16" t="s">
        <v>732</v>
      </c>
      <c r="E674" s="17">
        <f>IFERROR(VLOOKUP(Tabulka2[[#This Row],[Pracovník]],DATA!A:L,5,0),"")</f>
        <v>3937</v>
      </c>
      <c r="F674" s="12" t="s">
        <v>653</v>
      </c>
      <c r="G674" s="16"/>
      <c r="H674" s="18"/>
      <c r="I674" s="27" t="str">
        <f>IFERROR(VLOOKUP(Tabulka2[[#This Row],[Pracovník]],DATA!A:L,11,0),"")</f>
        <v>BATZ 1</v>
      </c>
      <c r="J674" s="16"/>
      <c r="K674" s="19"/>
    </row>
    <row r="675" spans="1:11" x14ac:dyDescent="0.25">
      <c r="A6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75" s="22">
        <v>45929</v>
      </c>
      <c r="C675" s="16" t="s">
        <v>25</v>
      </c>
      <c r="D675" s="16" t="s">
        <v>733</v>
      </c>
      <c r="E675" s="17">
        <f>IFERROR(VLOOKUP(Tabulka2[[#This Row],[Pracovník]],DATA!A:L,5,0),"")</f>
        <v>6076</v>
      </c>
      <c r="F675" s="12" t="s">
        <v>653</v>
      </c>
      <c r="G675" s="16" t="s">
        <v>657</v>
      </c>
      <c r="H675" s="18"/>
      <c r="I675" s="27" t="str">
        <f>IFERROR(VLOOKUP(Tabulka2[[#This Row],[Pracovník]],DATA!A:L,11,0),"")</f>
        <v>BATZ 1</v>
      </c>
      <c r="J675" s="16"/>
      <c r="K675" s="19"/>
    </row>
    <row r="676" spans="1:11" x14ac:dyDescent="0.25">
      <c r="A6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76" s="22">
        <v>45929</v>
      </c>
      <c r="C676" s="16" t="s">
        <v>25</v>
      </c>
      <c r="D676" s="16" t="s">
        <v>734</v>
      </c>
      <c r="E676" s="17">
        <f>IFERROR(VLOOKUP(Tabulka2[[#This Row],[Pracovník]],DATA!A:L,5,0),"")</f>
        <v>3648</v>
      </c>
      <c r="F676" s="12" t="s">
        <v>653</v>
      </c>
      <c r="G676" s="16"/>
      <c r="H676" s="18"/>
      <c r="I676" s="27" t="str">
        <f>IFERROR(VLOOKUP(Tabulka2[[#This Row],[Pracovník]],DATA!A:L,11,0),"")</f>
        <v>BATZ 1</v>
      </c>
      <c r="J676" s="16"/>
      <c r="K676" s="19"/>
    </row>
    <row r="677" spans="1:11" x14ac:dyDescent="0.25">
      <c r="A6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77" s="22">
        <v>45929</v>
      </c>
      <c r="C677" s="16" t="s">
        <v>25</v>
      </c>
      <c r="D677" s="16" t="s">
        <v>735</v>
      </c>
      <c r="E677" s="17">
        <f>IFERROR(VLOOKUP(Tabulka2[[#This Row],[Pracovník]],DATA!A:L,5,0),"")</f>
        <v>4602</v>
      </c>
      <c r="F677" s="12" t="s">
        <v>653</v>
      </c>
      <c r="G677" s="16"/>
      <c r="H677" s="18"/>
      <c r="I677" s="27" t="str">
        <f>IFERROR(VLOOKUP(Tabulka2[[#This Row],[Pracovník]],DATA!A:L,11,0),"")</f>
        <v>BATZ 1</v>
      </c>
      <c r="J677" s="16"/>
      <c r="K677" s="19"/>
    </row>
    <row r="678" spans="1:11" x14ac:dyDescent="0.25">
      <c r="A6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78" s="22">
        <v>45929</v>
      </c>
      <c r="C678" s="16" t="s">
        <v>25</v>
      </c>
      <c r="D678" s="16" t="s">
        <v>736</v>
      </c>
      <c r="E678" s="17">
        <f>IFERROR(VLOOKUP(Tabulka2[[#This Row],[Pracovník]],DATA!A:L,5,0),"")</f>
        <v>4940</v>
      </c>
      <c r="F678" s="12" t="s">
        <v>653</v>
      </c>
      <c r="G678" s="16"/>
      <c r="H678" s="18"/>
      <c r="I678" s="27" t="str">
        <f>IFERROR(VLOOKUP(Tabulka2[[#This Row],[Pracovník]],DATA!A:L,11,0),"")</f>
        <v>BATZ 1</v>
      </c>
      <c r="J678" s="16"/>
      <c r="K678" s="19"/>
    </row>
    <row r="679" spans="1:11" x14ac:dyDescent="0.25">
      <c r="A6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79" s="22">
        <v>45929</v>
      </c>
      <c r="C679" s="16" t="s">
        <v>25</v>
      </c>
      <c r="D679" s="16" t="s">
        <v>737</v>
      </c>
      <c r="E679" s="17">
        <f>IFERROR(VLOOKUP(Tabulka2[[#This Row],[Pracovník]],DATA!A:L,5,0),"")</f>
        <v>5660</v>
      </c>
      <c r="F679" s="12" t="s">
        <v>653</v>
      </c>
      <c r="G679" s="16"/>
      <c r="H679" s="18"/>
      <c r="I679" s="27" t="str">
        <f>IFERROR(VLOOKUP(Tabulka2[[#This Row],[Pracovník]],DATA!A:L,11,0),"")</f>
        <v>BATZ 1</v>
      </c>
      <c r="J679" s="16"/>
      <c r="K679" s="19"/>
    </row>
    <row r="680" spans="1:11" x14ac:dyDescent="0.25">
      <c r="A6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80" s="22">
        <v>45929</v>
      </c>
      <c r="C680" s="16" t="s">
        <v>25</v>
      </c>
      <c r="D680" s="16" t="s">
        <v>738</v>
      </c>
      <c r="E680" s="17">
        <f>IFERROR(VLOOKUP(Tabulka2[[#This Row],[Pracovník]],DATA!A:L,5,0),"")</f>
        <v>6243</v>
      </c>
      <c r="F680" s="12" t="s">
        <v>653</v>
      </c>
      <c r="G680" s="16"/>
      <c r="H680" s="18"/>
      <c r="I680" s="27" t="str">
        <f>IFERROR(VLOOKUP(Tabulka2[[#This Row],[Pracovník]],DATA!A:L,11,0),"")</f>
        <v>BATZ 2</v>
      </c>
      <c r="J680" s="16"/>
      <c r="K680" s="19"/>
    </row>
    <row r="681" spans="1:11" x14ac:dyDescent="0.25">
      <c r="A6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81" s="22">
        <v>45929</v>
      </c>
      <c r="C681" s="16" t="s">
        <v>25</v>
      </c>
      <c r="D681" s="16" t="s">
        <v>739</v>
      </c>
      <c r="E681" s="17">
        <f>IFERROR(VLOOKUP(Tabulka2[[#This Row],[Pracovník]],DATA!A:L,5,0),"")</f>
        <v>6339</v>
      </c>
      <c r="F681" s="12" t="s">
        <v>653</v>
      </c>
      <c r="G681" s="16"/>
      <c r="H681" s="18"/>
      <c r="I681" s="27" t="str">
        <f>IFERROR(VLOOKUP(Tabulka2[[#This Row],[Pracovník]],DATA!A:L,11,0),"")</f>
        <v>BATZ 1</v>
      </c>
      <c r="J681" s="16"/>
      <c r="K681" s="19"/>
    </row>
    <row r="682" spans="1:11" x14ac:dyDescent="0.25">
      <c r="A6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82" s="22">
        <v>45929</v>
      </c>
      <c r="C682" s="16" t="s">
        <v>25</v>
      </c>
      <c r="D682" s="16" t="s">
        <v>740</v>
      </c>
      <c r="E682" s="17">
        <f>IFERROR(VLOOKUP(Tabulka2[[#This Row],[Pracovník]],DATA!A:L,5,0),"")</f>
        <v>4928</v>
      </c>
      <c r="F682" s="12" t="s">
        <v>653</v>
      </c>
      <c r="G682" s="16"/>
      <c r="H682" s="18"/>
      <c r="I682" s="27" t="str">
        <f>IFERROR(VLOOKUP(Tabulka2[[#This Row],[Pracovník]],DATA!A:L,11,0),"")</f>
        <v>BATZ 1</v>
      </c>
      <c r="J682" s="16"/>
      <c r="K682" s="19"/>
    </row>
    <row r="683" spans="1:11" x14ac:dyDescent="0.25">
      <c r="A6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83" s="22">
        <v>45929</v>
      </c>
      <c r="C683" s="16" t="s">
        <v>25</v>
      </c>
      <c r="D683" s="16" t="s">
        <v>731</v>
      </c>
      <c r="E683" s="17">
        <f>IFERROR(VLOOKUP(Tabulka2[[#This Row],[Pracovník]],DATA!A:L,5,0),"")</f>
        <v>0</v>
      </c>
      <c r="F683" s="12" t="s">
        <v>653</v>
      </c>
      <c r="G683" s="16"/>
      <c r="H683" s="18"/>
      <c r="I683" s="27" t="str">
        <f>IFERROR(VLOOKUP(Tabulka2[[#This Row],[Pracovník]],DATA!A:L,11,0),"")</f>
        <v>BATZ 1</v>
      </c>
      <c r="J683" s="16"/>
      <c r="K683" s="19"/>
    </row>
    <row r="684" spans="1:11" x14ac:dyDescent="0.25">
      <c r="A6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84" s="22">
        <v>45929</v>
      </c>
      <c r="C684" s="16" t="s">
        <v>25</v>
      </c>
      <c r="D684" s="16" t="s">
        <v>924</v>
      </c>
      <c r="E684" s="17">
        <f>IFERROR(VLOOKUP(Tabulka2[[#This Row],[Pracovník]],DATA!A:L,5,0),"")</f>
        <v>6581</v>
      </c>
      <c r="F684" s="12" t="s">
        <v>653</v>
      </c>
      <c r="G684" s="16"/>
      <c r="H684" s="18"/>
      <c r="I684" s="27" t="str">
        <f>IFERROR(VLOOKUP(Tabulka2[[#This Row],[Pracovník]],DATA!A:L,11,0),"")</f>
        <v>BATZ 1</v>
      </c>
      <c r="J684" s="16"/>
      <c r="K684" s="19"/>
    </row>
    <row r="685" spans="1:11" x14ac:dyDescent="0.25">
      <c r="A6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85" s="22">
        <v>45929</v>
      </c>
      <c r="C685" s="16" t="s">
        <v>96</v>
      </c>
      <c r="D685" s="16" t="s">
        <v>641</v>
      </c>
      <c r="E685" s="17">
        <f>IFERROR(VLOOKUP(Tabulka2[[#This Row],[Pracovník]],DATA!A:L,5,0),"")</f>
        <v>6259</v>
      </c>
      <c r="F685" s="12" t="s">
        <v>653</v>
      </c>
      <c r="G685" s="16" t="s">
        <v>657</v>
      </c>
      <c r="H685" s="18"/>
      <c r="I685" s="27" t="str">
        <f>IFERROR(VLOOKUP(Tabulka2[[#This Row],[Pracovník]],DATA!A:L,11,0),"")</f>
        <v>Vlastní auto</v>
      </c>
      <c r="J685" s="16"/>
      <c r="K685" s="19"/>
    </row>
    <row r="686" spans="1:11" x14ac:dyDescent="0.25">
      <c r="A6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86" s="22">
        <v>45929</v>
      </c>
      <c r="C686" s="16" t="s">
        <v>96</v>
      </c>
      <c r="D686" s="16" t="s">
        <v>649</v>
      </c>
      <c r="E686" s="17">
        <f>IFERROR(VLOOKUP(Tabulka2[[#This Row],[Pracovník]],DATA!A:L,5,0),"")</f>
        <v>3951</v>
      </c>
      <c r="F686" s="12" t="s">
        <v>653</v>
      </c>
      <c r="G686" s="16"/>
      <c r="H686" s="18"/>
      <c r="I686" s="27" t="str">
        <f>IFERROR(VLOOKUP(Tabulka2[[#This Row],[Pracovník]],DATA!A:L,11,0),"")</f>
        <v>Vlastní auto</v>
      </c>
      <c r="J686" s="16"/>
      <c r="K686" s="19"/>
    </row>
    <row r="687" spans="1:11" x14ac:dyDescent="0.25">
      <c r="A6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87" s="22">
        <v>45929</v>
      </c>
      <c r="C687" s="16" t="s">
        <v>96</v>
      </c>
      <c r="D687" s="16" t="s">
        <v>742</v>
      </c>
      <c r="E687" s="17">
        <f>IFERROR(VLOOKUP(Tabulka2[[#This Row],[Pracovník]],DATA!A:L,5,0),"")</f>
        <v>6450</v>
      </c>
      <c r="F687" s="12" t="s">
        <v>653</v>
      </c>
      <c r="G687" s="16"/>
      <c r="H687" s="18"/>
      <c r="I687" s="27" t="str">
        <f>IFERROR(VLOOKUP(Tabulka2[[#This Row],[Pracovník]],DATA!A:L,11,0),"")</f>
        <v>DSC 2</v>
      </c>
      <c r="J687" s="16"/>
      <c r="K687" s="19"/>
    </row>
    <row r="688" spans="1:11" x14ac:dyDescent="0.25">
      <c r="A6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88" s="22">
        <v>45929</v>
      </c>
      <c r="C688" s="16" t="s">
        <v>96</v>
      </c>
      <c r="D688" s="16" t="s">
        <v>980</v>
      </c>
      <c r="E688" s="17">
        <f>IFERROR(VLOOKUP(Tabulka2[[#This Row],[Pracovník]],DATA!A:L,5,0),"")</f>
        <v>6457</v>
      </c>
      <c r="F688" s="12" t="s">
        <v>653</v>
      </c>
      <c r="G688" s="16"/>
      <c r="H688" s="18"/>
      <c r="I688" s="27" t="str">
        <f>IFERROR(VLOOKUP(Tabulka2[[#This Row],[Pracovník]],DATA!A:L,11,0),"")</f>
        <v>DSC 1</v>
      </c>
      <c r="J688" s="16"/>
      <c r="K688" s="19" t="s">
        <v>1007</v>
      </c>
    </row>
    <row r="689" spans="1:11" x14ac:dyDescent="0.25">
      <c r="A6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89" s="22">
        <v>45929</v>
      </c>
      <c r="C689" s="16" t="s">
        <v>96</v>
      </c>
      <c r="D689" s="16" t="s">
        <v>744</v>
      </c>
      <c r="E689" s="17">
        <f>IFERROR(VLOOKUP(Tabulka2[[#This Row],[Pracovník]],DATA!A:L,5,0),"")</f>
        <v>5584</v>
      </c>
      <c r="F689" s="12" t="s">
        <v>653</v>
      </c>
      <c r="G689" s="16"/>
      <c r="H689" s="18"/>
      <c r="I689" s="27" t="str">
        <f>IFERROR(VLOOKUP(Tabulka2[[#This Row],[Pracovník]],DATA!A:L,11,0),"")</f>
        <v>Vlastní auto</v>
      </c>
      <c r="J689" s="16"/>
      <c r="K689" s="19"/>
    </row>
    <row r="690" spans="1:11" x14ac:dyDescent="0.25">
      <c r="A6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90" s="22">
        <v>45929</v>
      </c>
      <c r="C690" s="16" t="s">
        <v>96</v>
      </c>
      <c r="D690" s="16" t="s">
        <v>745</v>
      </c>
      <c r="E690" s="17">
        <f>IFERROR(VLOOKUP(Tabulka2[[#This Row],[Pracovník]],DATA!A:L,5,0),"")</f>
        <v>6418</v>
      </c>
      <c r="F690" s="12" t="s">
        <v>653</v>
      </c>
      <c r="G690" s="16"/>
      <c r="H690" s="18"/>
      <c r="I690" s="27" t="str">
        <f>IFERROR(VLOOKUP(Tabulka2[[#This Row],[Pracovník]],DATA!A:L,11,0),"")</f>
        <v>Vlastní auto</v>
      </c>
      <c r="J690" s="16"/>
      <c r="K690" s="19"/>
    </row>
    <row r="691" spans="1:11" x14ac:dyDescent="0.25">
      <c r="A6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91" s="22">
        <v>45929</v>
      </c>
      <c r="C691" s="16" t="s">
        <v>96</v>
      </c>
      <c r="D691" s="16" t="s">
        <v>747</v>
      </c>
      <c r="E691" s="17">
        <f>IFERROR(VLOOKUP(Tabulka2[[#This Row],[Pracovník]],DATA!A:L,5,0),"")</f>
        <v>6177</v>
      </c>
      <c r="F691" s="12" t="s">
        <v>653</v>
      </c>
      <c r="G691" s="16"/>
      <c r="H691" s="18"/>
      <c r="I691" s="27" t="str">
        <f>IFERROR(VLOOKUP(Tabulka2[[#This Row],[Pracovník]],DATA!A:L,11,0),"")</f>
        <v>DSC 1</v>
      </c>
      <c r="J691" s="16"/>
      <c r="K691" s="19"/>
    </row>
    <row r="692" spans="1:11" x14ac:dyDescent="0.25">
      <c r="A6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92" s="22">
        <v>45929</v>
      </c>
      <c r="C692" s="16" t="s">
        <v>96</v>
      </c>
      <c r="D692" s="16" t="s">
        <v>746</v>
      </c>
      <c r="E692" s="17">
        <f>IFERROR(VLOOKUP(Tabulka2[[#This Row],[Pracovník]],DATA!A:L,5,0),"")</f>
        <v>6543</v>
      </c>
      <c r="F692" s="12" t="s">
        <v>653</v>
      </c>
      <c r="G692" s="16"/>
      <c r="H692" s="18"/>
      <c r="I692" s="27" t="str">
        <f>IFERROR(VLOOKUP(Tabulka2[[#This Row],[Pracovník]],DATA!A:L,11,0),"")</f>
        <v>DSC 1</v>
      </c>
      <c r="J692" s="16"/>
      <c r="K692" s="19"/>
    </row>
    <row r="693" spans="1:11" x14ac:dyDescent="0.25">
      <c r="A6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93" s="22">
        <v>45929</v>
      </c>
      <c r="C693" s="16" t="s">
        <v>96</v>
      </c>
      <c r="D693" s="16" t="s">
        <v>748</v>
      </c>
      <c r="E693" s="17">
        <f>IFERROR(VLOOKUP(Tabulka2[[#This Row],[Pracovník]],DATA!A:L,5,0),"")</f>
        <v>6541</v>
      </c>
      <c r="F693" s="12" t="s">
        <v>653</v>
      </c>
      <c r="G693" s="16"/>
      <c r="H693" s="18"/>
      <c r="I693" s="27" t="str">
        <f>IFERROR(VLOOKUP(Tabulka2[[#This Row],[Pracovník]],DATA!A:L,11,0),"")</f>
        <v>DSC 2</v>
      </c>
      <c r="J693" s="16"/>
      <c r="K693" s="19"/>
    </row>
    <row r="694" spans="1:11" x14ac:dyDescent="0.25">
      <c r="A6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94" s="22">
        <v>45929</v>
      </c>
      <c r="C694" s="16" t="s">
        <v>96</v>
      </c>
      <c r="D694" s="16" t="s">
        <v>749</v>
      </c>
      <c r="E694" s="17">
        <f>IFERROR(VLOOKUP(Tabulka2[[#This Row],[Pracovník]],DATA!A:L,5,0),"")</f>
        <v>6442</v>
      </c>
      <c r="F694" s="12" t="s">
        <v>653</v>
      </c>
      <c r="G694" s="16"/>
      <c r="H694" s="18"/>
      <c r="I694" s="27" t="str">
        <f>IFERROR(VLOOKUP(Tabulka2[[#This Row],[Pracovník]],DATA!A:L,11,0),"")</f>
        <v>DSC 2</v>
      </c>
      <c r="J694" s="16"/>
      <c r="K694" s="19"/>
    </row>
    <row r="695" spans="1:11" x14ac:dyDescent="0.25">
      <c r="A6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95" s="22">
        <v>45929</v>
      </c>
      <c r="C695" s="16" t="s">
        <v>96</v>
      </c>
      <c r="D695" s="16" t="s">
        <v>750</v>
      </c>
      <c r="E695" s="17">
        <f>IFERROR(VLOOKUP(Tabulka2[[#This Row],[Pracovník]],DATA!A:L,5,0),"")</f>
        <v>6143</v>
      </c>
      <c r="F695" s="12" t="s">
        <v>653</v>
      </c>
      <c r="G695" s="16"/>
      <c r="H695" s="18"/>
      <c r="I695" s="27" t="str">
        <f>IFERROR(VLOOKUP(Tabulka2[[#This Row],[Pracovník]],DATA!A:L,11,0),"")</f>
        <v>Vlastní auto</v>
      </c>
      <c r="J695" s="16"/>
      <c r="K695" s="19"/>
    </row>
    <row r="696" spans="1:11" x14ac:dyDescent="0.25">
      <c r="A6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96" s="22">
        <v>45929</v>
      </c>
      <c r="C696" s="16" t="s">
        <v>96</v>
      </c>
      <c r="D696" s="16" t="s">
        <v>751</v>
      </c>
      <c r="E696" s="17">
        <f>IFERROR(VLOOKUP(Tabulka2[[#This Row],[Pracovník]],DATA!A:L,5,0),"")</f>
        <v>6260</v>
      </c>
      <c r="F696" s="12" t="s">
        <v>653</v>
      </c>
      <c r="G696" s="16"/>
      <c r="H696" s="18"/>
      <c r="I696" s="27" t="str">
        <f>IFERROR(VLOOKUP(Tabulka2[[#This Row],[Pracovník]],DATA!A:L,11,0),"")</f>
        <v>Vlastní auto</v>
      </c>
      <c r="J696" s="16"/>
      <c r="K696" s="19"/>
    </row>
    <row r="697" spans="1:11" x14ac:dyDescent="0.25">
      <c r="A6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97" s="22">
        <v>45929</v>
      </c>
      <c r="C697" s="16" t="s">
        <v>96</v>
      </c>
      <c r="D697" s="16" t="s">
        <v>981</v>
      </c>
      <c r="E697" s="17">
        <f>IFERROR(VLOOKUP(Tabulka2[[#This Row],[Pracovník]],DATA!A:L,5,0),"")</f>
        <v>6542</v>
      </c>
      <c r="F697" s="12" t="s">
        <v>653</v>
      </c>
      <c r="G697" s="16"/>
      <c r="H697" s="18"/>
      <c r="I697" s="27" t="str">
        <f>IFERROR(VLOOKUP(Tabulka2[[#This Row],[Pracovník]],DATA!A:L,11,0),"")</f>
        <v>DSC 2</v>
      </c>
      <c r="J697" s="16"/>
      <c r="K697" s="19" t="s">
        <v>1007</v>
      </c>
    </row>
    <row r="698" spans="1:11" x14ac:dyDescent="0.25">
      <c r="A6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98" s="22">
        <v>45929</v>
      </c>
      <c r="C698" s="16" t="s">
        <v>96</v>
      </c>
      <c r="D698" s="16" t="s">
        <v>982</v>
      </c>
      <c r="E698" s="17">
        <f>IFERROR(VLOOKUP(Tabulka2[[#This Row],[Pracovník]],DATA!A:L,5,0),"")</f>
        <v>6525</v>
      </c>
      <c r="F698" s="12" t="s">
        <v>653</v>
      </c>
      <c r="G698" s="16"/>
      <c r="H698" s="18"/>
      <c r="I698" s="27" t="str">
        <f>IFERROR(VLOOKUP(Tabulka2[[#This Row],[Pracovník]],DATA!A:L,11,0),"")</f>
        <v>DSC 2</v>
      </c>
      <c r="J698" s="16"/>
      <c r="K698" s="19" t="s">
        <v>1006</v>
      </c>
    </row>
    <row r="699" spans="1:11" x14ac:dyDescent="0.25">
      <c r="A6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699" s="22">
        <v>45929</v>
      </c>
      <c r="C699" s="16" t="s">
        <v>96</v>
      </c>
      <c r="D699" s="16" t="s">
        <v>752</v>
      </c>
      <c r="E699" s="17">
        <f>IFERROR(VLOOKUP(Tabulka2[[#This Row],[Pracovník]],DATA!A:L,5,0),"")</f>
        <v>6430</v>
      </c>
      <c r="F699" s="12" t="s">
        <v>653</v>
      </c>
      <c r="G699" s="16" t="s">
        <v>658</v>
      </c>
      <c r="H699" s="18"/>
      <c r="I699" s="27" t="str">
        <f>IFERROR(VLOOKUP(Tabulka2[[#This Row],[Pracovník]],DATA!A:L,11,0),"")</f>
        <v>Vlastní auto</v>
      </c>
      <c r="J699" s="16"/>
      <c r="K699" s="19"/>
    </row>
    <row r="700" spans="1:11" x14ac:dyDescent="0.25">
      <c r="A7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00" s="22">
        <v>45929</v>
      </c>
      <c r="C700" s="16" t="s">
        <v>96</v>
      </c>
      <c r="D700" s="16" t="s">
        <v>983</v>
      </c>
      <c r="E700" s="17">
        <f>IFERROR(VLOOKUP(Tabulka2[[#This Row],[Pracovník]],DATA!A:L,5,0),"")</f>
        <v>6454</v>
      </c>
      <c r="F700" s="12" t="s">
        <v>653</v>
      </c>
      <c r="G700" s="16"/>
      <c r="H700" s="18"/>
      <c r="I700" s="27" t="str">
        <f>IFERROR(VLOOKUP(Tabulka2[[#This Row],[Pracovník]],DATA!A:L,11,0),"")</f>
        <v>DSC 1</v>
      </c>
      <c r="J700" s="16"/>
      <c r="K700" s="19" t="s">
        <v>1006</v>
      </c>
    </row>
    <row r="701" spans="1:11" x14ac:dyDescent="0.25">
      <c r="A7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01" s="22">
        <v>45929</v>
      </c>
      <c r="C701" s="16" t="s">
        <v>96</v>
      </c>
      <c r="D701" s="16" t="s">
        <v>753</v>
      </c>
      <c r="E701" s="17">
        <f>IFERROR(VLOOKUP(Tabulka2[[#This Row],[Pracovník]],DATA!A:L,5,0),"")</f>
        <v>6016</v>
      </c>
      <c r="F701" s="12" t="s">
        <v>653</v>
      </c>
      <c r="G701" s="16"/>
      <c r="H701" s="18"/>
      <c r="I701" s="27" t="str">
        <f>IFERROR(VLOOKUP(Tabulka2[[#This Row],[Pracovník]],DATA!A:L,11,0),"")</f>
        <v>DSC 2</v>
      </c>
      <c r="J701" s="16"/>
      <c r="K701" s="19"/>
    </row>
    <row r="702" spans="1:11" x14ac:dyDescent="0.25">
      <c r="A7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02" s="22">
        <v>45929</v>
      </c>
      <c r="C702" s="16" t="s">
        <v>96</v>
      </c>
      <c r="D702" s="16" t="s">
        <v>754</v>
      </c>
      <c r="E702" s="17">
        <f>IFERROR(VLOOKUP(Tabulka2[[#This Row],[Pracovník]],DATA!A:L,5,0),"")</f>
        <v>6437</v>
      </c>
      <c r="F702" s="12" t="s">
        <v>653</v>
      </c>
      <c r="G702" s="16"/>
      <c r="H702" s="18"/>
      <c r="I702" s="27" t="str">
        <f>IFERROR(VLOOKUP(Tabulka2[[#This Row],[Pracovník]],DATA!A:L,11,0),"")</f>
        <v>DSC 2</v>
      </c>
      <c r="J702" s="16"/>
      <c r="K702" s="19"/>
    </row>
    <row r="703" spans="1:11" x14ac:dyDescent="0.25">
      <c r="A7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03" s="22">
        <v>45929</v>
      </c>
      <c r="C703" s="16" t="s">
        <v>96</v>
      </c>
      <c r="D703" s="16" t="s">
        <v>756</v>
      </c>
      <c r="E703" s="17">
        <f>IFERROR(VLOOKUP(Tabulka2[[#This Row],[Pracovník]],DATA!A:L,5,0),"")</f>
        <v>6431</v>
      </c>
      <c r="F703" s="12" t="s">
        <v>653</v>
      </c>
      <c r="G703" s="16" t="s">
        <v>656</v>
      </c>
      <c r="H703" s="18"/>
      <c r="I703" s="27" t="str">
        <f>IFERROR(VLOOKUP(Tabulka2[[#This Row],[Pracovník]],DATA!A:L,11,0),"")</f>
        <v>DSC 1</v>
      </c>
      <c r="J703" s="16"/>
      <c r="K703" s="19"/>
    </row>
    <row r="704" spans="1:11" x14ac:dyDescent="0.25">
      <c r="A7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04" s="22">
        <v>45929</v>
      </c>
      <c r="C704" s="16" t="s">
        <v>96</v>
      </c>
      <c r="D704" s="16" t="s">
        <v>642</v>
      </c>
      <c r="E704" s="17">
        <f>IFERROR(VLOOKUP(Tabulka2[[#This Row],[Pracovník]],DATA!A:L,5,0),"")</f>
        <v>6119</v>
      </c>
      <c r="F704" s="12" t="s">
        <v>653</v>
      </c>
      <c r="G704" s="16" t="s">
        <v>657</v>
      </c>
      <c r="H704" s="18"/>
      <c r="I704" s="27" t="str">
        <f>IFERROR(VLOOKUP(Tabulka2[[#This Row],[Pracovník]],DATA!A:L,11,0),"")</f>
        <v>DSC 1</v>
      </c>
      <c r="J704" s="16"/>
      <c r="K704" s="19"/>
    </row>
    <row r="705" spans="1:11" x14ac:dyDescent="0.25">
      <c r="A7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05" s="22">
        <v>45929</v>
      </c>
      <c r="C705" s="16" t="s">
        <v>96</v>
      </c>
      <c r="D705" s="16" t="s">
        <v>757</v>
      </c>
      <c r="E705" s="17">
        <f>IFERROR(VLOOKUP(Tabulka2[[#This Row],[Pracovník]],DATA!A:L,5,0),"")</f>
        <v>6559</v>
      </c>
      <c r="F705" s="12" t="s">
        <v>653</v>
      </c>
      <c r="G705" s="16"/>
      <c r="H705" s="18"/>
      <c r="I705" s="27" t="str">
        <f>IFERROR(VLOOKUP(Tabulka2[[#This Row],[Pracovník]],DATA!A:L,11,0),"")</f>
        <v>DSC 1</v>
      </c>
      <c r="J705" s="16"/>
      <c r="K705" s="19"/>
    </row>
    <row r="706" spans="1:11" x14ac:dyDescent="0.25">
      <c r="A7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06" s="22">
        <v>45929</v>
      </c>
      <c r="C706" s="16" t="s">
        <v>96</v>
      </c>
      <c r="D706" s="16" t="s">
        <v>984</v>
      </c>
      <c r="E706" s="17">
        <f>IFERROR(VLOOKUP(Tabulka2[[#This Row],[Pracovník]],DATA!A:L,5,0),"")</f>
        <v>6496</v>
      </c>
      <c r="F706" s="12" t="s">
        <v>653</v>
      </c>
      <c r="G706" s="16"/>
      <c r="H706" s="18"/>
      <c r="I706" s="27" t="str">
        <f>IFERROR(VLOOKUP(Tabulka2[[#This Row],[Pracovník]],DATA!A:L,11,0),"")</f>
        <v>DSC 2</v>
      </c>
      <c r="J706" s="16"/>
      <c r="K706" s="19" t="s">
        <v>1006</v>
      </c>
    </row>
    <row r="707" spans="1:11" x14ac:dyDescent="0.25">
      <c r="A7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07" s="22">
        <v>45929</v>
      </c>
      <c r="C707" s="16" t="s">
        <v>96</v>
      </c>
      <c r="D707" s="16" t="s">
        <v>758</v>
      </c>
      <c r="E707" s="17">
        <f>IFERROR(VLOOKUP(Tabulka2[[#This Row],[Pracovník]],DATA!A:L,5,0),"")</f>
        <v>4392</v>
      </c>
      <c r="F707" s="12" t="s">
        <v>653</v>
      </c>
      <c r="G707" s="16"/>
      <c r="H707" s="18"/>
      <c r="I707" s="27" t="str">
        <f>IFERROR(VLOOKUP(Tabulka2[[#This Row],[Pracovník]],DATA!A:L,11,0),"")</f>
        <v>DSC 1</v>
      </c>
      <c r="J707" s="16"/>
      <c r="K707" s="19"/>
    </row>
    <row r="708" spans="1:11" x14ac:dyDescent="0.25">
      <c r="A7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08" s="22">
        <v>45929</v>
      </c>
      <c r="C708" s="16" t="s">
        <v>96</v>
      </c>
      <c r="D708" s="16" t="s">
        <v>760</v>
      </c>
      <c r="E708" s="17">
        <f>IFERROR(VLOOKUP(Tabulka2[[#This Row],[Pracovník]],DATA!A:L,5,0),"")</f>
        <v>6514</v>
      </c>
      <c r="F708" s="12" t="s">
        <v>653</v>
      </c>
      <c r="G708" s="16"/>
      <c r="H708" s="18"/>
      <c r="I708" s="27" t="str">
        <f>IFERROR(VLOOKUP(Tabulka2[[#This Row],[Pracovník]],DATA!A:L,11,0),"")</f>
        <v>DSC 2</v>
      </c>
      <c r="J708" s="16"/>
      <c r="K708" s="19"/>
    </row>
    <row r="709" spans="1:11" x14ac:dyDescent="0.25">
      <c r="A7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09" s="22">
        <v>45929</v>
      </c>
      <c r="C709" s="16" t="s">
        <v>96</v>
      </c>
      <c r="D709" s="16" t="s">
        <v>761</v>
      </c>
      <c r="E709" s="17">
        <f>IFERROR(VLOOKUP(Tabulka2[[#This Row],[Pracovník]],DATA!A:L,5,0),"")</f>
        <v>6516</v>
      </c>
      <c r="F709" s="12" t="s">
        <v>653</v>
      </c>
      <c r="G709" s="16"/>
      <c r="H709" s="18"/>
      <c r="I709" s="27" t="str">
        <f>IFERROR(VLOOKUP(Tabulka2[[#This Row],[Pracovník]],DATA!A:L,11,0),"")</f>
        <v>DSC 1</v>
      </c>
      <c r="J709" s="16"/>
      <c r="K709" s="19"/>
    </row>
    <row r="710" spans="1:11" x14ac:dyDescent="0.25">
      <c r="A7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10" s="22">
        <v>45929</v>
      </c>
      <c r="C710" s="16" t="s">
        <v>96</v>
      </c>
      <c r="D710" s="16" t="s">
        <v>762</v>
      </c>
      <c r="E710" s="17">
        <f>IFERROR(VLOOKUP(Tabulka2[[#This Row],[Pracovník]],DATA!A:L,5,0),"")</f>
        <v>0</v>
      </c>
      <c r="F710" s="12" t="s">
        <v>653</v>
      </c>
      <c r="G710" s="16"/>
      <c r="H710" s="18"/>
      <c r="I710" s="27" t="str">
        <f>IFERROR(VLOOKUP(Tabulka2[[#This Row],[Pracovník]],DATA!A:L,11,0),"")</f>
        <v>Vlastní auto</v>
      </c>
      <c r="J710" s="16"/>
      <c r="K710" s="19"/>
    </row>
    <row r="711" spans="1:11" x14ac:dyDescent="0.25">
      <c r="A7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11" s="22">
        <v>45929</v>
      </c>
      <c r="C711" s="16" t="s">
        <v>96</v>
      </c>
      <c r="D711" s="16" t="s">
        <v>985</v>
      </c>
      <c r="E711" s="17">
        <f>IFERROR(VLOOKUP(Tabulka2[[#This Row],[Pracovník]],DATA!A:L,5,0),"")</f>
        <v>6449</v>
      </c>
      <c r="F711" s="12" t="s">
        <v>653</v>
      </c>
      <c r="G711" s="16"/>
      <c r="H711" s="18"/>
      <c r="I711" s="27" t="str">
        <f>IFERROR(VLOOKUP(Tabulka2[[#This Row],[Pracovník]],DATA!A:L,11,0),"")</f>
        <v>DSC 2</v>
      </c>
      <c r="J711" s="16"/>
      <c r="K711" s="19"/>
    </row>
    <row r="712" spans="1:11" x14ac:dyDescent="0.25">
      <c r="A7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12" s="22">
        <v>45929</v>
      </c>
      <c r="C712" s="16" t="s">
        <v>96</v>
      </c>
      <c r="D712" s="16" t="s">
        <v>763</v>
      </c>
      <c r="E712" s="17">
        <f>IFERROR(VLOOKUP(Tabulka2[[#This Row],[Pracovník]],DATA!A:L,5,0),"")</f>
        <v>6158</v>
      </c>
      <c r="F712" s="12" t="s">
        <v>653</v>
      </c>
      <c r="G712" s="16"/>
      <c r="H712" s="18"/>
      <c r="I712" s="27" t="str">
        <f>IFERROR(VLOOKUP(Tabulka2[[#This Row],[Pracovník]],DATA!A:L,11,0),"")</f>
        <v>DSC 2</v>
      </c>
      <c r="J712" s="16"/>
      <c r="K712" s="19"/>
    </row>
    <row r="713" spans="1:11" x14ac:dyDescent="0.25">
      <c r="A7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13" s="22">
        <v>45929</v>
      </c>
      <c r="C713" s="16" t="s">
        <v>96</v>
      </c>
      <c r="D713" s="16" t="s">
        <v>986</v>
      </c>
      <c r="E713" s="17">
        <f>IFERROR(VLOOKUP(Tabulka2[[#This Row],[Pracovník]],DATA!A:L,5,0),"")</f>
        <v>6232</v>
      </c>
      <c r="F713" s="12" t="s">
        <v>653</v>
      </c>
      <c r="G713" s="16"/>
      <c r="H713" s="18"/>
      <c r="I713" s="27" t="str">
        <f>IFERROR(VLOOKUP(Tabulka2[[#This Row],[Pracovník]],DATA!A:L,11,0),"")</f>
        <v>DSC 2</v>
      </c>
      <c r="J713" s="16"/>
      <c r="K713" s="19"/>
    </row>
    <row r="714" spans="1:11" x14ac:dyDescent="0.25">
      <c r="A7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14" s="22">
        <v>45929</v>
      </c>
      <c r="C714" s="16" t="s">
        <v>96</v>
      </c>
      <c r="D714" s="16" t="s">
        <v>764</v>
      </c>
      <c r="E714" s="17">
        <f>IFERROR(VLOOKUP(Tabulka2[[#This Row],[Pracovník]],DATA!A:L,5,0),"")</f>
        <v>3063</v>
      </c>
      <c r="F714" s="12" t="s">
        <v>653</v>
      </c>
      <c r="G714" s="16"/>
      <c r="H714" s="18"/>
      <c r="I714" s="27" t="str">
        <f>IFERROR(VLOOKUP(Tabulka2[[#This Row],[Pracovník]],DATA!A:L,11,0),"")</f>
        <v>DSC 2</v>
      </c>
      <c r="J714" s="16"/>
      <c r="K714" s="19"/>
    </row>
    <row r="715" spans="1:11" x14ac:dyDescent="0.25">
      <c r="A7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15" s="22">
        <v>45929</v>
      </c>
      <c r="C715" s="16" t="s">
        <v>96</v>
      </c>
      <c r="D715" s="16" t="s">
        <v>765</v>
      </c>
      <c r="E715" s="17">
        <f>IFERROR(VLOOKUP(Tabulka2[[#This Row],[Pracovník]],DATA!A:L,5,0),"")</f>
        <v>5853</v>
      </c>
      <c r="F715" s="12" t="s">
        <v>653</v>
      </c>
      <c r="G715" s="16"/>
      <c r="H715" s="18"/>
      <c r="I715" s="27" t="str">
        <f>IFERROR(VLOOKUP(Tabulka2[[#This Row],[Pracovník]],DATA!A:L,11,0),"")</f>
        <v>DSC 2</v>
      </c>
      <c r="J715" s="16"/>
      <c r="K715" s="19"/>
    </row>
    <row r="716" spans="1:11" x14ac:dyDescent="0.25">
      <c r="A7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16" s="22">
        <v>45929</v>
      </c>
      <c r="C716" s="16" t="s">
        <v>96</v>
      </c>
      <c r="D716" s="16" t="s">
        <v>766</v>
      </c>
      <c r="E716" s="17">
        <f>IFERROR(VLOOKUP(Tabulka2[[#This Row],[Pracovník]],DATA!A:L,5,0),"")</f>
        <v>6408</v>
      </c>
      <c r="F716" s="12" t="s">
        <v>653</v>
      </c>
      <c r="G716" s="16"/>
      <c r="H716" s="18"/>
      <c r="I716" s="27" t="str">
        <f>IFERROR(VLOOKUP(Tabulka2[[#This Row],[Pracovník]],DATA!A:L,11,0),"")</f>
        <v>Vlastní auto</v>
      </c>
      <c r="J716" s="16"/>
      <c r="K716" s="19"/>
    </row>
    <row r="717" spans="1:11" x14ac:dyDescent="0.25">
      <c r="A7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17" s="22">
        <v>45929</v>
      </c>
      <c r="C717" s="16" t="s">
        <v>96</v>
      </c>
      <c r="D717" s="16" t="s">
        <v>767</v>
      </c>
      <c r="E717" s="17">
        <f>IFERROR(VLOOKUP(Tabulka2[[#This Row],[Pracovník]],DATA!A:L,5,0),"")</f>
        <v>6544</v>
      </c>
      <c r="F717" s="12" t="s">
        <v>653</v>
      </c>
      <c r="G717" s="16"/>
      <c r="H717" s="18"/>
      <c r="I717" s="27" t="str">
        <f>IFERROR(VLOOKUP(Tabulka2[[#This Row],[Pracovník]],DATA!A:L,11,0),"")</f>
        <v>DSC 1</v>
      </c>
      <c r="J717" s="16"/>
      <c r="K717" s="19"/>
    </row>
    <row r="718" spans="1:11" x14ac:dyDescent="0.25">
      <c r="A7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18" s="22">
        <v>45929</v>
      </c>
      <c r="C718" s="16" t="s">
        <v>96</v>
      </c>
      <c r="D718" s="16" t="s">
        <v>987</v>
      </c>
      <c r="E718" s="17">
        <f>IFERROR(VLOOKUP(Tabulka2[[#This Row],[Pracovník]],DATA!A:L,5,0),"")</f>
        <v>6492</v>
      </c>
      <c r="F718" s="12" t="s">
        <v>653</v>
      </c>
      <c r="G718" s="16"/>
      <c r="H718" s="18"/>
      <c r="I718" s="27" t="str">
        <f>IFERROR(VLOOKUP(Tabulka2[[#This Row],[Pracovník]],DATA!A:L,11,0),"")</f>
        <v>DSC 2</v>
      </c>
      <c r="J718" s="16"/>
      <c r="K718" s="19"/>
    </row>
    <row r="719" spans="1:11" x14ac:dyDescent="0.25">
      <c r="A7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19" s="22">
        <v>45929</v>
      </c>
      <c r="C719" s="16" t="s">
        <v>96</v>
      </c>
      <c r="D719" s="16" t="s">
        <v>988</v>
      </c>
      <c r="E719" s="17">
        <f>IFERROR(VLOOKUP(Tabulka2[[#This Row],[Pracovník]],DATA!A:L,5,0),"")</f>
        <v>6452</v>
      </c>
      <c r="F719" s="12" t="s">
        <v>653</v>
      </c>
      <c r="G719" s="16"/>
      <c r="H719" s="18"/>
      <c r="I719" s="27" t="str">
        <f>IFERROR(VLOOKUP(Tabulka2[[#This Row],[Pracovník]],DATA!A:L,11,0),"")</f>
        <v>DSC 1</v>
      </c>
      <c r="J719" s="16"/>
      <c r="K719" s="19" t="s">
        <v>1006</v>
      </c>
    </row>
    <row r="720" spans="1:11" x14ac:dyDescent="0.25">
      <c r="A7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20" s="22">
        <v>45929</v>
      </c>
      <c r="C720" s="16" t="s">
        <v>96</v>
      </c>
      <c r="D720" s="16" t="s">
        <v>989</v>
      </c>
      <c r="E720" s="17">
        <f>IFERROR(VLOOKUP(Tabulka2[[#This Row],[Pracovník]],DATA!A:L,5,0),"")</f>
        <v>6546</v>
      </c>
      <c r="F720" s="12" t="s">
        <v>653</v>
      </c>
      <c r="G720" s="16"/>
      <c r="H720" s="18"/>
      <c r="I720" s="27" t="str">
        <f>IFERROR(VLOOKUP(Tabulka2[[#This Row],[Pracovník]],DATA!A:L,11,0),"")</f>
        <v>DSC 2</v>
      </c>
      <c r="J720" s="16"/>
      <c r="K720" s="19" t="s">
        <v>1006</v>
      </c>
    </row>
    <row r="721" spans="1:11" x14ac:dyDescent="0.25">
      <c r="A7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21" s="22">
        <v>45929</v>
      </c>
      <c r="C721" s="16" t="s">
        <v>96</v>
      </c>
      <c r="D721" s="16" t="s">
        <v>769</v>
      </c>
      <c r="E721" s="17">
        <f>IFERROR(VLOOKUP(Tabulka2[[#This Row],[Pracovník]],DATA!A:L,5,0),"")</f>
        <v>0</v>
      </c>
      <c r="F721" s="12" t="s">
        <v>653</v>
      </c>
      <c r="G721" s="16"/>
      <c r="H721" s="18"/>
      <c r="I721" s="27" t="str">
        <f>IFERROR(VLOOKUP(Tabulka2[[#This Row],[Pracovník]],DATA!A:L,11,0),"")</f>
        <v>DSC 2</v>
      </c>
      <c r="J721" s="16"/>
      <c r="K721" s="19"/>
    </row>
    <row r="722" spans="1:11" x14ac:dyDescent="0.25">
      <c r="A7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22" s="22">
        <v>45929</v>
      </c>
      <c r="C722" s="16" t="s">
        <v>96</v>
      </c>
      <c r="D722" s="16" t="s">
        <v>990</v>
      </c>
      <c r="E722" s="17">
        <f>IFERROR(VLOOKUP(Tabulka2[[#This Row],[Pracovník]],DATA!A:L,5,0),"")</f>
        <v>6175</v>
      </c>
      <c r="F722" s="12" t="s">
        <v>653</v>
      </c>
      <c r="G722" s="16"/>
      <c r="H722" s="18"/>
      <c r="I722" s="27" t="str">
        <f>IFERROR(VLOOKUP(Tabulka2[[#This Row],[Pracovník]],DATA!A:L,11,0),"")</f>
        <v>DSC 2</v>
      </c>
      <c r="J722" s="16"/>
      <c r="K722" s="19" t="s">
        <v>1007</v>
      </c>
    </row>
    <row r="723" spans="1:11" x14ac:dyDescent="0.25">
      <c r="A7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23" s="22">
        <v>45929</v>
      </c>
      <c r="C723" s="16" t="s">
        <v>96</v>
      </c>
      <c r="D723" s="16" t="s">
        <v>770</v>
      </c>
      <c r="E723" s="17">
        <f>IFERROR(VLOOKUP(Tabulka2[[#This Row],[Pracovník]],DATA!A:L,5,0),"")</f>
        <v>6152</v>
      </c>
      <c r="F723" s="12" t="s">
        <v>653</v>
      </c>
      <c r="G723" s="16"/>
      <c r="H723" s="18"/>
      <c r="I723" s="27" t="str">
        <f>IFERROR(VLOOKUP(Tabulka2[[#This Row],[Pracovník]],DATA!A:L,11,0),"")</f>
        <v>DSC 2</v>
      </c>
      <c r="J723" s="16"/>
      <c r="K723" s="19"/>
    </row>
    <row r="724" spans="1:11" x14ac:dyDescent="0.25">
      <c r="A7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24" s="22">
        <v>45929</v>
      </c>
      <c r="C724" s="16" t="s">
        <v>96</v>
      </c>
      <c r="D724" s="16" t="s">
        <v>771</v>
      </c>
      <c r="E724" s="17">
        <f>IFERROR(VLOOKUP(Tabulka2[[#This Row],[Pracovník]],DATA!A:L,5,0),"")</f>
        <v>6558</v>
      </c>
      <c r="F724" s="12" t="s">
        <v>653</v>
      </c>
      <c r="G724" s="16"/>
      <c r="H724" s="18"/>
      <c r="I724" s="27" t="str">
        <f>IFERROR(VLOOKUP(Tabulka2[[#This Row],[Pracovník]],DATA!A:L,11,0),"")</f>
        <v>DSC 1</v>
      </c>
      <c r="J724" s="16"/>
      <c r="K724" s="19"/>
    </row>
    <row r="725" spans="1:11" x14ac:dyDescent="0.25">
      <c r="A7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25" s="22">
        <v>45929</v>
      </c>
      <c r="C725" s="16" t="s">
        <v>96</v>
      </c>
      <c r="D725" s="16" t="s">
        <v>991</v>
      </c>
      <c r="E725" s="17">
        <f>IFERROR(VLOOKUP(Tabulka2[[#This Row],[Pracovník]],DATA!A:L,5,0),"")</f>
        <v>0</v>
      </c>
      <c r="F725" s="12" t="s">
        <v>653</v>
      </c>
      <c r="G725" s="16" t="s">
        <v>657</v>
      </c>
      <c r="H725" s="18"/>
      <c r="I725" s="27" t="str">
        <f>IFERROR(VLOOKUP(Tabulka2[[#This Row],[Pracovník]],DATA!A:L,11,0),"")</f>
        <v>Vlastní auto</v>
      </c>
      <c r="J725" s="16"/>
      <c r="K725" s="19"/>
    </row>
    <row r="726" spans="1:11" x14ac:dyDescent="0.25">
      <c r="A7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26" s="22">
        <v>45929</v>
      </c>
      <c r="C726" s="16" t="s">
        <v>96</v>
      </c>
      <c r="D726" s="16" t="s">
        <v>771</v>
      </c>
      <c r="E726" s="17">
        <f>IFERROR(VLOOKUP(Tabulka2[[#This Row],[Pracovník]],DATA!A:L,5,0),"")</f>
        <v>6558</v>
      </c>
      <c r="F726" s="12" t="s">
        <v>653</v>
      </c>
      <c r="G726" s="16"/>
      <c r="H726" s="18"/>
      <c r="I726" s="27" t="str">
        <f>IFERROR(VLOOKUP(Tabulka2[[#This Row],[Pracovník]],DATA!A:L,11,0),"")</f>
        <v>DSC 1</v>
      </c>
      <c r="J726" s="16"/>
      <c r="K726" s="19"/>
    </row>
    <row r="727" spans="1:11" x14ac:dyDescent="0.25">
      <c r="A7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27" s="22">
        <v>45929</v>
      </c>
      <c r="C727" s="16" t="s">
        <v>28</v>
      </c>
      <c r="D727" s="16" t="s">
        <v>646</v>
      </c>
      <c r="E727" s="17">
        <f>IFERROR(VLOOKUP(Tabulka2[[#This Row],[Pracovník]],DATA!A:L,5,0),"")</f>
        <v>6537</v>
      </c>
      <c r="F727" s="12" t="s">
        <v>653</v>
      </c>
      <c r="G727" s="16"/>
      <c r="H727" s="18"/>
      <c r="I727" s="27" t="str">
        <f>IFERROR(VLOOKUP(Tabulka2[[#This Row],[Pracovník]],DATA!A:L,11,0),"")</f>
        <v>DSC 2</v>
      </c>
      <c r="J727" s="16"/>
      <c r="K727" s="19"/>
    </row>
    <row r="728" spans="1:11" x14ac:dyDescent="0.25">
      <c r="A7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28" s="22">
        <v>45929</v>
      </c>
      <c r="C728" s="16" t="s">
        <v>28</v>
      </c>
      <c r="D728" s="16" t="s">
        <v>648</v>
      </c>
      <c r="E728" s="17">
        <f>IFERROR(VLOOKUP(Tabulka2[[#This Row],[Pracovník]],DATA!A:L,5,0),"")</f>
        <v>5802</v>
      </c>
      <c r="F728" s="12" t="s">
        <v>653</v>
      </c>
      <c r="G728" s="16" t="s">
        <v>916</v>
      </c>
      <c r="H728" s="18"/>
      <c r="I728" s="27" t="str">
        <f>IFERROR(VLOOKUP(Tabulka2[[#This Row],[Pracovník]],DATA!A:L,11,0),"")</f>
        <v>Vlastní auto</v>
      </c>
      <c r="J728" s="16"/>
      <c r="K728" s="19"/>
    </row>
    <row r="729" spans="1:11" x14ac:dyDescent="0.25">
      <c r="A7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29" s="22">
        <v>45929</v>
      </c>
      <c r="C729" s="16" t="s">
        <v>28</v>
      </c>
      <c r="D729" s="16" t="s">
        <v>772</v>
      </c>
      <c r="E729" s="17">
        <f>IFERROR(VLOOKUP(Tabulka2[[#This Row],[Pracovník]],DATA!A:L,5,0),"")</f>
        <v>4869</v>
      </c>
      <c r="F729" s="12" t="s">
        <v>653</v>
      </c>
      <c r="G729" s="16" t="s">
        <v>916</v>
      </c>
      <c r="H729" s="18"/>
      <c r="I729" s="27" t="str">
        <f>IFERROR(VLOOKUP(Tabulka2[[#This Row],[Pracovník]],DATA!A:L,11,0),"")</f>
        <v>Vlastní auto</v>
      </c>
      <c r="J729" s="16"/>
      <c r="K729" s="19"/>
    </row>
    <row r="730" spans="1:11" x14ac:dyDescent="0.25">
      <c r="A7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30" s="22">
        <v>45929</v>
      </c>
      <c r="C730" s="16" t="s">
        <v>28</v>
      </c>
      <c r="D730" s="16" t="s">
        <v>773</v>
      </c>
      <c r="E730" s="17">
        <f>IFERROR(VLOOKUP(Tabulka2[[#This Row],[Pracovník]],DATA!A:L,5,0),"")</f>
        <v>6508</v>
      </c>
      <c r="F730" s="12" t="s">
        <v>653</v>
      </c>
      <c r="G730" s="16"/>
      <c r="H730" s="18"/>
      <c r="I730" s="27" t="str">
        <f>IFERROR(VLOOKUP(Tabulka2[[#This Row],[Pracovník]],DATA!A:L,11,0),"")</f>
        <v>Vlastní auto</v>
      </c>
      <c r="J730" s="16"/>
      <c r="K730" s="19"/>
    </row>
    <row r="731" spans="1:11" x14ac:dyDescent="0.25">
      <c r="A7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31" s="22">
        <v>45929</v>
      </c>
      <c r="C731" s="16" t="s">
        <v>28</v>
      </c>
      <c r="D731" s="16" t="s">
        <v>774</v>
      </c>
      <c r="E731" s="17">
        <f>IFERROR(VLOOKUP(Tabulka2[[#This Row],[Pracovník]],DATA!A:L,5,0),"")</f>
        <v>4607</v>
      </c>
      <c r="F731" s="12" t="s">
        <v>653</v>
      </c>
      <c r="G731" s="16" t="s">
        <v>916</v>
      </c>
      <c r="H731" s="18"/>
      <c r="I731" s="27" t="str">
        <f>IFERROR(VLOOKUP(Tabulka2[[#This Row],[Pracovník]],DATA!A:L,11,0),"")</f>
        <v>DSC 2</v>
      </c>
      <c r="J731" s="16"/>
      <c r="K731" s="19"/>
    </row>
    <row r="732" spans="1:11" x14ac:dyDescent="0.25">
      <c r="A7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32" s="22">
        <v>45929</v>
      </c>
      <c r="C732" s="16" t="s">
        <v>28</v>
      </c>
      <c r="D732" s="16" t="s">
        <v>775</v>
      </c>
      <c r="E732" s="17">
        <f>IFERROR(VLOOKUP(Tabulka2[[#This Row],[Pracovník]],DATA!A:L,5,0),"")</f>
        <v>5047</v>
      </c>
      <c r="F732" s="12" t="s">
        <v>653</v>
      </c>
      <c r="G732" s="16" t="s">
        <v>916</v>
      </c>
      <c r="H732" s="18"/>
      <c r="I732" s="27" t="str">
        <f>IFERROR(VLOOKUP(Tabulka2[[#This Row],[Pracovník]],DATA!A:L,11,0),"")</f>
        <v>Vlastní auto</v>
      </c>
      <c r="J732" s="16"/>
      <c r="K732" s="19"/>
    </row>
    <row r="733" spans="1:11" x14ac:dyDescent="0.25">
      <c r="A7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33" s="22">
        <v>45929</v>
      </c>
      <c r="C733" s="16" t="s">
        <v>28</v>
      </c>
      <c r="D733" s="16" t="s">
        <v>777</v>
      </c>
      <c r="E733" s="17">
        <f>IFERROR(VLOOKUP(Tabulka2[[#This Row],[Pracovník]],DATA!A:L,5,0),"")</f>
        <v>4616</v>
      </c>
      <c r="F733" s="12" t="s">
        <v>653</v>
      </c>
      <c r="G733" s="16" t="s">
        <v>916</v>
      </c>
      <c r="H733" s="18"/>
      <c r="I733" s="27" t="str">
        <f>IFERROR(VLOOKUP(Tabulka2[[#This Row],[Pracovník]],DATA!A:L,11,0),"")</f>
        <v>Vlastní auto</v>
      </c>
      <c r="J733" s="16"/>
      <c r="K733" s="19"/>
    </row>
    <row r="734" spans="1:11" x14ac:dyDescent="0.25">
      <c r="A7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34" s="22">
        <v>45929</v>
      </c>
      <c r="C734" s="16" t="s">
        <v>28</v>
      </c>
      <c r="D734" s="16" t="s">
        <v>776</v>
      </c>
      <c r="E734" s="17">
        <f>IFERROR(VLOOKUP(Tabulka2[[#This Row],[Pracovník]],DATA!A:L,5,0),"")</f>
        <v>4961</v>
      </c>
      <c r="F734" s="12" t="s">
        <v>653</v>
      </c>
      <c r="G734" s="16"/>
      <c r="H734" s="18"/>
      <c r="I734" s="27" t="str">
        <f>IFERROR(VLOOKUP(Tabulka2[[#This Row],[Pracovník]],DATA!A:L,11,0),"")</f>
        <v>Vlastní auto</v>
      </c>
      <c r="J734" s="16"/>
      <c r="K734" s="19"/>
    </row>
    <row r="735" spans="1:11" x14ac:dyDescent="0.25">
      <c r="A7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35" s="22">
        <v>45929</v>
      </c>
      <c r="C735" s="16" t="s">
        <v>28</v>
      </c>
      <c r="D735" s="16" t="s">
        <v>778</v>
      </c>
      <c r="E735" s="17">
        <f>IFERROR(VLOOKUP(Tabulka2[[#This Row],[Pracovník]],DATA!A:L,5,0),"")</f>
        <v>4721</v>
      </c>
      <c r="F735" s="12" t="s">
        <v>653</v>
      </c>
      <c r="G735" s="16"/>
      <c r="H735" s="18"/>
      <c r="I735" s="27" t="str">
        <f>IFERROR(VLOOKUP(Tabulka2[[#This Row],[Pracovník]],DATA!A:L,11,0),"")</f>
        <v>DSC 2</v>
      </c>
      <c r="J735" s="16"/>
      <c r="K735" s="19"/>
    </row>
    <row r="736" spans="1:11" x14ac:dyDescent="0.25">
      <c r="A7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36" s="22">
        <v>45929</v>
      </c>
      <c r="C736" s="16" t="s">
        <v>28</v>
      </c>
      <c r="D736" s="16" t="s">
        <v>779</v>
      </c>
      <c r="E736" s="17">
        <f>IFERROR(VLOOKUP(Tabulka2[[#This Row],[Pracovník]],DATA!A:L,5,0),"")</f>
        <v>4845</v>
      </c>
      <c r="F736" s="12" t="s">
        <v>653</v>
      </c>
      <c r="G736" s="16"/>
      <c r="H736" s="18"/>
      <c r="I736" s="27" t="str">
        <f>IFERROR(VLOOKUP(Tabulka2[[#This Row],[Pracovník]],DATA!A:L,11,0),"")</f>
        <v>Vlastní auto</v>
      </c>
      <c r="J736" s="16"/>
      <c r="K736" s="19"/>
    </row>
    <row r="737" spans="1:11" x14ac:dyDescent="0.25">
      <c r="A7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37" s="22">
        <v>45929</v>
      </c>
      <c r="C737" s="16" t="s">
        <v>28</v>
      </c>
      <c r="D737" s="16" t="s">
        <v>780</v>
      </c>
      <c r="E737" s="17">
        <f>IFERROR(VLOOKUP(Tabulka2[[#This Row],[Pracovník]],DATA!A:L,5,0),"")</f>
        <v>47</v>
      </c>
      <c r="F737" s="12" t="s">
        <v>653</v>
      </c>
      <c r="G737" s="16"/>
      <c r="H737" s="18"/>
      <c r="I737" s="27" t="str">
        <f>IFERROR(VLOOKUP(Tabulka2[[#This Row],[Pracovník]],DATA!A:L,11,0),"")</f>
        <v>DSC 1</v>
      </c>
      <c r="J737" s="16"/>
      <c r="K737" s="19"/>
    </row>
    <row r="738" spans="1:11" x14ac:dyDescent="0.25">
      <c r="A7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38" s="22">
        <v>45929</v>
      </c>
      <c r="C738" s="16" t="s">
        <v>28</v>
      </c>
      <c r="D738" s="16" t="s">
        <v>792</v>
      </c>
      <c r="E738" s="17">
        <f>IFERROR(VLOOKUP(Tabulka2[[#This Row],[Pracovník]],DATA!A:L,5,0),"")</f>
        <v>6332</v>
      </c>
      <c r="F738" s="12" t="s">
        <v>653</v>
      </c>
      <c r="G738" s="16" t="s">
        <v>916</v>
      </c>
      <c r="H738" s="18"/>
      <c r="I738" s="27" t="str">
        <f>IFERROR(VLOOKUP(Tabulka2[[#This Row],[Pracovník]],DATA!A:L,11,0),"")</f>
        <v>Vlastní auto</v>
      </c>
      <c r="J738" s="16"/>
      <c r="K738" s="19"/>
    </row>
    <row r="739" spans="1:11" x14ac:dyDescent="0.25">
      <c r="A7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39" s="22">
        <v>45929</v>
      </c>
      <c r="C739" s="16" t="s">
        <v>28</v>
      </c>
      <c r="D739" s="16" t="s">
        <v>793</v>
      </c>
      <c r="E739" s="17">
        <f>IFERROR(VLOOKUP(Tabulka2[[#This Row],[Pracovník]],DATA!A:L,5,0),"")</f>
        <v>4871</v>
      </c>
      <c r="F739" s="12" t="s">
        <v>653</v>
      </c>
      <c r="G739" s="16"/>
      <c r="H739" s="18"/>
      <c r="I739" s="27" t="str">
        <f>IFERROR(VLOOKUP(Tabulka2[[#This Row],[Pracovník]],DATA!A:L,11,0),"")</f>
        <v>Vlastní auto</v>
      </c>
      <c r="J739" s="16"/>
      <c r="K739" s="19"/>
    </row>
    <row r="740" spans="1:11" x14ac:dyDescent="0.25">
      <c r="A7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40" s="22">
        <v>45929</v>
      </c>
      <c r="C740" s="16" t="s">
        <v>28</v>
      </c>
      <c r="D740" s="16" t="s">
        <v>794</v>
      </c>
      <c r="E740" s="17">
        <f>IFERROR(VLOOKUP(Tabulka2[[#This Row],[Pracovník]],DATA!A:L,5,0),"")</f>
        <v>4755</v>
      </c>
      <c r="F740" s="12" t="s">
        <v>653</v>
      </c>
      <c r="G740" s="16" t="s">
        <v>916</v>
      </c>
      <c r="H740" s="18"/>
      <c r="I740" s="27" t="str">
        <f>IFERROR(VLOOKUP(Tabulka2[[#This Row],[Pracovník]],DATA!A:L,11,0),"")</f>
        <v>DSC 2</v>
      </c>
      <c r="J740" s="16"/>
      <c r="K740" s="19"/>
    </row>
    <row r="741" spans="1:11" x14ac:dyDescent="0.25">
      <c r="A7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41" s="22">
        <v>45929</v>
      </c>
      <c r="C741" s="16" t="s">
        <v>28</v>
      </c>
      <c r="D741" s="16" t="s">
        <v>781</v>
      </c>
      <c r="E741" s="17">
        <f>IFERROR(VLOOKUP(Tabulka2[[#This Row],[Pracovník]],DATA!A:L,5,0),"")</f>
        <v>49</v>
      </c>
      <c r="F741" s="12" t="s">
        <v>653</v>
      </c>
      <c r="G741" s="16" t="s">
        <v>916</v>
      </c>
      <c r="H741" s="18"/>
      <c r="I741" s="27" t="str">
        <f>IFERROR(VLOOKUP(Tabulka2[[#This Row],[Pracovník]],DATA!A:L,11,0),"")</f>
        <v>DSC 2</v>
      </c>
      <c r="J741" s="16"/>
      <c r="K741" s="19"/>
    </row>
    <row r="742" spans="1:11" x14ac:dyDescent="0.25">
      <c r="A7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42" s="22">
        <v>45929</v>
      </c>
      <c r="C742" s="16" t="s">
        <v>28</v>
      </c>
      <c r="D742" s="16" t="s">
        <v>782</v>
      </c>
      <c r="E742" s="17">
        <f>IFERROR(VLOOKUP(Tabulka2[[#This Row],[Pracovník]],DATA!A:L,5,0),"")</f>
        <v>5839</v>
      </c>
      <c r="F742" s="12" t="s">
        <v>653</v>
      </c>
      <c r="G742" s="16" t="s">
        <v>916</v>
      </c>
      <c r="H742" s="18"/>
      <c r="I742" s="27" t="str">
        <f>IFERROR(VLOOKUP(Tabulka2[[#This Row],[Pracovník]],DATA!A:L,11,0),"")</f>
        <v>DSC 1</v>
      </c>
      <c r="J742" s="16"/>
      <c r="K742" s="19"/>
    </row>
    <row r="743" spans="1:11" x14ac:dyDescent="0.25">
      <c r="A7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43" s="22">
        <v>45929</v>
      </c>
      <c r="C743" s="16" t="s">
        <v>28</v>
      </c>
      <c r="D743" s="16" t="s">
        <v>783</v>
      </c>
      <c r="E743" s="17">
        <f>IFERROR(VLOOKUP(Tabulka2[[#This Row],[Pracovník]],DATA!A:L,5,0),"")</f>
        <v>6487</v>
      </c>
      <c r="F743" s="12" t="s">
        <v>653</v>
      </c>
      <c r="G743" s="16" t="s">
        <v>916</v>
      </c>
      <c r="H743" s="18"/>
      <c r="I743" s="27" t="str">
        <f>IFERROR(VLOOKUP(Tabulka2[[#This Row],[Pracovník]],DATA!A:L,11,0),"")</f>
        <v>DSC 1</v>
      </c>
      <c r="J743" s="16"/>
      <c r="K743" s="19"/>
    </row>
    <row r="744" spans="1:11" x14ac:dyDescent="0.25">
      <c r="A7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44" s="22">
        <v>45929</v>
      </c>
      <c r="C744" s="16" t="s">
        <v>28</v>
      </c>
      <c r="D744" s="16" t="s">
        <v>784</v>
      </c>
      <c r="E744" s="17">
        <f>IFERROR(VLOOKUP(Tabulka2[[#This Row],[Pracovník]],DATA!A:L,5,0),"")</f>
        <v>6292</v>
      </c>
      <c r="F744" s="12" t="s">
        <v>653</v>
      </c>
      <c r="G744" s="16" t="s">
        <v>916</v>
      </c>
      <c r="H744" s="18"/>
      <c r="I744" s="27" t="str">
        <f>IFERROR(VLOOKUP(Tabulka2[[#This Row],[Pracovník]],DATA!A:L,11,0),"")</f>
        <v>Vlastní auto</v>
      </c>
      <c r="J744" s="16"/>
      <c r="K744" s="19"/>
    </row>
    <row r="745" spans="1:11" x14ac:dyDescent="0.25">
      <c r="A7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45" s="22">
        <v>45929</v>
      </c>
      <c r="C745" s="16" t="s">
        <v>28</v>
      </c>
      <c r="D745" s="16" t="s">
        <v>788</v>
      </c>
      <c r="E745" s="17">
        <f>IFERROR(VLOOKUP(Tabulka2[[#This Row],[Pracovník]],DATA!A:L,5,0),"")</f>
        <v>5198</v>
      </c>
      <c r="F745" s="12" t="s">
        <v>653</v>
      </c>
      <c r="G745" s="16" t="s">
        <v>916</v>
      </c>
      <c r="H745" s="18"/>
      <c r="I745" s="27" t="str">
        <f>IFERROR(VLOOKUP(Tabulka2[[#This Row],[Pracovník]],DATA!A:L,11,0),"")</f>
        <v>Vlastní auto</v>
      </c>
      <c r="J745" s="16"/>
      <c r="K745" s="19"/>
    </row>
    <row r="746" spans="1:11" x14ac:dyDescent="0.25">
      <c r="A7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46" s="22">
        <v>45929</v>
      </c>
      <c r="C746" s="16" t="s">
        <v>28</v>
      </c>
      <c r="D746" s="16" t="s">
        <v>789</v>
      </c>
      <c r="E746" s="17">
        <f>IFERROR(VLOOKUP(Tabulka2[[#This Row],[Pracovník]],DATA!A:L,5,0),"")</f>
        <v>6368</v>
      </c>
      <c r="F746" s="12" t="s">
        <v>653</v>
      </c>
      <c r="G746" s="16" t="s">
        <v>916</v>
      </c>
      <c r="H746" s="18"/>
      <c r="I746" s="27" t="str">
        <f>IFERROR(VLOOKUP(Tabulka2[[#This Row],[Pracovník]],DATA!A:L,11,0),"")</f>
        <v>Vlastní auto</v>
      </c>
      <c r="J746" s="16"/>
      <c r="K746" s="19"/>
    </row>
    <row r="747" spans="1:11" x14ac:dyDescent="0.25">
      <c r="A7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47" s="22">
        <v>45929</v>
      </c>
      <c r="C747" s="16" t="s">
        <v>28</v>
      </c>
      <c r="D747" s="16" t="s">
        <v>786</v>
      </c>
      <c r="E747" s="17">
        <f>IFERROR(VLOOKUP(Tabulka2[[#This Row],[Pracovník]],DATA!A:L,5,0),"")</f>
        <v>5595</v>
      </c>
      <c r="F747" s="12" t="s">
        <v>653</v>
      </c>
      <c r="G747" s="16"/>
      <c r="H747" s="18"/>
      <c r="I747" s="27" t="str">
        <f>IFERROR(VLOOKUP(Tabulka2[[#This Row],[Pracovník]],DATA!A:L,11,0),"")</f>
        <v>DSC 2</v>
      </c>
      <c r="J747" s="16"/>
      <c r="K747" s="19"/>
    </row>
    <row r="748" spans="1:11" x14ac:dyDescent="0.25">
      <c r="A7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48" s="22">
        <v>45929</v>
      </c>
      <c r="C748" s="16" t="s">
        <v>28</v>
      </c>
      <c r="D748" s="16" t="s">
        <v>795</v>
      </c>
      <c r="E748" s="17">
        <f>IFERROR(VLOOKUP(Tabulka2[[#This Row],[Pracovník]],DATA!A:L,5,0),"")</f>
        <v>4960</v>
      </c>
      <c r="F748" s="12" t="s">
        <v>653</v>
      </c>
      <c r="G748" s="16" t="s">
        <v>916</v>
      </c>
      <c r="H748" s="18"/>
      <c r="I748" s="27" t="str">
        <f>IFERROR(VLOOKUP(Tabulka2[[#This Row],[Pracovník]],DATA!A:L,11,0),"")</f>
        <v>DSC 1</v>
      </c>
      <c r="J748" s="16"/>
      <c r="K748" s="19"/>
    </row>
    <row r="749" spans="1:11" x14ac:dyDescent="0.25">
      <c r="A7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49" s="22">
        <v>45929</v>
      </c>
      <c r="C749" s="16" t="s">
        <v>28</v>
      </c>
      <c r="D749" s="16" t="s">
        <v>790</v>
      </c>
      <c r="E749" s="17">
        <f>IFERROR(VLOOKUP(Tabulka2[[#This Row],[Pracovník]],DATA!A:L,5,0),"")</f>
        <v>5125</v>
      </c>
      <c r="F749" s="12" t="s">
        <v>653</v>
      </c>
      <c r="G749" s="16" t="s">
        <v>916</v>
      </c>
      <c r="H749" s="18"/>
      <c r="I749" s="27" t="str">
        <f>IFERROR(VLOOKUP(Tabulka2[[#This Row],[Pracovník]],DATA!A:L,11,0),"")</f>
        <v>Vlastní auto</v>
      </c>
      <c r="J749" s="16"/>
      <c r="K749" s="19"/>
    </row>
    <row r="750" spans="1:11" x14ac:dyDescent="0.25">
      <c r="A7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50" s="22">
        <v>45929</v>
      </c>
      <c r="C750" s="16" t="s">
        <v>28</v>
      </c>
      <c r="D750" s="16" t="s">
        <v>791</v>
      </c>
      <c r="E750" s="17">
        <f>IFERROR(VLOOKUP(Tabulka2[[#This Row],[Pracovník]],DATA!A:L,5,0),"")</f>
        <v>6127</v>
      </c>
      <c r="F750" s="12" t="s">
        <v>653</v>
      </c>
      <c r="G750" s="16" t="s">
        <v>916</v>
      </c>
      <c r="H750" s="18"/>
      <c r="I750" s="27" t="str">
        <f>IFERROR(VLOOKUP(Tabulka2[[#This Row],[Pracovník]],DATA!A:L,11,0),"")</f>
        <v>DSC 2</v>
      </c>
      <c r="J750" s="16"/>
      <c r="K750" s="19"/>
    </row>
    <row r="751" spans="1:11" x14ac:dyDescent="0.25">
      <c r="A7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51" s="22">
        <v>45929</v>
      </c>
      <c r="C751" s="16" t="s">
        <v>28</v>
      </c>
      <c r="D751" s="16" t="s">
        <v>796</v>
      </c>
      <c r="E751" s="17">
        <f>IFERROR(VLOOKUP(Tabulka2[[#This Row],[Pracovník]],DATA!A:L,5,0),"")</f>
        <v>5583</v>
      </c>
      <c r="F751" s="12" t="s">
        <v>653</v>
      </c>
      <c r="G751" s="16" t="s">
        <v>916</v>
      </c>
      <c r="H751" s="18"/>
      <c r="I751" s="27" t="str">
        <f>IFERROR(VLOOKUP(Tabulka2[[#This Row],[Pracovník]],DATA!A:L,11,0),"")</f>
        <v>DSC 2</v>
      </c>
      <c r="J751" s="16"/>
      <c r="K751" s="19"/>
    </row>
    <row r="752" spans="1:11" x14ac:dyDescent="0.25">
      <c r="A7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52" s="22">
        <v>45929</v>
      </c>
      <c r="C752" s="16" t="s">
        <v>28</v>
      </c>
      <c r="D752" s="16" t="s">
        <v>644</v>
      </c>
      <c r="E752" s="17">
        <f>IFERROR(VLOOKUP(Tabulka2[[#This Row],[Pracovník]],DATA!A:L,5,0),"")</f>
        <v>123</v>
      </c>
      <c r="F752" s="12" t="s">
        <v>653</v>
      </c>
      <c r="G752" s="16" t="s">
        <v>916</v>
      </c>
      <c r="H752" s="18"/>
      <c r="I752" s="27" t="str">
        <f>IFERROR(VLOOKUP(Tabulka2[[#This Row],[Pracovník]],DATA!A:L,11,0),"")</f>
        <v>DSC 1</v>
      </c>
      <c r="J752" s="16"/>
      <c r="K752" s="19"/>
    </row>
    <row r="753" spans="1:11" x14ac:dyDescent="0.25">
      <c r="A7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53" s="22">
        <v>45929</v>
      </c>
      <c r="C753" s="16" t="s">
        <v>28</v>
      </c>
      <c r="D753" s="16" t="s">
        <v>797</v>
      </c>
      <c r="E753" s="17">
        <f>IFERROR(VLOOKUP(Tabulka2[[#This Row],[Pracovník]],DATA!A:L,5,0),"")</f>
        <v>5525</v>
      </c>
      <c r="F753" s="12" t="s">
        <v>653</v>
      </c>
      <c r="G753" s="16" t="s">
        <v>916</v>
      </c>
      <c r="H753" s="18"/>
      <c r="I753" s="27" t="str">
        <f>IFERROR(VLOOKUP(Tabulka2[[#This Row],[Pracovník]],DATA!A:L,11,0),"")</f>
        <v>Vlastní auto</v>
      </c>
      <c r="J753" s="16"/>
      <c r="K753" s="19"/>
    </row>
    <row r="754" spans="1:11" x14ac:dyDescent="0.25">
      <c r="A7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54" s="22">
        <v>45929</v>
      </c>
      <c r="C754" s="16" t="s">
        <v>28</v>
      </c>
      <c r="D754" s="16" t="s">
        <v>798</v>
      </c>
      <c r="E754" s="17">
        <f>IFERROR(VLOOKUP(Tabulka2[[#This Row],[Pracovník]],DATA!A:L,5,0),"")</f>
        <v>126</v>
      </c>
      <c r="F754" s="12" t="s">
        <v>653</v>
      </c>
      <c r="G754" s="16"/>
      <c r="H754" s="18"/>
      <c r="I754" s="27" t="str">
        <f>IFERROR(VLOOKUP(Tabulka2[[#This Row],[Pracovník]],DATA!A:L,11,0),"")</f>
        <v>Vlastní auto</v>
      </c>
      <c r="J754" s="16"/>
      <c r="K754" s="19"/>
    </row>
    <row r="755" spans="1:11" x14ac:dyDescent="0.25">
      <c r="A7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55" s="22">
        <v>45929</v>
      </c>
      <c r="C755" s="16" t="s">
        <v>28</v>
      </c>
      <c r="D755" s="16" t="s">
        <v>799</v>
      </c>
      <c r="E755" s="17">
        <f>IFERROR(VLOOKUP(Tabulka2[[#This Row],[Pracovník]],DATA!A:L,5,0),"")</f>
        <v>127</v>
      </c>
      <c r="F755" s="12" t="s">
        <v>653</v>
      </c>
      <c r="G755" s="16"/>
      <c r="H755" s="18"/>
      <c r="I755" s="27" t="str">
        <f>IFERROR(VLOOKUP(Tabulka2[[#This Row],[Pracovník]],DATA!A:L,11,0),"")</f>
        <v>DSC 2</v>
      </c>
      <c r="J755" s="16"/>
      <c r="K755" s="19"/>
    </row>
    <row r="756" spans="1:11" x14ac:dyDescent="0.25">
      <c r="A7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56" s="22">
        <v>45929</v>
      </c>
      <c r="C756" s="16" t="s">
        <v>28</v>
      </c>
      <c r="D756" s="16" t="s">
        <v>800</v>
      </c>
      <c r="E756" s="17">
        <f>IFERROR(VLOOKUP(Tabulka2[[#This Row],[Pracovník]],DATA!A:L,5,0),"")</f>
        <v>4847</v>
      </c>
      <c r="F756" s="12" t="s">
        <v>653</v>
      </c>
      <c r="G756" s="16"/>
      <c r="H756" s="18"/>
      <c r="I756" s="27" t="str">
        <f>IFERROR(VLOOKUP(Tabulka2[[#This Row],[Pracovník]],DATA!A:L,11,0),"")</f>
        <v>Vlastní auto</v>
      </c>
      <c r="J756" s="16"/>
      <c r="K756" s="19"/>
    </row>
    <row r="757" spans="1:11" x14ac:dyDescent="0.25">
      <c r="A7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57" s="22">
        <v>45929</v>
      </c>
      <c r="C757" s="16" t="s">
        <v>28</v>
      </c>
      <c r="D757" s="16" t="s">
        <v>801</v>
      </c>
      <c r="E757" s="17">
        <f>IFERROR(VLOOKUP(Tabulka2[[#This Row],[Pracovník]],DATA!A:L,5,0),"")</f>
        <v>750</v>
      </c>
      <c r="F757" s="12" t="s">
        <v>653</v>
      </c>
      <c r="G757" s="16" t="s">
        <v>916</v>
      </c>
      <c r="H757" s="18"/>
      <c r="I757" s="27" t="str">
        <f>IFERROR(VLOOKUP(Tabulka2[[#This Row],[Pracovník]],DATA!A:L,11,0),"")</f>
        <v>Vlastní auto</v>
      </c>
      <c r="J757" s="16"/>
      <c r="K757" s="19"/>
    </row>
    <row r="758" spans="1:11" x14ac:dyDescent="0.25">
      <c r="A7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58" s="22">
        <v>45929</v>
      </c>
      <c r="C758" s="16" t="s">
        <v>28</v>
      </c>
      <c r="D758" s="16" t="s">
        <v>802</v>
      </c>
      <c r="E758" s="17">
        <f>IFERROR(VLOOKUP(Tabulka2[[#This Row],[Pracovník]],DATA!A:L,5,0),"")</f>
        <v>4663</v>
      </c>
      <c r="F758" s="12" t="s">
        <v>653</v>
      </c>
      <c r="G758" s="16" t="s">
        <v>916</v>
      </c>
      <c r="H758" s="18"/>
      <c r="I758" s="27" t="str">
        <f>IFERROR(VLOOKUP(Tabulka2[[#This Row],[Pracovník]],DATA!A:L,11,0),"")</f>
        <v>DSC 2</v>
      </c>
      <c r="J758" s="16"/>
      <c r="K758" s="19"/>
    </row>
    <row r="759" spans="1:11" x14ac:dyDescent="0.25">
      <c r="A7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59" s="22">
        <v>45929</v>
      </c>
      <c r="C759" s="16" t="s">
        <v>28</v>
      </c>
      <c r="D759" s="16" t="s">
        <v>803</v>
      </c>
      <c r="E759" s="17">
        <f>IFERROR(VLOOKUP(Tabulka2[[#This Row],[Pracovník]],DATA!A:L,5,0),"")</f>
        <v>131</v>
      </c>
      <c r="F759" s="12" t="s">
        <v>653</v>
      </c>
      <c r="G759" s="16"/>
      <c r="H759" s="18"/>
      <c r="I759" s="27" t="str">
        <f>IFERROR(VLOOKUP(Tabulka2[[#This Row],[Pracovník]],DATA!A:L,11,0),"")</f>
        <v>DSC 2</v>
      </c>
      <c r="J759" s="16"/>
      <c r="K759" s="19"/>
    </row>
    <row r="760" spans="1:11" x14ac:dyDescent="0.25">
      <c r="A7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60" s="22">
        <v>45929</v>
      </c>
      <c r="C760" s="16" t="s">
        <v>28</v>
      </c>
      <c r="D760" s="16" t="s">
        <v>643</v>
      </c>
      <c r="E760" s="17">
        <f>IFERROR(VLOOKUP(Tabulka2[[#This Row],[Pracovník]],DATA!A:L,5,0),"")</f>
        <v>5620</v>
      </c>
      <c r="F760" s="12" t="s">
        <v>653</v>
      </c>
      <c r="G760" s="16" t="s">
        <v>916</v>
      </c>
      <c r="H760" s="18"/>
      <c r="I760" s="27" t="str">
        <f>IFERROR(VLOOKUP(Tabulka2[[#This Row],[Pracovník]],DATA!A:L,11,0),"")</f>
        <v>Vlastní auto</v>
      </c>
      <c r="J760" s="16"/>
      <c r="K760" s="19"/>
    </row>
    <row r="761" spans="1:11" x14ac:dyDescent="0.25">
      <c r="A7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61" s="22">
        <v>45929</v>
      </c>
      <c r="C761" s="16" t="s">
        <v>28</v>
      </c>
      <c r="D761" s="16" t="s">
        <v>804</v>
      </c>
      <c r="E761" s="17">
        <f>IFERROR(VLOOKUP(Tabulka2[[#This Row],[Pracovník]],DATA!A:L,5,0),"")</f>
        <v>4868</v>
      </c>
      <c r="F761" s="12" t="s">
        <v>653</v>
      </c>
      <c r="G761" s="16"/>
      <c r="H761" s="18"/>
      <c r="I761" s="27" t="str">
        <f>IFERROR(VLOOKUP(Tabulka2[[#This Row],[Pracovník]],DATA!A:L,11,0),"")</f>
        <v>Vlastní auto</v>
      </c>
      <c r="J761" s="16"/>
      <c r="K761" s="19"/>
    </row>
    <row r="762" spans="1:11" x14ac:dyDescent="0.25">
      <c r="A7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62" s="22">
        <v>45929</v>
      </c>
      <c r="C762" s="16" t="s">
        <v>28</v>
      </c>
      <c r="D762" s="16" t="s">
        <v>805</v>
      </c>
      <c r="E762" s="17">
        <f>IFERROR(VLOOKUP(Tabulka2[[#This Row],[Pracovník]],DATA!A:L,5,0),"")</f>
        <v>5026</v>
      </c>
      <c r="F762" s="12" t="s">
        <v>653</v>
      </c>
      <c r="G762" s="16"/>
      <c r="H762" s="18"/>
      <c r="I762" s="27" t="str">
        <f>IFERROR(VLOOKUP(Tabulka2[[#This Row],[Pracovník]],DATA!A:L,11,0),"")</f>
        <v>Vlastní auto</v>
      </c>
      <c r="J762" s="16"/>
      <c r="K762" s="19"/>
    </row>
    <row r="763" spans="1:11" x14ac:dyDescent="0.25">
      <c r="A7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63" s="22">
        <v>45929</v>
      </c>
      <c r="C763" s="16" t="s">
        <v>28</v>
      </c>
      <c r="D763" s="16" t="s">
        <v>806</v>
      </c>
      <c r="E763" s="17">
        <f>IFERROR(VLOOKUP(Tabulka2[[#This Row],[Pracovník]],DATA!A:L,5,0),"")</f>
        <v>6424</v>
      </c>
      <c r="F763" s="12" t="s">
        <v>653</v>
      </c>
      <c r="G763" s="16" t="s">
        <v>916</v>
      </c>
      <c r="H763" s="18"/>
      <c r="I763" s="27" t="str">
        <f>IFERROR(VLOOKUP(Tabulka2[[#This Row],[Pracovník]],DATA!A:L,11,0),"")</f>
        <v>DSC 1</v>
      </c>
      <c r="J763" s="16"/>
      <c r="K763" s="19"/>
    </row>
    <row r="764" spans="1:11" x14ac:dyDescent="0.25">
      <c r="A7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64" s="22">
        <v>45929</v>
      </c>
      <c r="C764" s="16" t="s">
        <v>28</v>
      </c>
      <c r="D764" s="16" t="s">
        <v>807</v>
      </c>
      <c r="E764" s="17">
        <f>IFERROR(VLOOKUP(Tabulka2[[#This Row],[Pracovník]],DATA!A:L,5,0),"")</f>
        <v>5004</v>
      </c>
      <c r="F764" s="12" t="s">
        <v>653</v>
      </c>
      <c r="G764" s="16"/>
      <c r="H764" s="18"/>
      <c r="I764" s="27" t="str">
        <f>IFERROR(VLOOKUP(Tabulka2[[#This Row],[Pracovník]],DATA!A:L,11,0),"")</f>
        <v>Vlastní auto</v>
      </c>
      <c r="J764" s="16"/>
      <c r="K764" s="19"/>
    </row>
    <row r="765" spans="1:11" x14ac:dyDescent="0.25">
      <c r="A7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65" s="22">
        <v>45929</v>
      </c>
      <c r="C765" s="16" t="s">
        <v>28</v>
      </c>
      <c r="D765" s="16" t="s">
        <v>808</v>
      </c>
      <c r="E765" s="17">
        <f>IFERROR(VLOOKUP(Tabulka2[[#This Row],[Pracovník]],DATA!A:L,5,0),"")</f>
        <v>136</v>
      </c>
      <c r="F765" s="12" t="s">
        <v>653</v>
      </c>
      <c r="G765" s="16"/>
      <c r="H765" s="18"/>
      <c r="I765" s="27" t="str">
        <f>IFERROR(VLOOKUP(Tabulka2[[#This Row],[Pracovník]],DATA!A:L,11,0),"")</f>
        <v>DSC 2</v>
      </c>
      <c r="J765" s="16"/>
      <c r="K765" s="19"/>
    </row>
    <row r="766" spans="1:11" x14ac:dyDescent="0.25">
      <c r="A7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66" s="22">
        <v>45929</v>
      </c>
      <c r="C766" s="16" t="s">
        <v>28</v>
      </c>
      <c r="D766" s="16" t="s">
        <v>809</v>
      </c>
      <c r="E766" s="17">
        <f>IFERROR(VLOOKUP(Tabulka2[[#This Row],[Pracovník]],DATA!A:L,5,0),"")</f>
        <v>19</v>
      </c>
      <c r="F766" s="12" t="s">
        <v>653</v>
      </c>
      <c r="G766" s="16"/>
      <c r="H766" s="18"/>
      <c r="I766" s="27" t="str">
        <f>IFERROR(VLOOKUP(Tabulka2[[#This Row],[Pracovník]],DATA!A:L,11,0),"")</f>
        <v>Vlastní auto</v>
      </c>
      <c r="J766" s="16"/>
      <c r="K766" s="19"/>
    </row>
    <row r="767" spans="1:11" x14ac:dyDescent="0.25">
      <c r="A7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67" s="22">
        <v>45929</v>
      </c>
      <c r="C767" s="16" t="s">
        <v>28</v>
      </c>
      <c r="D767" s="16" t="s">
        <v>810</v>
      </c>
      <c r="E767" s="17">
        <f>IFERROR(VLOOKUP(Tabulka2[[#This Row],[Pracovník]],DATA!A:L,5,0),"")</f>
        <v>4791</v>
      </c>
      <c r="F767" s="12" t="s">
        <v>653</v>
      </c>
      <c r="G767" s="16"/>
      <c r="H767" s="18"/>
      <c r="I767" s="27" t="str">
        <f>IFERROR(VLOOKUP(Tabulka2[[#This Row],[Pracovník]],DATA!A:L,11,0),"")</f>
        <v>Vlastní auto</v>
      </c>
      <c r="J767" s="16"/>
      <c r="K767" s="19"/>
    </row>
    <row r="768" spans="1:11" x14ac:dyDescent="0.25">
      <c r="A7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68" s="22">
        <v>45929</v>
      </c>
      <c r="C768" s="16" t="s">
        <v>28</v>
      </c>
      <c r="D768" s="16" t="s">
        <v>811</v>
      </c>
      <c r="E768" s="17">
        <f>IFERROR(VLOOKUP(Tabulka2[[#This Row],[Pracovník]],DATA!A:L,5,0),"")</f>
        <v>5121</v>
      </c>
      <c r="F768" s="12" t="s">
        <v>653</v>
      </c>
      <c r="G768" s="16" t="s">
        <v>916</v>
      </c>
      <c r="H768" s="18"/>
      <c r="I768" s="27" t="str">
        <f>IFERROR(VLOOKUP(Tabulka2[[#This Row],[Pracovník]],DATA!A:L,11,0),"")</f>
        <v>DSC 2</v>
      </c>
      <c r="J768" s="16"/>
      <c r="K768" s="19"/>
    </row>
    <row r="769" spans="1:11" x14ac:dyDescent="0.25">
      <c r="A7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69" s="22">
        <v>45929</v>
      </c>
      <c r="C769" s="16" t="s">
        <v>28</v>
      </c>
      <c r="D769" s="16" t="s">
        <v>996</v>
      </c>
      <c r="E769" s="17">
        <f>IFERROR(VLOOKUP(Tabulka2[[#This Row],[Pracovník]],DATA!A:L,5,0),"")</f>
        <v>4416</v>
      </c>
      <c r="F769" s="12" t="s">
        <v>653</v>
      </c>
      <c r="G769" s="16" t="s">
        <v>916</v>
      </c>
      <c r="H769" s="18"/>
      <c r="I769" s="27" t="str">
        <f>IFERROR(VLOOKUP(Tabulka2[[#This Row],[Pracovník]],DATA!A:L,11,0),"")</f>
        <v>DSC 2</v>
      </c>
      <c r="J769" s="16"/>
      <c r="K769" s="19"/>
    </row>
    <row r="770" spans="1:11" x14ac:dyDescent="0.25">
      <c r="A7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70" s="22">
        <v>45929</v>
      </c>
      <c r="C770" s="16" t="s">
        <v>28</v>
      </c>
      <c r="D770" s="16" t="s">
        <v>825</v>
      </c>
      <c r="E770" s="17">
        <f>IFERROR(VLOOKUP(Tabulka2[[#This Row],[Pracovník]],DATA!A:L,5,0),"")</f>
        <v>6193</v>
      </c>
      <c r="F770" s="12" t="s">
        <v>653</v>
      </c>
      <c r="G770" s="16" t="s">
        <v>916</v>
      </c>
      <c r="H770" s="18"/>
      <c r="I770" s="27" t="str">
        <f>IFERROR(VLOOKUP(Tabulka2[[#This Row],[Pracovník]],DATA!A:L,11,0),"")</f>
        <v>DSC 2</v>
      </c>
      <c r="J770" s="16"/>
      <c r="K770" s="19"/>
    </row>
    <row r="771" spans="1:11" x14ac:dyDescent="0.25">
      <c r="A7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71" s="22">
        <v>45929</v>
      </c>
      <c r="C771" s="16" t="s">
        <v>28</v>
      </c>
      <c r="D771" s="16" t="s">
        <v>812</v>
      </c>
      <c r="E771" s="17">
        <f>IFERROR(VLOOKUP(Tabulka2[[#This Row],[Pracovník]],DATA!A:L,5,0),"")</f>
        <v>146</v>
      </c>
      <c r="F771" s="12" t="s">
        <v>653</v>
      </c>
      <c r="G771" s="16" t="s">
        <v>657</v>
      </c>
      <c r="H771" s="18"/>
      <c r="I771" s="27" t="str">
        <f>IFERROR(VLOOKUP(Tabulka2[[#This Row],[Pracovník]],DATA!A:L,11,0),"")</f>
        <v>DSC 2</v>
      </c>
      <c r="J771" s="16"/>
      <c r="K771" s="19"/>
    </row>
    <row r="772" spans="1:11" x14ac:dyDescent="0.25">
      <c r="A7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72" s="22">
        <v>45929</v>
      </c>
      <c r="C772" s="16" t="s">
        <v>28</v>
      </c>
      <c r="D772" s="16" t="s">
        <v>814</v>
      </c>
      <c r="E772" s="17">
        <f>IFERROR(VLOOKUP(Tabulka2[[#This Row],[Pracovník]],DATA!A:L,5,0),"")</f>
        <v>4745</v>
      </c>
      <c r="F772" s="12" t="s">
        <v>653</v>
      </c>
      <c r="G772" s="16"/>
      <c r="H772" s="18"/>
      <c r="I772" s="27" t="str">
        <f>IFERROR(VLOOKUP(Tabulka2[[#This Row],[Pracovník]],DATA!A:L,11,0),"")</f>
        <v>Vlastní auto</v>
      </c>
      <c r="J772" s="16"/>
      <c r="K772" s="19"/>
    </row>
    <row r="773" spans="1:11" x14ac:dyDescent="0.25">
      <c r="A7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73" s="22">
        <v>45929</v>
      </c>
      <c r="C773" s="16" t="s">
        <v>28</v>
      </c>
      <c r="D773" s="16" t="s">
        <v>997</v>
      </c>
      <c r="E773" s="17">
        <f>IFERROR(VLOOKUP(Tabulka2[[#This Row],[Pracovník]],DATA!A:L,5,0),"")</f>
        <v>5029</v>
      </c>
      <c r="F773" s="12" t="s">
        <v>653</v>
      </c>
      <c r="G773" s="16" t="s">
        <v>916</v>
      </c>
      <c r="H773" s="18"/>
      <c r="I773" s="27" t="str">
        <f>IFERROR(VLOOKUP(Tabulka2[[#This Row],[Pracovník]],DATA!A:L,11,0),"")</f>
        <v>Vlastní auto</v>
      </c>
      <c r="J773" s="16"/>
      <c r="K773" s="19"/>
    </row>
    <row r="774" spans="1:11" x14ac:dyDescent="0.25">
      <c r="A7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74" s="22">
        <v>45929</v>
      </c>
      <c r="C774" s="16" t="s">
        <v>28</v>
      </c>
      <c r="D774" s="16" t="s">
        <v>816</v>
      </c>
      <c r="E774" s="17">
        <f>IFERROR(VLOOKUP(Tabulka2[[#This Row],[Pracovník]],DATA!A:L,5,0),"")</f>
        <v>5209</v>
      </c>
      <c r="F774" s="12" t="s">
        <v>653</v>
      </c>
      <c r="G774" s="16" t="s">
        <v>916</v>
      </c>
      <c r="H774" s="18"/>
      <c r="I774" s="27" t="str">
        <f>IFERROR(VLOOKUP(Tabulka2[[#This Row],[Pracovník]],DATA!A:L,11,0),"")</f>
        <v>Vlastní auto</v>
      </c>
      <c r="J774" s="16"/>
      <c r="K774" s="19"/>
    </row>
    <row r="775" spans="1:11" x14ac:dyDescent="0.25">
      <c r="A7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75" s="22">
        <v>45929</v>
      </c>
      <c r="C775" s="16" t="s">
        <v>28</v>
      </c>
      <c r="D775" s="16" t="s">
        <v>815</v>
      </c>
      <c r="E775" s="17">
        <f>IFERROR(VLOOKUP(Tabulka2[[#This Row],[Pracovník]],DATA!A:L,5,0),"")</f>
        <v>4790</v>
      </c>
      <c r="F775" s="12" t="s">
        <v>653</v>
      </c>
      <c r="G775" s="16"/>
      <c r="H775" s="18"/>
      <c r="I775" s="27" t="str">
        <f>IFERROR(VLOOKUP(Tabulka2[[#This Row],[Pracovník]],DATA!A:L,11,0),"")</f>
        <v>DSC 2</v>
      </c>
      <c r="J775" s="16"/>
      <c r="K775" s="19"/>
    </row>
    <row r="776" spans="1:11" x14ac:dyDescent="0.25">
      <c r="A7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76" s="22">
        <v>45929</v>
      </c>
      <c r="C776" s="16" t="s">
        <v>28</v>
      </c>
      <c r="D776" s="16" t="s">
        <v>817</v>
      </c>
      <c r="E776" s="17">
        <f>IFERROR(VLOOKUP(Tabulka2[[#This Row],[Pracovník]],DATA!A:L,5,0),"")</f>
        <v>4727</v>
      </c>
      <c r="F776" s="12" t="s">
        <v>653</v>
      </c>
      <c r="G776" s="16"/>
      <c r="H776" s="18"/>
      <c r="I776" s="27" t="str">
        <f>IFERROR(VLOOKUP(Tabulka2[[#This Row],[Pracovník]],DATA!A:L,11,0),"")</f>
        <v>DSC 1</v>
      </c>
      <c r="J776" s="16"/>
      <c r="K776" s="19"/>
    </row>
    <row r="777" spans="1:11" x14ac:dyDescent="0.25">
      <c r="A7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77" s="22">
        <v>45929</v>
      </c>
      <c r="C777" s="16" t="s">
        <v>28</v>
      </c>
      <c r="D777" s="16" t="s">
        <v>818</v>
      </c>
      <c r="E777" s="17">
        <f>IFERROR(VLOOKUP(Tabulka2[[#This Row],[Pracovník]],DATA!A:L,5,0),"")</f>
        <v>6488</v>
      </c>
      <c r="F777" s="12" t="s">
        <v>653</v>
      </c>
      <c r="G777" s="16" t="s">
        <v>916</v>
      </c>
      <c r="H777" s="18"/>
      <c r="I777" s="27" t="str">
        <f>IFERROR(VLOOKUP(Tabulka2[[#This Row],[Pracovník]],DATA!A:L,11,0),"")</f>
        <v>DSC 2</v>
      </c>
      <c r="J777" s="16"/>
      <c r="K777" s="19"/>
    </row>
    <row r="778" spans="1:11" x14ac:dyDescent="0.25">
      <c r="A7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78" s="22">
        <v>45929</v>
      </c>
      <c r="C778" s="16" t="s">
        <v>28</v>
      </c>
      <c r="D778" s="16" t="s">
        <v>820</v>
      </c>
      <c r="E778" s="17">
        <f>IFERROR(VLOOKUP(Tabulka2[[#This Row],[Pracovník]],DATA!A:L,5,0),"")</f>
        <v>5604</v>
      </c>
      <c r="F778" s="12" t="s">
        <v>653</v>
      </c>
      <c r="G778" s="16" t="s">
        <v>916</v>
      </c>
      <c r="H778" s="18"/>
      <c r="I778" s="27" t="str">
        <f>IFERROR(VLOOKUP(Tabulka2[[#This Row],[Pracovník]],DATA!A:L,11,0),"")</f>
        <v>Vlastní auto</v>
      </c>
      <c r="J778" s="16"/>
      <c r="K778" s="19"/>
    </row>
    <row r="779" spans="1:11" x14ac:dyDescent="0.25">
      <c r="A7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79" s="22">
        <v>45929</v>
      </c>
      <c r="C779" s="16" t="s">
        <v>28</v>
      </c>
      <c r="D779" s="16" t="s">
        <v>821</v>
      </c>
      <c r="E779" s="17">
        <f>IFERROR(VLOOKUP(Tabulka2[[#This Row],[Pracovník]],DATA!A:L,5,0),"")</f>
        <v>5632</v>
      </c>
      <c r="F779" s="12" t="s">
        <v>653</v>
      </c>
      <c r="G779" s="16"/>
      <c r="H779" s="18"/>
      <c r="I779" s="27" t="str">
        <f>IFERROR(VLOOKUP(Tabulka2[[#This Row],[Pracovník]],DATA!A:L,11,0),"")</f>
        <v>DSC 1</v>
      </c>
      <c r="J779" s="16"/>
      <c r="K779" s="19"/>
    </row>
    <row r="780" spans="1:11" x14ac:dyDescent="0.25">
      <c r="A7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80" s="22">
        <v>45929</v>
      </c>
      <c r="C780" s="16" t="s">
        <v>28</v>
      </c>
      <c r="D780" s="16" t="s">
        <v>822</v>
      </c>
      <c r="E780" s="17">
        <f>IFERROR(VLOOKUP(Tabulka2[[#This Row],[Pracovník]],DATA!A:L,5,0),"")</f>
        <v>5980</v>
      </c>
      <c r="F780" s="12" t="s">
        <v>653</v>
      </c>
      <c r="G780" s="16" t="s">
        <v>916</v>
      </c>
      <c r="H780" s="18"/>
      <c r="I780" s="27" t="str">
        <f>IFERROR(VLOOKUP(Tabulka2[[#This Row],[Pracovník]],DATA!A:L,11,0),"")</f>
        <v>DSC 2</v>
      </c>
      <c r="J780" s="16"/>
      <c r="K780" s="19"/>
    </row>
    <row r="781" spans="1:11" x14ac:dyDescent="0.25">
      <c r="A7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81" s="22">
        <v>45929</v>
      </c>
      <c r="C781" s="16" t="s">
        <v>28</v>
      </c>
      <c r="D781" s="16" t="s">
        <v>823</v>
      </c>
      <c r="E781" s="17">
        <f>IFERROR(VLOOKUP(Tabulka2[[#This Row],[Pracovník]],DATA!A:L,5,0),"")</f>
        <v>5481</v>
      </c>
      <c r="F781" s="12" t="s">
        <v>653</v>
      </c>
      <c r="G781" s="16" t="s">
        <v>916</v>
      </c>
      <c r="H781" s="18"/>
      <c r="I781" s="27" t="str">
        <f>IFERROR(VLOOKUP(Tabulka2[[#This Row],[Pracovník]],DATA!A:L,11,0),"")</f>
        <v>DSC 2</v>
      </c>
      <c r="J781" s="16"/>
      <c r="K781" s="19"/>
    </row>
    <row r="782" spans="1:11" x14ac:dyDescent="0.25">
      <c r="A7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82" s="22">
        <v>45929</v>
      </c>
      <c r="C782" s="16" t="s">
        <v>28</v>
      </c>
      <c r="D782" s="16" t="s">
        <v>824</v>
      </c>
      <c r="E782" s="17">
        <f>IFERROR(VLOOKUP(Tabulka2[[#This Row],[Pracovník]],DATA!A:L,5,0),"")</f>
        <v>150</v>
      </c>
      <c r="F782" s="12" t="s">
        <v>653</v>
      </c>
      <c r="G782" s="16" t="s">
        <v>657</v>
      </c>
      <c r="H782" s="18"/>
      <c r="I782" s="27" t="str">
        <f>IFERROR(VLOOKUP(Tabulka2[[#This Row],[Pracovník]],DATA!A:L,11,0),"")</f>
        <v>DSC 1</v>
      </c>
      <c r="J782" s="16"/>
      <c r="K782" s="19"/>
    </row>
    <row r="783" spans="1:11" x14ac:dyDescent="0.25">
      <c r="A7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83" s="22">
        <v>45929</v>
      </c>
      <c r="C783" s="16" t="s">
        <v>28</v>
      </c>
      <c r="D783" s="16" t="s">
        <v>826</v>
      </c>
      <c r="E783" s="17">
        <f>IFERROR(VLOOKUP(Tabulka2[[#This Row],[Pracovník]],DATA!A:L,5,0),"")</f>
        <v>5120</v>
      </c>
      <c r="F783" s="12" t="s">
        <v>653</v>
      </c>
      <c r="G783" s="16" t="s">
        <v>916</v>
      </c>
      <c r="H783" s="18"/>
      <c r="I783" s="27" t="str">
        <f>IFERROR(VLOOKUP(Tabulka2[[#This Row],[Pracovník]],DATA!A:L,11,0),"")</f>
        <v>Vlastní auto</v>
      </c>
      <c r="J783" s="16"/>
      <c r="K783" s="19"/>
    </row>
    <row r="784" spans="1:11" x14ac:dyDescent="0.25">
      <c r="A7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84" s="22">
        <v>45929</v>
      </c>
      <c r="C784" s="16" t="s">
        <v>28</v>
      </c>
      <c r="D784" s="16" t="s">
        <v>827</v>
      </c>
      <c r="E784" s="17">
        <f>IFERROR(VLOOKUP(Tabulka2[[#This Row],[Pracovník]],DATA!A:L,5,0),"")</f>
        <v>4713</v>
      </c>
      <c r="F784" s="12" t="s">
        <v>653</v>
      </c>
      <c r="G784" s="16"/>
      <c r="H784" s="18"/>
      <c r="I784" s="27" t="str">
        <f>IFERROR(VLOOKUP(Tabulka2[[#This Row],[Pracovník]],DATA!A:L,11,0),"")</f>
        <v>DSC 1</v>
      </c>
      <c r="J784" s="16"/>
      <c r="K784" s="19"/>
    </row>
    <row r="785" spans="1:11" x14ac:dyDescent="0.25">
      <c r="A7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85" s="22">
        <v>45929</v>
      </c>
      <c r="C785" s="16" t="s">
        <v>28</v>
      </c>
      <c r="D785" s="16" t="s">
        <v>828</v>
      </c>
      <c r="E785" s="17">
        <f>IFERROR(VLOOKUP(Tabulka2[[#This Row],[Pracovník]],DATA!A:L,5,0),"")</f>
        <v>6318</v>
      </c>
      <c r="F785" s="12" t="s">
        <v>653</v>
      </c>
      <c r="G785" s="16" t="s">
        <v>916</v>
      </c>
      <c r="H785" s="18"/>
      <c r="I785" s="27" t="str">
        <f>IFERROR(VLOOKUP(Tabulka2[[#This Row],[Pracovník]],DATA!A:L,11,0),"")</f>
        <v>DSC 1</v>
      </c>
      <c r="J785" s="16"/>
      <c r="K785" s="19"/>
    </row>
    <row r="786" spans="1:11" x14ac:dyDescent="0.25">
      <c r="A7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86" s="22">
        <v>45929</v>
      </c>
      <c r="C786" s="16" t="s">
        <v>28</v>
      </c>
      <c r="D786" s="16" t="s">
        <v>829</v>
      </c>
      <c r="E786" s="17">
        <f>IFERROR(VLOOKUP(Tabulka2[[#This Row],[Pracovník]],DATA!A:L,5,0),"")</f>
        <v>5712</v>
      </c>
      <c r="F786" s="12" t="s">
        <v>653</v>
      </c>
      <c r="G786" s="16" t="s">
        <v>916</v>
      </c>
      <c r="H786" s="18"/>
      <c r="I786" s="27" t="str">
        <f>IFERROR(VLOOKUP(Tabulka2[[#This Row],[Pracovník]],DATA!A:L,11,0),"")</f>
        <v>Vlastní auto</v>
      </c>
      <c r="J786" s="16"/>
      <c r="K786" s="19"/>
    </row>
    <row r="787" spans="1:11" x14ac:dyDescent="0.25">
      <c r="A7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87" s="22">
        <v>45929</v>
      </c>
      <c r="C787" s="16" t="s">
        <v>28</v>
      </c>
      <c r="D787" s="16" t="s">
        <v>830</v>
      </c>
      <c r="E787" s="17">
        <f>IFERROR(VLOOKUP(Tabulka2[[#This Row],[Pracovník]],DATA!A:L,5,0),"")</f>
        <v>4744</v>
      </c>
      <c r="F787" s="12" t="s">
        <v>653</v>
      </c>
      <c r="G787" s="16" t="s">
        <v>916</v>
      </c>
      <c r="H787" s="18"/>
      <c r="I787" s="27" t="str">
        <f>IFERROR(VLOOKUP(Tabulka2[[#This Row],[Pracovník]],DATA!A:L,11,0),"")</f>
        <v>DSC 2</v>
      </c>
      <c r="J787" s="16"/>
      <c r="K787" s="19"/>
    </row>
    <row r="788" spans="1:11" x14ac:dyDescent="0.25">
      <c r="A7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88" s="22">
        <v>45929</v>
      </c>
      <c r="C788" s="16" t="s">
        <v>28</v>
      </c>
      <c r="D788" s="16" t="s">
        <v>998</v>
      </c>
      <c r="E788" s="17">
        <f>IFERROR(VLOOKUP(Tabulka2[[#This Row],[Pracovník]],DATA!A:L,5,0),"")</f>
        <v>4555</v>
      </c>
      <c r="F788" s="12" t="s">
        <v>653</v>
      </c>
      <c r="G788" s="16" t="s">
        <v>916</v>
      </c>
      <c r="H788" s="18"/>
      <c r="I788" s="27" t="str">
        <f>IFERROR(VLOOKUP(Tabulka2[[#This Row],[Pracovník]],DATA!A:L,11,0),"")</f>
        <v>Vlastní auto</v>
      </c>
      <c r="J788" s="16"/>
      <c r="K788" s="19"/>
    </row>
    <row r="789" spans="1:11" x14ac:dyDescent="0.25">
      <c r="A7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89" s="22">
        <v>45929</v>
      </c>
      <c r="C789" s="16" t="s">
        <v>28</v>
      </c>
      <c r="D789" s="16" t="s">
        <v>831</v>
      </c>
      <c r="E789" s="17">
        <f>IFERROR(VLOOKUP(Tabulka2[[#This Row],[Pracovník]],DATA!A:L,5,0),"")</f>
        <v>155</v>
      </c>
      <c r="F789" s="12" t="s">
        <v>653</v>
      </c>
      <c r="G789" s="16" t="s">
        <v>916</v>
      </c>
      <c r="H789" s="18"/>
      <c r="I789" s="27" t="str">
        <f>IFERROR(VLOOKUP(Tabulka2[[#This Row],[Pracovník]],DATA!A:L,11,0),"")</f>
        <v>DSC 1</v>
      </c>
      <c r="J789" s="16"/>
      <c r="K789" s="19"/>
    </row>
    <row r="790" spans="1:11" x14ac:dyDescent="0.25">
      <c r="A7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90" s="22">
        <v>45929</v>
      </c>
      <c r="C790" s="16" t="s">
        <v>28</v>
      </c>
      <c r="D790" s="16" t="s">
        <v>833</v>
      </c>
      <c r="E790" s="17">
        <f>IFERROR(VLOOKUP(Tabulka2[[#This Row],[Pracovník]],DATA!A:L,5,0),"")</f>
        <v>6178</v>
      </c>
      <c r="F790" s="12" t="s">
        <v>653</v>
      </c>
      <c r="G790" s="16" t="s">
        <v>916</v>
      </c>
      <c r="H790" s="18"/>
      <c r="I790" s="27" t="str">
        <f>IFERROR(VLOOKUP(Tabulka2[[#This Row],[Pracovník]],DATA!A:L,11,0),"")</f>
        <v>DSC 2</v>
      </c>
      <c r="J790" s="16"/>
      <c r="K790" s="19"/>
    </row>
    <row r="791" spans="1:11" x14ac:dyDescent="0.25">
      <c r="A7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91" s="22">
        <v>45929</v>
      </c>
      <c r="C791" s="16" t="s">
        <v>28</v>
      </c>
      <c r="D791" s="16" t="s">
        <v>834</v>
      </c>
      <c r="E791" s="17">
        <f>IFERROR(VLOOKUP(Tabulka2[[#This Row],[Pracovník]],DATA!A:L,5,0),"")</f>
        <v>6345</v>
      </c>
      <c r="F791" s="12" t="s">
        <v>653</v>
      </c>
      <c r="G791" s="16" t="s">
        <v>916</v>
      </c>
      <c r="H791" s="18"/>
      <c r="I791" s="27" t="str">
        <f>IFERROR(VLOOKUP(Tabulka2[[#This Row],[Pracovník]],DATA!A:L,11,0),"")</f>
        <v>DSC 1</v>
      </c>
      <c r="J791" s="16"/>
      <c r="K791" s="19"/>
    </row>
    <row r="792" spans="1:11" x14ac:dyDescent="0.25">
      <c r="A7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92" s="22">
        <v>45929</v>
      </c>
      <c r="C792" s="16" t="s">
        <v>28</v>
      </c>
      <c r="D792" s="16" t="s">
        <v>835</v>
      </c>
      <c r="E792" s="17">
        <f>IFERROR(VLOOKUP(Tabulka2[[#This Row],[Pracovník]],DATA!A:L,5,0),"")</f>
        <v>5601</v>
      </c>
      <c r="F792" s="12" t="s">
        <v>653</v>
      </c>
      <c r="G792" s="16"/>
      <c r="H792" s="18"/>
      <c r="I792" s="27" t="str">
        <f>IFERROR(VLOOKUP(Tabulka2[[#This Row],[Pracovník]],DATA!A:L,11,0),"")</f>
        <v>DSC 2</v>
      </c>
      <c r="J792" s="16"/>
      <c r="K792" s="19"/>
    </row>
    <row r="793" spans="1:11" x14ac:dyDescent="0.25">
      <c r="A7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93" s="22">
        <v>45929</v>
      </c>
      <c r="C793" s="16" t="s">
        <v>28</v>
      </c>
      <c r="D793" s="16" t="s">
        <v>836</v>
      </c>
      <c r="E793" s="17">
        <f>IFERROR(VLOOKUP(Tabulka2[[#This Row],[Pracovník]],DATA!A:L,5,0),"")</f>
        <v>5152</v>
      </c>
      <c r="F793" s="12" t="s">
        <v>653</v>
      </c>
      <c r="G793" s="16" t="s">
        <v>916</v>
      </c>
      <c r="H793" s="18"/>
      <c r="I793" s="27" t="str">
        <f>IFERROR(VLOOKUP(Tabulka2[[#This Row],[Pracovník]],DATA!A:L,11,0),"")</f>
        <v>Vlastní auto</v>
      </c>
      <c r="J793" s="16"/>
      <c r="K793" s="19"/>
    </row>
    <row r="794" spans="1:11" x14ac:dyDescent="0.25">
      <c r="A7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94" s="22">
        <v>45929</v>
      </c>
      <c r="C794" s="16" t="s">
        <v>28</v>
      </c>
      <c r="D794" s="16" t="s">
        <v>837</v>
      </c>
      <c r="E794" s="17">
        <f>IFERROR(VLOOKUP(Tabulka2[[#This Row],[Pracovník]],DATA!A:L,5,0),"")</f>
        <v>176</v>
      </c>
      <c r="F794" s="12" t="s">
        <v>653</v>
      </c>
      <c r="G794" s="16" t="s">
        <v>916</v>
      </c>
      <c r="H794" s="18"/>
      <c r="I794" s="27" t="str">
        <f>IFERROR(VLOOKUP(Tabulka2[[#This Row],[Pracovník]],DATA!A:L,11,0),"")</f>
        <v>Vlastní auto</v>
      </c>
      <c r="J794" s="16"/>
      <c r="K794" s="19"/>
    </row>
    <row r="795" spans="1:11" x14ac:dyDescent="0.25">
      <c r="A7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95" s="22">
        <v>45929</v>
      </c>
      <c r="C795" s="16" t="s">
        <v>28</v>
      </c>
      <c r="D795" s="16" t="s">
        <v>839</v>
      </c>
      <c r="E795" s="17">
        <f>IFERROR(VLOOKUP(Tabulka2[[#This Row],[Pracovník]],DATA!A:L,5,0),"")</f>
        <v>177</v>
      </c>
      <c r="F795" s="12" t="s">
        <v>653</v>
      </c>
      <c r="G795" s="16"/>
      <c r="H795" s="18"/>
      <c r="I795" s="27" t="str">
        <f>IFERROR(VLOOKUP(Tabulka2[[#This Row],[Pracovník]],DATA!A:L,11,0),"")</f>
        <v>DSC 2</v>
      </c>
      <c r="J795" s="16"/>
      <c r="K795" s="19"/>
    </row>
    <row r="796" spans="1:11" x14ac:dyDescent="0.25">
      <c r="A7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96" s="22">
        <v>45929</v>
      </c>
      <c r="C796" s="16" t="s">
        <v>28</v>
      </c>
      <c r="D796" s="16" t="s">
        <v>840</v>
      </c>
      <c r="E796" s="17">
        <f>IFERROR(VLOOKUP(Tabulka2[[#This Row],[Pracovník]],DATA!A:L,5,0),"")</f>
        <v>5555</v>
      </c>
      <c r="F796" s="12" t="s">
        <v>653</v>
      </c>
      <c r="G796" s="16"/>
      <c r="H796" s="18"/>
      <c r="I796" s="27" t="str">
        <f>IFERROR(VLOOKUP(Tabulka2[[#This Row],[Pracovník]],DATA!A:L,11,0),"")</f>
        <v>Vlastní auto</v>
      </c>
      <c r="J796" s="16"/>
      <c r="K796" s="19"/>
    </row>
    <row r="797" spans="1:11" x14ac:dyDescent="0.25">
      <c r="A7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97" s="22">
        <v>45929</v>
      </c>
      <c r="C797" s="16" t="s">
        <v>28</v>
      </c>
      <c r="D797" s="16" t="s">
        <v>841</v>
      </c>
      <c r="E797" s="17">
        <f>IFERROR(VLOOKUP(Tabulka2[[#This Row],[Pracovník]],DATA!A:L,5,0),"")</f>
        <v>4959</v>
      </c>
      <c r="F797" s="12" t="s">
        <v>653</v>
      </c>
      <c r="G797" s="16"/>
      <c r="H797" s="18"/>
      <c r="I797" s="27" t="str">
        <f>IFERROR(VLOOKUP(Tabulka2[[#This Row],[Pracovník]],DATA!A:L,11,0),"")</f>
        <v>Vlastní auto</v>
      </c>
      <c r="J797" s="16"/>
      <c r="K797" s="19"/>
    </row>
    <row r="798" spans="1:11" x14ac:dyDescent="0.25">
      <c r="A7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98" s="22">
        <v>45929</v>
      </c>
      <c r="C798" s="16" t="s">
        <v>28</v>
      </c>
      <c r="D798" s="16" t="s">
        <v>843</v>
      </c>
      <c r="E798" s="17">
        <f>IFERROR(VLOOKUP(Tabulka2[[#This Row],[Pracovník]],DATA!A:L,5,0),"")</f>
        <v>4919</v>
      </c>
      <c r="F798" s="12" t="s">
        <v>653</v>
      </c>
      <c r="G798" s="16" t="s">
        <v>916</v>
      </c>
      <c r="H798" s="18"/>
      <c r="I798" s="27" t="str">
        <f>IFERROR(VLOOKUP(Tabulka2[[#This Row],[Pracovník]],DATA!A:L,11,0),"")</f>
        <v>Vlastní auto</v>
      </c>
      <c r="J798" s="16"/>
      <c r="K798" s="19"/>
    </row>
    <row r="799" spans="1:11" x14ac:dyDescent="0.25">
      <c r="A7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799" s="22">
        <v>45929</v>
      </c>
      <c r="C799" s="16" t="s">
        <v>28</v>
      </c>
      <c r="D799" s="16" t="s">
        <v>842</v>
      </c>
      <c r="E799" s="17">
        <f>IFERROR(VLOOKUP(Tabulka2[[#This Row],[Pracovník]],DATA!A:L,5,0),"")</f>
        <v>4724</v>
      </c>
      <c r="F799" s="12" t="s">
        <v>653</v>
      </c>
      <c r="G799" s="16" t="s">
        <v>916</v>
      </c>
      <c r="H799" s="18"/>
      <c r="I799" s="27" t="str">
        <f>IFERROR(VLOOKUP(Tabulka2[[#This Row],[Pracovník]],DATA!A:L,11,0),"")</f>
        <v>Vlastní auto</v>
      </c>
      <c r="J799" s="16"/>
      <c r="K799" s="19"/>
    </row>
    <row r="800" spans="1:11" x14ac:dyDescent="0.25">
      <c r="A8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00" s="22">
        <v>45929</v>
      </c>
      <c r="C800" s="16" t="s">
        <v>28</v>
      </c>
      <c r="D800" s="16" t="s">
        <v>844</v>
      </c>
      <c r="E800" s="17">
        <f>IFERROR(VLOOKUP(Tabulka2[[#This Row],[Pracovník]],DATA!A:L,5,0),"")</f>
        <v>183</v>
      </c>
      <c r="F800" s="12" t="s">
        <v>653</v>
      </c>
      <c r="G800" s="16" t="s">
        <v>916</v>
      </c>
      <c r="H800" s="18"/>
      <c r="I800" s="27" t="str">
        <f>IFERROR(VLOOKUP(Tabulka2[[#This Row],[Pracovník]],DATA!A:L,11,0),"")</f>
        <v>DSC 1</v>
      </c>
      <c r="J800" s="16"/>
      <c r="K800" s="19"/>
    </row>
    <row r="801" spans="1:11" x14ac:dyDescent="0.25">
      <c r="A8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01" s="22">
        <v>45929</v>
      </c>
      <c r="C801" s="16" t="s">
        <v>28</v>
      </c>
      <c r="D801" s="16" t="s">
        <v>845</v>
      </c>
      <c r="E801" s="17">
        <f>IFERROR(VLOOKUP(Tabulka2[[#This Row],[Pracovník]],DATA!A:L,5,0),"")</f>
        <v>5545</v>
      </c>
      <c r="F801" s="12" t="s">
        <v>653</v>
      </c>
      <c r="G801" s="16" t="s">
        <v>658</v>
      </c>
      <c r="H801" s="18"/>
      <c r="I801" s="27" t="str">
        <f>IFERROR(VLOOKUP(Tabulka2[[#This Row],[Pracovník]],DATA!A:L,11,0),"")</f>
        <v>Vlastní auto</v>
      </c>
      <c r="J801" s="16"/>
      <c r="K801" s="19"/>
    </row>
    <row r="802" spans="1:11" x14ac:dyDescent="0.25">
      <c r="A8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02" s="22">
        <v>45929</v>
      </c>
      <c r="C802" s="16" t="s">
        <v>28</v>
      </c>
      <c r="D802" s="16" t="s">
        <v>846</v>
      </c>
      <c r="E802" s="17">
        <f>IFERROR(VLOOKUP(Tabulka2[[#This Row],[Pracovník]],DATA!A:L,5,0),"")</f>
        <v>5526</v>
      </c>
      <c r="F802" s="12" t="s">
        <v>653</v>
      </c>
      <c r="G802" s="16" t="s">
        <v>916</v>
      </c>
      <c r="H802" s="18"/>
      <c r="I802" s="27" t="str">
        <f>IFERROR(VLOOKUP(Tabulka2[[#This Row],[Pracovník]],DATA!A:L,11,0),"")</f>
        <v>Vlastní auto</v>
      </c>
      <c r="J802" s="16"/>
      <c r="K802" s="19"/>
    </row>
    <row r="803" spans="1:11" x14ac:dyDescent="0.25">
      <c r="A8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03" s="22">
        <v>45929</v>
      </c>
      <c r="C803" s="16" t="s">
        <v>28</v>
      </c>
      <c r="D803" s="16" t="s">
        <v>847</v>
      </c>
      <c r="E803" s="17">
        <f>IFERROR(VLOOKUP(Tabulka2[[#This Row],[Pracovník]],DATA!A:L,5,0),"")</f>
        <v>5192</v>
      </c>
      <c r="F803" s="12" t="s">
        <v>653</v>
      </c>
      <c r="G803" s="16" t="s">
        <v>916</v>
      </c>
      <c r="H803" s="18"/>
      <c r="I803" s="27" t="str">
        <f>IFERROR(VLOOKUP(Tabulka2[[#This Row],[Pracovník]],DATA!A:L,11,0),"")</f>
        <v>Vlastní auto</v>
      </c>
      <c r="J803" s="16"/>
      <c r="K803" s="19"/>
    </row>
    <row r="804" spans="1:11" x14ac:dyDescent="0.25">
      <c r="A8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04" s="22">
        <v>45929</v>
      </c>
      <c r="C804" s="16" t="s">
        <v>28</v>
      </c>
      <c r="D804" s="16" t="s">
        <v>848</v>
      </c>
      <c r="E804" s="17">
        <f>IFERROR(VLOOKUP(Tabulka2[[#This Row],[Pracovník]],DATA!A:L,5,0),"")</f>
        <v>4698</v>
      </c>
      <c r="F804" s="12" t="s">
        <v>653</v>
      </c>
      <c r="G804" s="16" t="s">
        <v>916</v>
      </c>
      <c r="H804" s="18"/>
      <c r="I804" s="27" t="str">
        <f>IFERROR(VLOOKUP(Tabulka2[[#This Row],[Pracovník]],DATA!A:L,11,0),"")</f>
        <v>Vlastní auto</v>
      </c>
      <c r="J804" s="16"/>
      <c r="K804" s="19"/>
    </row>
    <row r="805" spans="1:11" x14ac:dyDescent="0.25">
      <c r="A8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05" s="22">
        <v>45929</v>
      </c>
      <c r="C805" s="16" t="s">
        <v>28</v>
      </c>
      <c r="D805" s="16" t="s">
        <v>849</v>
      </c>
      <c r="E805" s="17">
        <f>IFERROR(VLOOKUP(Tabulka2[[#This Row],[Pracovník]],DATA!A:L,5,0),"")</f>
        <v>4611</v>
      </c>
      <c r="F805" s="12" t="s">
        <v>653</v>
      </c>
      <c r="G805" s="16"/>
      <c r="H805" s="18"/>
      <c r="I805" s="27" t="str">
        <f>IFERROR(VLOOKUP(Tabulka2[[#This Row],[Pracovník]],DATA!A:L,11,0),"")</f>
        <v>DSC 1</v>
      </c>
      <c r="J805" s="16"/>
      <c r="K805" s="19"/>
    </row>
    <row r="806" spans="1:11" x14ac:dyDescent="0.25">
      <c r="A8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06" s="22">
        <v>45929</v>
      </c>
      <c r="C806" s="16" t="s">
        <v>28</v>
      </c>
      <c r="D806" s="16" t="s">
        <v>850</v>
      </c>
      <c r="E806" s="17">
        <f>IFERROR(VLOOKUP(Tabulka2[[#This Row],[Pracovník]],DATA!A:L,5,0),"")</f>
        <v>5069</v>
      </c>
      <c r="F806" s="12" t="s">
        <v>653</v>
      </c>
      <c r="G806" s="16"/>
      <c r="H806" s="18"/>
      <c r="I806" s="27" t="str">
        <f>IFERROR(VLOOKUP(Tabulka2[[#This Row],[Pracovník]],DATA!A:L,11,0),"")</f>
        <v>Vlastní auto</v>
      </c>
      <c r="J806" s="16"/>
      <c r="K806" s="19"/>
    </row>
    <row r="807" spans="1:11" x14ac:dyDescent="0.25">
      <c r="A8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07" s="22">
        <v>45929</v>
      </c>
      <c r="C807" s="16" t="s">
        <v>28</v>
      </c>
      <c r="D807" s="16" t="s">
        <v>851</v>
      </c>
      <c r="E807" s="17">
        <f>IFERROR(VLOOKUP(Tabulka2[[#This Row],[Pracovník]],DATA!A:L,5,0),"")</f>
        <v>185</v>
      </c>
      <c r="F807" s="12" t="s">
        <v>653</v>
      </c>
      <c r="G807" s="16" t="s">
        <v>916</v>
      </c>
      <c r="H807" s="18"/>
      <c r="I807" s="27" t="str">
        <f>IFERROR(VLOOKUP(Tabulka2[[#This Row],[Pracovník]],DATA!A:L,11,0),"")</f>
        <v>DSC 1</v>
      </c>
      <c r="J807" s="16"/>
      <c r="K807" s="19"/>
    </row>
    <row r="808" spans="1:11" x14ac:dyDescent="0.25">
      <c r="A8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08" s="22">
        <v>45929</v>
      </c>
      <c r="C808" s="16" t="s">
        <v>28</v>
      </c>
      <c r="D808" s="16" t="s">
        <v>852</v>
      </c>
      <c r="E808" s="17">
        <f>IFERROR(VLOOKUP(Tabulka2[[#This Row],[Pracovník]],DATA!A:L,5,0),"")</f>
        <v>6388</v>
      </c>
      <c r="F808" s="12" t="s">
        <v>653</v>
      </c>
      <c r="G808" s="16" t="s">
        <v>657</v>
      </c>
      <c r="H808" s="18"/>
      <c r="I808" s="27" t="str">
        <f>IFERROR(VLOOKUP(Tabulka2[[#This Row],[Pracovník]],DATA!A:L,11,0),"")</f>
        <v>Vlastní auto</v>
      </c>
      <c r="J808" s="16"/>
      <c r="K808" s="19"/>
    </row>
    <row r="809" spans="1:11" x14ac:dyDescent="0.25">
      <c r="A8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09" s="22">
        <v>45929</v>
      </c>
      <c r="C809" s="16" t="s">
        <v>28</v>
      </c>
      <c r="D809" s="16" t="s">
        <v>854</v>
      </c>
      <c r="E809" s="17">
        <f>IFERROR(VLOOKUP(Tabulka2[[#This Row],[Pracovník]],DATA!A:L,5,0),"")</f>
        <v>5720</v>
      </c>
      <c r="F809" s="12" t="s">
        <v>653</v>
      </c>
      <c r="G809" s="16"/>
      <c r="H809" s="18"/>
      <c r="I809" s="27" t="str">
        <f>IFERROR(VLOOKUP(Tabulka2[[#This Row],[Pracovník]],DATA!A:L,11,0),"")</f>
        <v>DSC 2</v>
      </c>
      <c r="J809" s="16"/>
      <c r="K809" s="19"/>
    </row>
    <row r="810" spans="1:11" x14ac:dyDescent="0.25">
      <c r="A8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10" s="22">
        <v>45929</v>
      </c>
      <c r="C810" s="16" t="s">
        <v>28</v>
      </c>
      <c r="D810" s="16" t="s">
        <v>853</v>
      </c>
      <c r="E810" s="17">
        <f>IFERROR(VLOOKUP(Tabulka2[[#This Row],[Pracovník]],DATA!A:L,5,0),"")</f>
        <v>5722</v>
      </c>
      <c r="F810" s="12" t="s">
        <v>653</v>
      </c>
      <c r="G810" s="16"/>
      <c r="H810" s="18"/>
      <c r="I810" s="27" t="str">
        <f>IFERROR(VLOOKUP(Tabulka2[[#This Row],[Pracovník]],DATA!A:L,11,0),"")</f>
        <v>DSC 2</v>
      </c>
      <c r="J810" s="16"/>
      <c r="K810" s="19"/>
    </row>
    <row r="811" spans="1:11" x14ac:dyDescent="0.25">
      <c r="A8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11" s="22">
        <v>45929</v>
      </c>
      <c r="C811" s="16" t="s">
        <v>28</v>
      </c>
      <c r="D811" s="16" t="s">
        <v>855</v>
      </c>
      <c r="E811" s="17">
        <f>IFERROR(VLOOKUP(Tabulka2[[#This Row],[Pracovník]],DATA!A:L,5,0),"")</f>
        <v>6180</v>
      </c>
      <c r="F811" s="12" t="s">
        <v>653</v>
      </c>
      <c r="G811" s="16" t="s">
        <v>916</v>
      </c>
      <c r="H811" s="18"/>
      <c r="I811" s="27" t="str">
        <f>IFERROR(VLOOKUP(Tabulka2[[#This Row],[Pracovník]],DATA!A:L,11,0),"")</f>
        <v>DSC 2</v>
      </c>
      <c r="J811" s="16"/>
      <c r="K811" s="19"/>
    </row>
    <row r="812" spans="1:11" x14ac:dyDescent="0.25">
      <c r="A8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12" s="22">
        <v>45929</v>
      </c>
      <c r="C812" s="16" t="s">
        <v>28</v>
      </c>
      <c r="D812" s="16" t="s">
        <v>856</v>
      </c>
      <c r="E812" s="17">
        <f>IFERROR(VLOOKUP(Tabulka2[[#This Row],[Pracovník]],DATA!A:L,5,0),"")</f>
        <v>4423</v>
      </c>
      <c r="F812" s="12" t="s">
        <v>653</v>
      </c>
      <c r="G812" s="16" t="s">
        <v>916</v>
      </c>
      <c r="H812" s="18"/>
      <c r="I812" s="27" t="str">
        <f>IFERROR(VLOOKUP(Tabulka2[[#This Row],[Pracovník]],DATA!A:L,11,0),"")</f>
        <v>DSC 1</v>
      </c>
      <c r="J812" s="16"/>
      <c r="K812" s="19"/>
    </row>
    <row r="813" spans="1:11" x14ac:dyDescent="0.25">
      <c r="A8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13" s="22">
        <v>45929</v>
      </c>
      <c r="C813" s="16" t="s">
        <v>28</v>
      </c>
      <c r="D813" s="16" t="s">
        <v>857</v>
      </c>
      <c r="E813" s="17">
        <f>IFERROR(VLOOKUP(Tabulka2[[#This Row],[Pracovník]],DATA!A:L,5,0),"")</f>
        <v>5036</v>
      </c>
      <c r="F813" s="12" t="s">
        <v>653</v>
      </c>
      <c r="G813" s="16"/>
      <c r="H813" s="18"/>
      <c r="I813" s="27" t="str">
        <f>IFERROR(VLOOKUP(Tabulka2[[#This Row],[Pracovník]],DATA!A:L,11,0),"")</f>
        <v>Vlastní auto</v>
      </c>
      <c r="J813" s="16"/>
      <c r="K813" s="19"/>
    </row>
    <row r="814" spans="1:11" x14ac:dyDescent="0.25">
      <c r="A8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14" s="22">
        <v>45929</v>
      </c>
      <c r="C814" s="16" t="s">
        <v>28</v>
      </c>
      <c r="D814" s="16" t="s">
        <v>838</v>
      </c>
      <c r="E814" s="17">
        <f>IFERROR(VLOOKUP(Tabulka2[[#This Row],[Pracovník]],DATA!A:L,5,0),"")</f>
        <v>4899</v>
      </c>
      <c r="F814" s="12" t="s">
        <v>653</v>
      </c>
      <c r="G814" s="16" t="s">
        <v>916</v>
      </c>
      <c r="H814" s="18"/>
      <c r="I814" s="27" t="str">
        <f>IFERROR(VLOOKUP(Tabulka2[[#This Row],[Pracovník]],DATA!A:L,11,0),"")</f>
        <v>DSC 1</v>
      </c>
      <c r="J814" s="16"/>
      <c r="K814" s="19"/>
    </row>
    <row r="815" spans="1:11" x14ac:dyDescent="0.25">
      <c r="A8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15" s="22">
        <v>45929</v>
      </c>
      <c r="C815" s="16" t="s">
        <v>28</v>
      </c>
      <c r="D815" s="16" t="s">
        <v>918</v>
      </c>
      <c r="E815" s="17">
        <f>IFERROR(VLOOKUP(Tabulka2[[#This Row],[Pracovník]],DATA!A:L,5,0),"")</f>
        <v>6582</v>
      </c>
      <c r="F815" s="12" t="s">
        <v>653</v>
      </c>
      <c r="G815" s="16"/>
      <c r="H815" s="18"/>
      <c r="I815" s="27" t="str">
        <f>IFERROR(VLOOKUP(Tabulka2[[#This Row],[Pracovník]],DATA!A:L,11,0),"")</f>
        <v>DSC 1</v>
      </c>
      <c r="J815" s="16"/>
      <c r="K815" s="19"/>
    </row>
    <row r="816" spans="1:11" x14ac:dyDescent="0.25">
      <c r="A8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16" s="22">
        <v>45929</v>
      </c>
      <c r="C816" s="16" t="s">
        <v>28</v>
      </c>
      <c r="D816" s="16" t="s">
        <v>922</v>
      </c>
      <c r="E816" s="17">
        <f>IFERROR(VLOOKUP(Tabulka2[[#This Row],[Pracovník]],DATA!A:L,5,0),"")</f>
        <v>6580</v>
      </c>
      <c r="F816" s="12" t="s">
        <v>653</v>
      </c>
      <c r="G816" s="16"/>
      <c r="H816" s="18"/>
      <c r="I816" s="27" t="str">
        <f>IFERROR(VLOOKUP(Tabulka2[[#This Row],[Pracovník]],DATA!A:L,11,0),"")</f>
        <v>Vlastní auto</v>
      </c>
      <c r="J816" s="16"/>
      <c r="K816" s="19"/>
    </row>
    <row r="817" spans="1:11" x14ac:dyDescent="0.25">
      <c r="A8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17" s="22">
        <v>45930</v>
      </c>
      <c r="C817" s="16" t="s">
        <v>56</v>
      </c>
      <c r="D817" s="16" t="s">
        <v>910</v>
      </c>
      <c r="E817" s="17">
        <f>IFERROR(VLOOKUP(Tabulka2[[#This Row],[Pracovník]],DATA!A:L,5,0),"")</f>
        <v>6474</v>
      </c>
      <c r="F817" s="12" t="s">
        <v>653</v>
      </c>
      <c r="G817" s="16"/>
      <c r="H817" s="18"/>
      <c r="I817" s="27" t="str">
        <f>IFERROR(VLOOKUP(Tabulka2[[#This Row],[Pracovník]],DATA!A:L,11,0),"")</f>
        <v>BATZ 1</v>
      </c>
      <c r="J817" s="16"/>
      <c r="K817" s="19"/>
    </row>
    <row r="818" spans="1:11" x14ac:dyDescent="0.25">
      <c r="A8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18" s="22">
        <v>45930</v>
      </c>
      <c r="C818" s="16" t="s">
        <v>56</v>
      </c>
      <c r="D818" s="16" t="s">
        <v>912</v>
      </c>
      <c r="E818" s="17">
        <f>IFERROR(VLOOKUP(Tabulka2[[#This Row],[Pracovník]],DATA!A:L,5,0),"")</f>
        <v>6473</v>
      </c>
      <c r="F818" s="12" t="s">
        <v>653</v>
      </c>
      <c r="G818" s="16"/>
      <c r="H818" s="18"/>
      <c r="I818" s="27" t="str">
        <f>IFERROR(VLOOKUP(Tabulka2[[#This Row],[Pracovník]],DATA!A:L,11,0),"")</f>
        <v>BATZ 1</v>
      </c>
      <c r="J818" s="16"/>
      <c r="K818" s="19"/>
    </row>
    <row r="819" spans="1:11" x14ac:dyDescent="0.25">
      <c r="A8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19" s="22">
        <v>45930</v>
      </c>
      <c r="C819" s="16" t="s">
        <v>56</v>
      </c>
      <c r="D819" s="16" t="s">
        <v>911</v>
      </c>
      <c r="E819" s="17">
        <f>IFERROR(VLOOKUP(Tabulka2[[#This Row],[Pracovník]],DATA!A:L,5,0),"")</f>
        <v>5110</v>
      </c>
      <c r="F819" s="12" t="s">
        <v>653</v>
      </c>
      <c r="G819" s="16"/>
      <c r="H819" s="18"/>
      <c r="I819" s="27" t="str">
        <f>IFERROR(VLOOKUP(Tabulka2[[#This Row],[Pracovník]],DATA!A:L,11,0),"")</f>
        <v>BATZ 2</v>
      </c>
      <c r="J819" s="16"/>
      <c r="K819" s="19"/>
    </row>
    <row r="820" spans="1:11" x14ac:dyDescent="0.25">
      <c r="A8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20" s="22">
        <v>45930</v>
      </c>
      <c r="C820" s="16" t="s">
        <v>56</v>
      </c>
      <c r="D820" s="16" t="s">
        <v>913</v>
      </c>
      <c r="E820" s="17">
        <f>IFERROR(VLOOKUP(Tabulka2[[#This Row],[Pracovník]],DATA!A:L,5,0),"")</f>
        <v>6394</v>
      </c>
      <c r="F820" s="12" t="s">
        <v>653</v>
      </c>
      <c r="G820" s="16"/>
      <c r="H820" s="18"/>
      <c r="I820" s="27" t="str">
        <f>IFERROR(VLOOKUP(Tabulka2[[#This Row],[Pracovník]],DATA!A:L,11,0),"")</f>
        <v>BATZ 1</v>
      </c>
      <c r="J820" s="16"/>
      <c r="K820" s="19"/>
    </row>
    <row r="821" spans="1:11" x14ac:dyDescent="0.25">
      <c r="A8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21" s="22">
        <v>45930</v>
      </c>
      <c r="C821" s="16" t="s">
        <v>25</v>
      </c>
      <c r="D821" s="16" t="s">
        <v>679</v>
      </c>
      <c r="E821" s="17">
        <f>IFERROR(VLOOKUP(Tabulka2[[#This Row],[Pracovník]],DATA!A:L,5,0),"")</f>
        <v>5777</v>
      </c>
      <c r="F821" s="12" t="s">
        <v>653</v>
      </c>
      <c r="G821" s="16"/>
      <c r="H821" s="18"/>
      <c r="I821" s="27" t="str">
        <f>IFERROR(VLOOKUP(Tabulka2[[#This Row],[Pracovník]],DATA!A:L,11,0),"")</f>
        <v>BATZ 2</v>
      </c>
      <c r="J821" s="16"/>
      <c r="K821" s="19"/>
    </row>
    <row r="822" spans="1:11" x14ac:dyDescent="0.25">
      <c r="A8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22" s="22">
        <v>45930</v>
      </c>
      <c r="C822" s="16" t="s">
        <v>25</v>
      </c>
      <c r="D822" s="23" t="s">
        <v>680</v>
      </c>
      <c r="E822" s="17">
        <f>IFERROR(VLOOKUP(Tabulka2[[#This Row],[Pracovník]],DATA!A:L,5,0),"")</f>
        <v>4838</v>
      </c>
      <c r="F822" s="12" t="s">
        <v>653</v>
      </c>
      <c r="G822" s="16"/>
      <c r="H822" s="18"/>
      <c r="I822" s="27" t="str">
        <f>IFERROR(VLOOKUP(Tabulka2[[#This Row],[Pracovník]],DATA!A:L,11,0),"")</f>
        <v>BATZ 2</v>
      </c>
      <c r="J822" s="16"/>
      <c r="K822" s="19"/>
    </row>
    <row r="823" spans="1:11" x14ac:dyDescent="0.25">
      <c r="A8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23" s="22">
        <v>45930</v>
      </c>
      <c r="C823" s="16" t="s">
        <v>25</v>
      </c>
      <c r="D823" s="16" t="s">
        <v>681</v>
      </c>
      <c r="E823" s="17">
        <f>IFERROR(VLOOKUP(Tabulka2[[#This Row],[Pracovník]],DATA!A:L,5,0),"")</f>
        <v>4599</v>
      </c>
      <c r="F823" s="12" t="s">
        <v>653</v>
      </c>
      <c r="G823" s="16"/>
      <c r="H823" s="18"/>
      <c r="I823" s="27" t="str">
        <f>IFERROR(VLOOKUP(Tabulka2[[#This Row],[Pracovník]],DATA!A:L,11,0),"")</f>
        <v>BATZ 1</v>
      </c>
      <c r="J823" s="16"/>
      <c r="K823" s="19"/>
    </row>
    <row r="824" spans="1:11" x14ac:dyDescent="0.25">
      <c r="A8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24" s="22">
        <v>45930</v>
      </c>
      <c r="C824" s="16" t="s">
        <v>25</v>
      </c>
      <c r="D824" s="16" t="s">
        <v>682</v>
      </c>
      <c r="E824" s="17">
        <f>IFERROR(VLOOKUP(Tabulka2[[#This Row],[Pracovník]],DATA!A:L,5,0),"")</f>
        <v>6566</v>
      </c>
      <c r="F824" s="12" t="s">
        <v>653</v>
      </c>
      <c r="G824" s="16"/>
      <c r="H824" s="18"/>
      <c r="I824" s="27" t="str">
        <f>IFERROR(VLOOKUP(Tabulka2[[#This Row],[Pracovník]],DATA!A:L,11,0),"")</f>
        <v>BATZ 1</v>
      </c>
      <c r="J824" s="16"/>
      <c r="K824" s="19"/>
    </row>
    <row r="825" spans="1:11" x14ac:dyDescent="0.25">
      <c r="A8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25" s="22">
        <v>45930</v>
      </c>
      <c r="C825" s="16" t="s">
        <v>25</v>
      </c>
      <c r="D825" s="16" t="s">
        <v>683</v>
      </c>
      <c r="E825" s="17">
        <f>IFERROR(VLOOKUP(Tabulka2[[#This Row],[Pracovník]],DATA!A:L,5,0),"")</f>
        <v>5400</v>
      </c>
      <c r="F825" s="12" t="s">
        <v>653</v>
      </c>
      <c r="G825" s="16"/>
      <c r="H825" s="18"/>
      <c r="I825" s="27" t="str">
        <f>IFERROR(VLOOKUP(Tabulka2[[#This Row],[Pracovník]],DATA!A:L,11,0),"")</f>
        <v>BATZ 1</v>
      </c>
      <c r="J825" s="16"/>
      <c r="K825" s="19"/>
    </row>
    <row r="826" spans="1:11" x14ac:dyDescent="0.25">
      <c r="A8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26" s="22">
        <v>45930</v>
      </c>
      <c r="C826" s="16" t="s">
        <v>25</v>
      </c>
      <c r="D826" s="16" t="s">
        <v>684</v>
      </c>
      <c r="E826" s="17">
        <f>IFERROR(VLOOKUP(Tabulka2[[#This Row],[Pracovník]],DATA!A:L,5,0),"")</f>
        <v>5094</v>
      </c>
      <c r="F826" s="12" t="s">
        <v>653</v>
      </c>
      <c r="G826" s="16"/>
      <c r="H826" s="18"/>
      <c r="I826" s="27" t="str">
        <f>IFERROR(VLOOKUP(Tabulka2[[#This Row],[Pracovník]],DATA!A:L,11,0),"")</f>
        <v>BATZ 2</v>
      </c>
      <c r="J826" s="16"/>
      <c r="K826" s="19"/>
    </row>
    <row r="827" spans="1:11" x14ac:dyDescent="0.25">
      <c r="A8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27" s="22">
        <v>45930</v>
      </c>
      <c r="C827" s="16" t="s">
        <v>25</v>
      </c>
      <c r="D827" s="16" t="s">
        <v>685</v>
      </c>
      <c r="E827" s="17">
        <f>IFERROR(VLOOKUP(Tabulka2[[#This Row],[Pracovník]],DATA!A:L,5,0),"")</f>
        <v>6001</v>
      </c>
      <c r="F827" s="12" t="s">
        <v>653</v>
      </c>
      <c r="G827" s="16"/>
      <c r="H827" s="18"/>
      <c r="I827" s="27" t="str">
        <f>IFERROR(VLOOKUP(Tabulka2[[#This Row],[Pracovník]],DATA!A:L,11,0),"")</f>
        <v>BATZ 1</v>
      </c>
      <c r="J827" s="16"/>
      <c r="K827" s="19"/>
    </row>
    <row r="828" spans="1:11" x14ac:dyDescent="0.25">
      <c r="A8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28" s="22">
        <v>45930</v>
      </c>
      <c r="C828" s="16" t="s">
        <v>25</v>
      </c>
      <c r="D828" s="16" t="s">
        <v>686</v>
      </c>
      <c r="E828" s="17">
        <f>IFERROR(VLOOKUP(Tabulka2[[#This Row],[Pracovník]],DATA!A:L,5,0),"")</f>
        <v>6573</v>
      </c>
      <c r="F828" s="12" t="s">
        <v>653</v>
      </c>
      <c r="G828" s="16"/>
      <c r="H828" s="18"/>
      <c r="I828" s="27" t="str">
        <f>IFERROR(VLOOKUP(Tabulka2[[#This Row],[Pracovník]],DATA!A:L,11,0),"")</f>
        <v>BATZ 1</v>
      </c>
      <c r="J828" s="16"/>
      <c r="K828" s="19"/>
    </row>
    <row r="829" spans="1:11" x14ac:dyDescent="0.25">
      <c r="A8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29" s="22">
        <v>45930</v>
      </c>
      <c r="C829" s="16" t="s">
        <v>25</v>
      </c>
      <c r="D829" s="16" t="s">
        <v>687</v>
      </c>
      <c r="E829" s="17">
        <f>IFERROR(VLOOKUP(Tabulka2[[#This Row],[Pracovník]],DATA!A:L,5,0),"")</f>
        <v>5129</v>
      </c>
      <c r="F829" s="12" t="s">
        <v>653</v>
      </c>
      <c r="G829" s="16"/>
      <c r="H829" s="18"/>
      <c r="I829" s="27" t="str">
        <f>IFERROR(VLOOKUP(Tabulka2[[#This Row],[Pracovník]],DATA!A:L,11,0),"")</f>
        <v>BATZ 1</v>
      </c>
      <c r="J829" s="16"/>
      <c r="K829" s="19"/>
    </row>
    <row r="830" spans="1:11" x14ac:dyDescent="0.25">
      <c r="A8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30" s="22">
        <v>45930</v>
      </c>
      <c r="C830" s="16" t="s">
        <v>25</v>
      </c>
      <c r="D830" s="16" t="s">
        <v>688</v>
      </c>
      <c r="E830" s="17">
        <f>IFERROR(VLOOKUP(Tabulka2[[#This Row],[Pracovník]],DATA!A:L,5,0),"")</f>
        <v>5663</v>
      </c>
      <c r="F830" s="12" t="s">
        <v>653</v>
      </c>
      <c r="G830" s="16" t="s">
        <v>657</v>
      </c>
      <c r="H830" s="18"/>
      <c r="I830" s="27" t="str">
        <f>IFERROR(VLOOKUP(Tabulka2[[#This Row],[Pracovník]],DATA!A:L,11,0),"")</f>
        <v>BATZ 1</v>
      </c>
      <c r="J830" s="16"/>
      <c r="K830" s="19"/>
    </row>
    <row r="831" spans="1:11" x14ac:dyDescent="0.25">
      <c r="A8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31" s="22">
        <v>45930</v>
      </c>
      <c r="C831" s="16" t="s">
        <v>25</v>
      </c>
      <c r="D831" s="16" t="s">
        <v>690</v>
      </c>
      <c r="E831" s="17">
        <f>IFERROR(VLOOKUP(Tabulka2[[#This Row],[Pracovník]],DATA!A:L,5,0),"")</f>
        <v>4501</v>
      </c>
      <c r="F831" s="12" t="s">
        <v>653</v>
      </c>
      <c r="G831" s="16" t="s">
        <v>657</v>
      </c>
      <c r="H831" s="18"/>
      <c r="I831" s="27" t="str">
        <f>IFERROR(VLOOKUP(Tabulka2[[#This Row],[Pracovník]],DATA!A:L,11,0),"")</f>
        <v>BATZ 2</v>
      </c>
      <c r="J831" s="16"/>
      <c r="K831" s="19"/>
    </row>
    <row r="832" spans="1:11" x14ac:dyDescent="0.25">
      <c r="A8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32" s="22">
        <v>45930</v>
      </c>
      <c r="C832" s="16" t="s">
        <v>25</v>
      </c>
      <c r="D832" s="16" t="s">
        <v>689</v>
      </c>
      <c r="E832" s="17">
        <f>IFERROR(VLOOKUP(Tabulka2[[#This Row],[Pracovník]],DATA!A:L,5,0),"")</f>
        <v>4936</v>
      </c>
      <c r="F832" s="12" t="s">
        <v>653</v>
      </c>
      <c r="G832" s="16"/>
      <c r="H832" s="18"/>
      <c r="I832" s="27" t="str">
        <f>IFERROR(VLOOKUP(Tabulka2[[#This Row],[Pracovník]],DATA!A:L,11,0),"")</f>
        <v>BATZ 1</v>
      </c>
      <c r="J832" s="16"/>
      <c r="K832" s="19"/>
    </row>
    <row r="833" spans="1:11" x14ac:dyDescent="0.25">
      <c r="A8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33" s="22">
        <v>45930</v>
      </c>
      <c r="C833" s="16" t="s">
        <v>25</v>
      </c>
      <c r="D833" s="16" t="s">
        <v>695</v>
      </c>
      <c r="E833" s="17">
        <f>IFERROR(VLOOKUP(Tabulka2[[#This Row],[Pracovník]],DATA!A:L,5,0),"")</f>
        <v>3728</v>
      </c>
      <c r="F833" s="12" t="s">
        <v>653</v>
      </c>
      <c r="G833" s="16"/>
      <c r="H833" s="18"/>
      <c r="I833" s="27" t="str">
        <f>IFERROR(VLOOKUP(Tabulka2[[#This Row],[Pracovník]],DATA!A:L,11,0),"")</f>
        <v>BATZ 1</v>
      </c>
      <c r="J833" s="16"/>
      <c r="K833" s="19"/>
    </row>
    <row r="834" spans="1:11" x14ac:dyDescent="0.25">
      <c r="A8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34" s="22">
        <v>45930</v>
      </c>
      <c r="C834" s="16" t="s">
        <v>25</v>
      </c>
      <c r="D834" s="16" t="s">
        <v>691</v>
      </c>
      <c r="E834" s="17">
        <f>IFERROR(VLOOKUP(Tabulka2[[#This Row],[Pracovník]],DATA!A:L,5,0),"")</f>
        <v>4955</v>
      </c>
      <c r="F834" s="12" t="s">
        <v>653</v>
      </c>
      <c r="G834" s="16"/>
      <c r="H834" s="18"/>
      <c r="I834" s="27" t="str">
        <f>IFERROR(VLOOKUP(Tabulka2[[#This Row],[Pracovník]],DATA!A:L,11,0),"")</f>
        <v>BATZ 1</v>
      </c>
      <c r="J834" s="16"/>
      <c r="K834" s="19"/>
    </row>
    <row r="835" spans="1:11" x14ac:dyDescent="0.25">
      <c r="A8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35" s="22">
        <v>45930</v>
      </c>
      <c r="C835" s="16" t="s">
        <v>25</v>
      </c>
      <c r="D835" s="16" t="s">
        <v>692</v>
      </c>
      <c r="E835" s="17">
        <f>IFERROR(VLOOKUP(Tabulka2[[#This Row],[Pracovník]],DATA!A:L,5,0),"")</f>
        <v>6568</v>
      </c>
      <c r="F835" s="12" t="s">
        <v>653</v>
      </c>
      <c r="G835" s="16"/>
      <c r="H835" s="18"/>
      <c r="I835" s="27" t="str">
        <f>IFERROR(VLOOKUP(Tabulka2[[#This Row],[Pracovník]],DATA!A:L,11,0),"")</f>
        <v>BATZ 2</v>
      </c>
      <c r="J835" s="16"/>
      <c r="K835" s="19"/>
    </row>
    <row r="836" spans="1:11" x14ac:dyDescent="0.25">
      <c r="A8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36" s="22">
        <v>45930</v>
      </c>
      <c r="C836" s="16" t="s">
        <v>25</v>
      </c>
      <c r="D836" s="16" t="s">
        <v>693</v>
      </c>
      <c r="E836" s="17">
        <f>IFERROR(VLOOKUP(Tabulka2[[#This Row],[Pracovník]],DATA!A:L,5,0),"")</f>
        <v>3721</v>
      </c>
      <c r="F836" s="12" t="s">
        <v>653</v>
      </c>
      <c r="G836" s="16"/>
      <c r="H836" s="18"/>
      <c r="I836" s="27" t="str">
        <f>IFERROR(VLOOKUP(Tabulka2[[#This Row],[Pracovník]],DATA!A:L,11,0),"")</f>
        <v>BATZ 1</v>
      </c>
      <c r="J836" s="16"/>
      <c r="K836" s="19"/>
    </row>
    <row r="837" spans="1:11" x14ac:dyDescent="0.25">
      <c r="A8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37" s="22">
        <v>45930</v>
      </c>
      <c r="C837" s="16" t="s">
        <v>25</v>
      </c>
      <c r="D837" s="16" t="s">
        <v>694</v>
      </c>
      <c r="E837" s="17">
        <f>IFERROR(VLOOKUP(Tabulka2[[#This Row],[Pracovník]],DATA!A:L,5,0),"")</f>
        <v>6110</v>
      </c>
      <c r="F837" s="12" t="s">
        <v>653</v>
      </c>
      <c r="G837" s="16"/>
      <c r="H837" s="18"/>
      <c r="I837" s="27" t="str">
        <f>IFERROR(VLOOKUP(Tabulka2[[#This Row],[Pracovník]],DATA!A:L,11,0),"")</f>
        <v>BATZ 1</v>
      </c>
      <c r="J837" s="16"/>
      <c r="K837" s="19"/>
    </row>
    <row r="838" spans="1:11" x14ac:dyDescent="0.25">
      <c r="A8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38" s="22">
        <v>45930</v>
      </c>
      <c r="C838" s="16" t="s">
        <v>25</v>
      </c>
      <c r="D838" s="16" t="s">
        <v>696</v>
      </c>
      <c r="E838" s="17">
        <f>IFERROR(VLOOKUP(Tabulka2[[#This Row],[Pracovník]],DATA!A:L,5,0),"")</f>
        <v>0</v>
      </c>
      <c r="F838" s="12" t="s">
        <v>653</v>
      </c>
      <c r="G838" s="16"/>
      <c r="H838" s="18"/>
      <c r="I838" s="27" t="str">
        <f>IFERROR(VLOOKUP(Tabulka2[[#This Row],[Pracovník]],DATA!A:L,11,0),"")</f>
        <v>BATZ 1</v>
      </c>
      <c r="J838" s="16"/>
      <c r="K838" s="19"/>
    </row>
    <row r="839" spans="1:11" x14ac:dyDescent="0.25">
      <c r="A8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39" s="22">
        <v>45930</v>
      </c>
      <c r="C839" s="16" t="s">
        <v>25</v>
      </c>
      <c r="D839" s="16" t="s">
        <v>697</v>
      </c>
      <c r="E839" s="17">
        <f>IFERROR(VLOOKUP(Tabulka2[[#This Row],[Pracovník]],DATA!A:L,5,0),"")</f>
        <v>6330</v>
      </c>
      <c r="F839" s="12" t="s">
        <v>653</v>
      </c>
      <c r="G839" s="16"/>
      <c r="H839" s="18"/>
      <c r="I839" s="27" t="str">
        <f>IFERROR(VLOOKUP(Tabulka2[[#This Row],[Pracovník]],DATA!A:L,11,0),"")</f>
        <v>BATZ 2</v>
      </c>
      <c r="J839" s="16"/>
      <c r="K839" s="19"/>
    </row>
    <row r="840" spans="1:11" x14ac:dyDescent="0.25">
      <c r="A8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40" s="22">
        <v>45930</v>
      </c>
      <c r="C840" s="16" t="s">
        <v>25</v>
      </c>
      <c r="D840" s="16" t="s">
        <v>698</v>
      </c>
      <c r="E840" s="17">
        <f>IFERROR(VLOOKUP(Tabulka2[[#This Row],[Pracovník]],DATA!A:L,5,0),"")</f>
        <v>5828</v>
      </c>
      <c r="F840" s="12" t="s">
        <v>653</v>
      </c>
      <c r="G840" s="16"/>
      <c r="H840" s="18"/>
      <c r="I840" s="27" t="str">
        <f>IFERROR(VLOOKUP(Tabulka2[[#This Row],[Pracovník]],DATA!A:L,11,0),"")</f>
        <v>BATZ 1</v>
      </c>
      <c r="J840" s="16"/>
      <c r="K840" s="19"/>
    </row>
    <row r="841" spans="1:11" x14ac:dyDescent="0.25">
      <c r="A8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41" s="22">
        <v>45930</v>
      </c>
      <c r="C841" s="16" t="s">
        <v>25</v>
      </c>
      <c r="D841" s="16" t="s">
        <v>699</v>
      </c>
      <c r="E841" s="17">
        <f>IFERROR(VLOOKUP(Tabulka2[[#This Row],[Pracovník]],DATA!A:L,5,0),"")</f>
        <v>4775</v>
      </c>
      <c r="F841" s="12" t="s">
        <v>653</v>
      </c>
      <c r="G841" s="16"/>
      <c r="H841" s="18"/>
      <c r="I841" s="27" t="str">
        <f>IFERROR(VLOOKUP(Tabulka2[[#This Row],[Pracovník]],DATA!A:L,11,0),"")</f>
        <v>BATZ 2</v>
      </c>
      <c r="J841" s="16"/>
      <c r="K841" s="19"/>
    </row>
    <row r="842" spans="1:11" x14ac:dyDescent="0.25">
      <c r="A8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42" s="22">
        <v>45930</v>
      </c>
      <c r="C842" s="16" t="s">
        <v>25</v>
      </c>
      <c r="D842" s="16" t="s">
        <v>971</v>
      </c>
      <c r="E842" s="17">
        <f>IFERROR(VLOOKUP(Tabulka2[[#This Row],[Pracovník]],DATA!A:L,5,0),"")</f>
        <v>6551</v>
      </c>
      <c r="F842" s="12" t="s">
        <v>653</v>
      </c>
      <c r="G842" s="16" t="s">
        <v>659</v>
      </c>
      <c r="H842" s="18"/>
      <c r="I842" s="27" t="str">
        <f>IFERROR(VLOOKUP(Tabulka2[[#This Row],[Pracovník]],DATA!A:L,11,0),"")</f>
        <v>BATZ 1</v>
      </c>
      <c r="J842" s="16"/>
      <c r="K842" s="19" t="s">
        <v>1008</v>
      </c>
    </row>
    <row r="843" spans="1:11" x14ac:dyDescent="0.25">
      <c r="A8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43" s="22">
        <v>45930</v>
      </c>
      <c r="C843" s="16" t="s">
        <v>25</v>
      </c>
      <c r="D843" s="16" t="s">
        <v>700</v>
      </c>
      <c r="E843" s="17">
        <f>IFERROR(VLOOKUP(Tabulka2[[#This Row],[Pracovník]],DATA!A:L,5,0),"")</f>
        <v>5665</v>
      </c>
      <c r="F843" s="12" t="s">
        <v>653</v>
      </c>
      <c r="G843" s="16" t="s">
        <v>657</v>
      </c>
      <c r="H843" s="18"/>
      <c r="I843" s="27" t="str">
        <f>IFERROR(VLOOKUP(Tabulka2[[#This Row],[Pracovník]],DATA!A:L,11,0),"")</f>
        <v>BATZ 1</v>
      </c>
      <c r="J843" s="16"/>
      <c r="K843" s="19"/>
    </row>
    <row r="844" spans="1:11" x14ac:dyDescent="0.25">
      <c r="A8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44" s="22">
        <v>45930</v>
      </c>
      <c r="C844" s="16" t="s">
        <v>25</v>
      </c>
      <c r="D844" s="16" t="s">
        <v>701</v>
      </c>
      <c r="E844" s="17">
        <f>IFERROR(VLOOKUP(Tabulka2[[#This Row],[Pracovník]],DATA!A:L,5,0),"")</f>
        <v>2463</v>
      </c>
      <c r="F844" s="12" t="s">
        <v>653</v>
      </c>
      <c r="G844" s="16"/>
      <c r="H844" s="18"/>
      <c r="I844" s="27" t="str">
        <f>IFERROR(VLOOKUP(Tabulka2[[#This Row],[Pracovník]],DATA!A:L,11,0),"")</f>
        <v>Vlastní auto</v>
      </c>
      <c r="J844" s="16"/>
      <c r="K844" s="19"/>
    </row>
    <row r="845" spans="1:11" x14ac:dyDescent="0.25">
      <c r="A8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45" s="22">
        <v>45930</v>
      </c>
      <c r="C845" s="16" t="s">
        <v>25</v>
      </c>
      <c r="D845" s="16" t="s">
        <v>702</v>
      </c>
      <c r="E845" s="17">
        <f>IFERROR(VLOOKUP(Tabulka2[[#This Row],[Pracovník]],DATA!A:L,5,0),"")</f>
        <v>6536</v>
      </c>
      <c r="F845" s="12" t="s">
        <v>653</v>
      </c>
      <c r="G845" s="16"/>
      <c r="H845" s="18"/>
      <c r="I845" s="27" t="str">
        <f>IFERROR(VLOOKUP(Tabulka2[[#This Row],[Pracovník]],DATA!A:L,11,0),"")</f>
        <v>BATZ 2</v>
      </c>
      <c r="J845" s="16"/>
      <c r="K845" s="19"/>
    </row>
    <row r="846" spans="1:11" x14ac:dyDescent="0.25">
      <c r="A8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46" s="22">
        <v>45930</v>
      </c>
      <c r="C846" s="16" t="s">
        <v>25</v>
      </c>
      <c r="D846" s="16" t="s">
        <v>703</v>
      </c>
      <c r="E846" s="17">
        <f>IFERROR(VLOOKUP(Tabulka2[[#This Row],[Pracovník]],DATA!A:L,5,0),"")</f>
        <v>4748</v>
      </c>
      <c r="F846" s="12" t="s">
        <v>653</v>
      </c>
      <c r="G846" s="16"/>
      <c r="H846" s="18"/>
      <c r="I846" s="27" t="str">
        <f>IFERROR(VLOOKUP(Tabulka2[[#This Row],[Pracovník]],DATA!A:L,11,0),"")</f>
        <v>BATZ 1</v>
      </c>
      <c r="J846" s="16"/>
      <c r="K846" s="19"/>
    </row>
    <row r="847" spans="1:11" x14ac:dyDescent="0.25">
      <c r="A8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47" s="22">
        <v>45930</v>
      </c>
      <c r="C847" s="16" t="s">
        <v>25</v>
      </c>
      <c r="D847" s="16" t="s">
        <v>972</v>
      </c>
      <c r="E847" s="17">
        <f>IFERROR(VLOOKUP(Tabulka2[[#This Row],[Pracovník]],DATA!A:L,5,0),"")</f>
        <v>6077</v>
      </c>
      <c r="F847" s="12" t="s">
        <v>653</v>
      </c>
      <c r="G847" s="16" t="s">
        <v>657</v>
      </c>
      <c r="H847" s="18"/>
      <c r="I847" s="27" t="str">
        <f>IFERROR(VLOOKUP(Tabulka2[[#This Row],[Pracovník]],DATA!A:L,11,0),"")</f>
        <v>BATZ 2</v>
      </c>
      <c r="J847" s="16"/>
      <c r="K847" s="19" t="s">
        <v>1009</v>
      </c>
    </row>
    <row r="848" spans="1:11" x14ac:dyDescent="0.25">
      <c r="A8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48" s="22">
        <v>45930</v>
      </c>
      <c r="C848" s="16" t="s">
        <v>25</v>
      </c>
      <c r="D848" s="16" t="s">
        <v>704</v>
      </c>
      <c r="E848" s="17">
        <f>IFERROR(VLOOKUP(Tabulka2[[#This Row],[Pracovník]],DATA!A:L,5,0),"")</f>
        <v>6574</v>
      </c>
      <c r="F848" s="12" t="s">
        <v>653</v>
      </c>
      <c r="G848" s="16"/>
      <c r="H848" s="18"/>
      <c r="I848" s="27" t="str">
        <f>IFERROR(VLOOKUP(Tabulka2[[#This Row],[Pracovník]],DATA!A:L,11,0),"")</f>
        <v>BATZ 1</v>
      </c>
      <c r="J848" s="16"/>
      <c r="K848" s="19"/>
    </row>
    <row r="849" spans="1:11" x14ac:dyDescent="0.25">
      <c r="A8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49" s="22">
        <v>45930</v>
      </c>
      <c r="C849" s="16" t="s">
        <v>25</v>
      </c>
      <c r="D849" s="16" t="s">
        <v>705</v>
      </c>
      <c r="E849" s="17">
        <f>IFERROR(VLOOKUP(Tabulka2[[#This Row],[Pracovník]],DATA!A:L,5,0),"")</f>
        <v>4720</v>
      </c>
      <c r="F849" s="12" t="s">
        <v>653</v>
      </c>
      <c r="G849" s="16"/>
      <c r="H849" s="18"/>
      <c r="I849" s="27" t="str">
        <f>IFERROR(VLOOKUP(Tabulka2[[#This Row],[Pracovník]],DATA!A:L,11,0),"")</f>
        <v>BATZ 2</v>
      </c>
      <c r="J849" s="16"/>
      <c r="K849" s="19"/>
    </row>
    <row r="850" spans="1:11" x14ac:dyDescent="0.25">
      <c r="A8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50" s="22">
        <v>45930</v>
      </c>
      <c r="C850" s="16" t="s">
        <v>25</v>
      </c>
      <c r="D850" s="16" t="s">
        <v>706</v>
      </c>
      <c r="E850" s="17">
        <f>IFERROR(VLOOKUP(Tabulka2[[#This Row],[Pracovník]],DATA!A:L,5,0),"")</f>
        <v>6409</v>
      </c>
      <c r="F850" s="12" t="s">
        <v>653</v>
      </c>
      <c r="G850" s="16"/>
      <c r="H850" s="18"/>
      <c r="I850" s="27" t="str">
        <f>IFERROR(VLOOKUP(Tabulka2[[#This Row],[Pracovník]],DATA!A:L,11,0),"")</f>
        <v>Vlastní auto</v>
      </c>
      <c r="J850" s="16"/>
      <c r="K850" s="19"/>
    </row>
    <row r="851" spans="1:11" x14ac:dyDescent="0.25">
      <c r="A8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51" s="22">
        <v>45930</v>
      </c>
      <c r="C851" s="16" t="s">
        <v>25</v>
      </c>
      <c r="D851" s="16" t="s">
        <v>707</v>
      </c>
      <c r="E851" s="17">
        <f>IFERROR(VLOOKUP(Tabulka2[[#This Row],[Pracovník]],DATA!A:L,5,0),"")</f>
        <v>3396</v>
      </c>
      <c r="F851" s="12" t="s">
        <v>653</v>
      </c>
      <c r="G851" s="16"/>
      <c r="H851" s="18"/>
      <c r="I851" s="27" t="str">
        <f>IFERROR(VLOOKUP(Tabulka2[[#This Row],[Pracovník]],DATA!A:L,11,0),"")</f>
        <v>BATZ 1</v>
      </c>
      <c r="J851" s="16"/>
      <c r="K851" s="19"/>
    </row>
    <row r="852" spans="1:11" x14ac:dyDescent="0.25">
      <c r="A8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52" s="22">
        <v>45930</v>
      </c>
      <c r="C852" s="16" t="s">
        <v>25</v>
      </c>
      <c r="D852" s="16" t="s">
        <v>708</v>
      </c>
      <c r="E852" s="17">
        <f>IFERROR(VLOOKUP(Tabulka2[[#This Row],[Pracovník]],DATA!A:L,5,0),"")</f>
        <v>6376</v>
      </c>
      <c r="F852" s="12" t="s">
        <v>653</v>
      </c>
      <c r="G852" s="16"/>
      <c r="H852" s="18"/>
      <c r="I852" s="27" t="str">
        <f>IFERROR(VLOOKUP(Tabulka2[[#This Row],[Pracovník]],DATA!A:L,11,0),"")</f>
        <v>BATZ 2</v>
      </c>
      <c r="J852" s="16"/>
      <c r="K852" s="19"/>
    </row>
    <row r="853" spans="1:11" x14ac:dyDescent="0.25">
      <c r="A8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53" s="22">
        <v>45930</v>
      </c>
      <c r="C853" s="16" t="s">
        <v>25</v>
      </c>
      <c r="D853" s="16" t="s">
        <v>709</v>
      </c>
      <c r="E853" s="17">
        <f>IFERROR(VLOOKUP(Tabulka2[[#This Row],[Pracovník]],DATA!A:L,5,0),"")</f>
        <v>5014</v>
      </c>
      <c r="F853" s="12" t="s">
        <v>653</v>
      </c>
      <c r="G853" s="16"/>
      <c r="H853" s="18"/>
      <c r="I853" s="27" t="str">
        <f>IFERROR(VLOOKUP(Tabulka2[[#This Row],[Pracovník]],DATA!A:L,11,0),"")</f>
        <v>BATZ 2</v>
      </c>
      <c r="J853" s="16"/>
      <c r="K853" s="19"/>
    </row>
    <row r="854" spans="1:11" x14ac:dyDescent="0.25">
      <c r="A8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54" s="22">
        <v>45930</v>
      </c>
      <c r="C854" s="16" t="s">
        <v>25</v>
      </c>
      <c r="D854" s="16" t="s">
        <v>710</v>
      </c>
      <c r="E854" s="17">
        <f>IFERROR(VLOOKUP(Tabulka2[[#This Row],[Pracovník]],DATA!A:L,5,0),"")</f>
        <v>3369</v>
      </c>
      <c r="F854" s="12" t="s">
        <v>653</v>
      </c>
      <c r="G854" s="16" t="s">
        <v>925</v>
      </c>
      <c r="H854" s="18"/>
      <c r="I854" s="27" t="str">
        <f>IFERROR(VLOOKUP(Tabulka2[[#This Row],[Pracovník]],DATA!A:L,11,0),"")</f>
        <v>BATZ 1</v>
      </c>
      <c r="J854" s="16"/>
      <c r="K854" s="19" t="s">
        <v>1010</v>
      </c>
    </row>
    <row r="855" spans="1:11" x14ac:dyDescent="0.25">
      <c r="A8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55" s="22">
        <v>45930</v>
      </c>
      <c r="C855" s="16" t="s">
        <v>25</v>
      </c>
      <c r="D855" s="16" t="s">
        <v>711</v>
      </c>
      <c r="E855" s="17">
        <f>IFERROR(VLOOKUP(Tabulka2[[#This Row],[Pracovník]],DATA!A:L,5,0),"")</f>
        <v>6576</v>
      </c>
      <c r="F855" s="12" t="s">
        <v>653</v>
      </c>
      <c r="G855" s="16"/>
      <c r="H855" s="18"/>
      <c r="I855" s="27" t="str">
        <f>IFERROR(VLOOKUP(Tabulka2[[#This Row],[Pracovník]],DATA!A:L,11,0),"")</f>
        <v>BATZ 1</v>
      </c>
      <c r="J855" s="16"/>
      <c r="K855" s="19"/>
    </row>
    <row r="856" spans="1:11" x14ac:dyDescent="0.25">
      <c r="A8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56" s="22">
        <v>45930</v>
      </c>
      <c r="C856" s="16" t="s">
        <v>25</v>
      </c>
      <c r="D856" s="16" t="s">
        <v>712</v>
      </c>
      <c r="E856" s="17">
        <f>IFERROR(VLOOKUP(Tabulka2[[#This Row],[Pracovník]],DATA!A:L,5,0),"")</f>
        <v>6352</v>
      </c>
      <c r="F856" s="12" t="s">
        <v>653</v>
      </c>
      <c r="G856" s="16"/>
      <c r="H856" s="18"/>
      <c r="I856" s="27" t="str">
        <f>IFERROR(VLOOKUP(Tabulka2[[#This Row],[Pracovník]],DATA!A:L,11,0),"")</f>
        <v>BATZ 1</v>
      </c>
      <c r="J856" s="16"/>
      <c r="K856" s="19"/>
    </row>
    <row r="857" spans="1:11" x14ac:dyDescent="0.25">
      <c r="A8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57" s="22">
        <v>45930</v>
      </c>
      <c r="C857" s="16" t="s">
        <v>25</v>
      </c>
      <c r="D857" s="16" t="s">
        <v>974</v>
      </c>
      <c r="E857" s="17">
        <f>IFERROR(VLOOKUP(Tabulka2[[#This Row],[Pracovník]],DATA!A:L,5,0),"")</f>
        <v>5009</v>
      </c>
      <c r="F857" s="12" t="s">
        <v>653</v>
      </c>
      <c r="G857" s="16"/>
      <c r="H857" s="18"/>
      <c r="I857" s="27" t="str">
        <f>IFERROR(VLOOKUP(Tabulka2[[#This Row],[Pracovník]],DATA!A:L,11,0),"")</f>
        <v>BATZ 1</v>
      </c>
      <c r="J857" s="16"/>
      <c r="K857" s="19" t="s">
        <v>1006</v>
      </c>
    </row>
    <row r="858" spans="1:11" x14ac:dyDescent="0.25">
      <c r="A8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58" s="22">
        <v>45930</v>
      </c>
      <c r="C858" s="16" t="s">
        <v>25</v>
      </c>
      <c r="D858" s="16" t="s">
        <v>975</v>
      </c>
      <c r="E858" s="17">
        <f>IFERROR(VLOOKUP(Tabulka2[[#This Row],[Pracovník]],DATA!A:L,5,0),"")</f>
        <v>6251</v>
      </c>
      <c r="F858" s="12" t="s">
        <v>653</v>
      </c>
      <c r="G858" s="16"/>
      <c r="H858" s="18"/>
      <c r="I858" s="27" t="str">
        <f>IFERROR(VLOOKUP(Tabulka2[[#This Row],[Pracovník]],DATA!A:L,11,0),"")</f>
        <v>BATZ 1</v>
      </c>
      <c r="J858" s="16"/>
      <c r="K858" s="19" t="s">
        <v>1007</v>
      </c>
    </row>
    <row r="859" spans="1:11" x14ac:dyDescent="0.25">
      <c r="A8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59" s="22">
        <v>45930</v>
      </c>
      <c r="C859" s="16" t="s">
        <v>25</v>
      </c>
      <c r="D859" s="16" t="s">
        <v>713</v>
      </c>
      <c r="E859" s="17">
        <f>IFERROR(VLOOKUP(Tabulka2[[#This Row],[Pracovník]],DATA!A:L,5,0),"")</f>
        <v>6507</v>
      </c>
      <c r="F859" s="12" t="s">
        <v>653</v>
      </c>
      <c r="G859" s="16"/>
      <c r="H859" s="18"/>
      <c r="I859" s="27" t="str">
        <f>IFERROR(VLOOKUP(Tabulka2[[#This Row],[Pracovník]],DATA!A:L,11,0),"")</f>
        <v>BATZ 1</v>
      </c>
      <c r="J859" s="16"/>
      <c r="K859" s="19"/>
    </row>
    <row r="860" spans="1:11" x14ac:dyDescent="0.25">
      <c r="A8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60" s="22">
        <v>45930</v>
      </c>
      <c r="C860" s="16" t="s">
        <v>25</v>
      </c>
      <c r="D860" s="16" t="s">
        <v>976</v>
      </c>
      <c r="E860" s="17">
        <f>IFERROR(VLOOKUP(Tabulka2[[#This Row],[Pracovník]],DATA!A:L,5,0),"")</f>
        <v>6346</v>
      </c>
      <c r="F860" s="12" t="s">
        <v>653</v>
      </c>
      <c r="G860" s="16"/>
      <c r="H860" s="18"/>
      <c r="I860" s="27" t="str">
        <f>IFERROR(VLOOKUP(Tabulka2[[#This Row],[Pracovník]],DATA!A:L,11,0),"")</f>
        <v>BATZ 1</v>
      </c>
      <c r="J860" s="16"/>
      <c r="K860" s="19" t="s">
        <v>1011</v>
      </c>
    </row>
    <row r="861" spans="1:11" x14ac:dyDescent="0.25">
      <c r="A8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61" s="22">
        <v>45930</v>
      </c>
      <c r="C861" s="16" t="s">
        <v>25</v>
      </c>
      <c r="D861" s="16" t="s">
        <v>714</v>
      </c>
      <c r="E861" s="17">
        <f>IFERROR(VLOOKUP(Tabulka2[[#This Row],[Pracovník]],DATA!A:L,5,0),"")</f>
        <v>4972</v>
      </c>
      <c r="F861" s="12" t="s">
        <v>653</v>
      </c>
      <c r="G861" s="16"/>
      <c r="H861" s="18"/>
      <c r="I861" s="27" t="str">
        <f>IFERROR(VLOOKUP(Tabulka2[[#This Row],[Pracovník]],DATA!A:L,11,0),"")</f>
        <v>BATZ 2</v>
      </c>
      <c r="J861" s="16"/>
      <c r="K861" s="19"/>
    </row>
    <row r="862" spans="1:11" x14ac:dyDescent="0.25">
      <c r="A8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62" s="22">
        <v>45930</v>
      </c>
      <c r="C862" s="16" t="s">
        <v>25</v>
      </c>
      <c r="D862" s="16" t="s">
        <v>715</v>
      </c>
      <c r="E862" s="17">
        <f>IFERROR(VLOOKUP(Tabulka2[[#This Row],[Pracovník]],DATA!A:L,5,0),"")</f>
        <v>2230</v>
      </c>
      <c r="F862" s="12" t="s">
        <v>653</v>
      </c>
      <c r="G862" s="16" t="s">
        <v>656</v>
      </c>
      <c r="H862" s="18"/>
      <c r="I862" s="27" t="str">
        <f>IFERROR(VLOOKUP(Tabulka2[[#This Row],[Pracovník]],DATA!A:L,11,0),"")</f>
        <v>BATZ 1</v>
      </c>
      <c r="J862" s="16"/>
      <c r="K862" s="19"/>
    </row>
    <row r="863" spans="1:11" x14ac:dyDescent="0.25">
      <c r="A8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63" s="22">
        <v>45930</v>
      </c>
      <c r="C863" s="16" t="s">
        <v>25</v>
      </c>
      <c r="D863" s="16" t="s">
        <v>716</v>
      </c>
      <c r="E863" s="17">
        <f>IFERROR(VLOOKUP(Tabulka2[[#This Row],[Pracovník]],DATA!A:L,5,0),"")</f>
        <v>5310</v>
      </c>
      <c r="F863" s="12" t="s">
        <v>653</v>
      </c>
      <c r="G863" s="16"/>
      <c r="H863" s="18"/>
      <c r="I863" s="27" t="str">
        <f>IFERROR(VLOOKUP(Tabulka2[[#This Row],[Pracovník]],DATA!A:L,11,0),"")</f>
        <v>BATZ 1</v>
      </c>
      <c r="J863" s="16"/>
      <c r="K863" s="19"/>
    </row>
    <row r="864" spans="1:11" x14ac:dyDescent="0.25">
      <c r="A8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64" s="22">
        <v>45930</v>
      </c>
      <c r="C864" s="16" t="s">
        <v>25</v>
      </c>
      <c r="D864" s="16" t="s">
        <v>717</v>
      </c>
      <c r="E864" s="17">
        <f>IFERROR(VLOOKUP(Tabulka2[[#This Row],[Pracovník]],DATA!A:L,5,0),"")</f>
        <v>5948</v>
      </c>
      <c r="F864" s="12" t="s">
        <v>653</v>
      </c>
      <c r="G864" s="16"/>
      <c r="H864" s="18"/>
      <c r="I864" s="27" t="str">
        <f>IFERROR(VLOOKUP(Tabulka2[[#This Row],[Pracovník]],DATA!A:L,11,0),"")</f>
        <v>BATZ 1</v>
      </c>
      <c r="J864" s="16"/>
      <c r="K864" s="19"/>
    </row>
    <row r="865" spans="1:11" x14ac:dyDescent="0.25">
      <c r="A8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65" s="22">
        <v>45930</v>
      </c>
      <c r="C865" s="16" t="s">
        <v>25</v>
      </c>
      <c r="D865" s="16" t="s">
        <v>718</v>
      </c>
      <c r="E865" s="17">
        <f>IFERROR(VLOOKUP(Tabulka2[[#This Row],[Pracovník]],DATA!A:L,5,0),"")</f>
        <v>6549</v>
      </c>
      <c r="F865" s="12" t="s">
        <v>653</v>
      </c>
      <c r="G865" s="16"/>
      <c r="H865" s="18"/>
      <c r="I865" s="27" t="str">
        <f>IFERROR(VLOOKUP(Tabulka2[[#This Row],[Pracovník]],DATA!A:L,11,0),"")</f>
        <v>BATZ 1</v>
      </c>
      <c r="J865" s="16"/>
      <c r="K865" s="19"/>
    </row>
    <row r="866" spans="1:11" x14ac:dyDescent="0.25">
      <c r="A8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66" s="22">
        <v>45930</v>
      </c>
      <c r="C866" s="16" t="s">
        <v>25</v>
      </c>
      <c r="D866" s="16" t="s">
        <v>977</v>
      </c>
      <c r="E866" s="17">
        <f>IFERROR(VLOOKUP(Tabulka2[[#This Row],[Pracovník]],DATA!A:L,5,0),"")</f>
        <v>6538</v>
      </c>
      <c r="F866" s="12" t="s">
        <v>653</v>
      </c>
      <c r="G866" s="16"/>
      <c r="H866" s="18"/>
      <c r="I866" s="27" t="str">
        <f>IFERROR(VLOOKUP(Tabulka2[[#This Row],[Pracovník]],DATA!A:L,11,0),"")</f>
        <v>BATZ 1</v>
      </c>
      <c r="J866" s="16"/>
      <c r="K866" s="19"/>
    </row>
    <row r="867" spans="1:11" x14ac:dyDescent="0.25">
      <c r="A8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67" s="22">
        <v>45930</v>
      </c>
      <c r="C867" s="16" t="s">
        <v>25</v>
      </c>
      <c r="D867" s="16" t="s">
        <v>719</v>
      </c>
      <c r="E867" s="17">
        <f>IFERROR(VLOOKUP(Tabulka2[[#This Row],[Pracovník]],DATA!A:L,5,0),"")</f>
        <v>5715</v>
      </c>
      <c r="F867" s="12" t="s">
        <v>653</v>
      </c>
      <c r="G867" s="16"/>
      <c r="H867" s="18"/>
      <c r="I867" s="27" t="str">
        <f>IFERROR(VLOOKUP(Tabulka2[[#This Row],[Pracovník]],DATA!A:L,11,0),"")</f>
        <v>BATZ 1</v>
      </c>
      <c r="J867" s="16"/>
      <c r="K867" s="19"/>
    </row>
    <row r="868" spans="1:11" x14ac:dyDescent="0.25">
      <c r="A8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68" s="22">
        <v>45930</v>
      </c>
      <c r="C868" s="16" t="s">
        <v>25</v>
      </c>
      <c r="D868" s="16" t="s">
        <v>720</v>
      </c>
      <c r="E868" s="17">
        <f>IFERROR(VLOOKUP(Tabulka2[[#This Row],[Pracovník]],DATA!A:L,5,0),"")</f>
        <v>4514</v>
      </c>
      <c r="F868" s="12" t="s">
        <v>653</v>
      </c>
      <c r="G868" s="16"/>
      <c r="H868" s="18"/>
      <c r="I868" s="27" t="str">
        <f>IFERROR(VLOOKUP(Tabulka2[[#This Row],[Pracovník]],DATA!A:L,11,0),"")</f>
        <v>BATZ 1</v>
      </c>
      <c r="J868" s="16"/>
      <c r="K868" s="19"/>
    </row>
    <row r="869" spans="1:11" x14ac:dyDescent="0.25">
      <c r="A8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69" s="22">
        <v>45930</v>
      </c>
      <c r="C869" s="16" t="s">
        <v>25</v>
      </c>
      <c r="D869" s="16" t="s">
        <v>721</v>
      </c>
      <c r="E869" s="17">
        <f>IFERROR(VLOOKUP(Tabulka2[[#This Row],[Pracovník]],DATA!A:L,5,0),"")</f>
        <v>5176</v>
      </c>
      <c r="F869" s="12" t="s">
        <v>653</v>
      </c>
      <c r="G869" s="16"/>
      <c r="H869" s="18"/>
      <c r="I869" s="27" t="str">
        <f>IFERROR(VLOOKUP(Tabulka2[[#This Row],[Pracovník]],DATA!A:L,11,0),"")</f>
        <v>BATZ 1</v>
      </c>
      <c r="J869" s="16"/>
      <c r="K869" s="19"/>
    </row>
    <row r="870" spans="1:11" x14ac:dyDescent="0.25">
      <c r="A8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70" s="22">
        <v>45930</v>
      </c>
      <c r="C870" s="16" t="s">
        <v>25</v>
      </c>
      <c r="D870" s="16" t="s">
        <v>722</v>
      </c>
      <c r="E870" s="17">
        <f>IFERROR(VLOOKUP(Tabulka2[[#This Row],[Pracovník]],DATA!A:L,5,0),"")</f>
        <v>4163</v>
      </c>
      <c r="F870" s="12" t="s">
        <v>653</v>
      </c>
      <c r="G870" s="16"/>
      <c r="H870" s="18"/>
      <c r="I870" s="27" t="str">
        <f>IFERROR(VLOOKUP(Tabulka2[[#This Row],[Pracovník]],DATA!A:L,11,0),"")</f>
        <v>BATZ 1</v>
      </c>
      <c r="J870" s="16"/>
      <c r="K870" s="19"/>
    </row>
    <row r="871" spans="1:11" x14ac:dyDescent="0.25">
      <c r="A8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71" s="22">
        <v>45930</v>
      </c>
      <c r="C871" s="16" t="s">
        <v>25</v>
      </c>
      <c r="D871" s="16" t="s">
        <v>723</v>
      </c>
      <c r="E871" s="17">
        <f>IFERROR(VLOOKUP(Tabulka2[[#This Row],[Pracovník]],DATA!A:L,5,0),"")</f>
        <v>3920</v>
      </c>
      <c r="F871" s="12" t="s">
        <v>653</v>
      </c>
      <c r="G871" s="16"/>
      <c r="H871" s="18"/>
      <c r="I871" s="27" t="str">
        <f>IFERROR(VLOOKUP(Tabulka2[[#This Row],[Pracovník]],DATA!A:L,11,0),"")</f>
        <v>BATZ 2</v>
      </c>
      <c r="J871" s="16"/>
      <c r="K871" s="19"/>
    </row>
    <row r="872" spans="1:11" x14ac:dyDescent="0.25">
      <c r="A8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72" s="22">
        <v>45930</v>
      </c>
      <c r="C872" s="16" t="s">
        <v>25</v>
      </c>
      <c r="D872" s="16" t="s">
        <v>724</v>
      </c>
      <c r="E872" s="17">
        <f>IFERROR(VLOOKUP(Tabulka2[[#This Row],[Pracovník]],DATA!A:L,5,0),"")</f>
        <v>3257</v>
      </c>
      <c r="F872" s="12" t="s">
        <v>653</v>
      </c>
      <c r="G872" s="16"/>
      <c r="H872" s="18"/>
      <c r="I872" s="27" t="str">
        <f>IFERROR(VLOOKUP(Tabulka2[[#This Row],[Pracovník]],DATA!A:L,11,0),"")</f>
        <v>BATZ 1</v>
      </c>
      <c r="J872" s="16"/>
      <c r="K872" s="19"/>
    </row>
    <row r="873" spans="1:11" x14ac:dyDescent="0.25">
      <c r="A8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73" s="22">
        <v>45930</v>
      </c>
      <c r="C873" s="16" t="s">
        <v>25</v>
      </c>
      <c r="D873" s="16" t="s">
        <v>725</v>
      </c>
      <c r="E873" s="17">
        <f>IFERROR(VLOOKUP(Tabulka2[[#This Row],[Pracovník]],DATA!A:L,5,0),"")</f>
        <v>3394</v>
      </c>
      <c r="F873" s="12" t="s">
        <v>653</v>
      </c>
      <c r="G873" s="16" t="s">
        <v>656</v>
      </c>
      <c r="H873" s="18"/>
      <c r="I873" s="27" t="str">
        <f>IFERROR(VLOOKUP(Tabulka2[[#This Row],[Pracovník]],DATA!A:L,11,0),"")</f>
        <v>BATZ 1</v>
      </c>
      <c r="J873" s="16"/>
      <c r="K873" s="19"/>
    </row>
    <row r="874" spans="1:11" x14ac:dyDescent="0.25">
      <c r="A8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74" s="22">
        <v>45930</v>
      </c>
      <c r="C874" s="16" t="s">
        <v>25</v>
      </c>
      <c r="D874" s="16" t="s">
        <v>726</v>
      </c>
      <c r="E874" s="17">
        <f>IFERROR(VLOOKUP(Tabulka2[[#This Row],[Pracovník]],DATA!A:L,5,0),"")</f>
        <v>4828</v>
      </c>
      <c r="F874" s="12" t="s">
        <v>653</v>
      </c>
      <c r="G874" s="16"/>
      <c r="H874" s="18"/>
      <c r="I874" s="27" t="str">
        <f>IFERROR(VLOOKUP(Tabulka2[[#This Row],[Pracovník]],DATA!A:L,11,0),"")</f>
        <v>BATZ 2</v>
      </c>
      <c r="J874" s="16"/>
      <c r="K874" s="19"/>
    </row>
    <row r="875" spans="1:11" x14ac:dyDescent="0.25">
      <c r="A8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75" s="22">
        <v>45930</v>
      </c>
      <c r="C875" s="16" t="s">
        <v>25</v>
      </c>
      <c r="D875" s="16" t="s">
        <v>727</v>
      </c>
      <c r="E875" s="17">
        <f>IFERROR(VLOOKUP(Tabulka2[[#This Row],[Pracovník]],DATA!A:L,5,0),"")</f>
        <v>4155</v>
      </c>
      <c r="F875" s="12" t="s">
        <v>653</v>
      </c>
      <c r="G875" s="16"/>
      <c r="H875" s="18"/>
      <c r="I875" s="27" t="str">
        <f>IFERROR(VLOOKUP(Tabulka2[[#This Row],[Pracovník]],DATA!A:L,11,0),"")</f>
        <v>BATZ 1</v>
      </c>
      <c r="J875" s="16"/>
      <c r="K875" s="19"/>
    </row>
    <row r="876" spans="1:11" x14ac:dyDescent="0.25">
      <c r="A8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76" s="22">
        <v>45930</v>
      </c>
      <c r="C876" s="16" t="s">
        <v>25</v>
      </c>
      <c r="D876" s="16" t="s">
        <v>728</v>
      </c>
      <c r="E876" s="17">
        <f>IFERROR(VLOOKUP(Tabulka2[[#This Row],[Pracovník]],DATA!A:L,5,0),"")</f>
        <v>0</v>
      </c>
      <c r="F876" s="12" t="s">
        <v>653</v>
      </c>
      <c r="G876" s="16"/>
      <c r="H876" s="18"/>
      <c r="I876" s="27" t="str">
        <f>IFERROR(VLOOKUP(Tabulka2[[#This Row],[Pracovník]],DATA!A:L,11,0),"")</f>
        <v>BATZ 1</v>
      </c>
      <c r="J876" s="16"/>
      <c r="K876" s="19"/>
    </row>
    <row r="877" spans="1:11" x14ac:dyDescent="0.25">
      <c r="A8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77" s="22">
        <v>45930</v>
      </c>
      <c r="C877" s="16" t="s">
        <v>25</v>
      </c>
      <c r="D877" s="16" t="s">
        <v>729</v>
      </c>
      <c r="E877" s="17">
        <f>IFERROR(VLOOKUP(Tabulka2[[#This Row],[Pracovník]],DATA!A:L,5,0),"")</f>
        <v>5179</v>
      </c>
      <c r="F877" s="12" t="s">
        <v>653</v>
      </c>
      <c r="G877" s="16"/>
      <c r="H877" s="18"/>
      <c r="I877" s="27" t="str">
        <f>IFERROR(VLOOKUP(Tabulka2[[#This Row],[Pracovník]],DATA!A:L,11,0),"")</f>
        <v>BATZ 1</v>
      </c>
      <c r="J877" s="16"/>
      <c r="K877" s="19"/>
    </row>
    <row r="878" spans="1:11" x14ac:dyDescent="0.25">
      <c r="A8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78" s="22">
        <v>45930</v>
      </c>
      <c r="C878" s="16" t="s">
        <v>25</v>
      </c>
      <c r="D878" s="16" t="s">
        <v>730</v>
      </c>
      <c r="E878" s="17">
        <f>IFERROR(VLOOKUP(Tabulka2[[#This Row],[Pracovník]],DATA!A:L,5,0),"")</f>
        <v>4912</v>
      </c>
      <c r="F878" s="12" t="s">
        <v>653</v>
      </c>
      <c r="G878" s="16" t="s">
        <v>658</v>
      </c>
      <c r="H878" s="18"/>
      <c r="I878" s="27" t="str">
        <f>IFERROR(VLOOKUP(Tabulka2[[#This Row],[Pracovník]],DATA!A:L,11,0),"")</f>
        <v>BATZ 2</v>
      </c>
      <c r="J878" s="16"/>
      <c r="K878" s="19"/>
    </row>
    <row r="879" spans="1:11" x14ac:dyDescent="0.25">
      <c r="A8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79" s="22">
        <v>45930</v>
      </c>
      <c r="C879" s="16" t="s">
        <v>25</v>
      </c>
      <c r="D879" s="16" t="s">
        <v>978</v>
      </c>
      <c r="E879" s="17">
        <f>IFERROR(VLOOKUP(Tabulka2[[#This Row],[Pracovník]],DATA!A:L,5,0),"")</f>
        <v>5208</v>
      </c>
      <c r="F879" s="12" t="s">
        <v>653</v>
      </c>
      <c r="G879" s="16" t="s">
        <v>659</v>
      </c>
      <c r="H879" s="18"/>
      <c r="I879" s="27" t="str">
        <f>IFERROR(VLOOKUP(Tabulka2[[#This Row],[Pracovník]],DATA!A:L,11,0),"")</f>
        <v>BATZ 1</v>
      </c>
      <c r="J879" s="16"/>
      <c r="K879" s="19" t="s">
        <v>1012</v>
      </c>
    </row>
    <row r="880" spans="1:11" x14ac:dyDescent="0.25">
      <c r="A8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80" s="22">
        <v>45930</v>
      </c>
      <c r="C880" s="16" t="s">
        <v>25</v>
      </c>
      <c r="D880" s="16" t="s">
        <v>732</v>
      </c>
      <c r="E880" s="17">
        <f>IFERROR(VLOOKUP(Tabulka2[[#This Row],[Pracovník]],DATA!A:L,5,0),"")</f>
        <v>3937</v>
      </c>
      <c r="F880" s="12" t="s">
        <v>653</v>
      </c>
      <c r="G880" s="16"/>
      <c r="H880" s="18"/>
      <c r="I880" s="27" t="str">
        <f>IFERROR(VLOOKUP(Tabulka2[[#This Row],[Pracovník]],DATA!A:L,11,0),"")</f>
        <v>BATZ 1</v>
      </c>
      <c r="J880" s="16"/>
      <c r="K880" s="19"/>
    </row>
    <row r="881" spans="1:11" x14ac:dyDescent="0.25">
      <c r="A8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81" s="22">
        <v>45930</v>
      </c>
      <c r="C881" s="16" t="s">
        <v>25</v>
      </c>
      <c r="D881" s="16" t="s">
        <v>733</v>
      </c>
      <c r="E881" s="17">
        <f>IFERROR(VLOOKUP(Tabulka2[[#This Row],[Pracovník]],DATA!A:L,5,0),"")</f>
        <v>6076</v>
      </c>
      <c r="F881" s="12" t="s">
        <v>653</v>
      </c>
      <c r="G881" s="16" t="s">
        <v>657</v>
      </c>
      <c r="H881" s="18"/>
      <c r="I881" s="27" t="str">
        <f>IFERROR(VLOOKUP(Tabulka2[[#This Row],[Pracovník]],DATA!A:L,11,0),"")</f>
        <v>BATZ 1</v>
      </c>
      <c r="J881" s="16"/>
      <c r="K881" s="19"/>
    </row>
    <row r="882" spans="1:11" x14ac:dyDescent="0.25">
      <c r="A8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82" s="22">
        <v>45930</v>
      </c>
      <c r="C882" s="16" t="s">
        <v>25</v>
      </c>
      <c r="D882" s="16" t="s">
        <v>734</v>
      </c>
      <c r="E882" s="17">
        <f>IFERROR(VLOOKUP(Tabulka2[[#This Row],[Pracovník]],DATA!A:L,5,0),"")</f>
        <v>3648</v>
      </c>
      <c r="F882" s="12" t="s">
        <v>653</v>
      </c>
      <c r="G882" s="16"/>
      <c r="H882" s="18"/>
      <c r="I882" s="27" t="str">
        <f>IFERROR(VLOOKUP(Tabulka2[[#This Row],[Pracovník]],DATA!A:L,11,0),"")</f>
        <v>BATZ 1</v>
      </c>
      <c r="J882" s="16"/>
      <c r="K882" s="19"/>
    </row>
    <row r="883" spans="1:11" x14ac:dyDescent="0.25">
      <c r="A8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83" s="22">
        <v>45930</v>
      </c>
      <c r="C883" s="16" t="s">
        <v>25</v>
      </c>
      <c r="D883" s="16" t="s">
        <v>735</v>
      </c>
      <c r="E883" s="17">
        <f>IFERROR(VLOOKUP(Tabulka2[[#This Row],[Pracovník]],DATA!A:L,5,0),"")</f>
        <v>4602</v>
      </c>
      <c r="F883" s="12" t="s">
        <v>653</v>
      </c>
      <c r="G883" s="16"/>
      <c r="H883" s="18"/>
      <c r="I883" s="27" t="str">
        <f>IFERROR(VLOOKUP(Tabulka2[[#This Row],[Pracovník]],DATA!A:L,11,0),"")</f>
        <v>BATZ 1</v>
      </c>
      <c r="J883" s="16"/>
      <c r="K883" s="19"/>
    </row>
    <row r="884" spans="1:11" x14ac:dyDescent="0.25">
      <c r="A8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84" s="22">
        <v>45930</v>
      </c>
      <c r="C884" s="16" t="s">
        <v>25</v>
      </c>
      <c r="D884" s="16" t="s">
        <v>736</v>
      </c>
      <c r="E884" s="17">
        <f>IFERROR(VLOOKUP(Tabulka2[[#This Row],[Pracovník]],DATA!A:L,5,0),"")</f>
        <v>4940</v>
      </c>
      <c r="F884" s="12" t="s">
        <v>653</v>
      </c>
      <c r="G884" s="16"/>
      <c r="H884" s="18"/>
      <c r="I884" s="27" t="str">
        <f>IFERROR(VLOOKUP(Tabulka2[[#This Row],[Pracovník]],DATA!A:L,11,0),"")</f>
        <v>BATZ 1</v>
      </c>
      <c r="J884" s="16"/>
      <c r="K884" s="19"/>
    </row>
    <row r="885" spans="1:11" x14ac:dyDescent="0.25">
      <c r="A8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85" s="22">
        <v>45930</v>
      </c>
      <c r="C885" s="16" t="s">
        <v>25</v>
      </c>
      <c r="D885" s="16" t="s">
        <v>737</v>
      </c>
      <c r="E885" s="17">
        <f>IFERROR(VLOOKUP(Tabulka2[[#This Row],[Pracovník]],DATA!A:L,5,0),"")</f>
        <v>5660</v>
      </c>
      <c r="F885" s="12" t="s">
        <v>653</v>
      </c>
      <c r="G885" s="16"/>
      <c r="H885" s="18"/>
      <c r="I885" s="27" t="str">
        <f>IFERROR(VLOOKUP(Tabulka2[[#This Row],[Pracovník]],DATA!A:L,11,0),"")</f>
        <v>BATZ 1</v>
      </c>
      <c r="J885" s="16"/>
      <c r="K885" s="19"/>
    </row>
    <row r="886" spans="1:11" x14ac:dyDescent="0.25">
      <c r="A8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86" s="22">
        <v>45930</v>
      </c>
      <c r="C886" s="16" t="s">
        <v>25</v>
      </c>
      <c r="D886" s="16" t="s">
        <v>738</v>
      </c>
      <c r="E886" s="17">
        <f>IFERROR(VLOOKUP(Tabulka2[[#This Row],[Pracovník]],DATA!A:L,5,0),"")</f>
        <v>6243</v>
      </c>
      <c r="F886" s="12" t="s">
        <v>653</v>
      </c>
      <c r="G886" s="16"/>
      <c r="H886" s="18"/>
      <c r="I886" s="27" t="str">
        <f>IFERROR(VLOOKUP(Tabulka2[[#This Row],[Pracovník]],DATA!A:L,11,0),"")</f>
        <v>BATZ 2</v>
      </c>
      <c r="J886" s="16"/>
      <c r="K886" s="19"/>
    </row>
    <row r="887" spans="1:11" x14ac:dyDescent="0.25">
      <c r="A8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87" s="22">
        <v>45930</v>
      </c>
      <c r="C887" s="16" t="s">
        <v>25</v>
      </c>
      <c r="D887" s="16" t="s">
        <v>739</v>
      </c>
      <c r="E887" s="17">
        <f>IFERROR(VLOOKUP(Tabulka2[[#This Row],[Pracovník]],DATA!A:L,5,0),"")</f>
        <v>6339</v>
      </c>
      <c r="F887" s="12" t="s">
        <v>653</v>
      </c>
      <c r="G887" s="16" t="s">
        <v>659</v>
      </c>
      <c r="H887" s="18"/>
      <c r="I887" s="27" t="str">
        <f>IFERROR(VLOOKUP(Tabulka2[[#This Row],[Pracovník]],DATA!A:L,11,0),"")</f>
        <v>BATZ 1</v>
      </c>
      <c r="J887" s="16"/>
      <c r="K887" s="19"/>
    </row>
    <row r="888" spans="1:11" x14ac:dyDescent="0.25">
      <c r="A8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88" s="22">
        <v>45930</v>
      </c>
      <c r="C888" s="16" t="s">
        <v>25</v>
      </c>
      <c r="D888" s="16" t="s">
        <v>740</v>
      </c>
      <c r="E888" s="17">
        <f>IFERROR(VLOOKUP(Tabulka2[[#This Row],[Pracovník]],DATA!A:L,5,0),"")</f>
        <v>4928</v>
      </c>
      <c r="F888" s="12" t="s">
        <v>653</v>
      </c>
      <c r="G888" s="16"/>
      <c r="H888" s="18"/>
      <c r="I888" s="27" t="str">
        <f>IFERROR(VLOOKUP(Tabulka2[[#This Row],[Pracovník]],DATA!A:L,11,0),"")</f>
        <v>BATZ 1</v>
      </c>
      <c r="J888" s="16"/>
      <c r="K888" s="19"/>
    </row>
    <row r="889" spans="1:11" x14ac:dyDescent="0.25">
      <c r="A8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89" s="22">
        <v>45930</v>
      </c>
      <c r="C889" s="16" t="s">
        <v>25</v>
      </c>
      <c r="D889" s="16" t="s">
        <v>731</v>
      </c>
      <c r="E889" s="17">
        <f>IFERROR(VLOOKUP(Tabulka2[[#This Row],[Pracovník]],DATA!A:L,5,0),"")</f>
        <v>0</v>
      </c>
      <c r="F889" s="12" t="s">
        <v>653</v>
      </c>
      <c r="G889" s="16"/>
      <c r="H889" s="18"/>
      <c r="I889" s="27" t="str">
        <f>IFERROR(VLOOKUP(Tabulka2[[#This Row],[Pracovník]],DATA!A:L,11,0),"")</f>
        <v>BATZ 1</v>
      </c>
      <c r="J889" s="16"/>
      <c r="K889" s="19"/>
    </row>
    <row r="890" spans="1:11" x14ac:dyDescent="0.25">
      <c r="A8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90" s="22">
        <v>45930</v>
      </c>
      <c r="C890" s="16" t="s">
        <v>25</v>
      </c>
      <c r="D890" s="16" t="s">
        <v>924</v>
      </c>
      <c r="E890" s="17">
        <f>IFERROR(VLOOKUP(Tabulka2[[#This Row],[Pracovník]],DATA!A:L,5,0),"")</f>
        <v>6581</v>
      </c>
      <c r="F890" s="12" t="s">
        <v>653</v>
      </c>
      <c r="G890" s="16"/>
      <c r="H890" s="18"/>
      <c r="I890" s="27" t="str">
        <f>IFERROR(VLOOKUP(Tabulka2[[#This Row],[Pracovník]],DATA!A:L,11,0),"")</f>
        <v>BATZ 1</v>
      </c>
      <c r="J890" s="16"/>
      <c r="K890" s="19"/>
    </row>
    <row r="891" spans="1:11" x14ac:dyDescent="0.25">
      <c r="A8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91" s="22">
        <v>45930</v>
      </c>
      <c r="C891" s="16" t="s">
        <v>96</v>
      </c>
      <c r="D891" s="16" t="s">
        <v>641</v>
      </c>
      <c r="E891" s="17">
        <f>IFERROR(VLOOKUP(Tabulka2[[#This Row],[Pracovník]],DATA!A:L,5,0),"")</f>
        <v>6259</v>
      </c>
      <c r="F891" s="12" t="s">
        <v>653</v>
      </c>
      <c r="G891" s="16" t="s">
        <v>657</v>
      </c>
      <c r="H891" s="18"/>
      <c r="I891" s="27" t="str">
        <f>IFERROR(VLOOKUP(Tabulka2[[#This Row],[Pracovník]],DATA!A:L,11,0),"")</f>
        <v>Vlastní auto</v>
      </c>
      <c r="J891" s="16"/>
      <c r="K891" s="19"/>
    </row>
    <row r="892" spans="1:11" x14ac:dyDescent="0.25">
      <c r="A8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92" s="22">
        <v>45930</v>
      </c>
      <c r="C892" s="16" t="s">
        <v>96</v>
      </c>
      <c r="D892" s="16" t="s">
        <v>649</v>
      </c>
      <c r="E892" s="17">
        <f>IFERROR(VLOOKUP(Tabulka2[[#This Row],[Pracovník]],DATA!A:L,5,0),"")</f>
        <v>3951</v>
      </c>
      <c r="F892" s="12" t="s">
        <v>653</v>
      </c>
      <c r="G892" s="16"/>
      <c r="H892" s="18"/>
      <c r="I892" s="27" t="str">
        <f>IFERROR(VLOOKUP(Tabulka2[[#This Row],[Pracovník]],DATA!A:L,11,0),"")</f>
        <v>Vlastní auto</v>
      </c>
      <c r="J892" s="16"/>
      <c r="K892" s="19"/>
    </row>
    <row r="893" spans="1:11" x14ac:dyDescent="0.25">
      <c r="A8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93" s="22">
        <v>45930</v>
      </c>
      <c r="C893" s="16" t="s">
        <v>96</v>
      </c>
      <c r="D893" s="16" t="s">
        <v>742</v>
      </c>
      <c r="E893" s="17">
        <f>IFERROR(VLOOKUP(Tabulka2[[#This Row],[Pracovník]],DATA!A:L,5,0),"")</f>
        <v>6450</v>
      </c>
      <c r="F893" s="12" t="s">
        <v>653</v>
      </c>
      <c r="G893" s="16"/>
      <c r="H893" s="18"/>
      <c r="I893" s="27" t="str">
        <f>IFERROR(VLOOKUP(Tabulka2[[#This Row],[Pracovník]],DATA!A:L,11,0),"")</f>
        <v>DSC 2</v>
      </c>
      <c r="J893" s="16"/>
      <c r="K893" s="19"/>
    </row>
    <row r="894" spans="1:11" x14ac:dyDescent="0.25">
      <c r="A8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94" s="22">
        <v>45930</v>
      </c>
      <c r="C894" s="16" t="s">
        <v>96</v>
      </c>
      <c r="D894" s="16" t="s">
        <v>980</v>
      </c>
      <c r="E894" s="17">
        <f>IFERROR(VLOOKUP(Tabulka2[[#This Row],[Pracovník]],DATA!A:L,5,0),"")</f>
        <v>6457</v>
      </c>
      <c r="F894" s="12" t="s">
        <v>653</v>
      </c>
      <c r="G894" s="16"/>
      <c r="H894" s="18"/>
      <c r="I894" s="27" t="str">
        <f>IFERROR(VLOOKUP(Tabulka2[[#This Row],[Pracovník]],DATA!A:L,11,0),"")</f>
        <v>DSC 1</v>
      </c>
      <c r="J894" s="16"/>
      <c r="K894" s="19" t="s">
        <v>1007</v>
      </c>
    </row>
    <row r="895" spans="1:11" x14ac:dyDescent="0.25">
      <c r="A8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95" s="22">
        <v>45930</v>
      </c>
      <c r="C895" s="16" t="s">
        <v>96</v>
      </c>
      <c r="D895" s="16" t="s">
        <v>744</v>
      </c>
      <c r="E895" s="17">
        <f>IFERROR(VLOOKUP(Tabulka2[[#This Row],[Pracovník]],DATA!A:L,5,0),"")</f>
        <v>5584</v>
      </c>
      <c r="F895" s="12" t="s">
        <v>653</v>
      </c>
      <c r="G895" s="16"/>
      <c r="H895" s="18"/>
      <c r="I895" s="27" t="str">
        <f>IFERROR(VLOOKUP(Tabulka2[[#This Row],[Pracovník]],DATA!A:L,11,0),"")</f>
        <v>Vlastní auto</v>
      </c>
      <c r="J895" s="16"/>
      <c r="K895" s="19"/>
    </row>
    <row r="896" spans="1:11" x14ac:dyDescent="0.25">
      <c r="A8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96" s="22">
        <v>45930</v>
      </c>
      <c r="C896" s="16" t="s">
        <v>96</v>
      </c>
      <c r="D896" s="16" t="s">
        <v>745</v>
      </c>
      <c r="E896" s="17">
        <f>IFERROR(VLOOKUP(Tabulka2[[#This Row],[Pracovník]],DATA!A:L,5,0),"")</f>
        <v>6418</v>
      </c>
      <c r="F896" s="12" t="s">
        <v>653</v>
      </c>
      <c r="G896" s="16"/>
      <c r="H896" s="18"/>
      <c r="I896" s="27" t="str">
        <f>IFERROR(VLOOKUP(Tabulka2[[#This Row],[Pracovník]],DATA!A:L,11,0),"")</f>
        <v>Vlastní auto</v>
      </c>
      <c r="J896" s="16"/>
      <c r="K896" s="19"/>
    </row>
    <row r="897" spans="1:11" x14ac:dyDescent="0.25">
      <c r="A8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97" s="22">
        <v>45930</v>
      </c>
      <c r="C897" s="16" t="s">
        <v>96</v>
      </c>
      <c r="D897" s="16" t="s">
        <v>747</v>
      </c>
      <c r="E897" s="17">
        <f>IFERROR(VLOOKUP(Tabulka2[[#This Row],[Pracovník]],DATA!A:L,5,0),"")</f>
        <v>6177</v>
      </c>
      <c r="F897" s="12" t="s">
        <v>653</v>
      </c>
      <c r="G897" s="16"/>
      <c r="H897" s="18"/>
      <c r="I897" s="27" t="str">
        <f>IFERROR(VLOOKUP(Tabulka2[[#This Row],[Pracovník]],DATA!A:L,11,0),"")</f>
        <v>DSC 1</v>
      </c>
      <c r="J897" s="16"/>
      <c r="K897" s="19"/>
    </row>
    <row r="898" spans="1:11" x14ac:dyDescent="0.25">
      <c r="A8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98" s="22">
        <v>45930</v>
      </c>
      <c r="C898" s="16" t="s">
        <v>96</v>
      </c>
      <c r="D898" s="16" t="s">
        <v>746</v>
      </c>
      <c r="E898" s="17">
        <f>IFERROR(VLOOKUP(Tabulka2[[#This Row],[Pracovník]],DATA!A:L,5,0),"")</f>
        <v>6543</v>
      </c>
      <c r="F898" s="12" t="s">
        <v>653</v>
      </c>
      <c r="G898" s="16"/>
      <c r="H898" s="18"/>
      <c r="I898" s="27" t="str">
        <f>IFERROR(VLOOKUP(Tabulka2[[#This Row],[Pracovník]],DATA!A:L,11,0),"")</f>
        <v>DSC 1</v>
      </c>
      <c r="J898" s="16"/>
      <c r="K898" s="19"/>
    </row>
    <row r="899" spans="1:11" x14ac:dyDescent="0.25">
      <c r="A8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899" s="22">
        <v>45930</v>
      </c>
      <c r="C899" s="16" t="s">
        <v>96</v>
      </c>
      <c r="D899" s="16" t="s">
        <v>748</v>
      </c>
      <c r="E899" s="17">
        <f>IFERROR(VLOOKUP(Tabulka2[[#This Row],[Pracovník]],DATA!A:L,5,0),"")</f>
        <v>6541</v>
      </c>
      <c r="F899" s="12" t="s">
        <v>653</v>
      </c>
      <c r="G899" s="16" t="s">
        <v>916</v>
      </c>
      <c r="H899" s="18"/>
      <c r="I899" s="27" t="str">
        <f>IFERROR(VLOOKUP(Tabulka2[[#This Row],[Pracovník]],DATA!A:L,11,0),"")</f>
        <v>DSC 2</v>
      </c>
      <c r="J899" s="16"/>
      <c r="K899" s="19"/>
    </row>
    <row r="900" spans="1:11" x14ac:dyDescent="0.25">
      <c r="A9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00" s="22">
        <v>45930</v>
      </c>
      <c r="C900" s="16" t="s">
        <v>96</v>
      </c>
      <c r="D900" s="16" t="s">
        <v>749</v>
      </c>
      <c r="E900" s="17">
        <f>IFERROR(VLOOKUP(Tabulka2[[#This Row],[Pracovník]],DATA!A:L,5,0),"")</f>
        <v>6442</v>
      </c>
      <c r="F900" s="12" t="s">
        <v>653</v>
      </c>
      <c r="G900" s="16"/>
      <c r="H900" s="18"/>
      <c r="I900" s="27" t="str">
        <f>IFERROR(VLOOKUP(Tabulka2[[#This Row],[Pracovník]],DATA!A:L,11,0),"")</f>
        <v>DSC 2</v>
      </c>
      <c r="J900" s="16"/>
      <c r="K900" s="19"/>
    </row>
    <row r="901" spans="1:11" x14ac:dyDescent="0.25">
      <c r="A9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01" s="22">
        <v>45930</v>
      </c>
      <c r="C901" s="16" t="s">
        <v>96</v>
      </c>
      <c r="D901" s="16" t="s">
        <v>750</v>
      </c>
      <c r="E901" s="17">
        <f>IFERROR(VLOOKUP(Tabulka2[[#This Row],[Pracovník]],DATA!A:L,5,0),"")</f>
        <v>6143</v>
      </c>
      <c r="F901" s="12" t="s">
        <v>653</v>
      </c>
      <c r="G901" s="16"/>
      <c r="H901" s="18"/>
      <c r="I901" s="27" t="str">
        <f>IFERROR(VLOOKUP(Tabulka2[[#This Row],[Pracovník]],DATA!A:L,11,0),"")</f>
        <v>Vlastní auto</v>
      </c>
      <c r="J901" s="16"/>
      <c r="K901" s="19"/>
    </row>
    <row r="902" spans="1:11" x14ac:dyDescent="0.25">
      <c r="A9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02" s="22">
        <v>45930</v>
      </c>
      <c r="C902" s="16" t="s">
        <v>96</v>
      </c>
      <c r="D902" s="16" t="s">
        <v>751</v>
      </c>
      <c r="E902" s="17">
        <f>IFERROR(VLOOKUP(Tabulka2[[#This Row],[Pracovník]],DATA!A:L,5,0),"")</f>
        <v>6260</v>
      </c>
      <c r="F902" s="12" t="s">
        <v>653</v>
      </c>
      <c r="G902" s="16"/>
      <c r="H902" s="18"/>
      <c r="I902" s="27" t="str">
        <f>IFERROR(VLOOKUP(Tabulka2[[#This Row],[Pracovník]],DATA!A:L,11,0),"")</f>
        <v>Vlastní auto</v>
      </c>
      <c r="J902" s="16"/>
      <c r="K902" s="19"/>
    </row>
    <row r="903" spans="1:11" x14ac:dyDescent="0.25">
      <c r="A9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03" s="22">
        <v>45930</v>
      </c>
      <c r="C903" s="16" t="s">
        <v>96</v>
      </c>
      <c r="D903" s="16" t="s">
        <v>981</v>
      </c>
      <c r="E903" s="17">
        <f>IFERROR(VLOOKUP(Tabulka2[[#This Row],[Pracovník]],DATA!A:L,5,0),"")</f>
        <v>6542</v>
      </c>
      <c r="F903" s="12" t="s">
        <v>653</v>
      </c>
      <c r="G903" s="16"/>
      <c r="H903" s="18"/>
      <c r="I903" s="27" t="str">
        <f>IFERROR(VLOOKUP(Tabulka2[[#This Row],[Pracovník]],DATA!A:L,11,0),"")</f>
        <v>DSC 2</v>
      </c>
      <c r="J903" s="16"/>
      <c r="K903" s="19" t="s">
        <v>1007</v>
      </c>
    </row>
    <row r="904" spans="1:11" x14ac:dyDescent="0.25">
      <c r="A9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04" s="22">
        <v>45930</v>
      </c>
      <c r="C904" s="16" t="s">
        <v>96</v>
      </c>
      <c r="D904" s="16" t="s">
        <v>982</v>
      </c>
      <c r="E904" s="17">
        <f>IFERROR(VLOOKUP(Tabulka2[[#This Row],[Pracovník]],DATA!A:L,5,0),"")</f>
        <v>6525</v>
      </c>
      <c r="F904" s="12" t="s">
        <v>653</v>
      </c>
      <c r="G904" s="16"/>
      <c r="H904" s="18"/>
      <c r="I904" s="27" t="str">
        <f>IFERROR(VLOOKUP(Tabulka2[[#This Row],[Pracovník]],DATA!A:L,11,0),"")</f>
        <v>DSC 2</v>
      </c>
      <c r="J904" s="16"/>
      <c r="K904" s="19" t="s">
        <v>1006</v>
      </c>
    </row>
    <row r="905" spans="1:11" x14ac:dyDescent="0.25">
      <c r="A9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05" s="22">
        <v>45930</v>
      </c>
      <c r="C905" s="16" t="s">
        <v>96</v>
      </c>
      <c r="D905" s="16" t="s">
        <v>752</v>
      </c>
      <c r="E905" s="17">
        <f>IFERROR(VLOOKUP(Tabulka2[[#This Row],[Pracovník]],DATA!A:L,5,0),"")</f>
        <v>6430</v>
      </c>
      <c r="F905" s="12" t="s">
        <v>653</v>
      </c>
      <c r="G905" s="16" t="s">
        <v>658</v>
      </c>
      <c r="H905" s="18"/>
      <c r="I905" s="27" t="str">
        <f>IFERROR(VLOOKUP(Tabulka2[[#This Row],[Pracovník]],DATA!A:L,11,0),"")</f>
        <v>Vlastní auto</v>
      </c>
      <c r="J905" s="16"/>
      <c r="K905" s="19"/>
    </row>
    <row r="906" spans="1:11" x14ac:dyDescent="0.25">
      <c r="A9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06" s="22">
        <v>45930</v>
      </c>
      <c r="C906" s="16" t="s">
        <v>96</v>
      </c>
      <c r="D906" s="16" t="s">
        <v>983</v>
      </c>
      <c r="E906" s="17">
        <f>IFERROR(VLOOKUP(Tabulka2[[#This Row],[Pracovník]],DATA!A:L,5,0),"")</f>
        <v>6454</v>
      </c>
      <c r="F906" s="12" t="s">
        <v>653</v>
      </c>
      <c r="G906" s="16"/>
      <c r="H906" s="18"/>
      <c r="I906" s="27" t="str">
        <f>IFERROR(VLOOKUP(Tabulka2[[#This Row],[Pracovník]],DATA!A:L,11,0),"")</f>
        <v>DSC 1</v>
      </c>
      <c r="J906" s="16"/>
      <c r="K906" s="19" t="s">
        <v>1006</v>
      </c>
    </row>
    <row r="907" spans="1:11" x14ac:dyDescent="0.25">
      <c r="A9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07" s="22">
        <v>45930</v>
      </c>
      <c r="C907" s="16" t="s">
        <v>96</v>
      </c>
      <c r="D907" s="16" t="s">
        <v>753</v>
      </c>
      <c r="E907" s="17">
        <f>IFERROR(VLOOKUP(Tabulka2[[#This Row],[Pracovník]],DATA!A:L,5,0),"")</f>
        <v>6016</v>
      </c>
      <c r="F907" s="12" t="s">
        <v>653</v>
      </c>
      <c r="G907" s="16" t="s">
        <v>916</v>
      </c>
      <c r="H907" s="18"/>
      <c r="I907" s="27" t="str">
        <f>IFERROR(VLOOKUP(Tabulka2[[#This Row],[Pracovník]],DATA!A:L,11,0),"")</f>
        <v>DSC 2</v>
      </c>
      <c r="J907" s="16"/>
      <c r="K907" s="19"/>
    </row>
    <row r="908" spans="1:11" x14ac:dyDescent="0.25">
      <c r="A9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08" s="22">
        <v>45930</v>
      </c>
      <c r="C908" s="16" t="s">
        <v>96</v>
      </c>
      <c r="D908" s="16" t="s">
        <v>754</v>
      </c>
      <c r="E908" s="17">
        <f>IFERROR(VLOOKUP(Tabulka2[[#This Row],[Pracovník]],DATA!A:L,5,0),"")</f>
        <v>6437</v>
      </c>
      <c r="F908" s="12" t="s">
        <v>653</v>
      </c>
      <c r="G908" s="16"/>
      <c r="H908" s="18"/>
      <c r="I908" s="27" t="str">
        <f>IFERROR(VLOOKUP(Tabulka2[[#This Row],[Pracovník]],DATA!A:L,11,0),"")</f>
        <v>DSC 2</v>
      </c>
      <c r="J908" s="16"/>
      <c r="K908" s="19"/>
    </row>
    <row r="909" spans="1:11" x14ac:dyDescent="0.25">
      <c r="A9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09" s="22">
        <v>45930</v>
      </c>
      <c r="C909" s="16" t="s">
        <v>96</v>
      </c>
      <c r="D909" s="16" t="s">
        <v>756</v>
      </c>
      <c r="E909" s="17">
        <f>IFERROR(VLOOKUP(Tabulka2[[#This Row],[Pracovník]],DATA!A:L,5,0),"")</f>
        <v>6431</v>
      </c>
      <c r="F909" s="12" t="s">
        <v>653</v>
      </c>
      <c r="G909" s="16" t="s">
        <v>656</v>
      </c>
      <c r="H909" s="18"/>
      <c r="I909" s="27" t="str">
        <f>IFERROR(VLOOKUP(Tabulka2[[#This Row],[Pracovník]],DATA!A:L,11,0),"")</f>
        <v>DSC 1</v>
      </c>
      <c r="J909" s="16"/>
      <c r="K909" s="19"/>
    </row>
    <row r="910" spans="1:11" x14ac:dyDescent="0.25">
      <c r="A9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10" s="22">
        <v>45930</v>
      </c>
      <c r="C910" s="16" t="s">
        <v>96</v>
      </c>
      <c r="D910" s="16" t="s">
        <v>642</v>
      </c>
      <c r="E910" s="17">
        <f>IFERROR(VLOOKUP(Tabulka2[[#This Row],[Pracovník]],DATA!A:L,5,0),"")</f>
        <v>6119</v>
      </c>
      <c r="F910" s="12" t="s">
        <v>653</v>
      </c>
      <c r="G910" s="16" t="s">
        <v>657</v>
      </c>
      <c r="H910" s="18"/>
      <c r="I910" s="27" t="str">
        <f>IFERROR(VLOOKUP(Tabulka2[[#This Row],[Pracovník]],DATA!A:L,11,0),"")</f>
        <v>DSC 1</v>
      </c>
      <c r="J910" s="16"/>
      <c r="K910" s="19"/>
    </row>
    <row r="911" spans="1:11" x14ac:dyDescent="0.25">
      <c r="A9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11" s="22">
        <v>45930</v>
      </c>
      <c r="C911" s="16" t="s">
        <v>96</v>
      </c>
      <c r="D911" s="16" t="s">
        <v>757</v>
      </c>
      <c r="E911" s="17">
        <f>IFERROR(VLOOKUP(Tabulka2[[#This Row],[Pracovník]],DATA!A:L,5,0),"")</f>
        <v>6559</v>
      </c>
      <c r="F911" s="12" t="s">
        <v>653</v>
      </c>
      <c r="G911" s="16"/>
      <c r="H911" s="18"/>
      <c r="I911" s="27" t="str">
        <f>IFERROR(VLOOKUP(Tabulka2[[#This Row],[Pracovník]],DATA!A:L,11,0),"")</f>
        <v>DSC 1</v>
      </c>
      <c r="J911" s="16"/>
      <c r="K911" s="19"/>
    </row>
    <row r="912" spans="1:11" x14ac:dyDescent="0.25">
      <c r="A9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12" s="22">
        <v>45930</v>
      </c>
      <c r="C912" s="16" t="s">
        <v>96</v>
      </c>
      <c r="D912" s="16" t="s">
        <v>984</v>
      </c>
      <c r="E912" s="17">
        <f>IFERROR(VLOOKUP(Tabulka2[[#This Row],[Pracovník]],DATA!A:L,5,0),"")</f>
        <v>6496</v>
      </c>
      <c r="F912" s="12" t="s">
        <v>653</v>
      </c>
      <c r="G912" s="16"/>
      <c r="H912" s="18"/>
      <c r="I912" s="27" t="str">
        <f>IFERROR(VLOOKUP(Tabulka2[[#This Row],[Pracovník]],DATA!A:L,11,0),"")</f>
        <v>DSC 2</v>
      </c>
      <c r="J912" s="16"/>
      <c r="K912" s="19" t="s">
        <v>1006</v>
      </c>
    </row>
    <row r="913" spans="1:11" x14ac:dyDescent="0.25">
      <c r="A9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13" s="22">
        <v>45930</v>
      </c>
      <c r="C913" s="16" t="s">
        <v>96</v>
      </c>
      <c r="D913" s="16" t="s">
        <v>758</v>
      </c>
      <c r="E913" s="17">
        <f>IFERROR(VLOOKUP(Tabulka2[[#This Row],[Pracovník]],DATA!A:L,5,0),"")</f>
        <v>4392</v>
      </c>
      <c r="F913" s="12" t="s">
        <v>653</v>
      </c>
      <c r="G913" s="16"/>
      <c r="H913" s="18"/>
      <c r="I913" s="27" t="str">
        <f>IFERROR(VLOOKUP(Tabulka2[[#This Row],[Pracovník]],DATA!A:L,11,0),"")</f>
        <v>DSC 1</v>
      </c>
      <c r="J913" s="16"/>
      <c r="K913" s="19"/>
    </row>
    <row r="914" spans="1:11" x14ac:dyDescent="0.25">
      <c r="A9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14" s="22">
        <v>45930</v>
      </c>
      <c r="C914" s="16" t="s">
        <v>96</v>
      </c>
      <c r="D914" s="16" t="s">
        <v>760</v>
      </c>
      <c r="E914" s="17">
        <f>IFERROR(VLOOKUP(Tabulka2[[#This Row],[Pracovník]],DATA!A:L,5,0),"")</f>
        <v>6514</v>
      </c>
      <c r="F914" s="12" t="s">
        <v>653</v>
      </c>
      <c r="G914" s="16"/>
      <c r="H914" s="18"/>
      <c r="I914" s="27" t="str">
        <f>IFERROR(VLOOKUP(Tabulka2[[#This Row],[Pracovník]],DATA!A:L,11,0),"")</f>
        <v>DSC 2</v>
      </c>
      <c r="J914" s="16"/>
      <c r="K914" s="19"/>
    </row>
    <row r="915" spans="1:11" x14ac:dyDescent="0.25">
      <c r="A9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15" s="22">
        <v>45930</v>
      </c>
      <c r="C915" s="16" t="s">
        <v>96</v>
      </c>
      <c r="D915" s="16" t="s">
        <v>761</v>
      </c>
      <c r="E915" s="17">
        <f>IFERROR(VLOOKUP(Tabulka2[[#This Row],[Pracovník]],DATA!A:L,5,0),"")</f>
        <v>6516</v>
      </c>
      <c r="F915" s="12" t="s">
        <v>653</v>
      </c>
      <c r="G915" s="16"/>
      <c r="H915" s="18"/>
      <c r="I915" s="27" t="str">
        <f>IFERROR(VLOOKUP(Tabulka2[[#This Row],[Pracovník]],DATA!A:L,11,0),"")</f>
        <v>DSC 1</v>
      </c>
      <c r="J915" s="16"/>
      <c r="K915" s="19"/>
    </row>
    <row r="916" spans="1:11" x14ac:dyDescent="0.25">
      <c r="A9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16" s="22">
        <v>45930</v>
      </c>
      <c r="C916" s="16" t="s">
        <v>96</v>
      </c>
      <c r="D916" s="16" t="s">
        <v>762</v>
      </c>
      <c r="E916" s="17">
        <f>IFERROR(VLOOKUP(Tabulka2[[#This Row],[Pracovník]],DATA!A:L,5,0),"")</f>
        <v>0</v>
      </c>
      <c r="F916" s="12" t="s">
        <v>653</v>
      </c>
      <c r="G916" s="16" t="s">
        <v>916</v>
      </c>
      <c r="H916" s="18"/>
      <c r="I916" s="27" t="str">
        <f>IFERROR(VLOOKUP(Tabulka2[[#This Row],[Pracovník]],DATA!A:L,11,0),"")</f>
        <v>Vlastní auto</v>
      </c>
      <c r="J916" s="16"/>
      <c r="K916" s="19"/>
    </row>
    <row r="917" spans="1:11" x14ac:dyDescent="0.25">
      <c r="A9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17" s="22">
        <v>45930</v>
      </c>
      <c r="C917" s="16" t="s">
        <v>96</v>
      </c>
      <c r="D917" s="16" t="s">
        <v>985</v>
      </c>
      <c r="E917" s="17">
        <f>IFERROR(VLOOKUP(Tabulka2[[#This Row],[Pracovník]],DATA!A:L,5,0),"")</f>
        <v>6449</v>
      </c>
      <c r="F917" s="12" t="s">
        <v>653</v>
      </c>
      <c r="G917" s="16"/>
      <c r="H917" s="18"/>
      <c r="I917" s="27" t="str">
        <f>IFERROR(VLOOKUP(Tabulka2[[#This Row],[Pracovník]],DATA!A:L,11,0),"")</f>
        <v>DSC 2</v>
      </c>
      <c r="J917" s="16"/>
      <c r="K917" s="19" t="s">
        <v>1013</v>
      </c>
    </row>
    <row r="918" spans="1:11" x14ac:dyDescent="0.25">
      <c r="A9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18" s="22">
        <v>45930</v>
      </c>
      <c r="C918" s="16" t="s">
        <v>96</v>
      </c>
      <c r="D918" s="16" t="s">
        <v>763</v>
      </c>
      <c r="E918" s="17">
        <f>IFERROR(VLOOKUP(Tabulka2[[#This Row],[Pracovník]],DATA!A:L,5,0),"")</f>
        <v>6158</v>
      </c>
      <c r="F918" s="12" t="s">
        <v>653</v>
      </c>
      <c r="G918" s="16"/>
      <c r="H918" s="18"/>
      <c r="I918" s="27" t="str">
        <f>IFERROR(VLOOKUP(Tabulka2[[#This Row],[Pracovník]],DATA!A:L,11,0),"")</f>
        <v>DSC 2</v>
      </c>
      <c r="J918" s="16"/>
      <c r="K918" s="19"/>
    </row>
    <row r="919" spans="1:11" x14ac:dyDescent="0.25">
      <c r="A9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19" s="22">
        <v>45930</v>
      </c>
      <c r="C919" s="16" t="s">
        <v>96</v>
      </c>
      <c r="D919" s="16" t="s">
        <v>986</v>
      </c>
      <c r="E919" s="17">
        <f>IFERROR(VLOOKUP(Tabulka2[[#This Row],[Pracovník]],DATA!A:L,5,0),"")</f>
        <v>6232</v>
      </c>
      <c r="F919" s="12" t="s">
        <v>653</v>
      </c>
      <c r="G919" s="16"/>
      <c r="H919" s="18"/>
      <c r="I919" s="27" t="str">
        <f>IFERROR(VLOOKUP(Tabulka2[[#This Row],[Pracovník]],DATA!A:L,11,0),"")</f>
        <v>DSC 2</v>
      </c>
      <c r="J919" s="16"/>
      <c r="K919" s="19" t="s">
        <v>1014</v>
      </c>
    </row>
    <row r="920" spans="1:11" x14ac:dyDescent="0.25">
      <c r="A9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20" s="22">
        <v>45930</v>
      </c>
      <c r="C920" s="16" t="s">
        <v>96</v>
      </c>
      <c r="D920" s="16" t="s">
        <v>764</v>
      </c>
      <c r="E920" s="17">
        <f>IFERROR(VLOOKUP(Tabulka2[[#This Row],[Pracovník]],DATA!A:L,5,0),"")</f>
        <v>3063</v>
      </c>
      <c r="F920" s="12" t="s">
        <v>653</v>
      </c>
      <c r="G920" s="16"/>
      <c r="H920" s="18"/>
      <c r="I920" s="27" t="str">
        <f>IFERROR(VLOOKUP(Tabulka2[[#This Row],[Pracovník]],DATA!A:L,11,0),"")</f>
        <v>DSC 2</v>
      </c>
      <c r="J920" s="16"/>
      <c r="K920" s="19"/>
    </row>
    <row r="921" spans="1:11" x14ac:dyDescent="0.25">
      <c r="A9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21" s="22">
        <v>45930</v>
      </c>
      <c r="C921" s="16" t="s">
        <v>96</v>
      </c>
      <c r="D921" s="16" t="s">
        <v>765</v>
      </c>
      <c r="E921" s="17">
        <f>IFERROR(VLOOKUP(Tabulka2[[#This Row],[Pracovník]],DATA!A:L,5,0),"")</f>
        <v>5853</v>
      </c>
      <c r="F921" s="12" t="s">
        <v>653</v>
      </c>
      <c r="G921" s="16"/>
      <c r="H921" s="18"/>
      <c r="I921" s="27" t="str">
        <f>IFERROR(VLOOKUP(Tabulka2[[#This Row],[Pracovník]],DATA!A:L,11,0),"")</f>
        <v>DSC 2</v>
      </c>
      <c r="J921" s="16"/>
      <c r="K921" s="19"/>
    </row>
    <row r="922" spans="1:11" x14ac:dyDescent="0.25">
      <c r="A9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22" s="22">
        <v>45930</v>
      </c>
      <c r="C922" s="16" t="s">
        <v>96</v>
      </c>
      <c r="D922" s="16" t="s">
        <v>766</v>
      </c>
      <c r="E922" s="17">
        <f>IFERROR(VLOOKUP(Tabulka2[[#This Row],[Pracovník]],DATA!A:L,5,0),"")</f>
        <v>6408</v>
      </c>
      <c r="F922" s="12" t="s">
        <v>653</v>
      </c>
      <c r="G922" s="16"/>
      <c r="H922" s="18"/>
      <c r="I922" s="27" t="str">
        <f>IFERROR(VLOOKUP(Tabulka2[[#This Row],[Pracovník]],DATA!A:L,11,0),"")</f>
        <v>Vlastní auto</v>
      </c>
      <c r="J922" s="16"/>
      <c r="K922" s="19"/>
    </row>
    <row r="923" spans="1:11" x14ac:dyDescent="0.25">
      <c r="A9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23" s="22">
        <v>45930</v>
      </c>
      <c r="C923" s="16" t="s">
        <v>96</v>
      </c>
      <c r="D923" s="16" t="s">
        <v>767</v>
      </c>
      <c r="E923" s="17">
        <f>IFERROR(VLOOKUP(Tabulka2[[#This Row],[Pracovník]],DATA!A:L,5,0),"")</f>
        <v>6544</v>
      </c>
      <c r="F923" s="12" t="s">
        <v>653</v>
      </c>
      <c r="G923" s="16"/>
      <c r="H923" s="18"/>
      <c r="I923" s="27" t="str">
        <f>IFERROR(VLOOKUP(Tabulka2[[#This Row],[Pracovník]],DATA!A:L,11,0),"")</f>
        <v>DSC 1</v>
      </c>
      <c r="J923" s="16"/>
      <c r="K923" s="19"/>
    </row>
    <row r="924" spans="1:11" x14ac:dyDescent="0.25">
      <c r="A9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24" s="22">
        <v>45930</v>
      </c>
      <c r="C924" s="16" t="s">
        <v>96</v>
      </c>
      <c r="D924" s="16" t="s">
        <v>987</v>
      </c>
      <c r="E924" s="17">
        <f>IFERROR(VLOOKUP(Tabulka2[[#This Row],[Pracovník]],DATA!A:L,5,0),"")</f>
        <v>6492</v>
      </c>
      <c r="F924" s="12" t="s">
        <v>653</v>
      </c>
      <c r="G924" s="16" t="s">
        <v>659</v>
      </c>
      <c r="H924" s="18"/>
      <c r="I924" s="27" t="str">
        <f>IFERROR(VLOOKUP(Tabulka2[[#This Row],[Pracovník]],DATA!A:L,11,0),"")</f>
        <v>DSC 2</v>
      </c>
      <c r="J924" s="16"/>
      <c r="K924" s="19" t="s">
        <v>1011</v>
      </c>
    </row>
    <row r="925" spans="1:11" x14ac:dyDescent="0.25">
      <c r="A9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25" s="22">
        <v>45930</v>
      </c>
      <c r="C925" s="16" t="s">
        <v>96</v>
      </c>
      <c r="D925" s="16" t="s">
        <v>988</v>
      </c>
      <c r="E925" s="17">
        <f>IFERROR(VLOOKUP(Tabulka2[[#This Row],[Pracovník]],DATA!A:L,5,0),"")</f>
        <v>6452</v>
      </c>
      <c r="F925" s="12" t="s">
        <v>653</v>
      </c>
      <c r="G925" s="16"/>
      <c r="H925" s="18"/>
      <c r="I925" s="27" t="str">
        <f>IFERROR(VLOOKUP(Tabulka2[[#This Row],[Pracovník]],DATA!A:L,11,0),"")</f>
        <v>DSC 1</v>
      </c>
      <c r="J925" s="16"/>
      <c r="K925" s="19" t="s">
        <v>1006</v>
      </c>
    </row>
    <row r="926" spans="1:11" x14ac:dyDescent="0.25">
      <c r="A9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26" s="22">
        <v>45930</v>
      </c>
      <c r="C926" s="16" t="s">
        <v>96</v>
      </c>
      <c r="D926" s="16" t="s">
        <v>989</v>
      </c>
      <c r="E926" s="17">
        <f>IFERROR(VLOOKUP(Tabulka2[[#This Row],[Pracovník]],DATA!A:L,5,0),"")</f>
        <v>6546</v>
      </c>
      <c r="F926" s="12" t="s">
        <v>653</v>
      </c>
      <c r="G926" s="16"/>
      <c r="H926" s="18"/>
      <c r="I926" s="27" t="str">
        <f>IFERROR(VLOOKUP(Tabulka2[[#This Row],[Pracovník]],DATA!A:L,11,0),"")</f>
        <v>DSC 2</v>
      </c>
      <c r="J926" s="16"/>
      <c r="K926" s="19" t="s">
        <v>1006</v>
      </c>
    </row>
    <row r="927" spans="1:11" x14ac:dyDescent="0.25">
      <c r="A9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27" s="22">
        <v>45930</v>
      </c>
      <c r="C927" s="16" t="s">
        <v>96</v>
      </c>
      <c r="D927" s="16" t="s">
        <v>769</v>
      </c>
      <c r="E927" s="17">
        <f>IFERROR(VLOOKUP(Tabulka2[[#This Row],[Pracovník]],DATA!A:L,5,0),"")</f>
        <v>0</v>
      </c>
      <c r="F927" s="12" t="s">
        <v>653</v>
      </c>
      <c r="G927" s="16"/>
      <c r="H927" s="18"/>
      <c r="I927" s="27" t="str">
        <f>IFERROR(VLOOKUP(Tabulka2[[#This Row],[Pracovník]],DATA!A:L,11,0),"")</f>
        <v>DSC 2</v>
      </c>
      <c r="J927" s="16"/>
      <c r="K927" s="19"/>
    </row>
    <row r="928" spans="1:11" x14ac:dyDescent="0.25">
      <c r="A9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28" s="22">
        <v>45930</v>
      </c>
      <c r="C928" s="16" t="s">
        <v>96</v>
      </c>
      <c r="D928" s="16" t="s">
        <v>990</v>
      </c>
      <c r="E928" s="17">
        <f>IFERROR(VLOOKUP(Tabulka2[[#This Row],[Pracovník]],DATA!A:L,5,0),"")</f>
        <v>6175</v>
      </c>
      <c r="F928" s="12" t="s">
        <v>653</v>
      </c>
      <c r="G928" s="16"/>
      <c r="H928" s="18"/>
      <c r="I928" s="27" t="str">
        <f>IFERROR(VLOOKUP(Tabulka2[[#This Row],[Pracovník]],DATA!A:L,11,0),"")</f>
        <v>DSC 2</v>
      </c>
      <c r="J928" s="16"/>
      <c r="K928" s="19" t="s">
        <v>1007</v>
      </c>
    </row>
    <row r="929" spans="1:11" x14ac:dyDescent="0.25">
      <c r="A9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29" s="22">
        <v>45930</v>
      </c>
      <c r="C929" s="16" t="s">
        <v>96</v>
      </c>
      <c r="D929" s="16" t="s">
        <v>770</v>
      </c>
      <c r="E929" s="17">
        <f>IFERROR(VLOOKUP(Tabulka2[[#This Row],[Pracovník]],DATA!A:L,5,0),"")</f>
        <v>6152</v>
      </c>
      <c r="F929" s="12" t="s">
        <v>653</v>
      </c>
      <c r="G929" s="16" t="s">
        <v>916</v>
      </c>
      <c r="H929" s="18"/>
      <c r="I929" s="27" t="str">
        <f>IFERROR(VLOOKUP(Tabulka2[[#This Row],[Pracovník]],DATA!A:L,11,0),"")</f>
        <v>DSC 2</v>
      </c>
      <c r="J929" s="16"/>
      <c r="K929" s="19" t="s">
        <v>1015</v>
      </c>
    </row>
    <row r="930" spans="1:11" x14ac:dyDescent="0.25">
      <c r="A9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30" s="22">
        <v>45930</v>
      </c>
      <c r="C930" s="16" t="s">
        <v>96</v>
      </c>
      <c r="D930" s="16" t="s">
        <v>771</v>
      </c>
      <c r="E930" s="17">
        <f>IFERROR(VLOOKUP(Tabulka2[[#This Row],[Pracovník]],DATA!A:L,5,0),"")</f>
        <v>6558</v>
      </c>
      <c r="F930" s="12" t="s">
        <v>640</v>
      </c>
      <c r="G930" s="16"/>
      <c r="H930" s="18"/>
      <c r="I930" s="27" t="str">
        <f>IFERROR(VLOOKUP(Tabulka2[[#This Row],[Pracovník]],DATA!A:L,11,0),"")</f>
        <v>DSC 1</v>
      </c>
      <c r="J930" s="16"/>
      <c r="K930" s="19"/>
    </row>
    <row r="931" spans="1:11" x14ac:dyDescent="0.25">
      <c r="A9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31" s="22">
        <v>45930</v>
      </c>
      <c r="C931" s="16" t="s">
        <v>96</v>
      </c>
      <c r="D931" s="16" t="s">
        <v>991</v>
      </c>
      <c r="E931" s="17">
        <f>IFERROR(VLOOKUP(Tabulka2[[#This Row],[Pracovník]],DATA!A:L,5,0),"")</f>
        <v>0</v>
      </c>
      <c r="F931" s="12" t="s">
        <v>653</v>
      </c>
      <c r="G931" s="16" t="s">
        <v>657</v>
      </c>
      <c r="H931" s="18"/>
      <c r="I931" s="27" t="str">
        <f>IFERROR(VLOOKUP(Tabulka2[[#This Row],[Pracovník]],DATA!A:L,11,0),"")</f>
        <v>Vlastní auto</v>
      </c>
      <c r="J931" s="16"/>
      <c r="K931" s="19" t="s">
        <v>1011</v>
      </c>
    </row>
    <row r="932" spans="1:11" x14ac:dyDescent="0.25">
      <c r="A9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32" s="22">
        <v>45930</v>
      </c>
      <c r="C932" s="16" t="s">
        <v>96</v>
      </c>
      <c r="D932" s="16" t="s">
        <v>771</v>
      </c>
      <c r="E932" s="17">
        <f>IFERROR(VLOOKUP(Tabulka2[[#This Row],[Pracovník]],DATA!A:L,5,0),"")</f>
        <v>6558</v>
      </c>
      <c r="F932" s="12" t="s">
        <v>655</v>
      </c>
      <c r="G932" s="16"/>
      <c r="H932" s="18"/>
      <c r="I932" s="27" t="str">
        <f>IFERROR(VLOOKUP(Tabulka2[[#This Row],[Pracovník]],DATA!A:L,11,0),"")</f>
        <v>DSC 1</v>
      </c>
      <c r="J932" s="16"/>
      <c r="K932" s="19"/>
    </row>
    <row r="933" spans="1:11" x14ac:dyDescent="0.25">
      <c r="A9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33" s="22">
        <v>45930</v>
      </c>
      <c r="C933" s="16" t="s">
        <v>28</v>
      </c>
      <c r="D933" s="16" t="s">
        <v>646</v>
      </c>
      <c r="E933" s="17">
        <f>IFERROR(VLOOKUP(Tabulka2[[#This Row],[Pracovník]],DATA!A:L,5,0),"")</f>
        <v>6537</v>
      </c>
      <c r="F933" s="12" t="s">
        <v>655</v>
      </c>
      <c r="G933" s="16"/>
      <c r="H933" s="18"/>
      <c r="I933" s="27" t="str">
        <f>IFERROR(VLOOKUP(Tabulka2[[#This Row],[Pracovník]],DATA!A:L,11,0),"")</f>
        <v>DSC 2</v>
      </c>
      <c r="J933" s="16"/>
      <c r="K933" s="19"/>
    </row>
    <row r="934" spans="1:11" x14ac:dyDescent="0.25">
      <c r="A9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34" s="22">
        <v>45930</v>
      </c>
      <c r="C934" s="16" t="s">
        <v>28</v>
      </c>
      <c r="D934" s="16" t="s">
        <v>648</v>
      </c>
      <c r="E934" s="17">
        <f>IFERROR(VLOOKUP(Tabulka2[[#This Row],[Pracovník]],DATA!A:L,5,0),"")</f>
        <v>5802</v>
      </c>
      <c r="F934" s="12" t="s">
        <v>654</v>
      </c>
      <c r="G934" s="16"/>
      <c r="H934" s="18"/>
      <c r="I934" s="27" t="str">
        <f>IFERROR(VLOOKUP(Tabulka2[[#This Row],[Pracovník]],DATA!A:L,11,0),"")</f>
        <v>Vlastní auto</v>
      </c>
      <c r="J934" s="16"/>
      <c r="K934" s="19"/>
    </row>
    <row r="935" spans="1:11" x14ac:dyDescent="0.25">
      <c r="A9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35" s="22">
        <v>45930</v>
      </c>
      <c r="C935" s="16" t="s">
        <v>28</v>
      </c>
      <c r="D935" s="16" t="s">
        <v>772</v>
      </c>
      <c r="E935" s="17">
        <f>IFERROR(VLOOKUP(Tabulka2[[#This Row],[Pracovník]],DATA!A:L,5,0),"")</f>
        <v>4869</v>
      </c>
      <c r="F935" s="12" t="s">
        <v>640</v>
      </c>
      <c r="G935" s="16"/>
      <c r="H935" s="18"/>
      <c r="I935" s="27" t="str">
        <f>IFERROR(VLOOKUP(Tabulka2[[#This Row],[Pracovník]],DATA!A:L,11,0),"")</f>
        <v>Vlastní auto</v>
      </c>
      <c r="J935" s="16"/>
      <c r="K935" s="19"/>
    </row>
    <row r="936" spans="1:11" x14ac:dyDescent="0.25">
      <c r="A9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36" s="22">
        <v>45930</v>
      </c>
      <c r="C936" s="16" t="s">
        <v>28</v>
      </c>
      <c r="D936" s="16" t="s">
        <v>773</v>
      </c>
      <c r="E936" s="17">
        <f>IFERROR(VLOOKUP(Tabulka2[[#This Row],[Pracovník]],DATA!A:L,5,0),"")</f>
        <v>6508</v>
      </c>
      <c r="F936" s="12" t="s">
        <v>655</v>
      </c>
      <c r="G936" s="16"/>
      <c r="H936" s="18"/>
      <c r="I936" s="27" t="str">
        <f>IFERROR(VLOOKUP(Tabulka2[[#This Row],[Pracovník]],DATA!A:L,11,0),"")</f>
        <v>Vlastní auto</v>
      </c>
      <c r="J936" s="16"/>
      <c r="K936" s="19"/>
    </row>
    <row r="937" spans="1:11" x14ac:dyDescent="0.25">
      <c r="A9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37" s="22">
        <v>45930</v>
      </c>
      <c r="C937" s="16" t="s">
        <v>28</v>
      </c>
      <c r="D937" s="16" t="s">
        <v>774</v>
      </c>
      <c r="E937" s="17">
        <f>IFERROR(VLOOKUP(Tabulka2[[#This Row],[Pracovník]],DATA!A:L,5,0),"")</f>
        <v>4607</v>
      </c>
      <c r="F937" s="12" t="s">
        <v>654</v>
      </c>
      <c r="G937" s="16"/>
      <c r="H937" s="18"/>
      <c r="I937" s="27" t="str">
        <f>IFERROR(VLOOKUP(Tabulka2[[#This Row],[Pracovník]],DATA!A:L,11,0),"")</f>
        <v>DSC 2</v>
      </c>
      <c r="J937" s="16"/>
      <c r="K937" s="19"/>
    </row>
    <row r="938" spans="1:11" x14ac:dyDescent="0.25">
      <c r="A9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38" s="22">
        <v>45930</v>
      </c>
      <c r="C938" s="16" t="s">
        <v>28</v>
      </c>
      <c r="D938" s="16" t="s">
        <v>775</v>
      </c>
      <c r="E938" s="17">
        <f>IFERROR(VLOOKUP(Tabulka2[[#This Row],[Pracovník]],DATA!A:L,5,0),"")</f>
        <v>5047</v>
      </c>
      <c r="F938" s="12" t="s">
        <v>640</v>
      </c>
      <c r="G938" s="16"/>
      <c r="H938" s="18"/>
      <c r="I938" s="27" t="str">
        <f>IFERROR(VLOOKUP(Tabulka2[[#This Row],[Pracovník]],DATA!A:L,11,0),"")</f>
        <v>Vlastní auto</v>
      </c>
      <c r="J938" s="16"/>
      <c r="K938" s="19"/>
    </row>
    <row r="939" spans="1:11" x14ac:dyDescent="0.25">
      <c r="A9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39" s="22">
        <v>45930</v>
      </c>
      <c r="C939" s="16" t="s">
        <v>28</v>
      </c>
      <c r="D939" s="16" t="s">
        <v>777</v>
      </c>
      <c r="E939" s="17">
        <f>IFERROR(VLOOKUP(Tabulka2[[#This Row],[Pracovník]],DATA!A:L,5,0),"")</f>
        <v>4616</v>
      </c>
      <c r="F939" s="12" t="s">
        <v>654</v>
      </c>
      <c r="G939" s="16"/>
      <c r="H939" s="18"/>
      <c r="I939" s="27" t="str">
        <f>IFERROR(VLOOKUP(Tabulka2[[#This Row],[Pracovník]],DATA!A:L,11,0),"")</f>
        <v>Vlastní auto</v>
      </c>
      <c r="J939" s="16"/>
      <c r="K939" s="19"/>
    </row>
    <row r="940" spans="1:11" x14ac:dyDescent="0.25">
      <c r="A9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40" s="22">
        <v>45930</v>
      </c>
      <c r="C940" s="16" t="s">
        <v>28</v>
      </c>
      <c r="D940" s="16" t="s">
        <v>776</v>
      </c>
      <c r="E940" s="17">
        <f>IFERROR(VLOOKUP(Tabulka2[[#This Row],[Pracovník]],DATA!A:L,5,0),"")</f>
        <v>4961</v>
      </c>
      <c r="F940" s="12" t="s">
        <v>655</v>
      </c>
      <c r="G940" s="16"/>
      <c r="H940" s="18"/>
      <c r="I940" s="27" t="str">
        <f>IFERROR(VLOOKUP(Tabulka2[[#This Row],[Pracovník]],DATA!A:L,11,0),"")</f>
        <v>Vlastní auto</v>
      </c>
      <c r="J940" s="16"/>
      <c r="K940" s="19"/>
    </row>
    <row r="941" spans="1:11" x14ac:dyDescent="0.25">
      <c r="A9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41" s="22">
        <v>45930</v>
      </c>
      <c r="C941" s="16" t="s">
        <v>28</v>
      </c>
      <c r="D941" s="16" t="s">
        <v>778</v>
      </c>
      <c r="E941" s="17">
        <f>IFERROR(VLOOKUP(Tabulka2[[#This Row],[Pracovník]],DATA!A:L,5,0),"")</f>
        <v>4721</v>
      </c>
      <c r="F941" s="12" t="s">
        <v>655</v>
      </c>
      <c r="G941" s="16"/>
      <c r="H941" s="18"/>
      <c r="I941" s="27" t="str">
        <f>IFERROR(VLOOKUP(Tabulka2[[#This Row],[Pracovník]],DATA!A:L,11,0),"")</f>
        <v>DSC 2</v>
      </c>
      <c r="J941" s="16"/>
      <c r="K941" s="19"/>
    </row>
    <row r="942" spans="1:11" x14ac:dyDescent="0.25">
      <c r="A9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42" s="22">
        <v>45930</v>
      </c>
      <c r="C942" s="16" t="s">
        <v>28</v>
      </c>
      <c r="D942" s="16" t="s">
        <v>779</v>
      </c>
      <c r="E942" s="17">
        <f>IFERROR(VLOOKUP(Tabulka2[[#This Row],[Pracovník]],DATA!A:L,5,0),"")</f>
        <v>4845</v>
      </c>
      <c r="F942" s="12" t="s">
        <v>653</v>
      </c>
      <c r="G942" s="16" t="s">
        <v>656</v>
      </c>
      <c r="H942" s="18"/>
      <c r="I942" s="27" t="str">
        <f>IFERROR(VLOOKUP(Tabulka2[[#This Row],[Pracovník]],DATA!A:L,11,0),"")</f>
        <v>Vlastní auto</v>
      </c>
      <c r="J942" s="16"/>
      <c r="K942" s="19"/>
    </row>
    <row r="943" spans="1:11" x14ac:dyDescent="0.25">
      <c r="A9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43" s="22">
        <v>45930</v>
      </c>
      <c r="C943" s="16" t="s">
        <v>28</v>
      </c>
      <c r="D943" s="16" t="s">
        <v>780</v>
      </c>
      <c r="E943" s="17">
        <f>IFERROR(VLOOKUP(Tabulka2[[#This Row],[Pracovník]],DATA!A:L,5,0),"")</f>
        <v>47</v>
      </c>
      <c r="F943" s="12" t="s">
        <v>655</v>
      </c>
      <c r="G943" s="16"/>
      <c r="H943" s="18"/>
      <c r="I943" s="27" t="str">
        <f>IFERROR(VLOOKUP(Tabulka2[[#This Row],[Pracovník]],DATA!A:L,11,0),"")</f>
        <v>DSC 1</v>
      </c>
      <c r="J943" s="16"/>
      <c r="K943" s="19"/>
    </row>
    <row r="944" spans="1:11" x14ac:dyDescent="0.25">
      <c r="A9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44" s="22">
        <v>45930</v>
      </c>
      <c r="C944" s="16" t="s">
        <v>28</v>
      </c>
      <c r="D944" s="16" t="s">
        <v>792</v>
      </c>
      <c r="E944" s="17">
        <f>IFERROR(VLOOKUP(Tabulka2[[#This Row],[Pracovník]],DATA!A:L,5,0),"")</f>
        <v>6332</v>
      </c>
      <c r="F944" s="12" t="s">
        <v>640</v>
      </c>
      <c r="G944" s="16"/>
      <c r="H944" s="18"/>
      <c r="I944" s="27" t="str">
        <f>IFERROR(VLOOKUP(Tabulka2[[#This Row],[Pracovník]],DATA!A:L,11,0),"")</f>
        <v>Vlastní auto</v>
      </c>
      <c r="J944" s="16"/>
      <c r="K944" s="19"/>
    </row>
    <row r="945" spans="1:11" x14ac:dyDescent="0.25">
      <c r="A9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45" s="22">
        <v>45930</v>
      </c>
      <c r="C945" s="16" t="s">
        <v>28</v>
      </c>
      <c r="D945" s="16" t="s">
        <v>793</v>
      </c>
      <c r="E945" s="17">
        <f>IFERROR(VLOOKUP(Tabulka2[[#This Row],[Pracovník]],DATA!A:L,5,0),"")</f>
        <v>4871</v>
      </c>
      <c r="F945" s="12" t="s">
        <v>640</v>
      </c>
      <c r="G945" s="16"/>
      <c r="H945" s="18"/>
      <c r="I945" s="27" t="str">
        <f>IFERROR(VLOOKUP(Tabulka2[[#This Row],[Pracovník]],DATA!A:L,11,0),"")</f>
        <v>Vlastní auto</v>
      </c>
      <c r="J945" s="16"/>
      <c r="K945" s="19"/>
    </row>
    <row r="946" spans="1:11" x14ac:dyDescent="0.25">
      <c r="A9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46" s="22">
        <v>45930</v>
      </c>
      <c r="C946" s="16" t="s">
        <v>28</v>
      </c>
      <c r="D946" s="16" t="s">
        <v>794</v>
      </c>
      <c r="E946" s="17">
        <f>IFERROR(VLOOKUP(Tabulka2[[#This Row],[Pracovník]],DATA!A:L,5,0),"")</f>
        <v>4755</v>
      </c>
      <c r="F946" s="12" t="s">
        <v>654</v>
      </c>
      <c r="G946" s="16"/>
      <c r="H946" s="18"/>
      <c r="I946" s="27" t="str">
        <f>IFERROR(VLOOKUP(Tabulka2[[#This Row],[Pracovník]],DATA!A:L,11,0),"")</f>
        <v>DSC 2</v>
      </c>
      <c r="J946" s="16"/>
      <c r="K946" s="19"/>
    </row>
    <row r="947" spans="1:11" x14ac:dyDescent="0.25">
      <c r="A9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47" s="22">
        <v>45930</v>
      </c>
      <c r="C947" s="16" t="s">
        <v>28</v>
      </c>
      <c r="D947" s="16" t="s">
        <v>781</v>
      </c>
      <c r="E947" s="17">
        <f>IFERROR(VLOOKUP(Tabulka2[[#This Row],[Pracovník]],DATA!A:L,5,0),"")</f>
        <v>49</v>
      </c>
      <c r="F947" s="12" t="s">
        <v>640</v>
      </c>
      <c r="G947" s="16"/>
      <c r="H947" s="18"/>
      <c r="I947" s="27" t="str">
        <f>IFERROR(VLOOKUP(Tabulka2[[#This Row],[Pracovník]],DATA!A:L,11,0),"")</f>
        <v>DSC 2</v>
      </c>
      <c r="J947" s="16"/>
      <c r="K947" s="19"/>
    </row>
    <row r="948" spans="1:11" x14ac:dyDescent="0.25">
      <c r="A9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48" s="22">
        <v>45930</v>
      </c>
      <c r="C948" s="16" t="s">
        <v>28</v>
      </c>
      <c r="D948" s="16" t="s">
        <v>782</v>
      </c>
      <c r="E948" s="17">
        <f>IFERROR(VLOOKUP(Tabulka2[[#This Row],[Pracovník]],DATA!A:L,5,0),"")</f>
        <v>5839</v>
      </c>
      <c r="F948" s="12" t="s">
        <v>640</v>
      </c>
      <c r="G948" s="16"/>
      <c r="H948" s="18"/>
      <c r="I948" s="27" t="str">
        <f>IFERROR(VLOOKUP(Tabulka2[[#This Row],[Pracovník]],DATA!A:L,11,0),"")</f>
        <v>DSC 1</v>
      </c>
      <c r="J948" s="16"/>
      <c r="K948" s="19"/>
    </row>
    <row r="949" spans="1:11" x14ac:dyDescent="0.25">
      <c r="A9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49" s="22">
        <v>45930</v>
      </c>
      <c r="C949" s="16" t="s">
        <v>28</v>
      </c>
      <c r="D949" s="16" t="s">
        <v>783</v>
      </c>
      <c r="E949" s="17">
        <f>IFERROR(VLOOKUP(Tabulka2[[#This Row],[Pracovník]],DATA!A:L,5,0),"")</f>
        <v>6487</v>
      </c>
      <c r="F949" s="12" t="s">
        <v>654</v>
      </c>
      <c r="G949" s="16"/>
      <c r="H949" s="18"/>
      <c r="I949" s="27" t="str">
        <f>IFERROR(VLOOKUP(Tabulka2[[#This Row],[Pracovník]],DATA!A:L,11,0),"")</f>
        <v>DSC 1</v>
      </c>
      <c r="J949" s="16"/>
      <c r="K949" s="19"/>
    </row>
    <row r="950" spans="1:11" x14ac:dyDescent="0.25">
      <c r="A9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50" s="22">
        <v>45930</v>
      </c>
      <c r="C950" s="16" t="s">
        <v>28</v>
      </c>
      <c r="D950" s="16" t="s">
        <v>784</v>
      </c>
      <c r="E950" s="17">
        <f>IFERROR(VLOOKUP(Tabulka2[[#This Row],[Pracovník]],DATA!A:L,5,0),"")</f>
        <v>6292</v>
      </c>
      <c r="F950" s="12" t="s">
        <v>640</v>
      </c>
      <c r="G950" s="16"/>
      <c r="H950" s="18"/>
      <c r="I950" s="27" t="str">
        <f>IFERROR(VLOOKUP(Tabulka2[[#This Row],[Pracovník]],DATA!A:L,11,0),"")</f>
        <v>Vlastní auto</v>
      </c>
      <c r="J950" s="16"/>
      <c r="K950" s="19"/>
    </row>
    <row r="951" spans="1:11" x14ac:dyDescent="0.25">
      <c r="A9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51" s="22">
        <v>45930</v>
      </c>
      <c r="C951" s="16" t="s">
        <v>28</v>
      </c>
      <c r="D951" s="16" t="s">
        <v>788</v>
      </c>
      <c r="E951" s="17">
        <f>IFERROR(VLOOKUP(Tabulka2[[#This Row],[Pracovník]],DATA!A:L,5,0),"")</f>
        <v>5198</v>
      </c>
      <c r="F951" s="12" t="s">
        <v>640</v>
      </c>
      <c r="G951" s="16"/>
      <c r="H951" s="18"/>
      <c r="I951" s="27" t="str">
        <f>IFERROR(VLOOKUP(Tabulka2[[#This Row],[Pracovník]],DATA!A:L,11,0),"")</f>
        <v>Vlastní auto</v>
      </c>
      <c r="J951" s="16"/>
      <c r="K951" s="19"/>
    </row>
    <row r="952" spans="1:11" x14ac:dyDescent="0.25">
      <c r="A9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52" s="22">
        <v>45930</v>
      </c>
      <c r="C952" s="16" t="s">
        <v>28</v>
      </c>
      <c r="D952" s="16" t="s">
        <v>789</v>
      </c>
      <c r="E952" s="17">
        <f>IFERROR(VLOOKUP(Tabulka2[[#This Row],[Pracovník]],DATA!A:L,5,0),"")</f>
        <v>6368</v>
      </c>
      <c r="F952" s="12" t="s">
        <v>640</v>
      </c>
      <c r="G952" s="16"/>
      <c r="H952" s="18"/>
      <c r="I952" s="27" t="str">
        <f>IFERROR(VLOOKUP(Tabulka2[[#This Row],[Pracovník]],DATA!A:L,11,0),"")</f>
        <v>Vlastní auto</v>
      </c>
      <c r="J952" s="16"/>
      <c r="K952" s="19"/>
    </row>
    <row r="953" spans="1:11" x14ac:dyDescent="0.25">
      <c r="A9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53" s="22">
        <v>45930</v>
      </c>
      <c r="C953" s="16" t="s">
        <v>28</v>
      </c>
      <c r="D953" s="16" t="s">
        <v>786</v>
      </c>
      <c r="E953" s="17">
        <f>IFERROR(VLOOKUP(Tabulka2[[#This Row],[Pracovník]],DATA!A:L,5,0),"")</f>
        <v>5595</v>
      </c>
      <c r="F953" s="12" t="s">
        <v>655</v>
      </c>
      <c r="G953" s="16"/>
      <c r="H953" s="18"/>
      <c r="I953" s="27" t="str">
        <f>IFERROR(VLOOKUP(Tabulka2[[#This Row],[Pracovník]],DATA!A:L,11,0),"")</f>
        <v>DSC 2</v>
      </c>
      <c r="J953" s="16"/>
      <c r="K953" s="19"/>
    </row>
    <row r="954" spans="1:11" x14ac:dyDescent="0.25">
      <c r="A9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54" s="22">
        <v>45930</v>
      </c>
      <c r="C954" s="16" t="s">
        <v>28</v>
      </c>
      <c r="D954" s="16" t="s">
        <v>795</v>
      </c>
      <c r="E954" s="17">
        <f>IFERROR(VLOOKUP(Tabulka2[[#This Row],[Pracovník]],DATA!A:L,5,0),"")</f>
        <v>4960</v>
      </c>
      <c r="F954" s="12" t="s">
        <v>640</v>
      </c>
      <c r="G954" s="16"/>
      <c r="H954" s="18"/>
      <c r="I954" s="27" t="str">
        <f>IFERROR(VLOOKUP(Tabulka2[[#This Row],[Pracovník]],DATA!A:L,11,0),"")</f>
        <v>DSC 1</v>
      </c>
      <c r="J954" s="16"/>
      <c r="K954" s="19"/>
    </row>
    <row r="955" spans="1:11" x14ac:dyDescent="0.25">
      <c r="A9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55" s="22">
        <v>45930</v>
      </c>
      <c r="C955" s="16" t="s">
        <v>28</v>
      </c>
      <c r="D955" s="16" t="s">
        <v>790</v>
      </c>
      <c r="E955" s="17">
        <f>IFERROR(VLOOKUP(Tabulka2[[#This Row],[Pracovník]],DATA!A:L,5,0),"")</f>
        <v>5125</v>
      </c>
      <c r="F955" s="12" t="s">
        <v>654</v>
      </c>
      <c r="G955" s="16"/>
      <c r="H955" s="18"/>
      <c r="I955" s="27" t="str">
        <f>IFERROR(VLOOKUP(Tabulka2[[#This Row],[Pracovník]],DATA!A:L,11,0),"")</f>
        <v>Vlastní auto</v>
      </c>
      <c r="J955" s="16"/>
      <c r="K955" s="19"/>
    </row>
    <row r="956" spans="1:11" x14ac:dyDescent="0.25">
      <c r="A9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56" s="22">
        <v>45930</v>
      </c>
      <c r="C956" s="16" t="s">
        <v>28</v>
      </c>
      <c r="D956" s="16" t="s">
        <v>791</v>
      </c>
      <c r="E956" s="17">
        <f>IFERROR(VLOOKUP(Tabulka2[[#This Row],[Pracovník]],DATA!A:L,5,0),"")</f>
        <v>6127</v>
      </c>
      <c r="F956" s="12" t="s">
        <v>654</v>
      </c>
      <c r="G956" s="16"/>
      <c r="H956" s="18"/>
      <c r="I956" s="27" t="str">
        <f>IFERROR(VLOOKUP(Tabulka2[[#This Row],[Pracovník]],DATA!A:L,11,0),"")</f>
        <v>DSC 2</v>
      </c>
      <c r="J956" s="16"/>
      <c r="K956" s="19"/>
    </row>
    <row r="957" spans="1:11" x14ac:dyDescent="0.25">
      <c r="A9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57" s="22">
        <v>45930</v>
      </c>
      <c r="C957" s="16" t="s">
        <v>28</v>
      </c>
      <c r="D957" s="16" t="s">
        <v>796</v>
      </c>
      <c r="E957" s="17">
        <f>IFERROR(VLOOKUP(Tabulka2[[#This Row],[Pracovník]],DATA!A:L,5,0),"")</f>
        <v>5583</v>
      </c>
      <c r="F957" s="12" t="s">
        <v>640</v>
      </c>
      <c r="G957" s="16"/>
      <c r="H957" s="18"/>
      <c r="I957" s="27" t="str">
        <f>IFERROR(VLOOKUP(Tabulka2[[#This Row],[Pracovník]],DATA!A:L,11,0),"")</f>
        <v>DSC 2</v>
      </c>
      <c r="J957" s="16"/>
      <c r="K957" s="19"/>
    </row>
    <row r="958" spans="1:11" x14ac:dyDescent="0.25">
      <c r="A9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58" s="22">
        <v>45930</v>
      </c>
      <c r="C958" s="16" t="s">
        <v>28</v>
      </c>
      <c r="D958" s="16" t="s">
        <v>644</v>
      </c>
      <c r="E958" s="17">
        <f>IFERROR(VLOOKUP(Tabulka2[[#This Row],[Pracovník]],DATA!A:L,5,0),"")</f>
        <v>123</v>
      </c>
      <c r="F958" s="12" t="s">
        <v>654</v>
      </c>
      <c r="G958" s="16"/>
      <c r="H958" s="18"/>
      <c r="I958" s="27" t="str">
        <f>IFERROR(VLOOKUP(Tabulka2[[#This Row],[Pracovník]],DATA!A:L,11,0),"")</f>
        <v>DSC 1</v>
      </c>
      <c r="J958" s="16"/>
      <c r="K958" s="19"/>
    </row>
    <row r="959" spans="1:11" x14ac:dyDescent="0.25">
      <c r="A9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59" s="22">
        <v>45930</v>
      </c>
      <c r="C959" s="16" t="s">
        <v>28</v>
      </c>
      <c r="D959" s="16" t="s">
        <v>797</v>
      </c>
      <c r="E959" s="17">
        <f>IFERROR(VLOOKUP(Tabulka2[[#This Row],[Pracovník]],DATA!A:L,5,0),"")</f>
        <v>5525</v>
      </c>
      <c r="F959" s="12" t="s">
        <v>654</v>
      </c>
      <c r="G959" s="16"/>
      <c r="H959" s="18"/>
      <c r="I959" s="27" t="str">
        <f>IFERROR(VLOOKUP(Tabulka2[[#This Row],[Pracovník]],DATA!A:L,11,0),"")</f>
        <v>Vlastní auto</v>
      </c>
      <c r="J959" s="16"/>
      <c r="K959" s="19"/>
    </row>
    <row r="960" spans="1:11" x14ac:dyDescent="0.25">
      <c r="A9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60" s="22">
        <v>45930</v>
      </c>
      <c r="C960" s="16" t="s">
        <v>28</v>
      </c>
      <c r="D960" s="16" t="s">
        <v>798</v>
      </c>
      <c r="E960" s="17">
        <f>IFERROR(VLOOKUP(Tabulka2[[#This Row],[Pracovník]],DATA!A:L,5,0),"")</f>
        <v>126</v>
      </c>
      <c r="F960" s="12" t="s">
        <v>655</v>
      </c>
      <c r="G960" s="16"/>
      <c r="H960" s="18"/>
      <c r="I960" s="27" t="str">
        <f>IFERROR(VLOOKUP(Tabulka2[[#This Row],[Pracovník]],DATA!A:L,11,0),"")</f>
        <v>Vlastní auto</v>
      </c>
      <c r="J960" s="16"/>
      <c r="K960" s="19"/>
    </row>
    <row r="961" spans="1:11" x14ac:dyDescent="0.25">
      <c r="A9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61" s="22">
        <v>45930</v>
      </c>
      <c r="C961" s="16" t="s">
        <v>28</v>
      </c>
      <c r="D961" s="16" t="s">
        <v>799</v>
      </c>
      <c r="E961" s="17">
        <f>IFERROR(VLOOKUP(Tabulka2[[#This Row],[Pracovník]],DATA!A:L,5,0),"")</f>
        <v>127</v>
      </c>
      <c r="F961" s="12" t="s">
        <v>655</v>
      </c>
      <c r="G961" s="16"/>
      <c r="H961" s="18"/>
      <c r="I961" s="27" t="str">
        <f>IFERROR(VLOOKUP(Tabulka2[[#This Row],[Pracovník]],DATA!A:L,11,0),"")</f>
        <v>DSC 2</v>
      </c>
      <c r="J961" s="16"/>
      <c r="K961" s="19"/>
    </row>
    <row r="962" spans="1:11" x14ac:dyDescent="0.25">
      <c r="A9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62" s="22">
        <v>45930</v>
      </c>
      <c r="C962" s="16" t="s">
        <v>28</v>
      </c>
      <c r="D962" s="16" t="s">
        <v>800</v>
      </c>
      <c r="E962" s="17">
        <f>IFERROR(VLOOKUP(Tabulka2[[#This Row],[Pracovník]],DATA!A:L,5,0),"")</f>
        <v>4847</v>
      </c>
      <c r="F962" s="12" t="s">
        <v>655</v>
      </c>
      <c r="G962" s="16"/>
      <c r="H962" s="18"/>
      <c r="I962" s="27" t="str">
        <f>IFERROR(VLOOKUP(Tabulka2[[#This Row],[Pracovník]],DATA!A:L,11,0),"")</f>
        <v>Vlastní auto</v>
      </c>
      <c r="J962" s="16"/>
      <c r="K962" s="19"/>
    </row>
    <row r="963" spans="1:11" x14ac:dyDescent="0.25">
      <c r="A9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63" s="22">
        <v>45930</v>
      </c>
      <c r="C963" s="16" t="s">
        <v>28</v>
      </c>
      <c r="D963" s="16" t="s">
        <v>801</v>
      </c>
      <c r="E963" s="17">
        <f>IFERROR(VLOOKUP(Tabulka2[[#This Row],[Pracovník]],DATA!A:L,5,0),"")</f>
        <v>750</v>
      </c>
      <c r="F963" s="12" t="s">
        <v>653</v>
      </c>
      <c r="G963" s="16" t="s">
        <v>658</v>
      </c>
      <c r="H963" s="18"/>
      <c r="I963" s="27" t="str">
        <f>IFERROR(VLOOKUP(Tabulka2[[#This Row],[Pracovník]],DATA!A:L,11,0),"")</f>
        <v>Vlastní auto</v>
      </c>
      <c r="J963" s="16"/>
      <c r="K963" s="19"/>
    </row>
    <row r="964" spans="1:11" x14ac:dyDescent="0.25">
      <c r="A9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64" s="22">
        <v>45930</v>
      </c>
      <c r="C964" s="16" t="s">
        <v>28</v>
      </c>
      <c r="D964" s="16" t="s">
        <v>802</v>
      </c>
      <c r="E964" s="17">
        <f>IFERROR(VLOOKUP(Tabulka2[[#This Row],[Pracovník]],DATA!A:L,5,0),"")</f>
        <v>4663</v>
      </c>
      <c r="F964" s="12" t="s">
        <v>654</v>
      </c>
      <c r="G964" s="16"/>
      <c r="H964" s="18"/>
      <c r="I964" s="27" t="str">
        <f>IFERROR(VLOOKUP(Tabulka2[[#This Row],[Pracovník]],DATA!A:L,11,0),"")</f>
        <v>DSC 2</v>
      </c>
      <c r="J964" s="16"/>
      <c r="K964" s="19"/>
    </row>
    <row r="965" spans="1:11" x14ac:dyDescent="0.25">
      <c r="A9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65" s="22">
        <v>45930</v>
      </c>
      <c r="C965" s="16" t="s">
        <v>28</v>
      </c>
      <c r="D965" s="16" t="s">
        <v>803</v>
      </c>
      <c r="E965" s="17">
        <f>IFERROR(VLOOKUP(Tabulka2[[#This Row],[Pracovník]],DATA!A:L,5,0),"")</f>
        <v>131</v>
      </c>
      <c r="F965" s="12" t="s">
        <v>655</v>
      </c>
      <c r="G965" s="16"/>
      <c r="H965" s="18"/>
      <c r="I965" s="27" t="str">
        <f>IFERROR(VLOOKUP(Tabulka2[[#This Row],[Pracovník]],DATA!A:L,11,0),"")</f>
        <v>DSC 2</v>
      </c>
      <c r="J965" s="16"/>
      <c r="K965" s="19"/>
    </row>
    <row r="966" spans="1:11" x14ac:dyDescent="0.25">
      <c r="A9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66" s="22">
        <v>45930</v>
      </c>
      <c r="C966" s="16" t="s">
        <v>28</v>
      </c>
      <c r="D966" s="16" t="s">
        <v>643</v>
      </c>
      <c r="E966" s="17">
        <f>IFERROR(VLOOKUP(Tabulka2[[#This Row],[Pracovník]],DATA!A:L,5,0),"")</f>
        <v>5620</v>
      </c>
      <c r="F966" s="12" t="s">
        <v>654</v>
      </c>
      <c r="G966" s="16"/>
      <c r="H966" s="18"/>
      <c r="I966" s="27" t="str">
        <f>IFERROR(VLOOKUP(Tabulka2[[#This Row],[Pracovník]],DATA!A:L,11,0),"")</f>
        <v>Vlastní auto</v>
      </c>
      <c r="J966" s="16"/>
      <c r="K966" s="19"/>
    </row>
    <row r="967" spans="1:11" x14ac:dyDescent="0.25">
      <c r="A9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67" s="22">
        <v>45930</v>
      </c>
      <c r="C967" s="16" t="s">
        <v>28</v>
      </c>
      <c r="D967" s="16" t="s">
        <v>804</v>
      </c>
      <c r="E967" s="17">
        <f>IFERROR(VLOOKUP(Tabulka2[[#This Row],[Pracovník]],DATA!A:L,5,0),"")</f>
        <v>4868</v>
      </c>
      <c r="F967" s="12" t="s">
        <v>655</v>
      </c>
      <c r="G967" s="16"/>
      <c r="H967" s="18"/>
      <c r="I967" s="27" t="str">
        <f>IFERROR(VLOOKUP(Tabulka2[[#This Row],[Pracovník]],DATA!A:L,11,0),"")</f>
        <v>Vlastní auto</v>
      </c>
      <c r="J967" s="16"/>
      <c r="K967" s="19"/>
    </row>
    <row r="968" spans="1:11" x14ac:dyDescent="0.25">
      <c r="A9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68" s="22">
        <v>45930</v>
      </c>
      <c r="C968" s="16" t="s">
        <v>28</v>
      </c>
      <c r="D968" s="16" t="s">
        <v>805</v>
      </c>
      <c r="E968" s="17">
        <f>IFERROR(VLOOKUP(Tabulka2[[#This Row],[Pracovník]],DATA!A:L,5,0),"")</f>
        <v>5026</v>
      </c>
      <c r="F968" s="12" t="s">
        <v>655</v>
      </c>
      <c r="G968" s="16"/>
      <c r="H968" s="18"/>
      <c r="I968" s="27" t="str">
        <f>IFERROR(VLOOKUP(Tabulka2[[#This Row],[Pracovník]],DATA!A:L,11,0),"")</f>
        <v>Vlastní auto</v>
      </c>
      <c r="J968" s="16"/>
      <c r="K968" s="19"/>
    </row>
    <row r="969" spans="1:11" x14ac:dyDescent="0.25">
      <c r="A9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69" s="22">
        <v>45930</v>
      </c>
      <c r="C969" s="16" t="s">
        <v>28</v>
      </c>
      <c r="D969" s="16" t="s">
        <v>806</v>
      </c>
      <c r="E969" s="17">
        <f>IFERROR(VLOOKUP(Tabulka2[[#This Row],[Pracovník]],DATA!A:L,5,0),"")</f>
        <v>6424</v>
      </c>
      <c r="F969" s="12" t="s">
        <v>640</v>
      </c>
      <c r="G969" s="16"/>
      <c r="H969" s="18"/>
      <c r="I969" s="27" t="str">
        <f>IFERROR(VLOOKUP(Tabulka2[[#This Row],[Pracovník]],DATA!A:L,11,0),"")</f>
        <v>DSC 1</v>
      </c>
      <c r="J969" s="16"/>
      <c r="K969" s="19"/>
    </row>
    <row r="970" spans="1:11" x14ac:dyDescent="0.25">
      <c r="A9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70" s="22">
        <v>45930</v>
      </c>
      <c r="C970" s="16" t="s">
        <v>28</v>
      </c>
      <c r="D970" s="16" t="s">
        <v>807</v>
      </c>
      <c r="E970" s="17">
        <f>IFERROR(VLOOKUP(Tabulka2[[#This Row],[Pracovník]],DATA!A:L,5,0),"")</f>
        <v>5004</v>
      </c>
      <c r="F970" s="12" t="s">
        <v>655</v>
      </c>
      <c r="G970" s="16"/>
      <c r="H970" s="18"/>
      <c r="I970" s="27" t="str">
        <f>IFERROR(VLOOKUP(Tabulka2[[#This Row],[Pracovník]],DATA!A:L,11,0),"")</f>
        <v>Vlastní auto</v>
      </c>
      <c r="J970" s="16"/>
      <c r="K970" s="19"/>
    </row>
    <row r="971" spans="1:11" x14ac:dyDescent="0.25">
      <c r="A9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71" s="22">
        <v>45930</v>
      </c>
      <c r="C971" s="16" t="s">
        <v>28</v>
      </c>
      <c r="D971" s="16" t="s">
        <v>808</v>
      </c>
      <c r="E971" s="17">
        <f>IFERROR(VLOOKUP(Tabulka2[[#This Row],[Pracovník]],DATA!A:L,5,0),"")</f>
        <v>136</v>
      </c>
      <c r="F971" s="12" t="s">
        <v>655</v>
      </c>
      <c r="G971" s="16"/>
      <c r="H971" s="18"/>
      <c r="I971" s="27" t="str">
        <f>IFERROR(VLOOKUP(Tabulka2[[#This Row],[Pracovník]],DATA!A:L,11,0),"")</f>
        <v>DSC 2</v>
      </c>
      <c r="J971" s="16"/>
      <c r="K971" s="19"/>
    </row>
    <row r="972" spans="1:11" x14ac:dyDescent="0.25">
      <c r="A9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72" s="22">
        <v>45930</v>
      </c>
      <c r="C972" s="16" t="s">
        <v>28</v>
      </c>
      <c r="D972" s="16" t="s">
        <v>809</v>
      </c>
      <c r="E972" s="17">
        <f>IFERROR(VLOOKUP(Tabulka2[[#This Row],[Pracovník]],DATA!A:L,5,0),"")</f>
        <v>19</v>
      </c>
      <c r="F972" s="12" t="s">
        <v>655</v>
      </c>
      <c r="G972" s="16"/>
      <c r="H972" s="18"/>
      <c r="I972" s="27" t="str">
        <f>IFERROR(VLOOKUP(Tabulka2[[#This Row],[Pracovník]],DATA!A:L,11,0),"")</f>
        <v>Vlastní auto</v>
      </c>
      <c r="J972" s="16"/>
      <c r="K972" s="19"/>
    </row>
    <row r="973" spans="1:11" x14ac:dyDescent="0.25">
      <c r="A9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73" s="22">
        <v>45930</v>
      </c>
      <c r="C973" s="16" t="s">
        <v>28</v>
      </c>
      <c r="D973" s="16" t="s">
        <v>810</v>
      </c>
      <c r="E973" s="17">
        <f>IFERROR(VLOOKUP(Tabulka2[[#This Row],[Pracovník]],DATA!A:L,5,0),"")</f>
        <v>4791</v>
      </c>
      <c r="F973" s="12" t="s">
        <v>655</v>
      </c>
      <c r="G973" s="16"/>
      <c r="H973" s="18"/>
      <c r="I973" s="27" t="str">
        <f>IFERROR(VLOOKUP(Tabulka2[[#This Row],[Pracovník]],DATA!A:L,11,0),"")</f>
        <v>Vlastní auto</v>
      </c>
      <c r="J973" s="16"/>
      <c r="K973" s="19"/>
    </row>
    <row r="974" spans="1:11" x14ac:dyDescent="0.25">
      <c r="A9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74" s="22">
        <v>45930</v>
      </c>
      <c r="C974" s="16" t="s">
        <v>28</v>
      </c>
      <c r="D974" s="16" t="s">
        <v>811</v>
      </c>
      <c r="E974" s="17">
        <f>IFERROR(VLOOKUP(Tabulka2[[#This Row],[Pracovník]],DATA!A:L,5,0),"")</f>
        <v>5121</v>
      </c>
      <c r="F974" s="12" t="s">
        <v>654</v>
      </c>
      <c r="G974" s="16"/>
      <c r="H974" s="18"/>
      <c r="I974" s="27" t="str">
        <f>IFERROR(VLOOKUP(Tabulka2[[#This Row],[Pracovník]],DATA!A:L,11,0),"")</f>
        <v>DSC 2</v>
      </c>
      <c r="J974" s="16"/>
      <c r="K974" s="19"/>
    </row>
    <row r="975" spans="1:11" x14ac:dyDescent="0.25">
      <c r="A9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75" s="22">
        <v>45930</v>
      </c>
      <c r="C975" s="16" t="s">
        <v>28</v>
      </c>
      <c r="D975" s="16" t="s">
        <v>996</v>
      </c>
      <c r="E975" s="17">
        <f>IFERROR(VLOOKUP(Tabulka2[[#This Row],[Pracovník]],DATA!A:L,5,0),"")</f>
        <v>4416</v>
      </c>
      <c r="F975" s="12" t="s">
        <v>653</v>
      </c>
      <c r="G975" s="16" t="s">
        <v>656</v>
      </c>
      <c r="H975" s="18"/>
      <c r="I975" s="27" t="str">
        <f>IFERROR(VLOOKUP(Tabulka2[[#This Row],[Pracovník]],DATA!A:L,11,0),"")</f>
        <v>DSC 2</v>
      </c>
      <c r="J975" s="16"/>
      <c r="K975" s="19" t="s">
        <v>1016</v>
      </c>
    </row>
    <row r="976" spans="1:11" x14ac:dyDescent="0.25">
      <c r="A9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76" s="22">
        <v>45930</v>
      </c>
      <c r="C976" s="16" t="s">
        <v>28</v>
      </c>
      <c r="D976" s="16" t="s">
        <v>825</v>
      </c>
      <c r="E976" s="17">
        <f>IFERROR(VLOOKUP(Tabulka2[[#This Row],[Pracovník]],DATA!A:L,5,0),"")</f>
        <v>6193</v>
      </c>
      <c r="F976" s="12" t="s">
        <v>654</v>
      </c>
      <c r="G976" s="16"/>
      <c r="H976" s="18"/>
      <c r="I976" s="27" t="str">
        <f>IFERROR(VLOOKUP(Tabulka2[[#This Row],[Pracovník]],DATA!A:L,11,0),"")</f>
        <v>DSC 2</v>
      </c>
      <c r="J976" s="16"/>
      <c r="K976" s="19"/>
    </row>
    <row r="977" spans="1:11" x14ac:dyDescent="0.25">
      <c r="A9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77" s="22">
        <v>45930</v>
      </c>
      <c r="C977" s="16" t="s">
        <v>28</v>
      </c>
      <c r="D977" s="16" t="s">
        <v>812</v>
      </c>
      <c r="E977" s="17">
        <f>IFERROR(VLOOKUP(Tabulka2[[#This Row],[Pracovník]],DATA!A:L,5,0),"")</f>
        <v>146</v>
      </c>
      <c r="F977" s="12" t="s">
        <v>653</v>
      </c>
      <c r="G977" s="16" t="s">
        <v>657</v>
      </c>
      <c r="H977" s="18"/>
      <c r="I977" s="27" t="str">
        <f>IFERROR(VLOOKUP(Tabulka2[[#This Row],[Pracovník]],DATA!A:L,11,0),"")</f>
        <v>DSC 2</v>
      </c>
      <c r="J977" s="16"/>
      <c r="K977" s="19"/>
    </row>
    <row r="978" spans="1:11" x14ac:dyDescent="0.25">
      <c r="A9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78" s="22">
        <v>45930</v>
      </c>
      <c r="C978" s="16" t="s">
        <v>28</v>
      </c>
      <c r="D978" s="16" t="s">
        <v>814</v>
      </c>
      <c r="E978" s="17">
        <f>IFERROR(VLOOKUP(Tabulka2[[#This Row],[Pracovník]],DATA!A:L,5,0),"")</f>
        <v>4745</v>
      </c>
      <c r="F978" s="12" t="s">
        <v>655</v>
      </c>
      <c r="G978" s="16"/>
      <c r="H978" s="18"/>
      <c r="I978" s="27" t="str">
        <f>IFERROR(VLOOKUP(Tabulka2[[#This Row],[Pracovník]],DATA!A:L,11,0),"")</f>
        <v>Vlastní auto</v>
      </c>
      <c r="J978" s="16"/>
      <c r="K978" s="19"/>
    </row>
    <row r="979" spans="1:11" x14ac:dyDescent="0.25">
      <c r="A9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79" s="22">
        <v>45930</v>
      </c>
      <c r="C979" s="16" t="s">
        <v>28</v>
      </c>
      <c r="D979" s="16" t="s">
        <v>997</v>
      </c>
      <c r="E979" s="17">
        <f>IFERROR(VLOOKUP(Tabulka2[[#This Row],[Pracovník]],DATA!A:L,5,0),"")</f>
        <v>5029</v>
      </c>
      <c r="F979" s="12" t="s">
        <v>654</v>
      </c>
      <c r="G979" s="16"/>
      <c r="H979" s="18"/>
      <c r="I979" s="27" t="str">
        <f>IFERROR(VLOOKUP(Tabulka2[[#This Row],[Pracovník]],DATA!A:L,11,0),"")</f>
        <v>Vlastní auto</v>
      </c>
      <c r="J979" s="16"/>
      <c r="K979" s="19" t="s">
        <v>1017</v>
      </c>
    </row>
    <row r="980" spans="1:11" x14ac:dyDescent="0.25">
      <c r="A9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80" s="22">
        <v>45930</v>
      </c>
      <c r="C980" s="16" t="s">
        <v>28</v>
      </c>
      <c r="D980" s="16" t="s">
        <v>816</v>
      </c>
      <c r="E980" s="17">
        <f>IFERROR(VLOOKUP(Tabulka2[[#This Row],[Pracovník]],DATA!A:L,5,0),"")</f>
        <v>5209</v>
      </c>
      <c r="F980" s="12" t="s">
        <v>654</v>
      </c>
      <c r="G980" s="16"/>
      <c r="H980" s="18"/>
      <c r="I980" s="27" t="str">
        <f>IFERROR(VLOOKUP(Tabulka2[[#This Row],[Pracovník]],DATA!A:L,11,0),"")</f>
        <v>Vlastní auto</v>
      </c>
      <c r="J980" s="16"/>
      <c r="K980" s="19"/>
    </row>
    <row r="981" spans="1:11" x14ac:dyDescent="0.25">
      <c r="A9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81" s="22">
        <v>45930</v>
      </c>
      <c r="C981" s="16" t="s">
        <v>28</v>
      </c>
      <c r="D981" s="16" t="s">
        <v>815</v>
      </c>
      <c r="E981" s="17">
        <f>IFERROR(VLOOKUP(Tabulka2[[#This Row],[Pracovník]],DATA!A:L,5,0),"")</f>
        <v>4790</v>
      </c>
      <c r="F981" s="12" t="s">
        <v>655</v>
      </c>
      <c r="G981" s="16"/>
      <c r="H981" s="18"/>
      <c r="I981" s="27" t="str">
        <f>IFERROR(VLOOKUP(Tabulka2[[#This Row],[Pracovník]],DATA!A:L,11,0),"")</f>
        <v>DSC 2</v>
      </c>
      <c r="J981" s="16"/>
      <c r="K981" s="19"/>
    </row>
    <row r="982" spans="1:11" x14ac:dyDescent="0.25">
      <c r="A9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82" s="22">
        <v>45930</v>
      </c>
      <c r="C982" s="16" t="s">
        <v>28</v>
      </c>
      <c r="D982" s="16" t="s">
        <v>817</v>
      </c>
      <c r="E982" s="17">
        <f>IFERROR(VLOOKUP(Tabulka2[[#This Row],[Pracovník]],DATA!A:L,5,0),"")</f>
        <v>4727</v>
      </c>
      <c r="F982" s="12" t="s">
        <v>640</v>
      </c>
      <c r="G982" s="16"/>
      <c r="H982" s="18"/>
      <c r="I982" s="27" t="str">
        <f>IFERROR(VLOOKUP(Tabulka2[[#This Row],[Pracovník]],DATA!A:L,11,0),"")</f>
        <v>DSC 1</v>
      </c>
      <c r="J982" s="16"/>
      <c r="K982" s="19"/>
    </row>
    <row r="983" spans="1:11" x14ac:dyDescent="0.25">
      <c r="A9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83" s="22">
        <v>45930</v>
      </c>
      <c r="C983" s="16" t="s">
        <v>28</v>
      </c>
      <c r="D983" s="16" t="s">
        <v>818</v>
      </c>
      <c r="E983" s="17">
        <f>IFERROR(VLOOKUP(Tabulka2[[#This Row],[Pracovník]],DATA!A:L,5,0),"")</f>
        <v>6488</v>
      </c>
      <c r="F983" s="12" t="s">
        <v>654</v>
      </c>
      <c r="G983" s="16"/>
      <c r="H983" s="18"/>
      <c r="I983" s="27" t="str">
        <f>IFERROR(VLOOKUP(Tabulka2[[#This Row],[Pracovník]],DATA!A:L,11,0),"")</f>
        <v>DSC 2</v>
      </c>
      <c r="J983" s="16"/>
      <c r="K983" s="19"/>
    </row>
    <row r="984" spans="1:11" x14ac:dyDescent="0.25">
      <c r="A9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84" s="22">
        <v>45930</v>
      </c>
      <c r="C984" s="16" t="s">
        <v>28</v>
      </c>
      <c r="D984" s="16" t="s">
        <v>820</v>
      </c>
      <c r="E984" s="17">
        <f>IFERROR(VLOOKUP(Tabulka2[[#This Row],[Pracovník]],DATA!A:L,5,0),"")</f>
        <v>5604</v>
      </c>
      <c r="F984" s="12" t="s">
        <v>654</v>
      </c>
      <c r="G984" s="16"/>
      <c r="H984" s="18"/>
      <c r="I984" s="27" t="str">
        <f>IFERROR(VLOOKUP(Tabulka2[[#This Row],[Pracovník]],DATA!A:L,11,0),"")</f>
        <v>Vlastní auto</v>
      </c>
      <c r="J984" s="16"/>
      <c r="K984" s="19"/>
    </row>
    <row r="985" spans="1:11" x14ac:dyDescent="0.25">
      <c r="A9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85" s="22">
        <v>45930</v>
      </c>
      <c r="C985" s="16" t="s">
        <v>28</v>
      </c>
      <c r="D985" s="16" t="s">
        <v>821</v>
      </c>
      <c r="E985" s="17">
        <f>IFERROR(VLOOKUP(Tabulka2[[#This Row],[Pracovník]],DATA!A:L,5,0),"")</f>
        <v>5632</v>
      </c>
      <c r="F985" s="12" t="s">
        <v>654</v>
      </c>
      <c r="G985" s="16"/>
      <c r="H985" s="18"/>
      <c r="I985" s="27" t="str">
        <f>IFERROR(VLOOKUP(Tabulka2[[#This Row],[Pracovník]],DATA!A:L,11,0),"")</f>
        <v>DSC 1</v>
      </c>
      <c r="J985" s="16"/>
      <c r="K985" s="19"/>
    </row>
    <row r="986" spans="1:11" x14ac:dyDescent="0.25">
      <c r="A9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86" s="22">
        <v>45930</v>
      </c>
      <c r="C986" s="16" t="s">
        <v>28</v>
      </c>
      <c r="D986" s="16" t="s">
        <v>822</v>
      </c>
      <c r="E986" s="17">
        <f>IFERROR(VLOOKUP(Tabulka2[[#This Row],[Pracovník]],DATA!A:L,5,0),"")</f>
        <v>5980</v>
      </c>
      <c r="F986" s="12" t="s">
        <v>655</v>
      </c>
      <c r="G986" s="16"/>
      <c r="H986" s="18"/>
      <c r="I986" s="27" t="str">
        <f>IFERROR(VLOOKUP(Tabulka2[[#This Row],[Pracovník]],DATA!A:L,11,0),"")</f>
        <v>DSC 2</v>
      </c>
      <c r="J986" s="16"/>
      <c r="K986" s="19"/>
    </row>
    <row r="987" spans="1:11" x14ac:dyDescent="0.25">
      <c r="A9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87" s="22">
        <v>45930</v>
      </c>
      <c r="C987" s="16" t="s">
        <v>28</v>
      </c>
      <c r="D987" s="16" t="s">
        <v>823</v>
      </c>
      <c r="E987" s="17">
        <f>IFERROR(VLOOKUP(Tabulka2[[#This Row],[Pracovník]],DATA!A:L,5,0),"")</f>
        <v>5481</v>
      </c>
      <c r="F987" s="12" t="s">
        <v>655</v>
      </c>
      <c r="G987" s="16"/>
      <c r="H987" s="18"/>
      <c r="I987" s="27" t="str">
        <f>IFERROR(VLOOKUP(Tabulka2[[#This Row],[Pracovník]],DATA!A:L,11,0),"")</f>
        <v>DSC 2</v>
      </c>
      <c r="J987" s="16"/>
      <c r="K987" s="19"/>
    </row>
    <row r="988" spans="1:11" x14ac:dyDescent="0.25">
      <c r="A9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88" s="22">
        <v>45930</v>
      </c>
      <c r="C988" s="16" t="s">
        <v>28</v>
      </c>
      <c r="D988" s="16" t="s">
        <v>824</v>
      </c>
      <c r="E988" s="17">
        <f>IFERROR(VLOOKUP(Tabulka2[[#This Row],[Pracovník]],DATA!A:L,5,0),"")</f>
        <v>150</v>
      </c>
      <c r="F988" s="12" t="s">
        <v>653</v>
      </c>
      <c r="G988" s="16" t="s">
        <v>657</v>
      </c>
      <c r="H988" s="18"/>
      <c r="I988" s="27" t="str">
        <f>IFERROR(VLOOKUP(Tabulka2[[#This Row],[Pracovník]],DATA!A:L,11,0),"")</f>
        <v>DSC 1</v>
      </c>
      <c r="J988" s="16"/>
      <c r="K988" s="19"/>
    </row>
    <row r="989" spans="1:11" x14ac:dyDescent="0.25">
      <c r="A9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89" s="22">
        <v>45930</v>
      </c>
      <c r="C989" s="16" t="s">
        <v>28</v>
      </c>
      <c r="D989" s="16" t="s">
        <v>826</v>
      </c>
      <c r="E989" s="17">
        <f>IFERROR(VLOOKUP(Tabulka2[[#This Row],[Pracovník]],DATA!A:L,5,0),"")</f>
        <v>5120</v>
      </c>
      <c r="F989" s="12" t="s">
        <v>654</v>
      </c>
      <c r="G989" s="16"/>
      <c r="H989" s="18"/>
      <c r="I989" s="27" t="str">
        <f>IFERROR(VLOOKUP(Tabulka2[[#This Row],[Pracovník]],DATA!A:L,11,0),"")</f>
        <v>Vlastní auto</v>
      </c>
      <c r="J989" s="16"/>
      <c r="K989" s="19"/>
    </row>
    <row r="990" spans="1:11" x14ac:dyDescent="0.25">
      <c r="A9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90" s="22">
        <v>45930</v>
      </c>
      <c r="C990" s="16" t="s">
        <v>28</v>
      </c>
      <c r="D990" s="16" t="s">
        <v>827</v>
      </c>
      <c r="E990" s="17">
        <f>IFERROR(VLOOKUP(Tabulka2[[#This Row],[Pracovník]],DATA!A:L,5,0),"")</f>
        <v>4713</v>
      </c>
      <c r="F990" s="12" t="s">
        <v>655</v>
      </c>
      <c r="G990" s="16"/>
      <c r="H990" s="18"/>
      <c r="I990" s="27" t="str">
        <f>IFERROR(VLOOKUP(Tabulka2[[#This Row],[Pracovník]],DATA!A:L,11,0),"")</f>
        <v>DSC 1</v>
      </c>
      <c r="J990" s="16"/>
      <c r="K990" s="19"/>
    </row>
    <row r="991" spans="1:11" x14ac:dyDescent="0.25">
      <c r="A9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91" s="22">
        <v>45930</v>
      </c>
      <c r="C991" s="16" t="s">
        <v>28</v>
      </c>
      <c r="D991" s="16" t="s">
        <v>828</v>
      </c>
      <c r="E991" s="17">
        <f>IFERROR(VLOOKUP(Tabulka2[[#This Row],[Pracovník]],DATA!A:L,5,0),"")</f>
        <v>6318</v>
      </c>
      <c r="F991" s="12" t="s">
        <v>654</v>
      </c>
      <c r="G991" s="16"/>
      <c r="H991" s="18"/>
      <c r="I991" s="27" t="str">
        <f>IFERROR(VLOOKUP(Tabulka2[[#This Row],[Pracovník]],DATA!A:L,11,0),"")</f>
        <v>DSC 1</v>
      </c>
      <c r="J991" s="16"/>
      <c r="K991" s="19"/>
    </row>
    <row r="992" spans="1:11" x14ac:dyDescent="0.25">
      <c r="A9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92" s="22">
        <v>45930</v>
      </c>
      <c r="C992" s="16" t="s">
        <v>28</v>
      </c>
      <c r="D992" s="16" t="s">
        <v>829</v>
      </c>
      <c r="E992" s="17">
        <f>IFERROR(VLOOKUP(Tabulka2[[#This Row],[Pracovník]],DATA!A:L,5,0),"")</f>
        <v>5712</v>
      </c>
      <c r="F992" s="12" t="s">
        <v>654</v>
      </c>
      <c r="G992" s="16"/>
      <c r="H992" s="18"/>
      <c r="I992" s="27" t="str">
        <f>IFERROR(VLOOKUP(Tabulka2[[#This Row],[Pracovník]],DATA!A:L,11,0),"")</f>
        <v>Vlastní auto</v>
      </c>
      <c r="J992" s="16"/>
      <c r="K992" s="19"/>
    </row>
    <row r="993" spans="1:11" x14ac:dyDescent="0.25">
      <c r="A9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93" s="22">
        <v>45930</v>
      </c>
      <c r="C993" s="16" t="s">
        <v>28</v>
      </c>
      <c r="D993" s="16" t="s">
        <v>830</v>
      </c>
      <c r="E993" s="17">
        <f>IFERROR(VLOOKUP(Tabulka2[[#This Row],[Pracovník]],DATA!A:L,5,0),"")</f>
        <v>4744</v>
      </c>
      <c r="F993" s="12" t="s">
        <v>640</v>
      </c>
      <c r="G993" s="16" t="s">
        <v>916</v>
      </c>
      <c r="H993" s="18"/>
      <c r="I993" s="27" t="str">
        <f>IFERROR(VLOOKUP(Tabulka2[[#This Row],[Pracovník]],DATA!A:L,11,0),"")</f>
        <v>DSC 2</v>
      </c>
      <c r="J993" s="16"/>
      <c r="K993" s="19"/>
    </row>
    <row r="994" spans="1:11" x14ac:dyDescent="0.25">
      <c r="A9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94" s="22">
        <v>45930</v>
      </c>
      <c r="C994" s="16" t="s">
        <v>28</v>
      </c>
      <c r="D994" s="16" t="s">
        <v>998</v>
      </c>
      <c r="E994" s="17">
        <f>IFERROR(VLOOKUP(Tabulka2[[#This Row],[Pracovník]],DATA!A:L,5,0),"")</f>
        <v>4555</v>
      </c>
      <c r="F994" s="12" t="s">
        <v>654</v>
      </c>
      <c r="G994" s="16"/>
      <c r="H994" s="18"/>
      <c r="I994" s="27" t="str">
        <f>IFERROR(VLOOKUP(Tabulka2[[#This Row],[Pracovník]],DATA!A:L,11,0),"")</f>
        <v>Vlastní auto</v>
      </c>
      <c r="J994" s="16"/>
      <c r="K994" s="19" t="s">
        <v>1017</v>
      </c>
    </row>
    <row r="995" spans="1:11" x14ac:dyDescent="0.25">
      <c r="A9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95" s="22">
        <v>45930</v>
      </c>
      <c r="C995" s="16" t="s">
        <v>28</v>
      </c>
      <c r="D995" s="16" t="s">
        <v>831</v>
      </c>
      <c r="E995" s="17">
        <f>IFERROR(VLOOKUP(Tabulka2[[#This Row],[Pracovník]],DATA!A:L,5,0),"")</f>
        <v>155</v>
      </c>
      <c r="F995" s="12" t="s">
        <v>640</v>
      </c>
      <c r="G995" s="16"/>
      <c r="H995" s="18"/>
      <c r="I995" s="27" t="str">
        <f>IFERROR(VLOOKUP(Tabulka2[[#This Row],[Pracovník]],DATA!A:L,11,0),"")</f>
        <v>DSC 1</v>
      </c>
      <c r="J995" s="16"/>
      <c r="K995" s="19"/>
    </row>
    <row r="996" spans="1:11" x14ac:dyDescent="0.25">
      <c r="A9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96" s="22">
        <v>45930</v>
      </c>
      <c r="C996" s="16" t="s">
        <v>28</v>
      </c>
      <c r="D996" s="16" t="s">
        <v>833</v>
      </c>
      <c r="E996" s="17">
        <f>IFERROR(VLOOKUP(Tabulka2[[#This Row],[Pracovník]],DATA!A:L,5,0),"")</f>
        <v>6178</v>
      </c>
      <c r="F996" s="12" t="s">
        <v>654</v>
      </c>
      <c r="G996" s="16"/>
      <c r="H996" s="18"/>
      <c r="I996" s="27" t="str">
        <f>IFERROR(VLOOKUP(Tabulka2[[#This Row],[Pracovník]],DATA!A:L,11,0),"")</f>
        <v>DSC 2</v>
      </c>
      <c r="J996" s="16"/>
      <c r="K996" s="19"/>
    </row>
    <row r="997" spans="1:11" x14ac:dyDescent="0.25">
      <c r="A9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97" s="22">
        <v>45930</v>
      </c>
      <c r="C997" s="16" t="s">
        <v>28</v>
      </c>
      <c r="D997" s="16" t="s">
        <v>834</v>
      </c>
      <c r="E997" s="17">
        <f>IFERROR(VLOOKUP(Tabulka2[[#This Row],[Pracovník]],DATA!A:L,5,0),"")</f>
        <v>6345</v>
      </c>
      <c r="F997" s="12" t="s">
        <v>653</v>
      </c>
      <c r="G997" s="16" t="s">
        <v>656</v>
      </c>
      <c r="H997" s="18"/>
      <c r="I997" s="27" t="str">
        <f>IFERROR(VLOOKUP(Tabulka2[[#This Row],[Pracovník]],DATA!A:L,11,0),"")</f>
        <v>DSC 1</v>
      </c>
      <c r="J997" s="16"/>
      <c r="K997" s="19"/>
    </row>
    <row r="998" spans="1:11" x14ac:dyDescent="0.25">
      <c r="A9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98" s="22">
        <v>45930</v>
      </c>
      <c r="C998" s="16" t="s">
        <v>28</v>
      </c>
      <c r="D998" s="16" t="s">
        <v>835</v>
      </c>
      <c r="E998" s="17">
        <f>IFERROR(VLOOKUP(Tabulka2[[#This Row],[Pracovník]],DATA!A:L,5,0),"")</f>
        <v>5601</v>
      </c>
      <c r="F998" s="12" t="s">
        <v>640</v>
      </c>
      <c r="G998" s="16"/>
      <c r="H998" s="18"/>
      <c r="I998" s="27" t="str">
        <f>IFERROR(VLOOKUP(Tabulka2[[#This Row],[Pracovník]],DATA!A:L,11,0),"")</f>
        <v>DSC 2</v>
      </c>
      <c r="J998" s="16"/>
      <c r="K998" s="19"/>
    </row>
    <row r="999" spans="1:11" x14ac:dyDescent="0.25">
      <c r="A9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999" s="22">
        <v>45930</v>
      </c>
      <c r="C999" s="16" t="s">
        <v>28</v>
      </c>
      <c r="D999" s="16" t="s">
        <v>836</v>
      </c>
      <c r="E999" s="17">
        <f>IFERROR(VLOOKUP(Tabulka2[[#This Row],[Pracovník]],DATA!A:L,5,0),"")</f>
        <v>5152</v>
      </c>
      <c r="F999" s="12" t="s">
        <v>654</v>
      </c>
      <c r="G999" s="16"/>
      <c r="H999" s="18"/>
      <c r="I999" s="27" t="str">
        <f>IFERROR(VLOOKUP(Tabulka2[[#This Row],[Pracovník]],DATA!A:L,11,0),"")</f>
        <v>Vlastní auto</v>
      </c>
      <c r="J999" s="16"/>
      <c r="K999" s="19"/>
    </row>
    <row r="1000" spans="1:11" x14ac:dyDescent="0.25">
      <c r="A10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00" s="22">
        <v>45930</v>
      </c>
      <c r="C1000" s="16" t="s">
        <v>28</v>
      </c>
      <c r="D1000" s="16" t="s">
        <v>837</v>
      </c>
      <c r="E1000" s="17">
        <f>IFERROR(VLOOKUP(Tabulka2[[#This Row],[Pracovník]],DATA!A:L,5,0),"")</f>
        <v>176</v>
      </c>
      <c r="F1000" s="12" t="s">
        <v>640</v>
      </c>
      <c r="G1000" s="16"/>
      <c r="H1000" s="18"/>
      <c r="I1000" s="27" t="str">
        <f>IFERROR(VLOOKUP(Tabulka2[[#This Row],[Pracovník]],DATA!A:L,11,0),"")</f>
        <v>Vlastní auto</v>
      </c>
      <c r="J1000" s="16"/>
      <c r="K1000" s="19"/>
    </row>
    <row r="1001" spans="1:11" x14ac:dyDescent="0.25">
      <c r="A10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01" s="22">
        <v>45930</v>
      </c>
      <c r="C1001" s="16" t="s">
        <v>28</v>
      </c>
      <c r="D1001" s="16" t="s">
        <v>839</v>
      </c>
      <c r="E1001" s="17">
        <f>IFERROR(VLOOKUP(Tabulka2[[#This Row],[Pracovník]],DATA!A:L,5,0),"")</f>
        <v>177</v>
      </c>
      <c r="F1001" s="12" t="s">
        <v>655</v>
      </c>
      <c r="G1001" s="16"/>
      <c r="H1001" s="18"/>
      <c r="I1001" s="27" t="str">
        <f>IFERROR(VLOOKUP(Tabulka2[[#This Row],[Pracovník]],DATA!A:L,11,0),"")</f>
        <v>DSC 2</v>
      </c>
      <c r="J1001" s="16"/>
      <c r="K1001" s="19"/>
    </row>
    <row r="1002" spans="1:11" x14ac:dyDescent="0.25">
      <c r="A10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02" s="22">
        <v>45930</v>
      </c>
      <c r="C1002" s="16" t="s">
        <v>28</v>
      </c>
      <c r="D1002" s="16" t="s">
        <v>840</v>
      </c>
      <c r="E1002" s="17">
        <f>IFERROR(VLOOKUP(Tabulka2[[#This Row],[Pracovník]],DATA!A:L,5,0),"")</f>
        <v>5555</v>
      </c>
      <c r="F1002" s="12" t="s">
        <v>655</v>
      </c>
      <c r="G1002" s="16"/>
      <c r="H1002" s="18"/>
      <c r="I1002" s="27" t="str">
        <f>IFERROR(VLOOKUP(Tabulka2[[#This Row],[Pracovník]],DATA!A:L,11,0),"")</f>
        <v>Vlastní auto</v>
      </c>
      <c r="J1002" s="16"/>
      <c r="K1002" s="19"/>
    </row>
    <row r="1003" spans="1:11" x14ac:dyDescent="0.25">
      <c r="A10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03" s="22">
        <v>45930</v>
      </c>
      <c r="C1003" s="16" t="s">
        <v>28</v>
      </c>
      <c r="D1003" s="16" t="s">
        <v>841</v>
      </c>
      <c r="E1003" s="17">
        <f>IFERROR(VLOOKUP(Tabulka2[[#This Row],[Pracovník]],DATA!A:L,5,0),"")</f>
        <v>4959</v>
      </c>
      <c r="F1003" s="12" t="s">
        <v>655</v>
      </c>
      <c r="G1003" s="16"/>
      <c r="H1003" s="18"/>
      <c r="I1003" s="27" t="str">
        <f>IFERROR(VLOOKUP(Tabulka2[[#This Row],[Pracovník]],DATA!A:L,11,0),"")</f>
        <v>Vlastní auto</v>
      </c>
      <c r="J1003" s="16"/>
      <c r="K1003" s="19"/>
    </row>
    <row r="1004" spans="1:11" x14ac:dyDescent="0.25">
      <c r="A10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04" s="22">
        <v>45930</v>
      </c>
      <c r="C1004" s="16" t="s">
        <v>28</v>
      </c>
      <c r="D1004" s="16" t="s">
        <v>843</v>
      </c>
      <c r="E1004" s="17">
        <f>IFERROR(VLOOKUP(Tabulka2[[#This Row],[Pracovník]],DATA!A:L,5,0),"")</f>
        <v>4919</v>
      </c>
      <c r="F1004" s="12" t="s">
        <v>654</v>
      </c>
      <c r="G1004" s="16"/>
      <c r="H1004" s="18"/>
      <c r="I1004" s="27" t="str">
        <f>IFERROR(VLOOKUP(Tabulka2[[#This Row],[Pracovník]],DATA!A:L,11,0),"")</f>
        <v>Vlastní auto</v>
      </c>
      <c r="J1004" s="16"/>
      <c r="K1004" s="19"/>
    </row>
    <row r="1005" spans="1:11" x14ac:dyDescent="0.25">
      <c r="A10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05" s="22">
        <v>45930</v>
      </c>
      <c r="C1005" s="16" t="s">
        <v>28</v>
      </c>
      <c r="D1005" s="16" t="s">
        <v>842</v>
      </c>
      <c r="E1005" s="17">
        <f>IFERROR(VLOOKUP(Tabulka2[[#This Row],[Pracovník]],DATA!A:L,5,0),"")</f>
        <v>4724</v>
      </c>
      <c r="F1005" s="12" t="s">
        <v>654</v>
      </c>
      <c r="G1005" s="16"/>
      <c r="H1005" s="18"/>
      <c r="I1005" s="27" t="str">
        <f>IFERROR(VLOOKUP(Tabulka2[[#This Row],[Pracovník]],DATA!A:L,11,0),"")</f>
        <v>Vlastní auto</v>
      </c>
      <c r="J1005" s="16"/>
      <c r="K1005" s="19"/>
    </row>
    <row r="1006" spans="1:11" x14ac:dyDescent="0.25">
      <c r="A10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06" s="22">
        <v>45930</v>
      </c>
      <c r="C1006" s="16" t="s">
        <v>28</v>
      </c>
      <c r="D1006" s="16" t="s">
        <v>844</v>
      </c>
      <c r="E1006" s="17">
        <f>IFERROR(VLOOKUP(Tabulka2[[#This Row],[Pracovník]],DATA!A:L,5,0),"")</f>
        <v>183</v>
      </c>
      <c r="F1006" s="12" t="s">
        <v>640</v>
      </c>
      <c r="G1006" s="16" t="s">
        <v>916</v>
      </c>
      <c r="H1006" s="18"/>
      <c r="I1006" s="27" t="str">
        <f>IFERROR(VLOOKUP(Tabulka2[[#This Row],[Pracovník]],DATA!A:L,11,0),"")</f>
        <v>DSC 1</v>
      </c>
      <c r="J1006" s="16"/>
      <c r="K1006" s="19"/>
    </row>
    <row r="1007" spans="1:11" x14ac:dyDescent="0.25">
      <c r="A10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07" s="22">
        <v>45930</v>
      </c>
      <c r="C1007" s="16" t="s">
        <v>28</v>
      </c>
      <c r="D1007" s="16" t="s">
        <v>845</v>
      </c>
      <c r="E1007" s="17">
        <f>IFERROR(VLOOKUP(Tabulka2[[#This Row],[Pracovník]],DATA!A:L,5,0),"")</f>
        <v>5545</v>
      </c>
      <c r="F1007" s="12" t="s">
        <v>653</v>
      </c>
      <c r="G1007" s="16" t="s">
        <v>925</v>
      </c>
      <c r="H1007" s="18"/>
      <c r="I1007" s="27" t="str">
        <f>IFERROR(VLOOKUP(Tabulka2[[#This Row],[Pracovník]],DATA!A:L,11,0),"")</f>
        <v>Vlastní auto</v>
      </c>
      <c r="J1007" s="16"/>
      <c r="K1007" s="19" t="s">
        <v>1010</v>
      </c>
    </row>
    <row r="1008" spans="1:11" x14ac:dyDescent="0.25">
      <c r="A10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08" s="22">
        <v>45930</v>
      </c>
      <c r="C1008" s="16" t="s">
        <v>28</v>
      </c>
      <c r="D1008" s="16" t="s">
        <v>846</v>
      </c>
      <c r="E1008" s="17">
        <f>IFERROR(VLOOKUP(Tabulka2[[#This Row],[Pracovník]],DATA!A:L,5,0),"")</f>
        <v>5526</v>
      </c>
      <c r="F1008" s="12" t="s">
        <v>654</v>
      </c>
      <c r="G1008" s="16"/>
      <c r="H1008" s="18"/>
      <c r="I1008" s="27" t="str">
        <f>IFERROR(VLOOKUP(Tabulka2[[#This Row],[Pracovník]],DATA!A:L,11,0),"")</f>
        <v>Vlastní auto</v>
      </c>
      <c r="J1008" s="16"/>
      <c r="K1008" s="19"/>
    </row>
    <row r="1009" spans="1:11" x14ac:dyDescent="0.25">
      <c r="A10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09" s="22">
        <v>45930</v>
      </c>
      <c r="C1009" s="16" t="s">
        <v>28</v>
      </c>
      <c r="D1009" s="16" t="s">
        <v>847</v>
      </c>
      <c r="E1009" s="17">
        <f>IFERROR(VLOOKUP(Tabulka2[[#This Row],[Pracovník]],DATA!A:L,5,0),"")</f>
        <v>5192</v>
      </c>
      <c r="F1009" s="12" t="s">
        <v>654</v>
      </c>
      <c r="G1009" s="16"/>
      <c r="H1009" s="18"/>
      <c r="I1009" s="27" t="str">
        <f>IFERROR(VLOOKUP(Tabulka2[[#This Row],[Pracovník]],DATA!A:L,11,0),"")</f>
        <v>Vlastní auto</v>
      </c>
      <c r="J1009" s="16"/>
      <c r="K1009" s="19"/>
    </row>
    <row r="1010" spans="1:11" x14ac:dyDescent="0.25">
      <c r="A10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10" s="22">
        <v>45930</v>
      </c>
      <c r="C1010" s="16" t="s">
        <v>28</v>
      </c>
      <c r="D1010" s="16" t="s">
        <v>848</v>
      </c>
      <c r="E1010" s="17">
        <f>IFERROR(VLOOKUP(Tabulka2[[#This Row],[Pracovník]],DATA!A:L,5,0),"")</f>
        <v>4698</v>
      </c>
      <c r="F1010" s="12" t="s">
        <v>654</v>
      </c>
      <c r="G1010" s="16"/>
      <c r="H1010" s="18"/>
      <c r="I1010" s="27" t="str">
        <f>IFERROR(VLOOKUP(Tabulka2[[#This Row],[Pracovník]],DATA!A:L,11,0),"")</f>
        <v>Vlastní auto</v>
      </c>
      <c r="J1010" s="16"/>
      <c r="K1010" s="19"/>
    </row>
    <row r="1011" spans="1:11" x14ac:dyDescent="0.25">
      <c r="A10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11" s="22">
        <v>45930</v>
      </c>
      <c r="C1011" s="16" t="s">
        <v>28</v>
      </c>
      <c r="D1011" s="16" t="s">
        <v>849</v>
      </c>
      <c r="E1011" s="17">
        <f>IFERROR(VLOOKUP(Tabulka2[[#This Row],[Pracovník]],DATA!A:L,5,0),"")</f>
        <v>4611</v>
      </c>
      <c r="F1011" s="12" t="s">
        <v>655</v>
      </c>
      <c r="G1011" s="16"/>
      <c r="H1011" s="18"/>
      <c r="I1011" s="27" t="str">
        <f>IFERROR(VLOOKUP(Tabulka2[[#This Row],[Pracovník]],DATA!A:L,11,0),"")</f>
        <v>DSC 1</v>
      </c>
      <c r="J1011" s="16"/>
      <c r="K1011" s="19"/>
    </row>
    <row r="1012" spans="1:11" x14ac:dyDescent="0.25">
      <c r="A10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12" s="22">
        <v>45930</v>
      </c>
      <c r="C1012" s="16" t="s">
        <v>28</v>
      </c>
      <c r="D1012" s="16" t="s">
        <v>850</v>
      </c>
      <c r="E1012" s="17">
        <f>IFERROR(VLOOKUP(Tabulka2[[#This Row],[Pracovník]],DATA!A:L,5,0),"")</f>
        <v>5069</v>
      </c>
      <c r="F1012" s="12" t="s">
        <v>655</v>
      </c>
      <c r="G1012" s="16"/>
      <c r="H1012" s="18"/>
      <c r="I1012" s="27" t="str">
        <f>IFERROR(VLOOKUP(Tabulka2[[#This Row],[Pracovník]],DATA!A:L,11,0),"")</f>
        <v>Vlastní auto</v>
      </c>
      <c r="J1012" s="16"/>
      <c r="K1012" s="19"/>
    </row>
    <row r="1013" spans="1:11" x14ac:dyDescent="0.25">
      <c r="A10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13" s="22">
        <v>45930</v>
      </c>
      <c r="C1013" s="16" t="s">
        <v>28</v>
      </c>
      <c r="D1013" s="16" t="s">
        <v>851</v>
      </c>
      <c r="E1013" s="17">
        <f>IFERROR(VLOOKUP(Tabulka2[[#This Row],[Pracovník]],DATA!A:L,5,0),"")</f>
        <v>185</v>
      </c>
      <c r="F1013" s="12" t="s">
        <v>640</v>
      </c>
      <c r="G1013" s="16"/>
      <c r="H1013" s="18"/>
      <c r="I1013" s="27" t="str">
        <f>IFERROR(VLOOKUP(Tabulka2[[#This Row],[Pracovník]],DATA!A:L,11,0),"")</f>
        <v>DSC 1</v>
      </c>
      <c r="J1013" s="16"/>
      <c r="K1013" s="19"/>
    </row>
    <row r="1014" spans="1:11" x14ac:dyDescent="0.25">
      <c r="A10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14" s="22">
        <v>45930</v>
      </c>
      <c r="C1014" s="16" t="s">
        <v>28</v>
      </c>
      <c r="D1014" s="16" t="s">
        <v>852</v>
      </c>
      <c r="E1014" s="17">
        <f>IFERROR(VLOOKUP(Tabulka2[[#This Row],[Pracovník]],DATA!A:L,5,0),"")</f>
        <v>6388</v>
      </c>
      <c r="F1014" s="12" t="s">
        <v>653</v>
      </c>
      <c r="G1014" s="16" t="s">
        <v>657</v>
      </c>
      <c r="H1014" s="18"/>
      <c r="I1014" s="27" t="str">
        <f>IFERROR(VLOOKUP(Tabulka2[[#This Row],[Pracovník]],DATA!A:L,11,0),"")</f>
        <v>Vlastní auto</v>
      </c>
      <c r="J1014" s="16"/>
      <c r="K1014" s="19"/>
    </row>
    <row r="1015" spans="1:11" x14ac:dyDescent="0.25">
      <c r="A10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15" s="22">
        <v>45930</v>
      </c>
      <c r="C1015" s="16" t="s">
        <v>28</v>
      </c>
      <c r="D1015" s="16" t="s">
        <v>854</v>
      </c>
      <c r="E1015" s="17">
        <f>IFERROR(VLOOKUP(Tabulka2[[#This Row],[Pracovník]],DATA!A:L,5,0),"")</f>
        <v>5720</v>
      </c>
      <c r="F1015" s="12" t="s">
        <v>655</v>
      </c>
      <c r="G1015" s="16"/>
      <c r="H1015" s="18"/>
      <c r="I1015" s="27" t="str">
        <f>IFERROR(VLOOKUP(Tabulka2[[#This Row],[Pracovník]],DATA!A:L,11,0),"")</f>
        <v>DSC 2</v>
      </c>
      <c r="J1015" s="16"/>
      <c r="K1015" s="19"/>
    </row>
    <row r="1016" spans="1:11" x14ac:dyDescent="0.25">
      <c r="A10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16" s="22">
        <v>45930</v>
      </c>
      <c r="C1016" s="16" t="s">
        <v>28</v>
      </c>
      <c r="D1016" s="16" t="s">
        <v>853</v>
      </c>
      <c r="E1016" s="17">
        <f>IFERROR(VLOOKUP(Tabulka2[[#This Row],[Pracovník]],DATA!A:L,5,0),"")</f>
        <v>5722</v>
      </c>
      <c r="F1016" s="12" t="s">
        <v>655</v>
      </c>
      <c r="G1016" s="16"/>
      <c r="H1016" s="18"/>
      <c r="I1016" s="27" t="str">
        <f>IFERROR(VLOOKUP(Tabulka2[[#This Row],[Pracovník]],DATA!A:L,11,0),"")</f>
        <v>DSC 2</v>
      </c>
      <c r="J1016" s="16"/>
      <c r="K1016" s="19"/>
    </row>
    <row r="1017" spans="1:11" x14ac:dyDescent="0.25">
      <c r="A10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17" s="22">
        <v>45930</v>
      </c>
      <c r="C1017" s="16" t="s">
        <v>28</v>
      </c>
      <c r="D1017" s="16" t="s">
        <v>855</v>
      </c>
      <c r="E1017" s="17">
        <f>IFERROR(VLOOKUP(Tabulka2[[#This Row],[Pracovník]],DATA!A:L,5,0),"")</f>
        <v>6180</v>
      </c>
      <c r="F1017" s="12" t="s">
        <v>640</v>
      </c>
      <c r="G1017" s="16"/>
      <c r="H1017" s="18"/>
      <c r="I1017" s="27" t="str">
        <f>IFERROR(VLOOKUP(Tabulka2[[#This Row],[Pracovník]],DATA!A:L,11,0),"")</f>
        <v>DSC 2</v>
      </c>
      <c r="J1017" s="16"/>
      <c r="K1017" s="19"/>
    </row>
    <row r="1018" spans="1:11" x14ac:dyDescent="0.25">
      <c r="A10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18" s="22">
        <v>45930</v>
      </c>
      <c r="C1018" s="16" t="s">
        <v>28</v>
      </c>
      <c r="D1018" s="16" t="s">
        <v>856</v>
      </c>
      <c r="E1018" s="17">
        <f>IFERROR(VLOOKUP(Tabulka2[[#This Row],[Pracovník]],DATA!A:L,5,0),"")</f>
        <v>4423</v>
      </c>
      <c r="F1018" s="12" t="s">
        <v>640</v>
      </c>
      <c r="G1018" s="16"/>
      <c r="H1018" s="18"/>
      <c r="I1018" s="27" t="str">
        <f>IFERROR(VLOOKUP(Tabulka2[[#This Row],[Pracovník]],DATA!A:L,11,0),"")</f>
        <v>DSC 1</v>
      </c>
      <c r="J1018" s="16"/>
      <c r="K1018" s="19"/>
    </row>
    <row r="1019" spans="1:11" x14ac:dyDescent="0.25">
      <c r="A10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19" s="22">
        <v>45930</v>
      </c>
      <c r="C1019" s="16" t="s">
        <v>28</v>
      </c>
      <c r="D1019" s="16" t="s">
        <v>857</v>
      </c>
      <c r="E1019" s="17">
        <f>IFERROR(VLOOKUP(Tabulka2[[#This Row],[Pracovník]],DATA!A:L,5,0),"")</f>
        <v>5036</v>
      </c>
      <c r="F1019" s="12" t="s">
        <v>653</v>
      </c>
      <c r="G1019" s="16"/>
      <c r="H1019" s="18"/>
      <c r="I1019" s="27" t="str">
        <f>IFERROR(VLOOKUP(Tabulka2[[#This Row],[Pracovník]],DATA!A:L,11,0),"")</f>
        <v>Vlastní auto</v>
      </c>
      <c r="J1019" s="16"/>
      <c r="K1019" s="19"/>
    </row>
    <row r="1020" spans="1:11" x14ac:dyDescent="0.25">
      <c r="A10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20" s="22">
        <v>45930</v>
      </c>
      <c r="C1020" s="16" t="s">
        <v>28</v>
      </c>
      <c r="D1020" s="16" t="s">
        <v>838</v>
      </c>
      <c r="E1020" s="17">
        <f>IFERROR(VLOOKUP(Tabulka2[[#This Row],[Pracovník]],DATA!A:L,5,0),"")</f>
        <v>4899</v>
      </c>
      <c r="F1020" s="12" t="s">
        <v>654</v>
      </c>
      <c r="G1020" s="16"/>
      <c r="H1020" s="18"/>
      <c r="I1020" s="27" t="str">
        <f>IFERROR(VLOOKUP(Tabulka2[[#This Row],[Pracovník]],DATA!A:L,11,0),"")</f>
        <v>DSC 1</v>
      </c>
      <c r="J1020" s="16"/>
      <c r="K1020" s="19"/>
    </row>
    <row r="1021" spans="1:11" x14ac:dyDescent="0.25">
      <c r="A10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21" s="22">
        <v>45930</v>
      </c>
      <c r="C1021" s="16" t="s">
        <v>28</v>
      </c>
      <c r="D1021" s="16" t="s">
        <v>918</v>
      </c>
      <c r="E1021" s="17">
        <f>IFERROR(VLOOKUP(Tabulka2[[#This Row],[Pracovník]],DATA!A:L,5,0),"")</f>
        <v>6582</v>
      </c>
      <c r="F1021" s="12" t="s">
        <v>640</v>
      </c>
      <c r="G1021" s="16"/>
      <c r="H1021" s="18"/>
      <c r="I1021" s="27" t="str">
        <f>IFERROR(VLOOKUP(Tabulka2[[#This Row],[Pracovník]],DATA!A:L,11,0),"")</f>
        <v>DSC 1</v>
      </c>
      <c r="J1021" s="16"/>
      <c r="K1021" s="19"/>
    </row>
    <row r="1022" spans="1:11" x14ac:dyDescent="0.25">
      <c r="A10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22" s="22">
        <v>45930</v>
      </c>
      <c r="C1022" s="16" t="s">
        <v>28</v>
      </c>
      <c r="D1022" s="16" t="s">
        <v>922</v>
      </c>
      <c r="E1022" s="17">
        <f>IFERROR(VLOOKUP(Tabulka2[[#This Row],[Pracovník]],DATA!A:L,5,0),"")</f>
        <v>6580</v>
      </c>
      <c r="F1022" s="12" t="s">
        <v>655</v>
      </c>
      <c r="G1022" s="16"/>
      <c r="H1022" s="18"/>
      <c r="I1022" s="27" t="str">
        <f>IFERROR(VLOOKUP(Tabulka2[[#This Row],[Pracovník]],DATA!A:L,11,0),"")</f>
        <v>Vlastní auto</v>
      </c>
      <c r="J1022" s="16"/>
      <c r="K1022" s="19"/>
    </row>
    <row r="1023" spans="1:11" x14ac:dyDescent="0.25">
      <c r="A10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23" s="22">
        <v>45931</v>
      </c>
      <c r="C1023" s="16" t="s">
        <v>56</v>
      </c>
      <c r="D1023" s="16" t="s">
        <v>910</v>
      </c>
      <c r="E1023" s="17">
        <f>IFERROR(VLOOKUP(Tabulka2[[#This Row],[Pracovník]],DATA!A:L,5,0),"")</f>
        <v>6474</v>
      </c>
      <c r="F1023" s="12" t="s">
        <v>654</v>
      </c>
      <c r="G1023" s="16"/>
      <c r="H1023" s="18"/>
      <c r="I1023" s="27" t="str">
        <f>IFERROR(VLOOKUP(Tabulka2[[#This Row],[Pracovník]],DATA!A:L,11,0),"")</f>
        <v>BATZ 1</v>
      </c>
      <c r="J1023" s="16"/>
      <c r="K1023" s="19"/>
    </row>
    <row r="1024" spans="1:11" x14ac:dyDescent="0.25">
      <c r="A10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24" s="22">
        <v>45931</v>
      </c>
      <c r="C1024" s="16" t="s">
        <v>56</v>
      </c>
      <c r="D1024" s="16" t="s">
        <v>911</v>
      </c>
      <c r="E1024" s="17">
        <f>IFERROR(VLOOKUP(Tabulka2[[#This Row],[Pracovník]],DATA!A:L,5,0),"")</f>
        <v>5110</v>
      </c>
      <c r="F1024" s="12" t="s">
        <v>640</v>
      </c>
      <c r="G1024" s="16"/>
      <c r="H1024" s="18"/>
      <c r="I1024" s="27" t="str">
        <f>IFERROR(VLOOKUP(Tabulka2[[#This Row],[Pracovník]],DATA!A:L,11,0),"")</f>
        <v>BATZ 2</v>
      </c>
      <c r="J1024" s="16"/>
      <c r="K1024" s="19"/>
    </row>
    <row r="1025" spans="1:11" x14ac:dyDescent="0.25">
      <c r="A10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25" s="22">
        <v>45931</v>
      </c>
      <c r="C1025" s="16" t="s">
        <v>56</v>
      </c>
      <c r="D1025" s="16" t="s">
        <v>912</v>
      </c>
      <c r="E1025" s="17">
        <f>IFERROR(VLOOKUP(Tabulka2[[#This Row],[Pracovník]],DATA!A:L,5,0),"")</f>
        <v>6473</v>
      </c>
      <c r="F1025" s="12" t="s">
        <v>640</v>
      </c>
      <c r="G1025" s="16"/>
      <c r="H1025" s="18"/>
      <c r="I1025" s="27" t="str">
        <f>IFERROR(VLOOKUP(Tabulka2[[#This Row],[Pracovník]],DATA!A:L,11,0),"")</f>
        <v>BATZ 1</v>
      </c>
      <c r="J1025" s="16"/>
      <c r="K1025" s="19"/>
    </row>
    <row r="1026" spans="1:11" x14ac:dyDescent="0.25">
      <c r="A10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26" s="22">
        <v>45931</v>
      </c>
      <c r="C1026" s="16" t="s">
        <v>56</v>
      </c>
      <c r="D1026" s="16" t="s">
        <v>913</v>
      </c>
      <c r="E1026" s="17">
        <f>IFERROR(VLOOKUP(Tabulka2[[#This Row],[Pracovník]],DATA!A:L,5,0),"")</f>
        <v>6394</v>
      </c>
      <c r="F1026" s="12" t="s">
        <v>653</v>
      </c>
      <c r="G1026" s="16" t="s">
        <v>657</v>
      </c>
      <c r="H1026" s="18"/>
      <c r="I1026" s="27" t="str">
        <f>IFERROR(VLOOKUP(Tabulka2[[#This Row],[Pracovník]],DATA!A:L,11,0),"")</f>
        <v>BATZ 1</v>
      </c>
      <c r="J1026" s="16"/>
      <c r="K1026" s="19"/>
    </row>
    <row r="1027" spans="1:11" x14ac:dyDescent="0.25">
      <c r="A10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27" s="22">
        <v>45931</v>
      </c>
      <c r="C1027" s="16" t="s">
        <v>25</v>
      </c>
      <c r="D1027" s="16" t="s">
        <v>679</v>
      </c>
      <c r="E1027" s="17">
        <f>IFERROR(VLOOKUP(Tabulka2[[#This Row],[Pracovník]],DATA!A:L,5,0),"")</f>
        <v>5777</v>
      </c>
      <c r="F1027" s="12" t="s">
        <v>640</v>
      </c>
      <c r="G1027" s="16"/>
      <c r="H1027" s="18"/>
      <c r="I1027" s="27" t="str">
        <f>IFERROR(VLOOKUP(Tabulka2[[#This Row],[Pracovník]],DATA!A:L,11,0),"")</f>
        <v>BATZ 2</v>
      </c>
      <c r="J1027" s="16"/>
      <c r="K1027" s="19"/>
    </row>
    <row r="1028" spans="1:11" x14ac:dyDescent="0.25">
      <c r="A10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28" s="22">
        <v>45931</v>
      </c>
      <c r="C1028" s="16" t="s">
        <v>25</v>
      </c>
      <c r="D1028" s="23" t="s">
        <v>680</v>
      </c>
      <c r="E1028" s="17">
        <f>IFERROR(VLOOKUP(Tabulka2[[#This Row],[Pracovník]],DATA!A:L,5,0),"")</f>
        <v>4838</v>
      </c>
      <c r="F1028" s="24" t="s">
        <v>654</v>
      </c>
      <c r="G1028" s="16"/>
      <c r="H1028" s="18"/>
      <c r="I1028" s="27" t="str">
        <f>IFERROR(VLOOKUP(Tabulka2[[#This Row],[Pracovník]],DATA!A:L,11,0),"")</f>
        <v>BATZ 2</v>
      </c>
      <c r="J1028" s="16"/>
      <c r="K1028" s="19"/>
    </row>
    <row r="1029" spans="1:11" x14ac:dyDescent="0.25">
      <c r="A10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29" s="22">
        <v>45931</v>
      </c>
      <c r="C1029" s="16" t="s">
        <v>25</v>
      </c>
      <c r="D1029" s="16" t="s">
        <v>681</v>
      </c>
      <c r="E1029" s="17">
        <f>IFERROR(VLOOKUP(Tabulka2[[#This Row],[Pracovník]],DATA!A:L,5,0),"")</f>
        <v>4599</v>
      </c>
      <c r="F1029" s="12" t="s">
        <v>640</v>
      </c>
      <c r="G1029" s="16"/>
      <c r="H1029" s="18"/>
      <c r="I1029" s="27" t="str">
        <f>IFERROR(VLOOKUP(Tabulka2[[#This Row],[Pracovník]],DATA!A:L,11,0),"")</f>
        <v>BATZ 1</v>
      </c>
      <c r="J1029" s="16"/>
      <c r="K1029" s="19"/>
    </row>
    <row r="1030" spans="1:11" x14ac:dyDescent="0.25">
      <c r="A10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30" s="22">
        <v>45931</v>
      </c>
      <c r="C1030" s="16" t="s">
        <v>25</v>
      </c>
      <c r="D1030" s="16" t="s">
        <v>682</v>
      </c>
      <c r="E1030" s="17">
        <f>IFERROR(VLOOKUP(Tabulka2[[#This Row],[Pracovník]],DATA!A:L,5,0),"")</f>
        <v>6566</v>
      </c>
      <c r="F1030" s="12" t="s">
        <v>654</v>
      </c>
      <c r="G1030" s="16"/>
      <c r="H1030" s="18"/>
      <c r="I1030" s="27" t="str">
        <f>IFERROR(VLOOKUP(Tabulka2[[#This Row],[Pracovník]],DATA!A:L,11,0),"")</f>
        <v>BATZ 1</v>
      </c>
      <c r="J1030" s="16"/>
      <c r="K1030" s="19"/>
    </row>
    <row r="1031" spans="1:11" x14ac:dyDescent="0.25">
      <c r="A10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31" s="22">
        <v>45931</v>
      </c>
      <c r="C1031" s="16" t="s">
        <v>25</v>
      </c>
      <c r="D1031" s="16" t="s">
        <v>683</v>
      </c>
      <c r="E1031" s="17">
        <f>IFERROR(VLOOKUP(Tabulka2[[#This Row],[Pracovník]],DATA!A:L,5,0),"")</f>
        <v>5400</v>
      </c>
      <c r="F1031" s="12" t="s">
        <v>653</v>
      </c>
      <c r="G1031" s="16" t="s">
        <v>656</v>
      </c>
      <c r="H1031" s="18"/>
      <c r="I1031" s="27" t="str">
        <f>IFERROR(VLOOKUP(Tabulka2[[#This Row],[Pracovník]],DATA!A:L,11,0),"")</f>
        <v>BATZ 1</v>
      </c>
      <c r="J1031" s="16"/>
      <c r="K1031" s="19"/>
    </row>
    <row r="1032" spans="1:11" x14ac:dyDescent="0.25">
      <c r="A10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32" s="22">
        <v>45931</v>
      </c>
      <c r="C1032" s="16" t="s">
        <v>25</v>
      </c>
      <c r="D1032" s="16" t="s">
        <v>684</v>
      </c>
      <c r="E1032" s="17">
        <f>IFERROR(VLOOKUP(Tabulka2[[#This Row],[Pracovník]],DATA!A:L,5,0),"")</f>
        <v>5094</v>
      </c>
      <c r="F1032" s="12" t="s">
        <v>655</v>
      </c>
      <c r="G1032" s="16"/>
      <c r="H1032" s="18"/>
      <c r="I1032" s="27" t="str">
        <f>IFERROR(VLOOKUP(Tabulka2[[#This Row],[Pracovník]],DATA!A:L,11,0),"")</f>
        <v>BATZ 2</v>
      </c>
      <c r="J1032" s="16"/>
      <c r="K1032" s="19"/>
    </row>
    <row r="1033" spans="1:11" x14ac:dyDescent="0.25">
      <c r="A10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33" s="22">
        <v>45931</v>
      </c>
      <c r="C1033" s="16" t="s">
        <v>25</v>
      </c>
      <c r="D1033" s="16" t="s">
        <v>685</v>
      </c>
      <c r="E1033" s="17">
        <f>IFERROR(VLOOKUP(Tabulka2[[#This Row],[Pracovník]],DATA!A:L,5,0),"")</f>
        <v>6001</v>
      </c>
      <c r="F1033" s="12" t="s">
        <v>655</v>
      </c>
      <c r="G1033" s="16"/>
      <c r="H1033" s="18"/>
      <c r="I1033" s="27" t="str">
        <f>IFERROR(VLOOKUP(Tabulka2[[#This Row],[Pracovník]],DATA!A:L,11,0),"")</f>
        <v>BATZ 1</v>
      </c>
      <c r="J1033" s="16"/>
      <c r="K1033" s="19"/>
    </row>
    <row r="1034" spans="1:11" x14ac:dyDescent="0.25">
      <c r="A10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34" s="22">
        <v>45931</v>
      </c>
      <c r="C1034" s="16" t="s">
        <v>25</v>
      </c>
      <c r="D1034" s="16" t="s">
        <v>686</v>
      </c>
      <c r="E1034" s="17">
        <f>IFERROR(VLOOKUP(Tabulka2[[#This Row],[Pracovník]],DATA!A:L,5,0),"")</f>
        <v>6573</v>
      </c>
      <c r="F1034" s="12" t="s">
        <v>655</v>
      </c>
      <c r="G1034" s="16"/>
      <c r="H1034" s="18"/>
      <c r="I1034" s="27" t="str">
        <f>IFERROR(VLOOKUP(Tabulka2[[#This Row],[Pracovník]],DATA!A:L,11,0),"")</f>
        <v>BATZ 1</v>
      </c>
      <c r="J1034" s="16"/>
      <c r="K1034" s="19"/>
    </row>
    <row r="1035" spans="1:11" x14ac:dyDescent="0.25">
      <c r="A10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35" s="22">
        <v>45931</v>
      </c>
      <c r="C1035" s="16" t="s">
        <v>25</v>
      </c>
      <c r="D1035" s="16" t="s">
        <v>687</v>
      </c>
      <c r="E1035" s="17">
        <f>IFERROR(VLOOKUP(Tabulka2[[#This Row],[Pracovník]],DATA!A:L,5,0),"")</f>
        <v>5129</v>
      </c>
      <c r="F1035" s="12" t="s">
        <v>640</v>
      </c>
      <c r="G1035" s="16"/>
      <c r="H1035" s="18"/>
      <c r="I1035" s="27" t="str">
        <f>IFERROR(VLOOKUP(Tabulka2[[#This Row],[Pracovník]],DATA!A:L,11,0),"")</f>
        <v>BATZ 1</v>
      </c>
      <c r="J1035" s="16"/>
      <c r="K1035" s="19"/>
    </row>
    <row r="1036" spans="1:11" x14ac:dyDescent="0.25">
      <c r="A10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36" s="22">
        <v>45931</v>
      </c>
      <c r="C1036" s="16" t="s">
        <v>25</v>
      </c>
      <c r="D1036" s="16" t="s">
        <v>688</v>
      </c>
      <c r="E1036" s="17">
        <f>IFERROR(VLOOKUP(Tabulka2[[#This Row],[Pracovník]],DATA!A:L,5,0),"")</f>
        <v>5663</v>
      </c>
      <c r="F1036" s="12" t="s">
        <v>653</v>
      </c>
      <c r="G1036" s="16" t="s">
        <v>657</v>
      </c>
      <c r="H1036" s="18"/>
      <c r="I1036" s="27" t="str">
        <f>IFERROR(VLOOKUP(Tabulka2[[#This Row],[Pracovník]],DATA!A:L,11,0),"")</f>
        <v>BATZ 1</v>
      </c>
      <c r="J1036" s="16"/>
      <c r="K1036" s="19"/>
    </row>
    <row r="1037" spans="1:11" x14ac:dyDescent="0.25">
      <c r="A10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37" s="22">
        <v>45931</v>
      </c>
      <c r="C1037" s="16" t="s">
        <v>25</v>
      </c>
      <c r="D1037" s="16" t="s">
        <v>690</v>
      </c>
      <c r="E1037" s="17">
        <f>IFERROR(VLOOKUP(Tabulka2[[#This Row],[Pracovník]],DATA!A:L,5,0),"")</f>
        <v>4501</v>
      </c>
      <c r="F1037" s="12" t="s">
        <v>653</v>
      </c>
      <c r="G1037" s="16" t="s">
        <v>657</v>
      </c>
      <c r="H1037" s="18"/>
      <c r="I1037" s="27" t="str">
        <f>IFERROR(VLOOKUP(Tabulka2[[#This Row],[Pracovník]],DATA!A:L,11,0),"")</f>
        <v>BATZ 2</v>
      </c>
      <c r="J1037" s="16"/>
      <c r="K1037" s="19"/>
    </row>
    <row r="1038" spans="1:11" x14ac:dyDescent="0.25">
      <c r="A10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38" s="22">
        <v>45931</v>
      </c>
      <c r="C1038" s="16" t="s">
        <v>25</v>
      </c>
      <c r="D1038" s="16" t="s">
        <v>689</v>
      </c>
      <c r="E1038" s="17">
        <f>IFERROR(VLOOKUP(Tabulka2[[#This Row],[Pracovník]],DATA!A:L,5,0),"")</f>
        <v>4936</v>
      </c>
      <c r="F1038" s="12" t="s">
        <v>655</v>
      </c>
      <c r="G1038" s="16"/>
      <c r="H1038" s="18"/>
      <c r="I1038" s="27" t="str">
        <f>IFERROR(VLOOKUP(Tabulka2[[#This Row],[Pracovník]],DATA!A:L,11,0),"")</f>
        <v>BATZ 1</v>
      </c>
      <c r="J1038" s="16"/>
      <c r="K1038" s="19"/>
    </row>
    <row r="1039" spans="1:11" x14ac:dyDescent="0.25">
      <c r="A10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39" s="22">
        <v>45931</v>
      </c>
      <c r="C1039" s="16" t="s">
        <v>25</v>
      </c>
      <c r="D1039" s="16" t="s">
        <v>695</v>
      </c>
      <c r="E1039" s="17">
        <f>IFERROR(VLOOKUP(Tabulka2[[#This Row],[Pracovník]],DATA!A:L,5,0),"")</f>
        <v>3728</v>
      </c>
      <c r="F1039" s="12" t="s">
        <v>655</v>
      </c>
      <c r="G1039" s="16"/>
      <c r="H1039" s="18"/>
      <c r="I1039" s="27" t="str">
        <f>IFERROR(VLOOKUP(Tabulka2[[#This Row],[Pracovník]],DATA!A:L,11,0),"")</f>
        <v>BATZ 1</v>
      </c>
      <c r="J1039" s="16"/>
      <c r="K1039" s="19"/>
    </row>
    <row r="1040" spans="1:11" x14ac:dyDescent="0.25">
      <c r="A10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40" s="22">
        <v>45931</v>
      </c>
      <c r="C1040" s="16" t="s">
        <v>25</v>
      </c>
      <c r="D1040" s="16" t="s">
        <v>691</v>
      </c>
      <c r="E1040" s="17">
        <f>IFERROR(VLOOKUP(Tabulka2[[#This Row],[Pracovník]],DATA!A:L,5,0),"")</f>
        <v>4955</v>
      </c>
      <c r="F1040" s="12" t="s">
        <v>640</v>
      </c>
      <c r="G1040" s="16"/>
      <c r="H1040" s="18"/>
      <c r="I1040" s="27" t="str">
        <f>IFERROR(VLOOKUP(Tabulka2[[#This Row],[Pracovník]],DATA!A:L,11,0),"")</f>
        <v>BATZ 1</v>
      </c>
      <c r="J1040" s="16"/>
      <c r="K1040" s="19"/>
    </row>
    <row r="1041" spans="1:11" x14ac:dyDescent="0.25">
      <c r="A10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41" s="22">
        <v>45931</v>
      </c>
      <c r="C1041" s="16" t="s">
        <v>25</v>
      </c>
      <c r="D1041" s="16" t="s">
        <v>692</v>
      </c>
      <c r="E1041" s="17">
        <f>IFERROR(VLOOKUP(Tabulka2[[#This Row],[Pracovník]],DATA!A:L,5,0),"")</f>
        <v>6568</v>
      </c>
      <c r="F1041" s="12" t="s">
        <v>654</v>
      </c>
      <c r="G1041" s="16"/>
      <c r="H1041" s="18"/>
      <c r="I1041" s="27" t="str">
        <f>IFERROR(VLOOKUP(Tabulka2[[#This Row],[Pracovník]],DATA!A:L,11,0),"")</f>
        <v>BATZ 2</v>
      </c>
      <c r="J1041" s="16"/>
      <c r="K1041" s="19"/>
    </row>
    <row r="1042" spans="1:11" x14ac:dyDescent="0.25">
      <c r="A10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42" s="22">
        <v>45931</v>
      </c>
      <c r="C1042" s="16" t="s">
        <v>25</v>
      </c>
      <c r="D1042" s="16" t="s">
        <v>693</v>
      </c>
      <c r="E1042" s="17">
        <f>IFERROR(VLOOKUP(Tabulka2[[#This Row],[Pracovník]],DATA!A:L,5,0),"")</f>
        <v>3721</v>
      </c>
      <c r="F1042" s="12" t="s">
        <v>640</v>
      </c>
      <c r="G1042" s="16"/>
      <c r="H1042" s="18"/>
      <c r="I1042" s="27" t="str">
        <f>IFERROR(VLOOKUP(Tabulka2[[#This Row],[Pracovník]],DATA!A:L,11,0),"")</f>
        <v>BATZ 1</v>
      </c>
      <c r="J1042" s="16"/>
      <c r="K1042" s="19"/>
    </row>
    <row r="1043" spans="1:11" x14ac:dyDescent="0.25">
      <c r="A10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43" s="22">
        <v>45931</v>
      </c>
      <c r="C1043" s="16" t="s">
        <v>25</v>
      </c>
      <c r="D1043" s="16" t="s">
        <v>694</v>
      </c>
      <c r="E1043" s="17">
        <f>IFERROR(VLOOKUP(Tabulka2[[#This Row],[Pracovník]],DATA!A:L,5,0),"")</f>
        <v>6110</v>
      </c>
      <c r="F1043" s="12" t="s">
        <v>655</v>
      </c>
      <c r="G1043" s="16"/>
      <c r="H1043" s="18"/>
      <c r="I1043" s="27" t="str">
        <f>IFERROR(VLOOKUP(Tabulka2[[#This Row],[Pracovník]],DATA!A:L,11,0),"")</f>
        <v>BATZ 1</v>
      </c>
      <c r="J1043" s="16"/>
      <c r="K1043" s="19"/>
    </row>
    <row r="1044" spans="1:11" x14ac:dyDescent="0.25">
      <c r="A10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44" s="22">
        <v>45931</v>
      </c>
      <c r="C1044" s="16" t="s">
        <v>25</v>
      </c>
      <c r="D1044" s="16" t="s">
        <v>696</v>
      </c>
      <c r="E1044" s="17">
        <f>IFERROR(VLOOKUP(Tabulka2[[#This Row],[Pracovník]],DATA!A:L,5,0),"")</f>
        <v>0</v>
      </c>
      <c r="F1044" s="12" t="s">
        <v>640</v>
      </c>
      <c r="G1044" s="16"/>
      <c r="H1044" s="18"/>
      <c r="I1044" s="27" t="str">
        <f>IFERROR(VLOOKUP(Tabulka2[[#This Row],[Pracovník]],DATA!A:L,11,0),"")</f>
        <v>BATZ 1</v>
      </c>
      <c r="J1044" s="16"/>
      <c r="K1044" s="19"/>
    </row>
    <row r="1045" spans="1:11" x14ac:dyDescent="0.25">
      <c r="A10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45" s="22">
        <v>45931</v>
      </c>
      <c r="C1045" s="16" t="s">
        <v>25</v>
      </c>
      <c r="D1045" s="16" t="s">
        <v>697</v>
      </c>
      <c r="E1045" s="17">
        <f>IFERROR(VLOOKUP(Tabulka2[[#This Row],[Pracovník]],DATA!A:L,5,0),"")</f>
        <v>6330</v>
      </c>
      <c r="F1045" s="12" t="s">
        <v>655</v>
      </c>
      <c r="G1045" s="16"/>
      <c r="H1045" s="18"/>
      <c r="I1045" s="27" t="str">
        <f>IFERROR(VLOOKUP(Tabulka2[[#This Row],[Pracovník]],DATA!A:L,11,0),"")</f>
        <v>BATZ 2</v>
      </c>
      <c r="J1045" s="16"/>
      <c r="K1045" s="19"/>
    </row>
    <row r="1046" spans="1:11" x14ac:dyDescent="0.25">
      <c r="A10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46" s="22">
        <v>45931</v>
      </c>
      <c r="C1046" s="16" t="s">
        <v>25</v>
      </c>
      <c r="D1046" s="16" t="s">
        <v>698</v>
      </c>
      <c r="E1046" s="17">
        <f>IFERROR(VLOOKUP(Tabulka2[[#This Row],[Pracovník]],DATA!A:L,5,0),"")</f>
        <v>5828</v>
      </c>
      <c r="F1046" s="12" t="s">
        <v>640</v>
      </c>
      <c r="G1046" s="16"/>
      <c r="H1046" s="18"/>
      <c r="I1046" s="27" t="str">
        <f>IFERROR(VLOOKUP(Tabulka2[[#This Row],[Pracovník]],DATA!A:L,11,0),"")</f>
        <v>BATZ 1</v>
      </c>
      <c r="J1046" s="16"/>
      <c r="K1046" s="19"/>
    </row>
    <row r="1047" spans="1:11" x14ac:dyDescent="0.25">
      <c r="A10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47" s="22">
        <v>45931</v>
      </c>
      <c r="C1047" s="16" t="s">
        <v>25</v>
      </c>
      <c r="D1047" s="16" t="s">
        <v>699</v>
      </c>
      <c r="E1047" s="17">
        <f>IFERROR(VLOOKUP(Tabulka2[[#This Row],[Pracovník]],DATA!A:L,5,0),"")</f>
        <v>4775</v>
      </c>
      <c r="F1047" s="12" t="s">
        <v>655</v>
      </c>
      <c r="G1047" s="16"/>
      <c r="H1047" s="18"/>
      <c r="I1047" s="27" t="str">
        <f>IFERROR(VLOOKUP(Tabulka2[[#This Row],[Pracovník]],DATA!A:L,11,0),"")</f>
        <v>BATZ 2</v>
      </c>
      <c r="J1047" s="16"/>
      <c r="K1047" s="19"/>
    </row>
    <row r="1048" spans="1:11" x14ac:dyDescent="0.25">
      <c r="A10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48" s="22">
        <v>45931</v>
      </c>
      <c r="C1048" s="16" t="s">
        <v>25</v>
      </c>
      <c r="D1048" s="16" t="s">
        <v>700</v>
      </c>
      <c r="E1048" s="17">
        <f>IFERROR(VLOOKUP(Tabulka2[[#This Row],[Pracovník]],DATA!A:L,5,0),"")</f>
        <v>5665</v>
      </c>
      <c r="F1048" s="12" t="s">
        <v>654</v>
      </c>
      <c r="G1048" s="16"/>
      <c r="H1048" s="18"/>
      <c r="I1048" s="27" t="str">
        <f>IFERROR(VLOOKUP(Tabulka2[[#This Row],[Pracovník]],DATA!A:L,11,0),"")</f>
        <v>BATZ 1</v>
      </c>
      <c r="J1048" s="16"/>
      <c r="K1048" s="19"/>
    </row>
    <row r="1049" spans="1:11" x14ac:dyDescent="0.25">
      <c r="A10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49" s="22">
        <v>45931</v>
      </c>
      <c r="C1049" s="16" t="s">
        <v>25</v>
      </c>
      <c r="D1049" s="16" t="s">
        <v>701</v>
      </c>
      <c r="E1049" s="17">
        <f>IFERROR(VLOOKUP(Tabulka2[[#This Row],[Pracovník]],DATA!A:L,5,0),"")</f>
        <v>2463</v>
      </c>
      <c r="F1049" s="12" t="s">
        <v>654</v>
      </c>
      <c r="G1049" s="16"/>
      <c r="H1049" s="18"/>
      <c r="I1049" s="27" t="str">
        <f>IFERROR(VLOOKUP(Tabulka2[[#This Row],[Pracovník]],DATA!A:L,11,0),"")</f>
        <v>Vlastní auto</v>
      </c>
      <c r="J1049" s="16"/>
      <c r="K1049" s="19"/>
    </row>
    <row r="1050" spans="1:11" x14ac:dyDescent="0.25">
      <c r="A10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50" s="22">
        <v>45931</v>
      </c>
      <c r="C1050" s="16" t="s">
        <v>25</v>
      </c>
      <c r="D1050" s="16" t="s">
        <v>702</v>
      </c>
      <c r="E1050" s="17">
        <f>IFERROR(VLOOKUP(Tabulka2[[#This Row],[Pracovník]],DATA!A:L,5,0),"")</f>
        <v>6536</v>
      </c>
      <c r="F1050" s="12" t="s">
        <v>654</v>
      </c>
      <c r="G1050" s="16"/>
      <c r="H1050" s="18"/>
      <c r="I1050" s="27" t="str">
        <f>IFERROR(VLOOKUP(Tabulka2[[#This Row],[Pracovník]],DATA!A:L,11,0),"")</f>
        <v>BATZ 2</v>
      </c>
      <c r="J1050" s="16"/>
      <c r="K1050" s="19"/>
    </row>
    <row r="1051" spans="1:11" x14ac:dyDescent="0.25">
      <c r="A10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51" s="22">
        <v>45931</v>
      </c>
      <c r="C1051" s="16" t="s">
        <v>25</v>
      </c>
      <c r="D1051" s="16" t="s">
        <v>703</v>
      </c>
      <c r="E1051" s="17">
        <f>IFERROR(VLOOKUP(Tabulka2[[#This Row],[Pracovník]],DATA!A:L,5,0),"")</f>
        <v>4748</v>
      </c>
      <c r="F1051" s="12" t="s">
        <v>640</v>
      </c>
      <c r="G1051" s="16"/>
      <c r="H1051" s="18"/>
      <c r="I1051" s="27" t="str">
        <f>IFERROR(VLOOKUP(Tabulka2[[#This Row],[Pracovník]],DATA!A:L,11,0),"")</f>
        <v>BATZ 1</v>
      </c>
      <c r="J1051" s="16"/>
      <c r="K1051" s="19"/>
    </row>
    <row r="1052" spans="1:11" x14ac:dyDescent="0.25">
      <c r="A10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52" s="22">
        <v>45931</v>
      </c>
      <c r="C1052" s="16" t="s">
        <v>25</v>
      </c>
      <c r="D1052" s="16" t="s">
        <v>704</v>
      </c>
      <c r="E1052" s="17">
        <f>IFERROR(VLOOKUP(Tabulka2[[#This Row],[Pracovník]],DATA!A:L,5,0),"")</f>
        <v>6574</v>
      </c>
      <c r="F1052" s="12" t="s">
        <v>655</v>
      </c>
      <c r="G1052" s="16"/>
      <c r="H1052" s="18"/>
      <c r="I1052" s="27" t="str">
        <f>IFERROR(VLOOKUP(Tabulka2[[#This Row],[Pracovník]],DATA!A:L,11,0),"")</f>
        <v>BATZ 1</v>
      </c>
      <c r="J1052" s="16"/>
      <c r="K1052" s="19"/>
    </row>
    <row r="1053" spans="1:11" x14ac:dyDescent="0.25">
      <c r="A10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53" s="22">
        <v>45931</v>
      </c>
      <c r="C1053" s="16" t="s">
        <v>25</v>
      </c>
      <c r="D1053" s="16" t="s">
        <v>705</v>
      </c>
      <c r="E1053" s="17">
        <f>IFERROR(VLOOKUP(Tabulka2[[#This Row],[Pracovník]],DATA!A:L,5,0),"")</f>
        <v>4720</v>
      </c>
      <c r="F1053" s="12" t="s">
        <v>654</v>
      </c>
      <c r="G1053" s="16"/>
      <c r="H1053" s="18"/>
      <c r="I1053" s="27" t="str">
        <f>IFERROR(VLOOKUP(Tabulka2[[#This Row],[Pracovník]],DATA!A:L,11,0),"")</f>
        <v>BATZ 2</v>
      </c>
      <c r="J1053" s="16"/>
      <c r="K1053" s="19"/>
    </row>
    <row r="1054" spans="1:11" x14ac:dyDescent="0.25">
      <c r="A10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54" s="22">
        <v>45931</v>
      </c>
      <c r="C1054" s="16" t="s">
        <v>25</v>
      </c>
      <c r="D1054" s="16" t="s">
        <v>706</v>
      </c>
      <c r="E1054" s="17">
        <f>IFERROR(VLOOKUP(Tabulka2[[#This Row],[Pracovník]],DATA!A:L,5,0),"")</f>
        <v>6409</v>
      </c>
      <c r="F1054" s="12" t="s">
        <v>655</v>
      </c>
      <c r="G1054" s="16"/>
      <c r="H1054" s="18"/>
      <c r="I1054" s="27" t="str">
        <f>IFERROR(VLOOKUP(Tabulka2[[#This Row],[Pracovník]],DATA!A:L,11,0),"")</f>
        <v>Vlastní auto</v>
      </c>
      <c r="J1054" s="16"/>
      <c r="K1054" s="19"/>
    </row>
    <row r="1055" spans="1:11" x14ac:dyDescent="0.25">
      <c r="A10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55" s="22">
        <v>45931</v>
      </c>
      <c r="C1055" s="16" t="s">
        <v>25</v>
      </c>
      <c r="D1055" s="16" t="s">
        <v>707</v>
      </c>
      <c r="E1055" s="17">
        <f>IFERROR(VLOOKUP(Tabulka2[[#This Row],[Pracovník]],DATA!A:L,5,0),"")</f>
        <v>3396</v>
      </c>
      <c r="F1055" s="12" t="s">
        <v>654</v>
      </c>
      <c r="G1055" s="16"/>
      <c r="H1055" s="18"/>
      <c r="I1055" s="27" t="str">
        <f>IFERROR(VLOOKUP(Tabulka2[[#This Row],[Pracovník]],DATA!A:L,11,0),"")</f>
        <v>BATZ 1</v>
      </c>
      <c r="J1055" s="16"/>
      <c r="K1055" s="19"/>
    </row>
    <row r="1056" spans="1:11" x14ac:dyDescent="0.25">
      <c r="A10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56" s="22">
        <v>45931</v>
      </c>
      <c r="C1056" s="16" t="s">
        <v>25</v>
      </c>
      <c r="D1056" s="16" t="s">
        <v>708</v>
      </c>
      <c r="E1056" s="17">
        <f>IFERROR(VLOOKUP(Tabulka2[[#This Row],[Pracovník]],DATA!A:L,5,0),"")</f>
        <v>6376</v>
      </c>
      <c r="F1056" s="12" t="s">
        <v>654</v>
      </c>
      <c r="G1056" s="16"/>
      <c r="H1056" s="18"/>
      <c r="I1056" s="27" t="str">
        <f>IFERROR(VLOOKUP(Tabulka2[[#This Row],[Pracovník]],DATA!A:L,11,0),"")</f>
        <v>BATZ 2</v>
      </c>
      <c r="J1056" s="16"/>
      <c r="K1056" s="19"/>
    </row>
    <row r="1057" spans="1:11" x14ac:dyDescent="0.25">
      <c r="A10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57" s="22">
        <v>45931</v>
      </c>
      <c r="C1057" s="16" t="s">
        <v>25</v>
      </c>
      <c r="D1057" s="16" t="s">
        <v>709</v>
      </c>
      <c r="E1057" s="17">
        <f>IFERROR(VLOOKUP(Tabulka2[[#This Row],[Pracovník]],DATA!A:L,5,0),"")</f>
        <v>5014</v>
      </c>
      <c r="F1057" s="12" t="s">
        <v>654</v>
      </c>
      <c r="G1057" s="16"/>
      <c r="H1057" s="18"/>
      <c r="I1057" s="27" t="str">
        <f>IFERROR(VLOOKUP(Tabulka2[[#This Row],[Pracovník]],DATA!A:L,11,0),"")</f>
        <v>BATZ 2</v>
      </c>
      <c r="J1057" s="16"/>
      <c r="K1057" s="19"/>
    </row>
    <row r="1058" spans="1:11" x14ac:dyDescent="0.25">
      <c r="A10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58" s="22">
        <v>45931</v>
      </c>
      <c r="C1058" s="16" t="s">
        <v>25</v>
      </c>
      <c r="D1058" s="16" t="s">
        <v>710</v>
      </c>
      <c r="E1058" s="17">
        <f>IFERROR(VLOOKUP(Tabulka2[[#This Row],[Pracovník]],DATA!A:L,5,0),"")</f>
        <v>3369</v>
      </c>
      <c r="F1058" s="12" t="s">
        <v>653</v>
      </c>
      <c r="G1058" s="16" t="s">
        <v>925</v>
      </c>
      <c r="H1058" s="18"/>
      <c r="I1058" s="27" t="str">
        <f>IFERROR(VLOOKUP(Tabulka2[[#This Row],[Pracovník]],DATA!A:L,11,0),"")</f>
        <v>BATZ 1</v>
      </c>
      <c r="J1058" s="16"/>
      <c r="K1058" s="19" t="s">
        <v>1010</v>
      </c>
    </row>
    <row r="1059" spans="1:11" x14ac:dyDescent="0.25">
      <c r="A10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59" s="22">
        <v>45931</v>
      </c>
      <c r="C1059" s="16" t="s">
        <v>25</v>
      </c>
      <c r="D1059" s="16" t="s">
        <v>711</v>
      </c>
      <c r="E1059" s="17">
        <f>IFERROR(VLOOKUP(Tabulka2[[#This Row],[Pracovník]],DATA!A:L,5,0),"")</f>
        <v>6576</v>
      </c>
      <c r="F1059" s="12" t="s">
        <v>640</v>
      </c>
      <c r="G1059" s="16"/>
      <c r="H1059" s="18"/>
      <c r="I1059" s="27" t="str">
        <f>IFERROR(VLOOKUP(Tabulka2[[#This Row],[Pracovník]],DATA!A:L,11,0),"")</f>
        <v>BATZ 1</v>
      </c>
      <c r="J1059" s="16"/>
      <c r="K1059" s="19"/>
    </row>
    <row r="1060" spans="1:11" x14ac:dyDescent="0.25">
      <c r="A10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60" s="22">
        <v>45931</v>
      </c>
      <c r="C1060" s="16" t="s">
        <v>25</v>
      </c>
      <c r="D1060" s="16" t="s">
        <v>712</v>
      </c>
      <c r="E1060" s="17">
        <f>IFERROR(VLOOKUP(Tabulka2[[#This Row],[Pracovník]],DATA!A:L,5,0),"")</f>
        <v>6352</v>
      </c>
      <c r="F1060" s="12" t="s">
        <v>654</v>
      </c>
      <c r="G1060" s="16"/>
      <c r="H1060" s="18"/>
      <c r="I1060" s="27" t="str">
        <f>IFERROR(VLOOKUP(Tabulka2[[#This Row],[Pracovník]],DATA!A:L,11,0),"")</f>
        <v>BATZ 1</v>
      </c>
      <c r="J1060" s="16"/>
      <c r="K1060" s="19"/>
    </row>
    <row r="1061" spans="1:11" x14ac:dyDescent="0.25">
      <c r="A10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61" s="22">
        <v>45931</v>
      </c>
      <c r="C1061" s="16" t="s">
        <v>25</v>
      </c>
      <c r="D1061" s="16" t="s">
        <v>714</v>
      </c>
      <c r="E1061" s="17">
        <f>IFERROR(VLOOKUP(Tabulka2[[#This Row],[Pracovník]],DATA!A:L,5,0),"")</f>
        <v>4972</v>
      </c>
      <c r="F1061" s="12" t="s">
        <v>640</v>
      </c>
      <c r="G1061" s="16"/>
      <c r="H1061" s="18"/>
      <c r="I1061" s="27" t="str">
        <f>IFERROR(VLOOKUP(Tabulka2[[#This Row],[Pracovník]],DATA!A:L,11,0),"")</f>
        <v>BATZ 2</v>
      </c>
      <c r="J1061" s="16"/>
      <c r="K1061" s="19"/>
    </row>
    <row r="1062" spans="1:11" x14ac:dyDescent="0.25">
      <c r="A10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62" s="22">
        <v>45931</v>
      </c>
      <c r="C1062" s="16" t="s">
        <v>25</v>
      </c>
      <c r="D1062" s="16" t="s">
        <v>715</v>
      </c>
      <c r="E1062" s="17">
        <f>IFERROR(VLOOKUP(Tabulka2[[#This Row],[Pracovník]],DATA!A:L,5,0),"")</f>
        <v>2230</v>
      </c>
      <c r="F1062" s="12" t="s">
        <v>640</v>
      </c>
      <c r="G1062" s="16"/>
      <c r="H1062" s="18"/>
      <c r="I1062" s="27" t="str">
        <f>IFERROR(VLOOKUP(Tabulka2[[#This Row],[Pracovník]],DATA!A:L,11,0),"")</f>
        <v>BATZ 1</v>
      </c>
      <c r="J1062" s="16"/>
      <c r="K1062" s="19"/>
    </row>
    <row r="1063" spans="1:11" x14ac:dyDescent="0.25">
      <c r="A10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63" s="22">
        <v>45931</v>
      </c>
      <c r="C1063" s="16" t="s">
        <v>25</v>
      </c>
      <c r="D1063" s="16" t="s">
        <v>716</v>
      </c>
      <c r="E1063" s="17">
        <f>IFERROR(VLOOKUP(Tabulka2[[#This Row],[Pracovník]],DATA!A:L,5,0),"")</f>
        <v>5310</v>
      </c>
      <c r="F1063" s="12" t="s">
        <v>654</v>
      </c>
      <c r="G1063" s="16"/>
      <c r="H1063" s="18"/>
      <c r="I1063" s="27" t="str">
        <f>IFERROR(VLOOKUP(Tabulka2[[#This Row],[Pracovník]],DATA!A:L,11,0),"")</f>
        <v>BATZ 1</v>
      </c>
      <c r="J1063" s="16"/>
      <c r="K1063" s="19"/>
    </row>
    <row r="1064" spans="1:11" x14ac:dyDescent="0.25">
      <c r="A10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64" s="22">
        <v>45931</v>
      </c>
      <c r="C1064" s="16" t="s">
        <v>25</v>
      </c>
      <c r="D1064" s="16" t="s">
        <v>717</v>
      </c>
      <c r="E1064" s="17">
        <f>IFERROR(VLOOKUP(Tabulka2[[#This Row],[Pracovník]],DATA!A:L,5,0),"")</f>
        <v>5948</v>
      </c>
      <c r="F1064" s="12" t="s">
        <v>654</v>
      </c>
      <c r="G1064" s="16"/>
      <c r="H1064" s="18"/>
      <c r="I1064" s="27" t="str">
        <f>IFERROR(VLOOKUP(Tabulka2[[#This Row],[Pracovník]],DATA!A:L,11,0),"")</f>
        <v>BATZ 1</v>
      </c>
      <c r="J1064" s="16"/>
      <c r="K1064" s="19"/>
    </row>
    <row r="1065" spans="1:11" x14ac:dyDescent="0.25">
      <c r="A10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65" s="22">
        <v>45931</v>
      </c>
      <c r="C1065" s="16" t="s">
        <v>25</v>
      </c>
      <c r="D1065" s="16" t="s">
        <v>718</v>
      </c>
      <c r="E1065" s="17">
        <f>IFERROR(VLOOKUP(Tabulka2[[#This Row],[Pracovník]],DATA!A:L,5,0),"")</f>
        <v>6549</v>
      </c>
      <c r="F1065" s="12" t="s">
        <v>640</v>
      </c>
      <c r="G1065" s="16"/>
      <c r="H1065" s="18"/>
      <c r="I1065" s="27" t="str">
        <f>IFERROR(VLOOKUP(Tabulka2[[#This Row],[Pracovník]],DATA!A:L,11,0),"")</f>
        <v>BATZ 1</v>
      </c>
      <c r="J1065" s="16"/>
      <c r="K1065" s="19"/>
    </row>
    <row r="1066" spans="1:11" x14ac:dyDescent="0.25">
      <c r="A10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66" s="22">
        <v>45931</v>
      </c>
      <c r="C1066" s="16" t="s">
        <v>25</v>
      </c>
      <c r="D1066" s="16" t="s">
        <v>977</v>
      </c>
      <c r="E1066" s="17">
        <f>IFERROR(VLOOKUP(Tabulka2[[#This Row],[Pracovník]],DATA!A:L,5,0),"")</f>
        <v>6538</v>
      </c>
      <c r="F1066" s="12" t="s">
        <v>640</v>
      </c>
      <c r="G1066" s="16"/>
      <c r="H1066" s="18"/>
      <c r="I1066" s="27" t="str">
        <f>IFERROR(VLOOKUP(Tabulka2[[#This Row],[Pracovník]],DATA!A:L,11,0),"")</f>
        <v>BATZ 1</v>
      </c>
      <c r="J1066" s="16"/>
      <c r="K1066" s="19"/>
    </row>
    <row r="1067" spans="1:11" x14ac:dyDescent="0.25">
      <c r="A10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67" s="22">
        <v>45931</v>
      </c>
      <c r="C1067" s="16" t="s">
        <v>25</v>
      </c>
      <c r="D1067" s="16" t="s">
        <v>719</v>
      </c>
      <c r="E1067" s="17">
        <f>IFERROR(VLOOKUP(Tabulka2[[#This Row],[Pracovník]],DATA!A:L,5,0),"")</f>
        <v>5715</v>
      </c>
      <c r="F1067" s="12" t="s">
        <v>655</v>
      </c>
      <c r="G1067" s="16"/>
      <c r="H1067" s="18"/>
      <c r="I1067" s="27" t="str">
        <f>IFERROR(VLOOKUP(Tabulka2[[#This Row],[Pracovník]],DATA!A:L,11,0),"")</f>
        <v>BATZ 1</v>
      </c>
      <c r="J1067" s="16"/>
      <c r="K1067" s="19"/>
    </row>
    <row r="1068" spans="1:11" x14ac:dyDescent="0.25">
      <c r="A10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68" s="22">
        <v>45931</v>
      </c>
      <c r="C1068" s="16" t="s">
        <v>25</v>
      </c>
      <c r="D1068" s="16" t="s">
        <v>720</v>
      </c>
      <c r="E1068" s="17">
        <f>IFERROR(VLOOKUP(Tabulka2[[#This Row],[Pracovník]],DATA!A:L,5,0),"")</f>
        <v>4514</v>
      </c>
      <c r="F1068" s="12" t="s">
        <v>655</v>
      </c>
      <c r="G1068" s="16"/>
      <c r="H1068" s="18"/>
      <c r="I1068" s="27" t="str">
        <f>IFERROR(VLOOKUP(Tabulka2[[#This Row],[Pracovník]],DATA!A:L,11,0),"")</f>
        <v>BATZ 1</v>
      </c>
      <c r="J1068" s="16"/>
      <c r="K1068" s="19"/>
    </row>
    <row r="1069" spans="1:11" x14ac:dyDescent="0.25">
      <c r="A10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69" s="22">
        <v>45931</v>
      </c>
      <c r="C1069" s="16" t="s">
        <v>25</v>
      </c>
      <c r="D1069" s="16" t="s">
        <v>721</v>
      </c>
      <c r="E1069" s="17">
        <f>IFERROR(VLOOKUP(Tabulka2[[#This Row],[Pracovník]],DATA!A:L,5,0),"")</f>
        <v>5176</v>
      </c>
      <c r="F1069" s="12" t="s">
        <v>654</v>
      </c>
      <c r="G1069" s="16"/>
      <c r="H1069" s="18"/>
      <c r="I1069" s="27" t="str">
        <f>IFERROR(VLOOKUP(Tabulka2[[#This Row],[Pracovník]],DATA!A:L,11,0),"")</f>
        <v>BATZ 1</v>
      </c>
      <c r="J1069" s="16"/>
      <c r="K1069" s="19"/>
    </row>
    <row r="1070" spans="1:11" x14ac:dyDescent="0.25">
      <c r="A10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70" s="22">
        <v>45931</v>
      </c>
      <c r="C1070" s="16" t="s">
        <v>25</v>
      </c>
      <c r="D1070" s="16" t="s">
        <v>722</v>
      </c>
      <c r="E1070" s="17">
        <f>IFERROR(VLOOKUP(Tabulka2[[#This Row],[Pracovník]],DATA!A:L,5,0),"")</f>
        <v>4163</v>
      </c>
      <c r="F1070" s="12" t="s">
        <v>655</v>
      </c>
      <c r="G1070" s="16"/>
      <c r="H1070" s="18"/>
      <c r="I1070" s="27" t="str">
        <f>IFERROR(VLOOKUP(Tabulka2[[#This Row],[Pracovník]],DATA!A:L,11,0),"")</f>
        <v>BATZ 1</v>
      </c>
      <c r="J1070" s="16"/>
      <c r="K1070" s="19"/>
    </row>
    <row r="1071" spans="1:11" x14ac:dyDescent="0.25">
      <c r="A10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71" s="22">
        <v>45931</v>
      </c>
      <c r="C1071" s="16" t="s">
        <v>25</v>
      </c>
      <c r="D1071" s="16" t="s">
        <v>723</v>
      </c>
      <c r="E1071" s="17">
        <f>IFERROR(VLOOKUP(Tabulka2[[#This Row],[Pracovník]],DATA!A:L,5,0),"")</f>
        <v>3920</v>
      </c>
      <c r="F1071" s="12" t="s">
        <v>640</v>
      </c>
      <c r="G1071" s="16"/>
      <c r="H1071" s="18"/>
      <c r="I1071" s="27" t="str">
        <f>IFERROR(VLOOKUP(Tabulka2[[#This Row],[Pracovník]],DATA!A:L,11,0),"")</f>
        <v>BATZ 2</v>
      </c>
      <c r="J1071" s="16"/>
      <c r="K1071" s="19"/>
    </row>
    <row r="1072" spans="1:11" x14ac:dyDescent="0.25">
      <c r="A10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72" s="22">
        <v>45931</v>
      </c>
      <c r="C1072" s="16" t="s">
        <v>25</v>
      </c>
      <c r="D1072" s="16" t="s">
        <v>724</v>
      </c>
      <c r="E1072" s="17">
        <f>IFERROR(VLOOKUP(Tabulka2[[#This Row],[Pracovník]],DATA!A:L,5,0),"")</f>
        <v>3257</v>
      </c>
      <c r="F1072" s="12" t="s">
        <v>655</v>
      </c>
      <c r="G1072" s="16"/>
      <c r="H1072" s="18"/>
      <c r="I1072" s="27" t="str">
        <f>IFERROR(VLOOKUP(Tabulka2[[#This Row],[Pracovník]],DATA!A:L,11,0),"")</f>
        <v>BATZ 1</v>
      </c>
      <c r="J1072" s="16"/>
      <c r="K1072" s="19"/>
    </row>
    <row r="1073" spans="1:11" x14ac:dyDescent="0.25">
      <c r="A10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73" s="22">
        <v>45931</v>
      </c>
      <c r="C1073" s="16" t="s">
        <v>25</v>
      </c>
      <c r="D1073" s="16" t="s">
        <v>725</v>
      </c>
      <c r="E1073" s="17">
        <f>IFERROR(VLOOKUP(Tabulka2[[#This Row],[Pracovník]],DATA!A:L,5,0),"")</f>
        <v>3394</v>
      </c>
      <c r="F1073" s="12" t="s">
        <v>653</v>
      </c>
      <c r="G1073" s="16" t="s">
        <v>656</v>
      </c>
      <c r="H1073" s="18"/>
      <c r="I1073" s="27" t="str">
        <f>IFERROR(VLOOKUP(Tabulka2[[#This Row],[Pracovník]],DATA!A:L,11,0),"")</f>
        <v>BATZ 1</v>
      </c>
      <c r="J1073" s="16"/>
      <c r="K1073" s="19"/>
    </row>
    <row r="1074" spans="1:11" x14ac:dyDescent="0.25">
      <c r="A10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74" s="22">
        <v>45931</v>
      </c>
      <c r="C1074" s="16" t="s">
        <v>25</v>
      </c>
      <c r="D1074" s="16" t="s">
        <v>726</v>
      </c>
      <c r="E1074" s="17">
        <f>IFERROR(VLOOKUP(Tabulka2[[#This Row],[Pracovník]],DATA!A:L,5,0),"")</f>
        <v>4828</v>
      </c>
      <c r="F1074" s="12" t="s">
        <v>654</v>
      </c>
      <c r="G1074" s="16"/>
      <c r="H1074" s="18"/>
      <c r="I1074" s="27" t="str">
        <f>IFERROR(VLOOKUP(Tabulka2[[#This Row],[Pracovník]],DATA!A:L,11,0),"")</f>
        <v>BATZ 2</v>
      </c>
      <c r="J1074" s="16"/>
      <c r="K1074" s="19"/>
    </row>
    <row r="1075" spans="1:11" x14ac:dyDescent="0.25">
      <c r="A10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75" s="22">
        <v>45931</v>
      </c>
      <c r="C1075" s="16" t="s">
        <v>25</v>
      </c>
      <c r="D1075" s="16" t="s">
        <v>727</v>
      </c>
      <c r="E1075" s="17">
        <f>IFERROR(VLOOKUP(Tabulka2[[#This Row],[Pracovník]],DATA!A:L,5,0),"")</f>
        <v>4155</v>
      </c>
      <c r="F1075" s="12" t="s">
        <v>640</v>
      </c>
      <c r="G1075" s="16"/>
      <c r="H1075" s="18"/>
      <c r="I1075" s="27" t="str">
        <f>IFERROR(VLOOKUP(Tabulka2[[#This Row],[Pracovník]],DATA!A:L,11,0),"")</f>
        <v>BATZ 1</v>
      </c>
      <c r="J1075" s="16"/>
      <c r="K1075" s="19"/>
    </row>
    <row r="1076" spans="1:11" x14ac:dyDescent="0.25">
      <c r="A10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76" s="22">
        <v>45931</v>
      </c>
      <c r="C1076" s="16" t="s">
        <v>25</v>
      </c>
      <c r="D1076" s="16" t="s">
        <v>728</v>
      </c>
      <c r="E1076" s="17">
        <f>IFERROR(VLOOKUP(Tabulka2[[#This Row],[Pracovník]],DATA!A:L,5,0),"")</f>
        <v>0</v>
      </c>
      <c r="F1076" s="12" t="s">
        <v>640</v>
      </c>
      <c r="G1076" s="16"/>
      <c r="H1076" s="18"/>
      <c r="I1076" s="27" t="str">
        <f>IFERROR(VLOOKUP(Tabulka2[[#This Row],[Pracovník]],DATA!A:L,11,0),"")</f>
        <v>BATZ 1</v>
      </c>
      <c r="J1076" s="16"/>
      <c r="K1076" s="19"/>
    </row>
    <row r="1077" spans="1:11" x14ac:dyDescent="0.25">
      <c r="A10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77" s="22">
        <v>45931</v>
      </c>
      <c r="C1077" s="16" t="s">
        <v>25</v>
      </c>
      <c r="D1077" s="16" t="s">
        <v>729</v>
      </c>
      <c r="E1077" s="17">
        <f>IFERROR(VLOOKUP(Tabulka2[[#This Row],[Pracovník]],DATA!A:L,5,0),"")</f>
        <v>5179</v>
      </c>
      <c r="F1077" s="12" t="s">
        <v>654</v>
      </c>
      <c r="G1077" s="16"/>
      <c r="H1077" s="18"/>
      <c r="I1077" s="27" t="str">
        <f>IFERROR(VLOOKUP(Tabulka2[[#This Row],[Pracovník]],DATA!A:L,11,0),"")</f>
        <v>BATZ 1</v>
      </c>
      <c r="J1077" s="16"/>
      <c r="K1077" s="19"/>
    </row>
    <row r="1078" spans="1:11" x14ac:dyDescent="0.25">
      <c r="A10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78" s="22">
        <v>45931</v>
      </c>
      <c r="C1078" s="16" t="s">
        <v>25</v>
      </c>
      <c r="D1078" s="16" t="s">
        <v>730</v>
      </c>
      <c r="E1078" s="17">
        <f>IFERROR(VLOOKUP(Tabulka2[[#This Row],[Pracovník]],DATA!A:L,5,0),"")</f>
        <v>4912</v>
      </c>
      <c r="F1078" s="12" t="s">
        <v>655</v>
      </c>
      <c r="G1078" s="16"/>
      <c r="H1078" s="18"/>
      <c r="I1078" s="27" t="str">
        <f>IFERROR(VLOOKUP(Tabulka2[[#This Row],[Pracovník]],DATA!A:L,11,0),"")</f>
        <v>BATZ 2</v>
      </c>
      <c r="J1078" s="16"/>
      <c r="K1078" s="19"/>
    </row>
    <row r="1079" spans="1:11" x14ac:dyDescent="0.25">
      <c r="A10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79" s="22">
        <v>45931</v>
      </c>
      <c r="C1079" s="16" t="s">
        <v>25</v>
      </c>
      <c r="D1079" s="16" t="s">
        <v>713</v>
      </c>
      <c r="E1079" s="17">
        <f>IFERROR(VLOOKUP(Tabulka2[[#This Row],[Pracovník]],DATA!A:L,5,0),"")</f>
        <v>6507</v>
      </c>
      <c r="F1079" s="12" t="s">
        <v>640</v>
      </c>
      <c r="G1079" s="16"/>
      <c r="H1079" s="18"/>
      <c r="I1079" s="27" t="str">
        <f>IFERROR(VLOOKUP(Tabulka2[[#This Row],[Pracovník]],DATA!A:L,11,0),"")</f>
        <v>BATZ 1</v>
      </c>
      <c r="J1079" s="16"/>
      <c r="K1079" s="19"/>
    </row>
    <row r="1080" spans="1:11" x14ac:dyDescent="0.25">
      <c r="A10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80" s="22">
        <v>45931</v>
      </c>
      <c r="C1080" s="16" t="s">
        <v>25</v>
      </c>
      <c r="D1080" s="16" t="s">
        <v>732</v>
      </c>
      <c r="E1080" s="17">
        <f>IFERROR(VLOOKUP(Tabulka2[[#This Row],[Pracovník]],DATA!A:L,5,0),"")</f>
        <v>3937</v>
      </c>
      <c r="F1080" s="12" t="s">
        <v>655</v>
      </c>
      <c r="G1080" s="16"/>
      <c r="H1080" s="18"/>
      <c r="I1080" s="27" t="str">
        <f>IFERROR(VLOOKUP(Tabulka2[[#This Row],[Pracovník]],DATA!A:L,11,0),"")</f>
        <v>BATZ 1</v>
      </c>
      <c r="J1080" s="16"/>
      <c r="K1080" s="19"/>
    </row>
    <row r="1081" spans="1:11" x14ac:dyDescent="0.25">
      <c r="A10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81" s="22">
        <v>45931</v>
      </c>
      <c r="C1081" s="16" t="s">
        <v>25</v>
      </c>
      <c r="D1081" s="16" t="s">
        <v>733</v>
      </c>
      <c r="E1081" s="17">
        <f>IFERROR(VLOOKUP(Tabulka2[[#This Row],[Pracovník]],DATA!A:L,5,0),"")</f>
        <v>6076</v>
      </c>
      <c r="F1081" s="12" t="s">
        <v>654</v>
      </c>
      <c r="G1081" s="16"/>
      <c r="H1081" s="18"/>
      <c r="I1081" s="27" t="str">
        <f>IFERROR(VLOOKUP(Tabulka2[[#This Row],[Pracovník]],DATA!A:L,11,0),"")</f>
        <v>BATZ 1</v>
      </c>
      <c r="J1081" s="16"/>
      <c r="K1081" s="19"/>
    </row>
    <row r="1082" spans="1:11" x14ac:dyDescent="0.25">
      <c r="A10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82" s="22">
        <v>45931</v>
      </c>
      <c r="C1082" s="16" t="s">
        <v>25</v>
      </c>
      <c r="D1082" s="16" t="s">
        <v>734</v>
      </c>
      <c r="E1082" s="17">
        <f>IFERROR(VLOOKUP(Tabulka2[[#This Row],[Pracovník]],DATA!A:L,5,0),"")</f>
        <v>3648</v>
      </c>
      <c r="F1082" s="12" t="s">
        <v>640</v>
      </c>
      <c r="G1082" s="16"/>
      <c r="H1082" s="18"/>
      <c r="I1082" s="27" t="str">
        <f>IFERROR(VLOOKUP(Tabulka2[[#This Row],[Pracovník]],DATA!A:L,11,0),"")</f>
        <v>BATZ 1</v>
      </c>
      <c r="J1082" s="16"/>
      <c r="K1082" s="19"/>
    </row>
    <row r="1083" spans="1:11" x14ac:dyDescent="0.25">
      <c r="A10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83" s="22">
        <v>45931</v>
      </c>
      <c r="C1083" s="16" t="s">
        <v>25</v>
      </c>
      <c r="D1083" s="16" t="s">
        <v>735</v>
      </c>
      <c r="E1083" s="17">
        <f>IFERROR(VLOOKUP(Tabulka2[[#This Row],[Pracovník]],DATA!A:L,5,0),"")</f>
        <v>4602</v>
      </c>
      <c r="F1083" s="12" t="s">
        <v>654</v>
      </c>
      <c r="G1083" s="16"/>
      <c r="H1083" s="18"/>
      <c r="I1083" s="27" t="str">
        <f>IFERROR(VLOOKUP(Tabulka2[[#This Row],[Pracovník]],DATA!A:L,11,0),"")</f>
        <v>BATZ 1</v>
      </c>
      <c r="J1083" s="16"/>
      <c r="K1083" s="19"/>
    </row>
    <row r="1084" spans="1:11" x14ac:dyDescent="0.25">
      <c r="A10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84" s="22">
        <v>45931</v>
      </c>
      <c r="C1084" s="16" t="s">
        <v>25</v>
      </c>
      <c r="D1084" s="16" t="s">
        <v>736</v>
      </c>
      <c r="E1084" s="17">
        <f>IFERROR(VLOOKUP(Tabulka2[[#This Row],[Pracovník]],DATA!A:L,5,0),"")</f>
        <v>4940</v>
      </c>
      <c r="F1084" s="12" t="s">
        <v>655</v>
      </c>
      <c r="G1084" s="16"/>
      <c r="H1084" s="18"/>
      <c r="I1084" s="27" t="str">
        <f>IFERROR(VLOOKUP(Tabulka2[[#This Row],[Pracovník]],DATA!A:L,11,0),"")</f>
        <v>BATZ 1</v>
      </c>
      <c r="J1084" s="16"/>
      <c r="K1084" s="19"/>
    </row>
    <row r="1085" spans="1:11" x14ac:dyDescent="0.25">
      <c r="A10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85" s="22">
        <v>45931</v>
      </c>
      <c r="C1085" s="16" t="s">
        <v>25</v>
      </c>
      <c r="D1085" s="16" t="s">
        <v>737</v>
      </c>
      <c r="E1085" s="17">
        <f>IFERROR(VLOOKUP(Tabulka2[[#This Row],[Pracovník]],DATA!A:L,5,0),"")</f>
        <v>5660</v>
      </c>
      <c r="F1085" s="12" t="s">
        <v>655</v>
      </c>
      <c r="G1085" s="16"/>
      <c r="H1085" s="18"/>
      <c r="I1085" s="27" t="str">
        <f>IFERROR(VLOOKUP(Tabulka2[[#This Row],[Pracovník]],DATA!A:L,11,0),"")</f>
        <v>BATZ 1</v>
      </c>
      <c r="J1085" s="16"/>
      <c r="K1085" s="19"/>
    </row>
    <row r="1086" spans="1:11" x14ac:dyDescent="0.25">
      <c r="A10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86" s="22">
        <v>45931</v>
      </c>
      <c r="C1086" s="16" t="s">
        <v>25</v>
      </c>
      <c r="D1086" s="16" t="s">
        <v>738</v>
      </c>
      <c r="E1086" s="17">
        <f>IFERROR(VLOOKUP(Tabulka2[[#This Row],[Pracovník]],DATA!A:L,5,0),"")</f>
        <v>6243</v>
      </c>
      <c r="F1086" s="12" t="s">
        <v>640</v>
      </c>
      <c r="G1086" s="16"/>
      <c r="H1086" s="18"/>
      <c r="I1086" s="27" t="str">
        <f>IFERROR(VLOOKUP(Tabulka2[[#This Row],[Pracovník]],DATA!A:L,11,0),"")</f>
        <v>BATZ 2</v>
      </c>
      <c r="J1086" s="16"/>
      <c r="K1086" s="19"/>
    </row>
    <row r="1087" spans="1:11" x14ac:dyDescent="0.25">
      <c r="A10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87" s="22">
        <v>45931</v>
      </c>
      <c r="C1087" s="16" t="s">
        <v>25</v>
      </c>
      <c r="D1087" s="16" t="s">
        <v>739</v>
      </c>
      <c r="E1087" s="17">
        <f>IFERROR(VLOOKUP(Tabulka2[[#This Row],[Pracovník]],DATA!A:L,5,0),"")</f>
        <v>6339</v>
      </c>
      <c r="F1087" s="12" t="s">
        <v>653</v>
      </c>
      <c r="G1087" s="16" t="s">
        <v>657</v>
      </c>
      <c r="H1087" s="18"/>
      <c r="I1087" s="27" t="str">
        <f>IFERROR(VLOOKUP(Tabulka2[[#This Row],[Pracovník]],DATA!A:L,11,0),"")</f>
        <v>BATZ 1</v>
      </c>
      <c r="J1087" s="16"/>
      <c r="K1087" s="19"/>
    </row>
    <row r="1088" spans="1:11" x14ac:dyDescent="0.25">
      <c r="A10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88" s="22">
        <v>45931</v>
      </c>
      <c r="C1088" s="16" t="s">
        <v>25</v>
      </c>
      <c r="D1088" s="16" t="s">
        <v>740</v>
      </c>
      <c r="E1088" s="17">
        <f>IFERROR(VLOOKUP(Tabulka2[[#This Row],[Pracovník]],DATA!A:L,5,0),"")</f>
        <v>4928</v>
      </c>
      <c r="F1088" s="12" t="s">
        <v>654</v>
      </c>
      <c r="G1088" s="16"/>
      <c r="H1088" s="18"/>
      <c r="I1088" s="27" t="str">
        <f>IFERROR(VLOOKUP(Tabulka2[[#This Row],[Pracovník]],DATA!A:L,11,0),"")</f>
        <v>BATZ 1</v>
      </c>
      <c r="J1088" s="16"/>
      <c r="K1088" s="19"/>
    </row>
    <row r="1089" spans="1:11" x14ac:dyDescent="0.25">
      <c r="A10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89" s="22">
        <v>45931</v>
      </c>
      <c r="C1089" s="16" t="s">
        <v>25</v>
      </c>
      <c r="D1089" s="16" t="s">
        <v>731</v>
      </c>
      <c r="E1089" s="17">
        <f>IFERROR(VLOOKUP(Tabulka2[[#This Row],[Pracovník]],DATA!A:L,5,0),"")</f>
        <v>0</v>
      </c>
      <c r="F1089" s="12" t="s">
        <v>655</v>
      </c>
      <c r="G1089" s="16"/>
      <c r="H1089" s="18"/>
      <c r="I1089" s="27" t="str">
        <f>IFERROR(VLOOKUP(Tabulka2[[#This Row],[Pracovník]],DATA!A:L,11,0),"")</f>
        <v>BATZ 1</v>
      </c>
      <c r="J1089" s="16"/>
      <c r="K1089" s="19"/>
    </row>
    <row r="1090" spans="1:11" x14ac:dyDescent="0.25">
      <c r="A10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90" s="22">
        <v>45931</v>
      </c>
      <c r="C1090" s="16" t="s">
        <v>25</v>
      </c>
      <c r="D1090" s="16" t="s">
        <v>924</v>
      </c>
      <c r="E1090" s="17">
        <f>IFERROR(VLOOKUP(Tabulka2[[#This Row],[Pracovník]],DATA!A:L,5,0),"")</f>
        <v>6581</v>
      </c>
      <c r="F1090" s="12" t="s">
        <v>640</v>
      </c>
      <c r="G1090" s="16"/>
      <c r="H1090" s="18"/>
      <c r="I1090" s="27" t="str">
        <f>IFERROR(VLOOKUP(Tabulka2[[#This Row],[Pracovník]],DATA!A:L,11,0),"")</f>
        <v>BATZ 1</v>
      </c>
      <c r="J1090" s="16"/>
      <c r="K1090" s="19"/>
    </row>
    <row r="1091" spans="1:11" x14ac:dyDescent="0.25">
      <c r="A10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91" s="22">
        <v>45931</v>
      </c>
      <c r="C1091" s="16" t="s">
        <v>96</v>
      </c>
      <c r="D1091" s="16" t="s">
        <v>641</v>
      </c>
      <c r="E1091" s="17">
        <f>IFERROR(VLOOKUP(Tabulka2[[#This Row],[Pracovník]],DATA!A:L,5,0),"")</f>
        <v>6259</v>
      </c>
      <c r="F1091" s="12" t="s">
        <v>653</v>
      </c>
      <c r="G1091" s="16" t="s">
        <v>916</v>
      </c>
      <c r="H1091" s="18"/>
      <c r="I1091" s="27" t="str">
        <f>IFERROR(VLOOKUP(Tabulka2[[#This Row],[Pracovník]],DATA!A:L,11,0),"")</f>
        <v>Vlastní auto</v>
      </c>
      <c r="J1091" s="16"/>
      <c r="K1091" s="19"/>
    </row>
    <row r="1092" spans="1:11" x14ac:dyDescent="0.25">
      <c r="A10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92" s="22">
        <v>45931</v>
      </c>
      <c r="C1092" s="16" t="s">
        <v>96</v>
      </c>
      <c r="D1092" s="16" t="s">
        <v>649</v>
      </c>
      <c r="E1092" s="17">
        <f>IFERROR(VLOOKUP(Tabulka2[[#This Row],[Pracovník]],DATA!A:L,5,0),"")</f>
        <v>3951</v>
      </c>
      <c r="F1092" s="12" t="s">
        <v>640</v>
      </c>
      <c r="G1092" s="16"/>
      <c r="H1092" s="18"/>
      <c r="I1092" s="27" t="str">
        <f>IFERROR(VLOOKUP(Tabulka2[[#This Row],[Pracovník]],DATA!A:L,11,0),"")</f>
        <v>Vlastní auto</v>
      </c>
      <c r="J1092" s="16"/>
      <c r="K1092" s="19"/>
    </row>
    <row r="1093" spans="1:11" x14ac:dyDescent="0.25">
      <c r="A10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93" s="22">
        <v>45931</v>
      </c>
      <c r="C1093" s="16" t="s">
        <v>96</v>
      </c>
      <c r="D1093" s="16" t="s">
        <v>742</v>
      </c>
      <c r="E1093" s="17">
        <f>IFERROR(VLOOKUP(Tabulka2[[#This Row],[Pracovník]],DATA!A:L,5,0),"")</f>
        <v>6450</v>
      </c>
      <c r="F1093" s="12" t="s">
        <v>654</v>
      </c>
      <c r="G1093" s="16"/>
      <c r="H1093" s="18"/>
      <c r="I1093" s="27" t="str">
        <f>IFERROR(VLOOKUP(Tabulka2[[#This Row],[Pracovník]],DATA!A:L,11,0),"")</f>
        <v>DSC 2</v>
      </c>
      <c r="J1093" s="16"/>
      <c r="K1093" s="19"/>
    </row>
    <row r="1094" spans="1:11" x14ac:dyDescent="0.25">
      <c r="A10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94" s="22">
        <v>45931</v>
      </c>
      <c r="C1094" s="16" t="s">
        <v>96</v>
      </c>
      <c r="D1094" s="16" t="s">
        <v>744</v>
      </c>
      <c r="E1094" s="17">
        <f>IFERROR(VLOOKUP(Tabulka2[[#This Row],[Pracovník]],DATA!A:L,5,0),"")</f>
        <v>5584</v>
      </c>
      <c r="F1094" s="12" t="s">
        <v>654</v>
      </c>
      <c r="G1094" s="16"/>
      <c r="H1094" s="18"/>
      <c r="I1094" s="27" t="str">
        <f>IFERROR(VLOOKUP(Tabulka2[[#This Row],[Pracovník]],DATA!A:L,11,0),"")</f>
        <v>Vlastní auto</v>
      </c>
      <c r="J1094" s="16"/>
      <c r="K1094" s="19"/>
    </row>
    <row r="1095" spans="1:11" x14ac:dyDescent="0.25">
      <c r="A10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95" s="22">
        <v>45931</v>
      </c>
      <c r="C1095" s="16" t="s">
        <v>96</v>
      </c>
      <c r="D1095" s="16" t="s">
        <v>745</v>
      </c>
      <c r="E1095" s="17">
        <f>IFERROR(VLOOKUP(Tabulka2[[#This Row],[Pracovník]],DATA!A:L,5,0),"")</f>
        <v>6418</v>
      </c>
      <c r="F1095" s="12" t="s">
        <v>653</v>
      </c>
      <c r="G1095" s="16" t="s">
        <v>916</v>
      </c>
      <c r="H1095" s="18"/>
      <c r="I1095" s="27" t="str">
        <f>IFERROR(VLOOKUP(Tabulka2[[#This Row],[Pracovník]],DATA!A:L,11,0),"")</f>
        <v>Vlastní auto</v>
      </c>
      <c r="J1095" s="16"/>
      <c r="K1095" s="19"/>
    </row>
    <row r="1096" spans="1:11" x14ac:dyDescent="0.25">
      <c r="A10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96" s="22">
        <v>45931</v>
      </c>
      <c r="C1096" s="16" t="s">
        <v>96</v>
      </c>
      <c r="D1096" s="16" t="s">
        <v>747</v>
      </c>
      <c r="E1096" s="17">
        <f>IFERROR(VLOOKUP(Tabulka2[[#This Row],[Pracovník]],DATA!A:L,5,0),"")</f>
        <v>6177</v>
      </c>
      <c r="F1096" s="12" t="s">
        <v>654</v>
      </c>
      <c r="G1096" s="16"/>
      <c r="H1096" s="18"/>
      <c r="I1096" s="27" t="str">
        <f>IFERROR(VLOOKUP(Tabulka2[[#This Row],[Pracovník]],DATA!A:L,11,0),"")</f>
        <v>DSC 1</v>
      </c>
      <c r="J1096" s="16"/>
      <c r="K1096" s="19"/>
    </row>
    <row r="1097" spans="1:11" x14ac:dyDescent="0.25">
      <c r="A10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97" s="22">
        <v>45931</v>
      </c>
      <c r="C1097" s="16" t="s">
        <v>96</v>
      </c>
      <c r="D1097" s="16" t="s">
        <v>746</v>
      </c>
      <c r="E1097" s="17">
        <f>IFERROR(VLOOKUP(Tabulka2[[#This Row],[Pracovník]],DATA!A:L,5,0),"")</f>
        <v>6543</v>
      </c>
      <c r="F1097" s="12" t="s">
        <v>640</v>
      </c>
      <c r="G1097" s="16"/>
      <c r="H1097" s="18"/>
      <c r="I1097" s="27" t="str">
        <f>IFERROR(VLOOKUP(Tabulka2[[#This Row],[Pracovník]],DATA!A:L,11,0),"")</f>
        <v>DSC 1</v>
      </c>
      <c r="J1097" s="16"/>
      <c r="K1097" s="19"/>
    </row>
    <row r="1098" spans="1:11" x14ac:dyDescent="0.25">
      <c r="A10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98" s="22">
        <v>45931</v>
      </c>
      <c r="C1098" s="16" t="s">
        <v>96</v>
      </c>
      <c r="D1098" s="16" t="s">
        <v>748</v>
      </c>
      <c r="E1098" s="17">
        <f>IFERROR(VLOOKUP(Tabulka2[[#This Row],[Pracovník]],DATA!A:L,5,0),"")</f>
        <v>6541</v>
      </c>
      <c r="F1098" s="12" t="s">
        <v>654</v>
      </c>
      <c r="G1098" s="16"/>
      <c r="H1098" s="18"/>
      <c r="I1098" s="27" t="str">
        <f>IFERROR(VLOOKUP(Tabulka2[[#This Row],[Pracovník]],DATA!A:L,11,0),"")</f>
        <v>DSC 2</v>
      </c>
      <c r="J1098" s="16"/>
      <c r="K1098" s="19"/>
    </row>
    <row r="1099" spans="1:11" x14ac:dyDescent="0.25">
      <c r="A10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099" s="22">
        <v>45931</v>
      </c>
      <c r="C1099" s="16" t="s">
        <v>96</v>
      </c>
      <c r="D1099" s="16" t="s">
        <v>749</v>
      </c>
      <c r="E1099" s="17">
        <f>IFERROR(VLOOKUP(Tabulka2[[#This Row],[Pracovník]],DATA!A:L,5,0),"")</f>
        <v>6442</v>
      </c>
      <c r="F1099" s="12" t="s">
        <v>640</v>
      </c>
      <c r="G1099" s="16"/>
      <c r="H1099" s="18"/>
      <c r="I1099" s="27" t="str">
        <f>IFERROR(VLOOKUP(Tabulka2[[#This Row],[Pracovník]],DATA!A:L,11,0),"")</f>
        <v>DSC 2</v>
      </c>
      <c r="J1099" s="16"/>
      <c r="K1099" s="19"/>
    </row>
    <row r="1100" spans="1:11" x14ac:dyDescent="0.25">
      <c r="A11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00" s="22">
        <v>45931</v>
      </c>
      <c r="C1100" s="16" t="s">
        <v>96</v>
      </c>
      <c r="D1100" s="16" t="s">
        <v>750</v>
      </c>
      <c r="E1100" s="17">
        <f>IFERROR(VLOOKUP(Tabulka2[[#This Row],[Pracovník]],DATA!A:L,5,0),"")</f>
        <v>6143</v>
      </c>
      <c r="F1100" s="12" t="s">
        <v>653</v>
      </c>
      <c r="G1100" s="16" t="s">
        <v>916</v>
      </c>
      <c r="H1100" s="18"/>
      <c r="I1100" s="27" t="str">
        <f>IFERROR(VLOOKUP(Tabulka2[[#This Row],[Pracovník]],DATA!A:L,11,0),"")</f>
        <v>Vlastní auto</v>
      </c>
      <c r="J1100" s="16"/>
      <c r="K1100" s="19"/>
    </row>
    <row r="1101" spans="1:11" x14ac:dyDescent="0.25">
      <c r="A11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01" s="22">
        <v>45931</v>
      </c>
      <c r="C1101" s="16" t="s">
        <v>96</v>
      </c>
      <c r="D1101" s="16" t="s">
        <v>751</v>
      </c>
      <c r="E1101" s="17">
        <f>IFERROR(VLOOKUP(Tabulka2[[#This Row],[Pracovník]],DATA!A:L,5,0),"")</f>
        <v>6260</v>
      </c>
      <c r="F1101" s="12" t="s">
        <v>653</v>
      </c>
      <c r="G1101" s="16" t="s">
        <v>916</v>
      </c>
      <c r="H1101" s="18"/>
      <c r="I1101" s="27" t="str">
        <f>IFERROR(VLOOKUP(Tabulka2[[#This Row],[Pracovník]],DATA!A:L,11,0),"")</f>
        <v>Vlastní auto</v>
      </c>
      <c r="J1101" s="16"/>
      <c r="K1101" s="19"/>
    </row>
    <row r="1102" spans="1:11" x14ac:dyDescent="0.25">
      <c r="A11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02" s="22">
        <v>45931</v>
      </c>
      <c r="C1102" s="16" t="s">
        <v>96</v>
      </c>
      <c r="D1102" s="16" t="s">
        <v>752</v>
      </c>
      <c r="E1102" s="17">
        <f>IFERROR(VLOOKUP(Tabulka2[[#This Row],[Pracovník]],DATA!A:L,5,0),"")</f>
        <v>6430</v>
      </c>
      <c r="F1102" s="12" t="s">
        <v>640</v>
      </c>
      <c r="G1102" s="16"/>
      <c r="H1102" s="18"/>
      <c r="I1102" s="27" t="str">
        <f>IFERROR(VLOOKUP(Tabulka2[[#This Row],[Pracovník]],DATA!A:L,11,0),"")</f>
        <v>Vlastní auto</v>
      </c>
      <c r="J1102" s="16"/>
      <c r="K1102" s="19"/>
    </row>
    <row r="1103" spans="1:11" x14ac:dyDescent="0.25">
      <c r="A11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03" s="22">
        <v>45931</v>
      </c>
      <c r="C1103" s="16" t="s">
        <v>96</v>
      </c>
      <c r="D1103" s="16" t="s">
        <v>753</v>
      </c>
      <c r="E1103" s="17">
        <f>IFERROR(VLOOKUP(Tabulka2[[#This Row],[Pracovník]],DATA!A:L,5,0),"")</f>
        <v>6016</v>
      </c>
      <c r="F1103" s="12" t="s">
        <v>654</v>
      </c>
      <c r="G1103" s="16"/>
      <c r="H1103" s="18"/>
      <c r="I1103" s="27" t="str">
        <f>IFERROR(VLOOKUP(Tabulka2[[#This Row],[Pracovník]],DATA!A:L,11,0),"")</f>
        <v>DSC 2</v>
      </c>
      <c r="J1103" s="16"/>
      <c r="K1103" s="19"/>
    </row>
    <row r="1104" spans="1:11" x14ac:dyDescent="0.25">
      <c r="A11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04" s="22">
        <v>45931</v>
      </c>
      <c r="C1104" s="16" t="s">
        <v>96</v>
      </c>
      <c r="D1104" s="16" t="s">
        <v>754</v>
      </c>
      <c r="E1104" s="17">
        <f>IFERROR(VLOOKUP(Tabulka2[[#This Row],[Pracovník]],DATA!A:L,5,0),"")</f>
        <v>6437</v>
      </c>
      <c r="F1104" s="12" t="s">
        <v>654</v>
      </c>
      <c r="G1104" s="16"/>
      <c r="H1104" s="18"/>
      <c r="I1104" s="27" t="str">
        <f>IFERROR(VLOOKUP(Tabulka2[[#This Row],[Pracovník]],DATA!A:L,11,0),"")</f>
        <v>DSC 2</v>
      </c>
      <c r="J1104" s="16"/>
      <c r="K1104" s="19"/>
    </row>
    <row r="1105" spans="1:11" x14ac:dyDescent="0.25">
      <c r="A11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05" s="22">
        <v>45931</v>
      </c>
      <c r="C1105" s="16" t="s">
        <v>96</v>
      </c>
      <c r="D1105" s="16" t="s">
        <v>756</v>
      </c>
      <c r="E1105" s="17">
        <f>IFERROR(VLOOKUP(Tabulka2[[#This Row],[Pracovník]],DATA!A:L,5,0),"")</f>
        <v>6431</v>
      </c>
      <c r="F1105" s="12" t="s">
        <v>653</v>
      </c>
      <c r="G1105" s="16" t="s">
        <v>656</v>
      </c>
      <c r="H1105" s="18"/>
      <c r="I1105" s="27" t="str">
        <f>IFERROR(VLOOKUP(Tabulka2[[#This Row],[Pracovník]],DATA!A:L,11,0),"")</f>
        <v>DSC 1</v>
      </c>
      <c r="J1105" s="16"/>
      <c r="K1105" s="19"/>
    </row>
    <row r="1106" spans="1:11" x14ac:dyDescent="0.25">
      <c r="A11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06" s="22">
        <v>45931</v>
      </c>
      <c r="C1106" s="16" t="s">
        <v>96</v>
      </c>
      <c r="D1106" s="16" t="s">
        <v>642</v>
      </c>
      <c r="E1106" s="17">
        <f>IFERROR(VLOOKUP(Tabulka2[[#This Row],[Pracovník]],DATA!A:L,5,0),"")</f>
        <v>6119</v>
      </c>
      <c r="F1106" s="12" t="s">
        <v>653</v>
      </c>
      <c r="G1106" s="16" t="s">
        <v>657</v>
      </c>
      <c r="H1106" s="18"/>
      <c r="I1106" s="27" t="str">
        <f>IFERROR(VLOOKUP(Tabulka2[[#This Row],[Pracovník]],DATA!A:L,11,0),"")</f>
        <v>DSC 1</v>
      </c>
      <c r="J1106" s="16"/>
      <c r="K1106" s="19"/>
    </row>
    <row r="1107" spans="1:11" x14ac:dyDescent="0.25">
      <c r="A11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07" s="22">
        <v>45931</v>
      </c>
      <c r="C1107" s="16" t="s">
        <v>96</v>
      </c>
      <c r="D1107" s="16" t="s">
        <v>757</v>
      </c>
      <c r="E1107" s="17">
        <f>IFERROR(VLOOKUP(Tabulka2[[#This Row],[Pracovník]],DATA!A:L,5,0),"")</f>
        <v>6559</v>
      </c>
      <c r="F1107" s="12" t="s">
        <v>653</v>
      </c>
      <c r="G1107" s="16" t="s">
        <v>916</v>
      </c>
      <c r="H1107" s="18"/>
      <c r="I1107" s="27" t="str">
        <f>IFERROR(VLOOKUP(Tabulka2[[#This Row],[Pracovník]],DATA!A:L,11,0),"")</f>
        <v>DSC 1</v>
      </c>
      <c r="J1107" s="16"/>
      <c r="K1107" s="19"/>
    </row>
    <row r="1108" spans="1:11" x14ac:dyDescent="0.25">
      <c r="A11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08" s="22">
        <v>45931</v>
      </c>
      <c r="C1108" s="16" t="s">
        <v>96</v>
      </c>
      <c r="D1108" s="16" t="s">
        <v>758</v>
      </c>
      <c r="E1108" s="17">
        <f>IFERROR(VLOOKUP(Tabulka2[[#This Row],[Pracovník]],DATA!A:L,5,0),"")</f>
        <v>4392</v>
      </c>
      <c r="F1108" s="12" t="s">
        <v>640</v>
      </c>
      <c r="G1108" s="16"/>
      <c r="H1108" s="18"/>
      <c r="I1108" s="27" t="str">
        <f>IFERROR(VLOOKUP(Tabulka2[[#This Row],[Pracovník]],DATA!A:L,11,0),"")</f>
        <v>DSC 1</v>
      </c>
      <c r="J1108" s="16"/>
      <c r="K1108" s="19"/>
    </row>
    <row r="1109" spans="1:11" x14ac:dyDescent="0.25">
      <c r="A11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09" s="22">
        <v>45931</v>
      </c>
      <c r="C1109" s="16" t="s">
        <v>96</v>
      </c>
      <c r="D1109" s="16" t="s">
        <v>760</v>
      </c>
      <c r="E1109" s="17">
        <f>IFERROR(VLOOKUP(Tabulka2[[#This Row],[Pracovník]],DATA!A:L,5,0),"")</f>
        <v>6514</v>
      </c>
      <c r="F1109" s="12" t="s">
        <v>653</v>
      </c>
      <c r="G1109" s="16" t="s">
        <v>916</v>
      </c>
      <c r="H1109" s="18"/>
      <c r="I1109" s="27" t="str">
        <f>IFERROR(VLOOKUP(Tabulka2[[#This Row],[Pracovník]],DATA!A:L,11,0),"")</f>
        <v>DSC 2</v>
      </c>
      <c r="J1109" s="16"/>
      <c r="K1109" s="19"/>
    </row>
    <row r="1110" spans="1:11" x14ac:dyDescent="0.25">
      <c r="A11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10" s="22">
        <v>45931</v>
      </c>
      <c r="C1110" s="16" t="s">
        <v>96</v>
      </c>
      <c r="D1110" s="16" t="s">
        <v>761</v>
      </c>
      <c r="E1110" s="17">
        <f>IFERROR(VLOOKUP(Tabulka2[[#This Row],[Pracovník]],DATA!A:L,5,0),"")</f>
        <v>6516</v>
      </c>
      <c r="F1110" s="12" t="s">
        <v>640</v>
      </c>
      <c r="G1110" s="16"/>
      <c r="H1110" s="18"/>
      <c r="I1110" s="27" t="str">
        <f>IFERROR(VLOOKUP(Tabulka2[[#This Row],[Pracovník]],DATA!A:L,11,0),"")</f>
        <v>DSC 1</v>
      </c>
      <c r="J1110" s="16"/>
      <c r="K1110" s="19"/>
    </row>
    <row r="1111" spans="1:11" x14ac:dyDescent="0.25">
      <c r="A11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11" s="22">
        <v>45931</v>
      </c>
      <c r="C1111" s="16" t="s">
        <v>96</v>
      </c>
      <c r="D1111" s="16" t="s">
        <v>762</v>
      </c>
      <c r="E1111" s="17">
        <f>IFERROR(VLOOKUP(Tabulka2[[#This Row],[Pracovník]],DATA!A:L,5,0),"")</f>
        <v>0</v>
      </c>
      <c r="F1111" s="12" t="s">
        <v>654</v>
      </c>
      <c r="G1111" s="16"/>
      <c r="H1111" s="18"/>
      <c r="I1111" s="27" t="str">
        <f>IFERROR(VLOOKUP(Tabulka2[[#This Row],[Pracovník]],DATA!A:L,11,0),"")</f>
        <v>Vlastní auto</v>
      </c>
      <c r="J1111" s="16"/>
      <c r="K1111" s="19"/>
    </row>
    <row r="1112" spans="1:11" x14ac:dyDescent="0.25">
      <c r="A11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12" s="22">
        <v>45931</v>
      </c>
      <c r="C1112" s="16" t="s">
        <v>96</v>
      </c>
      <c r="D1112" s="16" t="s">
        <v>763</v>
      </c>
      <c r="E1112" s="17">
        <f>IFERROR(VLOOKUP(Tabulka2[[#This Row],[Pracovník]],DATA!A:L,5,0),"")</f>
        <v>6158</v>
      </c>
      <c r="F1112" s="12" t="s">
        <v>640</v>
      </c>
      <c r="G1112" s="16"/>
      <c r="H1112" s="18"/>
      <c r="I1112" s="27" t="str">
        <f>IFERROR(VLOOKUP(Tabulka2[[#This Row],[Pracovník]],DATA!A:L,11,0),"")</f>
        <v>DSC 2</v>
      </c>
      <c r="J1112" s="16"/>
      <c r="K1112" s="19"/>
    </row>
    <row r="1113" spans="1:11" x14ac:dyDescent="0.25">
      <c r="A11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13" s="22">
        <v>45931</v>
      </c>
      <c r="C1113" s="16" t="s">
        <v>96</v>
      </c>
      <c r="D1113" s="16" t="s">
        <v>764</v>
      </c>
      <c r="E1113" s="17">
        <f>IFERROR(VLOOKUP(Tabulka2[[#This Row],[Pracovník]],DATA!A:L,5,0),"")</f>
        <v>3063</v>
      </c>
      <c r="F1113" s="12" t="s">
        <v>654</v>
      </c>
      <c r="G1113" s="16"/>
      <c r="H1113" s="18"/>
      <c r="I1113" s="27" t="str">
        <f>IFERROR(VLOOKUP(Tabulka2[[#This Row],[Pracovník]],DATA!A:L,11,0),"")</f>
        <v>DSC 2</v>
      </c>
      <c r="J1113" s="16"/>
      <c r="K1113" s="19"/>
    </row>
    <row r="1114" spans="1:11" x14ac:dyDescent="0.25">
      <c r="A11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14" s="22">
        <v>45931</v>
      </c>
      <c r="C1114" s="16" t="s">
        <v>96</v>
      </c>
      <c r="D1114" s="16" t="s">
        <v>765</v>
      </c>
      <c r="E1114" s="17">
        <f>IFERROR(VLOOKUP(Tabulka2[[#This Row],[Pracovník]],DATA!A:L,5,0),"")</f>
        <v>5853</v>
      </c>
      <c r="F1114" s="12" t="s">
        <v>640</v>
      </c>
      <c r="G1114" s="16"/>
      <c r="H1114" s="18"/>
      <c r="I1114" s="27" t="str">
        <f>IFERROR(VLOOKUP(Tabulka2[[#This Row],[Pracovník]],DATA!A:L,11,0),"")</f>
        <v>DSC 2</v>
      </c>
      <c r="J1114" s="16"/>
      <c r="K1114" s="19"/>
    </row>
    <row r="1115" spans="1:11" x14ac:dyDescent="0.25">
      <c r="A11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15" s="22">
        <v>45931</v>
      </c>
      <c r="C1115" s="16" t="s">
        <v>96</v>
      </c>
      <c r="D1115" s="16" t="s">
        <v>766</v>
      </c>
      <c r="E1115" s="17">
        <f>IFERROR(VLOOKUP(Tabulka2[[#This Row],[Pracovník]],DATA!A:L,5,0),"")</f>
        <v>6408</v>
      </c>
      <c r="F1115" s="12" t="s">
        <v>655</v>
      </c>
      <c r="G1115" s="16"/>
      <c r="H1115" s="18"/>
      <c r="I1115" s="27" t="str">
        <f>IFERROR(VLOOKUP(Tabulka2[[#This Row],[Pracovník]],DATA!A:L,11,0),"")</f>
        <v>Vlastní auto</v>
      </c>
      <c r="J1115" s="16"/>
      <c r="K1115" s="19"/>
    </row>
    <row r="1116" spans="1:11" x14ac:dyDescent="0.25">
      <c r="A11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16" s="22">
        <v>45931</v>
      </c>
      <c r="C1116" s="16" t="s">
        <v>96</v>
      </c>
      <c r="D1116" s="16" t="s">
        <v>767</v>
      </c>
      <c r="E1116" s="17">
        <f>IFERROR(VLOOKUP(Tabulka2[[#This Row],[Pracovník]],DATA!A:L,5,0),"")</f>
        <v>6544</v>
      </c>
      <c r="F1116" s="12" t="s">
        <v>640</v>
      </c>
      <c r="G1116" s="16"/>
      <c r="H1116" s="18"/>
      <c r="I1116" s="27" t="str">
        <f>IFERROR(VLOOKUP(Tabulka2[[#This Row],[Pracovník]],DATA!A:L,11,0),"")</f>
        <v>DSC 1</v>
      </c>
      <c r="J1116" s="16"/>
      <c r="K1116" s="19"/>
    </row>
    <row r="1117" spans="1:11" x14ac:dyDescent="0.25">
      <c r="A11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17" s="22">
        <v>45931</v>
      </c>
      <c r="C1117" s="16" t="s">
        <v>96</v>
      </c>
      <c r="D1117" s="16" t="s">
        <v>769</v>
      </c>
      <c r="E1117" s="17">
        <f>IFERROR(VLOOKUP(Tabulka2[[#This Row],[Pracovník]],DATA!A:L,5,0),"")</f>
        <v>0</v>
      </c>
      <c r="F1117" s="12" t="s">
        <v>655</v>
      </c>
      <c r="G1117" s="16"/>
      <c r="H1117" s="18"/>
      <c r="I1117" s="27" t="str">
        <f>IFERROR(VLOOKUP(Tabulka2[[#This Row],[Pracovník]],DATA!A:L,11,0),"")</f>
        <v>DSC 2</v>
      </c>
      <c r="J1117" s="16"/>
      <c r="K1117" s="19"/>
    </row>
    <row r="1118" spans="1:11" x14ac:dyDescent="0.25">
      <c r="A11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18" s="22">
        <v>45931</v>
      </c>
      <c r="C1118" s="16" t="s">
        <v>96</v>
      </c>
      <c r="D1118" s="16" t="s">
        <v>771</v>
      </c>
      <c r="E1118" s="17">
        <f>IFERROR(VLOOKUP(Tabulka2[[#This Row],[Pracovník]],DATA!A:L,5,0),"")</f>
        <v>6558</v>
      </c>
      <c r="F1118" s="12" t="s">
        <v>640</v>
      </c>
      <c r="G1118" s="16"/>
      <c r="H1118" s="18"/>
      <c r="I1118" s="27" t="str">
        <f>IFERROR(VLOOKUP(Tabulka2[[#This Row],[Pracovník]],DATA!A:L,11,0),"")</f>
        <v>DSC 1</v>
      </c>
      <c r="J1118" s="16"/>
      <c r="K1118" s="19"/>
    </row>
    <row r="1119" spans="1:11" x14ac:dyDescent="0.25">
      <c r="A11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19" s="22">
        <v>45931</v>
      </c>
      <c r="C1119" s="16" t="s">
        <v>96</v>
      </c>
      <c r="D1119" s="16" t="s">
        <v>771</v>
      </c>
      <c r="E1119" s="17">
        <f>IFERROR(VLOOKUP(Tabulka2[[#This Row],[Pracovník]],DATA!A:L,5,0),"")</f>
        <v>6558</v>
      </c>
      <c r="F1119" s="12" t="s">
        <v>655</v>
      </c>
      <c r="G1119" s="16"/>
      <c r="H1119" s="18"/>
      <c r="I1119" s="27" t="str">
        <f>IFERROR(VLOOKUP(Tabulka2[[#This Row],[Pracovník]],DATA!A:L,11,0),"")</f>
        <v>DSC 1</v>
      </c>
      <c r="J1119" s="16"/>
      <c r="K1119" s="19"/>
    </row>
    <row r="1120" spans="1:11" x14ac:dyDescent="0.25">
      <c r="A11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20" s="22">
        <v>45931</v>
      </c>
      <c r="C1120" s="16" t="s">
        <v>96</v>
      </c>
      <c r="D1120" s="16" t="s">
        <v>770</v>
      </c>
      <c r="E1120" s="17">
        <f>IFERROR(VLOOKUP(Tabulka2[[#This Row],[Pracovník]],DATA!A:L,5,0),"")</f>
        <v>6152</v>
      </c>
      <c r="F1120" s="12" t="s">
        <v>654</v>
      </c>
      <c r="G1120" s="16"/>
      <c r="H1120" s="18"/>
      <c r="I1120" s="27" t="str">
        <f>IFERROR(VLOOKUP(Tabulka2[[#This Row],[Pracovník]],DATA!A:L,11,0),"")</f>
        <v>DSC 2</v>
      </c>
      <c r="J1120" s="16"/>
      <c r="K1120" s="19"/>
    </row>
    <row r="1121" spans="1:11" x14ac:dyDescent="0.25">
      <c r="A11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21" s="22">
        <v>45931</v>
      </c>
      <c r="C1121" s="16" t="s">
        <v>96</v>
      </c>
      <c r="D1121" s="16" t="s">
        <v>986</v>
      </c>
      <c r="E1121" s="17">
        <f>IFERROR(VLOOKUP(Tabulka2[[#This Row],[Pracovník]],DATA!A:L,5,0),"")</f>
        <v>6232</v>
      </c>
      <c r="F1121" s="12" t="s">
        <v>653</v>
      </c>
      <c r="G1121" s="16" t="s">
        <v>916</v>
      </c>
      <c r="H1121" s="18"/>
      <c r="I1121" s="27" t="str">
        <f>IFERROR(VLOOKUP(Tabulka2[[#This Row],[Pracovník]],DATA!A:L,11,0),"")</f>
        <v>DSC 2</v>
      </c>
      <c r="J1121" s="16"/>
      <c r="K1121" s="19" t="s">
        <v>1018</v>
      </c>
    </row>
    <row r="1122" spans="1:11" x14ac:dyDescent="0.25">
      <c r="A11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22" s="22">
        <v>45931</v>
      </c>
      <c r="C1122" s="16" t="s">
        <v>28</v>
      </c>
      <c r="D1122" s="16" t="s">
        <v>646</v>
      </c>
      <c r="E1122" s="17">
        <f>IFERROR(VLOOKUP(Tabulka2[[#This Row],[Pracovník]],DATA!A:L,5,0),"")</f>
        <v>6537</v>
      </c>
      <c r="F1122" s="12" t="s">
        <v>655</v>
      </c>
      <c r="G1122" s="16"/>
      <c r="H1122" s="18"/>
      <c r="I1122" s="27" t="str">
        <f>IFERROR(VLOOKUP(Tabulka2[[#This Row],[Pracovník]],DATA!A:L,11,0),"")</f>
        <v>DSC 2</v>
      </c>
      <c r="J1122" s="16"/>
      <c r="K1122" s="19"/>
    </row>
    <row r="1123" spans="1:11" x14ac:dyDescent="0.25">
      <c r="A11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23" s="22">
        <v>45931</v>
      </c>
      <c r="C1123" s="16" t="s">
        <v>28</v>
      </c>
      <c r="D1123" s="16" t="s">
        <v>648</v>
      </c>
      <c r="E1123" s="17">
        <f>IFERROR(VLOOKUP(Tabulka2[[#This Row],[Pracovník]],DATA!A:L,5,0),"")</f>
        <v>5802</v>
      </c>
      <c r="F1123" s="12" t="s">
        <v>654</v>
      </c>
      <c r="G1123" s="16"/>
      <c r="H1123" s="18"/>
      <c r="I1123" s="27" t="str">
        <f>IFERROR(VLOOKUP(Tabulka2[[#This Row],[Pracovník]],DATA!A:L,11,0),"")</f>
        <v>Vlastní auto</v>
      </c>
      <c r="J1123" s="16"/>
      <c r="K1123" s="19"/>
    </row>
    <row r="1124" spans="1:11" x14ac:dyDescent="0.25">
      <c r="A11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24" s="22">
        <v>45931</v>
      </c>
      <c r="C1124" s="16" t="s">
        <v>28</v>
      </c>
      <c r="D1124" s="16" t="s">
        <v>772</v>
      </c>
      <c r="E1124" s="17">
        <f>IFERROR(VLOOKUP(Tabulka2[[#This Row],[Pracovník]],DATA!A:L,5,0),"")</f>
        <v>4869</v>
      </c>
      <c r="F1124" s="12" t="s">
        <v>640</v>
      </c>
      <c r="G1124" s="16"/>
      <c r="H1124" s="18"/>
      <c r="I1124" s="27" t="str">
        <f>IFERROR(VLOOKUP(Tabulka2[[#This Row],[Pracovník]],DATA!A:L,11,0),"")</f>
        <v>Vlastní auto</v>
      </c>
      <c r="J1124" s="16"/>
      <c r="K1124" s="19"/>
    </row>
    <row r="1125" spans="1:11" x14ac:dyDescent="0.25">
      <c r="A11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25" s="22">
        <v>45931</v>
      </c>
      <c r="C1125" s="16" t="s">
        <v>28</v>
      </c>
      <c r="D1125" s="16" t="s">
        <v>773</v>
      </c>
      <c r="E1125" s="17">
        <f>IFERROR(VLOOKUP(Tabulka2[[#This Row],[Pracovník]],DATA!A:L,5,0),"")</f>
        <v>6508</v>
      </c>
      <c r="F1125" s="12" t="s">
        <v>655</v>
      </c>
      <c r="G1125" s="16"/>
      <c r="H1125" s="18"/>
      <c r="I1125" s="27" t="str">
        <f>IFERROR(VLOOKUP(Tabulka2[[#This Row],[Pracovník]],DATA!A:L,11,0),"")</f>
        <v>Vlastní auto</v>
      </c>
      <c r="J1125" s="16"/>
      <c r="K1125" s="19"/>
    </row>
    <row r="1126" spans="1:11" x14ac:dyDescent="0.25">
      <c r="A11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26" s="22">
        <v>45931</v>
      </c>
      <c r="C1126" s="16" t="s">
        <v>28</v>
      </c>
      <c r="D1126" s="16" t="s">
        <v>774</v>
      </c>
      <c r="E1126" s="17">
        <f>IFERROR(VLOOKUP(Tabulka2[[#This Row],[Pracovník]],DATA!A:L,5,0),"")</f>
        <v>4607</v>
      </c>
      <c r="F1126" s="12" t="s">
        <v>654</v>
      </c>
      <c r="G1126" s="16"/>
      <c r="H1126" s="18"/>
      <c r="I1126" s="27" t="str">
        <f>IFERROR(VLOOKUP(Tabulka2[[#This Row],[Pracovník]],DATA!A:L,11,0),"")</f>
        <v>DSC 2</v>
      </c>
      <c r="J1126" s="16"/>
      <c r="K1126" s="19"/>
    </row>
    <row r="1127" spans="1:11" x14ac:dyDescent="0.25">
      <c r="A11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27" s="22">
        <v>45931</v>
      </c>
      <c r="C1127" s="16" t="s">
        <v>28</v>
      </c>
      <c r="D1127" s="16" t="s">
        <v>775</v>
      </c>
      <c r="E1127" s="17">
        <f>IFERROR(VLOOKUP(Tabulka2[[#This Row],[Pracovník]],DATA!A:L,5,0),"")</f>
        <v>5047</v>
      </c>
      <c r="F1127" s="12" t="s">
        <v>640</v>
      </c>
      <c r="G1127" s="16"/>
      <c r="H1127" s="18"/>
      <c r="I1127" s="27" t="str">
        <f>IFERROR(VLOOKUP(Tabulka2[[#This Row],[Pracovník]],DATA!A:L,11,0),"")</f>
        <v>Vlastní auto</v>
      </c>
      <c r="J1127" s="16"/>
      <c r="K1127" s="19"/>
    </row>
    <row r="1128" spans="1:11" x14ac:dyDescent="0.25">
      <c r="A11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28" s="22">
        <v>45931</v>
      </c>
      <c r="C1128" s="16" t="s">
        <v>28</v>
      </c>
      <c r="D1128" s="16" t="s">
        <v>777</v>
      </c>
      <c r="E1128" s="17">
        <f>IFERROR(VLOOKUP(Tabulka2[[#This Row],[Pracovník]],DATA!A:L,5,0),"")</f>
        <v>4616</v>
      </c>
      <c r="F1128" s="12" t="s">
        <v>654</v>
      </c>
      <c r="G1128" s="16"/>
      <c r="H1128" s="18"/>
      <c r="I1128" s="27" t="str">
        <f>IFERROR(VLOOKUP(Tabulka2[[#This Row],[Pracovník]],DATA!A:L,11,0),"")</f>
        <v>Vlastní auto</v>
      </c>
      <c r="J1128" s="16"/>
      <c r="K1128" s="19"/>
    </row>
    <row r="1129" spans="1:11" x14ac:dyDescent="0.25">
      <c r="A11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29" s="22">
        <v>45931</v>
      </c>
      <c r="C1129" s="16" t="s">
        <v>28</v>
      </c>
      <c r="D1129" s="16" t="s">
        <v>776</v>
      </c>
      <c r="E1129" s="17">
        <f>IFERROR(VLOOKUP(Tabulka2[[#This Row],[Pracovník]],DATA!A:L,5,0),"")</f>
        <v>4961</v>
      </c>
      <c r="F1129" s="12" t="s">
        <v>655</v>
      </c>
      <c r="G1129" s="16"/>
      <c r="H1129" s="18"/>
      <c r="I1129" s="27" t="str">
        <f>IFERROR(VLOOKUP(Tabulka2[[#This Row],[Pracovník]],DATA!A:L,11,0),"")</f>
        <v>Vlastní auto</v>
      </c>
      <c r="J1129" s="16"/>
      <c r="K1129" s="19"/>
    </row>
    <row r="1130" spans="1:11" x14ac:dyDescent="0.25">
      <c r="A11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30" s="22">
        <v>45931</v>
      </c>
      <c r="C1130" s="16" t="s">
        <v>28</v>
      </c>
      <c r="D1130" s="16" t="s">
        <v>778</v>
      </c>
      <c r="E1130" s="17">
        <f>IFERROR(VLOOKUP(Tabulka2[[#This Row],[Pracovník]],DATA!A:L,5,0),"")</f>
        <v>4721</v>
      </c>
      <c r="F1130" s="12" t="s">
        <v>655</v>
      </c>
      <c r="G1130" s="16"/>
      <c r="H1130" s="18"/>
      <c r="I1130" s="27" t="str">
        <f>IFERROR(VLOOKUP(Tabulka2[[#This Row],[Pracovník]],DATA!A:L,11,0),"")</f>
        <v>DSC 2</v>
      </c>
      <c r="J1130" s="16"/>
      <c r="K1130" s="19"/>
    </row>
    <row r="1131" spans="1:11" x14ac:dyDescent="0.25">
      <c r="A11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31" s="22">
        <v>45931</v>
      </c>
      <c r="C1131" s="16" t="s">
        <v>28</v>
      </c>
      <c r="D1131" s="16" t="s">
        <v>779</v>
      </c>
      <c r="E1131" s="17">
        <f>IFERROR(VLOOKUP(Tabulka2[[#This Row],[Pracovník]],DATA!A:L,5,0),"")</f>
        <v>4845</v>
      </c>
      <c r="F1131" s="12" t="s">
        <v>640</v>
      </c>
      <c r="G1131" s="16"/>
      <c r="H1131" s="18"/>
      <c r="I1131" s="27" t="str">
        <f>IFERROR(VLOOKUP(Tabulka2[[#This Row],[Pracovník]],DATA!A:L,11,0),"")</f>
        <v>Vlastní auto</v>
      </c>
      <c r="J1131" s="16"/>
      <c r="K1131" s="19"/>
    </row>
    <row r="1132" spans="1:11" x14ac:dyDescent="0.25">
      <c r="A11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32" s="22">
        <v>45931</v>
      </c>
      <c r="C1132" s="16" t="s">
        <v>28</v>
      </c>
      <c r="D1132" s="16" t="s">
        <v>780</v>
      </c>
      <c r="E1132" s="17">
        <f>IFERROR(VLOOKUP(Tabulka2[[#This Row],[Pracovník]],DATA!A:L,5,0),"")</f>
        <v>47</v>
      </c>
      <c r="F1132" s="12" t="s">
        <v>655</v>
      </c>
      <c r="G1132" s="16"/>
      <c r="H1132" s="18"/>
      <c r="I1132" s="27" t="str">
        <f>IFERROR(VLOOKUP(Tabulka2[[#This Row],[Pracovník]],DATA!A:L,11,0),"")</f>
        <v>DSC 1</v>
      </c>
      <c r="J1132" s="16"/>
      <c r="K1132" s="19"/>
    </row>
    <row r="1133" spans="1:11" x14ac:dyDescent="0.25">
      <c r="A11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33" s="22">
        <v>45931</v>
      </c>
      <c r="C1133" s="16" t="s">
        <v>28</v>
      </c>
      <c r="D1133" s="16" t="s">
        <v>792</v>
      </c>
      <c r="E1133" s="17">
        <f>IFERROR(VLOOKUP(Tabulka2[[#This Row],[Pracovník]],DATA!A:L,5,0),"")</f>
        <v>6332</v>
      </c>
      <c r="F1133" s="12" t="s">
        <v>640</v>
      </c>
      <c r="G1133" s="16"/>
      <c r="H1133" s="18"/>
      <c r="I1133" s="27" t="str">
        <f>IFERROR(VLOOKUP(Tabulka2[[#This Row],[Pracovník]],DATA!A:L,11,0),"")</f>
        <v>Vlastní auto</v>
      </c>
      <c r="J1133" s="16"/>
      <c r="K1133" s="19"/>
    </row>
    <row r="1134" spans="1:11" x14ac:dyDescent="0.25">
      <c r="A11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34" s="22">
        <v>45931</v>
      </c>
      <c r="C1134" s="16" t="s">
        <v>28</v>
      </c>
      <c r="D1134" s="16" t="s">
        <v>793</v>
      </c>
      <c r="E1134" s="17">
        <f>IFERROR(VLOOKUP(Tabulka2[[#This Row],[Pracovník]],DATA!A:L,5,0),"")</f>
        <v>4871</v>
      </c>
      <c r="F1134" s="12" t="s">
        <v>640</v>
      </c>
      <c r="G1134" s="16"/>
      <c r="H1134" s="18"/>
      <c r="I1134" s="27" t="str">
        <f>IFERROR(VLOOKUP(Tabulka2[[#This Row],[Pracovník]],DATA!A:L,11,0),"")</f>
        <v>Vlastní auto</v>
      </c>
      <c r="J1134" s="16"/>
      <c r="K1134" s="19"/>
    </row>
    <row r="1135" spans="1:11" x14ac:dyDescent="0.25">
      <c r="A11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35" s="22">
        <v>45931</v>
      </c>
      <c r="C1135" s="16" t="s">
        <v>28</v>
      </c>
      <c r="D1135" s="16" t="s">
        <v>794</v>
      </c>
      <c r="E1135" s="17">
        <f>IFERROR(VLOOKUP(Tabulka2[[#This Row],[Pracovník]],DATA!A:L,5,0),"")</f>
        <v>4755</v>
      </c>
      <c r="F1135" s="12" t="s">
        <v>654</v>
      </c>
      <c r="G1135" s="16"/>
      <c r="H1135" s="18"/>
      <c r="I1135" s="27" t="str">
        <f>IFERROR(VLOOKUP(Tabulka2[[#This Row],[Pracovník]],DATA!A:L,11,0),"")</f>
        <v>DSC 2</v>
      </c>
      <c r="J1135" s="16"/>
      <c r="K1135" s="19"/>
    </row>
    <row r="1136" spans="1:11" x14ac:dyDescent="0.25">
      <c r="A11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36" s="22">
        <v>45931</v>
      </c>
      <c r="C1136" s="16" t="s">
        <v>28</v>
      </c>
      <c r="D1136" s="16" t="s">
        <v>781</v>
      </c>
      <c r="E1136" s="17">
        <f>IFERROR(VLOOKUP(Tabulka2[[#This Row],[Pracovník]],DATA!A:L,5,0),"")</f>
        <v>49</v>
      </c>
      <c r="F1136" s="12" t="s">
        <v>640</v>
      </c>
      <c r="G1136" s="16"/>
      <c r="H1136" s="18"/>
      <c r="I1136" s="27" t="str">
        <f>IFERROR(VLOOKUP(Tabulka2[[#This Row],[Pracovník]],DATA!A:L,11,0),"")</f>
        <v>DSC 2</v>
      </c>
      <c r="J1136" s="16"/>
      <c r="K1136" s="19"/>
    </row>
    <row r="1137" spans="1:11" x14ac:dyDescent="0.25">
      <c r="A11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37" s="22">
        <v>45931</v>
      </c>
      <c r="C1137" s="16" t="s">
        <v>28</v>
      </c>
      <c r="D1137" s="16" t="s">
        <v>782</v>
      </c>
      <c r="E1137" s="17">
        <f>IFERROR(VLOOKUP(Tabulka2[[#This Row],[Pracovník]],DATA!A:L,5,0),"")</f>
        <v>5839</v>
      </c>
      <c r="F1137" s="12" t="s">
        <v>640</v>
      </c>
      <c r="G1137" s="16"/>
      <c r="H1137" s="18"/>
      <c r="I1137" s="27" t="str">
        <f>IFERROR(VLOOKUP(Tabulka2[[#This Row],[Pracovník]],DATA!A:L,11,0),"")</f>
        <v>DSC 1</v>
      </c>
      <c r="J1137" s="16"/>
      <c r="K1137" s="19"/>
    </row>
    <row r="1138" spans="1:11" x14ac:dyDescent="0.25">
      <c r="A11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38" s="22">
        <v>45931</v>
      </c>
      <c r="C1138" s="16" t="s">
        <v>28</v>
      </c>
      <c r="D1138" s="16" t="s">
        <v>783</v>
      </c>
      <c r="E1138" s="17">
        <f>IFERROR(VLOOKUP(Tabulka2[[#This Row],[Pracovník]],DATA!A:L,5,0),"")</f>
        <v>6487</v>
      </c>
      <c r="F1138" s="12" t="s">
        <v>654</v>
      </c>
      <c r="G1138" s="16"/>
      <c r="H1138" s="18"/>
      <c r="I1138" s="27" t="str">
        <f>IFERROR(VLOOKUP(Tabulka2[[#This Row],[Pracovník]],DATA!A:L,11,0),"")</f>
        <v>DSC 1</v>
      </c>
      <c r="J1138" s="16"/>
      <c r="K1138" s="19"/>
    </row>
    <row r="1139" spans="1:11" x14ac:dyDescent="0.25">
      <c r="A11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39" s="22">
        <v>45931</v>
      </c>
      <c r="C1139" s="16" t="s">
        <v>28</v>
      </c>
      <c r="D1139" s="16" t="s">
        <v>784</v>
      </c>
      <c r="E1139" s="17">
        <f>IFERROR(VLOOKUP(Tabulka2[[#This Row],[Pracovník]],DATA!A:L,5,0),"")</f>
        <v>6292</v>
      </c>
      <c r="F1139" s="12" t="s">
        <v>640</v>
      </c>
      <c r="G1139" s="16"/>
      <c r="H1139" s="18"/>
      <c r="I1139" s="27" t="str">
        <f>IFERROR(VLOOKUP(Tabulka2[[#This Row],[Pracovník]],DATA!A:L,11,0),"")</f>
        <v>Vlastní auto</v>
      </c>
      <c r="J1139" s="16"/>
      <c r="K1139" s="19"/>
    </row>
    <row r="1140" spans="1:11" x14ac:dyDescent="0.25">
      <c r="A11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40" s="22">
        <v>45931</v>
      </c>
      <c r="C1140" s="16" t="s">
        <v>28</v>
      </c>
      <c r="D1140" s="16" t="s">
        <v>788</v>
      </c>
      <c r="E1140" s="17">
        <f>IFERROR(VLOOKUP(Tabulka2[[#This Row],[Pracovník]],DATA!A:L,5,0),"")</f>
        <v>5198</v>
      </c>
      <c r="F1140" s="12" t="s">
        <v>653</v>
      </c>
      <c r="G1140" s="16" t="s">
        <v>658</v>
      </c>
      <c r="H1140" s="18"/>
      <c r="I1140" s="27" t="str">
        <f>IFERROR(VLOOKUP(Tabulka2[[#This Row],[Pracovník]],DATA!A:L,11,0),"")</f>
        <v>Vlastní auto</v>
      </c>
      <c r="J1140" s="16"/>
      <c r="K1140" s="19"/>
    </row>
    <row r="1141" spans="1:11" x14ac:dyDescent="0.25">
      <c r="A11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41" s="22">
        <v>45931</v>
      </c>
      <c r="C1141" s="16" t="s">
        <v>28</v>
      </c>
      <c r="D1141" s="16" t="s">
        <v>789</v>
      </c>
      <c r="E1141" s="17">
        <f>IFERROR(VLOOKUP(Tabulka2[[#This Row],[Pracovník]],DATA!A:L,5,0),"")</f>
        <v>6368</v>
      </c>
      <c r="F1141" s="12" t="s">
        <v>640</v>
      </c>
      <c r="G1141" s="16"/>
      <c r="H1141" s="18"/>
      <c r="I1141" s="27" t="str">
        <f>IFERROR(VLOOKUP(Tabulka2[[#This Row],[Pracovník]],DATA!A:L,11,0),"")</f>
        <v>Vlastní auto</v>
      </c>
      <c r="J1141" s="16"/>
      <c r="K1141" s="19"/>
    </row>
    <row r="1142" spans="1:11" x14ac:dyDescent="0.25">
      <c r="A11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42" s="22">
        <v>45931</v>
      </c>
      <c r="C1142" s="16" t="s">
        <v>28</v>
      </c>
      <c r="D1142" s="16" t="s">
        <v>786</v>
      </c>
      <c r="E1142" s="17">
        <f>IFERROR(VLOOKUP(Tabulka2[[#This Row],[Pracovník]],DATA!A:L,5,0),"")</f>
        <v>5595</v>
      </c>
      <c r="F1142" s="12" t="s">
        <v>655</v>
      </c>
      <c r="G1142" s="16"/>
      <c r="H1142" s="18"/>
      <c r="I1142" s="27" t="str">
        <f>IFERROR(VLOOKUP(Tabulka2[[#This Row],[Pracovník]],DATA!A:L,11,0),"")</f>
        <v>DSC 2</v>
      </c>
      <c r="J1142" s="16"/>
      <c r="K1142" s="19"/>
    </row>
    <row r="1143" spans="1:11" x14ac:dyDescent="0.25">
      <c r="A11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43" s="22">
        <v>45931</v>
      </c>
      <c r="C1143" s="16" t="s">
        <v>28</v>
      </c>
      <c r="D1143" s="16" t="s">
        <v>795</v>
      </c>
      <c r="E1143" s="17">
        <f>IFERROR(VLOOKUP(Tabulka2[[#This Row],[Pracovník]],DATA!A:L,5,0),"")</f>
        <v>4960</v>
      </c>
      <c r="F1143" s="12" t="s">
        <v>640</v>
      </c>
      <c r="G1143" s="16"/>
      <c r="H1143" s="18"/>
      <c r="I1143" s="27" t="str">
        <f>IFERROR(VLOOKUP(Tabulka2[[#This Row],[Pracovník]],DATA!A:L,11,0),"")</f>
        <v>DSC 1</v>
      </c>
      <c r="J1143" s="16"/>
      <c r="K1143" s="19"/>
    </row>
    <row r="1144" spans="1:11" x14ac:dyDescent="0.25">
      <c r="A11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44" s="22">
        <v>45931</v>
      </c>
      <c r="C1144" s="16" t="s">
        <v>28</v>
      </c>
      <c r="D1144" s="16" t="s">
        <v>790</v>
      </c>
      <c r="E1144" s="17">
        <f>IFERROR(VLOOKUP(Tabulka2[[#This Row],[Pracovník]],DATA!A:L,5,0),"")</f>
        <v>5125</v>
      </c>
      <c r="F1144" s="12" t="s">
        <v>654</v>
      </c>
      <c r="G1144" s="16"/>
      <c r="H1144" s="18"/>
      <c r="I1144" s="27" t="str">
        <f>IFERROR(VLOOKUP(Tabulka2[[#This Row],[Pracovník]],DATA!A:L,11,0),"")</f>
        <v>Vlastní auto</v>
      </c>
      <c r="J1144" s="16"/>
      <c r="K1144" s="19"/>
    </row>
    <row r="1145" spans="1:11" x14ac:dyDescent="0.25">
      <c r="A11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45" s="22">
        <v>45931</v>
      </c>
      <c r="C1145" s="16" t="s">
        <v>28</v>
      </c>
      <c r="D1145" s="16" t="s">
        <v>791</v>
      </c>
      <c r="E1145" s="17">
        <f>IFERROR(VLOOKUP(Tabulka2[[#This Row],[Pracovník]],DATA!A:L,5,0),"")</f>
        <v>6127</v>
      </c>
      <c r="F1145" s="12" t="s">
        <v>654</v>
      </c>
      <c r="G1145" s="16"/>
      <c r="H1145" s="18"/>
      <c r="I1145" s="27" t="str">
        <f>IFERROR(VLOOKUP(Tabulka2[[#This Row],[Pracovník]],DATA!A:L,11,0),"")</f>
        <v>DSC 2</v>
      </c>
      <c r="J1145" s="16"/>
      <c r="K1145" s="19"/>
    </row>
    <row r="1146" spans="1:11" x14ac:dyDescent="0.25">
      <c r="A11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46" s="22">
        <v>45931</v>
      </c>
      <c r="C1146" s="16" t="s">
        <v>28</v>
      </c>
      <c r="D1146" s="16" t="s">
        <v>796</v>
      </c>
      <c r="E1146" s="17">
        <f>IFERROR(VLOOKUP(Tabulka2[[#This Row],[Pracovník]],DATA!A:L,5,0),"")</f>
        <v>5583</v>
      </c>
      <c r="F1146" s="12" t="s">
        <v>640</v>
      </c>
      <c r="G1146" s="16"/>
      <c r="H1146" s="18"/>
      <c r="I1146" s="27" t="str">
        <f>IFERROR(VLOOKUP(Tabulka2[[#This Row],[Pracovník]],DATA!A:L,11,0),"")</f>
        <v>DSC 2</v>
      </c>
      <c r="J1146" s="16"/>
      <c r="K1146" s="19"/>
    </row>
    <row r="1147" spans="1:11" x14ac:dyDescent="0.25">
      <c r="A11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47" s="22">
        <v>45931</v>
      </c>
      <c r="C1147" s="16" t="s">
        <v>28</v>
      </c>
      <c r="D1147" s="16" t="s">
        <v>644</v>
      </c>
      <c r="E1147" s="17">
        <f>IFERROR(VLOOKUP(Tabulka2[[#This Row],[Pracovník]],DATA!A:L,5,0),"")</f>
        <v>123</v>
      </c>
      <c r="F1147" s="12" t="s">
        <v>654</v>
      </c>
      <c r="G1147" s="16"/>
      <c r="H1147" s="18"/>
      <c r="I1147" s="27" t="str">
        <f>IFERROR(VLOOKUP(Tabulka2[[#This Row],[Pracovník]],DATA!A:L,11,0),"")</f>
        <v>DSC 1</v>
      </c>
      <c r="J1147" s="16"/>
      <c r="K1147" s="19"/>
    </row>
    <row r="1148" spans="1:11" x14ac:dyDescent="0.25">
      <c r="A11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48" s="22">
        <v>45931</v>
      </c>
      <c r="C1148" s="16" t="s">
        <v>28</v>
      </c>
      <c r="D1148" s="16" t="s">
        <v>797</v>
      </c>
      <c r="E1148" s="17">
        <f>IFERROR(VLOOKUP(Tabulka2[[#This Row],[Pracovník]],DATA!A:L,5,0),"")</f>
        <v>5525</v>
      </c>
      <c r="F1148" s="12" t="s">
        <v>654</v>
      </c>
      <c r="G1148" s="16"/>
      <c r="H1148" s="18"/>
      <c r="I1148" s="27" t="str">
        <f>IFERROR(VLOOKUP(Tabulka2[[#This Row],[Pracovník]],DATA!A:L,11,0),"")</f>
        <v>Vlastní auto</v>
      </c>
      <c r="J1148" s="16"/>
      <c r="K1148" s="19"/>
    </row>
    <row r="1149" spans="1:11" x14ac:dyDescent="0.25">
      <c r="A11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49" s="22">
        <v>45931</v>
      </c>
      <c r="C1149" s="16" t="s">
        <v>28</v>
      </c>
      <c r="D1149" s="16" t="s">
        <v>798</v>
      </c>
      <c r="E1149" s="17">
        <f>IFERROR(VLOOKUP(Tabulka2[[#This Row],[Pracovník]],DATA!A:L,5,0),"")</f>
        <v>126</v>
      </c>
      <c r="F1149" s="12" t="s">
        <v>655</v>
      </c>
      <c r="G1149" s="16"/>
      <c r="H1149" s="18"/>
      <c r="I1149" s="27" t="str">
        <f>IFERROR(VLOOKUP(Tabulka2[[#This Row],[Pracovník]],DATA!A:L,11,0),"")</f>
        <v>Vlastní auto</v>
      </c>
      <c r="J1149" s="16"/>
      <c r="K1149" s="19"/>
    </row>
    <row r="1150" spans="1:11" x14ac:dyDescent="0.25">
      <c r="A11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50" s="22">
        <v>45931</v>
      </c>
      <c r="C1150" s="16" t="s">
        <v>28</v>
      </c>
      <c r="D1150" s="16" t="s">
        <v>799</v>
      </c>
      <c r="E1150" s="17">
        <f>IFERROR(VLOOKUP(Tabulka2[[#This Row],[Pracovník]],DATA!A:L,5,0),"")</f>
        <v>127</v>
      </c>
      <c r="F1150" s="12" t="s">
        <v>655</v>
      </c>
      <c r="G1150" s="16"/>
      <c r="H1150" s="18"/>
      <c r="I1150" s="27" t="str">
        <f>IFERROR(VLOOKUP(Tabulka2[[#This Row],[Pracovník]],DATA!A:L,11,0),"")</f>
        <v>DSC 2</v>
      </c>
      <c r="J1150" s="16"/>
      <c r="K1150" s="19"/>
    </row>
    <row r="1151" spans="1:11" x14ac:dyDescent="0.25">
      <c r="A11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51" s="22">
        <v>45931</v>
      </c>
      <c r="C1151" s="16" t="s">
        <v>28</v>
      </c>
      <c r="D1151" s="16" t="s">
        <v>800</v>
      </c>
      <c r="E1151" s="17">
        <f>IFERROR(VLOOKUP(Tabulka2[[#This Row],[Pracovník]],DATA!A:L,5,0),"")</f>
        <v>4847</v>
      </c>
      <c r="F1151" s="12" t="s">
        <v>655</v>
      </c>
      <c r="G1151" s="16"/>
      <c r="H1151" s="18"/>
      <c r="I1151" s="27" t="str">
        <f>IFERROR(VLOOKUP(Tabulka2[[#This Row],[Pracovník]],DATA!A:L,11,0),"")</f>
        <v>Vlastní auto</v>
      </c>
      <c r="J1151" s="16"/>
      <c r="K1151" s="19"/>
    </row>
    <row r="1152" spans="1:11" x14ac:dyDescent="0.25">
      <c r="A11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52" s="22">
        <v>45931</v>
      </c>
      <c r="C1152" s="16" t="s">
        <v>28</v>
      </c>
      <c r="D1152" s="16" t="s">
        <v>801</v>
      </c>
      <c r="E1152" s="17">
        <f>IFERROR(VLOOKUP(Tabulka2[[#This Row],[Pracovník]],DATA!A:L,5,0),"")</f>
        <v>750</v>
      </c>
      <c r="F1152" s="12" t="s">
        <v>653</v>
      </c>
      <c r="G1152" s="16" t="s">
        <v>659</v>
      </c>
      <c r="H1152" s="18"/>
      <c r="I1152" s="27" t="str">
        <f>IFERROR(VLOOKUP(Tabulka2[[#This Row],[Pracovník]],DATA!A:L,11,0),"")</f>
        <v>Vlastní auto</v>
      </c>
      <c r="J1152" s="16"/>
      <c r="K1152" s="19"/>
    </row>
    <row r="1153" spans="1:11" x14ac:dyDescent="0.25">
      <c r="A11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53" s="22">
        <v>45931</v>
      </c>
      <c r="C1153" s="16" t="s">
        <v>28</v>
      </c>
      <c r="D1153" s="16" t="s">
        <v>802</v>
      </c>
      <c r="E1153" s="17">
        <f>IFERROR(VLOOKUP(Tabulka2[[#This Row],[Pracovník]],DATA!A:L,5,0),"")</f>
        <v>4663</v>
      </c>
      <c r="F1153" s="12" t="s">
        <v>654</v>
      </c>
      <c r="G1153" s="16"/>
      <c r="H1153" s="18"/>
      <c r="I1153" s="27" t="str">
        <f>IFERROR(VLOOKUP(Tabulka2[[#This Row],[Pracovník]],DATA!A:L,11,0),"")</f>
        <v>DSC 2</v>
      </c>
      <c r="J1153" s="16"/>
      <c r="K1153" s="19"/>
    </row>
    <row r="1154" spans="1:11" x14ac:dyDescent="0.25">
      <c r="A11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54" s="22">
        <v>45931</v>
      </c>
      <c r="C1154" s="16" t="s">
        <v>28</v>
      </c>
      <c r="D1154" s="16" t="s">
        <v>803</v>
      </c>
      <c r="E1154" s="17">
        <f>IFERROR(VLOOKUP(Tabulka2[[#This Row],[Pracovník]],DATA!A:L,5,0),"")</f>
        <v>131</v>
      </c>
      <c r="F1154" s="12" t="s">
        <v>655</v>
      </c>
      <c r="G1154" s="16"/>
      <c r="H1154" s="18"/>
      <c r="I1154" s="27" t="str">
        <f>IFERROR(VLOOKUP(Tabulka2[[#This Row],[Pracovník]],DATA!A:L,11,0),"")</f>
        <v>DSC 2</v>
      </c>
      <c r="J1154" s="16"/>
      <c r="K1154" s="19"/>
    </row>
    <row r="1155" spans="1:11" x14ac:dyDescent="0.25">
      <c r="A11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55" s="22">
        <v>45931</v>
      </c>
      <c r="C1155" s="16" t="s">
        <v>28</v>
      </c>
      <c r="D1155" s="16" t="s">
        <v>643</v>
      </c>
      <c r="E1155" s="17">
        <f>IFERROR(VLOOKUP(Tabulka2[[#This Row],[Pracovník]],DATA!A:L,5,0),"")</f>
        <v>5620</v>
      </c>
      <c r="F1155" s="12" t="s">
        <v>654</v>
      </c>
      <c r="G1155" s="16"/>
      <c r="H1155" s="18"/>
      <c r="I1155" s="27" t="str">
        <f>IFERROR(VLOOKUP(Tabulka2[[#This Row],[Pracovník]],DATA!A:L,11,0),"")</f>
        <v>Vlastní auto</v>
      </c>
      <c r="J1155" s="16"/>
      <c r="K1155" s="19"/>
    </row>
    <row r="1156" spans="1:11" x14ac:dyDescent="0.25">
      <c r="A11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56" s="22">
        <v>45931</v>
      </c>
      <c r="C1156" s="16" t="s">
        <v>28</v>
      </c>
      <c r="D1156" s="16" t="s">
        <v>804</v>
      </c>
      <c r="E1156" s="17">
        <f>IFERROR(VLOOKUP(Tabulka2[[#This Row],[Pracovník]],DATA!A:L,5,0),"")</f>
        <v>4868</v>
      </c>
      <c r="F1156" s="12" t="s">
        <v>655</v>
      </c>
      <c r="G1156" s="16"/>
      <c r="H1156" s="18"/>
      <c r="I1156" s="27" t="str">
        <f>IFERROR(VLOOKUP(Tabulka2[[#This Row],[Pracovník]],DATA!A:L,11,0),"")</f>
        <v>Vlastní auto</v>
      </c>
      <c r="J1156" s="16"/>
      <c r="K1156" s="19"/>
    </row>
    <row r="1157" spans="1:11" x14ac:dyDescent="0.25">
      <c r="A11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57" s="22">
        <v>45931</v>
      </c>
      <c r="C1157" s="16" t="s">
        <v>28</v>
      </c>
      <c r="D1157" s="16" t="s">
        <v>805</v>
      </c>
      <c r="E1157" s="17">
        <f>IFERROR(VLOOKUP(Tabulka2[[#This Row],[Pracovník]],DATA!A:L,5,0),"")</f>
        <v>5026</v>
      </c>
      <c r="F1157" s="12" t="s">
        <v>655</v>
      </c>
      <c r="G1157" s="16"/>
      <c r="H1157" s="18"/>
      <c r="I1157" s="27" t="str">
        <f>IFERROR(VLOOKUP(Tabulka2[[#This Row],[Pracovník]],DATA!A:L,11,0),"")</f>
        <v>Vlastní auto</v>
      </c>
      <c r="J1157" s="16"/>
      <c r="K1157" s="19"/>
    </row>
    <row r="1158" spans="1:11" x14ac:dyDescent="0.25">
      <c r="A11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58" s="22">
        <v>45931</v>
      </c>
      <c r="C1158" s="16" t="s">
        <v>28</v>
      </c>
      <c r="D1158" s="16" t="s">
        <v>806</v>
      </c>
      <c r="E1158" s="17">
        <f>IFERROR(VLOOKUP(Tabulka2[[#This Row],[Pracovník]],DATA!A:L,5,0),"")</f>
        <v>6424</v>
      </c>
      <c r="F1158" s="12" t="s">
        <v>640</v>
      </c>
      <c r="G1158" s="16"/>
      <c r="H1158" s="18"/>
      <c r="I1158" s="27" t="str">
        <f>IFERROR(VLOOKUP(Tabulka2[[#This Row],[Pracovník]],DATA!A:L,11,0),"")</f>
        <v>DSC 1</v>
      </c>
      <c r="J1158" s="16"/>
      <c r="K1158" s="19"/>
    </row>
    <row r="1159" spans="1:11" x14ac:dyDescent="0.25">
      <c r="A11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59" s="22">
        <v>45931</v>
      </c>
      <c r="C1159" s="16" t="s">
        <v>28</v>
      </c>
      <c r="D1159" s="16" t="s">
        <v>807</v>
      </c>
      <c r="E1159" s="17">
        <f>IFERROR(VLOOKUP(Tabulka2[[#This Row],[Pracovník]],DATA!A:L,5,0),"")</f>
        <v>5004</v>
      </c>
      <c r="F1159" s="12" t="s">
        <v>655</v>
      </c>
      <c r="G1159" s="16"/>
      <c r="H1159" s="18"/>
      <c r="I1159" s="27" t="str">
        <f>IFERROR(VLOOKUP(Tabulka2[[#This Row],[Pracovník]],DATA!A:L,11,0),"")</f>
        <v>Vlastní auto</v>
      </c>
      <c r="J1159" s="16"/>
      <c r="K1159" s="19"/>
    </row>
    <row r="1160" spans="1:11" x14ac:dyDescent="0.25">
      <c r="A11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60" s="22">
        <v>45931</v>
      </c>
      <c r="C1160" s="16" t="s">
        <v>28</v>
      </c>
      <c r="D1160" s="16" t="s">
        <v>808</v>
      </c>
      <c r="E1160" s="17">
        <f>IFERROR(VLOOKUP(Tabulka2[[#This Row],[Pracovník]],DATA!A:L,5,0),"")</f>
        <v>136</v>
      </c>
      <c r="F1160" s="12" t="s">
        <v>655</v>
      </c>
      <c r="G1160" s="16"/>
      <c r="H1160" s="18"/>
      <c r="I1160" s="27" t="str">
        <f>IFERROR(VLOOKUP(Tabulka2[[#This Row],[Pracovník]],DATA!A:L,11,0),"")</f>
        <v>DSC 2</v>
      </c>
      <c r="J1160" s="16"/>
      <c r="K1160" s="19"/>
    </row>
    <row r="1161" spans="1:11" x14ac:dyDescent="0.25">
      <c r="A11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61" s="22">
        <v>45931</v>
      </c>
      <c r="C1161" s="16" t="s">
        <v>28</v>
      </c>
      <c r="D1161" s="16" t="s">
        <v>809</v>
      </c>
      <c r="E1161" s="17">
        <f>IFERROR(VLOOKUP(Tabulka2[[#This Row],[Pracovník]],DATA!A:L,5,0),"")</f>
        <v>19</v>
      </c>
      <c r="F1161" s="12" t="s">
        <v>655</v>
      </c>
      <c r="G1161" s="16"/>
      <c r="H1161" s="18"/>
      <c r="I1161" s="27" t="str">
        <f>IFERROR(VLOOKUP(Tabulka2[[#This Row],[Pracovník]],DATA!A:L,11,0),"")</f>
        <v>Vlastní auto</v>
      </c>
      <c r="J1161" s="16"/>
      <c r="K1161" s="19"/>
    </row>
    <row r="1162" spans="1:11" x14ac:dyDescent="0.25">
      <c r="A11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62" s="22">
        <v>45931</v>
      </c>
      <c r="C1162" s="16" t="s">
        <v>28</v>
      </c>
      <c r="D1162" s="16" t="s">
        <v>810</v>
      </c>
      <c r="E1162" s="17">
        <f>IFERROR(VLOOKUP(Tabulka2[[#This Row],[Pracovník]],DATA!A:L,5,0),"")</f>
        <v>4791</v>
      </c>
      <c r="F1162" s="12" t="s">
        <v>655</v>
      </c>
      <c r="G1162" s="16"/>
      <c r="H1162" s="18"/>
      <c r="I1162" s="27" t="str">
        <f>IFERROR(VLOOKUP(Tabulka2[[#This Row],[Pracovník]],DATA!A:L,11,0),"")</f>
        <v>Vlastní auto</v>
      </c>
      <c r="J1162" s="16"/>
      <c r="K1162" s="19"/>
    </row>
    <row r="1163" spans="1:11" x14ac:dyDescent="0.25">
      <c r="A11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63" s="22">
        <v>45931</v>
      </c>
      <c r="C1163" s="16" t="s">
        <v>28</v>
      </c>
      <c r="D1163" s="16" t="s">
        <v>811</v>
      </c>
      <c r="E1163" s="17">
        <f>IFERROR(VLOOKUP(Tabulka2[[#This Row],[Pracovník]],DATA!A:L,5,0),"")</f>
        <v>5121</v>
      </c>
      <c r="F1163" s="12" t="s">
        <v>654</v>
      </c>
      <c r="G1163" s="16"/>
      <c r="H1163" s="18"/>
      <c r="I1163" s="27" t="str">
        <f>IFERROR(VLOOKUP(Tabulka2[[#This Row],[Pracovník]],DATA!A:L,11,0),"")</f>
        <v>DSC 2</v>
      </c>
      <c r="J1163" s="16"/>
      <c r="K1163" s="19"/>
    </row>
    <row r="1164" spans="1:11" x14ac:dyDescent="0.25">
      <c r="A11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64" s="22">
        <v>45931</v>
      </c>
      <c r="C1164" s="16" t="s">
        <v>28</v>
      </c>
      <c r="D1164" s="16" t="s">
        <v>825</v>
      </c>
      <c r="E1164" s="17">
        <f>IFERROR(VLOOKUP(Tabulka2[[#This Row],[Pracovník]],DATA!A:L,5,0),"")</f>
        <v>6193</v>
      </c>
      <c r="F1164" s="12" t="s">
        <v>654</v>
      </c>
      <c r="G1164" s="16"/>
      <c r="H1164" s="18"/>
      <c r="I1164" s="27" t="str">
        <f>IFERROR(VLOOKUP(Tabulka2[[#This Row],[Pracovník]],DATA!A:L,11,0),"")</f>
        <v>DSC 2</v>
      </c>
      <c r="J1164" s="16"/>
      <c r="K1164" s="19"/>
    </row>
    <row r="1165" spans="1:11" x14ac:dyDescent="0.25">
      <c r="A11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65" s="22">
        <v>45931</v>
      </c>
      <c r="C1165" s="16" t="s">
        <v>28</v>
      </c>
      <c r="D1165" s="16" t="s">
        <v>812</v>
      </c>
      <c r="E1165" s="17">
        <f>IFERROR(VLOOKUP(Tabulka2[[#This Row],[Pracovník]],DATA!A:L,5,0),"")</f>
        <v>146</v>
      </c>
      <c r="F1165" s="12" t="s">
        <v>655</v>
      </c>
      <c r="G1165" s="16"/>
      <c r="H1165" s="18"/>
      <c r="I1165" s="27" t="str">
        <f>IFERROR(VLOOKUP(Tabulka2[[#This Row],[Pracovník]],DATA!A:L,11,0),"")</f>
        <v>DSC 2</v>
      </c>
      <c r="J1165" s="16"/>
      <c r="K1165" s="19"/>
    </row>
    <row r="1166" spans="1:11" x14ac:dyDescent="0.25">
      <c r="A11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66" s="22">
        <v>45931</v>
      </c>
      <c r="C1166" s="16" t="s">
        <v>28</v>
      </c>
      <c r="D1166" s="16" t="s">
        <v>814</v>
      </c>
      <c r="E1166" s="17">
        <f>IFERROR(VLOOKUP(Tabulka2[[#This Row],[Pracovník]],DATA!A:L,5,0),"")</f>
        <v>4745</v>
      </c>
      <c r="F1166" s="12" t="s">
        <v>655</v>
      </c>
      <c r="G1166" s="16"/>
      <c r="H1166" s="18"/>
      <c r="I1166" s="27" t="str">
        <f>IFERROR(VLOOKUP(Tabulka2[[#This Row],[Pracovník]],DATA!A:L,11,0),"")</f>
        <v>Vlastní auto</v>
      </c>
      <c r="J1166" s="16"/>
      <c r="K1166" s="19"/>
    </row>
    <row r="1167" spans="1:11" x14ac:dyDescent="0.25">
      <c r="A11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67" s="22">
        <v>45931</v>
      </c>
      <c r="C1167" s="16" t="s">
        <v>28</v>
      </c>
      <c r="D1167" s="16" t="s">
        <v>816</v>
      </c>
      <c r="E1167" s="17">
        <f>IFERROR(VLOOKUP(Tabulka2[[#This Row],[Pracovník]],DATA!A:L,5,0),"")</f>
        <v>5209</v>
      </c>
      <c r="F1167" s="12" t="s">
        <v>654</v>
      </c>
      <c r="G1167" s="16"/>
      <c r="H1167" s="18"/>
      <c r="I1167" s="27" t="str">
        <f>IFERROR(VLOOKUP(Tabulka2[[#This Row],[Pracovník]],DATA!A:L,11,0),"")</f>
        <v>Vlastní auto</v>
      </c>
      <c r="J1167" s="16"/>
      <c r="K1167" s="19"/>
    </row>
    <row r="1168" spans="1:11" x14ac:dyDescent="0.25">
      <c r="A11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68" s="22">
        <v>45931</v>
      </c>
      <c r="C1168" s="16" t="s">
        <v>28</v>
      </c>
      <c r="D1168" s="16" t="s">
        <v>815</v>
      </c>
      <c r="E1168" s="17">
        <f>IFERROR(VLOOKUP(Tabulka2[[#This Row],[Pracovník]],DATA!A:L,5,0),"")</f>
        <v>4790</v>
      </c>
      <c r="F1168" s="12" t="s">
        <v>655</v>
      </c>
      <c r="G1168" s="16"/>
      <c r="H1168" s="18"/>
      <c r="I1168" s="27" t="str">
        <f>IFERROR(VLOOKUP(Tabulka2[[#This Row],[Pracovník]],DATA!A:L,11,0),"")</f>
        <v>DSC 2</v>
      </c>
      <c r="J1168" s="16"/>
      <c r="K1168" s="19"/>
    </row>
    <row r="1169" spans="1:11" x14ac:dyDescent="0.25">
      <c r="A11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69" s="22">
        <v>45931</v>
      </c>
      <c r="C1169" s="16" t="s">
        <v>28</v>
      </c>
      <c r="D1169" s="16" t="s">
        <v>817</v>
      </c>
      <c r="E1169" s="17">
        <f>IFERROR(VLOOKUP(Tabulka2[[#This Row],[Pracovník]],DATA!A:L,5,0),"")</f>
        <v>4727</v>
      </c>
      <c r="F1169" s="12" t="s">
        <v>640</v>
      </c>
      <c r="G1169" s="16"/>
      <c r="H1169" s="18"/>
      <c r="I1169" s="27" t="str">
        <f>IFERROR(VLOOKUP(Tabulka2[[#This Row],[Pracovník]],DATA!A:L,11,0),"")</f>
        <v>DSC 1</v>
      </c>
      <c r="J1169" s="16"/>
      <c r="K1169" s="19"/>
    </row>
    <row r="1170" spans="1:11" x14ac:dyDescent="0.25">
      <c r="A11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70" s="22">
        <v>45931</v>
      </c>
      <c r="C1170" s="16" t="s">
        <v>28</v>
      </c>
      <c r="D1170" s="16" t="s">
        <v>818</v>
      </c>
      <c r="E1170" s="17">
        <f>IFERROR(VLOOKUP(Tabulka2[[#This Row],[Pracovník]],DATA!A:L,5,0),"")</f>
        <v>6488</v>
      </c>
      <c r="F1170" s="12" t="s">
        <v>654</v>
      </c>
      <c r="G1170" s="16"/>
      <c r="H1170" s="18"/>
      <c r="I1170" s="27" t="str">
        <f>IFERROR(VLOOKUP(Tabulka2[[#This Row],[Pracovník]],DATA!A:L,11,0),"")</f>
        <v>DSC 2</v>
      </c>
      <c r="J1170" s="16"/>
      <c r="K1170" s="19"/>
    </row>
    <row r="1171" spans="1:11" x14ac:dyDescent="0.25">
      <c r="A11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71" s="22">
        <v>45931</v>
      </c>
      <c r="C1171" s="16" t="s">
        <v>28</v>
      </c>
      <c r="D1171" s="16" t="s">
        <v>820</v>
      </c>
      <c r="E1171" s="17">
        <f>IFERROR(VLOOKUP(Tabulka2[[#This Row],[Pracovník]],DATA!A:L,5,0),"")</f>
        <v>5604</v>
      </c>
      <c r="F1171" s="12" t="s">
        <v>654</v>
      </c>
      <c r="G1171" s="16"/>
      <c r="H1171" s="18"/>
      <c r="I1171" s="27" t="str">
        <f>IFERROR(VLOOKUP(Tabulka2[[#This Row],[Pracovník]],DATA!A:L,11,0),"")</f>
        <v>Vlastní auto</v>
      </c>
      <c r="J1171" s="16"/>
      <c r="K1171" s="19"/>
    </row>
    <row r="1172" spans="1:11" x14ac:dyDescent="0.25">
      <c r="A11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72" s="22">
        <v>45931</v>
      </c>
      <c r="C1172" s="16" t="s">
        <v>28</v>
      </c>
      <c r="D1172" s="16" t="s">
        <v>821</v>
      </c>
      <c r="E1172" s="17">
        <f>IFERROR(VLOOKUP(Tabulka2[[#This Row],[Pracovník]],DATA!A:L,5,0),"")</f>
        <v>5632</v>
      </c>
      <c r="F1172" s="12" t="s">
        <v>654</v>
      </c>
      <c r="G1172" s="16"/>
      <c r="H1172" s="18"/>
      <c r="I1172" s="27" t="str">
        <f>IFERROR(VLOOKUP(Tabulka2[[#This Row],[Pracovník]],DATA!A:L,11,0),"")</f>
        <v>DSC 1</v>
      </c>
      <c r="J1172" s="16"/>
      <c r="K1172" s="19"/>
    </row>
    <row r="1173" spans="1:11" x14ac:dyDescent="0.25">
      <c r="A11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73" s="22">
        <v>45931</v>
      </c>
      <c r="C1173" s="16" t="s">
        <v>28</v>
      </c>
      <c r="D1173" s="16" t="s">
        <v>822</v>
      </c>
      <c r="E1173" s="17">
        <f>IFERROR(VLOOKUP(Tabulka2[[#This Row],[Pracovník]],DATA!A:L,5,0),"")</f>
        <v>5980</v>
      </c>
      <c r="F1173" s="12" t="s">
        <v>655</v>
      </c>
      <c r="G1173" s="16"/>
      <c r="H1173" s="18"/>
      <c r="I1173" s="27" t="str">
        <f>IFERROR(VLOOKUP(Tabulka2[[#This Row],[Pracovník]],DATA!A:L,11,0),"")</f>
        <v>DSC 2</v>
      </c>
      <c r="J1173" s="16"/>
      <c r="K1173" s="19"/>
    </row>
    <row r="1174" spans="1:11" x14ac:dyDescent="0.25">
      <c r="A11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74" s="22">
        <v>45931</v>
      </c>
      <c r="C1174" s="16" t="s">
        <v>28</v>
      </c>
      <c r="D1174" s="16" t="s">
        <v>823</v>
      </c>
      <c r="E1174" s="17">
        <f>IFERROR(VLOOKUP(Tabulka2[[#This Row],[Pracovník]],DATA!A:L,5,0),"")</f>
        <v>5481</v>
      </c>
      <c r="F1174" s="12" t="s">
        <v>655</v>
      </c>
      <c r="G1174" s="16"/>
      <c r="H1174" s="18"/>
      <c r="I1174" s="27" t="str">
        <f>IFERROR(VLOOKUP(Tabulka2[[#This Row],[Pracovník]],DATA!A:L,11,0),"")</f>
        <v>DSC 2</v>
      </c>
      <c r="J1174" s="16"/>
      <c r="K1174" s="19"/>
    </row>
    <row r="1175" spans="1:11" x14ac:dyDescent="0.25">
      <c r="A11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75" s="22">
        <v>45931</v>
      </c>
      <c r="C1175" s="16" t="s">
        <v>28</v>
      </c>
      <c r="D1175" s="16" t="s">
        <v>824</v>
      </c>
      <c r="E1175" s="17">
        <f>IFERROR(VLOOKUP(Tabulka2[[#This Row],[Pracovník]],DATA!A:L,5,0),"")</f>
        <v>150</v>
      </c>
      <c r="F1175" s="12" t="s">
        <v>653</v>
      </c>
      <c r="G1175" s="16" t="s">
        <v>657</v>
      </c>
      <c r="H1175" s="18"/>
      <c r="I1175" s="27" t="str">
        <f>IFERROR(VLOOKUP(Tabulka2[[#This Row],[Pracovník]],DATA!A:L,11,0),"")</f>
        <v>DSC 1</v>
      </c>
      <c r="J1175" s="16"/>
      <c r="K1175" s="19"/>
    </row>
    <row r="1176" spans="1:11" x14ac:dyDescent="0.25">
      <c r="A11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76" s="22">
        <v>45931</v>
      </c>
      <c r="C1176" s="16" t="s">
        <v>28</v>
      </c>
      <c r="D1176" s="16" t="s">
        <v>826</v>
      </c>
      <c r="E1176" s="17">
        <f>IFERROR(VLOOKUP(Tabulka2[[#This Row],[Pracovník]],DATA!A:L,5,0),"")</f>
        <v>5120</v>
      </c>
      <c r="F1176" s="12" t="s">
        <v>654</v>
      </c>
      <c r="G1176" s="16"/>
      <c r="H1176" s="18"/>
      <c r="I1176" s="27" t="str">
        <f>IFERROR(VLOOKUP(Tabulka2[[#This Row],[Pracovník]],DATA!A:L,11,0),"")</f>
        <v>Vlastní auto</v>
      </c>
      <c r="J1176" s="16"/>
      <c r="K1176" s="19"/>
    </row>
    <row r="1177" spans="1:11" x14ac:dyDescent="0.25">
      <c r="A11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77" s="22">
        <v>45931</v>
      </c>
      <c r="C1177" s="16" t="s">
        <v>28</v>
      </c>
      <c r="D1177" s="16" t="s">
        <v>827</v>
      </c>
      <c r="E1177" s="17">
        <f>IFERROR(VLOOKUP(Tabulka2[[#This Row],[Pracovník]],DATA!A:L,5,0),"")</f>
        <v>4713</v>
      </c>
      <c r="F1177" s="12" t="s">
        <v>655</v>
      </c>
      <c r="G1177" s="16"/>
      <c r="H1177" s="18"/>
      <c r="I1177" s="27" t="str">
        <f>IFERROR(VLOOKUP(Tabulka2[[#This Row],[Pracovník]],DATA!A:L,11,0),"")</f>
        <v>DSC 1</v>
      </c>
      <c r="J1177" s="16"/>
      <c r="K1177" s="19"/>
    </row>
    <row r="1178" spans="1:11" x14ac:dyDescent="0.25">
      <c r="A11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78" s="22">
        <v>45931</v>
      </c>
      <c r="C1178" s="16" t="s">
        <v>28</v>
      </c>
      <c r="D1178" s="16" t="s">
        <v>828</v>
      </c>
      <c r="E1178" s="17">
        <f>IFERROR(VLOOKUP(Tabulka2[[#This Row],[Pracovník]],DATA!A:L,5,0),"")</f>
        <v>6318</v>
      </c>
      <c r="F1178" s="12" t="s">
        <v>654</v>
      </c>
      <c r="G1178" s="16"/>
      <c r="H1178" s="18"/>
      <c r="I1178" s="27" t="str">
        <f>IFERROR(VLOOKUP(Tabulka2[[#This Row],[Pracovník]],DATA!A:L,11,0),"")</f>
        <v>DSC 1</v>
      </c>
      <c r="J1178" s="16"/>
      <c r="K1178" s="19"/>
    </row>
    <row r="1179" spans="1:11" x14ac:dyDescent="0.25">
      <c r="A11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79" s="22">
        <v>45931</v>
      </c>
      <c r="C1179" s="16" t="s">
        <v>28</v>
      </c>
      <c r="D1179" s="16" t="s">
        <v>829</v>
      </c>
      <c r="E1179" s="17">
        <f>IFERROR(VLOOKUP(Tabulka2[[#This Row],[Pracovník]],DATA!A:L,5,0),"")</f>
        <v>5712</v>
      </c>
      <c r="F1179" s="12" t="s">
        <v>654</v>
      </c>
      <c r="G1179" s="16"/>
      <c r="H1179" s="18"/>
      <c r="I1179" s="27" t="str">
        <f>IFERROR(VLOOKUP(Tabulka2[[#This Row],[Pracovník]],DATA!A:L,11,0),"")</f>
        <v>Vlastní auto</v>
      </c>
      <c r="J1179" s="16"/>
      <c r="K1179" s="19"/>
    </row>
    <row r="1180" spans="1:11" x14ac:dyDescent="0.25">
      <c r="A11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80" s="22">
        <v>45931</v>
      </c>
      <c r="C1180" s="16" t="s">
        <v>28</v>
      </c>
      <c r="D1180" s="16" t="s">
        <v>830</v>
      </c>
      <c r="E1180" s="17">
        <f>IFERROR(VLOOKUP(Tabulka2[[#This Row],[Pracovník]],DATA!A:L,5,0),"")</f>
        <v>4744</v>
      </c>
      <c r="F1180" s="12" t="s">
        <v>640</v>
      </c>
      <c r="G1180" s="16"/>
      <c r="H1180" s="18"/>
      <c r="I1180" s="27" t="str">
        <f>IFERROR(VLOOKUP(Tabulka2[[#This Row],[Pracovník]],DATA!A:L,11,0),"")</f>
        <v>DSC 2</v>
      </c>
      <c r="J1180" s="16"/>
      <c r="K1180" s="19"/>
    </row>
    <row r="1181" spans="1:11" x14ac:dyDescent="0.25">
      <c r="A11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81" s="22">
        <v>45931</v>
      </c>
      <c r="C1181" s="16" t="s">
        <v>28</v>
      </c>
      <c r="D1181" s="16" t="s">
        <v>831</v>
      </c>
      <c r="E1181" s="17">
        <f>IFERROR(VLOOKUP(Tabulka2[[#This Row],[Pracovník]],DATA!A:L,5,0),"")</f>
        <v>155</v>
      </c>
      <c r="F1181" s="12" t="s">
        <v>640</v>
      </c>
      <c r="G1181" s="16"/>
      <c r="H1181" s="18"/>
      <c r="I1181" s="27" t="str">
        <f>IFERROR(VLOOKUP(Tabulka2[[#This Row],[Pracovník]],DATA!A:L,11,0),"")</f>
        <v>DSC 1</v>
      </c>
      <c r="J1181" s="16"/>
      <c r="K1181" s="19"/>
    </row>
    <row r="1182" spans="1:11" x14ac:dyDescent="0.25">
      <c r="A11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82" s="22">
        <v>45931</v>
      </c>
      <c r="C1182" s="16" t="s">
        <v>28</v>
      </c>
      <c r="D1182" s="16" t="s">
        <v>833</v>
      </c>
      <c r="E1182" s="17">
        <f>IFERROR(VLOOKUP(Tabulka2[[#This Row],[Pracovník]],DATA!A:L,5,0),"")</f>
        <v>6178</v>
      </c>
      <c r="F1182" s="12" t="s">
        <v>654</v>
      </c>
      <c r="G1182" s="16"/>
      <c r="H1182" s="18"/>
      <c r="I1182" s="27" t="str">
        <f>IFERROR(VLOOKUP(Tabulka2[[#This Row],[Pracovník]],DATA!A:L,11,0),"")</f>
        <v>DSC 2</v>
      </c>
      <c r="J1182" s="16"/>
      <c r="K1182" s="19"/>
    </row>
    <row r="1183" spans="1:11" x14ac:dyDescent="0.25">
      <c r="A11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83" s="22">
        <v>45931</v>
      </c>
      <c r="C1183" s="16" t="s">
        <v>28</v>
      </c>
      <c r="D1183" s="16" t="s">
        <v>834</v>
      </c>
      <c r="E1183" s="17">
        <f>IFERROR(VLOOKUP(Tabulka2[[#This Row],[Pracovník]],DATA!A:L,5,0),"")</f>
        <v>6345</v>
      </c>
      <c r="F1183" s="12" t="s">
        <v>653</v>
      </c>
      <c r="G1183" s="16" t="s">
        <v>926</v>
      </c>
      <c r="H1183" s="18"/>
      <c r="I1183" s="27" t="str">
        <f>IFERROR(VLOOKUP(Tabulka2[[#This Row],[Pracovník]],DATA!A:L,11,0),"")</f>
        <v>DSC 1</v>
      </c>
      <c r="J1183" s="16"/>
      <c r="K1183" s="19"/>
    </row>
    <row r="1184" spans="1:11" x14ac:dyDescent="0.25">
      <c r="A11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84" s="22">
        <v>45931</v>
      </c>
      <c r="C1184" s="16" t="s">
        <v>28</v>
      </c>
      <c r="D1184" s="16" t="s">
        <v>835</v>
      </c>
      <c r="E1184" s="17">
        <f>IFERROR(VLOOKUP(Tabulka2[[#This Row],[Pracovník]],DATA!A:L,5,0),"")</f>
        <v>5601</v>
      </c>
      <c r="F1184" s="12" t="s">
        <v>640</v>
      </c>
      <c r="G1184" s="16"/>
      <c r="H1184" s="18"/>
      <c r="I1184" s="27" t="str">
        <f>IFERROR(VLOOKUP(Tabulka2[[#This Row],[Pracovník]],DATA!A:L,11,0),"")</f>
        <v>DSC 2</v>
      </c>
      <c r="J1184" s="16"/>
      <c r="K1184" s="19"/>
    </row>
    <row r="1185" spans="1:11" x14ac:dyDescent="0.25">
      <c r="A11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85" s="22">
        <v>45931</v>
      </c>
      <c r="C1185" s="16" t="s">
        <v>28</v>
      </c>
      <c r="D1185" s="16" t="s">
        <v>836</v>
      </c>
      <c r="E1185" s="17">
        <f>IFERROR(VLOOKUP(Tabulka2[[#This Row],[Pracovník]],DATA!A:L,5,0),"")</f>
        <v>5152</v>
      </c>
      <c r="F1185" s="12" t="s">
        <v>654</v>
      </c>
      <c r="G1185" s="16"/>
      <c r="H1185" s="18"/>
      <c r="I1185" s="27" t="str">
        <f>IFERROR(VLOOKUP(Tabulka2[[#This Row],[Pracovník]],DATA!A:L,11,0),"")</f>
        <v>Vlastní auto</v>
      </c>
      <c r="J1185" s="16"/>
      <c r="K1185" s="19"/>
    </row>
    <row r="1186" spans="1:11" x14ac:dyDescent="0.25">
      <c r="A11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86" s="22">
        <v>45931</v>
      </c>
      <c r="C1186" s="16" t="s">
        <v>28</v>
      </c>
      <c r="D1186" s="16" t="s">
        <v>837</v>
      </c>
      <c r="E1186" s="17">
        <f>IFERROR(VLOOKUP(Tabulka2[[#This Row],[Pracovník]],DATA!A:L,5,0),"")</f>
        <v>176</v>
      </c>
      <c r="F1186" s="12" t="s">
        <v>640</v>
      </c>
      <c r="G1186" s="16"/>
      <c r="H1186" s="18"/>
      <c r="I1186" s="27" t="str">
        <f>IFERROR(VLOOKUP(Tabulka2[[#This Row],[Pracovník]],DATA!A:L,11,0),"")</f>
        <v>Vlastní auto</v>
      </c>
      <c r="J1186" s="16"/>
      <c r="K1186" s="19"/>
    </row>
    <row r="1187" spans="1:11" x14ac:dyDescent="0.25">
      <c r="A11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87" s="22">
        <v>45931</v>
      </c>
      <c r="C1187" s="16" t="s">
        <v>28</v>
      </c>
      <c r="D1187" s="16" t="s">
        <v>839</v>
      </c>
      <c r="E1187" s="17">
        <f>IFERROR(VLOOKUP(Tabulka2[[#This Row],[Pracovník]],DATA!A:L,5,0),"")</f>
        <v>177</v>
      </c>
      <c r="F1187" s="12" t="s">
        <v>655</v>
      </c>
      <c r="G1187" s="16"/>
      <c r="H1187" s="18"/>
      <c r="I1187" s="27" t="str">
        <f>IFERROR(VLOOKUP(Tabulka2[[#This Row],[Pracovník]],DATA!A:L,11,0),"")</f>
        <v>DSC 2</v>
      </c>
      <c r="J1187" s="16"/>
      <c r="K1187" s="19"/>
    </row>
    <row r="1188" spans="1:11" x14ac:dyDescent="0.25">
      <c r="A11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88" s="22">
        <v>45931</v>
      </c>
      <c r="C1188" s="16" t="s">
        <v>28</v>
      </c>
      <c r="D1188" s="16" t="s">
        <v>840</v>
      </c>
      <c r="E1188" s="17">
        <f>IFERROR(VLOOKUP(Tabulka2[[#This Row],[Pracovník]],DATA!A:L,5,0),"")</f>
        <v>5555</v>
      </c>
      <c r="F1188" s="12" t="s">
        <v>655</v>
      </c>
      <c r="G1188" s="16"/>
      <c r="H1188" s="18"/>
      <c r="I1188" s="27" t="str">
        <f>IFERROR(VLOOKUP(Tabulka2[[#This Row],[Pracovník]],DATA!A:L,11,0),"")</f>
        <v>Vlastní auto</v>
      </c>
      <c r="J1188" s="16"/>
      <c r="K1188" s="19"/>
    </row>
    <row r="1189" spans="1:11" x14ac:dyDescent="0.25">
      <c r="A11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89" s="22">
        <v>45931</v>
      </c>
      <c r="C1189" s="16" t="s">
        <v>28</v>
      </c>
      <c r="D1189" s="16" t="s">
        <v>841</v>
      </c>
      <c r="E1189" s="17">
        <f>IFERROR(VLOOKUP(Tabulka2[[#This Row],[Pracovník]],DATA!A:L,5,0),"")</f>
        <v>4959</v>
      </c>
      <c r="F1189" s="12" t="s">
        <v>655</v>
      </c>
      <c r="G1189" s="16"/>
      <c r="H1189" s="18"/>
      <c r="I1189" s="27" t="str">
        <f>IFERROR(VLOOKUP(Tabulka2[[#This Row],[Pracovník]],DATA!A:L,11,0),"")</f>
        <v>Vlastní auto</v>
      </c>
      <c r="J1189" s="16"/>
      <c r="K1189" s="19"/>
    </row>
    <row r="1190" spans="1:11" x14ac:dyDescent="0.25">
      <c r="A11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90" s="22">
        <v>45931</v>
      </c>
      <c r="C1190" s="16" t="s">
        <v>28</v>
      </c>
      <c r="D1190" s="16" t="s">
        <v>843</v>
      </c>
      <c r="E1190" s="17">
        <f>IFERROR(VLOOKUP(Tabulka2[[#This Row],[Pracovník]],DATA!A:L,5,0),"")</f>
        <v>4919</v>
      </c>
      <c r="F1190" s="12" t="s">
        <v>654</v>
      </c>
      <c r="G1190" s="16"/>
      <c r="H1190" s="18"/>
      <c r="I1190" s="27" t="str">
        <f>IFERROR(VLOOKUP(Tabulka2[[#This Row],[Pracovník]],DATA!A:L,11,0),"")</f>
        <v>Vlastní auto</v>
      </c>
      <c r="J1190" s="16"/>
      <c r="K1190" s="19"/>
    </row>
    <row r="1191" spans="1:11" x14ac:dyDescent="0.25">
      <c r="A11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91" s="22">
        <v>45931</v>
      </c>
      <c r="C1191" s="16" t="s">
        <v>28</v>
      </c>
      <c r="D1191" s="16" t="s">
        <v>842</v>
      </c>
      <c r="E1191" s="17">
        <f>IFERROR(VLOOKUP(Tabulka2[[#This Row],[Pracovník]],DATA!A:L,5,0),"")</f>
        <v>4724</v>
      </c>
      <c r="F1191" s="12" t="s">
        <v>654</v>
      </c>
      <c r="G1191" s="16"/>
      <c r="H1191" s="18"/>
      <c r="I1191" s="27" t="str">
        <f>IFERROR(VLOOKUP(Tabulka2[[#This Row],[Pracovník]],DATA!A:L,11,0),"")</f>
        <v>Vlastní auto</v>
      </c>
      <c r="J1191" s="16"/>
      <c r="K1191" s="19"/>
    </row>
    <row r="1192" spans="1:11" x14ac:dyDescent="0.25">
      <c r="A11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92" s="22">
        <v>45931</v>
      </c>
      <c r="C1192" s="16" t="s">
        <v>28</v>
      </c>
      <c r="D1192" s="16" t="s">
        <v>844</v>
      </c>
      <c r="E1192" s="17">
        <f>IFERROR(VLOOKUP(Tabulka2[[#This Row],[Pracovník]],DATA!A:L,5,0),"")</f>
        <v>183</v>
      </c>
      <c r="F1192" s="12" t="s">
        <v>640</v>
      </c>
      <c r="G1192" s="16"/>
      <c r="H1192" s="18"/>
      <c r="I1192" s="27" t="str">
        <f>IFERROR(VLOOKUP(Tabulka2[[#This Row],[Pracovník]],DATA!A:L,11,0),"")</f>
        <v>DSC 1</v>
      </c>
      <c r="J1192" s="16"/>
      <c r="K1192" s="19"/>
    </row>
    <row r="1193" spans="1:11" x14ac:dyDescent="0.25">
      <c r="A11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93" s="22">
        <v>45931</v>
      </c>
      <c r="C1193" s="16" t="s">
        <v>28</v>
      </c>
      <c r="D1193" s="16" t="s">
        <v>845</v>
      </c>
      <c r="E1193" s="17">
        <f>IFERROR(VLOOKUP(Tabulka2[[#This Row],[Pracovník]],DATA!A:L,5,0),"")</f>
        <v>5545</v>
      </c>
      <c r="F1193" s="12" t="s">
        <v>653</v>
      </c>
      <c r="G1193" s="16" t="s">
        <v>925</v>
      </c>
      <c r="H1193" s="18"/>
      <c r="I1193" s="27" t="str">
        <f>IFERROR(VLOOKUP(Tabulka2[[#This Row],[Pracovník]],DATA!A:L,11,0),"")</f>
        <v>Vlastní auto</v>
      </c>
      <c r="J1193" s="16"/>
      <c r="K1193" s="19" t="s">
        <v>1010</v>
      </c>
    </row>
    <row r="1194" spans="1:11" x14ac:dyDescent="0.25">
      <c r="A11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94" s="22">
        <v>45931</v>
      </c>
      <c r="C1194" s="16" t="s">
        <v>28</v>
      </c>
      <c r="D1194" s="16" t="s">
        <v>846</v>
      </c>
      <c r="E1194" s="17">
        <f>IFERROR(VLOOKUP(Tabulka2[[#This Row],[Pracovník]],DATA!A:L,5,0),"")</f>
        <v>5526</v>
      </c>
      <c r="F1194" s="12" t="s">
        <v>654</v>
      </c>
      <c r="G1194" s="16"/>
      <c r="H1194" s="18"/>
      <c r="I1194" s="27" t="str">
        <f>IFERROR(VLOOKUP(Tabulka2[[#This Row],[Pracovník]],DATA!A:L,11,0),"")</f>
        <v>Vlastní auto</v>
      </c>
      <c r="J1194" s="16"/>
      <c r="K1194" s="19"/>
    </row>
    <row r="1195" spans="1:11" x14ac:dyDescent="0.25">
      <c r="A11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95" s="22">
        <v>45931</v>
      </c>
      <c r="C1195" s="16" t="s">
        <v>28</v>
      </c>
      <c r="D1195" s="16" t="s">
        <v>847</v>
      </c>
      <c r="E1195" s="17">
        <f>IFERROR(VLOOKUP(Tabulka2[[#This Row],[Pracovník]],DATA!A:L,5,0),"")</f>
        <v>5192</v>
      </c>
      <c r="F1195" s="12" t="s">
        <v>654</v>
      </c>
      <c r="G1195" s="16"/>
      <c r="H1195" s="18"/>
      <c r="I1195" s="27" t="str">
        <f>IFERROR(VLOOKUP(Tabulka2[[#This Row],[Pracovník]],DATA!A:L,11,0),"")</f>
        <v>Vlastní auto</v>
      </c>
      <c r="J1195" s="16"/>
      <c r="K1195" s="19"/>
    </row>
    <row r="1196" spans="1:11" x14ac:dyDescent="0.25">
      <c r="A11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96" s="22">
        <v>45931</v>
      </c>
      <c r="C1196" s="16" t="s">
        <v>28</v>
      </c>
      <c r="D1196" s="16" t="s">
        <v>848</v>
      </c>
      <c r="E1196" s="17">
        <f>IFERROR(VLOOKUP(Tabulka2[[#This Row],[Pracovník]],DATA!A:L,5,0),"")</f>
        <v>4698</v>
      </c>
      <c r="F1196" s="12" t="s">
        <v>654</v>
      </c>
      <c r="G1196" s="16"/>
      <c r="H1196" s="18"/>
      <c r="I1196" s="27" t="str">
        <f>IFERROR(VLOOKUP(Tabulka2[[#This Row],[Pracovník]],DATA!A:L,11,0),"")</f>
        <v>Vlastní auto</v>
      </c>
      <c r="J1196" s="16"/>
      <c r="K1196" s="19"/>
    </row>
    <row r="1197" spans="1:11" x14ac:dyDescent="0.25">
      <c r="A11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97" s="22">
        <v>45931</v>
      </c>
      <c r="C1197" s="16" t="s">
        <v>28</v>
      </c>
      <c r="D1197" s="16" t="s">
        <v>849</v>
      </c>
      <c r="E1197" s="17">
        <f>IFERROR(VLOOKUP(Tabulka2[[#This Row],[Pracovník]],DATA!A:L,5,0),"")</f>
        <v>4611</v>
      </c>
      <c r="F1197" s="12" t="s">
        <v>655</v>
      </c>
      <c r="G1197" s="16"/>
      <c r="H1197" s="18"/>
      <c r="I1197" s="27" t="str">
        <f>IFERROR(VLOOKUP(Tabulka2[[#This Row],[Pracovník]],DATA!A:L,11,0),"")</f>
        <v>DSC 1</v>
      </c>
      <c r="J1197" s="16"/>
      <c r="K1197" s="19"/>
    </row>
    <row r="1198" spans="1:11" x14ac:dyDescent="0.25">
      <c r="A11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98" s="22">
        <v>45931</v>
      </c>
      <c r="C1198" s="16" t="s">
        <v>28</v>
      </c>
      <c r="D1198" s="16" t="s">
        <v>850</v>
      </c>
      <c r="E1198" s="17">
        <f>IFERROR(VLOOKUP(Tabulka2[[#This Row],[Pracovník]],DATA!A:L,5,0),"")</f>
        <v>5069</v>
      </c>
      <c r="F1198" s="12" t="s">
        <v>655</v>
      </c>
      <c r="G1198" s="16"/>
      <c r="H1198" s="18"/>
      <c r="I1198" s="27" t="str">
        <f>IFERROR(VLOOKUP(Tabulka2[[#This Row],[Pracovník]],DATA!A:L,11,0),"")</f>
        <v>Vlastní auto</v>
      </c>
      <c r="J1198" s="16"/>
      <c r="K1198" s="19"/>
    </row>
    <row r="1199" spans="1:11" x14ac:dyDescent="0.25">
      <c r="A11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199" s="22">
        <v>45931</v>
      </c>
      <c r="C1199" s="16" t="s">
        <v>28</v>
      </c>
      <c r="D1199" s="16" t="s">
        <v>851</v>
      </c>
      <c r="E1199" s="17">
        <f>IFERROR(VLOOKUP(Tabulka2[[#This Row],[Pracovník]],DATA!A:L,5,0),"")</f>
        <v>185</v>
      </c>
      <c r="F1199" s="12" t="s">
        <v>640</v>
      </c>
      <c r="G1199" s="16"/>
      <c r="H1199" s="18"/>
      <c r="I1199" s="27" t="str">
        <f>IFERROR(VLOOKUP(Tabulka2[[#This Row],[Pracovník]],DATA!A:L,11,0),"")</f>
        <v>DSC 1</v>
      </c>
      <c r="J1199" s="16"/>
      <c r="K1199" s="19"/>
    </row>
    <row r="1200" spans="1:11" x14ac:dyDescent="0.25">
      <c r="A12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00" s="22">
        <v>45931</v>
      </c>
      <c r="C1200" s="16" t="s">
        <v>28</v>
      </c>
      <c r="D1200" s="16" t="s">
        <v>852</v>
      </c>
      <c r="E1200" s="17">
        <f>IFERROR(VLOOKUP(Tabulka2[[#This Row],[Pracovník]],DATA!A:L,5,0),"")</f>
        <v>6388</v>
      </c>
      <c r="F1200" s="12" t="s">
        <v>653</v>
      </c>
      <c r="G1200" s="16" t="s">
        <v>657</v>
      </c>
      <c r="H1200" s="18"/>
      <c r="I1200" s="27" t="str">
        <f>IFERROR(VLOOKUP(Tabulka2[[#This Row],[Pracovník]],DATA!A:L,11,0),"")</f>
        <v>Vlastní auto</v>
      </c>
      <c r="J1200" s="16"/>
      <c r="K1200" s="19"/>
    </row>
    <row r="1201" spans="1:11" x14ac:dyDescent="0.25">
      <c r="A12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01" s="22">
        <v>45931</v>
      </c>
      <c r="C1201" s="16" t="s">
        <v>28</v>
      </c>
      <c r="D1201" s="16" t="s">
        <v>854</v>
      </c>
      <c r="E1201" s="17">
        <f>IFERROR(VLOOKUP(Tabulka2[[#This Row],[Pracovník]],DATA!A:L,5,0),"")</f>
        <v>5720</v>
      </c>
      <c r="F1201" s="12" t="s">
        <v>655</v>
      </c>
      <c r="G1201" s="16"/>
      <c r="H1201" s="18"/>
      <c r="I1201" s="27" t="str">
        <f>IFERROR(VLOOKUP(Tabulka2[[#This Row],[Pracovník]],DATA!A:L,11,0),"")</f>
        <v>DSC 2</v>
      </c>
      <c r="J1201" s="16"/>
      <c r="K1201" s="19"/>
    </row>
    <row r="1202" spans="1:11" x14ac:dyDescent="0.25">
      <c r="A12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02" s="22">
        <v>45931</v>
      </c>
      <c r="C1202" s="16" t="s">
        <v>28</v>
      </c>
      <c r="D1202" s="16" t="s">
        <v>853</v>
      </c>
      <c r="E1202" s="17">
        <f>IFERROR(VLOOKUP(Tabulka2[[#This Row],[Pracovník]],DATA!A:L,5,0),"")</f>
        <v>5722</v>
      </c>
      <c r="F1202" s="12" t="s">
        <v>655</v>
      </c>
      <c r="G1202" s="16"/>
      <c r="H1202" s="18"/>
      <c r="I1202" s="27" t="str">
        <f>IFERROR(VLOOKUP(Tabulka2[[#This Row],[Pracovník]],DATA!A:L,11,0),"")</f>
        <v>DSC 2</v>
      </c>
      <c r="J1202" s="16"/>
      <c r="K1202" s="19"/>
    </row>
    <row r="1203" spans="1:11" x14ac:dyDescent="0.25">
      <c r="A12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03" s="22">
        <v>45931</v>
      </c>
      <c r="C1203" s="16" t="s">
        <v>28</v>
      </c>
      <c r="D1203" s="16" t="s">
        <v>855</v>
      </c>
      <c r="E1203" s="17">
        <f>IFERROR(VLOOKUP(Tabulka2[[#This Row],[Pracovník]],DATA!A:L,5,0),"")</f>
        <v>6180</v>
      </c>
      <c r="F1203" s="12" t="s">
        <v>640</v>
      </c>
      <c r="G1203" s="16"/>
      <c r="H1203" s="18"/>
      <c r="I1203" s="27" t="str">
        <f>IFERROR(VLOOKUP(Tabulka2[[#This Row],[Pracovník]],DATA!A:L,11,0),"")</f>
        <v>DSC 2</v>
      </c>
      <c r="J1203" s="16"/>
      <c r="K1203" s="19"/>
    </row>
    <row r="1204" spans="1:11" x14ac:dyDescent="0.25">
      <c r="A12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04" s="22">
        <v>45931</v>
      </c>
      <c r="C1204" s="16" t="s">
        <v>28</v>
      </c>
      <c r="D1204" s="16" t="s">
        <v>856</v>
      </c>
      <c r="E1204" s="17">
        <f>IFERROR(VLOOKUP(Tabulka2[[#This Row],[Pracovník]],DATA!A:L,5,0),"")</f>
        <v>4423</v>
      </c>
      <c r="F1204" s="12" t="s">
        <v>640</v>
      </c>
      <c r="G1204" s="16"/>
      <c r="H1204" s="18"/>
      <c r="I1204" s="27" t="str">
        <f>IFERROR(VLOOKUP(Tabulka2[[#This Row],[Pracovník]],DATA!A:L,11,0),"")</f>
        <v>DSC 1</v>
      </c>
      <c r="J1204" s="16"/>
      <c r="K1204" s="19"/>
    </row>
    <row r="1205" spans="1:11" x14ac:dyDescent="0.25">
      <c r="A12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05" s="22">
        <v>45931</v>
      </c>
      <c r="C1205" s="16" t="s">
        <v>28</v>
      </c>
      <c r="D1205" s="16" t="s">
        <v>857</v>
      </c>
      <c r="E1205" s="17">
        <f>IFERROR(VLOOKUP(Tabulka2[[#This Row],[Pracovník]],DATA!A:L,5,0),"")</f>
        <v>5036</v>
      </c>
      <c r="F1205" s="12" t="s">
        <v>653</v>
      </c>
      <c r="G1205" s="16"/>
      <c r="H1205" s="18"/>
      <c r="I1205" s="27" t="str">
        <f>IFERROR(VLOOKUP(Tabulka2[[#This Row],[Pracovník]],DATA!A:L,11,0),"")</f>
        <v>Vlastní auto</v>
      </c>
      <c r="J1205" s="16"/>
      <c r="K1205" s="19"/>
    </row>
    <row r="1206" spans="1:11" x14ac:dyDescent="0.25">
      <c r="A12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06" s="22">
        <v>45931</v>
      </c>
      <c r="C1206" s="16" t="s">
        <v>28</v>
      </c>
      <c r="D1206" s="16" t="s">
        <v>838</v>
      </c>
      <c r="E1206" s="17">
        <f>IFERROR(VLOOKUP(Tabulka2[[#This Row],[Pracovník]],DATA!A:L,5,0),"")</f>
        <v>4899</v>
      </c>
      <c r="F1206" s="12" t="s">
        <v>654</v>
      </c>
      <c r="G1206" s="16"/>
      <c r="H1206" s="18"/>
      <c r="I1206" s="27" t="str">
        <f>IFERROR(VLOOKUP(Tabulka2[[#This Row],[Pracovník]],DATA!A:L,11,0),"")</f>
        <v>DSC 1</v>
      </c>
      <c r="J1206" s="16"/>
      <c r="K1206" s="19"/>
    </row>
    <row r="1207" spans="1:11" x14ac:dyDescent="0.25">
      <c r="A12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07" s="22">
        <v>45931</v>
      </c>
      <c r="C1207" s="16" t="s">
        <v>28</v>
      </c>
      <c r="D1207" s="16" t="s">
        <v>918</v>
      </c>
      <c r="E1207" s="17">
        <f>IFERROR(VLOOKUP(Tabulka2[[#This Row],[Pracovník]],DATA!A:L,5,0),"")</f>
        <v>6582</v>
      </c>
      <c r="F1207" s="12" t="s">
        <v>640</v>
      </c>
      <c r="G1207" s="16"/>
      <c r="H1207" s="18"/>
      <c r="I1207" s="27" t="str">
        <f>IFERROR(VLOOKUP(Tabulka2[[#This Row],[Pracovník]],DATA!A:L,11,0),"")</f>
        <v>DSC 1</v>
      </c>
      <c r="J1207" s="16"/>
      <c r="K1207" s="19"/>
    </row>
    <row r="1208" spans="1:11" x14ac:dyDescent="0.25">
      <c r="A12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08" s="22">
        <v>45931</v>
      </c>
      <c r="C1208" s="16" t="s">
        <v>28</v>
      </c>
      <c r="D1208" s="16" t="s">
        <v>922</v>
      </c>
      <c r="E1208" s="17">
        <f>IFERROR(VLOOKUP(Tabulka2[[#This Row],[Pracovník]],DATA!A:L,5,0),"")</f>
        <v>6580</v>
      </c>
      <c r="F1208" s="12" t="s">
        <v>655</v>
      </c>
      <c r="G1208" s="16"/>
      <c r="H1208" s="18"/>
      <c r="I1208" s="27" t="str">
        <f>IFERROR(VLOOKUP(Tabulka2[[#This Row],[Pracovník]],DATA!A:L,11,0),"")</f>
        <v>Vlastní auto</v>
      </c>
      <c r="J1208" s="16"/>
      <c r="K1208" s="19"/>
    </row>
    <row r="1209" spans="1:11" x14ac:dyDescent="0.25">
      <c r="A12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09" s="22">
        <v>45932</v>
      </c>
      <c r="C1209" s="16" t="s">
        <v>56</v>
      </c>
      <c r="D1209" s="16" t="s">
        <v>910</v>
      </c>
      <c r="E1209" s="17">
        <f>IFERROR(VLOOKUP(Tabulka2[[#This Row],[Pracovník]],DATA!A:L,5,0),"")</f>
        <v>6474</v>
      </c>
      <c r="F1209" s="12" t="s">
        <v>654</v>
      </c>
      <c r="G1209" s="16"/>
      <c r="H1209" s="18"/>
      <c r="I1209" s="27" t="str">
        <f>IFERROR(VLOOKUP(Tabulka2[[#This Row],[Pracovník]],DATA!A:L,11,0),"")</f>
        <v>BATZ 1</v>
      </c>
      <c r="J1209" s="16"/>
      <c r="K1209" s="19"/>
    </row>
    <row r="1210" spans="1:11" x14ac:dyDescent="0.25">
      <c r="A12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10" s="22">
        <v>45932</v>
      </c>
      <c r="C1210" s="16" t="s">
        <v>56</v>
      </c>
      <c r="D1210" s="16" t="s">
        <v>911</v>
      </c>
      <c r="E1210" s="17">
        <f>IFERROR(VLOOKUP(Tabulka2[[#This Row],[Pracovník]],DATA!A:L,5,0),"")</f>
        <v>5110</v>
      </c>
      <c r="F1210" s="12" t="s">
        <v>640</v>
      </c>
      <c r="G1210" s="16"/>
      <c r="H1210" s="18"/>
      <c r="I1210" s="27" t="str">
        <f>IFERROR(VLOOKUP(Tabulka2[[#This Row],[Pracovník]],DATA!A:L,11,0),"")</f>
        <v>BATZ 2</v>
      </c>
      <c r="J1210" s="16"/>
      <c r="K1210" s="19"/>
    </row>
    <row r="1211" spans="1:11" x14ac:dyDescent="0.25">
      <c r="A12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11" s="22">
        <v>45932</v>
      </c>
      <c r="C1211" s="16" t="s">
        <v>56</v>
      </c>
      <c r="D1211" s="16" t="s">
        <v>912</v>
      </c>
      <c r="E1211" s="17">
        <f>IFERROR(VLOOKUP(Tabulka2[[#This Row],[Pracovník]],DATA!A:L,5,0),"")</f>
        <v>6473</v>
      </c>
      <c r="F1211" s="12" t="s">
        <v>640</v>
      </c>
      <c r="G1211" s="16"/>
      <c r="H1211" s="18"/>
      <c r="I1211" s="27" t="str">
        <f>IFERROR(VLOOKUP(Tabulka2[[#This Row],[Pracovník]],DATA!A:L,11,0),"")</f>
        <v>BATZ 1</v>
      </c>
      <c r="J1211" s="16"/>
      <c r="K1211" s="19"/>
    </row>
    <row r="1212" spans="1:11" x14ac:dyDescent="0.25">
      <c r="A12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12" s="22">
        <v>45932</v>
      </c>
      <c r="C1212" s="16" t="s">
        <v>56</v>
      </c>
      <c r="D1212" s="16" t="s">
        <v>913</v>
      </c>
      <c r="E1212" s="17">
        <f>IFERROR(VLOOKUP(Tabulka2[[#This Row],[Pracovník]],DATA!A:L,5,0),"")</f>
        <v>6394</v>
      </c>
      <c r="F1212" s="12" t="s">
        <v>653</v>
      </c>
      <c r="G1212" s="16" t="s">
        <v>657</v>
      </c>
      <c r="H1212" s="18"/>
      <c r="I1212" s="27" t="str">
        <f>IFERROR(VLOOKUP(Tabulka2[[#This Row],[Pracovník]],DATA!A:L,11,0),"")</f>
        <v>BATZ 1</v>
      </c>
      <c r="J1212" s="16"/>
      <c r="K1212" s="19"/>
    </row>
    <row r="1213" spans="1:11" x14ac:dyDescent="0.25">
      <c r="A12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13" s="22">
        <v>45932</v>
      </c>
      <c r="C1213" s="16" t="s">
        <v>25</v>
      </c>
      <c r="D1213" s="16" t="s">
        <v>679</v>
      </c>
      <c r="E1213" s="17">
        <f>IFERROR(VLOOKUP(Tabulka2[[#This Row],[Pracovník]],DATA!A:L,5,0),"")</f>
        <v>5777</v>
      </c>
      <c r="F1213" s="12" t="s">
        <v>640</v>
      </c>
      <c r="G1213" s="16"/>
      <c r="H1213" s="18"/>
      <c r="I1213" s="27" t="str">
        <f>IFERROR(VLOOKUP(Tabulka2[[#This Row],[Pracovník]],DATA!A:L,11,0),"")</f>
        <v>BATZ 2</v>
      </c>
      <c r="J1213" s="16"/>
      <c r="K1213" s="19"/>
    </row>
    <row r="1214" spans="1:11" x14ac:dyDescent="0.25">
      <c r="A12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14" s="22">
        <v>45932</v>
      </c>
      <c r="C1214" s="16" t="s">
        <v>25</v>
      </c>
      <c r="D1214" s="23" t="s">
        <v>680</v>
      </c>
      <c r="E1214" s="17">
        <f>IFERROR(VLOOKUP(Tabulka2[[#This Row],[Pracovník]],DATA!A:L,5,0),"")</f>
        <v>4838</v>
      </c>
      <c r="F1214" s="24" t="s">
        <v>654</v>
      </c>
      <c r="G1214" s="16"/>
      <c r="H1214" s="18"/>
      <c r="I1214" s="27" t="str">
        <f>IFERROR(VLOOKUP(Tabulka2[[#This Row],[Pracovník]],DATA!A:L,11,0),"")</f>
        <v>BATZ 2</v>
      </c>
      <c r="J1214" s="16"/>
      <c r="K1214" s="19"/>
    </row>
    <row r="1215" spans="1:11" x14ac:dyDescent="0.25">
      <c r="A12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15" s="22">
        <v>45932</v>
      </c>
      <c r="C1215" s="16" t="s">
        <v>25</v>
      </c>
      <c r="D1215" s="16" t="s">
        <v>681</v>
      </c>
      <c r="E1215" s="17">
        <f>IFERROR(VLOOKUP(Tabulka2[[#This Row],[Pracovník]],DATA!A:L,5,0),"")</f>
        <v>4599</v>
      </c>
      <c r="F1215" s="12" t="s">
        <v>640</v>
      </c>
      <c r="G1215" s="16"/>
      <c r="H1215" s="18"/>
      <c r="I1215" s="27" t="str">
        <f>IFERROR(VLOOKUP(Tabulka2[[#This Row],[Pracovník]],DATA!A:L,11,0),"")</f>
        <v>BATZ 1</v>
      </c>
      <c r="J1215" s="16"/>
      <c r="K1215" s="19"/>
    </row>
    <row r="1216" spans="1:11" x14ac:dyDescent="0.25">
      <c r="A12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16" s="22">
        <v>45932</v>
      </c>
      <c r="C1216" s="16" t="s">
        <v>25</v>
      </c>
      <c r="D1216" s="16" t="s">
        <v>682</v>
      </c>
      <c r="E1216" s="17">
        <f>IFERROR(VLOOKUP(Tabulka2[[#This Row],[Pracovník]],DATA!A:L,5,0),"")</f>
        <v>6566</v>
      </c>
      <c r="F1216" s="12" t="s">
        <v>654</v>
      </c>
      <c r="G1216" s="16"/>
      <c r="H1216" s="18"/>
      <c r="I1216" s="27" t="str">
        <f>IFERROR(VLOOKUP(Tabulka2[[#This Row],[Pracovník]],DATA!A:L,11,0),"")</f>
        <v>BATZ 1</v>
      </c>
      <c r="J1216" s="16"/>
      <c r="K1216" s="19"/>
    </row>
    <row r="1217" spans="1:11" x14ac:dyDescent="0.25">
      <c r="A12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17" s="22">
        <v>45932</v>
      </c>
      <c r="C1217" s="16" t="s">
        <v>25</v>
      </c>
      <c r="D1217" s="16" t="s">
        <v>683</v>
      </c>
      <c r="E1217" s="17">
        <f>IFERROR(VLOOKUP(Tabulka2[[#This Row],[Pracovník]],DATA!A:L,5,0),"")</f>
        <v>5400</v>
      </c>
      <c r="F1217" s="12" t="s">
        <v>653</v>
      </c>
      <c r="G1217" s="16" t="s">
        <v>656</v>
      </c>
      <c r="H1217" s="18"/>
      <c r="I1217" s="27" t="str">
        <f>IFERROR(VLOOKUP(Tabulka2[[#This Row],[Pracovník]],DATA!A:L,11,0),"")</f>
        <v>BATZ 1</v>
      </c>
      <c r="J1217" s="16"/>
      <c r="K1217" s="19"/>
    </row>
    <row r="1218" spans="1:11" x14ac:dyDescent="0.25">
      <c r="A12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18" s="22">
        <v>45932</v>
      </c>
      <c r="C1218" s="16" t="s">
        <v>25</v>
      </c>
      <c r="D1218" s="16" t="s">
        <v>684</v>
      </c>
      <c r="E1218" s="17">
        <f>IFERROR(VLOOKUP(Tabulka2[[#This Row],[Pracovník]],DATA!A:L,5,0),"")</f>
        <v>5094</v>
      </c>
      <c r="F1218" s="12" t="s">
        <v>655</v>
      </c>
      <c r="G1218" s="16"/>
      <c r="H1218" s="18"/>
      <c r="I1218" s="27" t="str">
        <f>IFERROR(VLOOKUP(Tabulka2[[#This Row],[Pracovník]],DATA!A:L,11,0),"")</f>
        <v>BATZ 2</v>
      </c>
      <c r="J1218" s="16"/>
      <c r="K1218" s="19"/>
    </row>
    <row r="1219" spans="1:11" x14ac:dyDescent="0.25">
      <c r="A12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19" s="22">
        <v>45932</v>
      </c>
      <c r="C1219" s="16" t="s">
        <v>25</v>
      </c>
      <c r="D1219" s="16" t="s">
        <v>685</v>
      </c>
      <c r="E1219" s="17">
        <f>IFERROR(VLOOKUP(Tabulka2[[#This Row],[Pracovník]],DATA!A:L,5,0),"")</f>
        <v>6001</v>
      </c>
      <c r="F1219" s="12" t="s">
        <v>655</v>
      </c>
      <c r="G1219" s="16"/>
      <c r="H1219" s="18"/>
      <c r="I1219" s="27" t="str">
        <f>IFERROR(VLOOKUP(Tabulka2[[#This Row],[Pracovník]],DATA!A:L,11,0),"")</f>
        <v>BATZ 1</v>
      </c>
      <c r="J1219" s="16"/>
      <c r="K1219" s="19"/>
    </row>
    <row r="1220" spans="1:11" x14ac:dyDescent="0.25">
      <c r="A12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20" s="22">
        <v>45932</v>
      </c>
      <c r="C1220" s="16" t="s">
        <v>25</v>
      </c>
      <c r="D1220" s="16" t="s">
        <v>686</v>
      </c>
      <c r="E1220" s="17">
        <f>IFERROR(VLOOKUP(Tabulka2[[#This Row],[Pracovník]],DATA!A:L,5,0),"")</f>
        <v>6573</v>
      </c>
      <c r="F1220" s="12" t="s">
        <v>655</v>
      </c>
      <c r="G1220" s="16"/>
      <c r="H1220" s="18"/>
      <c r="I1220" s="27" t="str">
        <f>IFERROR(VLOOKUP(Tabulka2[[#This Row],[Pracovník]],DATA!A:L,11,0),"")</f>
        <v>BATZ 1</v>
      </c>
      <c r="J1220" s="16"/>
      <c r="K1220" s="19"/>
    </row>
    <row r="1221" spans="1:11" x14ac:dyDescent="0.25">
      <c r="A12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21" s="22">
        <v>45932</v>
      </c>
      <c r="C1221" s="16" t="s">
        <v>25</v>
      </c>
      <c r="D1221" s="16" t="s">
        <v>687</v>
      </c>
      <c r="E1221" s="17">
        <f>IFERROR(VLOOKUP(Tabulka2[[#This Row],[Pracovník]],DATA!A:L,5,0),"")</f>
        <v>5129</v>
      </c>
      <c r="F1221" s="12" t="s">
        <v>640</v>
      </c>
      <c r="G1221" s="16"/>
      <c r="H1221" s="18"/>
      <c r="I1221" s="27" t="str">
        <f>IFERROR(VLOOKUP(Tabulka2[[#This Row],[Pracovník]],DATA!A:L,11,0),"")</f>
        <v>BATZ 1</v>
      </c>
      <c r="J1221" s="16"/>
      <c r="K1221" s="19"/>
    </row>
    <row r="1222" spans="1:11" x14ac:dyDescent="0.25">
      <c r="A12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22" s="22">
        <v>45932</v>
      </c>
      <c r="C1222" s="16" t="s">
        <v>25</v>
      </c>
      <c r="D1222" s="16" t="s">
        <v>688</v>
      </c>
      <c r="E1222" s="17">
        <f>IFERROR(VLOOKUP(Tabulka2[[#This Row],[Pracovník]],DATA!A:L,5,0),"")</f>
        <v>5663</v>
      </c>
      <c r="F1222" s="12" t="s">
        <v>653</v>
      </c>
      <c r="G1222" s="16" t="s">
        <v>657</v>
      </c>
      <c r="H1222" s="18"/>
      <c r="I1222" s="27" t="str">
        <f>IFERROR(VLOOKUP(Tabulka2[[#This Row],[Pracovník]],DATA!A:L,11,0),"")</f>
        <v>BATZ 1</v>
      </c>
      <c r="J1222" s="16"/>
      <c r="K1222" s="19"/>
    </row>
    <row r="1223" spans="1:11" x14ac:dyDescent="0.25">
      <c r="A12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23" s="22">
        <v>45932</v>
      </c>
      <c r="C1223" s="16" t="s">
        <v>25</v>
      </c>
      <c r="D1223" s="16" t="s">
        <v>690</v>
      </c>
      <c r="E1223" s="17">
        <f>IFERROR(VLOOKUP(Tabulka2[[#This Row],[Pracovník]],DATA!A:L,5,0),"")</f>
        <v>4501</v>
      </c>
      <c r="F1223" s="12" t="s">
        <v>653</v>
      </c>
      <c r="G1223" s="16" t="s">
        <v>657</v>
      </c>
      <c r="H1223" s="18"/>
      <c r="I1223" s="27" t="str">
        <f>IFERROR(VLOOKUP(Tabulka2[[#This Row],[Pracovník]],DATA!A:L,11,0),"")</f>
        <v>BATZ 2</v>
      </c>
      <c r="J1223" s="16"/>
      <c r="K1223" s="19"/>
    </row>
    <row r="1224" spans="1:11" x14ac:dyDescent="0.25">
      <c r="A12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24" s="22">
        <v>45932</v>
      </c>
      <c r="C1224" s="16" t="s">
        <v>25</v>
      </c>
      <c r="D1224" s="16" t="s">
        <v>689</v>
      </c>
      <c r="E1224" s="17">
        <f>IFERROR(VLOOKUP(Tabulka2[[#This Row],[Pracovník]],DATA!A:L,5,0),"")</f>
        <v>4936</v>
      </c>
      <c r="F1224" s="12" t="s">
        <v>655</v>
      </c>
      <c r="G1224" s="16"/>
      <c r="H1224" s="18"/>
      <c r="I1224" s="27" t="str">
        <f>IFERROR(VLOOKUP(Tabulka2[[#This Row],[Pracovník]],DATA!A:L,11,0),"")</f>
        <v>BATZ 1</v>
      </c>
      <c r="J1224" s="16"/>
      <c r="K1224" s="19"/>
    </row>
    <row r="1225" spans="1:11" x14ac:dyDescent="0.25">
      <c r="A12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25" s="22">
        <v>45932</v>
      </c>
      <c r="C1225" s="16" t="s">
        <v>25</v>
      </c>
      <c r="D1225" s="16" t="s">
        <v>695</v>
      </c>
      <c r="E1225" s="17">
        <f>IFERROR(VLOOKUP(Tabulka2[[#This Row],[Pracovník]],DATA!A:L,5,0),"")</f>
        <v>3728</v>
      </c>
      <c r="F1225" s="12" t="s">
        <v>655</v>
      </c>
      <c r="G1225" s="16"/>
      <c r="H1225" s="18"/>
      <c r="I1225" s="27" t="str">
        <f>IFERROR(VLOOKUP(Tabulka2[[#This Row],[Pracovník]],DATA!A:L,11,0),"")</f>
        <v>BATZ 1</v>
      </c>
      <c r="J1225" s="16"/>
      <c r="K1225" s="19"/>
    </row>
    <row r="1226" spans="1:11" x14ac:dyDescent="0.25">
      <c r="A12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26" s="22">
        <v>45932</v>
      </c>
      <c r="C1226" s="16" t="s">
        <v>25</v>
      </c>
      <c r="D1226" s="16" t="s">
        <v>691</v>
      </c>
      <c r="E1226" s="17">
        <f>IFERROR(VLOOKUP(Tabulka2[[#This Row],[Pracovník]],DATA!A:L,5,0),"")</f>
        <v>4955</v>
      </c>
      <c r="F1226" s="12" t="s">
        <v>640</v>
      </c>
      <c r="G1226" s="16"/>
      <c r="H1226" s="18"/>
      <c r="I1226" s="27" t="str">
        <f>IFERROR(VLOOKUP(Tabulka2[[#This Row],[Pracovník]],DATA!A:L,11,0),"")</f>
        <v>BATZ 1</v>
      </c>
      <c r="J1226" s="16"/>
      <c r="K1226" s="19"/>
    </row>
    <row r="1227" spans="1:11" x14ac:dyDescent="0.25">
      <c r="A12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27" s="22">
        <v>45932</v>
      </c>
      <c r="C1227" s="16" t="s">
        <v>25</v>
      </c>
      <c r="D1227" s="16" t="s">
        <v>692</v>
      </c>
      <c r="E1227" s="17">
        <f>IFERROR(VLOOKUP(Tabulka2[[#This Row],[Pracovník]],DATA!A:L,5,0),"")</f>
        <v>6568</v>
      </c>
      <c r="F1227" s="12" t="s">
        <v>654</v>
      </c>
      <c r="G1227" s="16"/>
      <c r="H1227" s="18"/>
      <c r="I1227" s="27" t="str">
        <f>IFERROR(VLOOKUP(Tabulka2[[#This Row],[Pracovník]],DATA!A:L,11,0),"")</f>
        <v>BATZ 2</v>
      </c>
      <c r="J1227" s="16"/>
      <c r="K1227" s="19"/>
    </row>
    <row r="1228" spans="1:11" x14ac:dyDescent="0.25">
      <c r="A12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28" s="22">
        <v>45932</v>
      </c>
      <c r="C1228" s="16" t="s">
        <v>25</v>
      </c>
      <c r="D1228" s="16" t="s">
        <v>693</v>
      </c>
      <c r="E1228" s="17">
        <f>IFERROR(VLOOKUP(Tabulka2[[#This Row],[Pracovník]],DATA!A:L,5,0),"")</f>
        <v>3721</v>
      </c>
      <c r="F1228" s="12" t="s">
        <v>640</v>
      </c>
      <c r="G1228" s="16"/>
      <c r="H1228" s="18"/>
      <c r="I1228" s="27" t="str">
        <f>IFERROR(VLOOKUP(Tabulka2[[#This Row],[Pracovník]],DATA!A:L,11,0),"")</f>
        <v>BATZ 1</v>
      </c>
      <c r="J1228" s="16"/>
      <c r="K1228" s="19"/>
    </row>
    <row r="1229" spans="1:11" x14ac:dyDescent="0.25">
      <c r="A12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29" s="22">
        <v>45932</v>
      </c>
      <c r="C1229" s="16" t="s">
        <v>25</v>
      </c>
      <c r="D1229" s="16" t="s">
        <v>694</v>
      </c>
      <c r="E1229" s="17">
        <f>IFERROR(VLOOKUP(Tabulka2[[#This Row],[Pracovník]],DATA!A:L,5,0),"")</f>
        <v>6110</v>
      </c>
      <c r="F1229" s="12" t="s">
        <v>655</v>
      </c>
      <c r="G1229" s="16"/>
      <c r="H1229" s="18"/>
      <c r="I1229" s="27" t="str">
        <f>IFERROR(VLOOKUP(Tabulka2[[#This Row],[Pracovník]],DATA!A:L,11,0),"")</f>
        <v>BATZ 1</v>
      </c>
      <c r="J1229" s="16"/>
      <c r="K1229" s="19"/>
    </row>
    <row r="1230" spans="1:11" x14ac:dyDescent="0.25">
      <c r="A12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30" s="22">
        <v>45932</v>
      </c>
      <c r="C1230" s="16" t="s">
        <v>25</v>
      </c>
      <c r="D1230" s="16" t="s">
        <v>696</v>
      </c>
      <c r="E1230" s="17">
        <f>IFERROR(VLOOKUP(Tabulka2[[#This Row],[Pracovník]],DATA!A:L,5,0),"")</f>
        <v>0</v>
      </c>
      <c r="F1230" s="12" t="s">
        <v>640</v>
      </c>
      <c r="G1230" s="16"/>
      <c r="H1230" s="18"/>
      <c r="I1230" s="27" t="str">
        <f>IFERROR(VLOOKUP(Tabulka2[[#This Row],[Pracovník]],DATA!A:L,11,0),"")</f>
        <v>BATZ 1</v>
      </c>
      <c r="J1230" s="16"/>
      <c r="K1230" s="19"/>
    </row>
    <row r="1231" spans="1:11" x14ac:dyDescent="0.25">
      <c r="A12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31" s="22">
        <v>45932</v>
      </c>
      <c r="C1231" s="16" t="s">
        <v>25</v>
      </c>
      <c r="D1231" s="16" t="s">
        <v>697</v>
      </c>
      <c r="E1231" s="17">
        <f>IFERROR(VLOOKUP(Tabulka2[[#This Row],[Pracovník]],DATA!A:L,5,0),"")</f>
        <v>6330</v>
      </c>
      <c r="F1231" s="12" t="s">
        <v>655</v>
      </c>
      <c r="G1231" s="16"/>
      <c r="H1231" s="18"/>
      <c r="I1231" s="27" t="str">
        <f>IFERROR(VLOOKUP(Tabulka2[[#This Row],[Pracovník]],DATA!A:L,11,0),"")</f>
        <v>BATZ 2</v>
      </c>
      <c r="J1231" s="16"/>
      <c r="K1231" s="19"/>
    </row>
    <row r="1232" spans="1:11" x14ac:dyDescent="0.25">
      <c r="A12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32" s="22">
        <v>45932</v>
      </c>
      <c r="C1232" s="16" t="s">
        <v>25</v>
      </c>
      <c r="D1232" s="16" t="s">
        <v>698</v>
      </c>
      <c r="E1232" s="17">
        <f>IFERROR(VLOOKUP(Tabulka2[[#This Row],[Pracovník]],DATA!A:L,5,0),"")</f>
        <v>5828</v>
      </c>
      <c r="F1232" s="12" t="s">
        <v>640</v>
      </c>
      <c r="G1232" s="16"/>
      <c r="H1232" s="18"/>
      <c r="I1232" s="27" t="str">
        <f>IFERROR(VLOOKUP(Tabulka2[[#This Row],[Pracovník]],DATA!A:L,11,0),"")</f>
        <v>BATZ 1</v>
      </c>
      <c r="J1232" s="16"/>
      <c r="K1232" s="19"/>
    </row>
    <row r="1233" spans="1:11" x14ac:dyDescent="0.25">
      <c r="A12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33" s="22">
        <v>45932</v>
      </c>
      <c r="C1233" s="16" t="s">
        <v>25</v>
      </c>
      <c r="D1233" s="16" t="s">
        <v>699</v>
      </c>
      <c r="E1233" s="17">
        <f>IFERROR(VLOOKUP(Tabulka2[[#This Row],[Pracovník]],DATA!A:L,5,0),"")</f>
        <v>4775</v>
      </c>
      <c r="F1233" s="12" t="s">
        <v>653</v>
      </c>
      <c r="G1233" s="16" t="s">
        <v>656</v>
      </c>
      <c r="H1233" s="18"/>
      <c r="I1233" s="27" t="str">
        <f>IFERROR(VLOOKUP(Tabulka2[[#This Row],[Pracovník]],DATA!A:L,11,0),"")</f>
        <v>BATZ 2</v>
      </c>
      <c r="J1233" s="16"/>
      <c r="K1233" s="19"/>
    </row>
    <row r="1234" spans="1:11" x14ac:dyDescent="0.25">
      <c r="A12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34" s="22">
        <v>45932</v>
      </c>
      <c r="C1234" s="16" t="s">
        <v>25</v>
      </c>
      <c r="D1234" s="16" t="s">
        <v>700</v>
      </c>
      <c r="E1234" s="17">
        <f>IFERROR(VLOOKUP(Tabulka2[[#This Row],[Pracovník]],DATA!A:L,5,0),"")</f>
        <v>5665</v>
      </c>
      <c r="F1234" s="12" t="s">
        <v>654</v>
      </c>
      <c r="G1234" s="16"/>
      <c r="H1234" s="18"/>
      <c r="I1234" s="27" t="str">
        <f>IFERROR(VLOOKUP(Tabulka2[[#This Row],[Pracovník]],DATA!A:L,11,0),"")</f>
        <v>BATZ 1</v>
      </c>
      <c r="J1234" s="16"/>
      <c r="K1234" s="19"/>
    </row>
    <row r="1235" spans="1:11" x14ac:dyDescent="0.25">
      <c r="A12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35" s="22">
        <v>45932</v>
      </c>
      <c r="C1235" s="16" t="s">
        <v>25</v>
      </c>
      <c r="D1235" s="16" t="s">
        <v>701</v>
      </c>
      <c r="E1235" s="17">
        <f>IFERROR(VLOOKUP(Tabulka2[[#This Row],[Pracovník]],DATA!A:L,5,0),"")</f>
        <v>2463</v>
      </c>
      <c r="F1235" s="12" t="s">
        <v>654</v>
      </c>
      <c r="G1235" s="16"/>
      <c r="H1235" s="18"/>
      <c r="I1235" s="27" t="str">
        <f>IFERROR(VLOOKUP(Tabulka2[[#This Row],[Pracovník]],DATA!A:L,11,0),"")</f>
        <v>Vlastní auto</v>
      </c>
      <c r="J1235" s="16"/>
      <c r="K1235" s="19"/>
    </row>
    <row r="1236" spans="1:11" x14ac:dyDescent="0.25">
      <c r="A12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36" s="22">
        <v>45932</v>
      </c>
      <c r="C1236" s="16" t="s">
        <v>25</v>
      </c>
      <c r="D1236" s="16" t="s">
        <v>702</v>
      </c>
      <c r="E1236" s="17">
        <f>IFERROR(VLOOKUP(Tabulka2[[#This Row],[Pracovník]],DATA!A:L,5,0),"")</f>
        <v>6536</v>
      </c>
      <c r="F1236" s="12" t="s">
        <v>654</v>
      </c>
      <c r="G1236" s="16"/>
      <c r="H1236" s="18"/>
      <c r="I1236" s="27" t="str">
        <f>IFERROR(VLOOKUP(Tabulka2[[#This Row],[Pracovník]],DATA!A:L,11,0),"")</f>
        <v>BATZ 2</v>
      </c>
      <c r="J1236" s="16"/>
      <c r="K1236" s="19"/>
    </row>
    <row r="1237" spans="1:11" x14ac:dyDescent="0.25">
      <c r="A12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37" s="22">
        <v>45932</v>
      </c>
      <c r="C1237" s="16" t="s">
        <v>25</v>
      </c>
      <c r="D1237" s="16" t="s">
        <v>703</v>
      </c>
      <c r="E1237" s="17">
        <f>IFERROR(VLOOKUP(Tabulka2[[#This Row],[Pracovník]],DATA!A:L,5,0),"")</f>
        <v>4748</v>
      </c>
      <c r="F1237" s="12" t="s">
        <v>640</v>
      </c>
      <c r="G1237" s="16"/>
      <c r="H1237" s="18"/>
      <c r="I1237" s="27" t="str">
        <f>IFERROR(VLOOKUP(Tabulka2[[#This Row],[Pracovník]],DATA!A:L,11,0),"")</f>
        <v>BATZ 1</v>
      </c>
      <c r="J1237" s="16"/>
      <c r="K1237" s="19"/>
    </row>
    <row r="1238" spans="1:11" x14ac:dyDescent="0.25">
      <c r="A12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38" s="22">
        <v>45932</v>
      </c>
      <c r="C1238" s="16" t="s">
        <v>25</v>
      </c>
      <c r="D1238" s="16" t="s">
        <v>704</v>
      </c>
      <c r="E1238" s="17">
        <f>IFERROR(VLOOKUP(Tabulka2[[#This Row],[Pracovník]],DATA!A:L,5,0),"")</f>
        <v>6574</v>
      </c>
      <c r="F1238" s="12" t="s">
        <v>655</v>
      </c>
      <c r="G1238" s="16"/>
      <c r="H1238" s="18"/>
      <c r="I1238" s="27" t="str">
        <f>IFERROR(VLOOKUP(Tabulka2[[#This Row],[Pracovník]],DATA!A:L,11,0),"")</f>
        <v>BATZ 1</v>
      </c>
      <c r="J1238" s="16"/>
      <c r="K1238" s="19"/>
    </row>
    <row r="1239" spans="1:11" x14ac:dyDescent="0.25">
      <c r="A12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39" s="22">
        <v>45932</v>
      </c>
      <c r="C1239" s="16" t="s">
        <v>25</v>
      </c>
      <c r="D1239" s="16" t="s">
        <v>705</v>
      </c>
      <c r="E1239" s="17">
        <f>IFERROR(VLOOKUP(Tabulka2[[#This Row],[Pracovník]],DATA!A:L,5,0),"")</f>
        <v>4720</v>
      </c>
      <c r="F1239" s="12" t="s">
        <v>653</v>
      </c>
      <c r="G1239" s="16" t="s">
        <v>657</v>
      </c>
      <c r="H1239" s="18"/>
      <c r="I1239" s="27" t="str">
        <f>IFERROR(VLOOKUP(Tabulka2[[#This Row],[Pracovník]],DATA!A:L,11,0),"")</f>
        <v>BATZ 2</v>
      </c>
      <c r="J1239" s="16"/>
      <c r="K1239" s="19"/>
    </row>
    <row r="1240" spans="1:11" x14ac:dyDescent="0.25">
      <c r="A12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40" s="22">
        <v>45932</v>
      </c>
      <c r="C1240" s="16" t="s">
        <v>25</v>
      </c>
      <c r="D1240" s="16" t="s">
        <v>706</v>
      </c>
      <c r="E1240" s="17">
        <f>IFERROR(VLOOKUP(Tabulka2[[#This Row],[Pracovník]],DATA!A:L,5,0),"")</f>
        <v>6409</v>
      </c>
      <c r="F1240" s="12" t="s">
        <v>655</v>
      </c>
      <c r="G1240" s="16"/>
      <c r="H1240" s="18"/>
      <c r="I1240" s="27" t="str">
        <f>IFERROR(VLOOKUP(Tabulka2[[#This Row],[Pracovník]],DATA!A:L,11,0),"")</f>
        <v>Vlastní auto</v>
      </c>
      <c r="J1240" s="16"/>
      <c r="K1240" s="19"/>
    </row>
    <row r="1241" spans="1:11" x14ac:dyDescent="0.25">
      <c r="A12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41" s="22">
        <v>45932</v>
      </c>
      <c r="C1241" s="16" t="s">
        <v>25</v>
      </c>
      <c r="D1241" s="16" t="s">
        <v>707</v>
      </c>
      <c r="E1241" s="17">
        <f>IFERROR(VLOOKUP(Tabulka2[[#This Row],[Pracovník]],DATA!A:L,5,0),"")</f>
        <v>3396</v>
      </c>
      <c r="F1241" s="12" t="s">
        <v>654</v>
      </c>
      <c r="G1241" s="16"/>
      <c r="H1241" s="18"/>
      <c r="I1241" s="27" t="str">
        <f>IFERROR(VLOOKUP(Tabulka2[[#This Row],[Pracovník]],DATA!A:L,11,0),"")</f>
        <v>BATZ 1</v>
      </c>
      <c r="J1241" s="16"/>
      <c r="K1241" s="19"/>
    </row>
    <row r="1242" spans="1:11" x14ac:dyDescent="0.25">
      <c r="A12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42" s="22">
        <v>45932</v>
      </c>
      <c r="C1242" s="16" t="s">
        <v>25</v>
      </c>
      <c r="D1242" s="16" t="s">
        <v>708</v>
      </c>
      <c r="E1242" s="17">
        <f>IFERROR(VLOOKUP(Tabulka2[[#This Row],[Pracovník]],DATA!A:L,5,0),"")</f>
        <v>6376</v>
      </c>
      <c r="F1242" s="12" t="s">
        <v>654</v>
      </c>
      <c r="G1242" s="16"/>
      <c r="H1242" s="18"/>
      <c r="I1242" s="27" t="str">
        <f>IFERROR(VLOOKUP(Tabulka2[[#This Row],[Pracovník]],DATA!A:L,11,0),"")</f>
        <v>BATZ 2</v>
      </c>
      <c r="J1242" s="16"/>
      <c r="K1242" s="19"/>
    </row>
    <row r="1243" spans="1:11" x14ac:dyDescent="0.25">
      <c r="A12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43" s="22">
        <v>45932</v>
      </c>
      <c r="C1243" s="16" t="s">
        <v>25</v>
      </c>
      <c r="D1243" s="16" t="s">
        <v>709</v>
      </c>
      <c r="E1243" s="17">
        <f>IFERROR(VLOOKUP(Tabulka2[[#This Row],[Pracovník]],DATA!A:L,5,0),"")</f>
        <v>5014</v>
      </c>
      <c r="F1243" s="12" t="s">
        <v>654</v>
      </c>
      <c r="G1243" s="16"/>
      <c r="H1243" s="18"/>
      <c r="I1243" s="27" t="str">
        <f>IFERROR(VLOOKUP(Tabulka2[[#This Row],[Pracovník]],DATA!A:L,11,0),"")</f>
        <v>BATZ 2</v>
      </c>
      <c r="J1243" s="16"/>
      <c r="K1243" s="19"/>
    </row>
    <row r="1244" spans="1:11" x14ac:dyDescent="0.25">
      <c r="A12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44" s="22">
        <v>45932</v>
      </c>
      <c r="C1244" s="16" t="s">
        <v>25</v>
      </c>
      <c r="D1244" s="16" t="s">
        <v>710</v>
      </c>
      <c r="E1244" s="17">
        <f>IFERROR(VLOOKUP(Tabulka2[[#This Row],[Pracovník]],DATA!A:L,5,0),"")</f>
        <v>3369</v>
      </c>
      <c r="F1244" s="12" t="s">
        <v>653</v>
      </c>
      <c r="G1244" s="16" t="s">
        <v>925</v>
      </c>
      <c r="H1244" s="18"/>
      <c r="I1244" s="27" t="str">
        <f>IFERROR(VLOOKUP(Tabulka2[[#This Row],[Pracovník]],DATA!A:L,11,0),"")</f>
        <v>BATZ 1</v>
      </c>
      <c r="J1244" s="16"/>
      <c r="K1244" s="19" t="s">
        <v>1010</v>
      </c>
    </row>
    <row r="1245" spans="1:11" x14ac:dyDescent="0.25">
      <c r="A12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45" s="22">
        <v>45932</v>
      </c>
      <c r="C1245" s="16" t="s">
        <v>25</v>
      </c>
      <c r="D1245" s="16" t="s">
        <v>711</v>
      </c>
      <c r="E1245" s="17">
        <f>IFERROR(VLOOKUP(Tabulka2[[#This Row],[Pracovník]],DATA!A:L,5,0),"")</f>
        <v>6576</v>
      </c>
      <c r="F1245" s="12" t="s">
        <v>640</v>
      </c>
      <c r="G1245" s="16"/>
      <c r="H1245" s="18"/>
      <c r="I1245" s="27" t="str">
        <f>IFERROR(VLOOKUP(Tabulka2[[#This Row],[Pracovník]],DATA!A:L,11,0),"")</f>
        <v>BATZ 1</v>
      </c>
      <c r="J1245" s="16"/>
      <c r="K1245" s="19"/>
    </row>
    <row r="1246" spans="1:11" x14ac:dyDescent="0.25">
      <c r="A12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46" s="22">
        <v>45932</v>
      </c>
      <c r="C1246" s="16" t="s">
        <v>25</v>
      </c>
      <c r="D1246" s="16" t="s">
        <v>712</v>
      </c>
      <c r="E1246" s="17">
        <f>IFERROR(VLOOKUP(Tabulka2[[#This Row],[Pracovník]],DATA!A:L,5,0),"")</f>
        <v>6352</v>
      </c>
      <c r="F1246" s="12" t="s">
        <v>654</v>
      </c>
      <c r="G1246" s="16"/>
      <c r="H1246" s="18"/>
      <c r="I1246" s="27" t="str">
        <f>IFERROR(VLOOKUP(Tabulka2[[#This Row],[Pracovník]],DATA!A:L,11,0),"")</f>
        <v>BATZ 1</v>
      </c>
      <c r="J1246" s="16"/>
      <c r="K1246" s="19"/>
    </row>
    <row r="1247" spans="1:11" x14ac:dyDescent="0.25">
      <c r="A12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47" s="22">
        <v>45932</v>
      </c>
      <c r="C1247" s="16" t="s">
        <v>25</v>
      </c>
      <c r="D1247" s="16" t="s">
        <v>714</v>
      </c>
      <c r="E1247" s="17">
        <f>IFERROR(VLOOKUP(Tabulka2[[#This Row],[Pracovník]],DATA!A:L,5,0),"")</f>
        <v>4972</v>
      </c>
      <c r="F1247" s="12" t="s">
        <v>640</v>
      </c>
      <c r="G1247" s="16"/>
      <c r="H1247" s="18"/>
      <c r="I1247" s="27" t="str">
        <f>IFERROR(VLOOKUP(Tabulka2[[#This Row],[Pracovník]],DATA!A:L,11,0),"")</f>
        <v>BATZ 2</v>
      </c>
      <c r="J1247" s="16"/>
      <c r="K1247" s="19"/>
    </row>
    <row r="1248" spans="1:11" x14ac:dyDescent="0.25">
      <c r="A12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48" s="22">
        <v>45932</v>
      </c>
      <c r="C1248" s="16" t="s">
        <v>25</v>
      </c>
      <c r="D1248" s="16" t="s">
        <v>715</v>
      </c>
      <c r="E1248" s="17">
        <f>IFERROR(VLOOKUP(Tabulka2[[#This Row],[Pracovník]],DATA!A:L,5,0),"")</f>
        <v>2230</v>
      </c>
      <c r="F1248" s="12" t="s">
        <v>640</v>
      </c>
      <c r="G1248" s="16"/>
      <c r="H1248" s="18"/>
      <c r="I1248" s="27" t="str">
        <f>IFERROR(VLOOKUP(Tabulka2[[#This Row],[Pracovník]],DATA!A:L,11,0),"")</f>
        <v>BATZ 1</v>
      </c>
      <c r="J1248" s="16"/>
      <c r="K1248" s="19"/>
    </row>
    <row r="1249" spans="1:11" x14ac:dyDescent="0.25">
      <c r="A12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49" s="22">
        <v>45932</v>
      </c>
      <c r="C1249" s="16" t="s">
        <v>25</v>
      </c>
      <c r="D1249" s="16" t="s">
        <v>716</v>
      </c>
      <c r="E1249" s="17">
        <f>IFERROR(VLOOKUP(Tabulka2[[#This Row],[Pracovník]],DATA!A:L,5,0),"")</f>
        <v>5310</v>
      </c>
      <c r="F1249" s="12" t="s">
        <v>653</v>
      </c>
      <c r="G1249" s="16" t="s">
        <v>656</v>
      </c>
      <c r="H1249" s="18"/>
      <c r="I1249" s="27" t="str">
        <f>IFERROR(VLOOKUP(Tabulka2[[#This Row],[Pracovník]],DATA!A:L,11,0),"")</f>
        <v>BATZ 1</v>
      </c>
      <c r="J1249" s="16"/>
      <c r="K1249" s="19"/>
    </row>
    <row r="1250" spans="1:11" x14ac:dyDescent="0.25">
      <c r="A12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50" s="22">
        <v>45932</v>
      </c>
      <c r="C1250" s="16" t="s">
        <v>25</v>
      </c>
      <c r="D1250" s="16" t="s">
        <v>717</v>
      </c>
      <c r="E1250" s="17">
        <f>IFERROR(VLOOKUP(Tabulka2[[#This Row],[Pracovník]],DATA!A:L,5,0),"")</f>
        <v>5948</v>
      </c>
      <c r="F1250" s="12" t="s">
        <v>653</v>
      </c>
      <c r="G1250" s="16" t="s">
        <v>657</v>
      </c>
      <c r="H1250" s="18"/>
      <c r="I1250" s="27" t="str">
        <f>IFERROR(VLOOKUP(Tabulka2[[#This Row],[Pracovník]],DATA!A:L,11,0),"")</f>
        <v>BATZ 1</v>
      </c>
      <c r="J1250" s="16"/>
      <c r="K1250" s="19"/>
    </row>
    <row r="1251" spans="1:11" x14ac:dyDescent="0.25">
      <c r="A12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51" s="22">
        <v>45932</v>
      </c>
      <c r="C1251" s="16" t="s">
        <v>25</v>
      </c>
      <c r="D1251" s="16" t="s">
        <v>718</v>
      </c>
      <c r="E1251" s="17">
        <f>IFERROR(VLOOKUP(Tabulka2[[#This Row],[Pracovník]],DATA!A:L,5,0),"")</f>
        <v>6549</v>
      </c>
      <c r="F1251" s="12" t="s">
        <v>640</v>
      </c>
      <c r="G1251" s="16"/>
      <c r="H1251" s="18"/>
      <c r="I1251" s="27" t="str">
        <f>IFERROR(VLOOKUP(Tabulka2[[#This Row],[Pracovník]],DATA!A:L,11,0),"")</f>
        <v>BATZ 1</v>
      </c>
      <c r="J1251" s="16"/>
      <c r="K1251" s="19"/>
    </row>
    <row r="1252" spans="1:11" x14ac:dyDescent="0.25">
      <c r="A12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52" s="22">
        <v>45932</v>
      </c>
      <c r="C1252" s="16" t="s">
        <v>25</v>
      </c>
      <c r="D1252" s="16" t="s">
        <v>977</v>
      </c>
      <c r="E1252" s="17">
        <f>IFERROR(VLOOKUP(Tabulka2[[#This Row],[Pracovník]],DATA!A:L,5,0),"")</f>
        <v>6538</v>
      </c>
      <c r="F1252" s="12" t="s">
        <v>640</v>
      </c>
      <c r="G1252" s="16"/>
      <c r="H1252" s="18"/>
      <c r="I1252" s="27" t="str">
        <f>IFERROR(VLOOKUP(Tabulka2[[#This Row],[Pracovník]],DATA!A:L,11,0),"")</f>
        <v>BATZ 1</v>
      </c>
      <c r="J1252" s="16"/>
      <c r="K1252" s="19"/>
    </row>
    <row r="1253" spans="1:11" x14ac:dyDescent="0.25">
      <c r="A12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53" s="22">
        <v>45932</v>
      </c>
      <c r="C1253" s="16" t="s">
        <v>25</v>
      </c>
      <c r="D1253" s="16" t="s">
        <v>719</v>
      </c>
      <c r="E1253" s="17">
        <f>IFERROR(VLOOKUP(Tabulka2[[#This Row],[Pracovník]],DATA!A:L,5,0),"")</f>
        <v>5715</v>
      </c>
      <c r="F1253" s="12" t="s">
        <v>655</v>
      </c>
      <c r="G1253" s="16"/>
      <c r="H1253" s="18"/>
      <c r="I1253" s="27" t="str">
        <f>IFERROR(VLOOKUP(Tabulka2[[#This Row],[Pracovník]],DATA!A:L,11,0),"")</f>
        <v>BATZ 1</v>
      </c>
      <c r="J1253" s="16"/>
      <c r="K1253" s="19"/>
    </row>
    <row r="1254" spans="1:11" x14ac:dyDescent="0.25">
      <c r="A12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54" s="22">
        <v>45932</v>
      </c>
      <c r="C1254" s="16" t="s">
        <v>25</v>
      </c>
      <c r="D1254" s="16" t="s">
        <v>720</v>
      </c>
      <c r="E1254" s="17">
        <f>IFERROR(VLOOKUP(Tabulka2[[#This Row],[Pracovník]],DATA!A:L,5,0),"")</f>
        <v>4514</v>
      </c>
      <c r="F1254" s="12" t="s">
        <v>655</v>
      </c>
      <c r="G1254" s="16"/>
      <c r="H1254" s="18"/>
      <c r="I1254" s="27" t="str">
        <f>IFERROR(VLOOKUP(Tabulka2[[#This Row],[Pracovník]],DATA!A:L,11,0),"")</f>
        <v>BATZ 1</v>
      </c>
      <c r="J1254" s="16"/>
      <c r="K1254" s="19"/>
    </row>
    <row r="1255" spans="1:11" x14ac:dyDescent="0.25">
      <c r="A12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55" s="22">
        <v>45932</v>
      </c>
      <c r="C1255" s="16" t="s">
        <v>25</v>
      </c>
      <c r="D1255" s="16" t="s">
        <v>721</v>
      </c>
      <c r="E1255" s="17">
        <f>IFERROR(VLOOKUP(Tabulka2[[#This Row],[Pracovník]],DATA!A:L,5,0),"")</f>
        <v>5176</v>
      </c>
      <c r="F1255" s="12" t="s">
        <v>654</v>
      </c>
      <c r="G1255" s="16"/>
      <c r="H1255" s="18"/>
      <c r="I1255" s="27" t="str">
        <f>IFERROR(VLOOKUP(Tabulka2[[#This Row],[Pracovník]],DATA!A:L,11,0),"")</f>
        <v>BATZ 1</v>
      </c>
      <c r="J1255" s="16"/>
      <c r="K1255" s="19"/>
    </row>
    <row r="1256" spans="1:11" x14ac:dyDescent="0.25">
      <c r="A12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56" s="22">
        <v>45932</v>
      </c>
      <c r="C1256" s="16" t="s">
        <v>25</v>
      </c>
      <c r="D1256" s="16" t="s">
        <v>722</v>
      </c>
      <c r="E1256" s="17">
        <f>IFERROR(VLOOKUP(Tabulka2[[#This Row],[Pracovník]],DATA!A:L,5,0),"")</f>
        <v>4163</v>
      </c>
      <c r="F1256" s="12" t="s">
        <v>655</v>
      </c>
      <c r="G1256" s="16"/>
      <c r="H1256" s="18"/>
      <c r="I1256" s="27" t="str">
        <f>IFERROR(VLOOKUP(Tabulka2[[#This Row],[Pracovník]],DATA!A:L,11,0),"")</f>
        <v>BATZ 1</v>
      </c>
      <c r="J1256" s="16"/>
      <c r="K1256" s="19"/>
    </row>
    <row r="1257" spans="1:11" x14ac:dyDescent="0.25">
      <c r="A12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57" s="22">
        <v>45932</v>
      </c>
      <c r="C1257" s="16" t="s">
        <v>25</v>
      </c>
      <c r="D1257" s="16" t="s">
        <v>723</v>
      </c>
      <c r="E1257" s="17">
        <f>IFERROR(VLOOKUP(Tabulka2[[#This Row],[Pracovník]],DATA!A:L,5,0),"")</f>
        <v>3920</v>
      </c>
      <c r="F1257" s="12" t="s">
        <v>640</v>
      </c>
      <c r="G1257" s="16"/>
      <c r="H1257" s="18"/>
      <c r="I1257" s="27" t="str">
        <f>IFERROR(VLOOKUP(Tabulka2[[#This Row],[Pracovník]],DATA!A:L,11,0),"")</f>
        <v>BATZ 2</v>
      </c>
      <c r="J1257" s="16"/>
      <c r="K1257" s="19"/>
    </row>
    <row r="1258" spans="1:11" x14ac:dyDescent="0.25">
      <c r="A12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58" s="22">
        <v>45932</v>
      </c>
      <c r="C1258" s="16" t="s">
        <v>25</v>
      </c>
      <c r="D1258" s="16" t="s">
        <v>724</v>
      </c>
      <c r="E1258" s="17">
        <f>IFERROR(VLOOKUP(Tabulka2[[#This Row],[Pracovník]],DATA!A:L,5,0),"")</f>
        <v>3257</v>
      </c>
      <c r="F1258" s="12" t="s">
        <v>655</v>
      </c>
      <c r="G1258" s="16"/>
      <c r="H1258" s="18"/>
      <c r="I1258" s="27" t="str">
        <f>IFERROR(VLOOKUP(Tabulka2[[#This Row],[Pracovník]],DATA!A:L,11,0),"")</f>
        <v>BATZ 1</v>
      </c>
      <c r="J1258" s="16"/>
      <c r="K1258" s="19"/>
    </row>
    <row r="1259" spans="1:11" x14ac:dyDescent="0.25">
      <c r="A12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59" s="22">
        <v>45932</v>
      </c>
      <c r="C1259" s="16" t="s">
        <v>25</v>
      </c>
      <c r="D1259" s="16" t="s">
        <v>725</v>
      </c>
      <c r="E1259" s="17">
        <f>IFERROR(VLOOKUP(Tabulka2[[#This Row],[Pracovník]],DATA!A:L,5,0),"")</f>
        <v>3394</v>
      </c>
      <c r="F1259" s="12" t="s">
        <v>653</v>
      </c>
      <c r="G1259" s="16" t="s">
        <v>656</v>
      </c>
      <c r="H1259" s="18"/>
      <c r="I1259" s="27" t="str">
        <f>IFERROR(VLOOKUP(Tabulka2[[#This Row],[Pracovník]],DATA!A:L,11,0),"")</f>
        <v>BATZ 1</v>
      </c>
      <c r="J1259" s="16"/>
      <c r="K1259" s="19"/>
    </row>
    <row r="1260" spans="1:11" x14ac:dyDescent="0.25">
      <c r="A12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60" s="22">
        <v>45932</v>
      </c>
      <c r="C1260" s="16" t="s">
        <v>25</v>
      </c>
      <c r="D1260" s="16" t="s">
        <v>726</v>
      </c>
      <c r="E1260" s="17">
        <f>IFERROR(VLOOKUP(Tabulka2[[#This Row],[Pracovník]],DATA!A:L,5,0),"")</f>
        <v>4828</v>
      </c>
      <c r="F1260" s="12" t="s">
        <v>654</v>
      </c>
      <c r="G1260" s="16"/>
      <c r="H1260" s="18"/>
      <c r="I1260" s="27" t="str">
        <f>IFERROR(VLOOKUP(Tabulka2[[#This Row],[Pracovník]],DATA!A:L,11,0),"")</f>
        <v>BATZ 2</v>
      </c>
      <c r="J1260" s="16"/>
      <c r="K1260" s="19"/>
    </row>
    <row r="1261" spans="1:11" x14ac:dyDescent="0.25">
      <c r="A12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61" s="22">
        <v>45932</v>
      </c>
      <c r="C1261" s="16" t="s">
        <v>25</v>
      </c>
      <c r="D1261" s="16" t="s">
        <v>727</v>
      </c>
      <c r="E1261" s="17">
        <f>IFERROR(VLOOKUP(Tabulka2[[#This Row],[Pracovník]],DATA!A:L,5,0),"")</f>
        <v>4155</v>
      </c>
      <c r="F1261" s="12" t="s">
        <v>640</v>
      </c>
      <c r="G1261" s="16"/>
      <c r="H1261" s="18"/>
      <c r="I1261" s="27" t="str">
        <f>IFERROR(VLOOKUP(Tabulka2[[#This Row],[Pracovník]],DATA!A:L,11,0),"")</f>
        <v>BATZ 1</v>
      </c>
      <c r="J1261" s="16"/>
      <c r="K1261" s="19"/>
    </row>
    <row r="1262" spans="1:11" x14ac:dyDescent="0.25">
      <c r="A12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62" s="22">
        <v>45932</v>
      </c>
      <c r="C1262" s="16" t="s">
        <v>25</v>
      </c>
      <c r="D1262" s="16" t="s">
        <v>728</v>
      </c>
      <c r="E1262" s="17">
        <f>IFERROR(VLOOKUP(Tabulka2[[#This Row],[Pracovník]],DATA!A:L,5,0),"")</f>
        <v>0</v>
      </c>
      <c r="F1262" s="12" t="s">
        <v>640</v>
      </c>
      <c r="G1262" s="16"/>
      <c r="H1262" s="18"/>
      <c r="I1262" s="27" t="str">
        <f>IFERROR(VLOOKUP(Tabulka2[[#This Row],[Pracovník]],DATA!A:L,11,0),"")</f>
        <v>BATZ 1</v>
      </c>
      <c r="J1262" s="16"/>
      <c r="K1262" s="19"/>
    </row>
    <row r="1263" spans="1:11" x14ac:dyDescent="0.25">
      <c r="A12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63" s="22">
        <v>45932</v>
      </c>
      <c r="C1263" s="16" t="s">
        <v>25</v>
      </c>
      <c r="D1263" s="16" t="s">
        <v>729</v>
      </c>
      <c r="E1263" s="17">
        <f>IFERROR(VLOOKUP(Tabulka2[[#This Row],[Pracovník]],DATA!A:L,5,0),"")</f>
        <v>5179</v>
      </c>
      <c r="F1263" s="12" t="s">
        <v>654</v>
      </c>
      <c r="G1263" s="16"/>
      <c r="H1263" s="18"/>
      <c r="I1263" s="27" t="str">
        <f>IFERROR(VLOOKUP(Tabulka2[[#This Row],[Pracovník]],DATA!A:L,11,0),"")</f>
        <v>BATZ 1</v>
      </c>
      <c r="J1263" s="16"/>
      <c r="K1263" s="19"/>
    </row>
    <row r="1264" spans="1:11" x14ac:dyDescent="0.25">
      <c r="A12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64" s="22">
        <v>45932</v>
      </c>
      <c r="C1264" s="16" t="s">
        <v>25</v>
      </c>
      <c r="D1264" s="16" t="s">
        <v>730</v>
      </c>
      <c r="E1264" s="17">
        <f>IFERROR(VLOOKUP(Tabulka2[[#This Row],[Pracovník]],DATA!A:L,5,0),"")</f>
        <v>4912</v>
      </c>
      <c r="F1264" s="12" t="s">
        <v>655</v>
      </c>
      <c r="G1264" s="16"/>
      <c r="H1264" s="18"/>
      <c r="I1264" s="27" t="str">
        <f>IFERROR(VLOOKUP(Tabulka2[[#This Row],[Pracovník]],DATA!A:L,11,0),"")</f>
        <v>BATZ 2</v>
      </c>
      <c r="J1264" s="16"/>
      <c r="K1264" s="19"/>
    </row>
    <row r="1265" spans="1:11" x14ac:dyDescent="0.25">
      <c r="A12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65" s="22">
        <v>45932</v>
      </c>
      <c r="C1265" s="16" t="s">
        <v>25</v>
      </c>
      <c r="D1265" s="16" t="s">
        <v>713</v>
      </c>
      <c r="E1265" s="17">
        <f>IFERROR(VLOOKUP(Tabulka2[[#This Row],[Pracovník]],DATA!A:L,5,0),"")</f>
        <v>6507</v>
      </c>
      <c r="F1265" s="12" t="s">
        <v>640</v>
      </c>
      <c r="G1265" s="16"/>
      <c r="H1265" s="18"/>
      <c r="I1265" s="27" t="str">
        <f>IFERROR(VLOOKUP(Tabulka2[[#This Row],[Pracovník]],DATA!A:L,11,0),"")</f>
        <v>BATZ 1</v>
      </c>
      <c r="J1265" s="16"/>
      <c r="K1265" s="19"/>
    </row>
    <row r="1266" spans="1:11" x14ac:dyDescent="0.25">
      <c r="A12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66" s="22">
        <v>45932</v>
      </c>
      <c r="C1266" s="16" t="s">
        <v>25</v>
      </c>
      <c r="D1266" s="16" t="s">
        <v>732</v>
      </c>
      <c r="E1266" s="17">
        <f>IFERROR(VLOOKUP(Tabulka2[[#This Row],[Pracovník]],DATA!A:L,5,0),"")</f>
        <v>3937</v>
      </c>
      <c r="F1266" s="12" t="s">
        <v>655</v>
      </c>
      <c r="G1266" s="16"/>
      <c r="H1266" s="18"/>
      <c r="I1266" s="27" t="str">
        <f>IFERROR(VLOOKUP(Tabulka2[[#This Row],[Pracovník]],DATA!A:L,11,0),"")</f>
        <v>BATZ 1</v>
      </c>
      <c r="J1266" s="16"/>
      <c r="K1266" s="19"/>
    </row>
    <row r="1267" spans="1:11" x14ac:dyDescent="0.25">
      <c r="A12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67" s="22">
        <v>45932</v>
      </c>
      <c r="C1267" s="16" t="s">
        <v>25</v>
      </c>
      <c r="D1267" s="16" t="s">
        <v>733</v>
      </c>
      <c r="E1267" s="17">
        <f>IFERROR(VLOOKUP(Tabulka2[[#This Row],[Pracovník]],DATA!A:L,5,0),"")</f>
        <v>6076</v>
      </c>
      <c r="F1267" s="12" t="s">
        <v>654</v>
      </c>
      <c r="G1267" s="16"/>
      <c r="H1267" s="18"/>
      <c r="I1267" s="27" t="str">
        <f>IFERROR(VLOOKUP(Tabulka2[[#This Row],[Pracovník]],DATA!A:L,11,0),"")</f>
        <v>BATZ 1</v>
      </c>
      <c r="J1267" s="16"/>
      <c r="K1267" s="19"/>
    </row>
    <row r="1268" spans="1:11" x14ac:dyDescent="0.25">
      <c r="A12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68" s="22">
        <v>45932</v>
      </c>
      <c r="C1268" s="16" t="s">
        <v>25</v>
      </c>
      <c r="D1268" s="16" t="s">
        <v>734</v>
      </c>
      <c r="E1268" s="17">
        <f>IFERROR(VLOOKUP(Tabulka2[[#This Row],[Pracovník]],DATA!A:L,5,0),"")</f>
        <v>3648</v>
      </c>
      <c r="F1268" s="12" t="s">
        <v>640</v>
      </c>
      <c r="G1268" s="16"/>
      <c r="H1268" s="18"/>
      <c r="I1268" s="27" t="str">
        <f>IFERROR(VLOOKUP(Tabulka2[[#This Row],[Pracovník]],DATA!A:L,11,0),"")</f>
        <v>BATZ 1</v>
      </c>
      <c r="J1268" s="16"/>
      <c r="K1268" s="19"/>
    </row>
    <row r="1269" spans="1:11" x14ac:dyDescent="0.25">
      <c r="A12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69" s="22">
        <v>45932</v>
      </c>
      <c r="C1269" s="16" t="s">
        <v>25</v>
      </c>
      <c r="D1269" s="16" t="s">
        <v>735</v>
      </c>
      <c r="E1269" s="17">
        <f>IFERROR(VLOOKUP(Tabulka2[[#This Row],[Pracovník]],DATA!A:L,5,0),"")</f>
        <v>4602</v>
      </c>
      <c r="F1269" s="12" t="s">
        <v>654</v>
      </c>
      <c r="G1269" s="16"/>
      <c r="H1269" s="18"/>
      <c r="I1269" s="27" t="str">
        <f>IFERROR(VLOOKUP(Tabulka2[[#This Row],[Pracovník]],DATA!A:L,11,0),"")</f>
        <v>BATZ 1</v>
      </c>
      <c r="J1269" s="16"/>
      <c r="K1269" s="19"/>
    </row>
    <row r="1270" spans="1:11" x14ac:dyDescent="0.25">
      <c r="A12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70" s="22">
        <v>45932</v>
      </c>
      <c r="C1270" s="16" t="s">
        <v>25</v>
      </c>
      <c r="D1270" s="16" t="s">
        <v>736</v>
      </c>
      <c r="E1270" s="17">
        <f>IFERROR(VLOOKUP(Tabulka2[[#This Row],[Pracovník]],DATA!A:L,5,0),"")</f>
        <v>4940</v>
      </c>
      <c r="F1270" s="12" t="s">
        <v>655</v>
      </c>
      <c r="G1270" s="16"/>
      <c r="H1270" s="18"/>
      <c r="I1270" s="27" t="str">
        <f>IFERROR(VLOOKUP(Tabulka2[[#This Row],[Pracovník]],DATA!A:L,11,0),"")</f>
        <v>BATZ 1</v>
      </c>
      <c r="J1270" s="16"/>
      <c r="K1270" s="19"/>
    </row>
    <row r="1271" spans="1:11" x14ac:dyDescent="0.25">
      <c r="A12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71" s="22">
        <v>45932</v>
      </c>
      <c r="C1271" s="16" t="s">
        <v>25</v>
      </c>
      <c r="D1271" s="16" t="s">
        <v>737</v>
      </c>
      <c r="E1271" s="17">
        <f>IFERROR(VLOOKUP(Tabulka2[[#This Row],[Pracovník]],DATA!A:L,5,0),"")</f>
        <v>5660</v>
      </c>
      <c r="F1271" s="12" t="s">
        <v>655</v>
      </c>
      <c r="G1271" s="16"/>
      <c r="H1271" s="18"/>
      <c r="I1271" s="27" t="str">
        <f>IFERROR(VLOOKUP(Tabulka2[[#This Row],[Pracovník]],DATA!A:L,11,0),"")</f>
        <v>BATZ 1</v>
      </c>
      <c r="J1271" s="16"/>
      <c r="K1271" s="19"/>
    </row>
    <row r="1272" spans="1:11" x14ac:dyDescent="0.25">
      <c r="A12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72" s="22">
        <v>45932</v>
      </c>
      <c r="C1272" s="16" t="s">
        <v>25</v>
      </c>
      <c r="D1272" s="16" t="s">
        <v>738</v>
      </c>
      <c r="E1272" s="17">
        <f>IFERROR(VLOOKUP(Tabulka2[[#This Row],[Pracovník]],DATA!A:L,5,0),"")</f>
        <v>6243</v>
      </c>
      <c r="F1272" s="12" t="s">
        <v>640</v>
      </c>
      <c r="G1272" s="16"/>
      <c r="H1272" s="18"/>
      <c r="I1272" s="27" t="str">
        <f>IFERROR(VLOOKUP(Tabulka2[[#This Row],[Pracovník]],DATA!A:L,11,0),"")</f>
        <v>BATZ 2</v>
      </c>
      <c r="J1272" s="16"/>
      <c r="K1272" s="19"/>
    </row>
    <row r="1273" spans="1:11" x14ac:dyDescent="0.25">
      <c r="A12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73" s="22">
        <v>45932</v>
      </c>
      <c r="C1273" s="16" t="s">
        <v>25</v>
      </c>
      <c r="D1273" s="16" t="s">
        <v>739</v>
      </c>
      <c r="E1273" s="17">
        <f>IFERROR(VLOOKUP(Tabulka2[[#This Row],[Pracovník]],DATA!A:L,5,0),"")</f>
        <v>6339</v>
      </c>
      <c r="F1273" s="12" t="s">
        <v>653</v>
      </c>
      <c r="G1273" s="16" t="s">
        <v>657</v>
      </c>
      <c r="H1273" s="18"/>
      <c r="I1273" s="27" t="str">
        <f>IFERROR(VLOOKUP(Tabulka2[[#This Row],[Pracovník]],DATA!A:L,11,0),"")</f>
        <v>BATZ 1</v>
      </c>
      <c r="J1273" s="16"/>
      <c r="K1273" s="19"/>
    </row>
    <row r="1274" spans="1:11" x14ac:dyDescent="0.25">
      <c r="A12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74" s="22">
        <v>45932</v>
      </c>
      <c r="C1274" s="16" t="s">
        <v>25</v>
      </c>
      <c r="D1274" s="16" t="s">
        <v>740</v>
      </c>
      <c r="E1274" s="17">
        <f>IFERROR(VLOOKUP(Tabulka2[[#This Row],[Pracovník]],DATA!A:L,5,0),"")</f>
        <v>4928</v>
      </c>
      <c r="F1274" s="12" t="s">
        <v>654</v>
      </c>
      <c r="G1274" s="16"/>
      <c r="H1274" s="18"/>
      <c r="I1274" s="27" t="str">
        <f>IFERROR(VLOOKUP(Tabulka2[[#This Row],[Pracovník]],DATA!A:L,11,0),"")</f>
        <v>BATZ 1</v>
      </c>
      <c r="J1274" s="16"/>
      <c r="K1274" s="19"/>
    </row>
    <row r="1275" spans="1:11" x14ac:dyDescent="0.25">
      <c r="A12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75" s="22">
        <v>45932</v>
      </c>
      <c r="C1275" s="16" t="s">
        <v>25</v>
      </c>
      <c r="D1275" s="16" t="s">
        <v>731</v>
      </c>
      <c r="E1275" s="17">
        <f>IFERROR(VLOOKUP(Tabulka2[[#This Row],[Pracovník]],DATA!A:L,5,0),"")</f>
        <v>0</v>
      </c>
      <c r="F1275" s="12" t="s">
        <v>655</v>
      </c>
      <c r="G1275" s="16"/>
      <c r="H1275" s="18"/>
      <c r="I1275" s="27" t="str">
        <f>IFERROR(VLOOKUP(Tabulka2[[#This Row],[Pracovník]],DATA!A:L,11,0),"")</f>
        <v>BATZ 1</v>
      </c>
      <c r="J1275" s="16"/>
      <c r="K1275" s="19"/>
    </row>
    <row r="1276" spans="1:11" x14ac:dyDescent="0.25">
      <c r="A12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76" s="22">
        <v>45932</v>
      </c>
      <c r="C1276" s="16" t="s">
        <v>25</v>
      </c>
      <c r="D1276" s="16" t="s">
        <v>924</v>
      </c>
      <c r="E1276" s="17">
        <f>IFERROR(VLOOKUP(Tabulka2[[#This Row],[Pracovník]],DATA!A:L,5,0),"")</f>
        <v>6581</v>
      </c>
      <c r="F1276" s="12" t="s">
        <v>640</v>
      </c>
      <c r="G1276" s="16"/>
      <c r="H1276" s="18"/>
      <c r="I1276" s="27" t="str">
        <f>IFERROR(VLOOKUP(Tabulka2[[#This Row],[Pracovník]],DATA!A:L,11,0),"")</f>
        <v>BATZ 1</v>
      </c>
      <c r="J1276" s="16"/>
      <c r="K1276" s="19"/>
    </row>
    <row r="1277" spans="1:11" x14ac:dyDescent="0.25">
      <c r="A12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77" s="22">
        <v>45932</v>
      </c>
      <c r="C1277" s="16" t="s">
        <v>96</v>
      </c>
      <c r="D1277" s="16" t="s">
        <v>641</v>
      </c>
      <c r="E1277" s="17">
        <f>IFERROR(VLOOKUP(Tabulka2[[#This Row],[Pracovník]],DATA!A:L,5,0),"")</f>
        <v>6259</v>
      </c>
      <c r="F1277" s="12" t="s">
        <v>640</v>
      </c>
      <c r="G1277" s="16"/>
      <c r="H1277" s="18"/>
      <c r="I1277" s="27" t="str">
        <f>IFERROR(VLOOKUP(Tabulka2[[#This Row],[Pracovník]],DATA!A:L,11,0),"")</f>
        <v>Vlastní auto</v>
      </c>
      <c r="J1277" s="16"/>
      <c r="K1277" s="19"/>
    </row>
    <row r="1278" spans="1:11" x14ac:dyDescent="0.25">
      <c r="A12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78" s="22">
        <v>45932</v>
      </c>
      <c r="C1278" s="16" t="s">
        <v>96</v>
      </c>
      <c r="D1278" s="16" t="s">
        <v>649</v>
      </c>
      <c r="E1278" s="17">
        <f>IFERROR(VLOOKUP(Tabulka2[[#This Row],[Pracovník]],DATA!A:L,5,0),"")</f>
        <v>3951</v>
      </c>
      <c r="F1278" s="12" t="s">
        <v>640</v>
      </c>
      <c r="G1278" s="16"/>
      <c r="H1278" s="18"/>
      <c r="I1278" s="27" t="str">
        <f>IFERROR(VLOOKUP(Tabulka2[[#This Row],[Pracovník]],DATA!A:L,11,0),"")</f>
        <v>Vlastní auto</v>
      </c>
      <c r="J1278" s="16"/>
      <c r="K1278" s="19"/>
    </row>
    <row r="1279" spans="1:11" x14ac:dyDescent="0.25">
      <c r="A12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79" s="22">
        <v>45932</v>
      </c>
      <c r="C1279" s="16" t="s">
        <v>96</v>
      </c>
      <c r="D1279" s="16" t="s">
        <v>742</v>
      </c>
      <c r="E1279" s="17">
        <f>IFERROR(VLOOKUP(Tabulka2[[#This Row],[Pracovník]],DATA!A:L,5,0),"")</f>
        <v>6450</v>
      </c>
      <c r="F1279" s="12" t="s">
        <v>654</v>
      </c>
      <c r="G1279" s="16"/>
      <c r="H1279" s="18"/>
      <c r="I1279" s="27" t="str">
        <f>IFERROR(VLOOKUP(Tabulka2[[#This Row],[Pracovník]],DATA!A:L,11,0),"")</f>
        <v>DSC 2</v>
      </c>
      <c r="J1279" s="16"/>
      <c r="K1279" s="19"/>
    </row>
    <row r="1280" spans="1:11" x14ac:dyDescent="0.25">
      <c r="A12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80" s="22">
        <v>45932</v>
      </c>
      <c r="C1280" s="16" t="s">
        <v>96</v>
      </c>
      <c r="D1280" s="16" t="s">
        <v>744</v>
      </c>
      <c r="E1280" s="17">
        <f>IFERROR(VLOOKUP(Tabulka2[[#This Row],[Pracovník]],DATA!A:L,5,0),"")</f>
        <v>5584</v>
      </c>
      <c r="F1280" s="12" t="s">
        <v>654</v>
      </c>
      <c r="G1280" s="16"/>
      <c r="H1280" s="18"/>
      <c r="I1280" s="27" t="str">
        <f>IFERROR(VLOOKUP(Tabulka2[[#This Row],[Pracovník]],DATA!A:L,11,0),"")</f>
        <v>Vlastní auto</v>
      </c>
      <c r="J1280" s="16"/>
      <c r="K1280" s="19"/>
    </row>
    <row r="1281" spans="1:11" x14ac:dyDescent="0.25">
      <c r="A12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81" s="22">
        <v>45932</v>
      </c>
      <c r="C1281" s="16" t="s">
        <v>96</v>
      </c>
      <c r="D1281" s="16" t="s">
        <v>745</v>
      </c>
      <c r="E1281" s="17">
        <f>IFERROR(VLOOKUP(Tabulka2[[#This Row],[Pracovník]],DATA!A:L,5,0),"")</f>
        <v>6418</v>
      </c>
      <c r="F1281" s="12" t="s">
        <v>640</v>
      </c>
      <c r="G1281" s="16"/>
      <c r="H1281" s="18"/>
      <c r="I1281" s="27" t="str">
        <f>IFERROR(VLOOKUP(Tabulka2[[#This Row],[Pracovník]],DATA!A:L,11,0),"")</f>
        <v>Vlastní auto</v>
      </c>
      <c r="J1281" s="16"/>
      <c r="K1281" s="19"/>
    </row>
    <row r="1282" spans="1:11" x14ac:dyDescent="0.25">
      <c r="A12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82" s="22">
        <v>45932</v>
      </c>
      <c r="C1282" s="16" t="s">
        <v>96</v>
      </c>
      <c r="D1282" s="16" t="s">
        <v>747</v>
      </c>
      <c r="E1282" s="17">
        <f>IFERROR(VLOOKUP(Tabulka2[[#This Row],[Pracovník]],DATA!A:L,5,0),"")</f>
        <v>6177</v>
      </c>
      <c r="F1282" s="12" t="s">
        <v>654</v>
      </c>
      <c r="G1282" s="16"/>
      <c r="H1282" s="18"/>
      <c r="I1282" s="27" t="str">
        <f>IFERROR(VLOOKUP(Tabulka2[[#This Row],[Pracovník]],DATA!A:L,11,0),"")</f>
        <v>DSC 1</v>
      </c>
      <c r="J1282" s="16"/>
      <c r="K1282" s="19"/>
    </row>
    <row r="1283" spans="1:11" x14ac:dyDescent="0.25">
      <c r="A12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83" s="22">
        <v>45932</v>
      </c>
      <c r="C1283" s="16" t="s">
        <v>96</v>
      </c>
      <c r="D1283" s="16" t="s">
        <v>746</v>
      </c>
      <c r="E1283" s="17">
        <f>IFERROR(VLOOKUP(Tabulka2[[#This Row],[Pracovník]],DATA!A:L,5,0),"")</f>
        <v>6543</v>
      </c>
      <c r="F1283" s="12" t="s">
        <v>640</v>
      </c>
      <c r="G1283" s="16"/>
      <c r="H1283" s="18"/>
      <c r="I1283" s="27" t="str">
        <f>IFERROR(VLOOKUP(Tabulka2[[#This Row],[Pracovník]],DATA!A:L,11,0),"")</f>
        <v>DSC 1</v>
      </c>
      <c r="J1283" s="16"/>
      <c r="K1283" s="19"/>
    </row>
    <row r="1284" spans="1:11" x14ac:dyDescent="0.25">
      <c r="A12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84" s="22">
        <v>45932</v>
      </c>
      <c r="C1284" s="16" t="s">
        <v>96</v>
      </c>
      <c r="D1284" s="16" t="s">
        <v>748</v>
      </c>
      <c r="E1284" s="17">
        <f>IFERROR(VLOOKUP(Tabulka2[[#This Row],[Pracovník]],DATA!A:L,5,0),"")</f>
        <v>6541</v>
      </c>
      <c r="F1284" s="12" t="s">
        <v>654</v>
      </c>
      <c r="G1284" s="16"/>
      <c r="H1284" s="18"/>
      <c r="I1284" s="27" t="str">
        <f>IFERROR(VLOOKUP(Tabulka2[[#This Row],[Pracovník]],DATA!A:L,11,0),"")</f>
        <v>DSC 2</v>
      </c>
      <c r="J1284" s="16"/>
      <c r="K1284" s="19"/>
    </row>
    <row r="1285" spans="1:11" x14ac:dyDescent="0.25">
      <c r="A12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85" s="22">
        <v>45932</v>
      </c>
      <c r="C1285" s="16" t="s">
        <v>96</v>
      </c>
      <c r="D1285" s="16" t="s">
        <v>749</v>
      </c>
      <c r="E1285" s="17">
        <f>IFERROR(VLOOKUP(Tabulka2[[#This Row],[Pracovník]],DATA!A:L,5,0),"")</f>
        <v>6442</v>
      </c>
      <c r="F1285" s="12" t="s">
        <v>640</v>
      </c>
      <c r="G1285" s="16"/>
      <c r="H1285" s="18"/>
      <c r="I1285" s="27" t="str">
        <f>IFERROR(VLOOKUP(Tabulka2[[#This Row],[Pracovník]],DATA!A:L,11,0),"")</f>
        <v>DSC 2</v>
      </c>
      <c r="J1285" s="16"/>
      <c r="K1285" s="19"/>
    </row>
    <row r="1286" spans="1:11" x14ac:dyDescent="0.25">
      <c r="A12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86" s="22">
        <v>45932</v>
      </c>
      <c r="C1286" s="16" t="s">
        <v>96</v>
      </c>
      <c r="D1286" s="16" t="s">
        <v>750</v>
      </c>
      <c r="E1286" s="17">
        <f>IFERROR(VLOOKUP(Tabulka2[[#This Row],[Pracovník]],DATA!A:L,5,0),"")</f>
        <v>6143</v>
      </c>
      <c r="F1286" s="12" t="s">
        <v>640</v>
      </c>
      <c r="G1286" s="16"/>
      <c r="H1286" s="18"/>
      <c r="I1286" s="27" t="str">
        <f>IFERROR(VLOOKUP(Tabulka2[[#This Row],[Pracovník]],DATA!A:L,11,0),"")</f>
        <v>Vlastní auto</v>
      </c>
      <c r="J1286" s="16"/>
      <c r="K1286" s="19"/>
    </row>
    <row r="1287" spans="1:11" x14ac:dyDescent="0.25">
      <c r="A12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87" s="22">
        <v>45932</v>
      </c>
      <c r="C1287" s="16" t="s">
        <v>96</v>
      </c>
      <c r="D1287" s="16" t="s">
        <v>751</v>
      </c>
      <c r="E1287" s="17">
        <f>IFERROR(VLOOKUP(Tabulka2[[#This Row],[Pracovník]],DATA!A:L,5,0),"")</f>
        <v>6260</v>
      </c>
      <c r="F1287" s="12" t="s">
        <v>640</v>
      </c>
      <c r="G1287" s="16"/>
      <c r="H1287" s="18"/>
      <c r="I1287" s="27" t="str">
        <f>IFERROR(VLOOKUP(Tabulka2[[#This Row],[Pracovník]],DATA!A:L,11,0),"")</f>
        <v>Vlastní auto</v>
      </c>
      <c r="J1287" s="16"/>
      <c r="K1287" s="19"/>
    </row>
    <row r="1288" spans="1:11" x14ac:dyDescent="0.25">
      <c r="A12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88" s="22">
        <v>45932</v>
      </c>
      <c r="C1288" s="16" t="s">
        <v>96</v>
      </c>
      <c r="D1288" s="16" t="s">
        <v>752</v>
      </c>
      <c r="E1288" s="17">
        <f>IFERROR(VLOOKUP(Tabulka2[[#This Row],[Pracovník]],DATA!A:L,5,0),"")</f>
        <v>6430</v>
      </c>
      <c r="F1288" s="12" t="s">
        <v>640</v>
      </c>
      <c r="G1288" s="16"/>
      <c r="H1288" s="18"/>
      <c r="I1288" s="27" t="str">
        <f>IFERROR(VLOOKUP(Tabulka2[[#This Row],[Pracovník]],DATA!A:L,11,0),"")</f>
        <v>Vlastní auto</v>
      </c>
      <c r="J1288" s="16"/>
      <c r="K1288" s="19"/>
    </row>
    <row r="1289" spans="1:11" x14ac:dyDescent="0.25">
      <c r="A12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89" s="22">
        <v>45932</v>
      </c>
      <c r="C1289" s="16" t="s">
        <v>96</v>
      </c>
      <c r="D1289" s="16" t="s">
        <v>753</v>
      </c>
      <c r="E1289" s="17">
        <f>IFERROR(VLOOKUP(Tabulka2[[#This Row],[Pracovník]],DATA!A:L,5,0),"")</f>
        <v>6016</v>
      </c>
      <c r="F1289" s="12" t="s">
        <v>654</v>
      </c>
      <c r="G1289" s="16"/>
      <c r="H1289" s="18"/>
      <c r="I1289" s="27" t="str">
        <f>IFERROR(VLOOKUP(Tabulka2[[#This Row],[Pracovník]],DATA!A:L,11,0),"")</f>
        <v>DSC 2</v>
      </c>
      <c r="J1289" s="16"/>
      <c r="K1289" s="19"/>
    </row>
    <row r="1290" spans="1:11" x14ac:dyDescent="0.25">
      <c r="A12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90" s="22">
        <v>45932</v>
      </c>
      <c r="C1290" s="16" t="s">
        <v>96</v>
      </c>
      <c r="D1290" s="16" t="s">
        <v>754</v>
      </c>
      <c r="E1290" s="17">
        <f>IFERROR(VLOOKUP(Tabulka2[[#This Row],[Pracovník]],DATA!A:L,5,0),"")</f>
        <v>6437</v>
      </c>
      <c r="F1290" s="12" t="s">
        <v>654</v>
      </c>
      <c r="G1290" s="16"/>
      <c r="H1290" s="18"/>
      <c r="I1290" s="27" t="str">
        <f>IFERROR(VLOOKUP(Tabulka2[[#This Row],[Pracovník]],DATA!A:L,11,0),"")</f>
        <v>DSC 2</v>
      </c>
      <c r="J1290" s="16"/>
      <c r="K1290" s="19"/>
    </row>
    <row r="1291" spans="1:11" x14ac:dyDescent="0.25">
      <c r="A12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91" s="22">
        <v>45932</v>
      </c>
      <c r="C1291" s="16" t="s">
        <v>96</v>
      </c>
      <c r="D1291" s="16" t="s">
        <v>756</v>
      </c>
      <c r="E1291" s="17">
        <f>IFERROR(VLOOKUP(Tabulka2[[#This Row],[Pracovník]],DATA!A:L,5,0),"")</f>
        <v>6431</v>
      </c>
      <c r="F1291" s="12" t="s">
        <v>654</v>
      </c>
      <c r="G1291" s="16"/>
      <c r="H1291" s="18"/>
      <c r="I1291" s="27" t="str">
        <f>IFERROR(VLOOKUP(Tabulka2[[#This Row],[Pracovník]],DATA!A:L,11,0),"")</f>
        <v>DSC 1</v>
      </c>
      <c r="J1291" s="16"/>
      <c r="K1291" s="19"/>
    </row>
    <row r="1292" spans="1:11" x14ac:dyDescent="0.25">
      <c r="A12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92" s="22">
        <v>45932</v>
      </c>
      <c r="C1292" s="16" t="s">
        <v>96</v>
      </c>
      <c r="D1292" s="16" t="s">
        <v>642</v>
      </c>
      <c r="E1292" s="17">
        <f>IFERROR(VLOOKUP(Tabulka2[[#This Row],[Pracovník]],DATA!A:L,5,0),"")</f>
        <v>6119</v>
      </c>
      <c r="F1292" s="12" t="s">
        <v>653</v>
      </c>
      <c r="G1292" s="16" t="s">
        <v>657</v>
      </c>
      <c r="H1292" s="18"/>
      <c r="I1292" s="27" t="str">
        <f>IFERROR(VLOOKUP(Tabulka2[[#This Row],[Pracovník]],DATA!A:L,11,0),"")</f>
        <v>DSC 1</v>
      </c>
      <c r="J1292" s="16"/>
      <c r="K1292" s="19"/>
    </row>
    <row r="1293" spans="1:11" x14ac:dyDescent="0.25">
      <c r="A12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93" s="22">
        <v>45932</v>
      </c>
      <c r="C1293" s="16" t="s">
        <v>96</v>
      </c>
      <c r="D1293" s="16" t="s">
        <v>757</v>
      </c>
      <c r="E1293" s="17">
        <f>IFERROR(VLOOKUP(Tabulka2[[#This Row],[Pracovník]],DATA!A:L,5,0),"")</f>
        <v>6559</v>
      </c>
      <c r="F1293" s="12" t="s">
        <v>640</v>
      </c>
      <c r="G1293" s="16"/>
      <c r="H1293" s="18"/>
      <c r="I1293" s="27" t="str">
        <f>IFERROR(VLOOKUP(Tabulka2[[#This Row],[Pracovník]],DATA!A:L,11,0),"")</f>
        <v>DSC 1</v>
      </c>
      <c r="J1293" s="16"/>
      <c r="K1293" s="19"/>
    </row>
    <row r="1294" spans="1:11" x14ac:dyDescent="0.25">
      <c r="A12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94" s="22">
        <v>45932</v>
      </c>
      <c r="C1294" s="16" t="s">
        <v>96</v>
      </c>
      <c r="D1294" s="16" t="s">
        <v>758</v>
      </c>
      <c r="E1294" s="17">
        <f>IFERROR(VLOOKUP(Tabulka2[[#This Row],[Pracovník]],DATA!A:L,5,0),"")</f>
        <v>4392</v>
      </c>
      <c r="F1294" s="12" t="s">
        <v>640</v>
      </c>
      <c r="G1294" s="16"/>
      <c r="H1294" s="18"/>
      <c r="I1294" s="27" t="str">
        <f>IFERROR(VLOOKUP(Tabulka2[[#This Row],[Pracovník]],DATA!A:L,11,0),"")</f>
        <v>DSC 1</v>
      </c>
      <c r="J1294" s="16"/>
      <c r="K1294" s="19"/>
    </row>
    <row r="1295" spans="1:11" x14ac:dyDescent="0.25">
      <c r="A12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95" s="22">
        <v>45932</v>
      </c>
      <c r="C1295" s="16" t="s">
        <v>96</v>
      </c>
      <c r="D1295" s="16" t="s">
        <v>760</v>
      </c>
      <c r="E1295" s="17">
        <f>IFERROR(VLOOKUP(Tabulka2[[#This Row],[Pracovník]],DATA!A:L,5,0),"")</f>
        <v>6514</v>
      </c>
      <c r="F1295" s="12" t="s">
        <v>640</v>
      </c>
      <c r="G1295" s="16"/>
      <c r="H1295" s="18"/>
      <c r="I1295" s="27" t="str">
        <f>IFERROR(VLOOKUP(Tabulka2[[#This Row],[Pracovník]],DATA!A:L,11,0),"")</f>
        <v>DSC 2</v>
      </c>
      <c r="J1295" s="16"/>
      <c r="K1295" s="19"/>
    </row>
    <row r="1296" spans="1:11" x14ac:dyDescent="0.25">
      <c r="A12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96" s="22">
        <v>45932</v>
      </c>
      <c r="C1296" s="16" t="s">
        <v>96</v>
      </c>
      <c r="D1296" s="16" t="s">
        <v>761</v>
      </c>
      <c r="E1296" s="17">
        <f>IFERROR(VLOOKUP(Tabulka2[[#This Row],[Pracovník]],DATA!A:L,5,0),"")</f>
        <v>6516</v>
      </c>
      <c r="F1296" s="12" t="s">
        <v>640</v>
      </c>
      <c r="G1296" s="16"/>
      <c r="H1296" s="18"/>
      <c r="I1296" s="27" t="str">
        <f>IFERROR(VLOOKUP(Tabulka2[[#This Row],[Pracovník]],DATA!A:L,11,0),"")</f>
        <v>DSC 1</v>
      </c>
      <c r="J1296" s="16"/>
      <c r="K1296" s="19"/>
    </row>
    <row r="1297" spans="1:11" x14ac:dyDescent="0.25">
      <c r="A12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97" s="22">
        <v>45932</v>
      </c>
      <c r="C1297" s="16" t="s">
        <v>96</v>
      </c>
      <c r="D1297" s="16" t="s">
        <v>762</v>
      </c>
      <c r="E1297" s="17">
        <f>IFERROR(VLOOKUP(Tabulka2[[#This Row],[Pracovník]],DATA!A:L,5,0),"")</f>
        <v>0</v>
      </c>
      <c r="F1297" s="12" t="s">
        <v>654</v>
      </c>
      <c r="G1297" s="16"/>
      <c r="H1297" s="18"/>
      <c r="I1297" s="27" t="str">
        <f>IFERROR(VLOOKUP(Tabulka2[[#This Row],[Pracovník]],DATA!A:L,11,0),"")</f>
        <v>Vlastní auto</v>
      </c>
      <c r="J1297" s="16"/>
      <c r="K1297" s="19"/>
    </row>
    <row r="1298" spans="1:11" x14ac:dyDescent="0.25">
      <c r="A12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98" s="22">
        <v>45932</v>
      </c>
      <c r="C1298" s="16" t="s">
        <v>96</v>
      </c>
      <c r="D1298" s="16" t="s">
        <v>763</v>
      </c>
      <c r="E1298" s="17">
        <f>IFERROR(VLOOKUP(Tabulka2[[#This Row],[Pracovník]],DATA!A:L,5,0),"")</f>
        <v>6158</v>
      </c>
      <c r="F1298" s="12" t="s">
        <v>640</v>
      </c>
      <c r="G1298" s="16"/>
      <c r="H1298" s="18"/>
      <c r="I1298" s="27" t="str">
        <f>IFERROR(VLOOKUP(Tabulka2[[#This Row],[Pracovník]],DATA!A:L,11,0),"")</f>
        <v>DSC 2</v>
      </c>
      <c r="J1298" s="16"/>
      <c r="K1298" s="19"/>
    </row>
    <row r="1299" spans="1:11" x14ac:dyDescent="0.25">
      <c r="A12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299" s="22">
        <v>45932</v>
      </c>
      <c r="C1299" s="16" t="s">
        <v>96</v>
      </c>
      <c r="D1299" s="16" t="s">
        <v>764</v>
      </c>
      <c r="E1299" s="17">
        <f>IFERROR(VLOOKUP(Tabulka2[[#This Row],[Pracovník]],DATA!A:L,5,0),"")</f>
        <v>3063</v>
      </c>
      <c r="F1299" s="12" t="s">
        <v>654</v>
      </c>
      <c r="G1299" s="16"/>
      <c r="H1299" s="18"/>
      <c r="I1299" s="27" t="str">
        <f>IFERROR(VLOOKUP(Tabulka2[[#This Row],[Pracovník]],DATA!A:L,11,0),"")</f>
        <v>DSC 2</v>
      </c>
      <c r="J1299" s="16"/>
      <c r="K1299" s="19"/>
    </row>
    <row r="1300" spans="1:11" x14ac:dyDescent="0.25">
      <c r="A13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00" s="22">
        <v>45932</v>
      </c>
      <c r="C1300" s="16" t="s">
        <v>96</v>
      </c>
      <c r="D1300" s="16" t="s">
        <v>765</v>
      </c>
      <c r="E1300" s="17">
        <f>IFERROR(VLOOKUP(Tabulka2[[#This Row],[Pracovník]],DATA!A:L,5,0),"")</f>
        <v>5853</v>
      </c>
      <c r="F1300" s="12" t="s">
        <v>640</v>
      </c>
      <c r="G1300" s="16"/>
      <c r="H1300" s="18"/>
      <c r="I1300" s="27" t="str">
        <f>IFERROR(VLOOKUP(Tabulka2[[#This Row],[Pracovník]],DATA!A:L,11,0),"")</f>
        <v>DSC 2</v>
      </c>
      <c r="J1300" s="16"/>
      <c r="K1300" s="19"/>
    </row>
    <row r="1301" spans="1:11" x14ac:dyDescent="0.25">
      <c r="A13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01" s="22">
        <v>45932</v>
      </c>
      <c r="C1301" s="16" t="s">
        <v>96</v>
      </c>
      <c r="D1301" s="16" t="s">
        <v>766</v>
      </c>
      <c r="E1301" s="17">
        <f>IFERROR(VLOOKUP(Tabulka2[[#This Row],[Pracovník]],DATA!A:L,5,0),"")</f>
        <v>6408</v>
      </c>
      <c r="F1301" s="12" t="s">
        <v>655</v>
      </c>
      <c r="G1301" s="16"/>
      <c r="H1301" s="18"/>
      <c r="I1301" s="27" t="str">
        <f>IFERROR(VLOOKUP(Tabulka2[[#This Row],[Pracovník]],DATA!A:L,11,0),"")</f>
        <v>Vlastní auto</v>
      </c>
      <c r="J1301" s="16"/>
      <c r="K1301" s="19"/>
    </row>
    <row r="1302" spans="1:11" x14ac:dyDescent="0.25">
      <c r="A13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02" s="22">
        <v>45932</v>
      </c>
      <c r="C1302" s="16" t="s">
        <v>96</v>
      </c>
      <c r="D1302" s="16" t="s">
        <v>767</v>
      </c>
      <c r="E1302" s="17">
        <f>IFERROR(VLOOKUP(Tabulka2[[#This Row],[Pracovník]],DATA!A:L,5,0),"")</f>
        <v>6544</v>
      </c>
      <c r="F1302" s="12" t="s">
        <v>640</v>
      </c>
      <c r="G1302" s="16"/>
      <c r="H1302" s="18"/>
      <c r="I1302" s="27" t="str">
        <f>IFERROR(VLOOKUP(Tabulka2[[#This Row],[Pracovník]],DATA!A:L,11,0),"")</f>
        <v>DSC 1</v>
      </c>
      <c r="J1302" s="16"/>
      <c r="K1302" s="19"/>
    </row>
    <row r="1303" spans="1:11" x14ac:dyDescent="0.25">
      <c r="A13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03" s="22">
        <v>45932</v>
      </c>
      <c r="C1303" s="16" t="s">
        <v>96</v>
      </c>
      <c r="D1303" s="16" t="s">
        <v>769</v>
      </c>
      <c r="E1303" s="17">
        <f>IFERROR(VLOOKUP(Tabulka2[[#This Row],[Pracovník]],DATA!A:L,5,0),"")</f>
        <v>0</v>
      </c>
      <c r="F1303" s="12" t="s">
        <v>655</v>
      </c>
      <c r="G1303" s="16"/>
      <c r="H1303" s="18"/>
      <c r="I1303" s="27" t="str">
        <f>IFERROR(VLOOKUP(Tabulka2[[#This Row],[Pracovník]],DATA!A:L,11,0),"")</f>
        <v>DSC 2</v>
      </c>
      <c r="J1303" s="16"/>
      <c r="K1303" s="19"/>
    </row>
    <row r="1304" spans="1:11" x14ac:dyDescent="0.25">
      <c r="A13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04" s="22">
        <v>45932</v>
      </c>
      <c r="C1304" s="16" t="s">
        <v>96</v>
      </c>
      <c r="D1304" s="16" t="s">
        <v>771</v>
      </c>
      <c r="E1304" s="17">
        <f>IFERROR(VLOOKUP(Tabulka2[[#This Row],[Pracovník]],DATA!A:L,5,0),"")</f>
        <v>6558</v>
      </c>
      <c r="F1304" s="12" t="s">
        <v>640</v>
      </c>
      <c r="G1304" s="16"/>
      <c r="H1304" s="18"/>
      <c r="I1304" s="27" t="str">
        <f>IFERROR(VLOOKUP(Tabulka2[[#This Row],[Pracovník]],DATA!A:L,11,0),"")</f>
        <v>DSC 1</v>
      </c>
      <c r="J1304" s="16"/>
      <c r="K1304" s="19"/>
    </row>
    <row r="1305" spans="1:11" x14ac:dyDescent="0.25">
      <c r="A13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05" s="22">
        <v>45932</v>
      </c>
      <c r="C1305" s="16" t="s">
        <v>96</v>
      </c>
      <c r="D1305" s="16" t="s">
        <v>771</v>
      </c>
      <c r="E1305" s="17">
        <f>IFERROR(VLOOKUP(Tabulka2[[#This Row],[Pracovník]],DATA!A:L,5,0),"")</f>
        <v>6558</v>
      </c>
      <c r="F1305" s="12" t="s">
        <v>655</v>
      </c>
      <c r="G1305" s="16"/>
      <c r="H1305" s="18"/>
      <c r="I1305" s="27" t="str">
        <f>IFERROR(VLOOKUP(Tabulka2[[#This Row],[Pracovník]],DATA!A:L,11,0),"")</f>
        <v>DSC 1</v>
      </c>
      <c r="J1305" s="16"/>
      <c r="K1305" s="19"/>
    </row>
    <row r="1306" spans="1:11" x14ac:dyDescent="0.25">
      <c r="A13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06" s="22">
        <v>45932</v>
      </c>
      <c r="C1306" s="16" t="s">
        <v>96</v>
      </c>
      <c r="D1306" s="16" t="s">
        <v>770</v>
      </c>
      <c r="E1306" s="17">
        <f>IFERROR(VLOOKUP(Tabulka2[[#This Row],[Pracovník]],DATA!A:L,5,0),"")</f>
        <v>6152</v>
      </c>
      <c r="F1306" s="12" t="s">
        <v>654</v>
      </c>
      <c r="G1306" s="16"/>
      <c r="H1306" s="18"/>
      <c r="I1306" s="27" t="str">
        <f>IFERROR(VLOOKUP(Tabulka2[[#This Row],[Pracovník]],DATA!A:L,11,0),"")</f>
        <v>DSC 2</v>
      </c>
      <c r="J1306" s="16"/>
      <c r="K1306" s="19"/>
    </row>
    <row r="1307" spans="1:11" x14ac:dyDescent="0.25">
      <c r="A13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07" s="22">
        <v>45932</v>
      </c>
      <c r="C1307" s="16" t="s">
        <v>28</v>
      </c>
      <c r="D1307" s="16" t="s">
        <v>646</v>
      </c>
      <c r="E1307" s="17">
        <f>IFERROR(VLOOKUP(Tabulka2[[#This Row],[Pracovník]],DATA!A:L,5,0),"")</f>
        <v>6537</v>
      </c>
      <c r="F1307" s="12" t="s">
        <v>655</v>
      </c>
      <c r="G1307" s="16"/>
      <c r="H1307" s="18"/>
      <c r="I1307" s="27" t="str">
        <f>IFERROR(VLOOKUP(Tabulka2[[#This Row],[Pracovník]],DATA!A:L,11,0),"")</f>
        <v>DSC 2</v>
      </c>
      <c r="J1307" s="16"/>
      <c r="K1307" s="19"/>
    </row>
    <row r="1308" spans="1:11" x14ac:dyDescent="0.25">
      <c r="A13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08" s="22">
        <v>45932</v>
      </c>
      <c r="C1308" s="16" t="s">
        <v>28</v>
      </c>
      <c r="D1308" s="16" t="s">
        <v>648</v>
      </c>
      <c r="E1308" s="17">
        <f>IFERROR(VLOOKUP(Tabulka2[[#This Row],[Pracovník]],DATA!A:L,5,0),"")</f>
        <v>5802</v>
      </c>
      <c r="F1308" s="12" t="s">
        <v>654</v>
      </c>
      <c r="G1308" s="16"/>
      <c r="H1308" s="18"/>
      <c r="I1308" s="27" t="str">
        <f>IFERROR(VLOOKUP(Tabulka2[[#This Row],[Pracovník]],DATA!A:L,11,0),"")</f>
        <v>Vlastní auto</v>
      </c>
      <c r="J1308" s="16"/>
      <c r="K1308" s="19"/>
    </row>
    <row r="1309" spans="1:11" x14ac:dyDescent="0.25">
      <c r="A13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09" s="22">
        <v>45932</v>
      </c>
      <c r="C1309" s="16" t="s">
        <v>28</v>
      </c>
      <c r="D1309" s="16" t="s">
        <v>772</v>
      </c>
      <c r="E1309" s="17">
        <f>IFERROR(VLOOKUP(Tabulka2[[#This Row],[Pracovník]],DATA!A:L,5,0),"")</f>
        <v>4869</v>
      </c>
      <c r="F1309" s="12" t="s">
        <v>640</v>
      </c>
      <c r="G1309" s="16"/>
      <c r="H1309" s="18"/>
      <c r="I1309" s="27" t="str">
        <f>IFERROR(VLOOKUP(Tabulka2[[#This Row],[Pracovník]],DATA!A:L,11,0),"")</f>
        <v>Vlastní auto</v>
      </c>
      <c r="J1309" s="16"/>
      <c r="K1309" s="19"/>
    </row>
    <row r="1310" spans="1:11" x14ac:dyDescent="0.25">
      <c r="A13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10" s="22">
        <v>45932</v>
      </c>
      <c r="C1310" s="16" t="s">
        <v>28</v>
      </c>
      <c r="D1310" s="16" t="s">
        <v>773</v>
      </c>
      <c r="E1310" s="17">
        <f>IFERROR(VLOOKUP(Tabulka2[[#This Row],[Pracovník]],DATA!A:L,5,0),"")</f>
        <v>6508</v>
      </c>
      <c r="F1310" s="12" t="s">
        <v>655</v>
      </c>
      <c r="G1310" s="16"/>
      <c r="H1310" s="18"/>
      <c r="I1310" s="27" t="str">
        <f>IFERROR(VLOOKUP(Tabulka2[[#This Row],[Pracovník]],DATA!A:L,11,0),"")</f>
        <v>Vlastní auto</v>
      </c>
      <c r="J1310" s="16"/>
      <c r="K1310" s="19"/>
    </row>
    <row r="1311" spans="1:11" x14ac:dyDescent="0.25">
      <c r="A13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11" s="22">
        <v>45932</v>
      </c>
      <c r="C1311" s="16" t="s">
        <v>28</v>
      </c>
      <c r="D1311" s="16" t="s">
        <v>774</v>
      </c>
      <c r="E1311" s="17">
        <f>IFERROR(VLOOKUP(Tabulka2[[#This Row],[Pracovník]],DATA!A:L,5,0),"")</f>
        <v>4607</v>
      </c>
      <c r="F1311" s="12" t="s">
        <v>654</v>
      </c>
      <c r="G1311" s="16"/>
      <c r="H1311" s="18"/>
      <c r="I1311" s="27" t="str">
        <f>IFERROR(VLOOKUP(Tabulka2[[#This Row],[Pracovník]],DATA!A:L,11,0),"")</f>
        <v>DSC 2</v>
      </c>
      <c r="J1311" s="16"/>
      <c r="K1311" s="19"/>
    </row>
    <row r="1312" spans="1:11" x14ac:dyDescent="0.25">
      <c r="A13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12" s="22">
        <v>45932</v>
      </c>
      <c r="C1312" s="16" t="s">
        <v>28</v>
      </c>
      <c r="D1312" s="16" t="s">
        <v>775</v>
      </c>
      <c r="E1312" s="17">
        <f>IFERROR(VLOOKUP(Tabulka2[[#This Row],[Pracovník]],DATA!A:L,5,0),"")</f>
        <v>5047</v>
      </c>
      <c r="F1312" s="12" t="s">
        <v>640</v>
      </c>
      <c r="G1312" s="16"/>
      <c r="H1312" s="18"/>
      <c r="I1312" s="27" t="str">
        <f>IFERROR(VLOOKUP(Tabulka2[[#This Row],[Pracovník]],DATA!A:L,11,0),"")</f>
        <v>Vlastní auto</v>
      </c>
      <c r="J1312" s="16"/>
      <c r="K1312" s="19"/>
    </row>
    <row r="1313" spans="1:11" x14ac:dyDescent="0.25">
      <c r="A13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13" s="22">
        <v>45932</v>
      </c>
      <c r="C1313" s="16" t="s">
        <v>28</v>
      </c>
      <c r="D1313" s="16" t="s">
        <v>777</v>
      </c>
      <c r="E1313" s="17">
        <f>IFERROR(VLOOKUP(Tabulka2[[#This Row],[Pracovník]],DATA!A:L,5,0),"")</f>
        <v>4616</v>
      </c>
      <c r="F1313" s="12" t="s">
        <v>654</v>
      </c>
      <c r="G1313" s="16"/>
      <c r="H1313" s="18"/>
      <c r="I1313" s="27" t="str">
        <f>IFERROR(VLOOKUP(Tabulka2[[#This Row],[Pracovník]],DATA!A:L,11,0),"")</f>
        <v>Vlastní auto</v>
      </c>
      <c r="J1313" s="16"/>
      <c r="K1313" s="19"/>
    </row>
    <row r="1314" spans="1:11" x14ac:dyDescent="0.25">
      <c r="A13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14" s="22">
        <v>45932</v>
      </c>
      <c r="C1314" s="16" t="s">
        <v>28</v>
      </c>
      <c r="D1314" s="16" t="s">
        <v>776</v>
      </c>
      <c r="E1314" s="17">
        <f>IFERROR(VLOOKUP(Tabulka2[[#This Row],[Pracovník]],DATA!A:L,5,0),"")</f>
        <v>4961</v>
      </c>
      <c r="F1314" s="12" t="s">
        <v>655</v>
      </c>
      <c r="G1314" s="16"/>
      <c r="H1314" s="18"/>
      <c r="I1314" s="27" t="str">
        <f>IFERROR(VLOOKUP(Tabulka2[[#This Row],[Pracovník]],DATA!A:L,11,0),"")</f>
        <v>Vlastní auto</v>
      </c>
      <c r="J1314" s="16"/>
      <c r="K1314" s="19"/>
    </row>
    <row r="1315" spans="1:11" x14ac:dyDescent="0.25">
      <c r="A13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15" s="22">
        <v>45932</v>
      </c>
      <c r="C1315" s="16" t="s">
        <v>28</v>
      </c>
      <c r="D1315" s="16" t="s">
        <v>778</v>
      </c>
      <c r="E1315" s="17">
        <f>IFERROR(VLOOKUP(Tabulka2[[#This Row],[Pracovník]],DATA!A:L,5,0),"")</f>
        <v>4721</v>
      </c>
      <c r="F1315" s="12" t="s">
        <v>655</v>
      </c>
      <c r="G1315" s="16"/>
      <c r="H1315" s="18"/>
      <c r="I1315" s="27" t="str">
        <f>IFERROR(VLOOKUP(Tabulka2[[#This Row],[Pracovník]],DATA!A:L,11,0),"")</f>
        <v>DSC 2</v>
      </c>
      <c r="J1315" s="16"/>
      <c r="K1315" s="19"/>
    </row>
    <row r="1316" spans="1:11" x14ac:dyDescent="0.25">
      <c r="A13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16" s="22">
        <v>45932</v>
      </c>
      <c r="C1316" s="16" t="s">
        <v>28</v>
      </c>
      <c r="D1316" s="16" t="s">
        <v>779</v>
      </c>
      <c r="E1316" s="17">
        <f>IFERROR(VLOOKUP(Tabulka2[[#This Row],[Pracovník]],DATA!A:L,5,0),"")</f>
        <v>4845</v>
      </c>
      <c r="F1316" s="12" t="s">
        <v>640</v>
      </c>
      <c r="G1316" s="16"/>
      <c r="H1316" s="18"/>
      <c r="I1316" s="27" t="str">
        <f>IFERROR(VLOOKUP(Tabulka2[[#This Row],[Pracovník]],DATA!A:L,11,0),"")</f>
        <v>Vlastní auto</v>
      </c>
      <c r="J1316" s="16"/>
      <c r="K1316" s="19"/>
    </row>
    <row r="1317" spans="1:11" x14ac:dyDescent="0.25">
      <c r="A13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17" s="22">
        <v>45932</v>
      </c>
      <c r="C1317" s="16" t="s">
        <v>28</v>
      </c>
      <c r="D1317" s="16" t="s">
        <v>780</v>
      </c>
      <c r="E1317" s="17">
        <f>IFERROR(VLOOKUP(Tabulka2[[#This Row],[Pracovník]],DATA!A:L,5,0),"")</f>
        <v>47</v>
      </c>
      <c r="F1317" s="12" t="s">
        <v>655</v>
      </c>
      <c r="G1317" s="16"/>
      <c r="H1317" s="18"/>
      <c r="I1317" s="27" t="str">
        <f>IFERROR(VLOOKUP(Tabulka2[[#This Row],[Pracovník]],DATA!A:L,11,0),"")</f>
        <v>DSC 1</v>
      </c>
      <c r="J1317" s="16"/>
      <c r="K1317" s="19"/>
    </row>
    <row r="1318" spans="1:11" x14ac:dyDescent="0.25">
      <c r="A13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18" s="22">
        <v>45932</v>
      </c>
      <c r="C1318" s="16" t="s">
        <v>28</v>
      </c>
      <c r="D1318" s="16" t="s">
        <v>792</v>
      </c>
      <c r="E1318" s="17">
        <f>IFERROR(VLOOKUP(Tabulka2[[#This Row],[Pracovník]],DATA!A:L,5,0),"")</f>
        <v>6332</v>
      </c>
      <c r="F1318" s="12" t="s">
        <v>640</v>
      </c>
      <c r="G1318" s="16"/>
      <c r="H1318" s="18"/>
      <c r="I1318" s="27" t="str">
        <f>IFERROR(VLOOKUP(Tabulka2[[#This Row],[Pracovník]],DATA!A:L,11,0),"")</f>
        <v>Vlastní auto</v>
      </c>
      <c r="J1318" s="16"/>
      <c r="K1318" s="19"/>
    </row>
    <row r="1319" spans="1:11" x14ac:dyDescent="0.25">
      <c r="A13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19" s="22">
        <v>45932</v>
      </c>
      <c r="C1319" s="16" t="s">
        <v>28</v>
      </c>
      <c r="D1319" s="16" t="s">
        <v>793</v>
      </c>
      <c r="E1319" s="17">
        <f>IFERROR(VLOOKUP(Tabulka2[[#This Row],[Pracovník]],DATA!A:L,5,0),"")</f>
        <v>4871</v>
      </c>
      <c r="F1319" s="12" t="s">
        <v>640</v>
      </c>
      <c r="G1319" s="16"/>
      <c r="H1319" s="18"/>
      <c r="I1319" s="27" t="str">
        <f>IFERROR(VLOOKUP(Tabulka2[[#This Row],[Pracovník]],DATA!A:L,11,0),"")</f>
        <v>Vlastní auto</v>
      </c>
      <c r="J1319" s="16"/>
      <c r="K1319" s="19"/>
    </row>
    <row r="1320" spans="1:11" x14ac:dyDescent="0.25">
      <c r="A13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20" s="22">
        <v>45932</v>
      </c>
      <c r="C1320" s="16" t="s">
        <v>28</v>
      </c>
      <c r="D1320" s="16" t="s">
        <v>794</v>
      </c>
      <c r="E1320" s="17">
        <f>IFERROR(VLOOKUP(Tabulka2[[#This Row],[Pracovník]],DATA!A:L,5,0),"")</f>
        <v>4755</v>
      </c>
      <c r="F1320" s="12" t="s">
        <v>654</v>
      </c>
      <c r="G1320" s="16"/>
      <c r="H1320" s="18"/>
      <c r="I1320" s="27" t="str">
        <f>IFERROR(VLOOKUP(Tabulka2[[#This Row],[Pracovník]],DATA!A:L,11,0),"")</f>
        <v>DSC 2</v>
      </c>
      <c r="J1320" s="16"/>
      <c r="K1320" s="19"/>
    </row>
    <row r="1321" spans="1:11" x14ac:dyDescent="0.25">
      <c r="A13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21" s="22">
        <v>45932</v>
      </c>
      <c r="C1321" s="16" t="s">
        <v>28</v>
      </c>
      <c r="D1321" s="16" t="s">
        <v>781</v>
      </c>
      <c r="E1321" s="17">
        <f>IFERROR(VLOOKUP(Tabulka2[[#This Row],[Pracovník]],DATA!A:L,5,0),"")</f>
        <v>49</v>
      </c>
      <c r="F1321" s="12" t="s">
        <v>640</v>
      </c>
      <c r="G1321" s="16"/>
      <c r="H1321" s="18"/>
      <c r="I1321" s="27" t="str">
        <f>IFERROR(VLOOKUP(Tabulka2[[#This Row],[Pracovník]],DATA!A:L,11,0),"")</f>
        <v>DSC 2</v>
      </c>
      <c r="J1321" s="16"/>
      <c r="K1321" s="19"/>
    </row>
    <row r="1322" spans="1:11" x14ac:dyDescent="0.25">
      <c r="A13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22" s="22">
        <v>45932</v>
      </c>
      <c r="C1322" s="16" t="s">
        <v>28</v>
      </c>
      <c r="D1322" s="16" t="s">
        <v>782</v>
      </c>
      <c r="E1322" s="17">
        <f>IFERROR(VLOOKUP(Tabulka2[[#This Row],[Pracovník]],DATA!A:L,5,0),"")</f>
        <v>5839</v>
      </c>
      <c r="F1322" s="12" t="s">
        <v>640</v>
      </c>
      <c r="G1322" s="16"/>
      <c r="H1322" s="18"/>
      <c r="I1322" s="27" t="str">
        <f>IFERROR(VLOOKUP(Tabulka2[[#This Row],[Pracovník]],DATA!A:L,11,0),"")</f>
        <v>DSC 1</v>
      </c>
      <c r="J1322" s="16"/>
      <c r="K1322" s="19"/>
    </row>
    <row r="1323" spans="1:11" x14ac:dyDescent="0.25">
      <c r="A13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23" s="22">
        <v>45932</v>
      </c>
      <c r="C1323" s="16" t="s">
        <v>28</v>
      </c>
      <c r="D1323" s="16" t="s">
        <v>783</v>
      </c>
      <c r="E1323" s="17">
        <f>IFERROR(VLOOKUP(Tabulka2[[#This Row],[Pracovník]],DATA!A:L,5,0),"")</f>
        <v>6487</v>
      </c>
      <c r="F1323" s="12" t="s">
        <v>654</v>
      </c>
      <c r="G1323" s="16"/>
      <c r="H1323" s="18"/>
      <c r="I1323" s="27" t="str">
        <f>IFERROR(VLOOKUP(Tabulka2[[#This Row],[Pracovník]],DATA!A:L,11,0),"")</f>
        <v>DSC 1</v>
      </c>
      <c r="J1323" s="16"/>
      <c r="K1323" s="19"/>
    </row>
    <row r="1324" spans="1:11" x14ac:dyDescent="0.25">
      <c r="A13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24" s="22">
        <v>45932</v>
      </c>
      <c r="C1324" s="16" t="s">
        <v>28</v>
      </c>
      <c r="D1324" s="16" t="s">
        <v>784</v>
      </c>
      <c r="E1324" s="17">
        <f>IFERROR(VLOOKUP(Tabulka2[[#This Row],[Pracovník]],DATA!A:L,5,0),"")</f>
        <v>6292</v>
      </c>
      <c r="F1324" s="12" t="s">
        <v>640</v>
      </c>
      <c r="G1324" s="16"/>
      <c r="H1324" s="18"/>
      <c r="I1324" s="27" t="str">
        <f>IFERROR(VLOOKUP(Tabulka2[[#This Row],[Pracovník]],DATA!A:L,11,0),"")</f>
        <v>Vlastní auto</v>
      </c>
      <c r="J1324" s="16"/>
      <c r="K1324" s="19"/>
    </row>
    <row r="1325" spans="1:11" x14ac:dyDescent="0.25">
      <c r="A13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25" s="22">
        <v>45932</v>
      </c>
      <c r="C1325" s="16" t="s">
        <v>28</v>
      </c>
      <c r="D1325" s="16" t="s">
        <v>788</v>
      </c>
      <c r="E1325" s="17">
        <f>IFERROR(VLOOKUP(Tabulka2[[#This Row],[Pracovník]],DATA!A:L,5,0),"")</f>
        <v>5198</v>
      </c>
      <c r="F1325" s="12" t="s">
        <v>640</v>
      </c>
      <c r="G1325" s="16"/>
      <c r="H1325" s="18"/>
      <c r="I1325" s="27" t="str">
        <f>IFERROR(VLOOKUP(Tabulka2[[#This Row],[Pracovník]],DATA!A:L,11,0),"")</f>
        <v>Vlastní auto</v>
      </c>
      <c r="J1325" s="16"/>
      <c r="K1325" s="19"/>
    </row>
    <row r="1326" spans="1:11" x14ac:dyDescent="0.25">
      <c r="A13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26" s="22">
        <v>45932</v>
      </c>
      <c r="C1326" s="16" t="s">
        <v>28</v>
      </c>
      <c r="D1326" s="16" t="s">
        <v>789</v>
      </c>
      <c r="E1326" s="17">
        <f>IFERROR(VLOOKUP(Tabulka2[[#This Row],[Pracovník]],DATA!A:L,5,0),"")</f>
        <v>6368</v>
      </c>
      <c r="F1326" s="12" t="s">
        <v>640</v>
      </c>
      <c r="G1326" s="16"/>
      <c r="H1326" s="18"/>
      <c r="I1326" s="27" t="str">
        <f>IFERROR(VLOOKUP(Tabulka2[[#This Row],[Pracovník]],DATA!A:L,11,0),"")</f>
        <v>Vlastní auto</v>
      </c>
      <c r="J1326" s="16"/>
      <c r="K1326" s="19"/>
    </row>
    <row r="1327" spans="1:11" x14ac:dyDescent="0.25">
      <c r="A13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27" s="22">
        <v>45932</v>
      </c>
      <c r="C1327" s="16" t="s">
        <v>28</v>
      </c>
      <c r="D1327" s="16" t="s">
        <v>786</v>
      </c>
      <c r="E1327" s="17">
        <f>IFERROR(VLOOKUP(Tabulka2[[#This Row],[Pracovník]],DATA!A:L,5,0),"")</f>
        <v>5595</v>
      </c>
      <c r="F1327" s="12" t="s">
        <v>655</v>
      </c>
      <c r="G1327" s="16"/>
      <c r="H1327" s="18"/>
      <c r="I1327" s="27" t="str">
        <f>IFERROR(VLOOKUP(Tabulka2[[#This Row],[Pracovník]],DATA!A:L,11,0),"")</f>
        <v>DSC 2</v>
      </c>
      <c r="J1327" s="16"/>
      <c r="K1327" s="19"/>
    </row>
    <row r="1328" spans="1:11" x14ac:dyDescent="0.25">
      <c r="A13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28" s="22">
        <v>45932</v>
      </c>
      <c r="C1328" s="16" t="s">
        <v>28</v>
      </c>
      <c r="D1328" s="16" t="s">
        <v>795</v>
      </c>
      <c r="E1328" s="17">
        <f>IFERROR(VLOOKUP(Tabulka2[[#This Row],[Pracovník]],DATA!A:L,5,0),"")</f>
        <v>4960</v>
      </c>
      <c r="F1328" s="12" t="s">
        <v>640</v>
      </c>
      <c r="G1328" s="16"/>
      <c r="H1328" s="18"/>
      <c r="I1328" s="27" t="str">
        <f>IFERROR(VLOOKUP(Tabulka2[[#This Row],[Pracovník]],DATA!A:L,11,0),"")</f>
        <v>DSC 1</v>
      </c>
      <c r="J1328" s="16"/>
      <c r="K1328" s="19"/>
    </row>
    <row r="1329" spans="1:11" x14ac:dyDescent="0.25">
      <c r="A13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29" s="22">
        <v>45932</v>
      </c>
      <c r="C1329" s="16" t="s">
        <v>28</v>
      </c>
      <c r="D1329" s="16" t="s">
        <v>790</v>
      </c>
      <c r="E1329" s="17">
        <f>IFERROR(VLOOKUP(Tabulka2[[#This Row],[Pracovník]],DATA!A:L,5,0),"")</f>
        <v>5125</v>
      </c>
      <c r="F1329" s="12" t="s">
        <v>654</v>
      </c>
      <c r="G1329" s="16"/>
      <c r="H1329" s="18"/>
      <c r="I1329" s="27" t="str">
        <f>IFERROR(VLOOKUP(Tabulka2[[#This Row],[Pracovník]],DATA!A:L,11,0),"")</f>
        <v>Vlastní auto</v>
      </c>
      <c r="J1329" s="16"/>
      <c r="K1329" s="19"/>
    </row>
    <row r="1330" spans="1:11" x14ac:dyDescent="0.25">
      <c r="A13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30" s="22">
        <v>45932</v>
      </c>
      <c r="C1330" s="16" t="s">
        <v>28</v>
      </c>
      <c r="D1330" s="16" t="s">
        <v>791</v>
      </c>
      <c r="E1330" s="17">
        <f>IFERROR(VLOOKUP(Tabulka2[[#This Row],[Pracovník]],DATA!A:L,5,0),"")</f>
        <v>6127</v>
      </c>
      <c r="F1330" s="12" t="s">
        <v>654</v>
      </c>
      <c r="G1330" s="16"/>
      <c r="H1330" s="18"/>
      <c r="I1330" s="27" t="str">
        <f>IFERROR(VLOOKUP(Tabulka2[[#This Row],[Pracovník]],DATA!A:L,11,0),"")</f>
        <v>DSC 2</v>
      </c>
      <c r="J1330" s="16"/>
      <c r="K1330" s="19"/>
    </row>
    <row r="1331" spans="1:11" x14ac:dyDescent="0.25">
      <c r="A13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31" s="22">
        <v>45932</v>
      </c>
      <c r="C1331" s="16" t="s">
        <v>28</v>
      </c>
      <c r="D1331" s="16" t="s">
        <v>796</v>
      </c>
      <c r="E1331" s="17">
        <f>IFERROR(VLOOKUP(Tabulka2[[#This Row],[Pracovník]],DATA!A:L,5,0),"")</f>
        <v>5583</v>
      </c>
      <c r="F1331" s="12" t="s">
        <v>640</v>
      </c>
      <c r="G1331" s="16"/>
      <c r="H1331" s="18"/>
      <c r="I1331" s="27" t="str">
        <f>IFERROR(VLOOKUP(Tabulka2[[#This Row],[Pracovník]],DATA!A:L,11,0),"")</f>
        <v>DSC 2</v>
      </c>
      <c r="J1331" s="16"/>
      <c r="K1331" s="19"/>
    </row>
    <row r="1332" spans="1:11" x14ac:dyDescent="0.25">
      <c r="A13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32" s="22">
        <v>45932</v>
      </c>
      <c r="C1332" s="16" t="s">
        <v>28</v>
      </c>
      <c r="D1332" s="16" t="s">
        <v>644</v>
      </c>
      <c r="E1332" s="17">
        <f>IFERROR(VLOOKUP(Tabulka2[[#This Row],[Pracovník]],DATA!A:L,5,0),"")</f>
        <v>123</v>
      </c>
      <c r="F1332" s="12" t="s">
        <v>654</v>
      </c>
      <c r="G1332" s="16"/>
      <c r="H1332" s="18"/>
      <c r="I1332" s="27" t="str">
        <f>IFERROR(VLOOKUP(Tabulka2[[#This Row],[Pracovník]],DATA!A:L,11,0),"")</f>
        <v>DSC 1</v>
      </c>
      <c r="J1332" s="16"/>
      <c r="K1332" s="19"/>
    </row>
    <row r="1333" spans="1:11" x14ac:dyDescent="0.25">
      <c r="A13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33" s="22">
        <v>45932</v>
      </c>
      <c r="C1333" s="16" t="s">
        <v>28</v>
      </c>
      <c r="D1333" s="16" t="s">
        <v>797</v>
      </c>
      <c r="E1333" s="17">
        <f>IFERROR(VLOOKUP(Tabulka2[[#This Row],[Pracovník]],DATA!A:L,5,0),"")</f>
        <v>5525</v>
      </c>
      <c r="F1333" s="12" t="s">
        <v>654</v>
      </c>
      <c r="G1333" s="16"/>
      <c r="H1333" s="18"/>
      <c r="I1333" s="27" t="str">
        <f>IFERROR(VLOOKUP(Tabulka2[[#This Row],[Pracovník]],DATA!A:L,11,0),"")</f>
        <v>Vlastní auto</v>
      </c>
      <c r="J1333" s="16"/>
      <c r="K1333" s="19"/>
    </row>
    <row r="1334" spans="1:11" x14ac:dyDescent="0.25">
      <c r="A13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34" s="22">
        <v>45932</v>
      </c>
      <c r="C1334" s="16" t="s">
        <v>28</v>
      </c>
      <c r="D1334" s="16" t="s">
        <v>798</v>
      </c>
      <c r="E1334" s="17">
        <f>IFERROR(VLOOKUP(Tabulka2[[#This Row],[Pracovník]],DATA!A:L,5,0),"")</f>
        <v>126</v>
      </c>
      <c r="F1334" s="12" t="s">
        <v>655</v>
      </c>
      <c r="G1334" s="16"/>
      <c r="H1334" s="18"/>
      <c r="I1334" s="27" t="str">
        <f>IFERROR(VLOOKUP(Tabulka2[[#This Row],[Pracovník]],DATA!A:L,11,0),"")</f>
        <v>Vlastní auto</v>
      </c>
      <c r="J1334" s="16"/>
      <c r="K1334" s="19"/>
    </row>
    <row r="1335" spans="1:11" x14ac:dyDescent="0.25">
      <c r="A13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35" s="22">
        <v>45932</v>
      </c>
      <c r="C1335" s="16" t="s">
        <v>28</v>
      </c>
      <c r="D1335" s="16" t="s">
        <v>799</v>
      </c>
      <c r="E1335" s="17">
        <f>IFERROR(VLOOKUP(Tabulka2[[#This Row],[Pracovník]],DATA!A:L,5,0),"")</f>
        <v>127</v>
      </c>
      <c r="F1335" s="12" t="s">
        <v>655</v>
      </c>
      <c r="G1335" s="16"/>
      <c r="H1335" s="18"/>
      <c r="I1335" s="27" t="str">
        <f>IFERROR(VLOOKUP(Tabulka2[[#This Row],[Pracovník]],DATA!A:L,11,0),"")</f>
        <v>DSC 2</v>
      </c>
      <c r="J1335" s="16"/>
      <c r="K1335" s="19"/>
    </row>
    <row r="1336" spans="1:11" x14ac:dyDescent="0.25">
      <c r="A13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36" s="22">
        <v>45932</v>
      </c>
      <c r="C1336" s="16" t="s">
        <v>28</v>
      </c>
      <c r="D1336" s="16" t="s">
        <v>800</v>
      </c>
      <c r="E1336" s="17">
        <f>IFERROR(VLOOKUP(Tabulka2[[#This Row],[Pracovník]],DATA!A:L,5,0),"")</f>
        <v>4847</v>
      </c>
      <c r="F1336" s="12" t="s">
        <v>655</v>
      </c>
      <c r="G1336" s="16"/>
      <c r="H1336" s="18"/>
      <c r="I1336" s="27" t="str">
        <f>IFERROR(VLOOKUP(Tabulka2[[#This Row],[Pracovník]],DATA!A:L,11,0),"")</f>
        <v>Vlastní auto</v>
      </c>
      <c r="J1336" s="16"/>
      <c r="K1336" s="19"/>
    </row>
    <row r="1337" spans="1:11" x14ac:dyDescent="0.25">
      <c r="A13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37" s="22">
        <v>45932</v>
      </c>
      <c r="C1337" s="16" t="s">
        <v>28</v>
      </c>
      <c r="D1337" s="16" t="s">
        <v>801</v>
      </c>
      <c r="E1337" s="17">
        <f>IFERROR(VLOOKUP(Tabulka2[[#This Row],[Pracovník]],DATA!A:L,5,0),"")</f>
        <v>750</v>
      </c>
      <c r="F1337" s="12" t="s">
        <v>653</v>
      </c>
      <c r="G1337" s="16" t="s">
        <v>659</v>
      </c>
      <c r="H1337" s="18"/>
      <c r="I1337" s="27" t="str">
        <f>IFERROR(VLOOKUP(Tabulka2[[#This Row],[Pracovník]],DATA!A:L,11,0),"")</f>
        <v>Vlastní auto</v>
      </c>
      <c r="J1337" s="16"/>
      <c r="K1337" s="19"/>
    </row>
    <row r="1338" spans="1:11" x14ac:dyDescent="0.25">
      <c r="A13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38" s="22">
        <v>45932</v>
      </c>
      <c r="C1338" s="16" t="s">
        <v>28</v>
      </c>
      <c r="D1338" s="16" t="s">
        <v>802</v>
      </c>
      <c r="E1338" s="17">
        <f>IFERROR(VLOOKUP(Tabulka2[[#This Row],[Pracovník]],DATA!A:L,5,0),"")</f>
        <v>4663</v>
      </c>
      <c r="F1338" s="12" t="s">
        <v>654</v>
      </c>
      <c r="G1338" s="16"/>
      <c r="H1338" s="18"/>
      <c r="I1338" s="27" t="str">
        <f>IFERROR(VLOOKUP(Tabulka2[[#This Row],[Pracovník]],DATA!A:L,11,0),"")</f>
        <v>DSC 2</v>
      </c>
      <c r="J1338" s="16"/>
      <c r="K1338" s="19"/>
    </row>
    <row r="1339" spans="1:11" x14ac:dyDescent="0.25">
      <c r="A13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39" s="22">
        <v>45932</v>
      </c>
      <c r="C1339" s="16" t="s">
        <v>28</v>
      </c>
      <c r="D1339" s="16" t="s">
        <v>803</v>
      </c>
      <c r="E1339" s="17">
        <f>IFERROR(VLOOKUP(Tabulka2[[#This Row],[Pracovník]],DATA!A:L,5,0),"")</f>
        <v>131</v>
      </c>
      <c r="F1339" s="12" t="s">
        <v>655</v>
      </c>
      <c r="G1339" s="16"/>
      <c r="H1339" s="18"/>
      <c r="I1339" s="27" t="str">
        <f>IFERROR(VLOOKUP(Tabulka2[[#This Row],[Pracovník]],DATA!A:L,11,0),"")</f>
        <v>DSC 2</v>
      </c>
      <c r="J1339" s="16"/>
      <c r="K1339" s="19"/>
    </row>
    <row r="1340" spans="1:11" x14ac:dyDescent="0.25">
      <c r="A13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40" s="22">
        <v>45932</v>
      </c>
      <c r="C1340" s="16" t="s">
        <v>28</v>
      </c>
      <c r="D1340" s="16" t="s">
        <v>643</v>
      </c>
      <c r="E1340" s="17">
        <f>IFERROR(VLOOKUP(Tabulka2[[#This Row],[Pracovník]],DATA!A:L,5,0),"")</f>
        <v>5620</v>
      </c>
      <c r="F1340" s="12" t="s">
        <v>654</v>
      </c>
      <c r="G1340" s="16"/>
      <c r="H1340" s="18"/>
      <c r="I1340" s="27" t="str">
        <f>IFERROR(VLOOKUP(Tabulka2[[#This Row],[Pracovník]],DATA!A:L,11,0),"")</f>
        <v>Vlastní auto</v>
      </c>
      <c r="J1340" s="16"/>
      <c r="K1340" s="19"/>
    </row>
    <row r="1341" spans="1:11" x14ac:dyDescent="0.25">
      <c r="A13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41" s="22">
        <v>45932</v>
      </c>
      <c r="C1341" s="16" t="s">
        <v>28</v>
      </c>
      <c r="D1341" s="16" t="s">
        <v>804</v>
      </c>
      <c r="E1341" s="17">
        <f>IFERROR(VLOOKUP(Tabulka2[[#This Row],[Pracovník]],DATA!A:L,5,0),"")</f>
        <v>4868</v>
      </c>
      <c r="F1341" s="12" t="s">
        <v>655</v>
      </c>
      <c r="G1341" s="16"/>
      <c r="H1341" s="18"/>
      <c r="I1341" s="27" t="str">
        <f>IFERROR(VLOOKUP(Tabulka2[[#This Row],[Pracovník]],DATA!A:L,11,0),"")</f>
        <v>Vlastní auto</v>
      </c>
      <c r="J1341" s="16"/>
      <c r="K1341" s="19"/>
    </row>
    <row r="1342" spans="1:11" x14ac:dyDescent="0.25">
      <c r="A13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42" s="22">
        <v>45932</v>
      </c>
      <c r="C1342" s="16" t="s">
        <v>28</v>
      </c>
      <c r="D1342" s="16" t="s">
        <v>805</v>
      </c>
      <c r="E1342" s="17">
        <f>IFERROR(VLOOKUP(Tabulka2[[#This Row],[Pracovník]],DATA!A:L,5,0),"")</f>
        <v>5026</v>
      </c>
      <c r="F1342" s="12" t="s">
        <v>655</v>
      </c>
      <c r="G1342" s="16"/>
      <c r="H1342" s="18"/>
      <c r="I1342" s="27" t="str">
        <f>IFERROR(VLOOKUP(Tabulka2[[#This Row],[Pracovník]],DATA!A:L,11,0),"")</f>
        <v>Vlastní auto</v>
      </c>
      <c r="J1342" s="16"/>
      <c r="K1342" s="19"/>
    </row>
    <row r="1343" spans="1:11" x14ac:dyDescent="0.25">
      <c r="A13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43" s="22">
        <v>45932</v>
      </c>
      <c r="C1343" s="16" t="s">
        <v>28</v>
      </c>
      <c r="D1343" s="16" t="s">
        <v>806</v>
      </c>
      <c r="E1343" s="17">
        <f>IFERROR(VLOOKUP(Tabulka2[[#This Row],[Pracovník]],DATA!A:L,5,0),"")</f>
        <v>6424</v>
      </c>
      <c r="F1343" s="12" t="s">
        <v>640</v>
      </c>
      <c r="G1343" s="16"/>
      <c r="H1343" s="18"/>
      <c r="I1343" s="27" t="str">
        <f>IFERROR(VLOOKUP(Tabulka2[[#This Row],[Pracovník]],DATA!A:L,11,0),"")</f>
        <v>DSC 1</v>
      </c>
      <c r="J1343" s="16"/>
      <c r="K1343" s="19"/>
    </row>
    <row r="1344" spans="1:11" x14ac:dyDescent="0.25">
      <c r="A13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44" s="22">
        <v>45932</v>
      </c>
      <c r="C1344" s="16" t="s">
        <v>28</v>
      </c>
      <c r="D1344" s="16" t="s">
        <v>807</v>
      </c>
      <c r="E1344" s="17">
        <f>IFERROR(VLOOKUP(Tabulka2[[#This Row],[Pracovník]],DATA!A:L,5,0),"")</f>
        <v>5004</v>
      </c>
      <c r="F1344" s="12" t="s">
        <v>655</v>
      </c>
      <c r="G1344" s="16"/>
      <c r="H1344" s="18"/>
      <c r="I1344" s="27" t="str">
        <f>IFERROR(VLOOKUP(Tabulka2[[#This Row],[Pracovník]],DATA!A:L,11,0),"")</f>
        <v>Vlastní auto</v>
      </c>
      <c r="J1344" s="16"/>
      <c r="K1344" s="19"/>
    </row>
    <row r="1345" spans="1:11" x14ac:dyDescent="0.25">
      <c r="A13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45" s="22">
        <v>45932</v>
      </c>
      <c r="C1345" s="16" t="s">
        <v>28</v>
      </c>
      <c r="D1345" s="16" t="s">
        <v>808</v>
      </c>
      <c r="E1345" s="17">
        <f>IFERROR(VLOOKUP(Tabulka2[[#This Row],[Pracovník]],DATA!A:L,5,0),"")</f>
        <v>136</v>
      </c>
      <c r="F1345" s="12" t="s">
        <v>655</v>
      </c>
      <c r="G1345" s="16"/>
      <c r="H1345" s="18"/>
      <c r="I1345" s="27" t="str">
        <f>IFERROR(VLOOKUP(Tabulka2[[#This Row],[Pracovník]],DATA!A:L,11,0),"")</f>
        <v>DSC 2</v>
      </c>
      <c r="J1345" s="16"/>
      <c r="K1345" s="19"/>
    </row>
    <row r="1346" spans="1:11" x14ac:dyDescent="0.25">
      <c r="A13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46" s="22">
        <v>45932</v>
      </c>
      <c r="C1346" s="16" t="s">
        <v>28</v>
      </c>
      <c r="D1346" s="16" t="s">
        <v>809</v>
      </c>
      <c r="E1346" s="17">
        <f>IFERROR(VLOOKUP(Tabulka2[[#This Row],[Pracovník]],DATA!A:L,5,0),"")</f>
        <v>19</v>
      </c>
      <c r="F1346" s="12" t="s">
        <v>655</v>
      </c>
      <c r="G1346" s="16"/>
      <c r="H1346" s="18"/>
      <c r="I1346" s="27" t="str">
        <f>IFERROR(VLOOKUP(Tabulka2[[#This Row],[Pracovník]],DATA!A:L,11,0),"")</f>
        <v>Vlastní auto</v>
      </c>
      <c r="J1346" s="16"/>
      <c r="K1346" s="19"/>
    </row>
    <row r="1347" spans="1:11" x14ac:dyDescent="0.25">
      <c r="A13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47" s="22">
        <v>45932</v>
      </c>
      <c r="C1347" s="16" t="s">
        <v>28</v>
      </c>
      <c r="D1347" s="16" t="s">
        <v>810</v>
      </c>
      <c r="E1347" s="17">
        <f>IFERROR(VLOOKUP(Tabulka2[[#This Row],[Pracovník]],DATA!A:L,5,0),"")</f>
        <v>4791</v>
      </c>
      <c r="F1347" s="12" t="s">
        <v>655</v>
      </c>
      <c r="G1347" s="16"/>
      <c r="H1347" s="18"/>
      <c r="I1347" s="27" t="str">
        <f>IFERROR(VLOOKUP(Tabulka2[[#This Row],[Pracovník]],DATA!A:L,11,0),"")</f>
        <v>Vlastní auto</v>
      </c>
      <c r="J1347" s="16"/>
      <c r="K1347" s="19"/>
    </row>
    <row r="1348" spans="1:11" x14ac:dyDescent="0.25">
      <c r="A13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48" s="22">
        <v>45932</v>
      </c>
      <c r="C1348" s="16" t="s">
        <v>28</v>
      </c>
      <c r="D1348" s="16" t="s">
        <v>811</v>
      </c>
      <c r="E1348" s="17">
        <f>IFERROR(VLOOKUP(Tabulka2[[#This Row],[Pracovník]],DATA!A:L,5,0),"")</f>
        <v>5121</v>
      </c>
      <c r="F1348" s="12" t="s">
        <v>654</v>
      </c>
      <c r="G1348" s="16"/>
      <c r="H1348" s="18"/>
      <c r="I1348" s="27" t="str">
        <f>IFERROR(VLOOKUP(Tabulka2[[#This Row],[Pracovník]],DATA!A:L,11,0),"")</f>
        <v>DSC 2</v>
      </c>
      <c r="J1348" s="16"/>
      <c r="K1348" s="19"/>
    </row>
    <row r="1349" spans="1:11" x14ac:dyDescent="0.25">
      <c r="A13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49" s="22">
        <v>45932</v>
      </c>
      <c r="C1349" s="16" t="s">
        <v>28</v>
      </c>
      <c r="D1349" s="16" t="s">
        <v>825</v>
      </c>
      <c r="E1349" s="17">
        <f>IFERROR(VLOOKUP(Tabulka2[[#This Row],[Pracovník]],DATA!A:L,5,0),"")</f>
        <v>6193</v>
      </c>
      <c r="F1349" s="12" t="s">
        <v>654</v>
      </c>
      <c r="G1349" s="16"/>
      <c r="H1349" s="18"/>
      <c r="I1349" s="27" t="str">
        <f>IFERROR(VLOOKUP(Tabulka2[[#This Row],[Pracovník]],DATA!A:L,11,0),"")</f>
        <v>DSC 2</v>
      </c>
      <c r="J1349" s="16"/>
      <c r="K1349" s="19"/>
    </row>
    <row r="1350" spans="1:11" x14ac:dyDescent="0.25">
      <c r="A13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50" s="22">
        <v>45932</v>
      </c>
      <c r="C1350" s="16" t="s">
        <v>28</v>
      </c>
      <c r="D1350" s="16" t="s">
        <v>812</v>
      </c>
      <c r="E1350" s="17">
        <f>IFERROR(VLOOKUP(Tabulka2[[#This Row],[Pracovník]],DATA!A:L,5,0),"")</f>
        <v>146</v>
      </c>
      <c r="F1350" s="12" t="s">
        <v>655</v>
      </c>
      <c r="G1350" s="16"/>
      <c r="H1350" s="18"/>
      <c r="I1350" s="27" t="str">
        <f>IFERROR(VLOOKUP(Tabulka2[[#This Row],[Pracovník]],DATA!A:L,11,0),"")</f>
        <v>DSC 2</v>
      </c>
      <c r="J1350" s="16"/>
      <c r="K1350" s="19"/>
    </row>
    <row r="1351" spans="1:11" x14ac:dyDescent="0.25">
      <c r="A13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51" s="22">
        <v>45932</v>
      </c>
      <c r="C1351" s="16" t="s">
        <v>28</v>
      </c>
      <c r="D1351" s="16" t="s">
        <v>814</v>
      </c>
      <c r="E1351" s="17">
        <f>IFERROR(VLOOKUP(Tabulka2[[#This Row],[Pracovník]],DATA!A:L,5,0),"")</f>
        <v>4745</v>
      </c>
      <c r="F1351" s="12" t="s">
        <v>655</v>
      </c>
      <c r="G1351" s="16"/>
      <c r="H1351" s="18"/>
      <c r="I1351" s="27" t="str">
        <f>IFERROR(VLOOKUP(Tabulka2[[#This Row],[Pracovník]],DATA!A:L,11,0),"")</f>
        <v>Vlastní auto</v>
      </c>
      <c r="J1351" s="16"/>
      <c r="K1351" s="19"/>
    </row>
    <row r="1352" spans="1:11" x14ac:dyDescent="0.25">
      <c r="A13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52" s="22">
        <v>45932</v>
      </c>
      <c r="C1352" s="16" t="s">
        <v>28</v>
      </c>
      <c r="D1352" s="16" t="s">
        <v>816</v>
      </c>
      <c r="E1352" s="17">
        <f>IFERROR(VLOOKUP(Tabulka2[[#This Row],[Pracovník]],DATA!A:L,5,0),"")</f>
        <v>5209</v>
      </c>
      <c r="F1352" s="12" t="s">
        <v>654</v>
      </c>
      <c r="G1352" s="16"/>
      <c r="H1352" s="18"/>
      <c r="I1352" s="27" t="str">
        <f>IFERROR(VLOOKUP(Tabulka2[[#This Row],[Pracovník]],DATA!A:L,11,0),"")</f>
        <v>Vlastní auto</v>
      </c>
      <c r="J1352" s="16"/>
      <c r="K1352" s="19"/>
    </row>
    <row r="1353" spans="1:11" x14ac:dyDescent="0.25">
      <c r="A13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53" s="22">
        <v>45932</v>
      </c>
      <c r="C1353" s="16" t="s">
        <v>28</v>
      </c>
      <c r="D1353" s="16" t="s">
        <v>815</v>
      </c>
      <c r="E1353" s="17">
        <f>IFERROR(VLOOKUP(Tabulka2[[#This Row],[Pracovník]],DATA!A:L,5,0),"")</f>
        <v>4790</v>
      </c>
      <c r="F1353" s="12" t="s">
        <v>655</v>
      </c>
      <c r="G1353" s="16"/>
      <c r="H1353" s="18"/>
      <c r="I1353" s="27" t="str">
        <f>IFERROR(VLOOKUP(Tabulka2[[#This Row],[Pracovník]],DATA!A:L,11,0),"")</f>
        <v>DSC 2</v>
      </c>
      <c r="J1353" s="16"/>
      <c r="K1353" s="19"/>
    </row>
    <row r="1354" spans="1:11" x14ac:dyDescent="0.25">
      <c r="A13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54" s="22">
        <v>45932</v>
      </c>
      <c r="C1354" s="16" t="s">
        <v>28</v>
      </c>
      <c r="D1354" s="16" t="s">
        <v>817</v>
      </c>
      <c r="E1354" s="17">
        <f>IFERROR(VLOOKUP(Tabulka2[[#This Row],[Pracovník]],DATA!A:L,5,0),"")</f>
        <v>4727</v>
      </c>
      <c r="F1354" s="12" t="s">
        <v>640</v>
      </c>
      <c r="G1354" s="16"/>
      <c r="H1354" s="18"/>
      <c r="I1354" s="27" t="str">
        <f>IFERROR(VLOOKUP(Tabulka2[[#This Row],[Pracovník]],DATA!A:L,11,0),"")</f>
        <v>DSC 1</v>
      </c>
      <c r="J1354" s="16"/>
      <c r="K1354" s="19"/>
    </row>
    <row r="1355" spans="1:11" x14ac:dyDescent="0.25">
      <c r="A13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55" s="22">
        <v>45932</v>
      </c>
      <c r="C1355" s="16" t="s">
        <v>28</v>
      </c>
      <c r="D1355" s="16" t="s">
        <v>818</v>
      </c>
      <c r="E1355" s="17">
        <f>IFERROR(VLOOKUP(Tabulka2[[#This Row],[Pracovník]],DATA!A:L,5,0),"")</f>
        <v>6488</v>
      </c>
      <c r="F1355" s="12" t="s">
        <v>654</v>
      </c>
      <c r="G1355" s="16"/>
      <c r="H1355" s="18"/>
      <c r="I1355" s="27" t="str">
        <f>IFERROR(VLOOKUP(Tabulka2[[#This Row],[Pracovník]],DATA!A:L,11,0),"")</f>
        <v>DSC 2</v>
      </c>
      <c r="J1355" s="16"/>
      <c r="K1355" s="19"/>
    </row>
    <row r="1356" spans="1:11" x14ac:dyDescent="0.25">
      <c r="A13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56" s="22">
        <v>45932</v>
      </c>
      <c r="C1356" s="16" t="s">
        <v>28</v>
      </c>
      <c r="D1356" s="16" t="s">
        <v>820</v>
      </c>
      <c r="E1356" s="17">
        <f>IFERROR(VLOOKUP(Tabulka2[[#This Row],[Pracovník]],DATA!A:L,5,0),"")</f>
        <v>5604</v>
      </c>
      <c r="F1356" s="12" t="s">
        <v>654</v>
      </c>
      <c r="G1356" s="16"/>
      <c r="H1356" s="18"/>
      <c r="I1356" s="27" t="str">
        <f>IFERROR(VLOOKUP(Tabulka2[[#This Row],[Pracovník]],DATA!A:L,11,0),"")</f>
        <v>Vlastní auto</v>
      </c>
      <c r="J1356" s="16"/>
      <c r="K1356" s="19"/>
    </row>
    <row r="1357" spans="1:11" x14ac:dyDescent="0.25">
      <c r="A13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57" s="22">
        <v>45932</v>
      </c>
      <c r="C1357" s="16" t="s">
        <v>28</v>
      </c>
      <c r="D1357" s="16" t="s">
        <v>821</v>
      </c>
      <c r="E1357" s="17">
        <f>IFERROR(VLOOKUP(Tabulka2[[#This Row],[Pracovník]],DATA!A:L,5,0),"")</f>
        <v>5632</v>
      </c>
      <c r="F1357" s="12" t="s">
        <v>654</v>
      </c>
      <c r="G1357" s="16"/>
      <c r="H1357" s="18"/>
      <c r="I1357" s="27" t="str">
        <f>IFERROR(VLOOKUP(Tabulka2[[#This Row],[Pracovník]],DATA!A:L,11,0),"")</f>
        <v>DSC 1</v>
      </c>
      <c r="J1357" s="16"/>
      <c r="K1357" s="19"/>
    </row>
    <row r="1358" spans="1:11" x14ac:dyDescent="0.25">
      <c r="A13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58" s="22">
        <v>45932</v>
      </c>
      <c r="C1358" s="16" t="s">
        <v>28</v>
      </c>
      <c r="D1358" s="16" t="s">
        <v>822</v>
      </c>
      <c r="E1358" s="17">
        <f>IFERROR(VLOOKUP(Tabulka2[[#This Row],[Pracovník]],DATA!A:L,5,0),"")</f>
        <v>5980</v>
      </c>
      <c r="F1358" s="12" t="s">
        <v>655</v>
      </c>
      <c r="G1358" s="16"/>
      <c r="H1358" s="18"/>
      <c r="I1358" s="27" t="str">
        <f>IFERROR(VLOOKUP(Tabulka2[[#This Row],[Pracovník]],DATA!A:L,11,0),"")</f>
        <v>DSC 2</v>
      </c>
      <c r="J1358" s="16"/>
      <c r="K1358" s="19"/>
    </row>
    <row r="1359" spans="1:11" x14ac:dyDescent="0.25">
      <c r="A13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59" s="22">
        <v>45932</v>
      </c>
      <c r="C1359" s="16" t="s">
        <v>28</v>
      </c>
      <c r="D1359" s="16" t="s">
        <v>823</v>
      </c>
      <c r="E1359" s="17">
        <f>IFERROR(VLOOKUP(Tabulka2[[#This Row],[Pracovník]],DATA!A:L,5,0),"")</f>
        <v>5481</v>
      </c>
      <c r="F1359" s="12" t="s">
        <v>655</v>
      </c>
      <c r="G1359" s="16"/>
      <c r="H1359" s="18"/>
      <c r="I1359" s="27" t="str">
        <f>IFERROR(VLOOKUP(Tabulka2[[#This Row],[Pracovník]],DATA!A:L,11,0),"")</f>
        <v>DSC 2</v>
      </c>
      <c r="J1359" s="16"/>
      <c r="K1359" s="19"/>
    </row>
    <row r="1360" spans="1:11" x14ac:dyDescent="0.25">
      <c r="A13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60" s="22">
        <v>45932</v>
      </c>
      <c r="C1360" s="16" t="s">
        <v>28</v>
      </c>
      <c r="D1360" s="16" t="s">
        <v>824</v>
      </c>
      <c r="E1360" s="17">
        <f>IFERROR(VLOOKUP(Tabulka2[[#This Row],[Pracovník]],DATA!A:L,5,0),"")</f>
        <v>150</v>
      </c>
      <c r="F1360" s="12" t="s">
        <v>653</v>
      </c>
      <c r="G1360" s="16" t="s">
        <v>657</v>
      </c>
      <c r="H1360" s="18"/>
      <c r="I1360" s="27" t="str">
        <f>IFERROR(VLOOKUP(Tabulka2[[#This Row],[Pracovník]],DATA!A:L,11,0),"")</f>
        <v>DSC 1</v>
      </c>
      <c r="J1360" s="16"/>
      <c r="K1360" s="19"/>
    </row>
    <row r="1361" spans="1:11" x14ac:dyDescent="0.25">
      <c r="A13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61" s="22">
        <v>45932</v>
      </c>
      <c r="C1361" s="16" t="s">
        <v>28</v>
      </c>
      <c r="D1361" s="16" t="s">
        <v>826</v>
      </c>
      <c r="E1361" s="17">
        <f>IFERROR(VLOOKUP(Tabulka2[[#This Row],[Pracovník]],DATA!A:L,5,0),"")</f>
        <v>5120</v>
      </c>
      <c r="F1361" s="12" t="s">
        <v>654</v>
      </c>
      <c r="G1361" s="16"/>
      <c r="H1361" s="18"/>
      <c r="I1361" s="27" t="str">
        <f>IFERROR(VLOOKUP(Tabulka2[[#This Row],[Pracovník]],DATA!A:L,11,0),"")</f>
        <v>Vlastní auto</v>
      </c>
      <c r="J1361" s="16"/>
      <c r="K1361" s="19"/>
    </row>
    <row r="1362" spans="1:11" x14ac:dyDescent="0.25">
      <c r="A13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62" s="22">
        <v>45932</v>
      </c>
      <c r="C1362" s="16" t="s">
        <v>28</v>
      </c>
      <c r="D1362" s="16" t="s">
        <v>827</v>
      </c>
      <c r="E1362" s="17">
        <f>IFERROR(VLOOKUP(Tabulka2[[#This Row],[Pracovník]],DATA!A:L,5,0),"")</f>
        <v>4713</v>
      </c>
      <c r="F1362" s="12" t="s">
        <v>655</v>
      </c>
      <c r="G1362" s="16"/>
      <c r="H1362" s="18"/>
      <c r="I1362" s="27" t="str">
        <f>IFERROR(VLOOKUP(Tabulka2[[#This Row],[Pracovník]],DATA!A:L,11,0),"")</f>
        <v>DSC 1</v>
      </c>
      <c r="J1362" s="16"/>
      <c r="K1362" s="19"/>
    </row>
    <row r="1363" spans="1:11" x14ac:dyDescent="0.25">
      <c r="A13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63" s="22">
        <v>45932</v>
      </c>
      <c r="C1363" s="16" t="s">
        <v>28</v>
      </c>
      <c r="D1363" s="16" t="s">
        <v>828</v>
      </c>
      <c r="E1363" s="17">
        <f>IFERROR(VLOOKUP(Tabulka2[[#This Row],[Pracovník]],DATA!A:L,5,0),"")</f>
        <v>6318</v>
      </c>
      <c r="F1363" s="12" t="s">
        <v>654</v>
      </c>
      <c r="G1363" s="16"/>
      <c r="H1363" s="18"/>
      <c r="I1363" s="27" t="str">
        <f>IFERROR(VLOOKUP(Tabulka2[[#This Row],[Pracovník]],DATA!A:L,11,0),"")</f>
        <v>DSC 1</v>
      </c>
      <c r="J1363" s="16"/>
      <c r="K1363" s="19"/>
    </row>
    <row r="1364" spans="1:11" x14ac:dyDescent="0.25">
      <c r="A13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64" s="22">
        <v>45932</v>
      </c>
      <c r="C1364" s="16" t="s">
        <v>28</v>
      </c>
      <c r="D1364" s="16" t="s">
        <v>829</v>
      </c>
      <c r="E1364" s="17">
        <f>IFERROR(VLOOKUP(Tabulka2[[#This Row],[Pracovník]],DATA!A:L,5,0),"")</f>
        <v>5712</v>
      </c>
      <c r="F1364" s="12" t="s">
        <v>654</v>
      </c>
      <c r="G1364" s="16"/>
      <c r="H1364" s="18"/>
      <c r="I1364" s="27" t="str">
        <f>IFERROR(VLOOKUP(Tabulka2[[#This Row],[Pracovník]],DATA!A:L,11,0),"")</f>
        <v>Vlastní auto</v>
      </c>
      <c r="J1364" s="16"/>
      <c r="K1364" s="19"/>
    </row>
    <row r="1365" spans="1:11" x14ac:dyDescent="0.25">
      <c r="A13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65" s="22">
        <v>45932</v>
      </c>
      <c r="C1365" s="16" t="s">
        <v>28</v>
      </c>
      <c r="D1365" s="16" t="s">
        <v>830</v>
      </c>
      <c r="E1365" s="17">
        <f>IFERROR(VLOOKUP(Tabulka2[[#This Row],[Pracovník]],DATA!A:L,5,0),"")</f>
        <v>4744</v>
      </c>
      <c r="F1365" s="12" t="s">
        <v>640</v>
      </c>
      <c r="G1365" s="16"/>
      <c r="H1365" s="18"/>
      <c r="I1365" s="27" t="str">
        <f>IFERROR(VLOOKUP(Tabulka2[[#This Row],[Pracovník]],DATA!A:L,11,0),"")</f>
        <v>DSC 2</v>
      </c>
      <c r="J1365" s="16"/>
      <c r="K1365" s="19"/>
    </row>
    <row r="1366" spans="1:11" x14ac:dyDescent="0.25">
      <c r="A13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66" s="22">
        <v>45932</v>
      </c>
      <c r="C1366" s="16" t="s">
        <v>28</v>
      </c>
      <c r="D1366" s="16" t="s">
        <v>831</v>
      </c>
      <c r="E1366" s="17">
        <f>IFERROR(VLOOKUP(Tabulka2[[#This Row],[Pracovník]],DATA!A:L,5,0),"")</f>
        <v>155</v>
      </c>
      <c r="F1366" s="12" t="s">
        <v>640</v>
      </c>
      <c r="G1366" s="16"/>
      <c r="H1366" s="18"/>
      <c r="I1366" s="27" t="str">
        <f>IFERROR(VLOOKUP(Tabulka2[[#This Row],[Pracovník]],DATA!A:L,11,0),"")</f>
        <v>DSC 1</v>
      </c>
      <c r="J1366" s="16"/>
      <c r="K1366" s="19"/>
    </row>
    <row r="1367" spans="1:11" x14ac:dyDescent="0.25">
      <c r="A13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67" s="22">
        <v>45932</v>
      </c>
      <c r="C1367" s="16" t="s">
        <v>28</v>
      </c>
      <c r="D1367" s="16" t="s">
        <v>833</v>
      </c>
      <c r="E1367" s="17">
        <f>IFERROR(VLOOKUP(Tabulka2[[#This Row],[Pracovník]],DATA!A:L,5,0),"")</f>
        <v>6178</v>
      </c>
      <c r="F1367" s="12" t="s">
        <v>653</v>
      </c>
      <c r="G1367" s="16" t="s">
        <v>659</v>
      </c>
      <c r="H1367" s="18"/>
      <c r="I1367" s="27" t="str">
        <f>IFERROR(VLOOKUP(Tabulka2[[#This Row],[Pracovník]],DATA!A:L,11,0),"")</f>
        <v>DSC 2</v>
      </c>
      <c r="J1367" s="16"/>
      <c r="K1367" s="19" t="s">
        <v>1019</v>
      </c>
    </row>
    <row r="1368" spans="1:11" x14ac:dyDescent="0.25">
      <c r="A13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68" s="22">
        <v>45932</v>
      </c>
      <c r="C1368" s="16" t="s">
        <v>28</v>
      </c>
      <c r="D1368" s="16" t="s">
        <v>834</v>
      </c>
      <c r="E1368" s="17">
        <f>IFERROR(VLOOKUP(Tabulka2[[#This Row],[Pracovník]],DATA!A:L,5,0),"")</f>
        <v>6345</v>
      </c>
      <c r="F1368" s="12" t="s">
        <v>654</v>
      </c>
      <c r="G1368" s="16"/>
      <c r="H1368" s="18"/>
      <c r="I1368" s="27" t="str">
        <f>IFERROR(VLOOKUP(Tabulka2[[#This Row],[Pracovník]],DATA!A:L,11,0),"")</f>
        <v>DSC 1</v>
      </c>
      <c r="J1368" s="16"/>
      <c r="K1368" s="19"/>
    </row>
    <row r="1369" spans="1:11" x14ac:dyDescent="0.25">
      <c r="A13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69" s="22">
        <v>45932</v>
      </c>
      <c r="C1369" s="16" t="s">
        <v>28</v>
      </c>
      <c r="D1369" s="16" t="s">
        <v>835</v>
      </c>
      <c r="E1369" s="17">
        <f>IFERROR(VLOOKUP(Tabulka2[[#This Row],[Pracovník]],DATA!A:L,5,0),"")</f>
        <v>5601</v>
      </c>
      <c r="F1369" s="12" t="s">
        <v>640</v>
      </c>
      <c r="G1369" s="16"/>
      <c r="H1369" s="18"/>
      <c r="I1369" s="27" t="str">
        <f>IFERROR(VLOOKUP(Tabulka2[[#This Row],[Pracovník]],DATA!A:L,11,0),"")</f>
        <v>DSC 2</v>
      </c>
      <c r="J1369" s="16"/>
      <c r="K1369" s="19"/>
    </row>
    <row r="1370" spans="1:11" x14ac:dyDescent="0.25">
      <c r="A13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70" s="22">
        <v>45932</v>
      </c>
      <c r="C1370" s="16" t="s">
        <v>28</v>
      </c>
      <c r="D1370" s="16" t="s">
        <v>836</v>
      </c>
      <c r="E1370" s="17">
        <f>IFERROR(VLOOKUP(Tabulka2[[#This Row],[Pracovník]],DATA!A:L,5,0),"")</f>
        <v>5152</v>
      </c>
      <c r="F1370" s="12" t="s">
        <v>654</v>
      </c>
      <c r="G1370" s="16"/>
      <c r="H1370" s="18"/>
      <c r="I1370" s="27" t="str">
        <f>IFERROR(VLOOKUP(Tabulka2[[#This Row],[Pracovník]],DATA!A:L,11,0),"")</f>
        <v>Vlastní auto</v>
      </c>
      <c r="J1370" s="16"/>
      <c r="K1370" s="19"/>
    </row>
    <row r="1371" spans="1:11" x14ac:dyDescent="0.25">
      <c r="A13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71" s="22">
        <v>45932</v>
      </c>
      <c r="C1371" s="16" t="s">
        <v>28</v>
      </c>
      <c r="D1371" s="16" t="s">
        <v>837</v>
      </c>
      <c r="E1371" s="17">
        <f>IFERROR(VLOOKUP(Tabulka2[[#This Row],[Pracovník]],DATA!A:L,5,0),"")</f>
        <v>176</v>
      </c>
      <c r="F1371" s="12" t="s">
        <v>640</v>
      </c>
      <c r="G1371" s="16"/>
      <c r="H1371" s="18"/>
      <c r="I1371" s="27" t="str">
        <f>IFERROR(VLOOKUP(Tabulka2[[#This Row],[Pracovník]],DATA!A:L,11,0),"")</f>
        <v>Vlastní auto</v>
      </c>
      <c r="J1371" s="16"/>
      <c r="K1371" s="19"/>
    </row>
    <row r="1372" spans="1:11" x14ac:dyDescent="0.25">
      <c r="A13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72" s="22">
        <v>45932</v>
      </c>
      <c r="C1372" s="16" t="s">
        <v>28</v>
      </c>
      <c r="D1372" s="16" t="s">
        <v>839</v>
      </c>
      <c r="E1372" s="17">
        <f>IFERROR(VLOOKUP(Tabulka2[[#This Row],[Pracovník]],DATA!A:L,5,0),"")</f>
        <v>177</v>
      </c>
      <c r="F1372" s="12" t="s">
        <v>655</v>
      </c>
      <c r="G1372" s="16"/>
      <c r="H1372" s="18"/>
      <c r="I1372" s="27" t="str">
        <f>IFERROR(VLOOKUP(Tabulka2[[#This Row],[Pracovník]],DATA!A:L,11,0),"")</f>
        <v>DSC 2</v>
      </c>
      <c r="J1372" s="16"/>
      <c r="K1372" s="19"/>
    </row>
    <row r="1373" spans="1:11" x14ac:dyDescent="0.25">
      <c r="A13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73" s="22">
        <v>45932</v>
      </c>
      <c r="C1373" s="16" t="s">
        <v>28</v>
      </c>
      <c r="D1373" s="16" t="s">
        <v>840</v>
      </c>
      <c r="E1373" s="17">
        <f>IFERROR(VLOOKUP(Tabulka2[[#This Row],[Pracovník]],DATA!A:L,5,0),"")</f>
        <v>5555</v>
      </c>
      <c r="F1373" s="12" t="s">
        <v>655</v>
      </c>
      <c r="G1373" s="16"/>
      <c r="H1373" s="18"/>
      <c r="I1373" s="27" t="str">
        <f>IFERROR(VLOOKUP(Tabulka2[[#This Row],[Pracovník]],DATA!A:L,11,0),"")</f>
        <v>Vlastní auto</v>
      </c>
      <c r="J1373" s="16"/>
      <c r="K1373" s="19"/>
    </row>
    <row r="1374" spans="1:11" x14ac:dyDescent="0.25">
      <c r="A13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74" s="22">
        <v>45932</v>
      </c>
      <c r="C1374" s="16" t="s">
        <v>28</v>
      </c>
      <c r="D1374" s="16" t="s">
        <v>841</v>
      </c>
      <c r="E1374" s="17">
        <f>IFERROR(VLOOKUP(Tabulka2[[#This Row],[Pracovník]],DATA!A:L,5,0),"")</f>
        <v>4959</v>
      </c>
      <c r="F1374" s="12" t="s">
        <v>655</v>
      </c>
      <c r="G1374" s="16"/>
      <c r="H1374" s="18"/>
      <c r="I1374" s="27" t="str">
        <f>IFERROR(VLOOKUP(Tabulka2[[#This Row],[Pracovník]],DATA!A:L,11,0),"")</f>
        <v>Vlastní auto</v>
      </c>
      <c r="J1374" s="16"/>
      <c r="K1374" s="19"/>
    </row>
    <row r="1375" spans="1:11" x14ac:dyDescent="0.25">
      <c r="A13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75" s="22">
        <v>45932</v>
      </c>
      <c r="C1375" s="16" t="s">
        <v>28</v>
      </c>
      <c r="D1375" s="16" t="s">
        <v>843</v>
      </c>
      <c r="E1375" s="17">
        <f>IFERROR(VLOOKUP(Tabulka2[[#This Row],[Pracovník]],DATA!A:L,5,0),"")</f>
        <v>4919</v>
      </c>
      <c r="F1375" s="12" t="s">
        <v>654</v>
      </c>
      <c r="G1375" s="16"/>
      <c r="H1375" s="18"/>
      <c r="I1375" s="27" t="str">
        <f>IFERROR(VLOOKUP(Tabulka2[[#This Row],[Pracovník]],DATA!A:L,11,0),"")</f>
        <v>Vlastní auto</v>
      </c>
      <c r="J1375" s="16"/>
      <c r="K1375" s="19"/>
    </row>
    <row r="1376" spans="1:11" x14ac:dyDescent="0.25">
      <c r="A13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76" s="22">
        <v>45932</v>
      </c>
      <c r="C1376" s="16" t="s">
        <v>28</v>
      </c>
      <c r="D1376" s="16" t="s">
        <v>842</v>
      </c>
      <c r="E1376" s="17">
        <f>IFERROR(VLOOKUP(Tabulka2[[#This Row],[Pracovník]],DATA!A:L,5,0),"")</f>
        <v>4724</v>
      </c>
      <c r="F1376" s="12" t="s">
        <v>654</v>
      </c>
      <c r="G1376" s="16"/>
      <c r="H1376" s="18"/>
      <c r="I1376" s="27" t="str">
        <f>IFERROR(VLOOKUP(Tabulka2[[#This Row],[Pracovník]],DATA!A:L,11,0),"")</f>
        <v>Vlastní auto</v>
      </c>
      <c r="J1376" s="16"/>
      <c r="K1376" s="19"/>
    </row>
    <row r="1377" spans="1:11" x14ac:dyDescent="0.25">
      <c r="A13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77" s="22">
        <v>45932</v>
      </c>
      <c r="C1377" s="16" t="s">
        <v>28</v>
      </c>
      <c r="D1377" s="16" t="s">
        <v>844</v>
      </c>
      <c r="E1377" s="17">
        <f>IFERROR(VLOOKUP(Tabulka2[[#This Row],[Pracovník]],DATA!A:L,5,0),"")</f>
        <v>183</v>
      </c>
      <c r="F1377" s="12" t="s">
        <v>640</v>
      </c>
      <c r="G1377" s="16"/>
      <c r="H1377" s="18"/>
      <c r="I1377" s="27" t="str">
        <f>IFERROR(VLOOKUP(Tabulka2[[#This Row],[Pracovník]],DATA!A:L,11,0),"")</f>
        <v>DSC 1</v>
      </c>
      <c r="J1377" s="16"/>
      <c r="K1377" s="19"/>
    </row>
    <row r="1378" spans="1:11" x14ac:dyDescent="0.25">
      <c r="A13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78" s="22">
        <v>45932</v>
      </c>
      <c r="C1378" s="16" t="s">
        <v>28</v>
      </c>
      <c r="D1378" s="16" t="s">
        <v>845</v>
      </c>
      <c r="E1378" s="17">
        <f>IFERROR(VLOOKUP(Tabulka2[[#This Row],[Pracovník]],DATA!A:L,5,0),"")</f>
        <v>5545</v>
      </c>
      <c r="F1378" s="12" t="s">
        <v>653</v>
      </c>
      <c r="G1378" s="16" t="s">
        <v>925</v>
      </c>
      <c r="H1378" s="18"/>
      <c r="I1378" s="27" t="str">
        <f>IFERROR(VLOOKUP(Tabulka2[[#This Row],[Pracovník]],DATA!A:L,11,0),"")</f>
        <v>Vlastní auto</v>
      </c>
      <c r="J1378" s="16"/>
      <c r="K1378" s="19" t="s">
        <v>1010</v>
      </c>
    </row>
    <row r="1379" spans="1:11" x14ac:dyDescent="0.25">
      <c r="A13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79" s="22">
        <v>45932</v>
      </c>
      <c r="C1379" s="16" t="s">
        <v>28</v>
      </c>
      <c r="D1379" s="16" t="s">
        <v>846</v>
      </c>
      <c r="E1379" s="17">
        <f>IFERROR(VLOOKUP(Tabulka2[[#This Row],[Pracovník]],DATA!A:L,5,0),"")</f>
        <v>5526</v>
      </c>
      <c r="F1379" s="12" t="s">
        <v>654</v>
      </c>
      <c r="G1379" s="16"/>
      <c r="H1379" s="18"/>
      <c r="I1379" s="27" t="str">
        <f>IFERROR(VLOOKUP(Tabulka2[[#This Row],[Pracovník]],DATA!A:L,11,0),"")</f>
        <v>Vlastní auto</v>
      </c>
      <c r="J1379" s="16"/>
      <c r="K1379" s="19"/>
    </row>
    <row r="1380" spans="1:11" x14ac:dyDescent="0.25">
      <c r="A13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80" s="22">
        <v>45932</v>
      </c>
      <c r="C1380" s="16" t="s">
        <v>28</v>
      </c>
      <c r="D1380" s="16" t="s">
        <v>847</v>
      </c>
      <c r="E1380" s="17">
        <f>IFERROR(VLOOKUP(Tabulka2[[#This Row],[Pracovník]],DATA!A:L,5,0),"")</f>
        <v>5192</v>
      </c>
      <c r="F1380" s="12" t="s">
        <v>654</v>
      </c>
      <c r="G1380" s="16"/>
      <c r="H1380" s="18"/>
      <c r="I1380" s="27" t="str">
        <f>IFERROR(VLOOKUP(Tabulka2[[#This Row],[Pracovník]],DATA!A:L,11,0),"")</f>
        <v>Vlastní auto</v>
      </c>
      <c r="J1380" s="16"/>
      <c r="K1380" s="19"/>
    </row>
    <row r="1381" spans="1:11" x14ac:dyDescent="0.25">
      <c r="A13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81" s="22">
        <v>45932</v>
      </c>
      <c r="C1381" s="16" t="s">
        <v>28</v>
      </c>
      <c r="D1381" s="16" t="s">
        <v>848</v>
      </c>
      <c r="E1381" s="17">
        <f>IFERROR(VLOOKUP(Tabulka2[[#This Row],[Pracovník]],DATA!A:L,5,0),"")</f>
        <v>4698</v>
      </c>
      <c r="F1381" s="12" t="s">
        <v>654</v>
      </c>
      <c r="G1381" s="16"/>
      <c r="H1381" s="18"/>
      <c r="I1381" s="27" t="str">
        <f>IFERROR(VLOOKUP(Tabulka2[[#This Row],[Pracovník]],DATA!A:L,11,0),"")</f>
        <v>Vlastní auto</v>
      </c>
      <c r="J1381" s="16"/>
      <c r="K1381" s="19"/>
    </row>
    <row r="1382" spans="1:11" x14ac:dyDescent="0.25">
      <c r="A13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82" s="22">
        <v>45932</v>
      </c>
      <c r="C1382" s="16" t="s">
        <v>28</v>
      </c>
      <c r="D1382" s="16" t="s">
        <v>849</v>
      </c>
      <c r="E1382" s="17">
        <f>IFERROR(VLOOKUP(Tabulka2[[#This Row],[Pracovník]],DATA!A:L,5,0),"")</f>
        <v>4611</v>
      </c>
      <c r="F1382" s="12" t="s">
        <v>655</v>
      </c>
      <c r="G1382" s="16"/>
      <c r="H1382" s="18"/>
      <c r="I1382" s="27" t="str">
        <f>IFERROR(VLOOKUP(Tabulka2[[#This Row],[Pracovník]],DATA!A:L,11,0),"")</f>
        <v>DSC 1</v>
      </c>
      <c r="J1382" s="16"/>
      <c r="K1382" s="19"/>
    </row>
    <row r="1383" spans="1:11" x14ac:dyDescent="0.25">
      <c r="A13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83" s="22">
        <v>45932</v>
      </c>
      <c r="C1383" s="16" t="s">
        <v>28</v>
      </c>
      <c r="D1383" s="16" t="s">
        <v>850</v>
      </c>
      <c r="E1383" s="17">
        <f>IFERROR(VLOOKUP(Tabulka2[[#This Row],[Pracovník]],DATA!A:L,5,0),"")</f>
        <v>5069</v>
      </c>
      <c r="F1383" s="12" t="s">
        <v>655</v>
      </c>
      <c r="G1383" s="16"/>
      <c r="H1383" s="18"/>
      <c r="I1383" s="27" t="str">
        <f>IFERROR(VLOOKUP(Tabulka2[[#This Row],[Pracovník]],DATA!A:L,11,0),"")</f>
        <v>Vlastní auto</v>
      </c>
      <c r="J1383" s="16"/>
      <c r="K1383" s="19"/>
    </row>
    <row r="1384" spans="1:11" x14ac:dyDescent="0.25">
      <c r="A13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84" s="22">
        <v>45932</v>
      </c>
      <c r="C1384" s="16" t="s">
        <v>28</v>
      </c>
      <c r="D1384" s="16" t="s">
        <v>851</v>
      </c>
      <c r="E1384" s="17">
        <f>IFERROR(VLOOKUP(Tabulka2[[#This Row],[Pracovník]],DATA!A:L,5,0),"")</f>
        <v>185</v>
      </c>
      <c r="F1384" s="12" t="s">
        <v>640</v>
      </c>
      <c r="G1384" s="16"/>
      <c r="H1384" s="18"/>
      <c r="I1384" s="27" t="str">
        <f>IFERROR(VLOOKUP(Tabulka2[[#This Row],[Pracovník]],DATA!A:L,11,0),"")</f>
        <v>DSC 1</v>
      </c>
      <c r="J1384" s="16"/>
      <c r="K1384" s="19"/>
    </row>
    <row r="1385" spans="1:11" x14ac:dyDescent="0.25">
      <c r="A13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85" s="22">
        <v>45932</v>
      </c>
      <c r="C1385" s="16" t="s">
        <v>28</v>
      </c>
      <c r="D1385" s="16" t="s">
        <v>852</v>
      </c>
      <c r="E1385" s="17">
        <f>IFERROR(VLOOKUP(Tabulka2[[#This Row],[Pracovník]],DATA!A:L,5,0),"")</f>
        <v>6388</v>
      </c>
      <c r="F1385" s="12" t="s">
        <v>653</v>
      </c>
      <c r="G1385" s="16" t="s">
        <v>657</v>
      </c>
      <c r="H1385" s="18"/>
      <c r="I1385" s="27" t="str">
        <f>IFERROR(VLOOKUP(Tabulka2[[#This Row],[Pracovník]],DATA!A:L,11,0),"")</f>
        <v>Vlastní auto</v>
      </c>
      <c r="J1385" s="16"/>
      <c r="K1385" s="19"/>
    </row>
    <row r="1386" spans="1:11" x14ac:dyDescent="0.25">
      <c r="A13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86" s="22">
        <v>45932</v>
      </c>
      <c r="C1386" s="16" t="s">
        <v>28</v>
      </c>
      <c r="D1386" s="16" t="s">
        <v>854</v>
      </c>
      <c r="E1386" s="17">
        <f>IFERROR(VLOOKUP(Tabulka2[[#This Row],[Pracovník]],DATA!A:L,5,0),"")</f>
        <v>5720</v>
      </c>
      <c r="F1386" s="12" t="s">
        <v>655</v>
      </c>
      <c r="G1386" s="16"/>
      <c r="H1386" s="18"/>
      <c r="I1386" s="27" t="str">
        <f>IFERROR(VLOOKUP(Tabulka2[[#This Row],[Pracovník]],DATA!A:L,11,0),"")</f>
        <v>DSC 2</v>
      </c>
      <c r="J1386" s="16"/>
      <c r="K1386" s="19"/>
    </row>
    <row r="1387" spans="1:11" x14ac:dyDescent="0.25">
      <c r="A13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87" s="22">
        <v>45932</v>
      </c>
      <c r="C1387" s="16" t="s">
        <v>28</v>
      </c>
      <c r="D1387" s="16" t="s">
        <v>853</v>
      </c>
      <c r="E1387" s="17">
        <f>IFERROR(VLOOKUP(Tabulka2[[#This Row],[Pracovník]],DATA!A:L,5,0),"")</f>
        <v>5722</v>
      </c>
      <c r="F1387" s="12" t="s">
        <v>655</v>
      </c>
      <c r="G1387" s="16"/>
      <c r="H1387" s="18"/>
      <c r="I1387" s="27" t="str">
        <f>IFERROR(VLOOKUP(Tabulka2[[#This Row],[Pracovník]],DATA!A:L,11,0),"")</f>
        <v>DSC 2</v>
      </c>
      <c r="J1387" s="16"/>
      <c r="K1387" s="19"/>
    </row>
    <row r="1388" spans="1:11" x14ac:dyDescent="0.25">
      <c r="A13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88" s="22">
        <v>45932</v>
      </c>
      <c r="C1388" s="16" t="s">
        <v>28</v>
      </c>
      <c r="D1388" s="16" t="s">
        <v>855</v>
      </c>
      <c r="E1388" s="17">
        <f>IFERROR(VLOOKUP(Tabulka2[[#This Row],[Pracovník]],DATA!A:L,5,0),"")</f>
        <v>6180</v>
      </c>
      <c r="F1388" s="12" t="s">
        <v>640</v>
      </c>
      <c r="G1388" s="16"/>
      <c r="H1388" s="18"/>
      <c r="I1388" s="27" t="str">
        <f>IFERROR(VLOOKUP(Tabulka2[[#This Row],[Pracovník]],DATA!A:L,11,0),"")</f>
        <v>DSC 2</v>
      </c>
      <c r="J1388" s="16"/>
      <c r="K1388" s="19"/>
    </row>
    <row r="1389" spans="1:11" x14ac:dyDescent="0.25">
      <c r="A13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89" s="22">
        <v>45932</v>
      </c>
      <c r="C1389" s="16" t="s">
        <v>28</v>
      </c>
      <c r="D1389" s="16" t="s">
        <v>856</v>
      </c>
      <c r="E1389" s="17">
        <f>IFERROR(VLOOKUP(Tabulka2[[#This Row],[Pracovník]],DATA!A:L,5,0),"")</f>
        <v>4423</v>
      </c>
      <c r="F1389" s="12" t="s">
        <v>640</v>
      </c>
      <c r="G1389" s="16"/>
      <c r="H1389" s="18"/>
      <c r="I1389" s="27" t="str">
        <f>IFERROR(VLOOKUP(Tabulka2[[#This Row],[Pracovník]],DATA!A:L,11,0),"")</f>
        <v>DSC 1</v>
      </c>
      <c r="J1389" s="16"/>
      <c r="K1389" s="19"/>
    </row>
    <row r="1390" spans="1:11" x14ac:dyDescent="0.25">
      <c r="A13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90" s="22">
        <v>45932</v>
      </c>
      <c r="C1390" s="16" t="s">
        <v>28</v>
      </c>
      <c r="D1390" s="16" t="s">
        <v>857</v>
      </c>
      <c r="E1390" s="17">
        <f>IFERROR(VLOOKUP(Tabulka2[[#This Row],[Pracovník]],DATA!A:L,5,0),"")</f>
        <v>5036</v>
      </c>
      <c r="F1390" s="12" t="s">
        <v>653</v>
      </c>
      <c r="G1390" s="16"/>
      <c r="H1390" s="18"/>
      <c r="I1390" s="27" t="str">
        <f>IFERROR(VLOOKUP(Tabulka2[[#This Row],[Pracovník]],DATA!A:L,11,0),"")</f>
        <v>Vlastní auto</v>
      </c>
      <c r="J1390" s="16"/>
      <c r="K1390" s="19"/>
    </row>
    <row r="1391" spans="1:11" x14ac:dyDescent="0.25">
      <c r="A13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91" s="22">
        <v>45932</v>
      </c>
      <c r="C1391" s="16" t="s">
        <v>28</v>
      </c>
      <c r="D1391" s="16" t="s">
        <v>838</v>
      </c>
      <c r="E1391" s="17">
        <f>IFERROR(VLOOKUP(Tabulka2[[#This Row],[Pracovník]],DATA!A:L,5,0),"")</f>
        <v>4899</v>
      </c>
      <c r="F1391" s="12" t="s">
        <v>654</v>
      </c>
      <c r="G1391" s="16"/>
      <c r="H1391" s="18"/>
      <c r="I1391" s="27" t="str">
        <f>IFERROR(VLOOKUP(Tabulka2[[#This Row],[Pracovník]],DATA!A:L,11,0),"")</f>
        <v>DSC 1</v>
      </c>
      <c r="J1391" s="16"/>
      <c r="K1391" s="19"/>
    </row>
    <row r="1392" spans="1:11" x14ac:dyDescent="0.25">
      <c r="A13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92" s="22">
        <v>45932</v>
      </c>
      <c r="C1392" s="16" t="s">
        <v>28</v>
      </c>
      <c r="D1392" s="16" t="s">
        <v>918</v>
      </c>
      <c r="E1392" s="17">
        <f>IFERROR(VLOOKUP(Tabulka2[[#This Row],[Pracovník]],DATA!A:L,5,0),"")</f>
        <v>6582</v>
      </c>
      <c r="F1392" s="12" t="s">
        <v>640</v>
      </c>
      <c r="G1392" s="16"/>
      <c r="H1392" s="18"/>
      <c r="I1392" s="27" t="str">
        <f>IFERROR(VLOOKUP(Tabulka2[[#This Row],[Pracovník]],DATA!A:L,11,0),"")</f>
        <v>DSC 1</v>
      </c>
      <c r="J1392" s="16"/>
      <c r="K1392" s="19"/>
    </row>
    <row r="1393" spans="1:11" x14ac:dyDescent="0.25">
      <c r="A13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93" s="22">
        <v>45932</v>
      </c>
      <c r="C1393" s="16" t="s">
        <v>28</v>
      </c>
      <c r="D1393" s="16" t="s">
        <v>922</v>
      </c>
      <c r="E1393" s="17">
        <f>IFERROR(VLOOKUP(Tabulka2[[#This Row],[Pracovník]],DATA!A:L,5,0),"")</f>
        <v>6580</v>
      </c>
      <c r="F1393" s="12" t="s">
        <v>655</v>
      </c>
      <c r="G1393" s="16"/>
      <c r="H1393" s="18"/>
      <c r="I1393" s="27" t="str">
        <f>IFERROR(VLOOKUP(Tabulka2[[#This Row],[Pracovník]],DATA!A:L,11,0),"")</f>
        <v>Vlastní auto</v>
      </c>
      <c r="J1393" s="16"/>
      <c r="K1393" s="19"/>
    </row>
    <row r="1394" spans="1:11" x14ac:dyDescent="0.25">
      <c r="A13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94" s="22">
        <v>45933</v>
      </c>
      <c r="C1394" s="16" t="s">
        <v>56</v>
      </c>
      <c r="D1394" s="16" t="s">
        <v>910</v>
      </c>
      <c r="E1394" s="17">
        <f>IFERROR(VLOOKUP(Tabulka2[[#This Row],[Pracovník]],DATA!A:L,5,0),"")</f>
        <v>6474</v>
      </c>
      <c r="F1394" s="12" t="s">
        <v>654</v>
      </c>
      <c r="G1394" s="16"/>
      <c r="H1394" s="18"/>
      <c r="I1394" s="27" t="str">
        <f>IFERROR(VLOOKUP(Tabulka2[[#This Row],[Pracovník]],DATA!A:L,11,0),"")</f>
        <v>BATZ 1</v>
      </c>
      <c r="J1394" s="16"/>
      <c r="K1394" s="19"/>
    </row>
    <row r="1395" spans="1:11" x14ac:dyDescent="0.25">
      <c r="A13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95" s="22">
        <v>45933</v>
      </c>
      <c r="C1395" s="16" t="s">
        <v>56</v>
      </c>
      <c r="D1395" s="16" t="s">
        <v>911</v>
      </c>
      <c r="E1395" s="17">
        <f>IFERROR(VLOOKUP(Tabulka2[[#This Row],[Pracovník]],DATA!A:L,5,0),"")</f>
        <v>5110</v>
      </c>
      <c r="F1395" s="12" t="s">
        <v>640</v>
      </c>
      <c r="G1395" s="16"/>
      <c r="H1395" s="18"/>
      <c r="I1395" s="27" t="str">
        <f>IFERROR(VLOOKUP(Tabulka2[[#This Row],[Pracovník]],DATA!A:L,11,0),"")</f>
        <v>BATZ 2</v>
      </c>
      <c r="J1395" s="16"/>
      <c r="K1395" s="19"/>
    </row>
    <row r="1396" spans="1:11" x14ac:dyDescent="0.25">
      <c r="A13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96" s="22">
        <v>45933</v>
      </c>
      <c r="C1396" s="16" t="s">
        <v>56</v>
      </c>
      <c r="D1396" s="16" t="s">
        <v>912</v>
      </c>
      <c r="E1396" s="17">
        <f>IFERROR(VLOOKUP(Tabulka2[[#This Row],[Pracovník]],DATA!A:L,5,0),"")</f>
        <v>6473</v>
      </c>
      <c r="F1396" s="12" t="s">
        <v>640</v>
      </c>
      <c r="G1396" s="16"/>
      <c r="H1396" s="18"/>
      <c r="I1396" s="27" t="str">
        <f>IFERROR(VLOOKUP(Tabulka2[[#This Row],[Pracovník]],DATA!A:L,11,0),"")</f>
        <v>BATZ 1</v>
      </c>
      <c r="J1396" s="16"/>
      <c r="K1396" s="19"/>
    </row>
    <row r="1397" spans="1:11" x14ac:dyDescent="0.25">
      <c r="A13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97" s="22">
        <v>45933</v>
      </c>
      <c r="C1397" s="16" t="s">
        <v>56</v>
      </c>
      <c r="D1397" s="16" t="s">
        <v>913</v>
      </c>
      <c r="E1397" s="17">
        <f>IFERROR(VLOOKUP(Tabulka2[[#This Row],[Pracovník]],DATA!A:L,5,0),"")</f>
        <v>6394</v>
      </c>
      <c r="F1397" s="12" t="s">
        <v>653</v>
      </c>
      <c r="G1397" s="16" t="s">
        <v>657</v>
      </c>
      <c r="H1397" s="18"/>
      <c r="I1397" s="27" t="str">
        <f>IFERROR(VLOOKUP(Tabulka2[[#This Row],[Pracovník]],DATA!A:L,11,0),"")</f>
        <v>BATZ 1</v>
      </c>
      <c r="J1397" s="16"/>
      <c r="K1397" s="19"/>
    </row>
    <row r="1398" spans="1:11" x14ac:dyDescent="0.25">
      <c r="A13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98" s="22">
        <v>45933</v>
      </c>
      <c r="C1398" s="16" t="s">
        <v>25</v>
      </c>
      <c r="D1398" s="16" t="s">
        <v>679</v>
      </c>
      <c r="E1398" s="17">
        <f>IFERROR(VLOOKUP(Tabulka2[[#This Row],[Pracovník]],DATA!A:L,5,0),"")</f>
        <v>5777</v>
      </c>
      <c r="F1398" s="12" t="s">
        <v>640</v>
      </c>
      <c r="G1398" s="16"/>
      <c r="H1398" s="18"/>
      <c r="I1398" s="27" t="str">
        <f>IFERROR(VLOOKUP(Tabulka2[[#This Row],[Pracovník]],DATA!A:L,11,0),"")</f>
        <v>BATZ 2</v>
      </c>
      <c r="J1398" s="16"/>
      <c r="K1398" s="19"/>
    </row>
    <row r="1399" spans="1:11" x14ac:dyDescent="0.25">
      <c r="A13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399" s="22">
        <v>45933</v>
      </c>
      <c r="C1399" s="16" t="s">
        <v>25</v>
      </c>
      <c r="D1399" s="23" t="s">
        <v>680</v>
      </c>
      <c r="E1399" s="17">
        <f>IFERROR(VLOOKUP(Tabulka2[[#This Row],[Pracovník]],DATA!A:L,5,0),"")</f>
        <v>4838</v>
      </c>
      <c r="F1399" s="24" t="s">
        <v>654</v>
      </c>
      <c r="G1399" s="16"/>
      <c r="H1399" s="18"/>
      <c r="I1399" s="27" t="str">
        <f>IFERROR(VLOOKUP(Tabulka2[[#This Row],[Pracovník]],DATA!A:L,11,0),"")</f>
        <v>BATZ 2</v>
      </c>
      <c r="J1399" s="16"/>
      <c r="K1399" s="19"/>
    </row>
    <row r="1400" spans="1:11" x14ac:dyDescent="0.25">
      <c r="A14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00" s="22">
        <v>45933</v>
      </c>
      <c r="C1400" s="16" t="s">
        <v>25</v>
      </c>
      <c r="D1400" s="16" t="s">
        <v>681</v>
      </c>
      <c r="E1400" s="17">
        <f>IFERROR(VLOOKUP(Tabulka2[[#This Row],[Pracovník]],DATA!A:L,5,0),"")</f>
        <v>4599</v>
      </c>
      <c r="F1400" s="12" t="s">
        <v>640</v>
      </c>
      <c r="G1400" s="16"/>
      <c r="H1400" s="18"/>
      <c r="I1400" s="27" t="str">
        <f>IFERROR(VLOOKUP(Tabulka2[[#This Row],[Pracovník]],DATA!A:L,11,0),"")</f>
        <v>BATZ 1</v>
      </c>
      <c r="J1400" s="16"/>
      <c r="K1400" s="19"/>
    </row>
    <row r="1401" spans="1:11" x14ac:dyDescent="0.25">
      <c r="A14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01" s="22">
        <v>45933</v>
      </c>
      <c r="C1401" s="16" t="s">
        <v>25</v>
      </c>
      <c r="D1401" s="16" t="s">
        <v>682</v>
      </c>
      <c r="E1401" s="17">
        <f>IFERROR(VLOOKUP(Tabulka2[[#This Row],[Pracovník]],DATA!A:L,5,0),"")</f>
        <v>6566</v>
      </c>
      <c r="F1401" s="12" t="s">
        <v>654</v>
      </c>
      <c r="G1401" s="16"/>
      <c r="H1401" s="18"/>
      <c r="I1401" s="27" t="str">
        <f>IFERROR(VLOOKUP(Tabulka2[[#This Row],[Pracovník]],DATA!A:L,11,0),"")</f>
        <v>BATZ 1</v>
      </c>
      <c r="J1401" s="16"/>
      <c r="K1401" s="19"/>
    </row>
    <row r="1402" spans="1:11" x14ac:dyDescent="0.25">
      <c r="A14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02" s="22">
        <v>45933</v>
      </c>
      <c r="C1402" s="16" t="s">
        <v>25</v>
      </c>
      <c r="D1402" s="16" t="s">
        <v>683</v>
      </c>
      <c r="E1402" s="17">
        <f>IFERROR(VLOOKUP(Tabulka2[[#This Row],[Pracovník]],DATA!A:L,5,0),"")</f>
        <v>5400</v>
      </c>
      <c r="F1402" s="12" t="s">
        <v>653</v>
      </c>
      <c r="G1402" s="16" t="s">
        <v>656</v>
      </c>
      <c r="H1402" s="18"/>
      <c r="I1402" s="27" t="str">
        <f>IFERROR(VLOOKUP(Tabulka2[[#This Row],[Pracovník]],DATA!A:L,11,0),"")</f>
        <v>BATZ 1</v>
      </c>
      <c r="J1402" s="16"/>
      <c r="K1402" s="19"/>
    </row>
    <row r="1403" spans="1:11" x14ac:dyDescent="0.25">
      <c r="A14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03" s="22">
        <v>45933</v>
      </c>
      <c r="C1403" s="16" t="s">
        <v>25</v>
      </c>
      <c r="D1403" s="16" t="s">
        <v>684</v>
      </c>
      <c r="E1403" s="17">
        <f>IFERROR(VLOOKUP(Tabulka2[[#This Row],[Pracovník]],DATA!A:L,5,0),"")</f>
        <v>5094</v>
      </c>
      <c r="F1403" s="12" t="s">
        <v>655</v>
      </c>
      <c r="G1403" s="16"/>
      <c r="H1403" s="18"/>
      <c r="I1403" s="27" t="str">
        <f>IFERROR(VLOOKUP(Tabulka2[[#This Row],[Pracovník]],DATA!A:L,11,0),"")</f>
        <v>BATZ 2</v>
      </c>
      <c r="J1403" s="16"/>
      <c r="K1403" s="19"/>
    </row>
    <row r="1404" spans="1:11" x14ac:dyDescent="0.25">
      <c r="A14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04" s="22">
        <v>45933</v>
      </c>
      <c r="C1404" s="16" t="s">
        <v>25</v>
      </c>
      <c r="D1404" s="16" t="s">
        <v>685</v>
      </c>
      <c r="E1404" s="17">
        <f>IFERROR(VLOOKUP(Tabulka2[[#This Row],[Pracovník]],DATA!A:L,5,0),"")</f>
        <v>6001</v>
      </c>
      <c r="F1404" s="12" t="s">
        <v>655</v>
      </c>
      <c r="G1404" s="16"/>
      <c r="H1404" s="18"/>
      <c r="I1404" s="27" t="str">
        <f>IFERROR(VLOOKUP(Tabulka2[[#This Row],[Pracovník]],DATA!A:L,11,0),"")</f>
        <v>BATZ 1</v>
      </c>
      <c r="J1404" s="16"/>
      <c r="K1404" s="19"/>
    </row>
    <row r="1405" spans="1:11" x14ac:dyDescent="0.25">
      <c r="A14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05" s="22">
        <v>45933</v>
      </c>
      <c r="C1405" s="16" t="s">
        <v>25</v>
      </c>
      <c r="D1405" s="16" t="s">
        <v>686</v>
      </c>
      <c r="E1405" s="17">
        <f>IFERROR(VLOOKUP(Tabulka2[[#This Row],[Pracovník]],DATA!A:L,5,0),"")</f>
        <v>6573</v>
      </c>
      <c r="F1405" s="12" t="s">
        <v>655</v>
      </c>
      <c r="G1405" s="16"/>
      <c r="H1405" s="18"/>
      <c r="I1405" s="27" t="str">
        <f>IFERROR(VLOOKUP(Tabulka2[[#This Row],[Pracovník]],DATA!A:L,11,0),"")</f>
        <v>BATZ 1</v>
      </c>
      <c r="J1405" s="16"/>
      <c r="K1405" s="19"/>
    </row>
    <row r="1406" spans="1:11" x14ac:dyDescent="0.25">
      <c r="A14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06" s="22">
        <v>45933</v>
      </c>
      <c r="C1406" s="16" t="s">
        <v>25</v>
      </c>
      <c r="D1406" s="16" t="s">
        <v>687</v>
      </c>
      <c r="E1406" s="17">
        <f>IFERROR(VLOOKUP(Tabulka2[[#This Row],[Pracovník]],DATA!A:L,5,0),"")</f>
        <v>5129</v>
      </c>
      <c r="F1406" s="12" t="s">
        <v>640</v>
      </c>
      <c r="G1406" s="16"/>
      <c r="H1406" s="18"/>
      <c r="I1406" s="27" t="str">
        <f>IFERROR(VLOOKUP(Tabulka2[[#This Row],[Pracovník]],DATA!A:L,11,0),"")</f>
        <v>BATZ 1</v>
      </c>
      <c r="J1406" s="16"/>
      <c r="K1406" s="19"/>
    </row>
    <row r="1407" spans="1:11" x14ac:dyDescent="0.25">
      <c r="A14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07" s="22">
        <v>45933</v>
      </c>
      <c r="C1407" s="16" t="s">
        <v>25</v>
      </c>
      <c r="D1407" s="16" t="s">
        <v>688</v>
      </c>
      <c r="E1407" s="17">
        <f>IFERROR(VLOOKUP(Tabulka2[[#This Row],[Pracovník]],DATA!A:L,5,0),"")</f>
        <v>5663</v>
      </c>
      <c r="F1407" s="12" t="s">
        <v>653</v>
      </c>
      <c r="G1407" s="16" t="s">
        <v>657</v>
      </c>
      <c r="H1407" s="18"/>
      <c r="I1407" s="27" t="str">
        <f>IFERROR(VLOOKUP(Tabulka2[[#This Row],[Pracovník]],DATA!A:L,11,0),"")</f>
        <v>BATZ 1</v>
      </c>
      <c r="J1407" s="16"/>
      <c r="K1407" s="19"/>
    </row>
    <row r="1408" spans="1:11" x14ac:dyDescent="0.25">
      <c r="A14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08" s="22">
        <v>45933</v>
      </c>
      <c r="C1408" s="16" t="s">
        <v>25</v>
      </c>
      <c r="D1408" s="16" t="s">
        <v>690</v>
      </c>
      <c r="E1408" s="17">
        <f>IFERROR(VLOOKUP(Tabulka2[[#This Row],[Pracovník]],DATA!A:L,5,0),"")</f>
        <v>4501</v>
      </c>
      <c r="F1408" s="12" t="s">
        <v>653</v>
      </c>
      <c r="G1408" s="16" t="s">
        <v>657</v>
      </c>
      <c r="H1408" s="18"/>
      <c r="I1408" s="27" t="str">
        <f>IFERROR(VLOOKUP(Tabulka2[[#This Row],[Pracovník]],DATA!A:L,11,0),"")</f>
        <v>BATZ 2</v>
      </c>
      <c r="J1408" s="16"/>
      <c r="K1408" s="19"/>
    </row>
    <row r="1409" spans="1:11" x14ac:dyDescent="0.25">
      <c r="A14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09" s="22">
        <v>45933</v>
      </c>
      <c r="C1409" s="16" t="s">
        <v>25</v>
      </c>
      <c r="D1409" s="16" t="s">
        <v>689</v>
      </c>
      <c r="E1409" s="17">
        <f>IFERROR(VLOOKUP(Tabulka2[[#This Row],[Pracovník]],DATA!A:L,5,0),"")</f>
        <v>4936</v>
      </c>
      <c r="F1409" s="12" t="s">
        <v>655</v>
      </c>
      <c r="G1409" s="16"/>
      <c r="H1409" s="18"/>
      <c r="I1409" s="27" t="str">
        <f>IFERROR(VLOOKUP(Tabulka2[[#This Row],[Pracovník]],DATA!A:L,11,0),"")</f>
        <v>BATZ 1</v>
      </c>
      <c r="J1409" s="16"/>
      <c r="K1409" s="19"/>
    </row>
    <row r="1410" spans="1:11" x14ac:dyDescent="0.25">
      <c r="A14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10" s="22">
        <v>45933</v>
      </c>
      <c r="C1410" s="16" t="s">
        <v>25</v>
      </c>
      <c r="D1410" s="16" t="s">
        <v>695</v>
      </c>
      <c r="E1410" s="17">
        <f>IFERROR(VLOOKUP(Tabulka2[[#This Row],[Pracovník]],DATA!A:L,5,0),"")</f>
        <v>3728</v>
      </c>
      <c r="F1410" s="12" t="s">
        <v>655</v>
      </c>
      <c r="G1410" s="16"/>
      <c r="H1410" s="18"/>
      <c r="I1410" s="27" t="str">
        <f>IFERROR(VLOOKUP(Tabulka2[[#This Row],[Pracovník]],DATA!A:L,11,0),"")</f>
        <v>BATZ 1</v>
      </c>
      <c r="J1410" s="16"/>
      <c r="K1410" s="19"/>
    </row>
    <row r="1411" spans="1:11" x14ac:dyDescent="0.25">
      <c r="A14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11" s="22">
        <v>45933</v>
      </c>
      <c r="C1411" s="16" t="s">
        <v>25</v>
      </c>
      <c r="D1411" s="16" t="s">
        <v>691</v>
      </c>
      <c r="E1411" s="17">
        <f>IFERROR(VLOOKUP(Tabulka2[[#This Row],[Pracovník]],DATA!A:L,5,0),"")</f>
        <v>4955</v>
      </c>
      <c r="F1411" s="12" t="s">
        <v>640</v>
      </c>
      <c r="G1411" s="16"/>
      <c r="H1411" s="18"/>
      <c r="I1411" s="27" t="str">
        <f>IFERROR(VLOOKUP(Tabulka2[[#This Row],[Pracovník]],DATA!A:L,11,0),"")</f>
        <v>BATZ 1</v>
      </c>
      <c r="J1411" s="16"/>
      <c r="K1411" s="19"/>
    </row>
    <row r="1412" spans="1:11" x14ac:dyDescent="0.25">
      <c r="A14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12" s="22">
        <v>45933</v>
      </c>
      <c r="C1412" s="16" t="s">
        <v>25</v>
      </c>
      <c r="D1412" s="16" t="s">
        <v>692</v>
      </c>
      <c r="E1412" s="17">
        <f>IFERROR(VLOOKUP(Tabulka2[[#This Row],[Pracovník]],DATA!A:L,5,0),"")</f>
        <v>6568</v>
      </c>
      <c r="F1412" s="12" t="s">
        <v>654</v>
      </c>
      <c r="G1412" s="16"/>
      <c r="H1412" s="18"/>
      <c r="I1412" s="27" t="str">
        <f>IFERROR(VLOOKUP(Tabulka2[[#This Row],[Pracovník]],DATA!A:L,11,0),"")</f>
        <v>BATZ 2</v>
      </c>
      <c r="J1412" s="16"/>
      <c r="K1412" s="19"/>
    </row>
    <row r="1413" spans="1:11" x14ac:dyDescent="0.25">
      <c r="A14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13" s="22">
        <v>45933</v>
      </c>
      <c r="C1413" s="16" t="s">
        <v>25</v>
      </c>
      <c r="D1413" s="16" t="s">
        <v>693</v>
      </c>
      <c r="E1413" s="17">
        <f>IFERROR(VLOOKUP(Tabulka2[[#This Row],[Pracovník]],DATA!A:L,5,0),"")</f>
        <v>3721</v>
      </c>
      <c r="F1413" s="12" t="s">
        <v>640</v>
      </c>
      <c r="G1413" s="16"/>
      <c r="H1413" s="18"/>
      <c r="I1413" s="27" t="str">
        <f>IFERROR(VLOOKUP(Tabulka2[[#This Row],[Pracovník]],DATA!A:L,11,0),"")</f>
        <v>BATZ 1</v>
      </c>
      <c r="J1413" s="16"/>
      <c r="K1413" s="19"/>
    </row>
    <row r="1414" spans="1:11" x14ac:dyDescent="0.25">
      <c r="A14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14" s="22">
        <v>45933</v>
      </c>
      <c r="C1414" s="16" t="s">
        <v>25</v>
      </c>
      <c r="D1414" s="16" t="s">
        <v>694</v>
      </c>
      <c r="E1414" s="17">
        <f>IFERROR(VLOOKUP(Tabulka2[[#This Row],[Pracovník]],DATA!A:L,5,0),"")</f>
        <v>6110</v>
      </c>
      <c r="F1414" s="12" t="s">
        <v>655</v>
      </c>
      <c r="G1414" s="16"/>
      <c r="H1414" s="18"/>
      <c r="I1414" s="27" t="str">
        <f>IFERROR(VLOOKUP(Tabulka2[[#This Row],[Pracovník]],DATA!A:L,11,0),"")</f>
        <v>BATZ 1</v>
      </c>
      <c r="J1414" s="16"/>
      <c r="K1414" s="19"/>
    </row>
    <row r="1415" spans="1:11" x14ac:dyDescent="0.25">
      <c r="A14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15" s="22">
        <v>45933</v>
      </c>
      <c r="C1415" s="16" t="s">
        <v>25</v>
      </c>
      <c r="D1415" s="16" t="s">
        <v>696</v>
      </c>
      <c r="E1415" s="17">
        <f>IFERROR(VLOOKUP(Tabulka2[[#This Row],[Pracovník]],DATA!A:L,5,0),"")</f>
        <v>0</v>
      </c>
      <c r="F1415" s="12" t="s">
        <v>640</v>
      </c>
      <c r="G1415" s="16"/>
      <c r="H1415" s="18"/>
      <c r="I1415" s="27" t="str">
        <f>IFERROR(VLOOKUP(Tabulka2[[#This Row],[Pracovník]],DATA!A:L,11,0),"")</f>
        <v>BATZ 1</v>
      </c>
      <c r="J1415" s="16"/>
      <c r="K1415" s="19"/>
    </row>
    <row r="1416" spans="1:11" x14ac:dyDescent="0.25">
      <c r="A14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16" s="22">
        <v>45933</v>
      </c>
      <c r="C1416" s="16" t="s">
        <v>25</v>
      </c>
      <c r="D1416" s="16" t="s">
        <v>697</v>
      </c>
      <c r="E1416" s="17">
        <f>IFERROR(VLOOKUP(Tabulka2[[#This Row],[Pracovník]],DATA!A:L,5,0),"")</f>
        <v>6330</v>
      </c>
      <c r="F1416" s="12" t="s">
        <v>655</v>
      </c>
      <c r="G1416" s="16"/>
      <c r="H1416" s="18"/>
      <c r="I1416" s="27" t="str">
        <f>IFERROR(VLOOKUP(Tabulka2[[#This Row],[Pracovník]],DATA!A:L,11,0),"")</f>
        <v>BATZ 2</v>
      </c>
      <c r="J1416" s="16"/>
      <c r="K1416" s="19"/>
    </row>
    <row r="1417" spans="1:11" x14ac:dyDescent="0.25">
      <c r="A14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17" s="22">
        <v>45933</v>
      </c>
      <c r="C1417" s="16" t="s">
        <v>25</v>
      </c>
      <c r="D1417" s="16" t="s">
        <v>698</v>
      </c>
      <c r="E1417" s="17">
        <f>IFERROR(VLOOKUP(Tabulka2[[#This Row],[Pracovník]],DATA!A:L,5,0),"")</f>
        <v>5828</v>
      </c>
      <c r="F1417" s="12" t="s">
        <v>640</v>
      </c>
      <c r="G1417" s="16"/>
      <c r="H1417" s="18"/>
      <c r="I1417" s="27" t="str">
        <f>IFERROR(VLOOKUP(Tabulka2[[#This Row],[Pracovník]],DATA!A:L,11,0),"")</f>
        <v>BATZ 1</v>
      </c>
      <c r="J1417" s="16"/>
      <c r="K1417" s="19"/>
    </row>
    <row r="1418" spans="1:11" x14ac:dyDescent="0.25">
      <c r="A14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18" s="22">
        <v>45933</v>
      </c>
      <c r="C1418" s="16" t="s">
        <v>25</v>
      </c>
      <c r="D1418" s="16" t="s">
        <v>699</v>
      </c>
      <c r="E1418" s="17">
        <f>IFERROR(VLOOKUP(Tabulka2[[#This Row],[Pracovník]],DATA!A:L,5,0),"")</f>
        <v>4775</v>
      </c>
      <c r="F1418" s="12" t="s">
        <v>653</v>
      </c>
      <c r="G1418" s="16" t="s">
        <v>656</v>
      </c>
      <c r="H1418" s="18"/>
      <c r="I1418" s="27" t="str">
        <f>IFERROR(VLOOKUP(Tabulka2[[#This Row],[Pracovník]],DATA!A:L,11,0),"")</f>
        <v>BATZ 2</v>
      </c>
      <c r="J1418" s="16"/>
      <c r="K1418" s="19"/>
    </row>
    <row r="1419" spans="1:11" x14ac:dyDescent="0.25">
      <c r="A14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19" s="22">
        <v>45933</v>
      </c>
      <c r="C1419" s="16" t="s">
        <v>25</v>
      </c>
      <c r="D1419" s="16" t="s">
        <v>700</v>
      </c>
      <c r="E1419" s="17">
        <f>IFERROR(VLOOKUP(Tabulka2[[#This Row],[Pracovník]],DATA!A:L,5,0),"")</f>
        <v>5665</v>
      </c>
      <c r="F1419" s="12" t="s">
        <v>654</v>
      </c>
      <c r="G1419" s="16"/>
      <c r="H1419" s="18"/>
      <c r="I1419" s="27" t="str">
        <f>IFERROR(VLOOKUP(Tabulka2[[#This Row],[Pracovník]],DATA!A:L,11,0),"")</f>
        <v>BATZ 1</v>
      </c>
      <c r="J1419" s="16"/>
      <c r="K1419" s="19"/>
    </row>
    <row r="1420" spans="1:11" x14ac:dyDescent="0.25">
      <c r="A14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20" s="22">
        <v>45933</v>
      </c>
      <c r="C1420" s="16" t="s">
        <v>25</v>
      </c>
      <c r="D1420" s="16" t="s">
        <v>701</v>
      </c>
      <c r="E1420" s="17">
        <f>IFERROR(VLOOKUP(Tabulka2[[#This Row],[Pracovník]],DATA!A:L,5,0),"")</f>
        <v>2463</v>
      </c>
      <c r="F1420" s="12" t="s">
        <v>654</v>
      </c>
      <c r="G1420" s="16"/>
      <c r="H1420" s="18"/>
      <c r="I1420" s="27" t="str">
        <f>IFERROR(VLOOKUP(Tabulka2[[#This Row],[Pracovník]],DATA!A:L,11,0),"")</f>
        <v>Vlastní auto</v>
      </c>
      <c r="J1420" s="16"/>
      <c r="K1420" s="19"/>
    </row>
    <row r="1421" spans="1:11" x14ac:dyDescent="0.25">
      <c r="A14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21" s="22">
        <v>45933</v>
      </c>
      <c r="C1421" s="16" t="s">
        <v>25</v>
      </c>
      <c r="D1421" s="16" t="s">
        <v>702</v>
      </c>
      <c r="E1421" s="17">
        <f>IFERROR(VLOOKUP(Tabulka2[[#This Row],[Pracovník]],DATA!A:L,5,0),"")</f>
        <v>6536</v>
      </c>
      <c r="F1421" s="12" t="s">
        <v>654</v>
      </c>
      <c r="G1421" s="16"/>
      <c r="H1421" s="18"/>
      <c r="I1421" s="27" t="str">
        <f>IFERROR(VLOOKUP(Tabulka2[[#This Row],[Pracovník]],DATA!A:L,11,0),"")</f>
        <v>BATZ 2</v>
      </c>
      <c r="J1421" s="16"/>
      <c r="K1421" s="19"/>
    </row>
    <row r="1422" spans="1:11" x14ac:dyDescent="0.25">
      <c r="A14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22" s="22">
        <v>45933</v>
      </c>
      <c r="C1422" s="16" t="s">
        <v>25</v>
      </c>
      <c r="D1422" s="16" t="s">
        <v>703</v>
      </c>
      <c r="E1422" s="17">
        <f>IFERROR(VLOOKUP(Tabulka2[[#This Row],[Pracovník]],DATA!A:L,5,0),"")</f>
        <v>4748</v>
      </c>
      <c r="F1422" s="12" t="s">
        <v>640</v>
      </c>
      <c r="G1422" s="16"/>
      <c r="H1422" s="18"/>
      <c r="I1422" s="27" t="str">
        <f>IFERROR(VLOOKUP(Tabulka2[[#This Row],[Pracovník]],DATA!A:L,11,0),"")</f>
        <v>BATZ 1</v>
      </c>
      <c r="J1422" s="16"/>
      <c r="K1422" s="19"/>
    </row>
    <row r="1423" spans="1:11" x14ac:dyDescent="0.25">
      <c r="A14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23" s="22">
        <v>45933</v>
      </c>
      <c r="C1423" s="16" t="s">
        <v>25</v>
      </c>
      <c r="D1423" s="16" t="s">
        <v>704</v>
      </c>
      <c r="E1423" s="17">
        <f>IFERROR(VLOOKUP(Tabulka2[[#This Row],[Pracovník]],DATA!A:L,5,0),"")</f>
        <v>6574</v>
      </c>
      <c r="F1423" s="12" t="s">
        <v>655</v>
      </c>
      <c r="G1423" s="16"/>
      <c r="H1423" s="18"/>
      <c r="I1423" s="27" t="str">
        <f>IFERROR(VLOOKUP(Tabulka2[[#This Row],[Pracovník]],DATA!A:L,11,0),"")</f>
        <v>BATZ 1</v>
      </c>
      <c r="J1423" s="16"/>
      <c r="K1423" s="19"/>
    </row>
    <row r="1424" spans="1:11" x14ac:dyDescent="0.25">
      <c r="A14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24" s="22">
        <v>45933</v>
      </c>
      <c r="C1424" s="16" t="s">
        <v>25</v>
      </c>
      <c r="D1424" s="16" t="s">
        <v>705</v>
      </c>
      <c r="E1424" s="17">
        <f>IFERROR(VLOOKUP(Tabulka2[[#This Row],[Pracovník]],DATA!A:L,5,0),"")</f>
        <v>4720</v>
      </c>
      <c r="F1424" s="12" t="s">
        <v>653</v>
      </c>
      <c r="G1424" s="16" t="s">
        <v>657</v>
      </c>
      <c r="H1424" s="18"/>
      <c r="I1424" s="27" t="str">
        <f>IFERROR(VLOOKUP(Tabulka2[[#This Row],[Pracovník]],DATA!A:L,11,0),"")</f>
        <v>BATZ 2</v>
      </c>
      <c r="J1424" s="16"/>
      <c r="K1424" s="19"/>
    </row>
    <row r="1425" spans="1:11" x14ac:dyDescent="0.25">
      <c r="A14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25" s="22">
        <v>45933</v>
      </c>
      <c r="C1425" s="16" t="s">
        <v>25</v>
      </c>
      <c r="D1425" s="16" t="s">
        <v>706</v>
      </c>
      <c r="E1425" s="17">
        <f>IFERROR(VLOOKUP(Tabulka2[[#This Row],[Pracovník]],DATA!A:L,5,0),"")</f>
        <v>6409</v>
      </c>
      <c r="F1425" s="12" t="s">
        <v>655</v>
      </c>
      <c r="G1425" s="16"/>
      <c r="H1425" s="18"/>
      <c r="I1425" s="27" t="str">
        <f>IFERROR(VLOOKUP(Tabulka2[[#This Row],[Pracovník]],DATA!A:L,11,0),"")</f>
        <v>Vlastní auto</v>
      </c>
      <c r="J1425" s="16"/>
      <c r="K1425" s="19"/>
    </row>
    <row r="1426" spans="1:11" x14ac:dyDescent="0.25">
      <c r="A14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26" s="22">
        <v>45933</v>
      </c>
      <c r="C1426" s="16" t="s">
        <v>25</v>
      </c>
      <c r="D1426" s="16" t="s">
        <v>707</v>
      </c>
      <c r="E1426" s="17">
        <f>IFERROR(VLOOKUP(Tabulka2[[#This Row],[Pracovník]],DATA!A:L,5,0),"")</f>
        <v>3396</v>
      </c>
      <c r="F1426" s="12" t="s">
        <v>654</v>
      </c>
      <c r="G1426" s="16"/>
      <c r="H1426" s="18"/>
      <c r="I1426" s="27" t="str">
        <f>IFERROR(VLOOKUP(Tabulka2[[#This Row],[Pracovník]],DATA!A:L,11,0),"")</f>
        <v>BATZ 1</v>
      </c>
      <c r="J1426" s="16"/>
      <c r="K1426" s="19"/>
    </row>
    <row r="1427" spans="1:11" x14ac:dyDescent="0.25">
      <c r="A14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27" s="22">
        <v>45933</v>
      </c>
      <c r="C1427" s="16" t="s">
        <v>25</v>
      </c>
      <c r="D1427" s="16" t="s">
        <v>708</v>
      </c>
      <c r="E1427" s="17">
        <f>IFERROR(VLOOKUP(Tabulka2[[#This Row],[Pracovník]],DATA!A:L,5,0),"")</f>
        <v>6376</v>
      </c>
      <c r="F1427" s="12" t="s">
        <v>654</v>
      </c>
      <c r="G1427" s="16"/>
      <c r="H1427" s="18"/>
      <c r="I1427" s="27" t="str">
        <f>IFERROR(VLOOKUP(Tabulka2[[#This Row],[Pracovník]],DATA!A:L,11,0),"")</f>
        <v>BATZ 2</v>
      </c>
      <c r="J1427" s="16"/>
      <c r="K1427" s="19"/>
    </row>
    <row r="1428" spans="1:11" x14ac:dyDescent="0.25">
      <c r="A14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28" s="22">
        <v>45933</v>
      </c>
      <c r="C1428" s="16" t="s">
        <v>25</v>
      </c>
      <c r="D1428" s="16" t="s">
        <v>709</v>
      </c>
      <c r="E1428" s="17">
        <f>IFERROR(VLOOKUP(Tabulka2[[#This Row],[Pracovník]],DATA!A:L,5,0),"")</f>
        <v>5014</v>
      </c>
      <c r="F1428" s="12" t="s">
        <v>654</v>
      </c>
      <c r="G1428" s="16"/>
      <c r="H1428" s="18"/>
      <c r="I1428" s="27" t="str">
        <f>IFERROR(VLOOKUP(Tabulka2[[#This Row],[Pracovník]],DATA!A:L,11,0),"")</f>
        <v>BATZ 2</v>
      </c>
      <c r="J1428" s="16"/>
      <c r="K1428" s="19"/>
    </row>
    <row r="1429" spans="1:11" x14ac:dyDescent="0.25">
      <c r="A14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29" s="22">
        <v>45933</v>
      </c>
      <c r="C1429" s="16" t="s">
        <v>25</v>
      </c>
      <c r="D1429" s="16" t="s">
        <v>710</v>
      </c>
      <c r="E1429" s="17">
        <f>IFERROR(VLOOKUP(Tabulka2[[#This Row],[Pracovník]],DATA!A:L,5,0),"")</f>
        <v>3369</v>
      </c>
      <c r="F1429" s="12" t="s">
        <v>653</v>
      </c>
      <c r="G1429" s="16" t="s">
        <v>925</v>
      </c>
      <c r="H1429" s="18"/>
      <c r="I1429" s="27" t="str">
        <f>IFERROR(VLOOKUP(Tabulka2[[#This Row],[Pracovník]],DATA!A:L,11,0),"")</f>
        <v>BATZ 1</v>
      </c>
      <c r="J1429" s="16"/>
      <c r="K1429" s="19" t="s">
        <v>1010</v>
      </c>
    </row>
    <row r="1430" spans="1:11" x14ac:dyDescent="0.25">
      <c r="A14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30" s="22">
        <v>45933</v>
      </c>
      <c r="C1430" s="16" t="s">
        <v>25</v>
      </c>
      <c r="D1430" s="16" t="s">
        <v>711</v>
      </c>
      <c r="E1430" s="17">
        <f>IFERROR(VLOOKUP(Tabulka2[[#This Row],[Pracovník]],DATA!A:L,5,0),"")</f>
        <v>6576</v>
      </c>
      <c r="F1430" s="12" t="s">
        <v>640</v>
      </c>
      <c r="G1430" s="16"/>
      <c r="H1430" s="18"/>
      <c r="I1430" s="27" t="str">
        <f>IFERROR(VLOOKUP(Tabulka2[[#This Row],[Pracovník]],DATA!A:L,11,0),"")</f>
        <v>BATZ 1</v>
      </c>
      <c r="J1430" s="16"/>
      <c r="K1430" s="19"/>
    </row>
    <row r="1431" spans="1:11" x14ac:dyDescent="0.25">
      <c r="A14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31" s="22">
        <v>45933</v>
      </c>
      <c r="C1431" s="16" t="s">
        <v>25</v>
      </c>
      <c r="D1431" s="16" t="s">
        <v>712</v>
      </c>
      <c r="E1431" s="17">
        <f>IFERROR(VLOOKUP(Tabulka2[[#This Row],[Pracovník]],DATA!A:L,5,0),"")</f>
        <v>6352</v>
      </c>
      <c r="F1431" s="12" t="s">
        <v>654</v>
      </c>
      <c r="G1431" s="16"/>
      <c r="H1431" s="18"/>
      <c r="I1431" s="27" t="str">
        <f>IFERROR(VLOOKUP(Tabulka2[[#This Row],[Pracovník]],DATA!A:L,11,0),"")</f>
        <v>BATZ 1</v>
      </c>
      <c r="J1431" s="16"/>
      <c r="K1431" s="19"/>
    </row>
    <row r="1432" spans="1:11" x14ac:dyDescent="0.25">
      <c r="A14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32" s="22">
        <v>45933</v>
      </c>
      <c r="C1432" s="16" t="s">
        <v>25</v>
      </c>
      <c r="D1432" s="16" t="s">
        <v>714</v>
      </c>
      <c r="E1432" s="17">
        <f>IFERROR(VLOOKUP(Tabulka2[[#This Row],[Pracovník]],DATA!A:L,5,0),"")</f>
        <v>4972</v>
      </c>
      <c r="F1432" s="12" t="s">
        <v>640</v>
      </c>
      <c r="G1432" s="16"/>
      <c r="H1432" s="18"/>
      <c r="I1432" s="27" t="str">
        <f>IFERROR(VLOOKUP(Tabulka2[[#This Row],[Pracovník]],DATA!A:L,11,0),"")</f>
        <v>BATZ 2</v>
      </c>
      <c r="J1432" s="16"/>
      <c r="K1432" s="19"/>
    </row>
    <row r="1433" spans="1:11" x14ac:dyDescent="0.25">
      <c r="A14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33" s="22">
        <v>45933</v>
      </c>
      <c r="C1433" s="16" t="s">
        <v>25</v>
      </c>
      <c r="D1433" s="16" t="s">
        <v>715</v>
      </c>
      <c r="E1433" s="17">
        <f>IFERROR(VLOOKUP(Tabulka2[[#This Row],[Pracovník]],DATA!A:L,5,0),"")</f>
        <v>2230</v>
      </c>
      <c r="F1433" s="12" t="s">
        <v>640</v>
      </c>
      <c r="G1433" s="16"/>
      <c r="H1433" s="18"/>
      <c r="I1433" s="27" t="str">
        <f>IFERROR(VLOOKUP(Tabulka2[[#This Row],[Pracovník]],DATA!A:L,11,0),"")</f>
        <v>BATZ 1</v>
      </c>
      <c r="J1433" s="16"/>
      <c r="K1433" s="19"/>
    </row>
    <row r="1434" spans="1:11" x14ac:dyDescent="0.25">
      <c r="A14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34" s="22">
        <v>45933</v>
      </c>
      <c r="C1434" s="16" t="s">
        <v>25</v>
      </c>
      <c r="D1434" s="16" t="s">
        <v>716</v>
      </c>
      <c r="E1434" s="17">
        <f>IFERROR(VLOOKUP(Tabulka2[[#This Row],[Pracovník]],DATA!A:L,5,0),"")</f>
        <v>5310</v>
      </c>
      <c r="F1434" s="12" t="s">
        <v>653</v>
      </c>
      <c r="G1434" s="16" t="s">
        <v>656</v>
      </c>
      <c r="H1434" s="18"/>
      <c r="I1434" s="27" t="str">
        <f>IFERROR(VLOOKUP(Tabulka2[[#This Row],[Pracovník]],DATA!A:L,11,0),"")</f>
        <v>BATZ 1</v>
      </c>
      <c r="J1434" s="16"/>
      <c r="K1434" s="19"/>
    </row>
    <row r="1435" spans="1:11" x14ac:dyDescent="0.25">
      <c r="A14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35" s="22">
        <v>45933</v>
      </c>
      <c r="C1435" s="16" t="s">
        <v>25</v>
      </c>
      <c r="D1435" s="16" t="s">
        <v>717</v>
      </c>
      <c r="E1435" s="17">
        <f>IFERROR(VLOOKUP(Tabulka2[[#This Row],[Pracovník]],DATA!A:L,5,0),"")</f>
        <v>5948</v>
      </c>
      <c r="F1435" s="12" t="s">
        <v>653</v>
      </c>
      <c r="G1435" s="16" t="s">
        <v>657</v>
      </c>
      <c r="H1435" s="18"/>
      <c r="I1435" s="27" t="str">
        <f>IFERROR(VLOOKUP(Tabulka2[[#This Row],[Pracovník]],DATA!A:L,11,0),"")</f>
        <v>BATZ 1</v>
      </c>
      <c r="J1435" s="16"/>
      <c r="K1435" s="19"/>
    </row>
    <row r="1436" spans="1:11" x14ac:dyDescent="0.25">
      <c r="A14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36" s="22">
        <v>45933</v>
      </c>
      <c r="C1436" s="16" t="s">
        <v>25</v>
      </c>
      <c r="D1436" s="16" t="s">
        <v>718</v>
      </c>
      <c r="E1436" s="17">
        <f>IFERROR(VLOOKUP(Tabulka2[[#This Row],[Pracovník]],DATA!A:L,5,0),"")</f>
        <v>6549</v>
      </c>
      <c r="F1436" s="12" t="s">
        <v>640</v>
      </c>
      <c r="G1436" s="16"/>
      <c r="H1436" s="18"/>
      <c r="I1436" s="27" t="str">
        <f>IFERROR(VLOOKUP(Tabulka2[[#This Row],[Pracovník]],DATA!A:L,11,0),"")</f>
        <v>BATZ 1</v>
      </c>
      <c r="J1436" s="16"/>
      <c r="K1436" s="19"/>
    </row>
    <row r="1437" spans="1:11" x14ac:dyDescent="0.25">
      <c r="A14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37" s="22">
        <v>45933</v>
      </c>
      <c r="C1437" s="16" t="s">
        <v>25</v>
      </c>
      <c r="D1437" s="16" t="s">
        <v>977</v>
      </c>
      <c r="E1437" s="17">
        <f>IFERROR(VLOOKUP(Tabulka2[[#This Row],[Pracovník]],DATA!A:L,5,0),"")</f>
        <v>6538</v>
      </c>
      <c r="F1437" s="12" t="s">
        <v>640</v>
      </c>
      <c r="G1437" s="16"/>
      <c r="H1437" s="18"/>
      <c r="I1437" s="27" t="str">
        <f>IFERROR(VLOOKUP(Tabulka2[[#This Row],[Pracovník]],DATA!A:L,11,0),"")</f>
        <v>BATZ 1</v>
      </c>
      <c r="J1437" s="16"/>
      <c r="K1437" s="19"/>
    </row>
    <row r="1438" spans="1:11" x14ac:dyDescent="0.25">
      <c r="A14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38" s="22">
        <v>45933</v>
      </c>
      <c r="C1438" s="16" t="s">
        <v>25</v>
      </c>
      <c r="D1438" s="16" t="s">
        <v>719</v>
      </c>
      <c r="E1438" s="17">
        <f>IFERROR(VLOOKUP(Tabulka2[[#This Row],[Pracovník]],DATA!A:L,5,0),"")</f>
        <v>5715</v>
      </c>
      <c r="F1438" s="12" t="s">
        <v>655</v>
      </c>
      <c r="G1438" s="16"/>
      <c r="H1438" s="18"/>
      <c r="I1438" s="27" t="str">
        <f>IFERROR(VLOOKUP(Tabulka2[[#This Row],[Pracovník]],DATA!A:L,11,0),"")</f>
        <v>BATZ 1</v>
      </c>
      <c r="J1438" s="16"/>
      <c r="K1438" s="19"/>
    </row>
    <row r="1439" spans="1:11" x14ac:dyDescent="0.25">
      <c r="A14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39" s="22">
        <v>45933</v>
      </c>
      <c r="C1439" s="16" t="s">
        <v>25</v>
      </c>
      <c r="D1439" s="16" t="s">
        <v>720</v>
      </c>
      <c r="E1439" s="17">
        <f>IFERROR(VLOOKUP(Tabulka2[[#This Row],[Pracovník]],DATA!A:L,5,0),"")</f>
        <v>4514</v>
      </c>
      <c r="F1439" s="12" t="s">
        <v>655</v>
      </c>
      <c r="G1439" s="16"/>
      <c r="H1439" s="18"/>
      <c r="I1439" s="27" t="str">
        <f>IFERROR(VLOOKUP(Tabulka2[[#This Row],[Pracovník]],DATA!A:L,11,0),"")</f>
        <v>BATZ 1</v>
      </c>
      <c r="J1439" s="16"/>
      <c r="K1439" s="19"/>
    </row>
    <row r="1440" spans="1:11" x14ac:dyDescent="0.25">
      <c r="A14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40" s="22">
        <v>45933</v>
      </c>
      <c r="C1440" s="16" t="s">
        <v>25</v>
      </c>
      <c r="D1440" s="16" t="s">
        <v>721</v>
      </c>
      <c r="E1440" s="17">
        <f>IFERROR(VLOOKUP(Tabulka2[[#This Row],[Pracovník]],DATA!A:L,5,0),"")</f>
        <v>5176</v>
      </c>
      <c r="F1440" s="12" t="s">
        <v>654</v>
      </c>
      <c r="G1440" s="16"/>
      <c r="H1440" s="18"/>
      <c r="I1440" s="27" t="str">
        <f>IFERROR(VLOOKUP(Tabulka2[[#This Row],[Pracovník]],DATA!A:L,11,0),"")</f>
        <v>BATZ 1</v>
      </c>
      <c r="J1440" s="16"/>
      <c r="K1440" s="19"/>
    </row>
    <row r="1441" spans="1:11" x14ac:dyDescent="0.25">
      <c r="A14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41" s="22">
        <v>45933</v>
      </c>
      <c r="C1441" s="16" t="s">
        <v>25</v>
      </c>
      <c r="D1441" s="16" t="s">
        <v>722</v>
      </c>
      <c r="E1441" s="17">
        <f>IFERROR(VLOOKUP(Tabulka2[[#This Row],[Pracovník]],DATA!A:L,5,0),"")</f>
        <v>4163</v>
      </c>
      <c r="F1441" s="12" t="s">
        <v>655</v>
      </c>
      <c r="G1441" s="16"/>
      <c r="H1441" s="18"/>
      <c r="I1441" s="27" t="str">
        <f>IFERROR(VLOOKUP(Tabulka2[[#This Row],[Pracovník]],DATA!A:L,11,0),"")</f>
        <v>BATZ 1</v>
      </c>
      <c r="J1441" s="16"/>
      <c r="K1441" s="19"/>
    </row>
    <row r="1442" spans="1:11" x14ac:dyDescent="0.25">
      <c r="A14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42" s="22">
        <v>45933</v>
      </c>
      <c r="C1442" s="16" t="s">
        <v>25</v>
      </c>
      <c r="D1442" s="16" t="s">
        <v>723</v>
      </c>
      <c r="E1442" s="17">
        <f>IFERROR(VLOOKUP(Tabulka2[[#This Row],[Pracovník]],DATA!A:L,5,0),"")</f>
        <v>3920</v>
      </c>
      <c r="F1442" s="12" t="s">
        <v>640</v>
      </c>
      <c r="G1442" s="16"/>
      <c r="H1442" s="18"/>
      <c r="I1442" s="27" t="str">
        <f>IFERROR(VLOOKUP(Tabulka2[[#This Row],[Pracovník]],DATA!A:L,11,0),"")</f>
        <v>BATZ 2</v>
      </c>
      <c r="J1442" s="16"/>
      <c r="K1442" s="19"/>
    </row>
    <row r="1443" spans="1:11" x14ac:dyDescent="0.25">
      <c r="A14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43" s="22">
        <v>45933</v>
      </c>
      <c r="C1443" s="16" t="s">
        <v>25</v>
      </c>
      <c r="D1443" s="16" t="s">
        <v>724</v>
      </c>
      <c r="E1443" s="17">
        <f>IFERROR(VLOOKUP(Tabulka2[[#This Row],[Pracovník]],DATA!A:L,5,0),"")</f>
        <v>3257</v>
      </c>
      <c r="F1443" s="12" t="s">
        <v>655</v>
      </c>
      <c r="G1443" s="16"/>
      <c r="H1443" s="18"/>
      <c r="I1443" s="27" t="str">
        <f>IFERROR(VLOOKUP(Tabulka2[[#This Row],[Pracovník]],DATA!A:L,11,0),"")</f>
        <v>BATZ 1</v>
      </c>
      <c r="J1443" s="16"/>
      <c r="K1443" s="19"/>
    </row>
    <row r="1444" spans="1:11" x14ac:dyDescent="0.25">
      <c r="A14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44" s="22">
        <v>45933</v>
      </c>
      <c r="C1444" s="16" t="s">
        <v>25</v>
      </c>
      <c r="D1444" s="16" t="s">
        <v>725</v>
      </c>
      <c r="E1444" s="17">
        <f>IFERROR(VLOOKUP(Tabulka2[[#This Row],[Pracovník]],DATA!A:L,5,0),"")</f>
        <v>3394</v>
      </c>
      <c r="F1444" s="12" t="s">
        <v>653</v>
      </c>
      <c r="G1444" s="16" t="s">
        <v>656</v>
      </c>
      <c r="H1444" s="18"/>
      <c r="I1444" s="27" t="str">
        <f>IFERROR(VLOOKUP(Tabulka2[[#This Row],[Pracovník]],DATA!A:L,11,0),"")</f>
        <v>BATZ 1</v>
      </c>
      <c r="J1444" s="16"/>
      <c r="K1444" s="19"/>
    </row>
    <row r="1445" spans="1:11" x14ac:dyDescent="0.25">
      <c r="A14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45" s="22">
        <v>45933</v>
      </c>
      <c r="C1445" s="16" t="s">
        <v>25</v>
      </c>
      <c r="D1445" s="16" t="s">
        <v>726</v>
      </c>
      <c r="E1445" s="17">
        <f>IFERROR(VLOOKUP(Tabulka2[[#This Row],[Pracovník]],DATA!A:L,5,0),"")</f>
        <v>4828</v>
      </c>
      <c r="F1445" s="12" t="s">
        <v>654</v>
      </c>
      <c r="G1445" s="16"/>
      <c r="H1445" s="18"/>
      <c r="I1445" s="27" t="str">
        <f>IFERROR(VLOOKUP(Tabulka2[[#This Row],[Pracovník]],DATA!A:L,11,0),"")</f>
        <v>BATZ 2</v>
      </c>
      <c r="J1445" s="16"/>
      <c r="K1445" s="19"/>
    </row>
    <row r="1446" spans="1:11" x14ac:dyDescent="0.25">
      <c r="A14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46" s="22">
        <v>45933</v>
      </c>
      <c r="C1446" s="16" t="s">
        <v>25</v>
      </c>
      <c r="D1446" s="16" t="s">
        <v>727</v>
      </c>
      <c r="E1446" s="17">
        <f>IFERROR(VLOOKUP(Tabulka2[[#This Row],[Pracovník]],DATA!A:L,5,0),"")</f>
        <v>4155</v>
      </c>
      <c r="F1446" s="12" t="s">
        <v>640</v>
      </c>
      <c r="G1446" s="16"/>
      <c r="H1446" s="18"/>
      <c r="I1446" s="27" t="str">
        <f>IFERROR(VLOOKUP(Tabulka2[[#This Row],[Pracovník]],DATA!A:L,11,0),"")</f>
        <v>BATZ 1</v>
      </c>
      <c r="J1446" s="16"/>
      <c r="K1446" s="19"/>
    </row>
    <row r="1447" spans="1:11" x14ac:dyDescent="0.25">
      <c r="A14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47" s="22">
        <v>45933</v>
      </c>
      <c r="C1447" s="16" t="s">
        <v>25</v>
      </c>
      <c r="D1447" s="16" t="s">
        <v>728</v>
      </c>
      <c r="E1447" s="17">
        <f>IFERROR(VLOOKUP(Tabulka2[[#This Row],[Pracovník]],DATA!A:L,5,0),"")</f>
        <v>0</v>
      </c>
      <c r="F1447" s="12" t="s">
        <v>640</v>
      </c>
      <c r="G1447" s="16"/>
      <c r="H1447" s="18"/>
      <c r="I1447" s="27" t="str">
        <f>IFERROR(VLOOKUP(Tabulka2[[#This Row],[Pracovník]],DATA!A:L,11,0),"")</f>
        <v>BATZ 1</v>
      </c>
      <c r="J1447" s="16"/>
      <c r="K1447" s="19"/>
    </row>
    <row r="1448" spans="1:11" x14ac:dyDescent="0.25">
      <c r="A14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48" s="22">
        <v>45933</v>
      </c>
      <c r="C1448" s="16" t="s">
        <v>25</v>
      </c>
      <c r="D1448" s="16" t="s">
        <v>729</v>
      </c>
      <c r="E1448" s="17">
        <f>IFERROR(VLOOKUP(Tabulka2[[#This Row],[Pracovník]],DATA!A:L,5,0),"")</f>
        <v>5179</v>
      </c>
      <c r="F1448" s="12" t="s">
        <v>654</v>
      </c>
      <c r="G1448" s="16"/>
      <c r="H1448" s="18"/>
      <c r="I1448" s="27" t="str">
        <f>IFERROR(VLOOKUP(Tabulka2[[#This Row],[Pracovník]],DATA!A:L,11,0),"")</f>
        <v>BATZ 1</v>
      </c>
      <c r="J1448" s="16"/>
      <c r="K1448" s="19"/>
    </row>
    <row r="1449" spans="1:11" x14ac:dyDescent="0.25">
      <c r="A14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49" s="22">
        <v>45933</v>
      </c>
      <c r="C1449" s="16" t="s">
        <v>25</v>
      </c>
      <c r="D1449" s="16" t="s">
        <v>730</v>
      </c>
      <c r="E1449" s="17">
        <f>IFERROR(VLOOKUP(Tabulka2[[#This Row],[Pracovník]],DATA!A:L,5,0),"")</f>
        <v>4912</v>
      </c>
      <c r="F1449" s="12" t="s">
        <v>655</v>
      </c>
      <c r="G1449" s="16"/>
      <c r="H1449" s="18"/>
      <c r="I1449" s="27" t="str">
        <f>IFERROR(VLOOKUP(Tabulka2[[#This Row],[Pracovník]],DATA!A:L,11,0),"")</f>
        <v>BATZ 2</v>
      </c>
      <c r="J1449" s="16"/>
      <c r="K1449" s="19"/>
    </row>
    <row r="1450" spans="1:11" x14ac:dyDescent="0.25">
      <c r="A14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50" s="22">
        <v>45933</v>
      </c>
      <c r="C1450" s="16" t="s">
        <v>25</v>
      </c>
      <c r="D1450" s="16" t="s">
        <v>713</v>
      </c>
      <c r="E1450" s="17">
        <f>IFERROR(VLOOKUP(Tabulka2[[#This Row],[Pracovník]],DATA!A:L,5,0),"")</f>
        <v>6507</v>
      </c>
      <c r="F1450" s="12" t="s">
        <v>640</v>
      </c>
      <c r="G1450" s="16"/>
      <c r="H1450" s="18"/>
      <c r="I1450" s="27" t="str">
        <f>IFERROR(VLOOKUP(Tabulka2[[#This Row],[Pracovník]],DATA!A:L,11,0),"")</f>
        <v>BATZ 1</v>
      </c>
      <c r="J1450" s="16"/>
      <c r="K1450" s="19"/>
    </row>
    <row r="1451" spans="1:11" x14ac:dyDescent="0.25">
      <c r="A14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51" s="22">
        <v>45933</v>
      </c>
      <c r="C1451" s="16" t="s">
        <v>25</v>
      </c>
      <c r="D1451" s="16" t="s">
        <v>732</v>
      </c>
      <c r="E1451" s="17">
        <f>IFERROR(VLOOKUP(Tabulka2[[#This Row],[Pracovník]],DATA!A:L,5,0),"")</f>
        <v>3937</v>
      </c>
      <c r="F1451" s="12" t="s">
        <v>655</v>
      </c>
      <c r="G1451" s="16"/>
      <c r="H1451" s="18"/>
      <c r="I1451" s="27" t="str">
        <f>IFERROR(VLOOKUP(Tabulka2[[#This Row],[Pracovník]],DATA!A:L,11,0),"")</f>
        <v>BATZ 1</v>
      </c>
      <c r="J1451" s="16"/>
      <c r="K1451" s="19"/>
    </row>
    <row r="1452" spans="1:11" x14ac:dyDescent="0.25">
      <c r="A14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52" s="22">
        <v>45933</v>
      </c>
      <c r="C1452" s="16" t="s">
        <v>25</v>
      </c>
      <c r="D1452" s="16" t="s">
        <v>733</v>
      </c>
      <c r="E1452" s="17">
        <f>IFERROR(VLOOKUP(Tabulka2[[#This Row],[Pracovník]],DATA!A:L,5,0),"")</f>
        <v>6076</v>
      </c>
      <c r="F1452" s="12" t="s">
        <v>654</v>
      </c>
      <c r="G1452" s="16"/>
      <c r="H1452" s="18"/>
      <c r="I1452" s="27" t="str">
        <f>IFERROR(VLOOKUP(Tabulka2[[#This Row],[Pracovník]],DATA!A:L,11,0),"")</f>
        <v>BATZ 1</v>
      </c>
      <c r="J1452" s="16"/>
      <c r="K1452" s="19"/>
    </row>
    <row r="1453" spans="1:11" x14ac:dyDescent="0.25">
      <c r="A14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53" s="22">
        <v>45933</v>
      </c>
      <c r="C1453" s="16" t="s">
        <v>25</v>
      </c>
      <c r="D1453" s="16" t="s">
        <v>734</v>
      </c>
      <c r="E1453" s="17">
        <f>IFERROR(VLOOKUP(Tabulka2[[#This Row],[Pracovník]],DATA!A:L,5,0),"")</f>
        <v>3648</v>
      </c>
      <c r="F1453" s="12" t="s">
        <v>640</v>
      </c>
      <c r="G1453" s="16"/>
      <c r="H1453" s="18"/>
      <c r="I1453" s="27" t="str">
        <f>IFERROR(VLOOKUP(Tabulka2[[#This Row],[Pracovník]],DATA!A:L,11,0),"")</f>
        <v>BATZ 1</v>
      </c>
      <c r="J1453" s="16"/>
      <c r="K1453" s="19"/>
    </row>
    <row r="1454" spans="1:11" x14ac:dyDescent="0.25">
      <c r="A14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54" s="22">
        <v>45933</v>
      </c>
      <c r="C1454" s="16" t="s">
        <v>25</v>
      </c>
      <c r="D1454" s="16" t="s">
        <v>735</v>
      </c>
      <c r="E1454" s="17">
        <f>IFERROR(VLOOKUP(Tabulka2[[#This Row],[Pracovník]],DATA!A:L,5,0),"")</f>
        <v>4602</v>
      </c>
      <c r="F1454" s="12" t="s">
        <v>654</v>
      </c>
      <c r="G1454" s="16"/>
      <c r="H1454" s="18"/>
      <c r="I1454" s="27" t="str">
        <f>IFERROR(VLOOKUP(Tabulka2[[#This Row],[Pracovník]],DATA!A:L,11,0),"")</f>
        <v>BATZ 1</v>
      </c>
      <c r="J1454" s="16"/>
      <c r="K1454" s="19"/>
    </row>
    <row r="1455" spans="1:11" x14ac:dyDescent="0.25">
      <c r="A14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55" s="22">
        <v>45933</v>
      </c>
      <c r="C1455" s="16" t="s">
        <v>25</v>
      </c>
      <c r="D1455" s="16" t="s">
        <v>736</v>
      </c>
      <c r="E1455" s="17">
        <f>IFERROR(VLOOKUP(Tabulka2[[#This Row],[Pracovník]],DATA!A:L,5,0),"")</f>
        <v>4940</v>
      </c>
      <c r="F1455" s="12" t="s">
        <v>655</v>
      </c>
      <c r="G1455" s="16"/>
      <c r="H1455" s="18"/>
      <c r="I1455" s="27" t="str">
        <f>IFERROR(VLOOKUP(Tabulka2[[#This Row],[Pracovník]],DATA!A:L,11,0),"")</f>
        <v>BATZ 1</v>
      </c>
      <c r="J1455" s="16"/>
      <c r="K1455" s="19"/>
    </row>
    <row r="1456" spans="1:11" x14ac:dyDescent="0.25">
      <c r="A14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56" s="22">
        <v>45933</v>
      </c>
      <c r="C1456" s="16" t="s">
        <v>25</v>
      </c>
      <c r="D1456" s="16" t="s">
        <v>737</v>
      </c>
      <c r="E1456" s="17">
        <f>IFERROR(VLOOKUP(Tabulka2[[#This Row],[Pracovník]],DATA!A:L,5,0),"")</f>
        <v>5660</v>
      </c>
      <c r="F1456" s="12" t="s">
        <v>655</v>
      </c>
      <c r="G1456" s="16"/>
      <c r="H1456" s="18"/>
      <c r="I1456" s="27" t="str">
        <f>IFERROR(VLOOKUP(Tabulka2[[#This Row],[Pracovník]],DATA!A:L,11,0),"")</f>
        <v>BATZ 1</v>
      </c>
      <c r="J1456" s="16"/>
      <c r="K1456" s="19"/>
    </row>
    <row r="1457" spans="1:11" x14ac:dyDescent="0.25">
      <c r="A14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57" s="22">
        <v>45933</v>
      </c>
      <c r="C1457" s="16" t="s">
        <v>25</v>
      </c>
      <c r="D1457" s="16" t="s">
        <v>738</v>
      </c>
      <c r="E1457" s="17">
        <f>IFERROR(VLOOKUP(Tabulka2[[#This Row],[Pracovník]],DATA!A:L,5,0),"")</f>
        <v>6243</v>
      </c>
      <c r="F1457" s="12" t="s">
        <v>640</v>
      </c>
      <c r="G1457" s="16"/>
      <c r="H1457" s="18"/>
      <c r="I1457" s="27" t="str">
        <f>IFERROR(VLOOKUP(Tabulka2[[#This Row],[Pracovník]],DATA!A:L,11,0),"")</f>
        <v>BATZ 2</v>
      </c>
      <c r="J1457" s="16"/>
      <c r="K1457" s="19"/>
    </row>
    <row r="1458" spans="1:11" x14ac:dyDescent="0.25">
      <c r="A14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58" s="22">
        <v>45933</v>
      </c>
      <c r="C1458" s="16" t="s">
        <v>25</v>
      </c>
      <c r="D1458" s="16" t="s">
        <v>739</v>
      </c>
      <c r="E1458" s="17">
        <f>IFERROR(VLOOKUP(Tabulka2[[#This Row],[Pracovník]],DATA!A:L,5,0),"")</f>
        <v>6339</v>
      </c>
      <c r="F1458" s="12" t="s">
        <v>653</v>
      </c>
      <c r="G1458" s="16" t="s">
        <v>657</v>
      </c>
      <c r="H1458" s="18"/>
      <c r="I1458" s="27" t="str">
        <f>IFERROR(VLOOKUP(Tabulka2[[#This Row],[Pracovník]],DATA!A:L,11,0),"")</f>
        <v>BATZ 1</v>
      </c>
      <c r="J1458" s="16"/>
      <c r="K1458" s="19"/>
    </row>
    <row r="1459" spans="1:11" x14ac:dyDescent="0.25">
      <c r="A14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59" s="22">
        <v>45933</v>
      </c>
      <c r="C1459" s="16" t="s">
        <v>25</v>
      </c>
      <c r="D1459" s="16" t="s">
        <v>740</v>
      </c>
      <c r="E1459" s="17">
        <f>IFERROR(VLOOKUP(Tabulka2[[#This Row],[Pracovník]],DATA!A:L,5,0),"")</f>
        <v>4928</v>
      </c>
      <c r="F1459" s="12" t="s">
        <v>654</v>
      </c>
      <c r="G1459" s="16"/>
      <c r="H1459" s="18"/>
      <c r="I1459" s="27" t="str">
        <f>IFERROR(VLOOKUP(Tabulka2[[#This Row],[Pracovník]],DATA!A:L,11,0),"")</f>
        <v>BATZ 1</v>
      </c>
      <c r="J1459" s="16"/>
      <c r="K1459" s="19"/>
    </row>
    <row r="1460" spans="1:11" x14ac:dyDescent="0.25">
      <c r="A14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60" s="22">
        <v>45933</v>
      </c>
      <c r="C1460" s="16" t="s">
        <v>25</v>
      </c>
      <c r="D1460" s="16" t="s">
        <v>731</v>
      </c>
      <c r="E1460" s="17">
        <f>IFERROR(VLOOKUP(Tabulka2[[#This Row],[Pracovník]],DATA!A:L,5,0),"")</f>
        <v>0</v>
      </c>
      <c r="F1460" s="12" t="s">
        <v>655</v>
      </c>
      <c r="G1460" s="16"/>
      <c r="H1460" s="18"/>
      <c r="I1460" s="27" t="str">
        <f>IFERROR(VLOOKUP(Tabulka2[[#This Row],[Pracovník]],DATA!A:L,11,0),"")</f>
        <v>BATZ 1</v>
      </c>
      <c r="J1460" s="16"/>
      <c r="K1460" s="19"/>
    </row>
    <row r="1461" spans="1:11" x14ac:dyDescent="0.25">
      <c r="A14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61" s="22">
        <v>45933</v>
      </c>
      <c r="C1461" s="16" t="s">
        <v>25</v>
      </c>
      <c r="D1461" s="16" t="s">
        <v>924</v>
      </c>
      <c r="E1461" s="17">
        <f>IFERROR(VLOOKUP(Tabulka2[[#This Row],[Pracovník]],DATA!A:L,5,0),"")</f>
        <v>6581</v>
      </c>
      <c r="F1461" s="12" t="s">
        <v>640</v>
      </c>
      <c r="G1461" s="16"/>
      <c r="H1461" s="18"/>
      <c r="I1461" s="27" t="str">
        <f>IFERROR(VLOOKUP(Tabulka2[[#This Row],[Pracovník]],DATA!A:L,11,0),"")</f>
        <v>BATZ 1</v>
      </c>
      <c r="J1461" s="16"/>
      <c r="K1461" s="19"/>
    </row>
    <row r="1462" spans="1:11" x14ac:dyDescent="0.25">
      <c r="A14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62" s="22">
        <v>45933</v>
      </c>
      <c r="C1462" s="16" t="s">
        <v>96</v>
      </c>
      <c r="D1462" s="16" t="s">
        <v>641</v>
      </c>
      <c r="E1462" s="17">
        <f>IFERROR(VLOOKUP(Tabulka2[[#This Row],[Pracovník]],DATA!A:L,5,0),"")</f>
        <v>6259</v>
      </c>
      <c r="F1462" s="12" t="s">
        <v>640</v>
      </c>
      <c r="G1462" s="16"/>
      <c r="H1462" s="18"/>
      <c r="I1462" s="27" t="str">
        <f>IFERROR(VLOOKUP(Tabulka2[[#This Row],[Pracovník]],DATA!A:L,11,0),"")</f>
        <v>Vlastní auto</v>
      </c>
      <c r="J1462" s="16"/>
      <c r="K1462" s="19"/>
    </row>
    <row r="1463" spans="1:11" x14ac:dyDescent="0.25">
      <c r="A14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63" s="22">
        <v>45933</v>
      </c>
      <c r="C1463" s="16" t="s">
        <v>96</v>
      </c>
      <c r="D1463" s="16" t="s">
        <v>649</v>
      </c>
      <c r="E1463" s="17">
        <f>IFERROR(VLOOKUP(Tabulka2[[#This Row],[Pracovník]],DATA!A:L,5,0),"")</f>
        <v>3951</v>
      </c>
      <c r="F1463" s="12" t="s">
        <v>640</v>
      </c>
      <c r="G1463" s="16"/>
      <c r="H1463" s="18"/>
      <c r="I1463" s="27" t="str">
        <f>IFERROR(VLOOKUP(Tabulka2[[#This Row],[Pracovník]],DATA!A:L,11,0),"")</f>
        <v>Vlastní auto</v>
      </c>
      <c r="J1463" s="16"/>
      <c r="K1463" s="19"/>
    </row>
    <row r="1464" spans="1:11" x14ac:dyDescent="0.25">
      <c r="A14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64" s="22">
        <v>45933</v>
      </c>
      <c r="C1464" s="16" t="s">
        <v>96</v>
      </c>
      <c r="D1464" s="16" t="s">
        <v>742</v>
      </c>
      <c r="E1464" s="17">
        <f>IFERROR(VLOOKUP(Tabulka2[[#This Row],[Pracovník]],DATA!A:L,5,0),"")</f>
        <v>6450</v>
      </c>
      <c r="F1464" s="12" t="s">
        <v>654</v>
      </c>
      <c r="G1464" s="16"/>
      <c r="H1464" s="18"/>
      <c r="I1464" s="27" t="str">
        <f>IFERROR(VLOOKUP(Tabulka2[[#This Row],[Pracovník]],DATA!A:L,11,0),"")</f>
        <v>DSC 2</v>
      </c>
      <c r="J1464" s="16"/>
      <c r="K1464" s="19"/>
    </row>
    <row r="1465" spans="1:11" x14ac:dyDescent="0.25">
      <c r="A14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65" s="22">
        <v>45933</v>
      </c>
      <c r="C1465" s="16" t="s">
        <v>96</v>
      </c>
      <c r="D1465" s="16" t="s">
        <v>744</v>
      </c>
      <c r="E1465" s="17">
        <f>IFERROR(VLOOKUP(Tabulka2[[#This Row],[Pracovník]],DATA!A:L,5,0),"")</f>
        <v>5584</v>
      </c>
      <c r="F1465" s="12" t="s">
        <v>654</v>
      </c>
      <c r="G1465" s="16"/>
      <c r="H1465" s="18"/>
      <c r="I1465" s="27" t="str">
        <f>IFERROR(VLOOKUP(Tabulka2[[#This Row],[Pracovník]],DATA!A:L,11,0),"")</f>
        <v>Vlastní auto</v>
      </c>
      <c r="J1465" s="16"/>
      <c r="K1465" s="19"/>
    </row>
    <row r="1466" spans="1:11" x14ac:dyDescent="0.25">
      <c r="A14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66" s="22">
        <v>45933</v>
      </c>
      <c r="C1466" s="16" t="s">
        <v>96</v>
      </c>
      <c r="D1466" s="16" t="s">
        <v>745</v>
      </c>
      <c r="E1466" s="17">
        <f>IFERROR(VLOOKUP(Tabulka2[[#This Row],[Pracovník]],DATA!A:L,5,0),"")</f>
        <v>6418</v>
      </c>
      <c r="F1466" s="12" t="s">
        <v>640</v>
      </c>
      <c r="G1466" s="16"/>
      <c r="H1466" s="18"/>
      <c r="I1466" s="27" t="str">
        <f>IFERROR(VLOOKUP(Tabulka2[[#This Row],[Pracovník]],DATA!A:L,11,0),"")</f>
        <v>Vlastní auto</v>
      </c>
      <c r="J1466" s="16"/>
      <c r="K1466" s="19"/>
    </row>
    <row r="1467" spans="1:11" x14ac:dyDescent="0.25">
      <c r="A14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67" s="22">
        <v>45933</v>
      </c>
      <c r="C1467" s="16" t="s">
        <v>96</v>
      </c>
      <c r="D1467" s="16" t="s">
        <v>747</v>
      </c>
      <c r="E1467" s="17">
        <f>IFERROR(VLOOKUP(Tabulka2[[#This Row],[Pracovník]],DATA!A:L,5,0),"")</f>
        <v>6177</v>
      </c>
      <c r="F1467" s="12" t="s">
        <v>654</v>
      </c>
      <c r="G1467" s="16"/>
      <c r="H1467" s="18"/>
      <c r="I1467" s="27" t="str">
        <f>IFERROR(VLOOKUP(Tabulka2[[#This Row],[Pracovník]],DATA!A:L,11,0),"")</f>
        <v>DSC 1</v>
      </c>
      <c r="J1467" s="16"/>
      <c r="K1467" s="19"/>
    </row>
    <row r="1468" spans="1:11" x14ac:dyDescent="0.25">
      <c r="A14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68" s="22">
        <v>45933</v>
      </c>
      <c r="C1468" s="16" t="s">
        <v>96</v>
      </c>
      <c r="D1468" s="16" t="s">
        <v>746</v>
      </c>
      <c r="E1468" s="17">
        <f>IFERROR(VLOOKUP(Tabulka2[[#This Row],[Pracovník]],DATA!A:L,5,0),"")</f>
        <v>6543</v>
      </c>
      <c r="F1468" s="12" t="s">
        <v>640</v>
      </c>
      <c r="G1468" s="16"/>
      <c r="H1468" s="18"/>
      <c r="I1468" s="27" t="str">
        <f>IFERROR(VLOOKUP(Tabulka2[[#This Row],[Pracovník]],DATA!A:L,11,0),"")</f>
        <v>DSC 1</v>
      </c>
      <c r="J1468" s="16"/>
      <c r="K1468" s="19"/>
    </row>
    <row r="1469" spans="1:11" x14ac:dyDescent="0.25">
      <c r="A14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69" s="22">
        <v>45933</v>
      </c>
      <c r="C1469" s="16" t="s">
        <v>96</v>
      </c>
      <c r="D1469" s="16" t="s">
        <v>748</v>
      </c>
      <c r="E1469" s="17">
        <f>IFERROR(VLOOKUP(Tabulka2[[#This Row],[Pracovník]],DATA!A:L,5,0),"")</f>
        <v>6541</v>
      </c>
      <c r="F1469" s="12" t="s">
        <v>654</v>
      </c>
      <c r="G1469" s="16"/>
      <c r="H1469" s="18"/>
      <c r="I1469" s="27" t="str">
        <f>IFERROR(VLOOKUP(Tabulka2[[#This Row],[Pracovník]],DATA!A:L,11,0),"")</f>
        <v>DSC 2</v>
      </c>
      <c r="J1469" s="16"/>
      <c r="K1469" s="19"/>
    </row>
    <row r="1470" spans="1:11" x14ac:dyDescent="0.25">
      <c r="A14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70" s="22">
        <v>45933</v>
      </c>
      <c r="C1470" s="16" t="s">
        <v>96</v>
      </c>
      <c r="D1470" s="16" t="s">
        <v>749</v>
      </c>
      <c r="E1470" s="17">
        <f>IFERROR(VLOOKUP(Tabulka2[[#This Row],[Pracovník]],DATA!A:L,5,0),"")</f>
        <v>6442</v>
      </c>
      <c r="F1470" s="12" t="s">
        <v>640</v>
      </c>
      <c r="G1470" s="16"/>
      <c r="H1470" s="18"/>
      <c r="I1470" s="27" t="str">
        <f>IFERROR(VLOOKUP(Tabulka2[[#This Row],[Pracovník]],DATA!A:L,11,0),"")</f>
        <v>DSC 2</v>
      </c>
      <c r="J1470" s="16"/>
      <c r="K1470" s="19"/>
    </row>
    <row r="1471" spans="1:11" x14ac:dyDescent="0.25">
      <c r="A14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71" s="22">
        <v>45933</v>
      </c>
      <c r="C1471" s="16" t="s">
        <v>96</v>
      </c>
      <c r="D1471" s="16" t="s">
        <v>750</v>
      </c>
      <c r="E1471" s="17">
        <f>IFERROR(VLOOKUP(Tabulka2[[#This Row],[Pracovník]],DATA!A:L,5,0),"")</f>
        <v>6143</v>
      </c>
      <c r="F1471" s="12" t="s">
        <v>640</v>
      </c>
      <c r="G1471" s="16"/>
      <c r="H1471" s="18"/>
      <c r="I1471" s="27" t="str">
        <f>IFERROR(VLOOKUP(Tabulka2[[#This Row],[Pracovník]],DATA!A:L,11,0),"")</f>
        <v>Vlastní auto</v>
      </c>
      <c r="J1471" s="16"/>
      <c r="K1471" s="19"/>
    </row>
    <row r="1472" spans="1:11" x14ac:dyDescent="0.25">
      <c r="A14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72" s="22">
        <v>45933</v>
      </c>
      <c r="C1472" s="16" t="s">
        <v>96</v>
      </c>
      <c r="D1472" s="16" t="s">
        <v>751</v>
      </c>
      <c r="E1472" s="17">
        <f>IFERROR(VLOOKUP(Tabulka2[[#This Row],[Pracovník]],DATA!A:L,5,0),"")</f>
        <v>6260</v>
      </c>
      <c r="F1472" s="12" t="s">
        <v>640</v>
      </c>
      <c r="G1472" s="16"/>
      <c r="H1472" s="18"/>
      <c r="I1472" s="27" t="str">
        <f>IFERROR(VLOOKUP(Tabulka2[[#This Row],[Pracovník]],DATA!A:L,11,0),"")</f>
        <v>Vlastní auto</v>
      </c>
      <c r="J1472" s="16"/>
      <c r="K1472" s="19"/>
    </row>
    <row r="1473" spans="1:11" x14ac:dyDescent="0.25">
      <c r="A14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73" s="22">
        <v>45933</v>
      </c>
      <c r="C1473" s="16" t="s">
        <v>96</v>
      </c>
      <c r="D1473" s="16" t="s">
        <v>752</v>
      </c>
      <c r="E1473" s="17">
        <f>IFERROR(VLOOKUP(Tabulka2[[#This Row],[Pracovník]],DATA!A:L,5,0),"")</f>
        <v>6430</v>
      </c>
      <c r="F1473" s="12" t="s">
        <v>640</v>
      </c>
      <c r="G1473" s="16"/>
      <c r="H1473" s="18"/>
      <c r="I1473" s="27" t="str">
        <f>IFERROR(VLOOKUP(Tabulka2[[#This Row],[Pracovník]],DATA!A:L,11,0),"")</f>
        <v>Vlastní auto</v>
      </c>
      <c r="J1473" s="16"/>
      <c r="K1473" s="19"/>
    </row>
    <row r="1474" spans="1:11" x14ac:dyDescent="0.25">
      <c r="A14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74" s="22">
        <v>45933</v>
      </c>
      <c r="C1474" s="16" t="s">
        <v>96</v>
      </c>
      <c r="D1474" s="16" t="s">
        <v>753</v>
      </c>
      <c r="E1474" s="17">
        <f>IFERROR(VLOOKUP(Tabulka2[[#This Row],[Pracovník]],DATA!A:L,5,0),"")</f>
        <v>6016</v>
      </c>
      <c r="F1474" s="12" t="s">
        <v>654</v>
      </c>
      <c r="G1474" s="16"/>
      <c r="H1474" s="18"/>
      <c r="I1474" s="27" t="str">
        <f>IFERROR(VLOOKUP(Tabulka2[[#This Row],[Pracovník]],DATA!A:L,11,0),"")</f>
        <v>DSC 2</v>
      </c>
      <c r="J1474" s="16"/>
      <c r="K1474" s="19"/>
    </row>
    <row r="1475" spans="1:11" x14ac:dyDescent="0.25">
      <c r="A14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75" s="22">
        <v>45933</v>
      </c>
      <c r="C1475" s="16" t="s">
        <v>96</v>
      </c>
      <c r="D1475" s="16" t="s">
        <v>754</v>
      </c>
      <c r="E1475" s="17">
        <f>IFERROR(VLOOKUP(Tabulka2[[#This Row],[Pracovník]],DATA!A:L,5,0),"")</f>
        <v>6437</v>
      </c>
      <c r="F1475" s="12" t="s">
        <v>654</v>
      </c>
      <c r="G1475" s="16"/>
      <c r="H1475" s="18"/>
      <c r="I1475" s="27" t="str">
        <f>IFERROR(VLOOKUP(Tabulka2[[#This Row],[Pracovník]],DATA!A:L,11,0),"")</f>
        <v>DSC 2</v>
      </c>
      <c r="J1475" s="16"/>
      <c r="K1475" s="19"/>
    </row>
    <row r="1476" spans="1:11" x14ac:dyDescent="0.25">
      <c r="A14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76" s="22">
        <v>45933</v>
      </c>
      <c r="C1476" s="16" t="s">
        <v>96</v>
      </c>
      <c r="D1476" s="16" t="s">
        <v>756</v>
      </c>
      <c r="E1476" s="17">
        <f>IFERROR(VLOOKUP(Tabulka2[[#This Row],[Pracovník]],DATA!A:L,5,0),"")</f>
        <v>6431</v>
      </c>
      <c r="F1476" s="12" t="s">
        <v>654</v>
      </c>
      <c r="G1476" s="16"/>
      <c r="H1476" s="18"/>
      <c r="I1476" s="27" t="str">
        <f>IFERROR(VLOOKUP(Tabulka2[[#This Row],[Pracovník]],DATA!A:L,11,0),"")</f>
        <v>DSC 1</v>
      </c>
      <c r="J1476" s="16"/>
      <c r="K1476" s="19"/>
    </row>
    <row r="1477" spans="1:11" x14ac:dyDescent="0.25">
      <c r="A14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77" s="22">
        <v>45933</v>
      </c>
      <c r="C1477" s="16" t="s">
        <v>96</v>
      </c>
      <c r="D1477" s="16" t="s">
        <v>642</v>
      </c>
      <c r="E1477" s="17">
        <f>IFERROR(VLOOKUP(Tabulka2[[#This Row],[Pracovník]],DATA!A:L,5,0),"")</f>
        <v>6119</v>
      </c>
      <c r="F1477" s="12" t="s">
        <v>653</v>
      </c>
      <c r="G1477" s="16" t="s">
        <v>657</v>
      </c>
      <c r="H1477" s="18"/>
      <c r="I1477" s="27" t="str">
        <f>IFERROR(VLOOKUP(Tabulka2[[#This Row],[Pracovník]],DATA!A:L,11,0),"")</f>
        <v>DSC 1</v>
      </c>
      <c r="J1477" s="16"/>
      <c r="K1477" s="19"/>
    </row>
    <row r="1478" spans="1:11" x14ac:dyDescent="0.25">
      <c r="A14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78" s="22">
        <v>45933</v>
      </c>
      <c r="C1478" s="16" t="s">
        <v>96</v>
      </c>
      <c r="D1478" s="16" t="s">
        <v>757</v>
      </c>
      <c r="E1478" s="17">
        <f>IFERROR(VLOOKUP(Tabulka2[[#This Row],[Pracovník]],DATA!A:L,5,0),"")</f>
        <v>6559</v>
      </c>
      <c r="F1478" s="12" t="s">
        <v>640</v>
      </c>
      <c r="G1478" s="16"/>
      <c r="H1478" s="18"/>
      <c r="I1478" s="27" t="str">
        <f>IFERROR(VLOOKUP(Tabulka2[[#This Row],[Pracovník]],DATA!A:L,11,0),"")</f>
        <v>DSC 1</v>
      </c>
      <c r="J1478" s="16"/>
      <c r="K1478" s="19"/>
    </row>
    <row r="1479" spans="1:11" x14ac:dyDescent="0.25">
      <c r="A14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79" s="22">
        <v>45933</v>
      </c>
      <c r="C1479" s="16" t="s">
        <v>96</v>
      </c>
      <c r="D1479" s="16" t="s">
        <v>758</v>
      </c>
      <c r="E1479" s="17">
        <f>IFERROR(VLOOKUP(Tabulka2[[#This Row],[Pracovník]],DATA!A:L,5,0),"")</f>
        <v>4392</v>
      </c>
      <c r="F1479" s="12" t="s">
        <v>640</v>
      </c>
      <c r="G1479" s="16"/>
      <c r="H1479" s="18"/>
      <c r="I1479" s="27" t="str">
        <f>IFERROR(VLOOKUP(Tabulka2[[#This Row],[Pracovník]],DATA!A:L,11,0),"")</f>
        <v>DSC 1</v>
      </c>
      <c r="J1479" s="16"/>
      <c r="K1479" s="19"/>
    </row>
    <row r="1480" spans="1:11" x14ac:dyDescent="0.25">
      <c r="A14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80" s="22">
        <v>45933</v>
      </c>
      <c r="C1480" s="16" t="s">
        <v>96</v>
      </c>
      <c r="D1480" s="16" t="s">
        <v>760</v>
      </c>
      <c r="E1480" s="17">
        <f>IFERROR(VLOOKUP(Tabulka2[[#This Row],[Pracovník]],DATA!A:L,5,0),"")</f>
        <v>6514</v>
      </c>
      <c r="F1480" s="12" t="s">
        <v>640</v>
      </c>
      <c r="G1480" s="16"/>
      <c r="H1480" s="18"/>
      <c r="I1480" s="27" t="str">
        <f>IFERROR(VLOOKUP(Tabulka2[[#This Row],[Pracovník]],DATA!A:L,11,0),"")</f>
        <v>DSC 2</v>
      </c>
      <c r="J1480" s="16"/>
      <c r="K1480" s="19"/>
    </row>
    <row r="1481" spans="1:11" x14ac:dyDescent="0.25">
      <c r="A14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81" s="22">
        <v>45933</v>
      </c>
      <c r="C1481" s="16" t="s">
        <v>96</v>
      </c>
      <c r="D1481" s="16" t="s">
        <v>761</v>
      </c>
      <c r="E1481" s="17">
        <f>IFERROR(VLOOKUP(Tabulka2[[#This Row],[Pracovník]],DATA!A:L,5,0),"")</f>
        <v>6516</v>
      </c>
      <c r="F1481" s="12" t="s">
        <v>640</v>
      </c>
      <c r="G1481" s="16"/>
      <c r="H1481" s="18"/>
      <c r="I1481" s="27" t="str">
        <f>IFERROR(VLOOKUP(Tabulka2[[#This Row],[Pracovník]],DATA!A:L,11,0),"")</f>
        <v>DSC 1</v>
      </c>
      <c r="J1481" s="16"/>
      <c r="K1481" s="19"/>
    </row>
    <row r="1482" spans="1:11" x14ac:dyDescent="0.25">
      <c r="A14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82" s="22">
        <v>45933</v>
      </c>
      <c r="C1482" s="16" t="s">
        <v>96</v>
      </c>
      <c r="D1482" s="16" t="s">
        <v>762</v>
      </c>
      <c r="E1482" s="17">
        <f>IFERROR(VLOOKUP(Tabulka2[[#This Row],[Pracovník]],DATA!A:L,5,0),"")</f>
        <v>0</v>
      </c>
      <c r="F1482" s="12" t="s">
        <v>654</v>
      </c>
      <c r="G1482" s="16"/>
      <c r="H1482" s="18"/>
      <c r="I1482" s="27" t="str">
        <f>IFERROR(VLOOKUP(Tabulka2[[#This Row],[Pracovník]],DATA!A:L,11,0),"")</f>
        <v>Vlastní auto</v>
      </c>
      <c r="J1482" s="16"/>
      <c r="K1482" s="19"/>
    </row>
    <row r="1483" spans="1:11" x14ac:dyDescent="0.25">
      <c r="A14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83" s="22">
        <v>45933</v>
      </c>
      <c r="C1483" s="16" t="s">
        <v>96</v>
      </c>
      <c r="D1483" s="16" t="s">
        <v>763</v>
      </c>
      <c r="E1483" s="17">
        <f>IFERROR(VLOOKUP(Tabulka2[[#This Row],[Pracovník]],DATA!A:L,5,0),"")</f>
        <v>6158</v>
      </c>
      <c r="F1483" s="12" t="s">
        <v>640</v>
      </c>
      <c r="G1483" s="16"/>
      <c r="H1483" s="18"/>
      <c r="I1483" s="27" t="str">
        <f>IFERROR(VLOOKUP(Tabulka2[[#This Row],[Pracovník]],DATA!A:L,11,0),"")</f>
        <v>DSC 2</v>
      </c>
      <c r="J1483" s="16"/>
      <c r="K1483" s="19"/>
    </row>
    <row r="1484" spans="1:11" x14ac:dyDescent="0.25">
      <c r="A14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84" s="22">
        <v>45933</v>
      </c>
      <c r="C1484" s="16" t="s">
        <v>96</v>
      </c>
      <c r="D1484" s="16" t="s">
        <v>764</v>
      </c>
      <c r="E1484" s="17">
        <f>IFERROR(VLOOKUP(Tabulka2[[#This Row],[Pracovník]],DATA!A:L,5,0),"")</f>
        <v>3063</v>
      </c>
      <c r="F1484" s="12" t="s">
        <v>654</v>
      </c>
      <c r="G1484" s="16"/>
      <c r="H1484" s="18"/>
      <c r="I1484" s="27" t="str">
        <f>IFERROR(VLOOKUP(Tabulka2[[#This Row],[Pracovník]],DATA!A:L,11,0),"")</f>
        <v>DSC 2</v>
      </c>
      <c r="J1484" s="16"/>
      <c r="K1484" s="19"/>
    </row>
    <row r="1485" spans="1:11" x14ac:dyDescent="0.25">
      <c r="A14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85" s="22">
        <v>45933</v>
      </c>
      <c r="C1485" s="16" t="s">
        <v>96</v>
      </c>
      <c r="D1485" s="16" t="s">
        <v>765</v>
      </c>
      <c r="E1485" s="17">
        <f>IFERROR(VLOOKUP(Tabulka2[[#This Row],[Pracovník]],DATA!A:L,5,0),"")</f>
        <v>5853</v>
      </c>
      <c r="F1485" s="12" t="s">
        <v>640</v>
      </c>
      <c r="G1485" s="16"/>
      <c r="H1485" s="18"/>
      <c r="I1485" s="27" t="str">
        <f>IFERROR(VLOOKUP(Tabulka2[[#This Row],[Pracovník]],DATA!A:L,11,0),"")</f>
        <v>DSC 2</v>
      </c>
      <c r="J1485" s="16"/>
      <c r="K1485" s="19"/>
    </row>
    <row r="1486" spans="1:11" x14ac:dyDescent="0.25">
      <c r="A14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86" s="22">
        <v>45933</v>
      </c>
      <c r="C1486" s="16" t="s">
        <v>96</v>
      </c>
      <c r="D1486" s="16" t="s">
        <v>766</v>
      </c>
      <c r="E1486" s="17">
        <f>IFERROR(VLOOKUP(Tabulka2[[#This Row],[Pracovník]],DATA!A:L,5,0),"")</f>
        <v>6408</v>
      </c>
      <c r="F1486" s="12" t="s">
        <v>655</v>
      </c>
      <c r="G1486" s="16"/>
      <c r="H1486" s="18"/>
      <c r="I1486" s="27" t="str">
        <f>IFERROR(VLOOKUP(Tabulka2[[#This Row],[Pracovník]],DATA!A:L,11,0),"")</f>
        <v>Vlastní auto</v>
      </c>
      <c r="J1486" s="16"/>
      <c r="K1486" s="19"/>
    </row>
    <row r="1487" spans="1:11" x14ac:dyDescent="0.25">
      <c r="A14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87" s="22">
        <v>45933</v>
      </c>
      <c r="C1487" s="16" t="s">
        <v>96</v>
      </c>
      <c r="D1487" s="16" t="s">
        <v>767</v>
      </c>
      <c r="E1487" s="17">
        <f>IFERROR(VLOOKUP(Tabulka2[[#This Row],[Pracovník]],DATA!A:L,5,0),"")</f>
        <v>6544</v>
      </c>
      <c r="F1487" s="12" t="s">
        <v>640</v>
      </c>
      <c r="G1487" s="16"/>
      <c r="H1487" s="18"/>
      <c r="I1487" s="27" t="str">
        <f>IFERROR(VLOOKUP(Tabulka2[[#This Row],[Pracovník]],DATA!A:L,11,0),"")</f>
        <v>DSC 1</v>
      </c>
      <c r="J1487" s="16"/>
      <c r="K1487" s="19"/>
    </row>
    <row r="1488" spans="1:11" x14ac:dyDescent="0.25">
      <c r="A14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88" s="22">
        <v>45933</v>
      </c>
      <c r="C1488" s="16" t="s">
        <v>96</v>
      </c>
      <c r="D1488" s="16" t="s">
        <v>769</v>
      </c>
      <c r="E1488" s="17">
        <f>IFERROR(VLOOKUP(Tabulka2[[#This Row],[Pracovník]],DATA!A:L,5,0),"")</f>
        <v>0</v>
      </c>
      <c r="F1488" s="12" t="s">
        <v>655</v>
      </c>
      <c r="G1488" s="16"/>
      <c r="H1488" s="18"/>
      <c r="I1488" s="27" t="str">
        <f>IFERROR(VLOOKUP(Tabulka2[[#This Row],[Pracovník]],DATA!A:L,11,0),"")</f>
        <v>DSC 2</v>
      </c>
      <c r="J1488" s="16"/>
      <c r="K1488" s="19"/>
    </row>
    <row r="1489" spans="1:11" x14ac:dyDescent="0.25">
      <c r="A14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89" s="22">
        <v>45933</v>
      </c>
      <c r="C1489" s="16" t="s">
        <v>96</v>
      </c>
      <c r="D1489" s="16" t="s">
        <v>771</v>
      </c>
      <c r="E1489" s="17">
        <f>IFERROR(VLOOKUP(Tabulka2[[#This Row],[Pracovník]],DATA!A:L,5,0),"")</f>
        <v>6558</v>
      </c>
      <c r="F1489" s="12" t="s">
        <v>640</v>
      </c>
      <c r="G1489" s="16"/>
      <c r="H1489" s="18"/>
      <c r="I1489" s="27" t="str">
        <f>IFERROR(VLOOKUP(Tabulka2[[#This Row],[Pracovník]],DATA!A:L,11,0),"")</f>
        <v>DSC 1</v>
      </c>
      <c r="J1489" s="16"/>
      <c r="K1489" s="19"/>
    </row>
    <row r="1490" spans="1:11" x14ac:dyDescent="0.25">
      <c r="A14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90" s="22">
        <v>45933</v>
      </c>
      <c r="C1490" s="16" t="s">
        <v>96</v>
      </c>
      <c r="D1490" s="16" t="s">
        <v>771</v>
      </c>
      <c r="E1490" s="17">
        <f>IFERROR(VLOOKUP(Tabulka2[[#This Row],[Pracovník]],DATA!A:L,5,0),"")</f>
        <v>6558</v>
      </c>
      <c r="F1490" s="12" t="s">
        <v>655</v>
      </c>
      <c r="G1490" s="16"/>
      <c r="H1490" s="18"/>
      <c r="I1490" s="27" t="str">
        <f>IFERROR(VLOOKUP(Tabulka2[[#This Row],[Pracovník]],DATA!A:L,11,0),"")</f>
        <v>DSC 1</v>
      </c>
      <c r="J1490" s="16"/>
      <c r="K1490" s="19"/>
    </row>
    <row r="1491" spans="1:11" x14ac:dyDescent="0.25">
      <c r="A14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91" s="22">
        <v>45933</v>
      </c>
      <c r="C1491" s="16" t="s">
        <v>96</v>
      </c>
      <c r="D1491" s="16" t="s">
        <v>770</v>
      </c>
      <c r="E1491" s="17">
        <f>IFERROR(VLOOKUP(Tabulka2[[#This Row],[Pracovník]],DATA!A:L,5,0),"")</f>
        <v>6152</v>
      </c>
      <c r="F1491" s="12" t="s">
        <v>654</v>
      </c>
      <c r="G1491" s="16"/>
      <c r="H1491" s="18"/>
      <c r="I1491" s="27" t="str">
        <f>IFERROR(VLOOKUP(Tabulka2[[#This Row],[Pracovník]],DATA!A:L,11,0),"")</f>
        <v>DSC 2</v>
      </c>
      <c r="J1491" s="16"/>
      <c r="K1491" s="19"/>
    </row>
    <row r="1492" spans="1:11" x14ac:dyDescent="0.25">
      <c r="A14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92" s="22">
        <v>45933</v>
      </c>
      <c r="C1492" s="16" t="s">
        <v>28</v>
      </c>
      <c r="D1492" s="16" t="s">
        <v>646</v>
      </c>
      <c r="E1492" s="17">
        <f>IFERROR(VLOOKUP(Tabulka2[[#This Row],[Pracovník]],DATA!A:L,5,0),"")</f>
        <v>6537</v>
      </c>
      <c r="F1492" s="12" t="s">
        <v>655</v>
      </c>
      <c r="G1492" s="16"/>
      <c r="H1492" s="18"/>
      <c r="I1492" s="27" t="str">
        <f>IFERROR(VLOOKUP(Tabulka2[[#This Row],[Pracovník]],DATA!A:L,11,0),"")</f>
        <v>DSC 2</v>
      </c>
      <c r="J1492" s="16"/>
      <c r="K1492" s="19"/>
    </row>
    <row r="1493" spans="1:11" x14ac:dyDescent="0.25">
      <c r="A14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93" s="22">
        <v>45933</v>
      </c>
      <c r="C1493" s="16" t="s">
        <v>28</v>
      </c>
      <c r="D1493" s="16" t="s">
        <v>648</v>
      </c>
      <c r="E1493" s="17">
        <f>IFERROR(VLOOKUP(Tabulka2[[#This Row],[Pracovník]],DATA!A:L,5,0),"")</f>
        <v>5802</v>
      </c>
      <c r="F1493" s="12" t="s">
        <v>654</v>
      </c>
      <c r="G1493" s="16"/>
      <c r="H1493" s="18"/>
      <c r="I1493" s="27" t="str">
        <f>IFERROR(VLOOKUP(Tabulka2[[#This Row],[Pracovník]],DATA!A:L,11,0),"")</f>
        <v>Vlastní auto</v>
      </c>
      <c r="J1493" s="16"/>
      <c r="K1493" s="19"/>
    </row>
    <row r="1494" spans="1:11" x14ac:dyDescent="0.25">
      <c r="A14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94" s="22">
        <v>45933</v>
      </c>
      <c r="C1494" s="16" t="s">
        <v>28</v>
      </c>
      <c r="D1494" s="16" t="s">
        <v>772</v>
      </c>
      <c r="E1494" s="17">
        <f>IFERROR(VLOOKUP(Tabulka2[[#This Row],[Pracovník]],DATA!A:L,5,0),"")</f>
        <v>4869</v>
      </c>
      <c r="F1494" s="12" t="s">
        <v>640</v>
      </c>
      <c r="G1494" s="16"/>
      <c r="H1494" s="18"/>
      <c r="I1494" s="27" t="str">
        <f>IFERROR(VLOOKUP(Tabulka2[[#This Row],[Pracovník]],DATA!A:L,11,0),"")</f>
        <v>Vlastní auto</v>
      </c>
      <c r="J1494" s="16"/>
      <c r="K1494" s="19"/>
    </row>
    <row r="1495" spans="1:11" x14ac:dyDescent="0.25">
      <c r="A14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95" s="22">
        <v>45933</v>
      </c>
      <c r="C1495" s="16" t="s">
        <v>28</v>
      </c>
      <c r="D1495" s="16" t="s">
        <v>773</v>
      </c>
      <c r="E1495" s="17">
        <f>IFERROR(VLOOKUP(Tabulka2[[#This Row],[Pracovník]],DATA!A:L,5,0),"")</f>
        <v>6508</v>
      </c>
      <c r="F1495" s="12" t="s">
        <v>655</v>
      </c>
      <c r="G1495" s="16"/>
      <c r="H1495" s="18"/>
      <c r="I1495" s="27" t="str">
        <f>IFERROR(VLOOKUP(Tabulka2[[#This Row],[Pracovník]],DATA!A:L,11,0),"")</f>
        <v>Vlastní auto</v>
      </c>
      <c r="J1495" s="16"/>
      <c r="K1495" s="19"/>
    </row>
    <row r="1496" spans="1:11" x14ac:dyDescent="0.25">
      <c r="A14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96" s="22">
        <v>45933</v>
      </c>
      <c r="C1496" s="16" t="s">
        <v>28</v>
      </c>
      <c r="D1496" s="16" t="s">
        <v>774</v>
      </c>
      <c r="E1496" s="17">
        <f>IFERROR(VLOOKUP(Tabulka2[[#This Row],[Pracovník]],DATA!A:L,5,0),"")</f>
        <v>4607</v>
      </c>
      <c r="F1496" s="12" t="s">
        <v>654</v>
      </c>
      <c r="G1496" s="16"/>
      <c r="H1496" s="18"/>
      <c r="I1496" s="27" t="str">
        <f>IFERROR(VLOOKUP(Tabulka2[[#This Row],[Pracovník]],DATA!A:L,11,0),"")</f>
        <v>DSC 2</v>
      </c>
      <c r="J1496" s="16"/>
      <c r="K1496" s="19"/>
    </row>
    <row r="1497" spans="1:11" x14ac:dyDescent="0.25">
      <c r="A14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97" s="22">
        <v>45933</v>
      </c>
      <c r="C1497" s="16" t="s">
        <v>28</v>
      </c>
      <c r="D1497" s="16" t="s">
        <v>775</v>
      </c>
      <c r="E1497" s="17">
        <f>IFERROR(VLOOKUP(Tabulka2[[#This Row],[Pracovník]],DATA!A:L,5,0),"")</f>
        <v>5047</v>
      </c>
      <c r="F1497" s="12" t="s">
        <v>640</v>
      </c>
      <c r="G1497" s="16"/>
      <c r="H1497" s="18"/>
      <c r="I1497" s="27" t="str">
        <f>IFERROR(VLOOKUP(Tabulka2[[#This Row],[Pracovník]],DATA!A:L,11,0),"")</f>
        <v>Vlastní auto</v>
      </c>
      <c r="J1497" s="16"/>
      <c r="K1497" s="19"/>
    </row>
    <row r="1498" spans="1:11" x14ac:dyDescent="0.25">
      <c r="A14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98" s="22">
        <v>45933</v>
      </c>
      <c r="C1498" s="16" t="s">
        <v>28</v>
      </c>
      <c r="D1498" s="16" t="s">
        <v>777</v>
      </c>
      <c r="E1498" s="17">
        <f>IFERROR(VLOOKUP(Tabulka2[[#This Row],[Pracovník]],DATA!A:L,5,0),"")</f>
        <v>4616</v>
      </c>
      <c r="F1498" s="12" t="s">
        <v>654</v>
      </c>
      <c r="G1498" s="16"/>
      <c r="H1498" s="18"/>
      <c r="I1498" s="27" t="str">
        <f>IFERROR(VLOOKUP(Tabulka2[[#This Row],[Pracovník]],DATA!A:L,11,0),"")</f>
        <v>Vlastní auto</v>
      </c>
      <c r="J1498" s="16"/>
      <c r="K1498" s="19"/>
    </row>
    <row r="1499" spans="1:11" x14ac:dyDescent="0.25">
      <c r="A14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499" s="22">
        <v>45933</v>
      </c>
      <c r="C1499" s="16" t="s">
        <v>28</v>
      </c>
      <c r="D1499" s="16" t="s">
        <v>776</v>
      </c>
      <c r="E1499" s="17">
        <f>IFERROR(VLOOKUP(Tabulka2[[#This Row],[Pracovník]],DATA!A:L,5,0),"")</f>
        <v>4961</v>
      </c>
      <c r="F1499" s="12" t="s">
        <v>655</v>
      </c>
      <c r="G1499" s="16"/>
      <c r="H1499" s="18"/>
      <c r="I1499" s="27" t="str">
        <f>IFERROR(VLOOKUP(Tabulka2[[#This Row],[Pracovník]],DATA!A:L,11,0),"")</f>
        <v>Vlastní auto</v>
      </c>
      <c r="J1499" s="16"/>
      <c r="K1499" s="19"/>
    </row>
    <row r="1500" spans="1:11" x14ac:dyDescent="0.25">
      <c r="A15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00" s="22">
        <v>45933</v>
      </c>
      <c r="C1500" s="16" t="s">
        <v>28</v>
      </c>
      <c r="D1500" s="16" t="s">
        <v>778</v>
      </c>
      <c r="E1500" s="17">
        <f>IFERROR(VLOOKUP(Tabulka2[[#This Row],[Pracovník]],DATA!A:L,5,0),"")</f>
        <v>4721</v>
      </c>
      <c r="F1500" s="12" t="s">
        <v>655</v>
      </c>
      <c r="G1500" s="16"/>
      <c r="H1500" s="18"/>
      <c r="I1500" s="27" t="str">
        <f>IFERROR(VLOOKUP(Tabulka2[[#This Row],[Pracovník]],DATA!A:L,11,0),"")</f>
        <v>DSC 2</v>
      </c>
      <c r="J1500" s="16"/>
      <c r="K1500" s="19"/>
    </row>
    <row r="1501" spans="1:11" x14ac:dyDescent="0.25">
      <c r="A15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01" s="22">
        <v>45933</v>
      </c>
      <c r="C1501" s="16" t="s">
        <v>28</v>
      </c>
      <c r="D1501" s="16" t="s">
        <v>779</v>
      </c>
      <c r="E1501" s="17">
        <f>IFERROR(VLOOKUP(Tabulka2[[#This Row],[Pracovník]],DATA!A:L,5,0),"")</f>
        <v>4845</v>
      </c>
      <c r="F1501" s="12" t="s">
        <v>640</v>
      </c>
      <c r="G1501" s="16"/>
      <c r="H1501" s="18"/>
      <c r="I1501" s="27" t="str">
        <f>IFERROR(VLOOKUP(Tabulka2[[#This Row],[Pracovník]],DATA!A:L,11,0),"")</f>
        <v>Vlastní auto</v>
      </c>
      <c r="J1501" s="16"/>
      <c r="K1501" s="19"/>
    </row>
    <row r="1502" spans="1:11" x14ac:dyDescent="0.25">
      <c r="A15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02" s="22">
        <v>45933</v>
      </c>
      <c r="C1502" s="16" t="s">
        <v>28</v>
      </c>
      <c r="D1502" s="16" t="s">
        <v>780</v>
      </c>
      <c r="E1502" s="17">
        <f>IFERROR(VLOOKUP(Tabulka2[[#This Row],[Pracovník]],DATA!A:L,5,0),"")</f>
        <v>47</v>
      </c>
      <c r="F1502" s="12" t="s">
        <v>655</v>
      </c>
      <c r="G1502" s="16"/>
      <c r="H1502" s="18"/>
      <c r="I1502" s="27" t="str">
        <f>IFERROR(VLOOKUP(Tabulka2[[#This Row],[Pracovník]],DATA!A:L,11,0),"")</f>
        <v>DSC 1</v>
      </c>
      <c r="J1502" s="16"/>
      <c r="K1502" s="19"/>
    </row>
    <row r="1503" spans="1:11" x14ac:dyDescent="0.25">
      <c r="A15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03" s="22">
        <v>45933</v>
      </c>
      <c r="C1503" s="16" t="s">
        <v>28</v>
      </c>
      <c r="D1503" s="16" t="s">
        <v>792</v>
      </c>
      <c r="E1503" s="17">
        <f>IFERROR(VLOOKUP(Tabulka2[[#This Row],[Pracovník]],DATA!A:L,5,0),"")</f>
        <v>6332</v>
      </c>
      <c r="F1503" s="12" t="s">
        <v>640</v>
      </c>
      <c r="G1503" s="16"/>
      <c r="H1503" s="18"/>
      <c r="I1503" s="27" t="str">
        <f>IFERROR(VLOOKUP(Tabulka2[[#This Row],[Pracovník]],DATA!A:L,11,0),"")</f>
        <v>Vlastní auto</v>
      </c>
      <c r="J1503" s="16"/>
      <c r="K1503" s="19"/>
    </row>
    <row r="1504" spans="1:11" x14ac:dyDescent="0.25">
      <c r="A15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04" s="22">
        <v>45933</v>
      </c>
      <c r="C1504" s="16" t="s">
        <v>28</v>
      </c>
      <c r="D1504" s="16" t="s">
        <v>793</v>
      </c>
      <c r="E1504" s="17">
        <f>IFERROR(VLOOKUP(Tabulka2[[#This Row],[Pracovník]],DATA!A:L,5,0),"")</f>
        <v>4871</v>
      </c>
      <c r="F1504" s="12" t="s">
        <v>640</v>
      </c>
      <c r="G1504" s="16"/>
      <c r="H1504" s="18"/>
      <c r="I1504" s="27" t="str">
        <f>IFERROR(VLOOKUP(Tabulka2[[#This Row],[Pracovník]],DATA!A:L,11,0),"")</f>
        <v>Vlastní auto</v>
      </c>
      <c r="J1504" s="16"/>
      <c r="K1504" s="19"/>
    </row>
    <row r="1505" spans="1:11" x14ac:dyDescent="0.25">
      <c r="A15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05" s="22">
        <v>45933</v>
      </c>
      <c r="C1505" s="16" t="s">
        <v>28</v>
      </c>
      <c r="D1505" s="16" t="s">
        <v>794</v>
      </c>
      <c r="E1505" s="17">
        <f>IFERROR(VLOOKUP(Tabulka2[[#This Row],[Pracovník]],DATA!A:L,5,0),"")</f>
        <v>4755</v>
      </c>
      <c r="F1505" s="12" t="s">
        <v>654</v>
      </c>
      <c r="G1505" s="16"/>
      <c r="H1505" s="18"/>
      <c r="I1505" s="27" t="str">
        <f>IFERROR(VLOOKUP(Tabulka2[[#This Row],[Pracovník]],DATA!A:L,11,0),"")</f>
        <v>DSC 2</v>
      </c>
      <c r="J1505" s="16"/>
      <c r="K1505" s="19"/>
    </row>
    <row r="1506" spans="1:11" x14ac:dyDescent="0.25">
      <c r="A15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06" s="22">
        <v>45933</v>
      </c>
      <c r="C1506" s="16" t="s">
        <v>28</v>
      </c>
      <c r="D1506" s="16" t="s">
        <v>781</v>
      </c>
      <c r="E1506" s="17">
        <f>IFERROR(VLOOKUP(Tabulka2[[#This Row],[Pracovník]],DATA!A:L,5,0),"")</f>
        <v>49</v>
      </c>
      <c r="F1506" s="12" t="s">
        <v>640</v>
      </c>
      <c r="G1506" s="16"/>
      <c r="H1506" s="18"/>
      <c r="I1506" s="27" t="str">
        <f>IFERROR(VLOOKUP(Tabulka2[[#This Row],[Pracovník]],DATA!A:L,11,0),"")</f>
        <v>DSC 2</v>
      </c>
      <c r="J1506" s="16"/>
      <c r="K1506" s="19"/>
    </row>
    <row r="1507" spans="1:11" x14ac:dyDescent="0.25">
      <c r="A15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07" s="22">
        <v>45933</v>
      </c>
      <c r="C1507" s="16" t="s">
        <v>28</v>
      </c>
      <c r="D1507" s="16" t="s">
        <v>782</v>
      </c>
      <c r="E1507" s="17">
        <f>IFERROR(VLOOKUP(Tabulka2[[#This Row],[Pracovník]],DATA!A:L,5,0),"")</f>
        <v>5839</v>
      </c>
      <c r="F1507" s="12" t="s">
        <v>640</v>
      </c>
      <c r="G1507" s="16"/>
      <c r="H1507" s="18"/>
      <c r="I1507" s="27" t="str">
        <f>IFERROR(VLOOKUP(Tabulka2[[#This Row],[Pracovník]],DATA!A:L,11,0),"")</f>
        <v>DSC 1</v>
      </c>
      <c r="J1507" s="16"/>
      <c r="K1507" s="19"/>
    </row>
    <row r="1508" spans="1:11" x14ac:dyDescent="0.25">
      <c r="A15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08" s="22">
        <v>45933</v>
      </c>
      <c r="C1508" s="16" t="s">
        <v>28</v>
      </c>
      <c r="D1508" s="16" t="s">
        <v>783</v>
      </c>
      <c r="E1508" s="17">
        <f>IFERROR(VLOOKUP(Tabulka2[[#This Row],[Pracovník]],DATA!A:L,5,0),"")</f>
        <v>6487</v>
      </c>
      <c r="F1508" s="12" t="s">
        <v>654</v>
      </c>
      <c r="G1508" s="16"/>
      <c r="H1508" s="18"/>
      <c r="I1508" s="27" t="str">
        <f>IFERROR(VLOOKUP(Tabulka2[[#This Row],[Pracovník]],DATA!A:L,11,0),"")</f>
        <v>DSC 1</v>
      </c>
      <c r="J1508" s="16"/>
      <c r="K1508" s="19"/>
    </row>
    <row r="1509" spans="1:11" x14ac:dyDescent="0.25">
      <c r="A15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09" s="22">
        <v>45933</v>
      </c>
      <c r="C1509" s="16" t="s">
        <v>28</v>
      </c>
      <c r="D1509" s="16" t="s">
        <v>784</v>
      </c>
      <c r="E1509" s="17">
        <f>IFERROR(VLOOKUP(Tabulka2[[#This Row],[Pracovník]],DATA!A:L,5,0),"")</f>
        <v>6292</v>
      </c>
      <c r="F1509" s="12" t="s">
        <v>640</v>
      </c>
      <c r="G1509" s="16"/>
      <c r="H1509" s="18"/>
      <c r="I1509" s="27" t="str">
        <f>IFERROR(VLOOKUP(Tabulka2[[#This Row],[Pracovník]],DATA!A:L,11,0),"")</f>
        <v>Vlastní auto</v>
      </c>
      <c r="J1509" s="16"/>
      <c r="K1509" s="19"/>
    </row>
    <row r="1510" spans="1:11" x14ac:dyDescent="0.25">
      <c r="A15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10" s="22">
        <v>45933</v>
      </c>
      <c r="C1510" s="16" t="s">
        <v>28</v>
      </c>
      <c r="D1510" s="16" t="s">
        <v>788</v>
      </c>
      <c r="E1510" s="17">
        <f>IFERROR(VLOOKUP(Tabulka2[[#This Row],[Pracovník]],DATA!A:L,5,0),"")</f>
        <v>5198</v>
      </c>
      <c r="F1510" s="12" t="s">
        <v>640</v>
      </c>
      <c r="G1510" s="16"/>
      <c r="H1510" s="18"/>
      <c r="I1510" s="27" t="str">
        <f>IFERROR(VLOOKUP(Tabulka2[[#This Row],[Pracovník]],DATA!A:L,11,0),"")</f>
        <v>Vlastní auto</v>
      </c>
      <c r="J1510" s="16"/>
      <c r="K1510" s="19"/>
    </row>
    <row r="1511" spans="1:11" x14ac:dyDescent="0.25">
      <c r="A15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11" s="22">
        <v>45933</v>
      </c>
      <c r="C1511" s="16" t="s">
        <v>28</v>
      </c>
      <c r="D1511" s="16" t="s">
        <v>789</v>
      </c>
      <c r="E1511" s="17">
        <f>IFERROR(VLOOKUP(Tabulka2[[#This Row],[Pracovník]],DATA!A:L,5,0),"")</f>
        <v>6368</v>
      </c>
      <c r="F1511" s="12" t="s">
        <v>640</v>
      </c>
      <c r="G1511" s="16"/>
      <c r="H1511" s="18"/>
      <c r="I1511" s="27" t="str">
        <f>IFERROR(VLOOKUP(Tabulka2[[#This Row],[Pracovník]],DATA!A:L,11,0),"")</f>
        <v>Vlastní auto</v>
      </c>
      <c r="J1511" s="16"/>
      <c r="K1511" s="19"/>
    </row>
    <row r="1512" spans="1:11" x14ac:dyDescent="0.25">
      <c r="A15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12" s="22">
        <v>45933</v>
      </c>
      <c r="C1512" s="16" t="s">
        <v>28</v>
      </c>
      <c r="D1512" s="16" t="s">
        <v>786</v>
      </c>
      <c r="E1512" s="17">
        <f>IFERROR(VLOOKUP(Tabulka2[[#This Row],[Pracovník]],DATA!A:L,5,0),"")</f>
        <v>5595</v>
      </c>
      <c r="F1512" s="12" t="s">
        <v>655</v>
      </c>
      <c r="G1512" s="16"/>
      <c r="H1512" s="18"/>
      <c r="I1512" s="27" t="str">
        <f>IFERROR(VLOOKUP(Tabulka2[[#This Row],[Pracovník]],DATA!A:L,11,0),"")</f>
        <v>DSC 2</v>
      </c>
      <c r="J1512" s="16"/>
      <c r="K1512" s="19"/>
    </row>
    <row r="1513" spans="1:11" x14ac:dyDescent="0.25">
      <c r="A15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13" s="22">
        <v>45933</v>
      </c>
      <c r="C1513" s="16" t="s">
        <v>28</v>
      </c>
      <c r="D1513" s="16" t="s">
        <v>795</v>
      </c>
      <c r="E1513" s="17">
        <f>IFERROR(VLOOKUP(Tabulka2[[#This Row],[Pracovník]],DATA!A:L,5,0),"")</f>
        <v>4960</v>
      </c>
      <c r="F1513" s="12" t="s">
        <v>640</v>
      </c>
      <c r="G1513" s="16"/>
      <c r="H1513" s="18"/>
      <c r="I1513" s="27" t="str">
        <f>IFERROR(VLOOKUP(Tabulka2[[#This Row],[Pracovník]],DATA!A:L,11,0),"")</f>
        <v>DSC 1</v>
      </c>
      <c r="J1513" s="16"/>
      <c r="K1513" s="19"/>
    </row>
    <row r="1514" spans="1:11" x14ac:dyDescent="0.25">
      <c r="A15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14" s="22">
        <v>45933</v>
      </c>
      <c r="C1514" s="16" t="s">
        <v>28</v>
      </c>
      <c r="D1514" s="16" t="s">
        <v>790</v>
      </c>
      <c r="E1514" s="17">
        <f>IFERROR(VLOOKUP(Tabulka2[[#This Row],[Pracovník]],DATA!A:L,5,0),"")</f>
        <v>5125</v>
      </c>
      <c r="F1514" s="12" t="s">
        <v>654</v>
      </c>
      <c r="G1514" s="16"/>
      <c r="H1514" s="18"/>
      <c r="I1514" s="27" t="str">
        <f>IFERROR(VLOOKUP(Tabulka2[[#This Row],[Pracovník]],DATA!A:L,11,0),"")</f>
        <v>Vlastní auto</v>
      </c>
      <c r="J1514" s="16"/>
      <c r="K1514" s="19"/>
    </row>
    <row r="1515" spans="1:11" x14ac:dyDescent="0.25">
      <c r="A15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15" s="22">
        <v>45933</v>
      </c>
      <c r="C1515" s="16" t="s">
        <v>28</v>
      </c>
      <c r="D1515" s="16" t="s">
        <v>791</v>
      </c>
      <c r="E1515" s="17">
        <f>IFERROR(VLOOKUP(Tabulka2[[#This Row],[Pracovník]],DATA!A:L,5,0),"")</f>
        <v>6127</v>
      </c>
      <c r="F1515" s="12" t="s">
        <v>654</v>
      </c>
      <c r="G1515" s="16"/>
      <c r="H1515" s="18"/>
      <c r="I1515" s="27" t="str">
        <f>IFERROR(VLOOKUP(Tabulka2[[#This Row],[Pracovník]],DATA!A:L,11,0),"")</f>
        <v>DSC 2</v>
      </c>
      <c r="J1515" s="16"/>
      <c r="K1515" s="19"/>
    </row>
    <row r="1516" spans="1:11" x14ac:dyDescent="0.25">
      <c r="A15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16" s="22">
        <v>45933</v>
      </c>
      <c r="C1516" s="16" t="s">
        <v>28</v>
      </c>
      <c r="D1516" s="16" t="s">
        <v>796</v>
      </c>
      <c r="E1516" s="17">
        <f>IFERROR(VLOOKUP(Tabulka2[[#This Row],[Pracovník]],DATA!A:L,5,0),"")</f>
        <v>5583</v>
      </c>
      <c r="F1516" s="12" t="s">
        <v>640</v>
      </c>
      <c r="G1516" s="16"/>
      <c r="H1516" s="18"/>
      <c r="I1516" s="27" t="str">
        <f>IFERROR(VLOOKUP(Tabulka2[[#This Row],[Pracovník]],DATA!A:L,11,0),"")</f>
        <v>DSC 2</v>
      </c>
      <c r="J1516" s="16"/>
      <c r="K1516" s="19"/>
    </row>
    <row r="1517" spans="1:11" x14ac:dyDescent="0.25">
      <c r="A15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17" s="22">
        <v>45933</v>
      </c>
      <c r="C1517" s="16" t="s">
        <v>28</v>
      </c>
      <c r="D1517" s="16" t="s">
        <v>644</v>
      </c>
      <c r="E1517" s="17">
        <f>IFERROR(VLOOKUP(Tabulka2[[#This Row],[Pracovník]],DATA!A:L,5,0),"")</f>
        <v>123</v>
      </c>
      <c r="F1517" s="12" t="s">
        <v>654</v>
      </c>
      <c r="G1517" s="16"/>
      <c r="H1517" s="18"/>
      <c r="I1517" s="27" t="str">
        <f>IFERROR(VLOOKUP(Tabulka2[[#This Row],[Pracovník]],DATA!A:L,11,0),"")</f>
        <v>DSC 1</v>
      </c>
      <c r="J1517" s="16"/>
      <c r="K1517" s="19"/>
    </row>
    <row r="1518" spans="1:11" x14ac:dyDescent="0.25">
      <c r="A15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18" s="22">
        <v>45933</v>
      </c>
      <c r="C1518" s="16" t="s">
        <v>28</v>
      </c>
      <c r="D1518" s="16" t="s">
        <v>797</v>
      </c>
      <c r="E1518" s="17">
        <f>IFERROR(VLOOKUP(Tabulka2[[#This Row],[Pracovník]],DATA!A:L,5,0),"")</f>
        <v>5525</v>
      </c>
      <c r="F1518" s="12" t="s">
        <v>654</v>
      </c>
      <c r="G1518" s="16"/>
      <c r="H1518" s="18"/>
      <c r="I1518" s="27" t="str">
        <f>IFERROR(VLOOKUP(Tabulka2[[#This Row],[Pracovník]],DATA!A:L,11,0),"")</f>
        <v>Vlastní auto</v>
      </c>
      <c r="J1518" s="16"/>
      <c r="K1518" s="19"/>
    </row>
    <row r="1519" spans="1:11" x14ac:dyDescent="0.25">
      <c r="A15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19" s="22">
        <v>45933</v>
      </c>
      <c r="C1519" s="16" t="s">
        <v>28</v>
      </c>
      <c r="D1519" s="16" t="s">
        <v>798</v>
      </c>
      <c r="E1519" s="17">
        <f>IFERROR(VLOOKUP(Tabulka2[[#This Row],[Pracovník]],DATA!A:L,5,0),"")</f>
        <v>126</v>
      </c>
      <c r="F1519" s="12" t="s">
        <v>655</v>
      </c>
      <c r="G1519" s="16"/>
      <c r="H1519" s="18"/>
      <c r="I1519" s="27" t="str">
        <f>IFERROR(VLOOKUP(Tabulka2[[#This Row],[Pracovník]],DATA!A:L,11,0),"")</f>
        <v>Vlastní auto</v>
      </c>
      <c r="J1519" s="16"/>
      <c r="K1519" s="19"/>
    </row>
    <row r="1520" spans="1:11" x14ac:dyDescent="0.25">
      <c r="A15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20" s="22">
        <v>45933</v>
      </c>
      <c r="C1520" s="16" t="s">
        <v>28</v>
      </c>
      <c r="D1520" s="16" t="s">
        <v>799</v>
      </c>
      <c r="E1520" s="17">
        <f>IFERROR(VLOOKUP(Tabulka2[[#This Row],[Pracovník]],DATA!A:L,5,0),"")</f>
        <v>127</v>
      </c>
      <c r="F1520" s="12" t="s">
        <v>655</v>
      </c>
      <c r="G1520" s="16"/>
      <c r="H1520" s="18"/>
      <c r="I1520" s="27" t="str">
        <f>IFERROR(VLOOKUP(Tabulka2[[#This Row],[Pracovník]],DATA!A:L,11,0),"")</f>
        <v>DSC 2</v>
      </c>
      <c r="J1520" s="16"/>
      <c r="K1520" s="19"/>
    </row>
    <row r="1521" spans="1:11" x14ac:dyDescent="0.25">
      <c r="A15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21" s="22">
        <v>45933</v>
      </c>
      <c r="C1521" s="16" t="s">
        <v>28</v>
      </c>
      <c r="D1521" s="16" t="s">
        <v>800</v>
      </c>
      <c r="E1521" s="17">
        <f>IFERROR(VLOOKUP(Tabulka2[[#This Row],[Pracovník]],DATA!A:L,5,0),"")</f>
        <v>4847</v>
      </c>
      <c r="F1521" s="12" t="s">
        <v>655</v>
      </c>
      <c r="G1521" s="16"/>
      <c r="H1521" s="18"/>
      <c r="I1521" s="27" t="str">
        <f>IFERROR(VLOOKUP(Tabulka2[[#This Row],[Pracovník]],DATA!A:L,11,0),"")</f>
        <v>Vlastní auto</v>
      </c>
      <c r="J1521" s="16"/>
      <c r="K1521" s="19"/>
    </row>
    <row r="1522" spans="1:11" x14ac:dyDescent="0.25">
      <c r="A15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22" s="22">
        <v>45933</v>
      </c>
      <c r="C1522" s="16" t="s">
        <v>28</v>
      </c>
      <c r="D1522" s="16" t="s">
        <v>801</v>
      </c>
      <c r="E1522" s="17">
        <f>IFERROR(VLOOKUP(Tabulka2[[#This Row],[Pracovník]],DATA!A:L,5,0),"")</f>
        <v>750</v>
      </c>
      <c r="F1522" s="12" t="s">
        <v>653</v>
      </c>
      <c r="G1522" s="16" t="s">
        <v>659</v>
      </c>
      <c r="H1522" s="18"/>
      <c r="I1522" s="27" t="str">
        <f>IFERROR(VLOOKUP(Tabulka2[[#This Row],[Pracovník]],DATA!A:L,11,0),"")</f>
        <v>Vlastní auto</v>
      </c>
      <c r="J1522" s="16"/>
      <c r="K1522" s="19"/>
    </row>
    <row r="1523" spans="1:11" x14ac:dyDescent="0.25">
      <c r="A15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23" s="22">
        <v>45933</v>
      </c>
      <c r="C1523" s="16" t="s">
        <v>28</v>
      </c>
      <c r="D1523" s="16" t="s">
        <v>802</v>
      </c>
      <c r="E1523" s="17">
        <f>IFERROR(VLOOKUP(Tabulka2[[#This Row],[Pracovník]],DATA!A:L,5,0),"")</f>
        <v>4663</v>
      </c>
      <c r="F1523" s="12" t="s">
        <v>654</v>
      </c>
      <c r="G1523" s="16"/>
      <c r="H1523" s="18"/>
      <c r="I1523" s="27" t="str">
        <f>IFERROR(VLOOKUP(Tabulka2[[#This Row],[Pracovník]],DATA!A:L,11,0),"")</f>
        <v>DSC 2</v>
      </c>
      <c r="J1523" s="16"/>
      <c r="K1523" s="19"/>
    </row>
    <row r="1524" spans="1:11" x14ac:dyDescent="0.25">
      <c r="A15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24" s="22">
        <v>45933</v>
      </c>
      <c r="C1524" s="16" t="s">
        <v>28</v>
      </c>
      <c r="D1524" s="16" t="s">
        <v>803</v>
      </c>
      <c r="E1524" s="17">
        <f>IFERROR(VLOOKUP(Tabulka2[[#This Row],[Pracovník]],DATA!A:L,5,0),"")</f>
        <v>131</v>
      </c>
      <c r="F1524" s="12" t="s">
        <v>655</v>
      </c>
      <c r="G1524" s="16"/>
      <c r="H1524" s="18"/>
      <c r="I1524" s="27" t="str">
        <f>IFERROR(VLOOKUP(Tabulka2[[#This Row],[Pracovník]],DATA!A:L,11,0),"")</f>
        <v>DSC 2</v>
      </c>
      <c r="J1524" s="16"/>
      <c r="K1524" s="19"/>
    </row>
    <row r="1525" spans="1:11" x14ac:dyDescent="0.25">
      <c r="A15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25" s="22">
        <v>45933</v>
      </c>
      <c r="C1525" s="16" t="s">
        <v>28</v>
      </c>
      <c r="D1525" s="16" t="s">
        <v>643</v>
      </c>
      <c r="E1525" s="17">
        <f>IFERROR(VLOOKUP(Tabulka2[[#This Row],[Pracovník]],DATA!A:L,5,0),"")</f>
        <v>5620</v>
      </c>
      <c r="F1525" s="12" t="s">
        <v>654</v>
      </c>
      <c r="G1525" s="16"/>
      <c r="H1525" s="18"/>
      <c r="I1525" s="27" t="str">
        <f>IFERROR(VLOOKUP(Tabulka2[[#This Row],[Pracovník]],DATA!A:L,11,0),"")</f>
        <v>Vlastní auto</v>
      </c>
      <c r="J1525" s="16"/>
      <c r="K1525" s="19"/>
    </row>
    <row r="1526" spans="1:11" x14ac:dyDescent="0.25">
      <c r="A15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26" s="22">
        <v>45933</v>
      </c>
      <c r="C1526" s="16" t="s">
        <v>28</v>
      </c>
      <c r="D1526" s="16" t="s">
        <v>804</v>
      </c>
      <c r="E1526" s="17">
        <f>IFERROR(VLOOKUP(Tabulka2[[#This Row],[Pracovník]],DATA!A:L,5,0),"")</f>
        <v>4868</v>
      </c>
      <c r="F1526" s="12" t="s">
        <v>655</v>
      </c>
      <c r="G1526" s="16"/>
      <c r="H1526" s="18"/>
      <c r="I1526" s="27" t="str">
        <f>IFERROR(VLOOKUP(Tabulka2[[#This Row],[Pracovník]],DATA!A:L,11,0),"")</f>
        <v>Vlastní auto</v>
      </c>
      <c r="J1526" s="16"/>
      <c r="K1526" s="19"/>
    </row>
    <row r="1527" spans="1:11" x14ac:dyDescent="0.25">
      <c r="A15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27" s="22">
        <v>45933</v>
      </c>
      <c r="C1527" s="16" t="s">
        <v>28</v>
      </c>
      <c r="D1527" s="16" t="s">
        <v>805</v>
      </c>
      <c r="E1527" s="17">
        <f>IFERROR(VLOOKUP(Tabulka2[[#This Row],[Pracovník]],DATA!A:L,5,0),"")</f>
        <v>5026</v>
      </c>
      <c r="F1527" s="12" t="s">
        <v>655</v>
      </c>
      <c r="G1527" s="16"/>
      <c r="H1527" s="18"/>
      <c r="I1527" s="27" t="str">
        <f>IFERROR(VLOOKUP(Tabulka2[[#This Row],[Pracovník]],DATA!A:L,11,0),"")</f>
        <v>Vlastní auto</v>
      </c>
      <c r="J1527" s="16"/>
      <c r="K1527" s="19"/>
    </row>
    <row r="1528" spans="1:11" x14ac:dyDescent="0.25">
      <c r="A15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28" s="22">
        <v>45933</v>
      </c>
      <c r="C1528" s="16" t="s">
        <v>28</v>
      </c>
      <c r="D1528" s="16" t="s">
        <v>806</v>
      </c>
      <c r="E1528" s="17">
        <f>IFERROR(VLOOKUP(Tabulka2[[#This Row],[Pracovník]],DATA!A:L,5,0),"")</f>
        <v>6424</v>
      </c>
      <c r="F1528" s="12" t="s">
        <v>640</v>
      </c>
      <c r="G1528" s="16"/>
      <c r="H1528" s="18"/>
      <c r="I1528" s="27" t="str">
        <f>IFERROR(VLOOKUP(Tabulka2[[#This Row],[Pracovník]],DATA!A:L,11,0),"")</f>
        <v>DSC 1</v>
      </c>
      <c r="J1528" s="16"/>
      <c r="K1528" s="19"/>
    </row>
    <row r="1529" spans="1:11" x14ac:dyDescent="0.25">
      <c r="A15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29" s="22">
        <v>45933</v>
      </c>
      <c r="C1529" s="16" t="s">
        <v>28</v>
      </c>
      <c r="D1529" s="16" t="s">
        <v>807</v>
      </c>
      <c r="E1529" s="17">
        <f>IFERROR(VLOOKUP(Tabulka2[[#This Row],[Pracovník]],DATA!A:L,5,0),"")</f>
        <v>5004</v>
      </c>
      <c r="F1529" s="12" t="s">
        <v>655</v>
      </c>
      <c r="G1529" s="16"/>
      <c r="H1529" s="18"/>
      <c r="I1529" s="27" t="str">
        <f>IFERROR(VLOOKUP(Tabulka2[[#This Row],[Pracovník]],DATA!A:L,11,0),"")</f>
        <v>Vlastní auto</v>
      </c>
      <c r="J1529" s="16"/>
      <c r="K1529" s="19"/>
    </row>
    <row r="1530" spans="1:11" x14ac:dyDescent="0.25">
      <c r="A15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30" s="22">
        <v>45933</v>
      </c>
      <c r="C1530" s="16" t="s">
        <v>28</v>
      </c>
      <c r="D1530" s="16" t="s">
        <v>808</v>
      </c>
      <c r="E1530" s="17">
        <f>IFERROR(VLOOKUP(Tabulka2[[#This Row],[Pracovník]],DATA!A:L,5,0),"")</f>
        <v>136</v>
      </c>
      <c r="F1530" s="12" t="s">
        <v>655</v>
      </c>
      <c r="G1530" s="16"/>
      <c r="H1530" s="18"/>
      <c r="I1530" s="27" t="str">
        <f>IFERROR(VLOOKUP(Tabulka2[[#This Row],[Pracovník]],DATA!A:L,11,0),"")</f>
        <v>DSC 2</v>
      </c>
      <c r="J1530" s="16"/>
      <c r="K1530" s="19"/>
    </row>
    <row r="1531" spans="1:11" x14ac:dyDescent="0.25">
      <c r="A15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31" s="22">
        <v>45933</v>
      </c>
      <c r="C1531" s="16" t="s">
        <v>28</v>
      </c>
      <c r="D1531" s="16" t="s">
        <v>809</v>
      </c>
      <c r="E1531" s="17">
        <f>IFERROR(VLOOKUP(Tabulka2[[#This Row],[Pracovník]],DATA!A:L,5,0),"")</f>
        <v>19</v>
      </c>
      <c r="F1531" s="12" t="s">
        <v>655</v>
      </c>
      <c r="G1531" s="16"/>
      <c r="H1531" s="18"/>
      <c r="I1531" s="27" t="str">
        <f>IFERROR(VLOOKUP(Tabulka2[[#This Row],[Pracovník]],DATA!A:L,11,0),"")</f>
        <v>Vlastní auto</v>
      </c>
      <c r="J1531" s="16"/>
      <c r="K1531" s="19"/>
    </row>
    <row r="1532" spans="1:11" x14ac:dyDescent="0.25">
      <c r="A15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32" s="22">
        <v>45933</v>
      </c>
      <c r="C1532" s="16" t="s">
        <v>28</v>
      </c>
      <c r="D1532" s="16" t="s">
        <v>810</v>
      </c>
      <c r="E1532" s="17">
        <f>IFERROR(VLOOKUP(Tabulka2[[#This Row],[Pracovník]],DATA!A:L,5,0),"")</f>
        <v>4791</v>
      </c>
      <c r="F1532" s="12" t="s">
        <v>655</v>
      </c>
      <c r="G1532" s="16"/>
      <c r="H1532" s="18"/>
      <c r="I1532" s="27" t="str">
        <f>IFERROR(VLOOKUP(Tabulka2[[#This Row],[Pracovník]],DATA!A:L,11,0),"")</f>
        <v>Vlastní auto</v>
      </c>
      <c r="J1532" s="16"/>
      <c r="K1532" s="19"/>
    </row>
    <row r="1533" spans="1:11" x14ac:dyDescent="0.25">
      <c r="A15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33" s="22">
        <v>45933</v>
      </c>
      <c r="C1533" s="16" t="s">
        <v>28</v>
      </c>
      <c r="D1533" s="16" t="s">
        <v>811</v>
      </c>
      <c r="E1533" s="17">
        <f>IFERROR(VLOOKUP(Tabulka2[[#This Row],[Pracovník]],DATA!A:L,5,0),"")</f>
        <v>5121</v>
      </c>
      <c r="F1533" s="12" t="s">
        <v>654</v>
      </c>
      <c r="G1533" s="16"/>
      <c r="H1533" s="18"/>
      <c r="I1533" s="27" t="str">
        <f>IFERROR(VLOOKUP(Tabulka2[[#This Row],[Pracovník]],DATA!A:L,11,0),"")</f>
        <v>DSC 2</v>
      </c>
      <c r="J1533" s="16"/>
      <c r="K1533" s="19"/>
    </row>
    <row r="1534" spans="1:11" x14ac:dyDescent="0.25">
      <c r="A15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34" s="22">
        <v>45933</v>
      </c>
      <c r="C1534" s="16" t="s">
        <v>28</v>
      </c>
      <c r="D1534" s="16" t="s">
        <v>825</v>
      </c>
      <c r="E1534" s="17">
        <f>IFERROR(VLOOKUP(Tabulka2[[#This Row],[Pracovník]],DATA!A:L,5,0),"")</f>
        <v>6193</v>
      </c>
      <c r="F1534" s="12" t="s">
        <v>654</v>
      </c>
      <c r="G1534" s="16"/>
      <c r="H1534" s="18"/>
      <c r="I1534" s="27" t="str">
        <f>IFERROR(VLOOKUP(Tabulka2[[#This Row],[Pracovník]],DATA!A:L,11,0),"")</f>
        <v>DSC 2</v>
      </c>
      <c r="J1534" s="16"/>
      <c r="K1534" s="19"/>
    </row>
    <row r="1535" spans="1:11" x14ac:dyDescent="0.25">
      <c r="A15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35" s="22">
        <v>45933</v>
      </c>
      <c r="C1535" s="16" t="s">
        <v>28</v>
      </c>
      <c r="D1535" s="16" t="s">
        <v>812</v>
      </c>
      <c r="E1535" s="17">
        <f>IFERROR(VLOOKUP(Tabulka2[[#This Row],[Pracovník]],DATA!A:L,5,0),"")</f>
        <v>146</v>
      </c>
      <c r="F1535" s="12" t="s">
        <v>655</v>
      </c>
      <c r="G1535" s="16"/>
      <c r="H1535" s="18"/>
      <c r="I1535" s="27" t="str">
        <f>IFERROR(VLOOKUP(Tabulka2[[#This Row],[Pracovník]],DATA!A:L,11,0),"")</f>
        <v>DSC 2</v>
      </c>
      <c r="J1535" s="16"/>
      <c r="K1535" s="19"/>
    </row>
    <row r="1536" spans="1:11" x14ac:dyDescent="0.25">
      <c r="A15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36" s="22">
        <v>45933</v>
      </c>
      <c r="C1536" s="16" t="s">
        <v>28</v>
      </c>
      <c r="D1536" s="16" t="s">
        <v>814</v>
      </c>
      <c r="E1536" s="17">
        <f>IFERROR(VLOOKUP(Tabulka2[[#This Row],[Pracovník]],DATA!A:L,5,0),"")</f>
        <v>4745</v>
      </c>
      <c r="F1536" s="12" t="s">
        <v>655</v>
      </c>
      <c r="G1536" s="16"/>
      <c r="H1536" s="18"/>
      <c r="I1536" s="27" t="str">
        <f>IFERROR(VLOOKUP(Tabulka2[[#This Row],[Pracovník]],DATA!A:L,11,0),"")</f>
        <v>Vlastní auto</v>
      </c>
      <c r="J1536" s="16"/>
      <c r="K1536" s="19"/>
    </row>
    <row r="1537" spans="1:11" x14ac:dyDescent="0.25">
      <c r="A15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37" s="22">
        <v>45933</v>
      </c>
      <c r="C1537" s="16" t="s">
        <v>28</v>
      </c>
      <c r="D1537" s="16" t="s">
        <v>816</v>
      </c>
      <c r="E1537" s="17">
        <f>IFERROR(VLOOKUP(Tabulka2[[#This Row],[Pracovník]],DATA!A:L,5,0),"")</f>
        <v>5209</v>
      </c>
      <c r="F1537" s="12" t="s">
        <v>654</v>
      </c>
      <c r="G1537" s="16"/>
      <c r="H1537" s="18"/>
      <c r="I1537" s="27" t="str">
        <f>IFERROR(VLOOKUP(Tabulka2[[#This Row],[Pracovník]],DATA!A:L,11,0),"")</f>
        <v>Vlastní auto</v>
      </c>
      <c r="J1537" s="16"/>
      <c r="K1537" s="19"/>
    </row>
    <row r="1538" spans="1:11" x14ac:dyDescent="0.25">
      <c r="A15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38" s="22">
        <v>45933</v>
      </c>
      <c r="C1538" s="16" t="s">
        <v>28</v>
      </c>
      <c r="D1538" s="16" t="s">
        <v>815</v>
      </c>
      <c r="E1538" s="17">
        <f>IFERROR(VLOOKUP(Tabulka2[[#This Row],[Pracovník]],DATA!A:L,5,0),"")</f>
        <v>4790</v>
      </c>
      <c r="F1538" s="12" t="s">
        <v>655</v>
      </c>
      <c r="G1538" s="16"/>
      <c r="H1538" s="18"/>
      <c r="I1538" s="27" t="str">
        <f>IFERROR(VLOOKUP(Tabulka2[[#This Row],[Pracovník]],DATA!A:L,11,0),"")</f>
        <v>DSC 2</v>
      </c>
      <c r="J1538" s="16"/>
      <c r="K1538" s="19"/>
    </row>
    <row r="1539" spans="1:11" x14ac:dyDescent="0.25">
      <c r="A15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39" s="22">
        <v>45933</v>
      </c>
      <c r="C1539" s="16" t="s">
        <v>28</v>
      </c>
      <c r="D1539" s="16" t="s">
        <v>817</v>
      </c>
      <c r="E1539" s="17">
        <f>IFERROR(VLOOKUP(Tabulka2[[#This Row],[Pracovník]],DATA!A:L,5,0),"")</f>
        <v>4727</v>
      </c>
      <c r="F1539" s="12" t="s">
        <v>640</v>
      </c>
      <c r="G1539" s="16"/>
      <c r="H1539" s="18"/>
      <c r="I1539" s="27" t="str">
        <f>IFERROR(VLOOKUP(Tabulka2[[#This Row],[Pracovník]],DATA!A:L,11,0),"")</f>
        <v>DSC 1</v>
      </c>
      <c r="J1539" s="16"/>
      <c r="K1539" s="19"/>
    </row>
    <row r="1540" spans="1:11" x14ac:dyDescent="0.25">
      <c r="A15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40" s="22">
        <v>45933</v>
      </c>
      <c r="C1540" s="16" t="s">
        <v>28</v>
      </c>
      <c r="D1540" s="16" t="s">
        <v>818</v>
      </c>
      <c r="E1540" s="17">
        <f>IFERROR(VLOOKUP(Tabulka2[[#This Row],[Pracovník]],DATA!A:L,5,0),"")</f>
        <v>6488</v>
      </c>
      <c r="F1540" s="12" t="s">
        <v>654</v>
      </c>
      <c r="G1540" s="16"/>
      <c r="H1540" s="18"/>
      <c r="I1540" s="27" t="str">
        <f>IFERROR(VLOOKUP(Tabulka2[[#This Row],[Pracovník]],DATA!A:L,11,0),"")</f>
        <v>DSC 2</v>
      </c>
      <c r="J1540" s="16"/>
      <c r="K1540" s="19"/>
    </row>
    <row r="1541" spans="1:11" x14ac:dyDescent="0.25">
      <c r="A15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41" s="22">
        <v>45933</v>
      </c>
      <c r="C1541" s="16" t="s">
        <v>28</v>
      </c>
      <c r="D1541" s="16" t="s">
        <v>820</v>
      </c>
      <c r="E1541" s="17">
        <f>IFERROR(VLOOKUP(Tabulka2[[#This Row],[Pracovník]],DATA!A:L,5,0),"")</f>
        <v>5604</v>
      </c>
      <c r="F1541" s="12" t="s">
        <v>654</v>
      </c>
      <c r="G1541" s="16"/>
      <c r="H1541" s="18"/>
      <c r="I1541" s="27" t="str">
        <f>IFERROR(VLOOKUP(Tabulka2[[#This Row],[Pracovník]],DATA!A:L,11,0),"")</f>
        <v>Vlastní auto</v>
      </c>
      <c r="J1541" s="16"/>
      <c r="K1541" s="19"/>
    </row>
    <row r="1542" spans="1:11" x14ac:dyDescent="0.25">
      <c r="A15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42" s="22">
        <v>45933</v>
      </c>
      <c r="C1542" s="16" t="s">
        <v>28</v>
      </c>
      <c r="D1542" s="16" t="s">
        <v>821</v>
      </c>
      <c r="E1542" s="17">
        <f>IFERROR(VLOOKUP(Tabulka2[[#This Row],[Pracovník]],DATA!A:L,5,0),"")</f>
        <v>5632</v>
      </c>
      <c r="F1542" s="12" t="s">
        <v>654</v>
      </c>
      <c r="G1542" s="16"/>
      <c r="H1542" s="18"/>
      <c r="I1542" s="27" t="str">
        <f>IFERROR(VLOOKUP(Tabulka2[[#This Row],[Pracovník]],DATA!A:L,11,0),"")</f>
        <v>DSC 1</v>
      </c>
      <c r="J1542" s="16"/>
      <c r="K1542" s="19"/>
    </row>
    <row r="1543" spans="1:11" x14ac:dyDescent="0.25">
      <c r="A15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43" s="22">
        <v>45933</v>
      </c>
      <c r="C1543" s="16" t="s">
        <v>28</v>
      </c>
      <c r="D1543" s="16" t="s">
        <v>822</v>
      </c>
      <c r="E1543" s="17">
        <f>IFERROR(VLOOKUP(Tabulka2[[#This Row],[Pracovník]],DATA!A:L,5,0),"")</f>
        <v>5980</v>
      </c>
      <c r="F1543" s="12" t="s">
        <v>655</v>
      </c>
      <c r="G1543" s="16"/>
      <c r="H1543" s="18"/>
      <c r="I1543" s="27" t="str">
        <f>IFERROR(VLOOKUP(Tabulka2[[#This Row],[Pracovník]],DATA!A:L,11,0),"")</f>
        <v>DSC 2</v>
      </c>
      <c r="J1543" s="16"/>
      <c r="K1543" s="19"/>
    </row>
    <row r="1544" spans="1:11" x14ac:dyDescent="0.25">
      <c r="A15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44" s="22">
        <v>45933</v>
      </c>
      <c r="C1544" s="16" t="s">
        <v>28</v>
      </c>
      <c r="D1544" s="16" t="s">
        <v>823</v>
      </c>
      <c r="E1544" s="17">
        <f>IFERROR(VLOOKUP(Tabulka2[[#This Row],[Pracovník]],DATA!A:L,5,0),"")</f>
        <v>5481</v>
      </c>
      <c r="F1544" s="12" t="s">
        <v>655</v>
      </c>
      <c r="G1544" s="16"/>
      <c r="H1544" s="18"/>
      <c r="I1544" s="27" t="str">
        <f>IFERROR(VLOOKUP(Tabulka2[[#This Row],[Pracovník]],DATA!A:L,11,0),"")</f>
        <v>DSC 2</v>
      </c>
      <c r="J1544" s="16"/>
      <c r="K1544" s="19"/>
    </row>
    <row r="1545" spans="1:11" x14ac:dyDescent="0.25">
      <c r="A15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45" s="22">
        <v>45933</v>
      </c>
      <c r="C1545" s="16" t="s">
        <v>28</v>
      </c>
      <c r="D1545" s="16" t="s">
        <v>824</v>
      </c>
      <c r="E1545" s="17">
        <f>IFERROR(VLOOKUP(Tabulka2[[#This Row],[Pracovník]],DATA!A:L,5,0),"")</f>
        <v>150</v>
      </c>
      <c r="F1545" s="12" t="s">
        <v>653</v>
      </c>
      <c r="G1545" s="16" t="s">
        <v>657</v>
      </c>
      <c r="H1545" s="18"/>
      <c r="I1545" s="27" t="str">
        <f>IFERROR(VLOOKUP(Tabulka2[[#This Row],[Pracovník]],DATA!A:L,11,0),"")</f>
        <v>DSC 1</v>
      </c>
      <c r="J1545" s="16"/>
      <c r="K1545" s="19"/>
    </row>
    <row r="1546" spans="1:11" x14ac:dyDescent="0.25">
      <c r="A15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46" s="22">
        <v>45933</v>
      </c>
      <c r="C1546" s="16" t="s">
        <v>28</v>
      </c>
      <c r="D1546" s="16" t="s">
        <v>826</v>
      </c>
      <c r="E1546" s="17">
        <f>IFERROR(VLOOKUP(Tabulka2[[#This Row],[Pracovník]],DATA!A:L,5,0),"")</f>
        <v>5120</v>
      </c>
      <c r="F1546" s="12" t="s">
        <v>654</v>
      </c>
      <c r="G1546" s="16"/>
      <c r="H1546" s="18"/>
      <c r="I1546" s="27" t="str">
        <f>IFERROR(VLOOKUP(Tabulka2[[#This Row],[Pracovník]],DATA!A:L,11,0),"")</f>
        <v>Vlastní auto</v>
      </c>
      <c r="J1546" s="16"/>
      <c r="K1546" s="19"/>
    </row>
    <row r="1547" spans="1:11" x14ac:dyDescent="0.25">
      <c r="A15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47" s="22">
        <v>45933</v>
      </c>
      <c r="C1547" s="16" t="s">
        <v>28</v>
      </c>
      <c r="D1547" s="16" t="s">
        <v>827</v>
      </c>
      <c r="E1547" s="17">
        <f>IFERROR(VLOOKUP(Tabulka2[[#This Row],[Pracovník]],DATA!A:L,5,0),"")</f>
        <v>4713</v>
      </c>
      <c r="F1547" s="12" t="s">
        <v>655</v>
      </c>
      <c r="G1547" s="16"/>
      <c r="H1547" s="18"/>
      <c r="I1547" s="27" t="str">
        <f>IFERROR(VLOOKUP(Tabulka2[[#This Row],[Pracovník]],DATA!A:L,11,0),"")</f>
        <v>DSC 1</v>
      </c>
      <c r="J1547" s="16"/>
      <c r="K1547" s="19"/>
    </row>
    <row r="1548" spans="1:11" x14ac:dyDescent="0.25">
      <c r="A15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48" s="22">
        <v>45933</v>
      </c>
      <c r="C1548" s="16" t="s">
        <v>28</v>
      </c>
      <c r="D1548" s="16" t="s">
        <v>828</v>
      </c>
      <c r="E1548" s="17">
        <f>IFERROR(VLOOKUP(Tabulka2[[#This Row],[Pracovník]],DATA!A:L,5,0),"")</f>
        <v>6318</v>
      </c>
      <c r="F1548" s="12" t="s">
        <v>654</v>
      </c>
      <c r="G1548" s="16"/>
      <c r="H1548" s="18"/>
      <c r="I1548" s="27" t="str">
        <f>IFERROR(VLOOKUP(Tabulka2[[#This Row],[Pracovník]],DATA!A:L,11,0),"")</f>
        <v>DSC 1</v>
      </c>
      <c r="J1548" s="16"/>
      <c r="K1548" s="19"/>
    </row>
    <row r="1549" spans="1:11" x14ac:dyDescent="0.25">
      <c r="A15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49" s="22">
        <v>45933</v>
      </c>
      <c r="C1549" s="16" t="s">
        <v>28</v>
      </c>
      <c r="D1549" s="16" t="s">
        <v>829</v>
      </c>
      <c r="E1549" s="17">
        <f>IFERROR(VLOOKUP(Tabulka2[[#This Row],[Pracovník]],DATA!A:L,5,0),"")</f>
        <v>5712</v>
      </c>
      <c r="F1549" s="12" t="s">
        <v>654</v>
      </c>
      <c r="G1549" s="16"/>
      <c r="H1549" s="18"/>
      <c r="I1549" s="27" t="str">
        <f>IFERROR(VLOOKUP(Tabulka2[[#This Row],[Pracovník]],DATA!A:L,11,0),"")</f>
        <v>Vlastní auto</v>
      </c>
      <c r="J1549" s="16"/>
      <c r="K1549" s="19"/>
    </row>
    <row r="1550" spans="1:11" x14ac:dyDescent="0.25">
      <c r="A15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50" s="22">
        <v>45933</v>
      </c>
      <c r="C1550" s="16" t="s">
        <v>28</v>
      </c>
      <c r="D1550" s="16" t="s">
        <v>830</v>
      </c>
      <c r="E1550" s="17">
        <f>IFERROR(VLOOKUP(Tabulka2[[#This Row],[Pracovník]],DATA!A:L,5,0),"")</f>
        <v>4744</v>
      </c>
      <c r="F1550" s="12" t="s">
        <v>640</v>
      </c>
      <c r="G1550" s="16"/>
      <c r="H1550" s="18"/>
      <c r="I1550" s="27" t="str">
        <f>IFERROR(VLOOKUP(Tabulka2[[#This Row],[Pracovník]],DATA!A:L,11,0),"")</f>
        <v>DSC 2</v>
      </c>
      <c r="J1550" s="16"/>
      <c r="K1550" s="19"/>
    </row>
    <row r="1551" spans="1:11" x14ac:dyDescent="0.25">
      <c r="A15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51" s="22">
        <v>45933</v>
      </c>
      <c r="C1551" s="16" t="s">
        <v>28</v>
      </c>
      <c r="D1551" s="16" t="s">
        <v>831</v>
      </c>
      <c r="E1551" s="17">
        <f>IFERROR(VLOOKUP(Tabulka2[[#This Row],[Pracovník]],DATA!A:L,5,0),"")</f>
        <v>155</v>
      </c>
      <c r="F1551" s="12" t="s">
        <v>640</v>
      </c>
      <c r="G1551" s="16"/>
      <c r="H1551" s="18"/>
      <c r="I1551" s="27" t="str">
        <f>IFERROR(VLOOKUP(Tabulka2[[#This Row],[Pracovník]],DATA!A:L,11,0),"")</f>
        <v>DSC 1</v>
      </c>
      <c r="J1551" s="16"/>
      <c r="K1551" s="19"/>
    </row>
    <row r="1552" spans="1:11" x14ac:dyDescent="0.25">
      <c r="A15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52" s="22">
        <v>45933</v>
      </c>
      <c r="C1552" s="16" t="s">
        <v>28</v>
      </c>
      <c r="D1552" s="16" t="s">
        <v>833</v>
      </c>
      <c r="E1552" s="17">
        <f>IFERROR(VLOOKUP(Tabulka2[[#This Row],[Pracovník]],DATA!A:L,5,0),"")</f>
        <v>6178</v>
      </c>
      <c r="F1552" s="12" t="s">
        <v>654</v>
      </c>
      <c r="G1552" s="16"/>
      <c r="H1552" s="18"/>
      <c r="I1552" s="27" t="str">
        <f>IFERROR(VLOOKUP(Tabulka2[[#This Row],[Pracovník]],DATA!A:L,11,0),"")</f>
        <v>DSC 2</v>
      </c>
      <c r="J1552" s="16"/>
      <c r="K1552" s="19"/>
    </row>
    <row r="1553" spans="1:11" x14ac:dyDescent="0.25">
      <c r="A15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53" s="22">
        <v>45933</v>
      </c>
      <c r="C1553" s="16" t="s">
        <v>28</v>
      </c>
      <c r="D1553" s="16" t="s">
        <v>834</v>
      </c>
      <c r="E1553" s="17">
        <f>IFERROR(VLOOKUP(Tabulka2[[#This Row],[Pracovník]],DATA!A:L,5,0),"")</f>
        <v>6345</v>
      </c>
      <c r="F1553" s="12" t="s">
        <v>654</v>
      </c>
      <c r="G1553" s="16"/>
      <c r="H1553" s="18"/>
      <c r="I1553" s="27" t="str">
        <f>IFERROR(VLOOKUP(Tabulka2[[#This Row],[Pracovník]],DATA!A:L,11,0),"")</f>
        <v>DSC 1</v>
      </c>
      <c r="J1553" s="16"/>
      <c r="K1553" s="19"/>
    </row>
    <row r="1554" spans="1:11" x14ac:dyDescent="0.25">
      <c r="A15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54" s="22">
        <v>45933</v>
      </c>
      <c r="C1554" s="16" t="s">
        <v>28</v>
      </c>
      <c r="D1554" s="16" t="s">
        <v>835</v>
      </c>
      <c r="E1554" s="17">
        <f>IFERROR(VLOOKUP(Tabulka2[[#This Row],[Pracovník]],DATA!A:L,5,0),"")</f>
        <v>5601</v>
      </c>
      <c r="F1554" s="12" t="s">
        <v>640</v>
      </c>
      <c r="G1554" s="16"/>
      <c r="H1554" s="18"/>
      <c r="I1554" s="27" t="str">
        <f>IFERROR(VLOOKUP(Tabulka2[[#This Row],[Pracovník]],DATA!A:L,11,0),"")</f>
        <v>DSC 2</v>
      </c>
      <c r="J1554" s="16"/>
      <c r="K1554" s="19"/>
    </row>
    <row r="1555" spans="1:11" x14ac:dyDescent="0.25">
      <c r="A15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55" s="22">
        <v>45933</v>
      </c>
      <c r="C1555" s="16" t="s">
        <v>28</v>
      </c>
      <c r="D1555" s="16" t="s">
        <v>836</v>
      </c>
      <c r="E1555" s="17">
        <f>IFERROR(VLOOKUP(Tabulka2[[#This Row],[Pracovník]],DATA!A:L,5,0),"")</f>
        <v>5152</v>
      </c>
      <c r="F1555" s="12" t="s">
        <v>654</v>
      </c>
      <c r="G1555" s="16"/>
      <c r="H1555" s="18"/>
      <c r="I1555" s="27" t="str">
        <f>IFERROR(VLOOKUP(Tabulka2[[#This Row],[Pracovník]],DATA!A:L,11,0),"")</f>
        <v>Vlastní auto</v>
      </c>
      <c r="J1555" s="16"/>
      <c r="K1555" s="19"/>
    </row>
    <row r="1556" spans="1:11" x14ac:dyDescent="0.25">
      <c r="A15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56" s="22">
        <v>45933</v>
      </c>
      <c r="C1556" s="16" t="s">
        <v>28</v>
      </c>
      <c r="D1556" s="16" t="s">
        <v>837</v>
      </c>
      <c r="E1556" s="17">
        <f>IFERROR(VLOOKUP(Tabulka2[[#This Row],[Pracovník]],DATA!A:L,5,0),"")</f>
        <v>176</v>
      </c>
      <c r="F1556" s="12" t="s">
        <v>640</v>
      </c>
      <c r="G1556" s="16"/>
      <c r="H1556" s="18"/>
      <c r="I1556" s="27" t="str">
        <f>IFERROR(VLOOKUP(Tabulka2[[#This Row],[Pracovník]],DATA!A:L,11,0),"")</f>
        <v>Vlastní auto</v>
      </c>
      <c r="J1556" s="16"/>
      <c r="K1556" s="19"/>
    </row>
    <row r="1557" spans="1:11" x14ac:dyDescent="0.25">
      <c r="A15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57" s="22">
        <v>45933</v>
      </c>
      <c r="C1557" s="16" t="s">
        <v>28</v>
      </c>
      <c r="D1557" s="16" t="s">
        <v>839</v>
      </c>
      <c r="E1557" s="17">
        <f>IFERROR(VLOOKUP(Tabulka2[[#This Row],[Pracovník]],DATA!A:L,5,0),"")</f>
        <v>177</v>
      </c>
      <c r="F1557" s="12" t="s">
        <v>655</v>
      </c>
      <c r="G1557" s="16"/>
      <c r="H1557" s="18"/>
      <c r="I1557" s="27" t="str">
        <f>IFERROR(VLOOKUP(Tabulka2[[#This Row],[Pracovník]],DATA!A:L,11,0),"")</f>
        <v>DSC 2</v>
      </c>
      <c r="J1557" s="16"/>
      <c r="K1557" s="19"/>
    </row>
    <row r="1558" spans="1:11" x14ac:dyDescent="0.25">
      <c r="A15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58" s="22">
        <v>45933</v>
      </c>
      <c r="C1558" s="16" t="s">
        <v>28</v>
      </c>
      <c r="D1558" s="16" t="s">
        <v>840</v>
      </c>
      <c r="E1558" s="17">
        <f>IFERROR(VLOOKUP(Tabulka2[[#This Row],[Pracovník]],DATA!A:L,5,0),"")</f>
        <v>5555</v>
      </c>
      <c r="F1558" s="12" t="s">
        <v>655</v>
      </c>
      <c r="G1558" s="16"/>
      <c r="H1558" s="18"/>
      <c r="I1558" s="27" t="str">
        <f>IFERROR(VLOOKUP(Tabulka2[[#This Row],[Pracovník]],DATA!A:L,11,0),"")</f>
        <v>Vlastní auto</v>
      </c>
      <c r="J1558" s="16"/>
      <c r="K1558" s="19"/>
    </row>
    <row r="1559" spans="1:11" x14ac:dyDescent="0.25">
      <c r="A15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59" s="22">
        <v>45933</v>
      </c>
      <c r="C1559" s="16" t="s">
        <v>28</v>
      </c>
      <c r="D1559" s="16" t="s">
        <v>841</v>
      </c>
      <c r="E1559" s="17">
        <f>IFERROR(VLOOKUP(Tabulka2[[#This Row],[Pracovník]],DATA!A:L,5,0),"")</f>
        <v>4959</v>
      </c>
      <c r="F1559" s="12" t="s">
        <v>655</v>
      </c>
      <c r="G1559" s="16"/>
      <c r="H1559" s="18"/>
      <c r="I1559" s="27" t="str">
        <f>IFERROR(VLOOKUP(Tabulka2[[#This Row],[Pracovník]],DATA!A:L,11,0),"")</f>
        <v>Vlastní auto</v>
      </c>
      <c r="J1559" s="16"/>
      <c r="K1559" s="19"/>
    </row>
    <row r="1560" spans="1:11" x14ac:dyDescent="0.25">
      <c r="A15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60" s="22">
        <v>45933</v>
      </c>
      <c r="C1560" s="16" t="s">
        <v>28</v>
      </c>
      <c r="D1560" s="16" t="s">
        <v>843</v>
      </c>
      <c r="E1560" s="17">
        <f>IFERROR(VLOOKUP(Tabulka2[[#This Row],[Pracovník]],DATA!A:L,5,0),"")</f>
        <v>4919</v>
      </c>
      <c r="F1560" s="12" t="s">
        <v>654</v>
      </c>
      <c r="G1560" s="16"/>
      <c r="H1560" s="18"/>
      <c r="I1560" s="27" t="str">
        <f>IFERROR(VLOOKUP(Tabulka2[[#This Row],[Pracovník]],DATA!A:L,11,0),"")</f>
        <v>Vlastní auto</v>
      </c>
      <c r="J1560" s="16"/>
      <c r="K1560" s="19"/>
    </row>
    <row r="1561" spans="1:11" x14ac:dyDescent="0.25">
      <c r="A15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61" s="22">
        <v>45933</v>
      </c>
      <c r="C1561" s="16" t="s">
        <v>28</v>
      </c>
      <c r="D1561" s="16" t="s">
        <v>842</v>
      </c>
      <c r="E1561" s="17">
        <f>IFERROR(VLOOKUP(Tabulka2[[#This Row],[Pracovník]],DATA!A:L,5,0),"")</f>
        <v>4724</v>
      </c>
      <c r="F1561" s="12" t="s">
        <v>654</v>
      </c>
      <c r="G1561" s="16"/>
      <c r="H1561" s="18"/>
      <c r="I1561" s="27" t="str">
        <f>IFERROR(VLOOKUP(Tabulka2[[#This Row],[Pracovník]],DATA!A:L,11,0),"")</f>
        <v>Vlastní auto</v>
      </c>
      <c r="J1561" s="16"/>
      <c r="K1561" s="19"/>
    </row>
    <row r="1562" spans="1:11" x14ac:dyDescent="0.25">
      <c r="A15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62" s="22">
        <v>45933</v>
      </c>
      <c r="C1562" s="16" t="s">
        <v>28</v>
      </c>
      <c r="D1562" s="16" t="s">
        <v>844</v>
      </c>
      <c r="E1562" s="17">
        <f>IFERROR(VLOOKUP(Tabulka2[[#This Row],[Pracovník]],DATA!A:L,5,0),"")</f>
        <v>183</v>
      </c>
      <c r="F1562" s="12" t="s">
        <v>640</v>
      </c>
      <c r="G1562" s="16"/>
      <c r="H1562" s="18"/>
      <c r="I1562" s="27" t="str">
        <f>IFERROR(VLOOKUP(Tabulka2[[#This Row],[Pracovník]],DATA!A:L,11,0),"")</f>
        <v>DSC 1</v>
      </c>
      <c r="J1562" s="16"/>
      <c r="K1562" s="19"/>
    </row>
    <row r="1563" spans="1:11" x14ac:dyDescent="0.25">
      <c r="A15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63" s="22">
        <v>45933</v>
      </c>
      <c r="C1563" s="16" t="s">
        <v>28</v>
      </c>
      <c r="D1563" s="16" t="s">
        <v>845</v>
      </c>
      <c r="E1563" s="17">
        <f>IFERROR(VLOOKUP(Tabulka2[[#This Row],[Pracovník]],DATA!A:L,5,0),"")</f>
        <v>5545</v>
      </c>
      <c r="F1563" s="12" t="s">
        <v>653</v>
      </c>
      <c r="G1563" s="16" t="s">
        <v>925</v>
      </c>
      <c r="H1563" s="18"/>
      <c r="I1563" s="27" t="str">
        <f>IFERROR(VLOOKUP(Tabulka2[[#This Row],[Pracovník]],DATA!A:L,11,0),"")</f>
        <v>Vlastní auto</v>
      </c>
      <c r="J1563" s="16"/>
      <c r="K1563" s="19" t="s">
        <v>1010</v>
      </c>
    </row>
    <row r="1564" spans="1:11" x14ac:dyDescent="0.25">
      <c r="A15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64" s="22">
        <v>45933</v>
      </c>
      <c r="C1564" s="16" t="s">
        <v>28</v>
      </c>
      <c r="D1564" s="16" t="s">
        <v>846</v>
      </c>
      <c r="E1564" s="17">
        <f>IFERROR(VLOOKUP(Tabulka2[[#This Row],[Pracovník]],DATA!A:L,5,0),"")</f>
        <v>5526</v>
      </c>
      <c r="F1564" s="12" t="s">
        <v>654</v>
      </c>
      <c r="G1564" s="16"/>
      <c r="H1564" s="18"/>
      <c r="I1564" s="27" t="str">
        <f>IFERROR(VLOOKUP(Tabulka2[[#This Row],[Pracovník]],DATA!A:L,11,0),"")</f>
        <v>Vlastní auto</v>
      </c>
      <c r="J1564" s="16"/>
      <c r="K1564" s="19"/>
    </row>
    <row r="1565" spans="1:11" x14ac:dyDescent="0.25">
      <c r="A15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65" s="22">
        <v>45933</v>
      </c>
      <c r="C1565" s="16" t="s">
        <v>28</v>
      </c>
      <c r="D1565" s="16" t="s">
        <v>847</v>
      </c>
      <c r="E1565" s="17">
        <f>IFERROR(VLOOKUP(Tabulka2[[#This Row],[Pracovník]],DATA!A:L,5,0),"")</f>
        <v>5192</v>
      </c>
      <c r="F1565" s="12" t="s">
        <v>654</v>
      </c>
      <c r="G1565" s="16"/>
      <c r="H1565" s="18"/>
      <c r="I1565" s="27" t="str">
        <f>IFERROR(VLOOKUP(Tabulka2[[#This Row],[Pracovník]],DATA!A:L,11,0),"")</f>
        <v>Vlastní auto</v>
      </c>
      <c r="J1565" s="16"/>
      <c r="K1565" s="19"/>
    </row>
    <row r="1566" spans="1:11" x14ac:dyDescent="0.25">
      <c r="A15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66" s="22">
        <v>45933</v>
      </c>
      <c r="C1566" s="16" t="s">
        <v>28</v>
      </c>
      <c r="D1566" s="16" t="s">
        <v>848</v>
      </c>
      <c r="E1566" s="17">
        <f>IFERROR(VLOOKUP(Tabulka2[[#This Row],[Pracovník]],DATA!A:L,5,0),"")</f>
        <v>4698</v>
      </c>
      <c r="F1566" s="12" t="s">
        <v>654</v>
      </c>
      <c r="G1566" s="16"/>
      <c r="H1566" s="18"/>
      <c r="I1566" s="27" t="str">
        <f>IFERROR(VLOOKUP(Tabulka2[[#This Row],[Pracovník]],DATA!A:L,11,0),"")</f>
        <v>Vlastní auto</v>
      </c>
      <c r="J1566" s="16"/>
      <c r="K1566" s="19"/>
    </row>
    <row r="1567" spans="1:11" x14ac:dyDescent="0.25">
      <c r="A15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67" s="22">
        <v>45933</v>
      </c>
      <c r="C1567" s="16" t="s">
        <v>28</v>
      </c>
      <c r="D1567" s="16" t="s">
        <v>849</v>
      </c>
      <c r="E1567" s="17">
        <f>IFERROR(VLOOKUP(Tabulka2[[#This Row],[Pracovník]],DATA!A:L,5,0),"")</f>
        <v>4611</v>
      </c>
      <c r="F1567" s="12" t="s">
        <v>655</v>
      </c>
      <c r="G1567" s="16"/>
      <c r="H1567" s="18"/>
      <c r="I1567" s="27" t="str">
        <f>IFERROR(VLOOKUP(Tabulka2[[#This Row],[Pracovník]],DATA!A:L,11,0),"")</f>
        <v>DSC 1</v>
      </c>
      <c r="J1567" s="16"/>
      <c r="K1567" s="19"/>
    </row>
    <row r="1568" spans="1:11" x14ac:dyDescent="0.25">
      <c r="A15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68" s="22">
        <v>45933</v>
      </c>
      <c r="C1568" s="16" t="s">
        <v>28</v>
      </c>
      <c r="D1568" s="16" t="s">
        <v>850</v>
      </c>
      <c r="E1568" s="17">
        <f>IFERROR(VLOOKUP(Tabulka2[[#This Row],[Pracovník]],DATA!A:L,5,0),"")</f>
        <v>5069</v>
      </c>
      <c r="F1568" s="12" t="s">
        <v>655</v>
      </c>
      <c r="G1568" s="16"/>
      <c r="H1568" s="18"/>
      <c r="I1568" s="27" t="str">
        <f>IFERROR(VLOOKUP(Tabulka2[[#This Row],[Pracovník]],DATA!A:L,11,0),"")</f>
        <v>Vlastní auto</v>
      </c>
      <c r="J1568" s="16"/>
      <c r="K1568" s="19"/>
    </row>
    <row r="1569" spans="1:11" x14ac:dyDescent="0.25">
      <c r="A15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69" s="22">
        <v>45933</v>
      </c>
      <c r="C1569" s="16" t="s">
        <v>28</v>
      </c>
      <c r="D1569" s="16" t="s">
        <v>851</v>
      </c>
      <c r="E1569" s="17">
        <f>IFERROR(VLOOKUP(Tabulka2[[#This Row],[Pracovník]],DATA!A:L,5,0),"")</f>
        <v>185</v>
      </c>
      <c r="F1569" s="12" t="s">
        <v>640</v>
      </c>
      <c r="G1569" s="16"/>
      <c r="H1569" s="18"/>
      <c r="I1569" s="27" t="str">
        <f>IFERROR(VLOOKUP(Tabulka2[[#This Row],[Pracovník]],DATA!A:L,11,0),"")</f>
        <v>DSC 1</v>
      </c>
      <c r="J1569" s="16"/>
      <c r="K1569" s="19"/>
    </row>
    <row r="1570" spans="1:11" x14ac:dyDescent="0.25">
      <c r="A15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70" s="22">
        <v>45933</v>
      </c>
      <c r="C1570" s="16" t="s">
        <v>28</v>
      </c>
      <c r="D1570" s="16" t="s">
        <v>852</v>
      </c>
      <c r="E1570" s="17">
        <f>IFERROR(VLOOKUP(Tabulka2[[#This Row],[Pracovník]],DATA!A:L,5,0),"")</f>
        <v>6388</v>
      </c>
      <c r="F1570" s="12" t="s">
        <v>653</v>
      </c>
      <c r="G1570" s="16" t="s">
        <v>657</v>
      </c>
      <c r="H1570" s="18"/>
      <c r="I1570" s="27" t="str">
        <f>IFERROR(VLOOKUP(Tabulka2[[#This Row],[Pracovník]],DATA!A:L,11,0),"")</f>
        <v>Vlastní auto</v>
      </c>
      <c r="J1570" s="16"/>
      <c r="K1570" s="19"/>
    </row>
    <row r="1571" spans="1:11" x14ac:dyDescent="0.25">
      <c r="A15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71" s="22">
        <v>45933</v>
      </c>
      <c r="C1571" s="16" t="s">
        <v>28</v>
      </c>
      <c r="D1571" s="16" t="s">
        <v>854</v>
      </c>
      <c r="E1571" s="17">
        <f>IFERROR(VLOOKUP(Tabulka2[[#This Row],[Pracovník]],DATA!A:L,5,0),"")</f>
        <v>5720</v>
      </c>
      <c r="F1571" s="12" t="s">
        <v>655</v>
      </c>
      <c r="G1571" s="16"/>
      <c r="H1571" s="18"/>
      <c r="I1571" s="27" t="str">
        <f>IFERROR(VLOOKUP(Tabulka2[[#This Row],[Pracovník]],DATA!A:L,11,0),"")</f>
        <v>DSC 2</v>
      </c>
      <c r="J1571" s="16"/>
      <c r="K1571" s="19"/>
    </row>
    <row r="1572" spans="1:11" x14ac:dyDescent="0.25">
      <c r="A15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72" s="22">
        <v>45933</v>
      </c>
      <c r="C1572" s="16" t="s">
        <v>28</v>
      </c>
      <c r="D1572" s="16" t="s">
        <v>853</v>
      </c>
      <c r="E1572" s="17">
        <f>IFERROR(VLOOKUP(Tabulka2[[#This Row],[Pracovník]],DATA!A:L,5,0),"")</f>
        <v>5722</v>
      </c>
      <c r="F1572" s="12" t="s">
        <v>655</v>
      </c>
      <c r="G1572" s="16"/>
      <c r="H1572" s="18"/>
      <c r="I1572" s="27" t="str">
        <f>IFERROR(VLOOKUP(Tabulka2[[#This Row],[Pracovník]],DATA!A:L,11,0),"")</f>
        <v>DSC 2</v>
      </c>
      <c r="J1572" s="16"/>
      <c r="K1572" s="19"/>
    </row>
    <row r="1573" spans="1:11" x14ac:dyDescent="0.25">
      <c r="A15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73" s="22">
        <v>45933</v>
      </c>
      <c r="C1573" s="16" t="s">
        <v>28</v>
      </c>
      <c r="D1573" s="16" t="s">
        <v>855</v>
      </c>
      <c r="E1573" s="17">
        <f>IFERROR(VLOOKUP(Tabulka2[[#This Row],[Pracovník]],DATA!A:L,5,0),"")</f>
        <v>6180</v>
      </c>
      <c r="F1573" s="12" t="s">
        <v>640</v>
      </c>
      <c r="G1573" s="16"/>
      <c r="H1573" s="18"/>
      <c r="I1573" s="27" t="str">
        <f>IFERROR(VLOOKUP(Tabulka2[[#This Row],[Pracovník]],DATA!A:L,11,0),"")</f>
        <v>DSC 2</v>
      </c>
      <c r="J1573" s="16"/>
      <c r="K1573" s="19"/>
    </row>
    <row r="1574" spans="1:11" x14ac:dyDescent="0.25">
      <c r="A15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74" s="22">
        <v>45933</v>
      </c>
      <c r="C1574" s="16" t="s">
        <v>28</v>
      </c>
      <c r="D1574" s="16" t="s">
        <v>856</v>
      </c>
      <c r="E1574" s="17">
        <f>IFERROR(VLOOKUP(Tabulka2[[#This Row],[Pracovník]],DATA!A:L,5,0),"")</f>
        <v>4423</v>
      </c>
      <c r="F1574" s="12" t="s">
        <v>640</v>
      </c>
      <c r="G1574" s="16"/>
      <c r="H1574" s="18"/>
      <c r="I1574" s="27" t="str">
        <f>IFERROR(VLOOKUP(Tabulka2[[#This Row],[Pracovník]],DATA!A:L,11,0),"")</f>
        <v>DSC 1</v>
      </c>
      <c r="J1574" s="16"/>
      <c r="K1574" s="19"/>
    </row>
    <row r="1575" spans="1:11" x14ac:dyDescent="0.25">
      <c r="A15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75" s="22">
        <v>45933</v>
      </c>
      <c r="C1575" s="16" t="s">
        <v>28</v>
      </c>
      <c r="D1575" s="16" t="s">
        <v>857</v>
      </c>
      <c r="E1575" s="17">
        <f>IFERROR(VLOOKUP(Tabulka2[[#This Row],[Pracovník]],DATA!A:L,5,0),"")</f>
        <v>5036</v>
      </c>
      <c r="F1575" s="12" t="s">
        <v>653</v>
      </c>
      <c r="G1575" s="16"/>
      <c r="H1575" s="18"/>
      <c r="I1575" s="27" t="str">
        <f>IFERROR(VLOOKUP(Tabulka2[[#This Row],[Pracovník]],DATA!A:L,11,0),"")</f>
        <v>Vlastní auto</v>
      </c>
      <c r="J1575" s="16"/>
      <c r="K1575" s="19"/>
    </row>
    <row r="1576" spans="1:11" x14ac:dyDescent="0.25">
      <c r="A15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76" s="22">
        <v>45933</v>
      </c>
      <c r="C1576" s="16" t="s">
        <v>28</v>
      </c>
      <c r="D1576" s="16" t="s">
        <v>838</v>
      </c>
      <c r="E1576" s="17">
        <f>IFERROR(VLOOKUP(Tabulka2[[#This Row],[Pracovník]],DATA!A:L,5,0),"")</f>
        <v>4899</v>
      </c>
      <c r="F1576" s="12" t="s">
        <v>654</v>
      </c>
      <c r="G1576" s="16"/>
      <c r="H1576" s="18"/>
      <c r="I1576" s="27" t="str">
        <f>IFERROR(VLOOKUP(Tabulka2[[#This Row],[Pracovník]],DATA!A:L,11,0),"")</f>
        <v>DSC 1</v>
      </c>
      <c r="J1576" s="16"/>
      <c r="K1576" s="19"/>
    </row>
    <row r="1577" spans="1:11" x14ac:dyDescent="0.25">
      <c r="A15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77" s="22">
        <v>45933</v>
      </c>
      <c r="C1577" s="16" t="s">
        <v>28</v>
      </c>
      <c r="D1577" s="16" t="s">
        <v>918</v>
      </c>
      <c r="E1577" s="17">
        <f>IFERROR(VLOOKUP(Tabulka2[[#This Row],[Pracovník]],DATA!A:L,5,0),"")</f>
        <v>6582</v>
      </c>
      <c r="F1577" s="12" t="s">
        <v>640</v>
      </c>
      <c r="G1577" s="16"/>
      <c r="H1577" s="18"/>
      <c r="I1577" s="27" t="str">
        <f>IFERROR(VLOOKUP(Tabulka2[[#This Row],[Pracovník]],DATA!A:L,11,0),"")</f>
        <v>DSC 1</v>
      </c>
      <c r="J1577" s="16"/>
      <c r="K1577" s="19"/>
    </row>
    <row r="1578" spans="1:11" x14ac:dyDescent="0.25">
      <c r="A15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78" s="22">
        <v>45933</v>
      </c>
      <c r="C1578" s="16" t="s">
        <v>28</v>
      </c>
      <c r="D1578" s="16" t="s">
        <v>922</v>
      </c>
      <c r="E1578" s="17">
        <f>IFERROR(VLOOKUP(Tabulka2[[#This Row],[Pracovník]],DATA!A:L,5,0),"")</f>
        <v>6580</v>
      </c>
      <c r="F1578" s="12" t="s">
        <v>655</v>
      </c>
      <c r="G1578" s="16"/>
      <c r="H1578" s="18"/>
      <c r="I1578" s="27" t="str">
        <f>IFERROR(VLOOKUP(Tabulka2[[#This Row],[Pracovník]],DATA!A:L,11,0),"")</f>
        <v>Vlastní auto</v>
      </c>
      <c r="J1578" s="16"/>
      <c r="K1578" s="19"/>
    </row>
    <row r="1579" spans="1:11" x14ac:dyDescent="0.25">
      <c r="A15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79" s="22">
        <v>45936</v>
      </c>
      <c r="C1579" s="16" t="s">
        <v>56</v>
      </c>
      <c r="D1579" s="16" t="s">
        <v>910</v>
      </c>
      <c r="E1579" s="17">
        <f>IFERROR(VLOOKUP(Tabulka2[[#This Row],[Pracovník]],DATA!A:L,5,0),"")</f>
        <v>6474</v>
      </c>
      <c r="F1579" s="12" t="s">
        <v>654</v>
      </c>
      <c r="G1579" s="16"/>
      <c r="H1579" s="18"/>
      <c r="I1579" s="27" t="str">
        <f>IFERROR(VLOOKUP(Tabulka2[[#This Row],[Pracovník]],DATA!A:L,11,0),"")</f>
        <v>BATZ 1</v>
      </c>
      <c r="J1579" s="16"/>
      <c r="K1579" s="19"/>
    </row>
    <row r="1580" spans="1:11" x14ac:dyDescent="0.25">
      <c r="A15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80" s="22">
        <v>45936</v>
      </c>
      <c r="C1580" s="16" t="s">
        <v>56</v>
      </c>
      <c r="D1580" s="16" t="s">
        <v>911</v>
      </c>
      <c r="E1580" s="17">
        <f>IFERROR(VLOOKUP(Tabulka2[[#This Row],[Pracovník]],DATA!A:L,5,0),"")</f>
        <v>5110</v>
      </c>
      <c r="F1580" s="12" t="s">
        <v>640</v>
      </c>
      <c r="G1580" s="16"/>
      <c r="H1580" s="18"/>
      <c r="I1580" s="27" t="str">
        <f>IFERROR(VLOOKUP(Tabulka2[[#This Row],[Pracovník]],DATA!A:L,11,0),"")</f>
        <v>BATZ 2</v>
      </c>
      <c r="J1580" s="16"/>
      <c r="K1580" s="19"/>
    </row>
    <row r="1581" spans="1:11" x14ac:dyDescent="0.25">
      <c r="A15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81" s="22">
        <v>45936</v>
      </c>
      <c r="C1581" s="16" t="s">
        <v>56</v>
      </c>
      <c r="D1581" s="16" t="s">
        <v>912</v>
      </c>
      <c r="E1581" s="17">
        <f>IFERROR(VLOOKUP(Tabulka2[[#This Row],[Pracovník]],DATA!A:L,5,0),"")</f>
        <v>6473</v>
      </c>
      <c r="F1581" s="12" t="s">
        <v>640</v>
      </c>
      <c r="G1581" s="16"/>
      <c r="H1581" s="18"/>
      <c r="I1581" s="27" t="str">
        <f>IFERROR(VLOOKUP(Tabulka2[[#This Row],[Pracovník]],DATA!A:L,11,0),"")</f>
        <v>BATZ 1</v>
      </c>
      <c r="J1581" s="16"/>
      <c r="K1581" s="19"/>
    </row>
    <row r="1582" spans="1:11" x14ac:dyDescent="0.25">
      <c r="A15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82" s="22">
        <v>45936</v>
      </c>
      <c r="C1582" s="16" t="s">
        <v>56</v>
      </c>
      <c r="D1582" s="16" t="s">
        <v>913</v>
      </c>
      <c r="E1582" s="17">
        <f>IFERROR(VLOOKUP(Tabulka2[[#This Row],[Pracovník]],DATA!A:L,5,0),"")</f>
        <v>6394</v>
      </c>
      <c r="F1582" s="12" t="s">
        <v>653</v>
      </c>
      <c r="G1582" s="16" t="s">
        <v>657</v>
      </c>
      <c r="H1582" s="18"/>
      <c r="I1582" s="27" t="str">
        <f>IFERROR(VLOOKUP(Tabulka2[[#This Row],[Pracovník]],DATA!A:L,11,0),"")</f>
        <v>BATZ 1</v>
      </c>
      <c r="J1582" s="16"/>
      <c r="K1582" s="19"/>
    </row>
    <row r="1583" spans="1:11" x14ac:dyDescent="0.25">
      <c r="A15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83" s="22">
        <v>45936</v>
      </c>
      <c r="C1583" s="16" t="s">
        <v>25</v>
      </c>
      <c r="D1583" s="16" t="s">
        <v>679</v>
      </c>
      <c r="E1583" s="17">
        <f>IFERROR(VLOOKUP(Tabulka2[[#This Row],[Pracovník]],DATA!A:L,5,0),"")</f>
        <v>5777</v>
      </c>
      <c r="F1583" s="12" t="s">
        <v>640</v>
      </c>
      <c r="G1583" s="16"/>
      <c r="H1583" s="18"/>
      <c r="I1583" s="27" t="str">
        <f>IFERROR(VLOOKUP(Tabulka2[[#This Row],[Pracovník]],DATA!A:L,11,0),"")</f>
        <v>BATZ 2</v>
      </c>
      <c r="J1583" s="16"/>
      <c r="K1583" s="19"/>
    </row>
    <row r="1584" spans="1:11" x14ac:dyDescent="0.25">
      <c r="A15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84" s="22">
        <v>45936</v>
      </c>
      <c r="C1584" s="16" t="s">
        <v>25</v>
      </c>
      <c r="D1584" s="23" t="s">
        <v>680</v>
      </c>
      <c r="E1584" s="17">
        <f>IFERROR(VLOOKUP(Tabulka2[[#This Row],[Pracovník]],DATA!A:L,5,0),"")</f>
        <v>4838</v>
      </c>
      <c r="F1584" s="24" t="s">
        <v>640</v>
      </c>
      <c r="G1584" s="16"/>
      <c r="H1584" s="18"/>
      <c r="I1584" s="27" t="str">
        <f>IFERROR(VLOOKUP(Tabulka2[[#This Row],[Pracovník]],DATA!A:L,11,0),"")</f>
        <v>BATZ 2</v>
      </c>
      <c r="J1584" s="16"/>
      <c r="K1584" s="19"/>
    </row>
    <row r="1585" spans="1:11" x14ac:dyDescent="0.25">
      <c r="A15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85" s="22">
        <v>45936</v>
      </c>
      <c r="C1585" s="16" t="s">
        <v>25</v>
      </c>
      <c r="D1585" s="16" t="s">
        <v>681</v>
      </c>
      <c r="E1585" s="17">
        <f>IFERROR(VLOOKUP(Tabulka2[[#This Row],[Pracovník]],DATA!A:L,5,0),"")</f>
        <v>4599</v>
      </c>
      <c r="F1585" s="12" t="s">
        <v>655</v>
      </c>
      <c r="G1585" s="16"/>
      <c r="H1585" s="18"/>
      <c r="I1585" s="27" t="str">
        <f>IFERROR(VLOOKUP(Tabulka2[[#This Row],[Pracovník]],DATA!A:L,11,0),"")</f>
        <v>BATZ 1</v>
      </c>
      <c r="J1585" s="16"/>
      <c r="K1585" s="19"/>
    </row>
    <row r="1586" spans="1:11" x14ac:dyDescent="0.25">
      <c r="A15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86" s="22">
        <v>45936</v>
      </c>
      <c r="C1586" s="16" t="s">
        <v>25</v>
      </c>
      <c r="D1586" s="16" t="s">
        <v>682</v>
      </c>
      <c r="E1586" s="17">
        <f>IFERROR(VLOOKUP(Tabulka2[[#This Row],[Pracovník]],DATA!A:L,5,0),"")</f>
        <v>6566</v>
      </c>
      <c r="F1586" s="12" t="s">
        <v>640</v>
      </c>
      <c r="G1586" s="16"/>
      <c r="H1586" s="18"/>
      <c r="I1586" s="27" t="str">
        <f>IFERROR(VLOOKUP(Tabulka2[[#This Row],[Pracovník]],DATA!A:L,11,0),"")</f>
        <v>BATZ 1</v>
      </c>
      <c r="J1586" s="16"/>
      <c r="K1586" s="19"/>
    </row>
    <row r="1587" spans="1:11" x14ac:dyDescent="0.25">
      <c r="A15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87" s="22">
        <v>45936</v>
      </c>
      <c r="C1587" s="16" t="s">
        <v>25</v>
      </c>
      <c r="D1587" s="16" t="s">
        <v>683</v>
      </c>
      <c r="E1587" s="17">
        <f>IFERROR(VLOOKUP(Tabulka2[[#This Row],[Pracovník]],DATA!A:L,5,0),"")</f>
        <v>5400</v>
      </c>
      <c r="F1587" s="12" t="s">
        <v>653</v>
      </c>
      <c r="G1587" s="16" t="s">
        <v>656</v>
      </c>
      <c r="H1587" s="18"/>
      <c r="I1587" s="27" t="str">
        <f>IFERROR(VLOOKUP(Tabulka2[[#This Row],[Pracovník]],DATA!A:L,11,0),"")</f>
        <v>BATZ 1</v>
      </c>
      <c r="J1587" s="16"/>
      <c r="K1587" s="19"/>
    </row>
    <row r="1588" spans="1:11" x14ac:dyDescent="0.25">
      <c r="A15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88" s="22">
        <v>45936</v>
      </c>
      <c r="C1588" s="16" t="s">
        <v>25</v>
      </c>
      <c r="D1588" s="16" t="s">
        <v>684</v>
      </c>
      <c r="E1588" s="17">
        <f>IFERROR(VLOOKUP(Tabulka2[[#This Row],[Pracovník]],DATA!A:L,5,0),"")</f>
        <v>5094</v>
      </c>
      <c r="F1588" s="12" t="s">
        <v>654</v>
      </c>
      <c r="G1588" s="16"/>
      <c r="H1588" s="18"/>
      <c r="I1588" s="27" t="str">
        <f>IFERROR(VLOOKUP(Tabulka2[[#This Row],[Pracovník]],DATA!A:L,11,0),"")</f>
        <v>BATZ 2</v>
      </c>
      <c r="J1588" s="16"/>
      <c r="K1588" s="19"/>
    </row>
    <row r="1589" spans="1:11" x14ac:dyDescent="0.25">
      <c r="A15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89" s="22">
        <v>45936</v>
      </c>
      <c r="C1589" s="16" t="s">
        <v>25</v>
      </c>
      <c r="D1589" s="16" t="s">
        <v>685</v>
      </c>
      <c r="E1589" s="17">
        <f>IFERROR(VLOOKUP(Tabulka2[[#This Row],[Pracovník]],DATA!A:L,5,0),"")</f>
        <v>6001</v>
      </c>
      <c r="F1589" s="12" t="s">
        <v>654</v>
      </c>
      <c r="G1589" s="16"/>
      <c r="H1589" s="18"/>
      <c r="I1589" s="27" t="str">
        <f>IFERROR(VLOOKUP(Tabulka2[[#This Row],[Pracovník]],DATA!A:L,11,0),"")</f>
        <v>BATZ 1</v>
      </c>
      <c r="J1589" s="16"/>
      <c r="K1589" s="19"/>
    </row>
    <row r="1590" spans="1:11" x14ac:dyDescent="0.25">
      <c r="A15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90" s="22">
        <v>45936</v>
      </c>
      <c r="C1590" s="16" t="s">
        <v>25</v>
      </c>
      <c r="D1590" s="16" t="s">
        <v>686</v>
      </c>
      <c r="E1590" s="17">
        <f>IFERROR(VLOOKUP(Tabulka2[[#This Row],[Pracovník]],DATA!A:L,5,0),"")</f>
        <v>6573</v>
      </c>
      <c r="F1590" s="12" t="s">
        <v>655</v>
      </c>
      <c r="G1590" s="16"/>
      <c r="H1590" s="18"/>
      <c r="I1590" s="27" t="str">
        <f>IFERROR(VLOOKUP(Tabulka2[[#This Row],[Pracovník]],DATA!A:L,11,0),"")</f>
        <v>BATZ 1</v>
      </c>
      <c r="J1590" s="16"/>
      <c r="K1590" s="19"/>
    </row>
    <row r="1591" spans="1:11" x14ac:dyDescent="0.25">
      <c r="A15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91" s="22">
        <v>45936</v>
      </c>
      <c r="C1591" s="16" t="s">
        <v>25</v>
      </c>
      <c r="D1591" s="16" t="s">
        <v>687</v>
      </c>
      <c r="E1591" s="17">
        <f>IFERROR(VLOOKUP(Tabulka2[[#This Row],[Pracovník]],DATA!A:L,5,0),"")</f>
        <v>5129</v>
      </c>
      <c r="F1591" s="12" t="s">
        <v>655</v>
      </c>
      <c r="G1591" s="16"/>
      <c r="H1591" s="18"/>
      <c r="I1591" s="27" t="str">
        <f>IFERROR(VLOOKUP(Tabulka2[[#This Row],[Pracovník]],DATA!A:L,11,0),"")</f>
        <v>BATZ 1</v>
      </c>
      <c r="J1591" s="16"/>
      <c r="K1591" s="19"/>
    </row>
    <row r="1592" spans="1:11" x14ac:dyDescent="0.25">
      <c r="A15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92" s="22">
        <v>45936</v>
      </c>
      <c r="C1592" s="16" t="s">
        <v>25</v>
      </c>
      <c r="D1592" s="16" t="s">
        <v>688</v>
      </c>
      <c r="E1592" s="17">
        <f>IFERROR(VLOOKUP(Tabulka2[[#This Row],[Pracovník]],DATA!A:L,5,0),"")</f>
        <v>5663</v>
      </c>
      <c r="F1592" s="12" t="s">
        <v>655</v>
      </c>
      <c r="G1592" s="16"/>
      <c r="H1592" s="18"/>
      <c r="I1592" s="27" t="str">
        <f>IFERROR(VLOOKUP(Tabulka2[[#This Row],[Pracovník]],DATA!A:L,11,0),"")</f>
        <v>BATZ 1</v>
      </c>
      <c r="J1592" s="16"/>
      <c r="K1592" s="19"/>
    </row>
    <row r="1593" spans="1:11" x14ac:dyDescent="0.25">
      <c r="A15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93" s="22">
        <v>45936</v>
      </c>
      <c r="C1593" s="16" t="s">
        <v>25</v>
      </c>
      <c r="D1593" s="16" t="s">
        <v>690</v>
      </c>
      <c r="E1593" s="17">
        <f>IFERROR(VLOOKUP(Tabulka2[[#This Row],[Pracovník]],DATA!A:L,5,0),"")</f>
        <v>4501</v>
      </c>
      <c r="F1593" s="12" t="s">
        <v>653</v>
      </c>
      <c r="G1593" s="16" t="s">
        <v>657</v>
      </c>
      <c r="H1593" s="18"/>
      <c r="I1593" s="27" t="str">
        <f>IFERROR(VLOOKUP(Tabulka2[[#This Row],[Pracovník]],DATA!A:L,11,0),"")</f>
        <v>BATZ 2</v>
      </c>
      <c r="J1593" s="16"/>
      <c r="K1593" s="19"/>
    </row>
    <row r="1594" spans="1:11" x14ac:dyDescent="0.25">
      <c r="A15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94" s="22">
        <v>45936</v>
      </c>
      <c r="C1594" s="16" t="s">
        <v>25</v>
      </c>
      <c r="D1594" s="16" t="s">
        <v>689</v>
      </c>
      <c r="E1594" s="17">
        <f>IFERROR(VLOOKUP(Tabulka2[[#This Row],[Pracovník]],DATA!A:L,5,0),"")</f>
        <v>4936</v>
      </c>
      <c r="F1594" s="12" t="s">
        <v>654</v>
      </c>
      <c r="G1594" s="16"/>
      <c r="H1594" s="18"/>
      <c r="I1594" s="27" t="str">
        <f>IFERROR(VLOOKUP(Tabulka2[[#This Row],[Pracovník]],DATA!A:L,11,0),"")</f>
        <v>BATZ 1</v>
      </c>
      <c r="J1594" s="16"/>
      <c r="K1594" s="19"/>
    </row>
    <row r="1595" spans="1:11" x14ac:dyDescent="0.25">
      <c r="A15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95" s="22">
        <v>45936</v>
      </c>
      <c r="C1595" s="16" t="s">
        <v>25</v>
      </c>
      <c r="D1595" s="16" t="s">
        <v>695</v>
      </c>
      <c r="E1595" s="17">
        <f>IFERROR(VLOOKUP(Tabulka2[[#This Row],[Pracovník]],DATA!A:L,5,0),"")</f>
        <v>3728</v>
      </c>
      <c r="F1595" s="12" t="s">
        <v>654</v>
      </c>
      <c r="G1595" s="16"/>
      <c r="H1595" s="18"/>
      <c r="I1595" s="27" t="str">
        <f>IFERROR(VLOOKUP(Tabulka2[[#This Row],[Pracovník]],DATA!A:L,11,0),"")</f>
        <v>BATZ 1</v>
      </c>
      <c r="J1595" s="16"/>
      <c r="K1595" s="19"/>
    </row>
    <row r="1596" spans="1:11" x14ac:dyDescent="0.25">
      <c r="A15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96" s="22">
        <v>45936</v>
      </c>
      <c r="C1596" s="16" t="s">
        <v>25</v>
      </c>
      <c r="D1596" s="16" t="s">
        <v>691</v>
      </c>
      <c r="E1596" s="17">
        <f>IFERROR(VLOOKUP(Tabulka2[[#This Row],[Pracovník]],DATA!A:L,5,0),"")</f>
        <v>4955</v>
      </c>
      <c r="F1596" s="12" t="s">
        <v>655</v>
      </c>
      <c r="G1596" s="16"/>
      <c r="H1596" s="18"/>
      <c r="I1596" s="27" t="str">
        <f>IFERROR(VLOOKUP(Tabulka2[[#This Row],[Pracovník]],DATA!A:L,11,0),"")</f>
        <v>BATZ 1</v>
      </c>
      <c r="J1596" s="16"/>
      <c r="K1596" s="19"/>
    </row>
    <row r="1597" spans="1:11" x14ac:dyDescent="0.25">
      <c r="A15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97" s="22">
        <v>45936</v>
      </c>
      <c r="C1597" s="16" t="s">
        <v>25</v>
      </c>
      <c r="D1597" s="16" t="s">
        <v>692</v>
      </c>
      <c r="E1597" s="17">
        <f>IFERROR(VLOOKUP(Tabulka2[[#This Row],[Pracovník]],DATA!A:L,5,0),"")</f>
        <v>6568</v>
      </c>
      <c r="F1597" s="12" t="s">
        <v>640</v>
      </c>
      <c r="G1597" s="16"/>
      <c r="H1597" s="18"/>
      <c r="I1597" s="27" t="str">
        <f>IFERROR(VLOOKUP(Tabulka2[[#This Row],[Pracovník]],DATA!A:L,11,0),"")</f>
        <v>BATZ 2</v>
      </c>
      <c r="J1597" s="16"/>
      <c r="K1597" s="19"/>
    </row>
    <row r="1598" spans="1:11" x14ac:dyDescent="0.25">
      <c r="A15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98" s="22">
        <v>45936</v>
      </c>
      <c r="C1598" s="16" t="s">
        <v>25</v>
      </c>
      <c r="D1598" s="16" t="s">
        <v>693</v>
      </c>
      <c r="E1598" s="17">
        <f>IFERROR(VLOOKUP(Tabulka2[[#This Row],[Pracovník]],DATA!A:L,5,0),"")</f>
        <v>3721</v>
      </c>
      <c r="F1598" s="12" t="s">
        <v>655</v>
      </c>
      <c r="G1598" s="16"/>
      <c r="H1598" s="18"/>
      <c r="I1598" s="27" t="str">
        <f>IFERROR(VLOOKUP(Tabulka2[[#This Row],[Pracovník]],DATA!A:L,11,0),"")</f>
        <v>BATZ 1</v>
      </c>
      <c r="J1598" s="16"/>
      <c r="K1598" s="19"/>
    </row>
    <row r="1599" spans="1:11" x14ac:dyDescent="0.25">
      <c r="A15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599" s="22">
        <v>45936</v>
      </c>
      <c r="C1599" s="16" t="s">
        <v>25</v>
      </c>
      <c r="D1599" s="16" t="s">
        <v>694</v>
      </c>
      <c r="E1599" s="17">
        <f>IFERROR(VLOOKUP(Tabulka2[[#This Row],[Pracovník]],DATA!A:L,5,0),"")</f>
        <v>6110</v>
      </c>
      <c r="F1599" s="12" t="s">
        <v>640</v>
      </c>
      <c r="G1599" s="16"/>
      <c r="H1599" s="18"/>
      <c r="I1599" s="27" t="str">
        <f>IFERROR(VLOOKUP(Tabulka2[[#This Row],[Pracovník]],DATA!A:L,11,0),"")</f>
        <v>BATZ 1</v>
      </c>
      <c r="J1599" s="16"/>
      <c r="K1599" s="19"/>
    </row>
    <row r="1600" spans="1:11" x14ac:dyDescent="0.25">
      <c r="A16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00" s="22">
        <v>45936</v>
      </c>
      <c r="C1600" s="16" t="s">
        <v>25</v>
      </c>
      <c r="D1600" s="16" t="s">
        <v>696</v>
      </c>
      <c r="E1600" s="17">
        <f>IFERROR(VLOOKUP(Tabulka2[[#This Row],[Pracovník]],DATA!A:L,5,0),"")</f>
        <v>0</v>
      </c>
      <c r="F1600" s="12" t="s">
        <v>655</v>
      </c>
      <c r="G1600" s="16"/>
      <c r="H1600" s="18"/>
      <c r="I1600" s="27" t="str">
        <f>IFERROR(VLOOKUP(Tabulka2[[#This Row],[Pracovník]],DATA!A:L,11,0),"")</f>
        <v>BATZ 1</v>
      </c>
      <c r="J1600" s="16"/>
      <c r="K1600" s="19"/>
    </row>
    <row r="1601" spans="1:11" x14ac:dyDescent="0.25">
      <c r="A16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01" s="22">
        <v>45936</v>
      </c>
      <c r="C1601" s="16" t="s">
        <v>25</v>
      </c>
      <c r="D1601" s="16" t="s">
        <v>697</v>
      </c>
      <c r="E1601" s="17">
        <f>IFERROR(VLOOKUP(Tabulka2[[#This Row],[Pracovník]],DATA!A:L,5,0),"")</f>
        <v>6330</v>
      </c>
      <c r="F1601" s="12" t="s">
        <v>654</v>
      </c>
      <c r="G1601" s="16"/>
      <c r="H1601" s="18"/>
      <c r="I1601" s="27" t="str">
        <f>IFERROR(VLOOKUP(Tabulka2[[#This Row],[Pracovník]],DATA!A:L,11,0),"")</f>
        <v>BATZ 2</v>
      </c>
      <c r="J1601" s="16"/>
      <c r="K1601" s="19"/>
    </row>
    <row r="1602" spans="1:11" x14ac:dyDescent="0.25">
      <c r="A16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02" s="22">
        <v>45936</v>
      </c>
      <c r="C1602" s="16" t="s">
        <v>25</v>
      </c>
      <c r="D1602" s="16" t="s">
        <v>698</v>
      </c>
      <c r="E1602" s="17">
        <f>IFERROR(VLOOKUP(Tabulka2[[#This Row],[Pracovník]],DATA!A:L,5,0),"")</f>
        <v>5828</v>
      </c>
      <c r="F1602" s="12" t="s">
        <v>655</v>
      </c>
      <c r="G1602" s="16"/>
      <c r="H1602" s="18"/>
      <c r="I1602" s="27" t="str">
        <f>IFERROR(VLOOKUP(Tabulka2[[#This Row],[Pracovník]],DATA!A:L,11,0),"")</f>
        <v>BATZ 1</v>
      </c>
      <c r="J1602" s="16"/>
      <c r="K1602" s="19"/>
    </row>
    <row r="1603" spans="1:11" x14ac:dyDescent="0.25">
      <c r="A16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03" s="22">
        <v>45936</v>
      </c>
      <c r="C1603" s="16" t="s">
        <v>25</v>
      </c>
      <c r="D1603" s="16" t="s">
        <v>699</v>
      </c>
      <c r="E1603" s="17">
        <f>IFERROR(VLOOKUP(Tabulka2[[#This Row],[Pracovník]],DATA!A:L,5,0),"")</f>
        <v>4775</v>
      </c>
      <c r="F1603" s="12" t="s">
        <v>653</v>
      </c>
      <c r="G1603" s="16" t="s">
        <v>656</v>
      </c>
      <c r="H1603" s="18"/>
      <c r="I1603" s="27" t="str">
        <f>IFERROR(VLOOKUP(Tabulka2[[#This Row],[Pracovník]],DATA!A:L,11,0),"")</f>
        <v>BATZ 2</v>
      </c>
      <c r="J1603" s="16"/>
      <c r="K1603" s="19"/>
    </row>
    <row r="1604" spans="1:11" x14ac:dyDescent="0.25">
      <c r="A16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04" s="22">
        <v>45936</v>
      </c>
      <c r="C1604" s="16" t="s">
        <v>25</v>
      </c>
      <c r="D1604" s="16" t="s">
        <v>700</v>
      </c>
      <c r="E1604" s="17">
        <f>IFERROR(VLOOKUP(Tabulka2[[#This Row],[Pracovník]],DATA!A:L,5,0),"")</f>
        <v>5665</v>
      </c>
      <c r="F1604" s="12" t="s">
        <v>655</v>
      </c>
      <c r="G1604" s="16"/>
      <c r="H1604" s="18"/>
      <c r="I1604" s="27" t="str">
        <f>IFERROR(VLOOKUP(Tabulka2[[#This Row],[Pracovník]],DATA!A:L,11,0),"")</f>
        <v>BATZ 1</v>
      </c>
      <c r="J1604" s="16"/>
      <c r="K1604" s="19"/>
    </row>
    <row r="1605" spans="1:11" x14ac:dyDescent="0.25">
      <c r="A16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05" s="22">
        <v>45936</v>
      </c>
      <c r="C1605" s="16" t="s">
        <v>25</v>
      </c>
      <c r="D1605" s="16" t="s">
        <v>701</v>
      </c>
      <c r="E1605" s="17">
        <f>IFERROR(VLOOKUP(Tabulka2[[#This Row],[Pracovník]],DATA!A:L,5,0),"")</f>
        <v>2463</v>
      </c>
      <c r="F1605" s="12" t="s">
        <v>640</v>
      </c>
      <c r="G1605" s="16"/>
      <c r="H1605" s="18"/>
      <c r="I1605" s="27" t="str">
        <f>IFERROR(VLOOKUP(Tabulka2[[#This Row],[Pracovník]],DATA!A:L,11,0),"")</f>
        <v>Vlastní auto</v>
      </c>
      <c r="J1605" s="16"/>
      <c r="K1605" s="19"/>
    </row>
    <row r="1606" spans="1:11" x14ac:dyDescent="0.25">
      <c r="A16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06" s="22">
        <v>45936</v>
      </c>
      <c r="C1606" s="16" t="s">
        <v>25</v>
      </c>
      <c r="D1606" s="16" t="s">
        <v>702</v>
      </c>
      <c r="E1606" s="17">
        <f>IFERROR(VLOOKUP(Tabulka2[[#This Row],[Pracovník]],DATA!A:L,5,0),"")</f>
        <v>6536</v>
      </c>
      <c r="F1606" s="12" t="s">
        <v>640</v>
      </c>
      <c r="G1606" s="16"/>
      <c r="H1606" s="18"/>
      <c r="I1606" s="27" t="str">
        <f>IFERROR(VLOOKUP(Tabulka2[[#This Row],[Pracovník]],DATA!A:L,11,0),"")</f>
        <v>BATZ 2</v>
      </c>
      <c r="J1606" s="16"/>
      <c r="K1606" s="19"/>
    </row>
    <row r="1607" spans="1:11" x14ac:dyDescent="0.25">
      <c r="A16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07" s="22">
        <v>45936</v>
      </c>
      <c r="C1607" s="16" t="s">
        <v>25</v>
      </c>
      <c r="D1607" s="16" t="s">
        <v>703</v>
      </c>
      <c r="E1607" s="17">
        <f>IFERROR(VLOOKUP(Tabulka2[[#This Row],[Pracovník]],DATA!A:L,5,0),"")</f>
        <v>4748</v>
      </c>
      <c r="F1607" s="12" t="s">
        <v>653</v>
      </c>
      <c r="G1607" s="16" t="s">
        <v>917</v>
      </c>
      <c r="H1607" s="18"/>
      <c r="I1607" s="27" t="str">
        <f>IFERROR(VLOOKUP(Tabulka2[[#This Row],[Pracovník]],DATA!A:L,11,0),"")</f>
        <v>BATZ 1</v>
      </c>
      <c r="J1607" s="16"/>
      <c r="K1607" s="19"/>
    </row>
    <row r="1608" spans="1:11" x14ac:dyDescent="0.25">
      <c r="A16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08" s="22">
        <v>45936</v>
      </c>
      <c r="C1608" s="16" t="s">
        <v>25</v>
      </c>
      <c r="D1608" s="16" t="s">
        <v>704</v>
      </c>
      <c r="E1608" s="17">
        <f>IFERROR(VLOOKUP(Tabulka2[[#This Row],[Pracovník]],DATA!A:L,5,0),"")</f>
        <v>6574</v>
      </c>
      <c r="F1608" s="12" t="s">
        <v>640</v>
      </c>
      <c r="G1608" s="16"/>
      <c r="H1608" s="18"/>
      <c r="I1608" s="27" t="str">
        <f>IFERROR(VLOOKUP(Tabulka2[[#This Row],[Pracovník]],DATA!A:L,11,0),"")</f>
        <v>BATZ 1</v>
      </c>
      <c r="J1608" s="16"/>
      <c r="K1608" s="19"/>
    </row>
    <row r="1609" spans="1:11" x14ac:dyDescent="0.25">
      <c r="A16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09" s="22">
        <v>45936</v>
      </c>
      <c r="C1609" s="16" t="s">
        <v>25</v>
      </c>
      <c r="D1609" s="16" t="s">
        <v>705</v>
      </c>
      <c r="E1609" s="17">
        <f>IFERROR(VLOOKUP(Tabulka2[[#This Row],[Pracovník]],DATA!A:L,5,0),"")</f>
        <v>4720</v>
      </c>
      <c r="F1609" s="12" t="s">
        <v>640</v>
      </c>
      <c r="G1609" s="16"/>
      <c r="H1609" s="18"/>
      <c r="I1609" s="27" t="str">
        <f>IFERROR(VLOOKUP(Tabulka2[[#This Row],[Pracovník]],DATA!A:L,11,0),"")</f>
        <v>BATZ 2</v>
      </c>
      <c r="J1609" s="16"/>
      <c r="K1609" s="19"/>
    </row>
    <row r="1610" spans="1:11" x14ac:dyDescent="0.25">
      <c r="A16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10" s="22">
        <v>45936</v>
      </c>
      <c r="C1610" s="16" t="s">
        <v>25</v>
      </c>
      <c r="D1610" s="16" t="s">
        <v>706</v>
      </c>
      <c r="E1610" s="17">
        <f>IFERROR(VLOOKUP(Tabulka2[[#This Row],[Pracovník]],DATA!A:L,5,0),"")</f>
        <v>6409</v>
      </c>
      <c r="F1610" s="12" t="s">
        <v>640</v>
      </c>
      <c r="G1610" s="16"/>
      <c r="H1610" s="18"/>
      <c r="I1610" s="27" t="str">
        <f>IFERROR(VLOOKUP(Tabulka2[[#This Row],[Pracovník]],DATA!A:L,11,0),"")</f>
        <v>Vlastní auto</v>
      </c>
      <c r="J1610" s="16"/>
      <c r="K1610" s="19"/>
    </row>
    <row r="1611" spans="1:11" x14ac:dyDescent="0.25">
      <c r="A16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11" s="22">
        <v>45936</v>
      </c>
      <c r="C1611" s="16" t="s">
        <v>25</v>
      </c>
      <c r="D1611" s="16" t="s">
        <v>707</v>
      </c>
      <c r="E1611" s="17">
        <f>IFERROR(VLOOKUP(Tabulka2[[#This Row],[Pracovník]],DATA!A:L,5,0),"")</f>
        <v>3396</v>
      </c>
      <c r="F1611" s="12" t="s">
        <v>640</v>
      </c>
      <c r="G1611" s="16"/>
      <c r="H1611" s="18"/>
      <c r="I1611" s="27" t="str">
        <f>IFERROR(VLOOKUP(Tabulka2[[#This Row],[Pracovník]],DATA!A:L,11,0),"")</f>
        <v>BATZ 1</v>
      </c>
      <c r="J1611" s="16"/>
      <c r="K1611" s="19"/>
    </row>
    <row r="1612" spans="1:11" x14ac:dyDescent="0.25">
      <c r="A16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12" s="22">
        <v>45936</v>
      </c>
      <c r="C1612" s="16" t="s">
        <v>25</v>
      </c>
      <c r="D1612" s="16" t="s">
        <v>708</v>
      </c>
      <c r="E1612" s="17">
        <f>IFERROR(VLOOKUP(Tabulka2[[#This Row],[Pracovník]],DATA!A:L,5,0),"")</f>
        <v>6376</v>
      </c>
      <c r="F1612" s="12" t="s">
        <v>640</v>
      </c>
      <c r="G1612" s="16"/>
      <c r="H1612" s="18"/>
      <c r="I1612" s="27" t="str">
        <f>IFERROR(VLOOKUP(Tabulka2[[#This Row],[Pracovník]],DATA!A:L,11,0),"")</f>
        <v>BATZ 2</v>
      </c>
      <c r="J1612" s="16"/>
      <c r="K1612" s="19"/>
    </row>
    <row r="1613" spans="1:11" x14ac:dyDescent="0.25">
      <c r="A16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13" s="22">
        <v>45936</v>
      </c>
      <c r="C1613" s="16" t="s">
        <v>25</v>
      </c>
      <c r="D1613" s="16" t="s">
        <v>709</v>
      </c>
      <c r="E1613" s="17">
        <f>IFERROR(VLOOKUP(Tabulka2[[#This Row],[Pracovník]],DATA!A:L,5,0),"")</f>
        <v>5014</v>
      </c>
      <c r="F1613" s="12" t="s">
        <v>640</v>
      </c>
      <c r="G1613" s="16"/>
      <c r="H1613" s="18"/>
      <c r="I1613" s="27" t="str">
        <f>IFERROR(VLOOKUP(Tabulka2[[#This Row],[Pracovník]],DATA!A:L,11,0),"")</f>
        <v>BATZ 2</v>
      </c>
      <c r="J1613" s="16"/>
      <c r="K1613" s="19"/>
    </row>
    <row r="1614" spans="1:11" x14ac:dyDescent="0.25">
      <c r="A16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14" s="22">
        <v>45936</v>
      </c>
      <c r="C1614" s="16" t="s">
        <v>25</v>
      </c>
      <c r="D1614" s="16" t="s">
        <v>710</v>
      </c>
      <c r="E1614" s="17">
        <f>IFERROR(VLOOKUP(Tabulka2[[#This Row],[Pracovník]],DATA!A:L,5,0),"")</f>
        <v>3369</v>
      </c>
      <c r="F1614" s="12" t="s">
        <v>653</v>
      </c>
      <c r="G1614" s="16" t="s">
        <v>925</v>
      </c>
      <c r="H1614" s="18"/>
      <c r="I1614" s="27" t="str">
        <f>IFERROR(VLOOKUP(Tabulka2[[#This Row],[Pracovník]],DATA!A:L,11,0),"")</f>
        <v>BATZ 1</v>
      </c>
      <c r="J1614" s="16"/>
      <c r="K1614" s="19" t="s">
        <v>1010</v>
      </c>
    </row>
    <row r="1615" spans="1:11" x14ac:dyDescent="0.25">
      <c r="A16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15" s="22">
        <v>45936</v>
      </c>
      <c r="C1615" s="16" t="s">
        <v>25</v>
      </c>
      <c r="D1615" s="16" t="s">
        <v>711</v>
      </c>
      <c r="E1615" s="17">
        <f>IFERROR(VLOOKUP(Tabulka2[[#This Row],[Pracovník]],DATA!A:L,5,0),"")</f>
        <v>6576</v>
      </c>
      <c r="F1615" s="12" t="s">
        <v>655</v>
      </c>
      <c r="G1615" s="16"/>
      <c r="H1615" s="18"/>
      <c r="I1615" s="27" t="str">
        <f>IFERROR(VLOOKUP(Tabulka2[[#This Row],[Pracovník]],DATA!A:L,11,0),"")</f>
        <v>BATZ 1</v>
      </c>
      <c r="J1615" s="16"/>
      <c r="K1615" s="19"/>
    </row>
    <row r="1616" spans="1:11" x14ac:dyDescent="0.25">
      <c r="A16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16" s="22">
        <v>45936</v>
      </c>
      <c r="C1616" s="16" t="s">
        <v>25</v>
      </c>
      <c r="D1616" s="16" t="s">
        <v>712</v>
      </c>
      <c r="E1616" s="17">
        <f>IFERROR(VLOOKUP(Tabulka2[[#This Row],[Pracovník]],DATA!A:L,5,0),"")</f>
        <v>6352</v>
      </c>
      <c r="F1616" s="12" t="s">
        <v>655</v>
      </c>
      <c r="G1616" s="16"/>
      <c r="H1616" s="18"/>
      <c r="I1616" s="27" t="str">
        <f>IFERROR(VLOOKUP(Tabulka2[[#This Row],[Pracovník]],DATA!A:L,11,0),"")</f>
        <v>BATZ 1</v>
      </c>
      <c r="J1616" s="16"/>
      <c r="K1616" s="19"/>
    </row>
    <row r="1617" spans="1:11" x14ac:dyDescent="0.25">
      <c r="A16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17" s="22">
        <v>45936</v>
      </c>
      <c r="C1617" s="16" t="s">
        <v>25</v>
      </c>
      <c r="D1617" s="16" t="s">
        <v>714</v>
      </c>
      <c r="E1617" s="17">
        <f>IFERROR(VLOOKUP(Tabulka2[[#This Row],[Pracovník]],DATA!A:L,5,0),"")</f>
        <v>4972</v>
      </c>
      <c r="F1617" s="12" t="s">
        <v>654</v>
      </c>
      <c r="G1617" s="16"/>
      <c r="H1617" s="18"/>
      <c r="I1617" s="27" t="str">
        <f>IFERROR(VLOOKUP(Tabulka2[[#This Row],[Pracovník]],DATA!A:L,11,0),"")</f>
        <v>BATZ 2</v>
      </c>
      <c r="J1617" s="16"/>
      <c r="K1617" s="19"/>
    </row>
    <row r="1618" spans="1:11" x14ac:dyDescent="0.25">
      <c r="A16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18" s="22">
        <v>45936</v>
      </c>
      <c r="C1618" s="16" t="s">
        <v>25</v>
      </c>
      <c r="D1618" s="16" t="s">
        <v>715</v>
      </c>
      <c r="E1618" s="17">
        <f>IFERROR(VLOOKUP(Tabulka2[[#This Row],[Pracovník]],DATA!A:L,5,0),"")</f>
        <v>2230</v>
      </c>
      <c r="F1618" s="12" t="s">
        <v>654</v>
      </c>
      <c r="G1618" s="16"/>
      <c r="H1618" s="18"/>
      <c r="I1618" s="27" t="str">
        <f>IFERROR(VLOOKUP(Tabulka2[[#This Row],[Pracovník]],DATA!A:L,11,0),"")</f>
        <v>BATZ 1</v>
      </c>
      <c r="J1618" s="16"/>
      <c r="K1618" s="19"/>
    </row>
    <row r="1619" spans="1:11" x14ac:dyDescent="0.25">
      <c r="A16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19" s="22">
        <v>45936</v>
      </c>
      <c r="C1619" s="16" t="s">
        <v>25</v>
      </c>
      <c r="D1619" s="16" t="s">
        <v>716</v>
      </c>
      <c r="E1619" s="17">
        <f>IFERROR(VLOOKUP(Tabulka2[[#This Row],[Pracovník]],DATA!A:L,5,0),"")</f>
        <v>5310</v>
      </c>
      <c r="F1619" s="12" t="s">
        <v>653</v>
      </c>
      <c r="G1619" s="16" t="s">
        <v>656</v>
      </c>
      <c r="H1619" s="18"/>
      <c r="I1619" s="27" t="str">
        <f>IFERROR(VLOOKUP(Tabulka2[[#This Row],[Pracovník]],DATA!A:L,11,0),"")</f>
        <v>BATZ 1</v>
      </c>
      <c r="J1619" s="16"/>
      <c r="K1619" s="19"/>
    </row>
    <row r="1620" spans="1:11" x14ac:dyDescent="0.25">
      <c r="A16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20" s="22">
        <v>45936</v>
      </c>
      <c r="C1620" s="16" t="s">
        <v>25</v>
      </c>
      <c r="D1620" s="16" t="s">
        <v>717</v>
      </c>
      <c r="E1620" s="17">
        <f>IFERROR(VLOOKUP(Tabulka2[[#This Row],[Pracovník]],DATA!A:L,5,0),"")</f>
        <v>5948</v>
      </c>
      <c r="F1620" s="12" t="s">
        <v>653</v>
      </c>
      <c r="G1620" s="16" t="s">
        <v>657</v>
      </c>
      <c r="H1620" s="18"/>
      <c r="I1620" s="27" t="str">
        <f>IFERROR(VLOOKUP(Tabulka2[[#This Row],[Pracovník]],DATA!A:L,11,0),"")</f>
        <v>BATZ 1</v>
      </c>
      <c r="J1620" s="16"/>
      <c r="K1620" s="19"/>
    </row>
    <row r="1621" spans="1:11" x14ac:dyDescent="0.25">
      <c r="A16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21" s="22">
        <v>45936</v>
      </c>
      <c r="C1621" s="16" t="s">
        <v>25</v>
      </c>
      <c r="D1621" s="16" t="s">
        <v>718</v>
      </c>
      <c r="E1621" s="17">
        <f>IFERROR(VLOOKUP(Tabulka2[[#This Row],[Pracovník]],DATA!A:L,5,0),"")</f>
        <v>6549</v>
      </c>
      <c r="F1621" s="12" t="s">
        <v>653</v>
      </c>
      <c r="G1621" s="16" t="s">
        <v>926</v>
      </c>
      <c r="H1621" s="18"/>
      <c r="I1621" s="27" t="str">
        <f>IFERROR(VLOOKUP(Tabulka2[[#This Row],[Pracovník]],DATA!A:L,11,0),"")</f>
        <v>BATZ 1</v>
      </c>
      <c r="J1621" s="16"/>
      <c r="K1621" s="19"/>
    </row>
    <row r="1622" spans="1:11" x14ac:dyDescent="0.25">
      <c r="A16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22" s="22">
        <v>45936</v>
      </c>
      <c r="C1622" s="16" t="s">
        <v>25</v>
      </c>
      <c r="D1622" s="16" t="s">
        <v>977</v>
      </c>
      <c r="E1622" s="17">
        <f>IFERROR(VLOOKUP(Tabulka2[[#This Row],[Pracovník]],DATA!A:L,5,0),"")</f>
        <v>6538</v>
      </c>
      <c r="F1622" s="12" t="s">
        <v>653</v>
      </c>
      <c r="G1622" s="16" t="s">
        <v>926</v>
      </c>
      <c r="H1622" s="18"/>
      <c r="I1622" s="27" t="str">
        <f>IFERROR(VLOOKUP(Tabulka2[[#This Row],[Pracovník]],DATA!A:L,11,0),"")</f>
        <v>BATZ 1</v>
      </c>
      <c r="J1622" s="16"/>
      <c r="K1622" s="19" t="s">
        <v>1020</v>
      </c>
    </row>
    <row r="1623" spans="1:11" x14ac:dyDescent="0.25">
      <c r="A16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23" s="22">
        <v>45936</v>
      </c>
      <c r="C1623" s="16" t="s">
        <v>25</v>
      </c>
      <c r="D1623" s="16" t="s">
        <v>719</v>
      </c>
      <c r="E1623" s="17">
        <f>IFERROR(VLOOKUP(Tabulka2[[#This Row],[Pracovník]],DATA!A:L,5,0),"")</f>
        <v>5715</v>
      </c>
      <c r="F1623" s="12" t="s">
        <v>653</v>
      </c>
      <c r="G1623" s="16" t="s">
        <v>926</v>
      </c>
      <c r="H1623" s="18"/>
      <c r="I1623" s="27" t="str">
        <f>IFERROR(VLOOKUP(Tabulka2[[#This Row],[Pracovník]],DATA!A:L,11,0),"")</f>
        <v>BATZ 1</v>
      </c>
      <c r="J1623" s="16"/>
      <c r="K1623" s="19"/>
    </row>
    <row r="1624" spans="1:11" x14ac:dyDescent="0.25">
      <c r="A16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24" s="22">
        <v>45936</v>
      </c>
      <c r="C1624" s="16" t="s">
        <v>25</v>
      </c>
      <c r="D1624" s="16" t="s">
        <v>720</v>
      </c>
      <c r="E1624" s="17">
        <f>IFERROR(VLOOKUP(Tabulka2[[#This Row],[Pracovník]],DATA!A:L,5,0),"")</f>
        <v>4514</v>
      </c>
      <c r="F1624" s="12" t="s">
        <v>655</v>
      </c>
      <c r="G1624" s="16"/>
      <c r="H1624" s="18"/>
      <c r="I1624" s="27" t="str">
        <f>IFERROR(VLOOKUP(Tabulka2[[#This Row],[Pracovník]],DATA!A:L,11,0),"")</f>
        <v>BATZ 1</v>
      </c>
      <c r="J1624" s="16"/>
      <c r="K1624" s="19"/>
    </row>
    <row r="1625" spans="1:11" x14ac:dyDescent="0.25">
      <c r="A16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25" s="22">
        <v>45936</v>
      </c>
      <c r="C1625" s="16" t="s">
        <v>25</v>
      </c>
      <c r="D1625" s="16" t="s">
        <v>721</v>
      </c>
      <c r="E1625" s="17">
        <f>IFERROR(VLOOKUP(Tabulka2[[#This Row],[Pracovník]],DATA!A:L,5,0),"")</f>
        <v>5176</v>
      </c>
      <c r="F1625" s="12" t="s">
        <v>655</v>
      </c>
      <c r="G1625" s="16"/>
      <c r="H1625" s="18"/>
      <c r="I1625" s="27" t="str">
        <f>IFERROR(VLOOKUP(Tabulka2[[#This Row],[Pracovník]],DATA!A:L,11,0),"")</f>
        <v>BATZ 1</v>
      </c>
      <c r="J1625" s="16"/>
      <c r="K1625" s="19"/>
    </row>
    <row r="1626" spans="1:11" x14ac:dyDescent="0.25">
      <c r="A16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26" s="22">
        <v>45936</v>
      </c>
      <c r="C1626" s="16" t="s">
        <v>25</v>
      </c>
      <c r="D1626" s="16" t="s">
        <v>722</v>
      </c>
      <c r="E1626" s="17">
        <f>IFERROR(VLOOKUP(Tabulka2[[#This Row],[Pracovník]],DATA!A:L,5,0),"")</f>
        <v>4163</v>
      </c>
      <c r="F1626" s="12" t="s">
        <v>640</v>
      </c>
      <c r="G1626" s="16"/>
      <c r="H1626" s="18"/>
      <c r="I1626" s="27" t="str">
        <f>IFERROR(VLOOKUP(Tabulka2[[#This Row],[Pracovník]],DATA!A:L,11,0),"")</f>
        <v>BATZ 1</v>
      </c>
      <c r="J1626" s="16"/>
      <c r="K1626" s="19"/>
    </row>
    <row r="1627" spans="1:11" x14ac:dyDescent="0.25">
      <c r="A16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27" s="22">
        <v>45936</v>
      </c>
      <c r="C1627" s="16" t="s">
        <v>25</v>
      </c>
      <c r="D1627" s="16" t="s">
        <v>723</v>
      </c>
      <c r="E1627" s="17">
        <f>IFERROR(VLOOKUP(Tabulka2[[#This Row],[Pracovník]],DATA!A:L,5,0),"")</f>
        <v>3920</v>
      </c>
      <c r="F1627" s="12" t="s">
        <v>654</v>
      </c>
      <c r="G1627" s="16"/>
      <c r="H1627" s="18"/>
      <c r="I1627" s="27" t="str">
        <f>IFERROR(VLOOKUP(Tabulka2[[#This Row],[Pracovník]],DATA!A:L,11,0),"")</f>
        <v>BATZ 2</v>
      </c>
      <c r="J1627" s="16"/>
      <c r="K1627" s="19"/>
    </row>
    <row r="1628" spans="1:11" x14ac:dyDescent="0.25">
      <c r="A16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28" s="22">
        <v>45936</v>
      </c>
      <c r="C1628" s="16" t="s">
        <v>25</v>
      </c>
      <c r="D1628" s="16" t="s">
        <v>724</v>
      </c>
      <c r="E1628" s="17">
        <f>IFERROR(VLOOKUP(Tabulka2[[#This Row],[Pracovník]],DATA!A:L,5,0),"")</f>
        <v>3257</v>
      </c>
      <c r="F1628" s="12" t="s">
        <v>654</v>
      </c>
      <c r="G1628" s="16"/>
      <c r="H1628" s="18"/>
      <c r="I1628" s="27" t="str">
        <f>IFERROR(VLOOKUP(Tabulka2[[#This Row],[Pracovník]],DATA!A:L,11,0),"")</f>
        <v>BATZ 1</v>
      </c>
      <c r="J1628" s="16"/>
      <c r="K1628" s="19"/>
    </row>
    <row r="1629" spans="1:11" x14ac:dyDescent="0.25">
      <c r="A16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29" s="22">
        <v>45936</v>
      </c>
      <c r="C1629" s="16" t="s">
        <v>25</v>
      </c>
      <c r="D1629" s="16" t="s">
        <v>725</v>
      </c>
      <c r="E1629" s="17">
        <f>IFERROR(VLOOKUP(Tabulka2[[#This Row],[Pracovník]],DATA!A:L,5,0),"")</f>
        <v>3394</v>
      </c>
      <c r="F1629" s="12" t="s">
        <v>640</v>
      </c>
      <c r="G1629" s="16"/>
      <c r="H1629" s="18"/>
      <c r="I1629" s="27" t="str">
        <f>IFERROR(VLOOKUP(Tabulka2[[#This Row],[Pracovník]],DATA!A:L,11,0),"")</f>
        <v>BATZ 1</v>
      </c>
      <c r="J1629" s="16"/>
      <c r="K1629" s="19"/>
    </row>
    <row r="1630" spans="1:11" x14ac:dyDescent="0.25">
      <c r="A16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30" s="22">
        <v>45936</v>
      </c>
      <c r="C1630" s="16" t="s">
        <v>25</v>
      </c>
      <c r="D1630" s="16" t="s">
        <v>726</v>
      </c>
      <c r="E1630" s="17">
        <f>IFERROR(VLOOKUP(Tabulka2[[#This Row],[Pracovník]],DATA!A:L,5,0),"")</f>
        <v>4828</v>
      </c>
      <c r="F1630" s="12" t="s">
        <v>653</v>
      </c>
      <c r="G1630" s="16" t="s">
        <v>657</v>
      </c>
      <c r="H1630" s="18"/>
      <c r="I1630" s="27" t="str">
        <f>IFERROR(VLOOKUP(Tabulka2[[#This Row],[Pracovník]],DATA!A:L,11,0),"")</f>
        <v>BATZ 2</v>
      </c>
      <c r="J1630" s="16"/>
      <c r="K1630" s="19"/>
    </row>
    <row r="1631" spans="1:11" x14ac:dyDescent="0.25">
      <c r="A16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31" s="22">
        <v>45936</v>
      </c>
      <c r="C1631" s="16" t="s">
        <v>25</v>
      </c>
      <c r="D1631" s="16" t="s">
        <v>727</v>
      </c>
      <c r="E1631" s="17">
        <f>IFERROR(VLOOKUP(Tabulka2[[#This Row],[Pracovník]],DATA!A:L,5,0),"")</f>
        <v>4155</v>
      </c>
      <c r="F1631" s="12" t="s">
        <v>655</v>
      </c>
      <c r="G1631" s="16"/>
      <c r="H1631" s="18"/>
      <c r="I1631" s="27" t="str">
        <f>IFERROR(VLOOKUP(Tabulka2[[#This Row],[Pracovník]],DATA!A:L,11,0),"")</f>
        <v>BATZ 1</v>
      </c>
      <c r="J1631" s="16"/>
      <c r="K1631" s="19"/>
    </row>
    <row r="1632" spans="1:11" x14ac:dyDescent="0.25">
      <c r="A16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32" s="22">
        <v>45936</v>
      </c>
      <c r="C1632" s="16" t="s">
        <v>25</v>
      </c>
      <c r="D1632" s="16" t="s">
        <v>728</v>
      </c>
      <c r="E1632" s="17">
        <f>IFERROR(VLOOKUP(Tabulka2[[#This Row],[Pracovník]],DATA!A:L,5,0),"")</f>
        <v>0</v>
      </c>
      <c r="F1632" s="12" t="s">
        <v>640</v>
      </c>
      <c r="G1632" s="16"/>
      <c r="H1632" s="18"/>
      <c r="I1632" s="27" t="str">
        <f>IFERROR(VLOOKUP(Tabulka2[[#This Row],[Pracovník]],DATA!A:L,11,0),"")</f>
        <v>BATZ 1</v>
      </c>
      <c r="J1632" s="16"/>
      <c r="K1632" s="19"/>
    </row>
    <row r="1633" spans="1:11" x14ac:dyDescent="0.25">
      <c r="A16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33" s="22">
        <v>45936</v>
      </c>
      <c r="C1633" s="16" t="s">
        <v>25</v>
      </c>
      <c r="D1633" s="16" t="s">
        <v>729</v>
      </c>
      <c r="E1633" s="17">
        <f>IFERROR(VLOOKUP(Tabulka2[[#This Row],[Pracovník]],DATA!A:L,5,0),"")</f>
        <v>5179</v>
      </c>
      <c r="F1633" s="12" t="s">
        <v>655</v>
      </c>
      <c r="G1633" s="16"/>
      <c r="H1633" s="18"/>
      <c r="I1633" s="27" t="str">
        <f>IFERROR(VLOOKUP(Tabulka2[[#This Row],[Pracovník]],DATA!A:L,11,0),"")</f>
        <v>BATZ 1</v>
      </c>
      <c r="J1633" s="16"/>
      <c r="K1633" s="19"/>
    </row>
    <row r="1634" spans="1:11" x14ac:dyDescent="0.25">
      <c r="A16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34" s="22">
        <v>45936</v>
      </c>
      <c r="C1634" s="16" t="s">
        <v>25</v>
      </c>
      <c r="D1634" s="16" t="s">
        <v>730</v>
      </c>
      <c r="E1634" s="17">
        <f>IFERROR(VLOOKUP(Tabulka2[[#This Row],[Pracovník]],DATA!A:L,5,0),"")</f>
        <v>4912</v>
      </c>
      <c r="F1634" s="12" t="s">
        <v>654</v>
      </c>
      <c r="G1634" s="16"/>
      <c r="H1634" s="18"/>
      <c r="I1634" s="27" t="str">
        <f>IFERROR(VLOOKUP(Tabulka2[[#This Row],[Pracovník]],DATA!A:L,11,0),"")</f>
        <v>BATZ 2</v>
      </c>
      <c r="J1634" s="16"/>
      <c r="K1634" s="19"/>
    </row>
    <row r="1635" spans="1:11" x14ac:dyDescent="0.25">
      <c r="A16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35" s="22">
        <v>45936</v>
      </c>
      <c r="C1635" s="16" t="s">
        <v>25</v>
      </c>
      <c r="D1635" s="16" t="s">
        <v>713</v>
      </c>
      <c r="E1635" s="17">
        <f>IFERROR(VLOOKUP(Tabulka2[[#This Row],[Pracovník]],DATA!A:L,5,0),"")</f>
        <v>6507</v>
      </c>
      <c r="F1635" s="12" t="s">
        <v>654</v>
      </c>
      <c r="G1635" s="16"/>
      <c r="H1635" s="18"/>
      <c r="I1635" s="27" t="str">
        <f>IFERROR(VLOOKUP(Tabulka2[[#This Row],[Pracovník]],DATA!A:L,11,0),"")</f>
        <v>BATZ 1</v>
      </c>
      <c r="J1635" s="16"/>
      <c r="K1635" s="19"/>
    </row>
    <row r="1636" spans="1:11" x14ac:dyDescent="0.25">
      <c r="A16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36" s="22">
        <v>45936</v>
      </c>
      <c r="C1636" s="16" t="s">
        <v>25</v>
      </c>
      <c r="D1636" s="16" t="s">
        <v>732</v>
      </c>
      <c r="E1636" s="17">
        <f>IFERROR(VLOOKUP(Tabulka2[[#This Row],[Pracovník]],DATA!A:L,5,0),"")</f>
        <v>3937</v>
      </c>
      <c r="F1636" s="12" t="s">
        <v>640</v>
      </c>
      <c r="G1636" s="16"/>
      <c r="H1636" s="18"/>
      <c r="I1636" s="27" t="str">
        <f>IFERROR(VLOOKUP(Tabulka2[[#This Row],[Pracovník]],DATA!A:L,11,0),"")</f>
        <v>BATZ 1</v>
      </c>
      <c r="J1636" s="16"/>
      <c r="K1636" s="19"/>
    </row>
    <row r="1637" spans="1:11" x14ac:dyDescent="0.25">
      <c r="A16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37" s="22">
        <v>45936</v>
      </c>
      <c r="C1637" s="16" t="s">
        <v>25</v>
      </c>
      <c r="D1637" s="16" t="s">
        <v>733</v>
      </c>
      <c r="E1637" s="17">
        <f>IFERROR(VLOOKUP(Tabulka2[[#This Row],[Pracovník]],DATA!A:L,5,0),"")</f>
        <v>6076</v>
      </c>
      <c r="F1637" s="12" t="s">
        <v>640</v>
      </c>
      <c r="G1637" s="16"/>
      <c r="H1637" s="18"/>
      <c r="I1637" s="27" t="str">
        <f>IFERROR(VLOOKUP(Tabulka2[[#This Row],[Pracovník]],DATA!A:L,11,0),"")</f>
        <v>BATZ 1</v>
      </c>
      <c r="J1637" s="16"/>
      <c r="K1637" s="19"/>
    </row>
    <row r="1638" spans="1:11" x14ac:dyDescent="0.25">
      <c r="A16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38" s="22">
        <v>45936</v>
      </c>
      <c r="C1638" s="16" t="s">
        <v>25</v>
      </c>
      <c r="D1638" s="16" t="s">
        <v>734</v>
      </c>
      <c r="E1638" s="17">
        <f>IFERROR(VLOOKUP(Tabulka2[[#This Row],[Pracovník]],DATA!A:L,5,0),"")</f>
        <v>3648</v>
      </c>
      <c r="F1638" s="12" t="s">
        <v>654</v>
      </c>
      <c r="G1638" s="16"/>
      <c r="H1638" s="18"/>
      <c r="I1638" s="27" t="str">
        <f>IFERROR(VLOOKUP(Tabulka2[[#This Row],[Pracovník]],DATA!A:L,11,0),"")</f>
        <v>BATZ 1</v>
      </c>
      <c r="J1638" s="16"/>
      <c r="K1638" s="19"/>
    </row>
    <row r="1639" spans="1:11" x14ac:dyDescent="0.25">
      <c r="A16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39" s="22">
        <v>45936</v>
      </c>
      <c r="C1639" s="16" t="s">
        <v>25</v>
      </c>
      <c r="D1639" s="16" t="s">
        <v>735</v>
      </c>
      <c r="E1639" s="17">
        <f>IFERROR(VLOOKUP(Tabulka2[[#This Row],[Pracovník]],DATA!A:L,5,0),"")</f>
        <v>4602</v>
      </c>
      <c r="F1639" s="12" t="s">
        <v>655</v>
      </c>
      <c r="G1639" s="16"/>
      <c r="H1639" s="18"/>
      <c r="I1639" s="27" t="str">
        <f>IFERROR(VLOOKUP(Tabulka2[[#This Row],[Pracovník]],DATA!A:L,11,0),"")</f>
        <v>BATZ 1</v>
      </c>
      <c r="J1639" s="16"/>
      <c r="K1639" s="19"/>
    </row>
    <row r="1640" spans="1:11" x14ac:dyDescent="0.25">
      <c r="A16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40" s="22">
        <v>45936</v>
      </c>
      <c r="C1640" s="16" t="s">
        <v>25</v>
      </c>
      <c r="D1640" s="16" t="s">
        <v>736</v>
      </c>
      <c r="E1640" s="17">
        <f>IFERROR(VLOOKUP(Tabulka2[[#This Row],[Pracovník]],DATA!A:L,5,0),"")</f>
        <v>4940</v>
      </c>
      <c r="F1640" s="12" t="s">
        <v>654</v>
      </c>
      <c r="G1640" s="16"/>
      <c r="H1640" s="18"/>
      <c r="I1640" s="27" t="str">
        <f>IFERROR(VLOOKUP(Tabulka2[[#This Row],[Pracovník]],DATA!A:L,11,0),"")</f>
        <v>BATZ 1</v>
      </c>
      <c r="J1640" s="16"/>
      <c r="K1640" s="19"/>
    </row>
    <row r="1641" spans="1:11" x14ac:dyDescent="0.25">
      <c r="A16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41" s="22">
        <v>45936</v>
      </c>
      <c r="C1641" s="16" t="s">
        <v>25</v>
      </c>
      <c r="D1641" s="16" t="s">
        <v>737</v>
      </c>
      <c r="E1641" s="17">
        <f>IFERROR(VLOOKUP(Tabulka2[[#This Row],[Pracovník]],DATA!A:L,5,0),"")</f>
        <v>5660</v>
      </c>
      <c r="F1641" s="12" t="s">
        <v>640</v>
      </c>
      <c r="G1641" s="16"/>
      <c r="H1641" s="18"/>
      <c r="I1641" s="27" t="str">
        <f>IFERROR(VLOOKUP(Tabulka2[[#This Row],[Pracovník]],DATA!A:L,11,0),"")</f>
        <v>BATZ 1</v>
      </c>
      <c r="J1641" s="16"/>
      <c r="K1641" s="19"/>
    </row>
    <row r="1642" spans="1:11" x14ac:dyDescent="0.25">
      <c r="A16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42" s="22">
        <v>45936</v>
      </c>
      <c r="C1642" s="16" t="s">
        <v>25</v>
      </c>
      <c r="D1642" s="16" t="s">
        <v>738</v>
      </c>
      <c r="E1642" s="17">
        <f>IFERROR(VLOOKUP(Tabulka2[[#This Row],[Pracovník]],DATA!A:L,5,0),"")</f>
        <v>6243</v>
      </c>
      <c r="F1642" s="12" t="s">
        <v>653</v>
      </c>
      <c r="G1642" s="16" t="s">
        <v>926</v>
      </c>
      <c r="H1642" s="18"/>
      <c r="I1642" s="27" t="str">
        <f>IFERROR(VLOOKUP(Tabulka2[[#This Row],[Pracovník]],DATA!A:L,11,0),"")</f>
        <v>BATZ 2</v>
      </c>
      <c r="J1642" s="16"/>
      <c r="K1642" s="19"/>
    </row>
    <row r="1643" spans="1:11" x14ac:dyDescent="0.25">
      <c r="A16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43" s="22">
        <v>45936</v>
      </c>
      <c r="C1643" s="16" t="s">
        <v>25</v>
      </c>
      <c r="D1643" s="16" t="s">
        <v>739</v>
      </c>
      <c r="E1643" s="17">
        <f>IFERROR(VLOOKUP(Tabulka2[[#This Row],[Pracovník]],DATA!A:L,5,0),"")</f>
        <v>6339</v>
      </c>
      <c r="F1643" s="12" t="s">
        <v>653</v>
      </c>
      <c r="G1643" s="16" t="s">
        <v>657</v>
      </c>
      <c r="H1643" s="18"/>
      <c r="I1643" s="27" t="str">
        <f>IFERROR(VLOOKUP(Tabulka2[[#This Row],[Pracovník]],DATA!A:L,11,0),"")</f>
        <v>BATZ 1</v>
      </c>
      <c r="J1643" s="16"/>
      <c r="K1643" s="19"/>
    </row>
    <row r="1644" spans="1:11" x14ac:dyDescent="0.25">
      <c r="A16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44" s="22">
        <v>45936</v>
      </c>
      <c r="C1644" s="16" t="s">
        <v>25</v>
      </c>
      <c r="D1644" s="16" t="s">
        <v>740</v>
      </c>
      <c r="E1644" s="17">
        <f>IFERROR(VLOOKUP(Tabulka2[[#This Row],[Pracovník]],DATA!A:L,5,0),"")</f>
        <v>4928</v>
      </c>
      <c r="F1644" s="12" t="s">
        <v>655</v>
      </c>
      <c r="G1644" s="16"/>
      <c r="H1644" s="18"/>
      <c r="I1644" s="27" t="str">
        <f>IFERROR(VLOOKUP(Tabulka2[[#This Row],[Pracovník]],DATA!A:L,11,0),"")</f>
        <v>BATZ 1</v>
      </c>
      <c r="J1644" s="16"/>
      <c r="K1644" s="19"/>
    </row>
    <row r="1645" spans="1:11" x14ac:dyDescent="0.25">
      <c r="A16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45" s="22">
        <v>45936</v>
      </c>
      <c r="C1645" s="16" t="s">
        <v>25</v>
      </c>
      <c r="D1645" s="16" t="s">
        <v>731</v>
      </c>
      <c r="E1645" s="17">
        <f>IFERROR(VLOOKUP(Tabulka2[[#This Row],[Pracovník]],DATA!A:L,5,0),"")</f>
        <v>0</v>
      </c>
      <c r="F1645" s="12" t="s">
        <v>655</v>
      </c>
      <c r="G1645" s="16"/>
      <c r="H1645" s="18"/>
      <c r="I1645" s="27" t="str">
        <f>IFERROR(VLOOKUP(Tabulka2[[#This Row],[Pracovník]],DATA!A:L,11,0),"")</f>
        <v>BATZ 1</v>
      </c>
      <c r="J1645" s="16"/>
      <c r="K1645" s="19"/>
    </row>
    <row r="1646" spans="1:11" x14ac:dyDescent="0.25">
      <c r="A16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46" s="22">
        <v>45936</v>
      </c>
      <c r="C1646" s="16" t="s">
        <v>25</v>
      </c>
      <c r="D1646" s="16" t="s">
        <v>924</v>
      </c>
      <c r="E1646" s="17">
        <f>IFERROR(VLOOKUP(Tabulka2[[#This Row],[Pracovník]],DATA!A:L,5,0),"")</f>
        <v>6581</v>
      </c>
      <c r="F1646" s="12" t="s">
        <v>655</v>
      </c>
      <c r="G1646" s="16"/>
      <c r="H1646" s="18"/>
      <c r="I1646" s="27" t="str">
        <f>IFERROR(VLOOKUP(Tabulka2[[#This Row],[Pracovník]],DATA!A:L,11,0),"")</f>
        <v>BATZ 1</v>
      </c>
      <c r="J1646" s="16"/>
      <c r="K1646" s="19"/>
    </row>
    <row r="1647" spans="1:11" x14ac:dyDescent="0.25">
      <c r="A16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47" s="22">
        <v>45936</v>
      </c>
      <c r="C1647" s="16" t="s">
        <v>96</v>
      </c>
      <c r="D1647" s="16" t="s">
        <v>641</v>
      </c>
      <c r="E1647" s="17">
        <f>IFERROR(VLOOKUP(Tabulka2[[#This Row],[Pracovník]],DATA!A:L,5,0),"")</f>
        <v>6259</v>
      </c>
      <c r="F1647" s="12" t="s">
        <v>640</v>
      </c>
      <c r="G1647" s="16"/>
      <c r="H1647" s="18"/>
      <c r="I1647" s="27" t="str">
        <f>IFERROR(VLOOKUP(Tabulka2[[#This Row],[Pracovník]],DATA!A:L,11,0),"")</f>
        <v>Vlastní auto</v>
      </c>
      <c r="J1647" s="16"/>
      <c r="K1647" s="19"/>
    </row>
    <row r="1648" spans="1:11" x14ac:dyDescent="0.25">
      <c r="A16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48" s="22">
        <v>45936</v>
      </c>
      <c r="C1648" s="16" t="s">
        <v>96</v>
      </c>
      <c r="D1648" s="16" t="s">
        <v>649</v>
      </c>
      <c r="E1648" s="17">
        <f>IFERROR(VLOOKUP(Tabulka2[[#This Row],[Pracovník]],DATA!A:L,5,0),"")</f>
        <v>3951</v>
      </c>
      <c r="F1648" s="12" t="s">
        <v>654</v>
      </c>
      <c r="G1648" s="16"/>
      <c r="H1648" s="18"/>
      <c r="I1648" s="27" t="str">
        <f>IFERROR(VLOOKUP(Tabulka2[[#This Row],[Pracovník]],DATA!A:L,11,0),"")</f>
        <v>Vlastní auto</v>
      </c>
      <c r="J1648" s="16"/>
      <c r="K1648" s="19"/>
    </row>
    <row r="1649" spans="1:11" x14ac:dyDescent="0.25">
      <c r="A16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49" s="22">
        <v>45936</v>
      </c>
      <c r="C1649" s="16" t="s">
        <v>96</v>
      </c>
      <c r="D1649" s="16" t="s">
        <v>742</v>
      </c>
      <c r="E1649" s="17">
        <f>IFERROR(VLOOKUP(Tabulka2[[#This Row],[Pracovník]],DATA!A:L,5,0),"")</f>
        <v>6450</v>
      </c>
      <c r="F1649" s="12" t="s">
        <v>654</v>
      </c>
      <c r="G1649" s="16"/>
      <c r="H1649" s="18"/>
      <c r="I1649" s="27" t="str">
        <f>IFERROR(VLOOKUP(Tabulka2[[#This Row],[Pracovník]],DATA!A:L,11,0),"")</f>
        <v>DSC 2</v>
      </c>
      <c r="J1649" s="16"/>
      <c r="K1649" s="19"/>
    </row>
    <row r="1650" spans="1:11" x14ac:dyDescent="0.25">
      <c r="A16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50" s="22">
        <v>45936</v>
      </c>
      <c r="C1650" s="16" t="s">
        <v>96</v>
      </c>
      <c r="D1650" s="16" t="s">
        <v>744</v>
      </c>
      <c r="E1650" s="17">
        <f>IFERROR(VLOOKUP(Tabulka2[[#This Row],[Pracovník]],DATA!A:L,5,0),"")</f>
        <v>5584</v>
      </c>
      <c r="F1650" s="12" t="s">
        <v>654</v>
      </c>
      <c r="G1650" s="16"/>
      <c r="H1650" s="18"/>
      <c r="I1650" s="27" t="str">
        <f>IFERROR(VLOOKUP(Tabulka2[[#This Row],[Pracovník]],DATA!A:L,11,0),"")</f>
        <v>Vlastní auto</v>
      </c>
      <c r="J1650" s="16"/>
      <c r="K1650" s="19"/>
    </row>
    <row r="1651" spans="1:11" x14ac:dyDescent="0.25">
      <c r="A16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51" s="22">
        <v>45936</v>
      </c>
      <c r="C1651" s="16" t="s">
        <v>96</v>
      </c>
      <c r="D1651" s="16" t="s">
        <v>745</v>
      </c>
      <c r="E1651" s="17">
        <f>IFERROR(VLOOKUP(Tabulka2[[#This Row],[Pracovník]],DATA!A:L,5,0),"")</f>
        <v>6418</v>
      </c>
      <c r="F1651" s="12" t="s">
        <v>640</v>
      </c>
      <c r="G1651" s="16"/>
      <c r="H1651" s="18"/>
      <c r="I1651" s="27" t="str">
        <f>IFERROR(VLOOKUP(Tabulka2[[#This Row],[Pracovník]],DATA!A:L,11,0),"")</f>
        <v>Vlastní auto</v>
      </c>
      <c r="J1651" s="16"/>
      <c r="K1651" s="19"/>
    </row>
    <row r="1652" spans="1:11" x14ac:dyDescent="0.25">
      <c r="A16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52" s="22">
        <v>45936</v>
      </c>
      <c r="C1652" s="16" t="s">
        <v>96</v>
      </c>
      <c r="D1652" s="16" t="s">
        <v>747</v>
      </c>
      <c r="E1652" s="17">
        <f>IFERROR(VLOOKUP(Tabulka2[[#This Row],[Pracovník]],DATA!A:L,5,0),"")</f>
        <v>6177</v>
      </c>
      <c r="F1652" s="12" t="s">
        <v>654</v>
      </c>
      <c r="G1652" s="16"/>
      <c r="H1652" s="18"/>
      <c r="I1652" s="27" t="str">
        <f>IFERROR(VLOOKUP(Tabulka2[[#This Row],[Pracovník]],DATA!A:L,11,0),"")</f>
        <v>DSC 1</v>
      </c>
      <c r="J1652" s="16"/>
      <c r="K1652" s="19"/>
    </row>
    <row r="1653" spans="1:11" x14ac:dyDescent="0.25">
      <c r="A16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53" s="15">
        <v>45936</v>
      </c>
      <c r="C1653" s="16" t="s">
        <v>96</v>
      </c>
      <c r="D1653" s="16" t="s">
        <v>741</v>
      </c>
      <c r="E1653" s="17">
        <f>IFERROR(VLOOKUP(Tabulka2[[#This Row],[Pracovník]],DATA!A:L,5,0),"")</f>
        <v>4894</v>
      </c>
      <c r="F1653" s="12" t="s">
        <v>654</v>
      </c>
      <c r="G1653" s="16"/>
      <c r="H1653" s="18"/>
      <c r="I1653" s="27" t="str">
        <f>IFERROR(VLOOKUP(Tabulka2[[#This Row],[Pracovník]],DATA!A:L,11,0),"")</f>
        <v>Vlastní auto</v>
      </c>
      <c r="J1653" s="16"/>
      <c r="K1653" s="19"/>
    </row>
    <row r="1654" spans="1:11" x14ac:dyDescent="0.25">
      <c r="A16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54" s="22">
        <v>45936</v>
      </c>
      <c r="C1654" s="16" t="s">
        <v>96</v>
      </c>
      <c r="D1654" s="16" t="s">
        <v>746</v>
      </c>
      <c r="E1654" s="17">
        <f>IFERROR(VLOOKUP(Tabulka2[[#This Row],[Pracovník]],DATA!A:L,5,0),"")</f>
        <v>6543</v>
      </c>
      <c r="F1654" s="12" t="s">
        <v>654</v>
      </c>
      <c r="G1654" s="16"/>
      <c r="H1654" s="18"/>
      <c r="I1654" s="27" t="str">
        <f>IFERROR(VLOOKUP(Tabulka2[[#This Row],[Pracovník]],DATA!A:L,11,0),"")</f>
        <v>DSC 1</v>
      </c>
      <c r="J1654" s="16"/>
      <c r="K1654" s="19"/>
    </row>
    <row r="1655" spans="1:11" x14ac:dyDescent="0.25">
      <c r="A16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55" s="22">
        <v>45936</v>
      </c>
      <c r="C1655" s="16" t="s">
        <v>96</v>
      </c>
      <c r="D1655" s="16" t="s">
        <v>748</v>
      </c>
      <c r="E1655" s="17">
        <f>IFERROR(VLOOKUP(Tabulka2[[#This Row],[Pracovník]],DATA!A:L,5,0),"")</f>
        <v>6541</v>
      </c>
      <c r="F1655" s="12" t="s">
        <v>654</v>
      </c>
      <c r="G1655" s="16"/>
      <c r="H1655" s="18"/>
      <c r="I1655" s="27" t="str">
        <f>IFERROR(VLOOKUP(Tabulka2[[#This Row],[Pracovník]],DATA!A:L,11,0),"")</f>
        <v>DSC 2</v>
      </c>
      <c r="J1655" s="16"/>
      <c r="K1655" s="19"/>
    </row>
    <row r="1656" spans="1:11" x14ac:dyDescent="0.25">
      <c r="A16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56" s="22">
        <v>45936</v>
      </c>
      <c r="C1656" s="16" t="s">
        <v>96</v>
      </c>
      <c r="D1656" s="16" t="s">
        <v>749</v>
      </c>
      <c r="E1656" s="17">
        <f>IFERROR(VLOOKUP(Tabulka2[[#This Row],[Pracovník]],DATA!A:L,5,0),"")</f>
        <v>6442</v>
      </c>
      <c r="F1656" s="12" t="s">
        <v>640</v>
      </c>
      <c r="G1656" s="16"/>
      <c r="H1656" s="18"/>
      <c r="I1656" s="27" t="str">
        <f>IFERROR(VLOOKUP(Tabulka2[[#This Row],[Pracovník]],DATA!A:L,11,0),"")</f>
        <v>DSC 2</v>
      </c>
      <c r="J1656" s="16"/>
      <c r="K1656" s="19"/>
    </row>
    <row r="1657" spans="1:11" x14ac:dyDescent="0.25">
      <c r="A16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57" s="22">
        <v>45936</v>
      </c>
      <c r="C1657" s="16" t="s">
        <v>96</v>
      </c>
      <c r="D1657" s="16" t="s">
        <v>750</v>
      </c>
      <c r="E1657" s="17">
        <f>IFERROR(VLOOKUP(Tabulka2[[#This Row],[Pracovník]],DATA!A:L,5,0),"")</f>
        <v>6143</v>
      </c>
      <c r="F1657" s="12" t="s">
        <v>640</v>
      </c>
      <c r="G1657" s="16"/>
      <c r="H1657" s="18"/>
      <c r="I1657" s="27" t="str">
        <f>IFERROR(VLOOKUP(Tabulka2[[#This Row],[Pracovník]],DATA!A:L,11,0),"")</f>
        <v>Vlastní auto</v>
      </c>
      <c r="J1657" s="16"/>
      <c r="K1657" s="19"/>
    </row>
    <row r="1658" spans="1:11" x14ac:dyDescent="0.25">
      <c r="A16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58" s="22">
        <v>45936</v>
      </c>
      <c r="C1658" s="16" t="s">
        <v>96</v>
      </c>
      <c r="D1658" s="16" t="s">
        <v>751</v>
      </c>
      <c r="E1658" s="17">
        <f>IFERROR(VLOOKUP(Tabulka2[[#This Row],[Pracovník]],DATA!A:L,5,0),"")</f>
        <v>6260</v>
      </c>
      <c r="F1658" s="12" t="s">
        <v>640</v>
      </c>
      <c r="G1658" s="16"/>
      <c r="H1658" s="18"/>
      <c r="I1658" s="27" t="str">
        <f>IFERROR(VLOOKUP(Tabulka2[[#This Row],[Pracovník]],DATA!A:L,11,0),"")</f>
        <v>Vlastní auto</v>
      </c>
      <c r="J1658" s="16"/>
      <c r="K1658" s="19"/>
    </row>
    <row r="1659" spans="1:11" x14ac:dyDescent="0.25">
      <c r="A16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59" s="22">
        <v>45936</v>
      </c>
      <c r="C1659" s="16" t="s">
        <v>96</v>
      </c>
      <c r="D1659" s="16" t="s">
        <v>752</v>
      </c>
      <c r="E1659" s="17">
        <f>IFERROR(VLOOKUP(Tabulka2[[#This Row],[Pracovník]],DATA!A:L,5,0),"")</f>
        <v>6430</v>
      </c>
      <c r="F1659" s="12" t="s">
        <v>640</v>
      </c>
      <c r="G1659" s="16"/>
      <c r="H1659" s="18"/>
      <c r="I1659" s="27" t="str">
        <f>IFERROR(VLOOKUP(Tabulka2[[#This Row],[Pracovník]],DATA!A:L,11,0),"")</f>
        <v>Vlastní auto</v>
      </c>
      <c r="J1659" s="16"/>
      <c r="K1659" s="19"/>
    </row>
    <row r="1660" spans="1:11" x14ac:dyDescent="0.25">
      <c r="A16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60" s="22">
        <v>45936</v>
      </c>
      <c r="C1660" s="16" t="s">
        <v>96</v>
      </c>
      <c r="D1660" s="16" t="s">
        <v>753</v>
      </c>
      <c r="E1660" s="17">
        <f>IFERROR(VLOOKUP(Tabulka2[[#This Row],[Pracovník]],DATA!A:L,5,0),"")</f>
        <v>6016</v>
      </c>
      <c r="F1660" s="12" t="s">
        <v>640</v>
      </c>
      <c r="G1660" s="16"/>
      <c r="H1660" s="18"/>
      <c r="I1660" s="27" t="str">
        <f>IFERROR(VLOOKUP(Tabulka2[[#This Row],[Pracovník]],DATA!A:L,11,0),"")</f>
        <v>DSC 2</v>
      </c>
      <c r="J1660" s="16"/>
      <c r="K1660" s="19"/>
    </row>
    <row r="1661" spans="1:11" x14ac:dyDescent="0.25">
      <c r="A16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61" s="22">
        <v>45936</v>
      </c>
      <c r="C1661" s="16" t="s">
        <v>96</v>
      </c>
      <c r="D1661" s="16" t="s">
        <v>754</v>
      </c>
      <c r="E1661" s="17">
        <f>IFERROR(VLOOKUP(Tabulka2[[#This Row],[Pracovník]],DATA!A:L,5,0),"")</f>
        <v>6437</v>
      </c>
      <c r="F1661" s="12" t="s">
        <v>640</v>
      </c>
      <c r="G1661" s="16"/>
      <c r="H1661" s="18"/>
      <c r="I1661" s="27" t="str">
        <f>IFERROR(VLOOKUP(Tabulka2[[#This Row],[Pracovník]],DATA!A:L,11,0),"")</f>
        <v>DSC 2</v>
      </c>
      <c r="J1661" s="16"/>
      <c r="K1661" s="19"/>
    </row>
    <row r="1662" spans="1:11" x14ac:dyDescent="0.25">
      <c r="A16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62" s="22">
        <v>45936</v>
      </c>
      <c r="C1662" s="16" t="s">
        <v>96</v>
      </c>
      <c r="D1662" s="16" t="s">
        <v>756</v>
      </c>
      <c r="E1662" s="17">
        <f>IFERROR(VLOOKUP(Tabulka2[[#This Row],[Pracovník]],DATA!A:L,5,0),"")</f>
        <v>6431</v>
      </c>
      <c r="F1662" s="12" t="s">
        <v>640</v>
      </c>
      <c r="G1662" s="16"/>
      <c r="H1662" s="18"/>
      <c r="I1662" s="27" t="str">
        <f>IFERROR(VLOOKUP(Tabulka2[[#This Row],[Pracovník]],DATA!A:L,11,0),"")</f>
        <v>DSC 1</v>
      </c>
      <c r="J1662" s="16"/>
      <c r="K1662" s="19"/>
    </row>
    <row r="1663" spans="1:11" x14ac:dyDescent="0.25">
      <c r="A16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63" s="22">
        <v>45936</v>
      </c>
      <c r="C1663" s="16" t="s">
        <v>96</v>
      </c>
      <c r="D1663" s="16" t="s">
        <v>642</v>
      </c>
      <c r="E1663" s="17">
        <f>IFERROR(VLOOKUP(Tabulka2[[#This Row],[Pracovník]],DATA!A:L,5,0),"")</f>
        <v>6119</v>
      </c>
      <c r="F1663" s="12" t="s">
        <v>654</v>
      </c>
      <c r="G1663" s="16"/>
      <c r="H1663" s="18"/>
      <c r="I1663" s="27" t="str">
        <f>IFERROR(VLOOKUP(Tabulka2[[#This Row],[Pracovník]],DATA!A:L,11,0),"")</f>
        <v>DSC 1</v>
      </c>
      <c r="J1663" s="16"/>
      <c r="K1663" s="19"/>
    </row>
    <row r="1664" spans="1:11" x14ac:dyDescent="0.25">
      <c r="A16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64" s="22">
        <v>45936</v>
      </c>
      <c r="C1664" s="16" t="s">
        <v>96</v>
      </c>
      <c r="D1664" s="16" t="s">
        <v>757</v>
      </c>
      <c r="E1664" s="17">
        <f>IFERROR(VLOOKUP(Tabulka2[[#This Row],[Pracovník]],DATA!A:L,5,0),"")</f>
        <v>6559</v>
      </c>
      <c r="F1664" s="12" t="s">
        <v>654</v>
      </c>
      <c r="G1664" s="16"/>
      <c r="H1664" s="18"/>
      <c r="I1664" s="27" t="str">
        <f>IFERROR(VLOOKUP(Tabulka2[[#This Row],[Pracovník]],DATA!A:L,11,0),"")</f>
        <v>DSC 1</v>
      </c>
      <c r="J1664" s="16"/>
      <c r="K1664" s="19"/>
    </row>
    <row r="1665" spans="1:11" x14ac:dyDescent="0.25">
      <c r="A16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65" s="22">
        <v>45936</v>
      </c>
      <c r="C1665" s="16" t="s">
        <v>96</v>
      </c>
      <c r="D1665" s="16" t="s">
        <v>758</v>
      </c>
      <c r="E1665" s="17">
        <f>IFERROR(VLOOKUP(Tabulka2[[#This Row],[Pracovník]],DATA!A:L,5,0),"")</f>
        <v>4392</v>
      </c>
      <c r="F1665" s="12" t="s">
        <v>654</v>
      </c>
      <c r="G1665" s="16"/>
      <c r="H1665" s="18"/>
      <c r="I1665" s="27" t="str">
        <f>IFERROR(VLOOKUP(Tabulka2[[#This Row],[Pracovník]],DATA!A:L,11,0),"")</f>
        <v>DSC 1</v>
      </c>
      <c r="J1665" s="16"/>
      <c r="K1665" s="19"/>
    </row>
    <row r="1666" spans="1:11" x14ac:dyDescent="0.25">
      <c r="A16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66" s="22">
        <v>45936</v>
      </c>
      <c r="C1666" s="16" t="s">
        <v>96</v>
      </c>
      <c r="D1666" s="16" t="s">
        <v>760</v>
      </c>
      <c r="E1666" s="17">
        <f>IFERROR(VLOOKUP(Tabulka2[[#This Row],[Pracovník]],DATA!A:L,5,0),"")</f>
        <v>6514</v>
      </c>
      <c r="F1666" s="12" t="s">
        <v>640</v>
      </c>
      <c r="G1666" s="16"/>
      <c r="H1666" s="18"/>
      <c r="I1666" s="27" t="str">
        <f>IFERROR(VLOOKUP(Tabulka2[[#This Row],[Pracovník]],DATA!A:L,11,0),"")</f>
        <v>DSC 2</v>
      </c>
      <c r="J1666" s="16"/>
      <c r="K1666" s="19"/>
    </row>
    <row r="1667" spans="1:11" x14ac:dyDescent="0.25">
      <c r="A16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67" s="22">
        <v>45936</v>
      </c>
      <c r="C1667" s="16" t="s">
        <v>96</v>
      </c>
      <c r="D1667" s="16" t="s">
        <v>761</v>
      </c>
      <c r="E1667" s="17">
        <f>IFERROR(VLOOKUP(Tabulka2[[#This Row],[Pracovník]],DATA!A:L,5,0),"")</f>
        <v>6516</v>
      </c>
      <c r="F1667" s="12" t="s">
        <v>640</v>
      </c>
      <c r="G1667" s="16"/>
      <c r="H1667" s="18"/>
      <c r="I1667" s="27" t="str">
        <f>IFERROR(VLOOKUP(Tabulka2[[#This Row],[Pracovník]],DATA!A:L,11,0),"")</f>
        <v>DSC 1</v>
      </c>
      <c r="J1667" s="16"/>
      <c r="K1667" s="19"/>
    </row>
    <row r="1668" spans="1:11" x14ac:dyDescent="0.25">
      <c r="A16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68" s="22">
        <v>45936</v>
      </c>
      <c r="C1668" s="16" t="s">
        <v>96</v>
      </c>
      <c r="D1668" s="16" t="s">
        <v>762</v>
      </c>
      <c r="E1668" s="17">
        <f>IFERROR(VLOOKUP(Tabulka2[[#This Row],[Pracovník]],DATA!A:L,5,0),"")</f>
        <v>0</v>
      </c>
      <c r="F1668" s="12" t="s">
        <v>640</v>
      </c>
      <c r="G1668" s="16"/>
      <c r="H1668" s="18"/>
      <c r="I1668" s="27" t="str">
        <f>IFERROR(VLOOKUP(Tabulka2[[#This Row],[Pracovník]],DATA!A:L,11,0),"")</f>
        <v>Vlastní auto</v>
      </c>
      <c r="J1668" s="16"/>
      <c r="K1668" s="19"/>
    </row>
    <row r="1669" spans="1:11" x14ac:dyDescent="0.25">
      <c r="A16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69" s="22">
        <v>45936</v>
      </c>
      <c r="C1669" s="16" t="s">
        <v>96</v>
      </c>
      <c r="D1669" s="16" t="s">
        <v>763</v>
      </c>
      <c r="E1669" s="17">
        <f>IFERROR(VLOOKUP(Tabulka2[[#This Row],[Pracovník]],DATA!A:L,5,0),"")</f>
        <v>6158</v>
      </c>
      <c r="F1669" s="12" t="s">
        <v>654</v>
      </c>
      <c r="G1669" s="16"/>
      <c r="H1669" s="18"/>
      <c r="I1669" s="27" t="str">
        <f>IFERROR(VLOOKUP(Tabulka2[[#This Row],[Pracovník]],DATA!A:L,11,0),"")</f>
        <v>DSC 2</v>
      </c>
      <c r="J1669" s="16"/>
      <c r="K1669" s="19"/>
    </row>
    <row r="1670" spans="1:11" x14ac:dyDescent="0.25">
      <c r="A16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70" s="22">
        <v>45936</v>
      </c>
      <c r="C1670" s="16" t="s">
        <v>96</v>
      </c>
      <c r="D1670" s="16" t="s">
        <v>764</v>
      </c>
      <c r="E1670" s="17">
        <f>IFERROR(VLOOKUP(Tabulka2[[#This Row],[Pracovník]],DATA!A:L,5,0),"")</f>
        <v>3063</v>
      </c>
      <c r="F1670" s="12" t="s">
        <v>654</v>
      </c>
      <c r="G1670" s="16"/>
      <c r="H1670" s="18"/>
      <c r="I1670" s="27" t="str">
        <f>IFERROR(VLOOKUP(Tabulka2[[#This Row],[Pracovník]],DATA!A:L,11,0),"")</f>
        <v>DSC 2</v>
      </c>
      <c r="J1670" s="16"/>
      <c r="K1670" s="19"/>
    </row>
    <row r="1671" spans="1:11" x14ac:dyDescent="0.25">
      <c r="A16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71" s="22">
        <v>45936</v>
      </c>
      <c r="C1671" s="16" t="s">
        <v>96</v>
      </c>
      <c r="D1671" s="16" t="s">
        <v>765</v>
      </c>
      <c r="E1671" s="17">
        <f>IFERROR(VLOOKUP(Tabulka2[[#This Row],[Pracovník]],DATA!A:L,5,0),"")</f>
        <v>5853</v>
      </c>
      <c r="F1671" s="12" t="s">
        <v>640</v>
      </c>
      <c r="G1671" s="16"/>
      <c r="H1671" s="18"/>
      <c r="I1671" s="27" t="str">
        <f>IFERROR(VLOOKUP(Tabulka2[[#This Row],[Pracovník]],DATA!A:L,11,0),"")</f>
        <v>DSC 2</v>
      </c>
      <c r="J1671" s="16"/>
      <c r="K1671" s="19"/>
    </row>
    <row r="1672" spans="1:11" x14ac:dyDescent="0.25">
      <c r="A16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72" s="22">
        <v>45936</v>
      </c>
      <c r="C1672" s="16" t="s">
        <v>96</v>
      </c>
      <c r="D1672" s="16" t="s">
        <v>766</v>
      </c>
      <c r="E1672" s="17">
        <f>IFERROR(VLOOKUP(Tabulka2[[#This Row],[Pracovník]],DATA!A:L,5,0),"")</f>
        <v>6408</v>
      </c>
      <c r="F1672" s="12" t="s">
        <v>654</v>
      </c>
      <c r="G1672" s="16"/>
      <c r="H1672" s="18"/>
      <c r="I1672" s="27" t="str">
        <f>IFERROR(VLOOKUP(Tabulka2[[#This Row],[Pracovník]],DATA!A:L,11,0),"")</f>
        <v>Vlastní auto</v>
      </c>
      <c r="J1672" s="16"/>
      <c r="K1672" s="19"/>
    </row>
    <row r="1673" spans="1:11" x14ac:dyDescent="0.25">
      <c r="A16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73" s="22">
        <v>45936</v>
      </c>
      <c r="C1673" s="16" t="s">
        <v>96</v>
      </c>
      <c r="D1673" s="16" t="s">
        <v>767</v>
      </c>
      <c r="E1673" s="17">
        <f>IFERROR(VLOOKUP(Tabulka2[[#This Row],[Pracovník]],DATA!A:L,5,0),"")</f>
        <v>6544</v>
      </c>
      <c r="F1673" s="12" t="s">
        <v>640</v>
      </c>
      <c r="G1673" s="16"/>
      <c r="H1673" s="18"/>
      <c r="I1673" s="27" t="str">
        <f>IFERROR(VLOOKUP(Tabulka2[[#This Row],[Pracovník]],DATA!A:L,11,0),"")</f>
        <v>DSC 1</v>
      </c>
      <c r="J1673" s="16"/>
      <c r="K1673" s="19"/>
    </row>
    <row r="1674" spans="1:11" x14ac:dyDescent="0.25">
      <c r="A16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74" s="22">
        <v>45936</v>
      </c>
      <c r="C1674" s="16" t="s">
        <v>96</v>
      </c>
      <c r="D1674" s="16" t="s">
        <v>769</v>
      </c>
      <c r="E1674" s="17">
        <f>IFERROR(VLOOKUP(Tabulka2[[#This Row],[Pracovník]],DATA!A:L,5,0),"")</f>
        <v>0</v>
      </c>
      <c r="F1674" s="12" t="s">
        <v>640</v>
      </c>
      <c r="G1674" s="16"/>
      <c r="H1674" s="18"/>
      <c r="I1674" s="27" t="str">
        <f>IFERROR(VLOOKUP(Tabulka2[[#This Row],[Pracovník]],DATA!A:L,11,0),"")</f>
        <v>DSC 2</v>
      </c>
      <c r="J1674" s="16"/>
      <c r="K1674" s="19"/>
    </row>
    <row r="1675" spans="1:11" x14ac:dyDescent="0.25">
      <c r="A16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75" s="22">
        <v>45936</v>
      </c>
      <c r="C1675" s="16" t="s">
        <v>96</v>
      </c>
      <c r="D1675" s="16" t="s">
        <v>771</v>
      </c>
      <c r="E1675" s="17">
        <f>IFERROR(VLOOKUP(Tabulka2[[#This Row],[Pracovník]],DATA!A:L,5,0),"")</f>
        <v>6558</v>
      </c>
      <c r="F1675" s="12" t="s">
        <v>640</v>
      </c>
      <c r="G1675" s="16"/>
      <c r="H1675" s="18"/>
      <c r="I1675" s="27" t="str">
        <f>IFERROR(VLOOKUP(Tabulka2[[#This Row],[Pracovník]],DATA!A:L,11,0),"")</f>
        <v>DSC 1</v>
      </c>
      <c r="J1675" s="16"/>
      <c r="K1675" s="19"/>
    </row>
    <row r="1676" spans="1:11" x14ac:dyDescent="0.25">
      <c r="A16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76" s="22">
        <v>45936</v>
      </c>
      <c r="C1676" s="16" t="s">
        <v>96</v>
      </c>
      <c r="D1676" s="16" t="s">
        <v>771</v>
      </c>
      <c r="E1676" s="17">
        <f>IFERROR(VLOOKUP(Tabulka2[[#This Row],[Pracovník]],DATA!A:L,5,0),"")</f>
        <v>6558</v>
      </c>
      <c r="F1676" s="12" t="s">
        <v>640</v>
      </c>
      <c r="G1676" s="16"/>
      <c r="H1676" s="18"/>
      <c r="I1676" s="27" t="str">
        <f>IFERROR(VLOOKUP(Tabulka2[[#This Row],[Pracovník]],DATA!A:L,11,0),"")</f>
        <v>DSC 1</v>
      </c>
      <c r="J1676" s="16"/>
      <c r="K1676" s="19"/>
    </row>
    <row r="1677" spans="1:11" x14ac:dyDescent="0.25">
      <c r="A16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77" s="22">
        <v>45936</v>
      </c>
      <c r="C1677" s="16" t="s">
        <v>96</v>
      </c>
      <c r="D1677" s="16" t="s">
        <v>770</v>
      </c>
      <c r="E1677" s="17">
        <f>IFERROR(VLOOKUP(Tabulka2[[#This Row],[Pracovník]],DATA!A:L,5,0),"")</f>
        <v>6152</v>
      </c>
      <c r="F1677" s="12" t="s">
        <v>654</v>
      </c>
      <c r="G1677" s="16"/>
      <c r="H1677" s="18"/>
      <c r="I1677" s="27" t="str">
        <f>IFERROR(VLOOKUP(Tabulka2[[#This Row],[Pracovník]],DATA!A:L,11,0),"")</f>
        <v>DSC 2</v>
      </c>
      <c r="J1677" s="16"/>
      <c r="K1677" s="19"/>
    </row>
    <row r="1678" spans="1:11" x14ac:dyDescent="0.25">
      <c r="A16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78" s="22">
        <v>45936</v>
      </c>
      <c r="C1678" s="16" t="s">
        <v>28</v>
      </c>
      <c r="D1678" s="16" t="s">
        <v>646</v>
      </c>
      <c r="E1678" s="17">
        <f>IFERROR(VLOOKUP(Tabulka2[[#This Row],[Pracovník]],DATA!A:L,5,0),"")</f>
        <v>6537</v>
      </c>
      <c r="F1678" s="12" t="s">
        <v>655</v>
      </c>
      <c r="G1678" s="16"/>
      <c r="H1678" s="18"/>
      <c r="I1678" s="27" t="str">
        <f>IFERROR(VLOOKUP(Tabulka2[[#This Row],[Pracovník]],DATA!A:L,11,0),"")</f>
        <v>DSC 2</v>
      </c>
      <c r="J1678" s="16"/>
      <c r="K1678" s="19"/>
    </row>
    <row r="1679" spans="1:11" x14ac:dyDescent="0.25">
      <c r="A16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79" s="22">
        <v>45936</v>
      </c>
      <c r="C1679" s="16" t="s">
        <v>28</v>
      </c>
      <c r="D1679" s="16" t="s">
        <v>648</v>
      </c>
      <c r="E1679" s="17">
        <f>IFERROR(VLOOKUP(Tabulka2[[#This Row],[Pracovník]],DATA!A:L,5,0),"")</f>
        <v>5802</v>
      </c>
      <c r="F1679" s="12" t="s">
        <v>654</v>
      </c>
      <c r="G1679" s="16"/>
      <c r="H1679" s="18"/>
      <c r="I1679" s="27" t="str">
        <f>IFERROR(VLOOKUP(Tabulka2[[#This Row],[Pracovník]],DATA!A:L,11,0),"")</f>
        <v>Vlastní auto</v>
      </c>
      <c r="J1679" s="16"/>
      <c r="K1679" s="19"/>
    </row>
    <row r="1680" spans="1:11" x14ac:dyDescent="0.25">
      <c r="A16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80" s="22">
        <v>45936</v>
      </c>
      <c r="C1680" s="16" t="s">
        <v>28</v>
      </c>
      <c r="D1680" s="16" t="s">
        <v>772</v>
      </c>
      <c r="E1680" s="17">
        <f>IFERROR(VLOOKUP(Tabulka2[[#This Row],[Pracovník]],DATA!A:L,5,0),"")</f>
        <v>4869</v>
      </c>
      <c r="F1680" s="12" t="s">
        <v>640</v>
      </c>
      <c r="G1680" s="16"/>
      <c r="H1680" s="18"/>
      <c r="I1680" s="27" t="str">
        <f>IFERROR(VLOOKUP(Tabulka2[[#This Row],[Pracovník]],DATA!A:L,11,0),"")</f>
        <v>Vlastní auto</v>
      </c>
      <c r="J1680" s="16"/>
      <c r="K1680" s="19"/>
    </row>
    <row r="1681" spans="1:11" x14ac:dyDescent="0.25">
      <c r="A16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81" s="22">
        <v>45936</v>
      </c>
      <c r="C1681" s="16" t="s">
        <v>28</v>
      </c>
      <c r="D1681" s="16" t="s">
        <v>773</v>
      </c>
      <c r="E1681" s="17">
        <f>IFERROR(VLOOKUP(Tabulka2[[#This Row],[Pracovník]],DATA!A:L,5,0),"")</f>
        <v>6508</v>
      </c>
      <c r="F1681" s="12" t="s">
        <v>655</v>
      </c>
      <c r="G1681" s="16"/>
      <c r="H1681" s="18"/>
      <c r="I1681" s="27" t="str">
        <f>IFERROR(VLOOKUP(Tabulka2[[#This Row],[Pracovník]],DATA!A:L,11,0),"")</f>
        <v>Vlastní auto</v>
      </c>
      <c r="J1681" s="16"/>
      <c r="K1681" s="19"/>
    </row>
    <row r="1682" spans="1:11" x14ac:dyDescent="0.25">
      <c r="A16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82" s="22">
        <v>45936</v>
      </c>
      <c r="C1682" s="16" t="s">
        <v>28</v>
      </c>
      <c r="D1682" s="16" t="s">
        <v>774</v>
      </c>
      <c r="E1682" s="17">
        <f>IFERROR(VLOOKUP(Tabulka2[[#This Row],[Pracovník]],DATA!A:L,5,0),"")</f>
        <v>4607</v>
      </c>
      <c r="F1682" s="12" t="s">
        <v>654</v>
      </c>
      <c r="G1682" s="16"/>
      <c r="H1682" s="18"/>
      <c r="I1682" s="27" t="str">
        <f>IFERROR(VLOOKUP(Tabulka2[[#This Row],[Pracovník]],DATA!A:L,11,0),"")</f>
        <v>DSC 2</v>
      </c>
      <c r="J1682" s="16"/>
      <c r="K1682" s="19"/>
    </row>
    <row r="1683" spans="1:11" x14ac:dyDescent="0.25">
      <c r="A16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83" s="22">
        <v>45936</v>
      </c>
      <c r="C1683" s="16" t="s">
        <v>28</v>
      </c>
      <c r="D1683" s="16" t="s">
        <v>775</v>
      </c>
      <c r="E1683" s="17">
        <f>IFERROR(VLOOKUP(Tabulka2[[#This Row],[Pracovník]],DATA!A:L,5,0),"")</f>
        <v>5047</v>
      </c>
      <c r="F1683" s="12" t="s">
        <v>640</v>
      </c>
      <c r="G1683" s="16"/>
      <c r="H1683" s="18"/>
      <c r="I1683" s="27" t="str">
        <f>IFERROR(VLOOKUP(Tabulka2[[#This Row],[Pracovník]],DATA!A:L,11,0),"")</f>
        <v>Vlastní auto</v>
      </c>
      <c r="J1683" s="16"/>
      <c r="K1683" s="19"/>
    </row>
    <row r="1684" spans="1:11" x14ac:dyDescent="0.25">
      <c r="A16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84" s="22">
        <v>45936</v>
      </c>
      <c r="C1684" s="16" t="s">
        <v>28</v>
      </c>
      <c r="D1684" s="16" t="s">
        <v>777</v>
      </c>
      <c r="E1684" s="17">
        <f>IFERROR(VLOOKUP(Tabulka2[[#This Row],[Pracovník]],DATA!A:L,5,0),"")</f>
        <v>4616</v>
      </c>
      <c r="F1684" s="12" t="s">
        <v>654</v>
      </c>
      <c r="G1684" s="16"/>
      <c r="H1684" s="18"/>
      <c r="I1684" s="27" t="str">
        <f>IFERROR(VLOOKUP(Tabulka2[[#This Row],[Pracovník]],DATA!A:L,11,0),"")</f>
        <v>Vlastní auto</v>
      </c>
      <c r="J1684" s="16"/>
      <c r="K1684" s="19"/>
    </row>
    <row r="1685" spans="1:11" x14ac:dyDescent="0.25">
      <c r="A16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85" s="22">
        <v>45936</v>
      </c>
      <c r="C1685" s="16" t="s">
        <v>28</v>
      </c>
      <c r="D1685" s="16" t="s">
        <v>776</v>
      </c>
      <c r="E1685" s="17">
        <f>IFERROR(VLOOKUP(Tabulka2[[#This Row],[Pracovník]],DATA!A:L,5,0),"")</f>
        <v>4961</v>
      </c>
      <c r="F1685" s="12" t="s">
        <v>655</v>
      </c>
      <c r="G1685" s="16"/>
      <c r="H1685" s="18"/>
      <c r="I1685" s="27" t="str">
        <f>IFERROR(VLOOKUP(Tabulka2[[#This Row],[Pracovník]],DATA!A:L,11,0),"")</f>
        <v>Vlastní auto</v>
      </c>
      <c r="J1685" s="16"/>
      <c r="K1685" s="19"/>
    </row>
    <row r="1686" spans="1:11" x14ac:dyDescent="0.25">
      <c r="A16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86" s="22">
        <v>45936</v>
      </c>
      <c r="C1686" s="16" t="s">
        <v>28</v>
      </c>
      <c r="D1686" s="16" t="s">
        <v>778</v>
      </c>
      <c r="E1686" s="17">
        <f>IFERROR(VLOOKUP(Tabulka2[[#This Row],[Pracovník]],DATA!A:L,5,0),"")</f>
        <v>4721</v>
      </c>
      <c r="F1686" s="12" t="s">
        <v>655</v>
      </c>
      <c r="G1686" s="16"/>
      <c r="H1686" s="18"/>
      <c r="I1686" s="27" t="str">
        <f>IFERROR(VLOOKUP(Tabulka2[[#This Row],[Pracovník]],DATA!A:L,11,0),"")</f>
        <v>DSC 2</v>
      </c>
      <c r="J1686" s="16"/>
      <c r="K1686" s="19"/>
    </row>
    <row r="1687" spans="1:11" x14ac:dyDescent="0.25">
      <c r="A16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87" s="22">
        <v>45936</v>
      </c>
      <c r="C1687" s="16" t="s">
        <v>28</v>
      </c>
      <c r="D1687" s="16" t="s">
        <v>779</v>
      </c>
      <c r="E1687" s="17">
        <f>IFERROR(VLOOKUP(Tabulka2[[#This Row],[Pracovník]],DATA!A:L,5,0),"")</f>
        <v>4845</v>
      </c>
      <c r="F1687" s="12" t="s">
        <v>640</v>
      </c>
      <c r="G1687" s="16"/>
      <c r="H1687" s="18"/>
      <c r="I1687" s="27" t="str">
        <f>IFERROR(VLOOKUP(Tabulka2[[#This Row],[Pracovník]],DATA!A:L,11,0),"")</f>
        <v>Vlastní auto</v>
      </c>
      <c r="J1687" s="16"/>
      <c r="K1687" s="19"/>
    </row>
    <row r="1688" spans="1:11" x14ac:dyDescent="0.25">
      <c r="A16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88" s="22">
        <v>45936</v>
      </c>
      <c r="C1688" s="16" t="s">
        <v>28</v>
      </c>
      <c r="D1688" s="16" t="s">
        <v>780</v>
      </c>
      <c r="E1688" s="17">
        <f>IFERROR(VLOOKUP(Tabulka2[[#This Row],[Pracovník]],DATA!A:L,5,0),"")</f>
        <v>47</v>
      </c>
      <c r="F1688" s="12" t="s">
        <v>653</v>
      </c>
      <c r="G1688" s="16" t="s">
        <v>656</v>
      </c>
      <c r="H1688" s="18"/>
      <c r="I1688" s="27" t="str">
        <f>IFERROR(VLOOKUP(Tabulka2[[#This Row],[Pracovník]],DATA!A:L,11,0),"")</f>
        <v>DSC 1</v>
      </c>
      <c r="J1688" s="16"/>
      <c r="K1688" s="19"/>
    </row>
    <row r="1689" spans="1:11" x14ac:dyDescent="0.25">
      <c r="A16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89" s="22">
        <v>45936</v>
      </c>
      <c r="C1689" s="16" t="s">
        <v>28</v>
      </c>
      <c r="D1689" s="16" t="s">
        <v>792</v>
      </c>
      <c r="E1689" s="17">
        <f>IFERROR(VLOOKUP(Tabulka2[[#This Row],[Pracovník]],DATA!A:L,5,0),"")</f>
        <v>6332</v>
      </c>
      <c r="F1689" s="12" t="s">
        <v>640</v>
      </c>
      <c r="G1689" s="16"/>
      <c r="H1689" s="18"/>
      <c r="I1689" s="27" t="str">
        <f>IFERROR(VLOOKUP(Tabulka2[[#This Row],[Pracovník]],DATA!A:L,11,0),"")</f>
        <v>Vlastní auto</v>
      </c>
      <c r="J1689" s="16"/>
      <c r="K1689" s="19"/>
    </row>
    <row r="1690" spans="1:11" x14ac:dyDescent="0.25">
      <c r="A16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90" s="22">
        <v>45936</v>
      </c>
      <c r="C1690" s="16" t="s">
        <v>28</v>
      </c>
      <c r="D1690" s="16" t="s">
        <v>793</v>
      </c>
      <c r="E1690" s="17">
        <f>IFERROR(VLOOKUP(Tabulka2[[#This Row],[Pracovník]],DATA!A:L,5,0),"")</f>
        <v>4871</v>
      </c>
      <c r="F1690" s="12" t="s">
        <v>640</v>
      </c>
      <c r="G1690" s="16"/>
      <c r="H1690" s="18"/>
      <c r="I1690" s="27" t="str">
        <f>IFERROR(VLOOKUP(Tabulka2[[#This Row],[Pracovník]],DATA!A:L,11,0),"")</f>
        <v>Vlastní auto</v>
      </c>
      <c r="J1690" s="16"/>
      <c r="K1690" s="19"/>
    </row>
    <row r="1691" spans="1:11" x14ac:dyDescent="0.25">
      <c r="A16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91" s="22">
        <v>45936</v>
      </c>
      <c r="C1691" s="16" t="s">
        <v>28</v>
      </c>
      <c r="D1691" s="16" t="s">
        <v>794</v>
      </c>
      <c r="E1691" s="17">
        <f>IFERROR(VLOOKUP(Tabulka2[[#This Row],[Pracovník]],DATA!A:L,5,0),"")</f>
        <v>4755</v>
      </c>
      <c r="F1691" s="12" t="s">
        <v>654</v>
      </c>
      <c r="G1691" s="16"/>
      <c r="H1691" s="18"/>
      <c r="I1691" s="27" t="str">
        <f>IFERROR(VLOOKUP(Tabulka2[[#This Row],[Pracovník]],DATA!A:L,11,0),"")</f>
        <v>DSC 2</v>
      </c>
      <c r="J1691" s="16"/>
      <c r="K1691" s="19"/>
    </row>
    <row r="1692" spans="1:11" x14ac:dyDescent="0.25">
      <c r="A16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92" s="22">
        <v>45936</v>
      </c>
      <c r="C1692" s="16" t="s">
        <v>28</v>
      </c>
      <c r="D1692" s="16" t="s">
        <v>781</v>
      </c>
      <c r="E1692" s="17">
        <f>IFERROR(VLOOKUP(Tabulka2[[#This Row],[Pracovník]],DATA!A:L,5,0),"")</f>
        <v>49</v>
      </c>
      <c r="F1692" s="12" t="s">
        <v>655</v>
      </c>
      <c r="G1692" s="16"/>
      <c r="H1692" s="18"/>
      <c r="I1692" s="27" t="str">
        <f>IFERROR(VLOOKUP(Tabulka2[[#This Row],[Pracovník]],DATA!A:L,11,0),"")</f>
        <v>DSC 2</v>
      </c>
      <c r="J1692" s="16" t="s">
        <v>1001</v>
      </c>
      <c r="K1692" s="19"/>
    </row>
    <row r="1693" spans="1:11" x14ac:dyDescent="0.25">
      <c r="A16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93" s="22">
        <v>45936</v>
      </c>
      <c r="C1693" s="16" t="s">
        <v>28</v>
      </c>
      <c r="D1693" s="16" t="s">
        <v>782</v>
      </c>
      <c r="E1693" s="17">
        <f>IFERROR(VLOOKUP(Tabulka2[[#This Row],[Pracovník]],DATA!A:L,5,0),"")</f>
        <v>5839</v>
      </c>
      <c r="F1693" s="12" t="s">
        <v>640</v>
      </c>
      <c r="G1693" s="16"/>
      <c r="H1693" s="18"/>
      <c r="I1693" s="27" t="str">
        <f>IFERROR(VLOOKUP(Tabulka2[[#This Row],[Pracovník]],DATA!A:L,11,0),"")</f>
        <v>DSC 1</v>
      </c>
      <c r="J1693" s="16"/>
      <c r="K1693" s="19"/>
    </row>
    <row r="1694" spans="1:11" x14ac:dyDescent="0.25">
      <c r="A16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94" s="22">
        <v>45936</v>
      </c>
      <c r="C1694" s="16" t="s">
        <v>28</v>
      </c>
      <c r="D1694" s="16" t="s">
        <v>783</v>
      </c>
      <c r="E1694" s="17">
        <f>IFERROR(VLOOKUP(Tabulka2[[#This Row],[Pracovník]],DATA!A:L,5,0),"")</f>
        <v>6487</v>
      </c>
      <c r="F1694" s="12" t="s">
        <v>654</v>
      </c>
      <c r="G1694" s="16"/>
      <c r="H1694" s="18"/>
      <c r="I1694" s="27" t="str">
        <f>IFERROR(VLOOKUP(Tabulka2[[#This Row],[Pracovník]],DATA!A:L,11,0),"")</f>
        <v>DSC 1</v>
      </c>
      <c r="J1694" s="16"/>
      <c r="K1694" s="19"/>
    </row>
    <row r="1695" spans="1:11" x14ac:dyDescent="0.25">
      <c r="A16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95" s="22">
        <v>45936</v>
      </c>
      <c r="C1695" s="16" t="s">
        <v>28</v>
      </c>
      <c r="D1695" s="16" t="s">
        <v>784</v>
      </c>
      <c r="E1695" s="17">
        <f>IFERROR(VLOOKUP(Tabulka2[[#This Row],[Pracovník]],DATA!A:L,5,0),"")</f>
        <v>6292</v>
      </c>
      <c r="F1695" s="12" t="s">
        <v>640</v>
      </c>
      <c r="G1695" s="16"/>
      <c r="H1695" s="18"/>
      <c r="I1695" s="27" t="str">
        <f>IFERROR(VLOOKUP(Tabulka2[[#This Row],[Pracovník]],DATA!A:L,11,0),"")</f>
        <v>Vlastní auto</v>
      </c>
      <c r="J1695" s="16"/>
      <c r="K1695" s="19"/>
    </row>
    <row r="1696" spans="1:11" x14ac:dyDescent="0.25">
      <c r="A16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96" s="22">
        <v>45936</v>
      </c>
      <c r="C1696" s="16" t="s">
        <v>28</v>
      </c>
      <c r="D1696" s="16" t="s">
        <v>788</v>
      </c>
      <c r="E1696" s="17">
        <f>IFERROR(VLOOKUP(Tabulka2[[#This Row],[Pracovník]],DATA!A:L,5,0),"")</f>
        <v>5198</v>
      </c>
      <c r="F1696" s="12" t="s">
        <v>640</v>
      </c>
      <c r="G1696" s="16"/>
      <c r="H1696" s="18"/>
      <c r="I1696" s="27" t="str">
        <f>IFERROR(VLOOKUP(Tabulka2[[#This Row],[Pracovník]],DATA!A:L,11,0),"")</f>
        <v>Vlastní auto</v>
      </c>
      <c r="J1696" s="16"/>
      <c r="K1696" s="19"/>
    </row>
    <row r="1697" spans="1:11" x14ac:dyDescent="0.25">
      <c r="A16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97" s="22">
        <v>45936</v>
      </c>
      <c r="C1697" s="16" t="s">
        <v>28</v>
      </c>
      <c r="D1697" s="16" t="s">
        <v>789</v>
      </c>
      <c r="E1697" s="17">
        <f>IFERROR(VLOOKUP(Tabulka2[[#This Row],[Pracovník]],DATA!A:L,5,0),"")</f>
        <v>6368</v>
      </c>
      <c r="F1697" s="12" t="s">
        <v>640</v>
      </c>
      <c r="G1697" s="16"/>
      <c r="H1697" s="18"/>
      <c r="I1697" s="27" t="str">
        <f>IFERROR(VLOOKUP(Tabulka2[[#This Row],[Pracovník]],DATA!A:L,11,0),"")</f>
        <v>Vlastní auto</v>
      </c>
      <c r="J1697" s="16"/>
      <c r="K1697" s="19"/>
    </row>
    <row r="1698" spans="1:11" x14ac:dyDescent="0.25">
      <c r="A16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98" s="22">
        <v>45936</v>
      </c>
      <c r="C1698" s="16" t="s">
        <v>28</v>
      </c>
      <c r="D1698" s="16" t="s">
        <v>786</v>
      </c>
      <c r="E1698" s="17">
        <f>IFERROR(VLOOKUP(Tabulka2[[#This Row],[Pracovník]],DATA!A:L,5,0),"")</f>
        <v>5595</v>
      </c>
      <c r="F1698" s="12" t="s">
        <v>655</v>
      </c>
      <c r="G1698" s="16"/>
      <c r="H1698" s="18"/>
      <c r="I1698" s="27" t="str">
        <f>IFERROR(VLOOKUP(Tabulka2[[#This Row],[Pracovník]],DATA!A:L,11,0),"")</f>
        <v>DSC 2</v>
      </c>
      <c r="J1698" s="16"/>
      <c r="K1698" s="19"/>
    </row>
    <row r="1699" spans="1:11" x14ac:dyDescent="0.25">
      <c r="A16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699" s="22">
        <v>45936</v>
      </c>
      <c r="C1699" s="16" t="s">
        <v>28</v>
      </c>
      <c r="D1699" s="16" t="s">
        <v>795</v>
      </c>
      <c r="E1699" s="17">
        <f>IFERROR(VLOOKUP(Tabulka2[[#This Row],[Pracovník]],DATA!A:L,5,0),"")</f>
        <v>4960</v>
      </c>
      <c r="F1699" s="12" t="s">
        <v>640</v>
      </c>
      <c r="G1699" s="16"/>
      <c r="H1699" s="18"/>
      <c r="I1699" s="27" t="str">
        <f>IFERROR(VLOOKUP(Tabulka2[[#This Row],[Pracovník]],DATA!A:L,11,0),"")</f>
        <v>DSC 1</v>
      </c>
      <c r="J1699" s="16"/>
      <c r="K1699" s="19"/>
    </row>
    <row r="1700" spans="1:11" x14ac:dyDescent="0.25">
      <c r="A17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00" s="22">
        <v>45936</v>
      </c>
      <c r="C1700" s="16" t="s">
        <v>28</v>
      </c>
      <c r="D1700" s="16" t="s">
        <v>790</v>
      </c>
      <c r="E1700" s="17">
        <f>IFERROR(VLOOKUP(Tabulka2[[#This Row],[Pracovník]],DATA!A:L,5,0),"")</f>
        <v>5125</v>
      </c>
      <c r="F1700" s="12" t="s">
        <v>654</v>
      </c>
      <c r="G1700" s="16"/>
      <c r="H1700" s="18"/>
      <c r="I1700" s="27" t="str">
        <f>IFERROR(VLOOKUP(Tabulka2[[#This Row],[Pracovník]],DATA!A:L,11,0),"")</f>
        <v>Vlastní auto</v>
      </c>
      <c r="J1700" s="16"/>
      <c r="K1700" s="19"/>
    </row>
    <row r="1701" spans="1:11" x14ac:dyDescent="0.25">
      <c r="A17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01" s="22">
        <v>45936</v>
      </c>
      <c r="C1701" s="16" t="s">
        <v>28</v>
      </c>
      <c r="D1701" s="16" t="s">
        <v>791</v>
      </c>
      <c r="E1701" s="17">
        <f>IFERROR(VLOOKUP(Tabulka2[[#This Row],[Pracovník]],DATA!A:L,5,0),"")</f>
        <v>6127</v>
      </c>
      <c r="F1701" s="12" t="s">
        <v>654</v>
      </c>
      <c r="G1701" s="16"/>
      <c r="H1701" s="18"/>
      <c r="I1701" s="27" t="str">
        <f>IFERROR(VLOOKUP(Tabulka2[[#This Row],[Pracovník]],DATA!A:L,11,0),"")</f>
        <v>DSC 2</v>
      </c>
      <c r="J1701" s="16"/>
      <c r="K1701" s="19"/>
    </row>
    <row r="1702" spans="1:11" x14ac:dyDescent="0.25">
      <c r="A17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02" s="22">
        <v>45936</v>
      </c>
      <c r="C1702" s="16" t="s">
        <v>28</v>
      </c>
      <c r="D1702" s="16" t="s">
        <v>796</v>
      </c>
      <c r="E1702" s="17">
        <f>IFERROR(VLOOKUP(Tabulka2[[#This Row],[Pracovník]],DATA!A:L,5,0),"")</f>
        <v>5583</v>
      </c>
      <c r="F1702" s="12" t="s">
        <v>640</v>
      </c>
      <c r="G1702" s="16"/>
      <c r="H1702" s="18"/>
      <c r="I1702" s="27" t="str">
        <f>IFERROR(VLOOKUP(Tabulka2[[#This Row],[Pracovník]],DATA!A:L,11,0),"")</f>
        <v>DSC 2</v>
      </c>
      <c r="J1702" s="16"/>
      <c r="K1702" s="19"/>
    </row>
    <row r="1703" spans="1:11" x14ac:dyDescent="0.25">
      <c r="A17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03" s="22">
        <v>45936</v>
      </c>
      <c r="C1703" s="16" t="s">
        <v>28</v>
      </c>
      <c r="D1703" s="16" t="s">
        <v>644</v>
      </c>
      <c r="E1703" s="17">
        <f>IFERROR(VLOOKUP(Tabulka2[[#This Row],[Pracovník]],DATA!A:L,5,0),"")</f>
        <v>123</v>
      </c>
      <c r="F1703" s="12" t="s">
        <v>654</v>
      </c>
      <c r="G1703" s="16"/>
      <c r="H1703" s="18"/>
      <c r="I1703" s="27" t="str">
        <f>IFERROR(VLOOKUP(Tabulka2[[#This Row],[Pracovník]],DATA!A:L,11,0),"")</f>
        <v>DSC 1</v>
      </c>
      <c r="J1703" s="16"/>
      <c r="K1703" s="19"/>
    </row>
    <row r="1704" spans="1:11" x14ac:dyDescent="0.25">
      <c r="A17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04" s="22">
        <v>45936</v>
      </c>
      <c r="C1704" s="16" t="s">
        <v>28</v>
      </c>
      <c r="D1704" s="16" t="s">
        <v>797</v>
      </c>
      <c r="E1704" s="17">
        <f>IFERROR(VLOOKUP(Tabulka2[[#This Row],[Pracovník]],DATA!A:L,5,0),"")</f>
        <v>5525</v>
      </c>
      <c r="F1704" s="12" t="s">
        <v>654</v>
      </c>
      <c r="G1704" s="16"/>
      <c r="H1704" s="18"/>
      <c r="I1704" s="27" t="str">
        <f>IFERROR(VLOOKUP(Tabulka2[[#This Row],[Pracovník]],DATA!A:L,11,0),"")</f>
        <v>Vlastní auto</v>
      </c>
      <c r="J1704" s="16"/>
      <c r="K1704" s="19"/>
    </row>
    <row r="1705" spans="1:11" x14ac:dyDescent="0.25">
      <c r="A17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05" s="22">
        <v>45936</v>
      </c>
      <c r="C1705" s="16" t="s">
        <v>28</v>
      </c>
      <c r="D1705" s="16" t="s">
        <v>798</v>
      </c>
      <c r="E1705" s="17">
        <f>IFERROR(VLOOKUP(Tabulka2[[#This Row],[Pracovník]],DATA!A:L,5,0),"")</f>
        <v>126</v>
      </c>
      <c r="F1705" s="12" t="s">
        <v>655</v>
      </c>
      <c r="G1705" s="16"/>
      <c r="H1705" s="18"/>
      <c r="I1705" s="27" t="str">
        <f>IFERROR(VLOOKUP(Tabulka2[[#This Row],[Pracovník]],DATA!A:L,11,0),"")</f>
        <v>Vlastní auto</v>
      </c>
      <c r="J1705" s="16"/>
      <c r="K1705" s="19"/>
    </row>
    <row r="1706" spans="1:11" x14ac:dyDescent="0.25">
      <c r="A17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06" s="22">
        <v>45936</v>
      </c>
      <c r="C1706" s="16" t="s">
        <v>28</v>
      </c>
      <c r="D1706" s="16" t="s">
        <v>799</v>
      </c>
      <c r="E1706" s="17">
        <f>IFERROR(VLOOKUP(Tabulka2[[#This Row],[Pracovník]],DATA!A:L,5,0),"")</f>
        <v>127</v>
      </c>
      <c r="F1706" s="12" t="s">
        <v>655</v>
      </c>
      <c r="G1706" s="16"/>
      <c r="H1706" s="18"/>
      <c r="I1706" s="27" t="str">
        <f>IFERROR(VLOOKUP(Tabulka2[[#This Row],[Pracovník]],DATA!A:L,11,0),"")</f>
        <v>DSC 2</v>
      </c>
      <c r="J1706" s="16"/>
      <c r="K1706" s="19"/>
    </row>
    <row r="1707" spans="1:11" x14ac:dyDescent="0.25">
      <c r="A17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07" s="22">
        <v>45936</v>
      </c>
      <c r="C1707" s="16" t="s">
        <v>28</v>
      </c>
      <c r="D1707" s="16" t="s">
        <v>800</v>
      </c>
      <c r="E1707" s="17">
        <f>IFERROR(VLOOKUP(Tabulka2[[#This Row],[Pracovník]],DATA!A:L,5,0),"")</f>
        <v>4847</v>
      </c>
      <c r="F1707" s="12" t="s">
        <v>655</v>
      </c>
      <c r="G1707" s="16"/>
      <c r="H1707" s="18"/>
      <c r="I1707" s="27" t="str">
        <f>IFERROR(VLOOKUP(Tabulka2[[#This Row],[Pracovník]],DATA!A:L,11,0),"")</f>
        <v>Vlastní auto</v>
      </c>
      <c r="J1707" s="16"/>
      <c r="K1707" s="19"/>
    </row>
    <row r="1708" spans="1:11" x14ac:dyDescent="0.25">
      <c r="A17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08" s="22">
        <v>45936</v>
      </c>
      <c r="C1708" s="16" t="s">
        <v>28</v>
      </c>
      <c r="D1708" s="16" t="s">
        <v>801</v>
      </c>
      <c r="E1708" s="17">
        <f>IFERROR(VLOOKUP(Tabulka2[[#This Row],[Pracovník]],DATA!A:L,5,0),"")</f>
        <v>750</v>
      </c>
      <c r="F1708" s="12" t="s">
        <v>655</v>
      </c>
      <c r="G1708" s="16"/>
      <c r="H1708" s="18"/>
      <c r="I1708" s="27" t="str">
        <f>IFERROR(VLOOKUP(Tabulka2[[#This Row],[Pracovník]],DATA!A:L,11,0),"")</f>
        <v>Vlastní auto</v>
      </c>
      <c r="J1708" s="16"/>
      <c r="K1708" s="19"/>
    </row>
    <row r="1709" spans="1:11" x14ac:dyDescent="0.25">
      <c r="A17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09" s="22">
        <v>45936</v>
      </c>
      <c r="C1709" s="16" t="s">
        <v>28</v>
      </c>
      <c r="D1709" s="16" t="s">
        <v>802</v>
      </c>
      <c r="E1709" s="17">
        <f>IFERROR(VLOOKUP(Tabulka2[[#This Row],[Pracovník]],DATA!A:L,5,0),"")</f>
        <v>4663</v>
      </c>
      <c r="F1709" s="12" t="s">
        <v>654</v>
      </c>
      <c r="G1709" s="16"/>
      <c r="H1709" s="18"/>
      <c r="I1709" s="27" t="str">
        <f>IFERROR(VLOOKUP(Tabulka2[[#This Row],[Pracovník]],DATA!A:L,11,0),"")</f>
        <v>DSC 2</v>
      </c>
      <c r="J1709" s="16"/>
      <c r="K1709" s="19"/>
    </row>
    <row r="1710" spans="1:11" x14ac:dyDescent="0.25">
      <c r="A17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10" s="22">
        <v>45936</v>
      </c>
      <c r="C1710" s="16" t="s">
        <v>28</v>
      </c>
      <c r="D1710" s="16" t="s">
        <v>803</v>
      </c>
      <c r="E1710" s="17">
        <f>IFERROR(VLOOKUP(Tabulka2[[#This Row],[Pracovník]],DATA!A:L,5,0),"")</f>
        <v>131</v>
      </c>
      <c r="F1710" s="12" t="s">
        <v>655</v>
      </c>
      <c r="G1710" s="16"/>
      <c r="H1710" s="18"/>
      <c r="I1710" s="27" t="str">
        <f>IFERROR(VLOOKUP(Tabulka2[[#This Row],[Pracovník]],DATA!A:L,11,0),"")</f>
        <v>DSC 2</v>
      </c>
      <c r="J1710" s="16"/>
      <c r="K1710" s="19"/>
    </row>
    <row r="1711" spans="1:11" x14ac:dyDescent="0.25">
      <c r="A17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11" s="22">
        <v>45936</v>
      </c>
      <c r="C1711" s="16" t="s">
        <v>28</v>
      </c>
      <c r="D1711" s="16" t="s">
        <v>643</v>
      </c>
      <c r="E1711" s="17">
        <f>IFERROR(VLOOKUP(Tabulka2[[#This Row],[Pracovník]],DATA!A:L,5,0),"")</f>
        <v>5620</v>
      </c>
      <c r="F1711" s="12" t="s">
        <v>654</v>
      </c>
      <c r="G1711" s="16"/>
      <c r="H1711" s="18"/>
      <c r="I1711" s="27" t="str">
        <f>IFERROR(VLOOKUP(Tabulka2[[#This Row],[Pracovník]],DATA!A:L,11,0),"")</f>
        <v>Vlastní auto</v>
      </c>
      <c r="J1711" s="16"/>
      <c r="K1711" s="19"/>
    </row>
    <row r="1712" spans="1:11" x14ac:dyDescent="0.25">
      <c r="A17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12" s="22">
        <v>45936</v>
      </c>
      <c r="C1712" s="16" t="s">
        <v>28</v>
      </c>
      <c r="D1712" s="16" t="s">
        <v>804</v>
      </c>
      <c r="E1712" s="17">
        <f>IFERROR(VLOOKUP(Tabulka2[[#This Row],[Pracovník]],DATA!A:L,5,0),"")</f>
        <v>4868</v>
      </c>
      <c r="F1712" s="12" t="s">
        <v>655</v>
      </c>
      <c r="G1712" s="16"/>
      <c r="H1712" s="18"/>
      <c r="I1712" s="27" t="str">
        <f>IFERROR(VLOOKUP(Tabulka2[[#This Row],[Pracovník]],DATA!A:L,11,0),"")</f>
        <v>Vlastní auto</v>
      </c>
      <c r="J1712" s="16"/>
      <c r="K1712" s="19"/>
    </row>
    <row r="1713" spans="1:11" x14ac:dyDescent="0.25">
      <c r="A17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13" s="22">
        <v>45936</v>
      </c>
      <c r="C1713" s="16" t="s">
        <v>28</v>
      </c>
      <c r="D1713" s="16" t="s">
        <v>805</v>
      </c>
      <c r="E1713" s="17">
        <f>IFERROR(VLOOKUP(Tabulka2[[#This Row],[Pracovník]],DATA!A:L,5,0),"")</f>
        <v>5026</v>
      </c>
      <c r="F1713" s="12" t="s">
        <v>655</v>
      </c>
      <c r="G1713" s="16"/>
      <c r="H1713" s="18"/>
      <c r="I1713" s="27" t="str">
        <f>IFERROR(VLOOKUP(Tabulka2[[#This Row],[Pracovník]],DATA!A:L,11,0),"")</f>
        <v>Vlastní auto</v>
      </c>
      <c r="J1713" s="16"/>
      <c r="K1713" s="19"/>
    </row>
    <row r="1714" spans="1:11" x14ac:dyDescent="0.25">
      <c r="A17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14" s="22">
        <v>45936</v>
      </c>
      <c r="C1714" s="16" t="s">
        <v>28</v>
      </c>
      <c r="D1714" s="16" t="s">
        <v>806</v>
      </c>
      <c r="E1714" s="17">
        <f>IFERROR(VLOOKUP(Tabulka2[[#This Row],[Pracovník]],DATA!A:L,5,0),"")</f>
        <v>6424</v>
      </c>
      <c r="F1714" s="12" t="s">
        <v>640</v>
      </c>
      <c r="G1714" s="16"/>
      <c r="H1714" s="18"/>
      <c r="I1714" s="27" t="str">
        <f>IFERROR(VLOOKUP(Tabulka2[[#This Row],[Pracovník]],DATA!A:L,11,0),"")</f>
        <v>DSC 1</v>
      </c>
      <c r="J1714" s="16"/>
      <c r="K1714" s="19"/>
    </row>
    <row r="1715" spans="1:11" x14ac:dyDescent="0.25">
      <c r="A17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15" s="22">
        <v>45936</v>
      </c>
      <c r="C1715" s="16" t="s">
        <v>28</v>
      </c>
      <c r="D1715" s="16" t="s">
        <v>807</v>
      </c>
      <c r="E1715" s="17">
        <f>IFERROR(VLOOKUP(Tabulka2[[#This Row],[Pracovník]],DATA!A:L,5,0),"")</f>
        <v>5004</v>
      </c>
      <c r="F1715" s="12" t="s">
        <v>655</v>
      </c>
      <c r="G1715" s="16"/>
      <c r="H1715" s="18"/>
      <c r="I1715" s="27" t="str">
        <f>IFERROR(VLOOKUP(Tabulka2[[#This Row],[Pracovník]],DATA!A:L,11,0),"")</f>
        <v>Vlastní auto</v>
      </c>
      <c r="J1715" s="16"/>
      <c r="K1715" s="19"/>
    </row>
    <row r="1716" spans="1:11" x14ac:dyDescent="0.25">
      <c r="A17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16" s="22">
        <v>45936</v>
      </c>
      <c r="C1716" s="16" t="s">
        <v>28</v>
      </c>
      <c r="D1716" s="16" t="s">
        <v>808</v>
      </c>
      <c r="E1716" s="17">
        <f>IFERROR(VLOOKUP(Tabulka2[[#This Row],[Pracovník]],DATA!A:L,5,0),"")</f>
        <v>136</v>
      </c>
      <c r="F1716" s="12" t="s">
        <v>655</v>
      </c>
      <c r="G1716" s="16"/>
      <c r="H1716" s="18"/>
      <c r="I1716" s="27" t="str">
        <f>IFERROR(VLOOKUP(Tabulka2[[#This Row],[Pracovník]],DATA!A:L,11,0),"")</f>
        <v>DSC 2</v>
      </c>
      <c r="J1716" s="16"/>
      <c r="K1716" s="19"/>
    </row>
    <row r="1717" spans="1:11" x14ac:dyDescent="0.25">
      <c r="A17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17" s="22">
        <v>45936</v>
      </c>
      <c r="C1717" s="16" t="s">
        <v>28</v>
      </c>
      <c r="D1717" s="16" t="s">
        <v>809</v>
      </c>
      <c r="E1717" s="17">
        <f>IFERROR(VLOOKUP(Tabulka2[[#This Row],[Pracovník]],DATA!A:L,5,0),"")</f>
        <v>19</v>
      </c>
      <c r="F1717" s="12" t="s">
        <v>655</v>
      </c>
      <c r="G1717" s="16"/>
      <c r="H1717" s="18"/>
      <c r="I1717" s="27" t="str">
        <f>IFERROR(VLOOKUP(Tabulka2[[#This Row],[Pracovník]],DATA!A:L,11,0),"")</f>
        <v>Vlastní auto</v>
      </c>
      <c r="J1717" s="16"/>
      <c r="K1717" s="19"/>
    </row>
    <row r="1718" spans="1:11" x14ac:dyDescent="0.25">
      <c r="A17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18" s="22">
        <v>45936</v>
      </c>
      <c r="C1718" s="16" t="s">
        <v>28</v>
      </c>
      <c r="D1718" s="16" t="s">
        <v>810</v>
      </c>
      <c r="E1718" s="17">
        <f>IFERROR(VLOOKUP(Tabulka2[[#This Row],[Pracovník]],DATA!A:L,5,0),"")</f>
        <v>4791</v>
      </c>
      <c r="F1718" s="12" t="s">
        <v>655</v>
      </c>
      <c r="G1718" s="16"/>
      <c r="H1718" s="18"/>
      <c r="I1718" s="27" t="str">
        <f>IFERROR(VLOOKUP(Tabulka2[[#This Row],[Pracovník]],DATA!A:L,11,0),"")</f>
        <v>Vlastní auto</v>
      </c>
      <c r="J1718" s="16"/>
      <c r="K1718" s="19"/>
    </row>
    <row r="1719" spans="1:11" x14ac:dyDescent="0.25">
      <c r="A17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19" s="22">
        <v>45936</v>
      </c>
      <c r="C1719" s="16" t="s">
        <v>28</v>
      </c>
      <c r="D1719" s="16" t="s">
        <v>811</v>
      </c>
      <c r="E1719" s="17">
        <f>IFERROR(VLOOKUP(Tabulka2[[#This Row],[Pracovník]],DATA!A:L,5,0),"")</f>
        <v>5121</v>
      </c>
      <c r="F1719" s="12" t="s">
        <v>654</v>
      </c>
      <c r="G1719" s="16"/>
      <c r="H1719" s="18"/>
      <c r="I1719" s="27" t="str">
        <f>IFERROR(VLOOKUP(Tabulka2[[#This Row],[Pracovník]],DATA!A:L,11,0),"")</f>
        <v>DSC 2</v>
      </c>
      <c r="J1719" s="16"/>
      <c r="K1719" s="19"/>
    </row>
    <row r="1720" spans="1:11" x14ac:dyDescent="0.25">
      <c r="A17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20" s="22">
        <v>45936</v>
      </c>
      <c r="C1720" s="16" t="s">
        <v>28</v>
      </c>
      <c r="D1720" s="16" t="s">
        <v>825</v>
      </c>
      <c r="E1720" s="17">
        <f>IFERROR(VLOOKUP(Tabulka2[[#This Row],[Pracovník]],DATA!A:L,5,0),"")</f>
        <v>6193</v>
      </c>
      <c r="F1720" s="12" t="s">
        <v>654</v>
      </c>
      <c r="G1720" s="16"/>
      <c r="H1720" s="18"/>
      <c r="I1720" s="27" t="str">
        <f>IFERROR(VLOOKUP(Tabulka2[[#This Row],[Pracovník]],DATA!A:L,11,0),"")</f>
        <v>DSC 2</v>
      </c>
      <c r="J1720" s="16"/>
      <c r="K1720" s="19"/>
    </row>
    <row r="1721" spans="1:11" x14ac:dyDescent="0.25">
      <c r="A17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21" s="22">
        <v>45936</v>
      </c>
      <c r="C1721" s="16" t="s">
        <v>28</v>
      </c>
      <c r="D1721" s="16" t="s">
        <v>812</v>
      </c>
      <c r="E1721" s="17">
        <f>IFERROR(VLOOKUP(Tabulka2[[#This Row],[Pracovník]],DATA!A:L,5,0),"")</f>
        <v>146</v>
      </c>
      <c r="F1721" s="12" t="s">
        <v>655</v>
      </c>
      <c r="G1721" s="16"/>
      <c r="H1721" s="18"/>
      <c r="I1721" s="27" t="str">
        <f>IFERROR(VLOOKUP(Tabulka2[[#This Row],[Pracovník]],DATA!A:L,11,0),"")</f>
        <v>DSC 2</v>
      </c>
      <c r="J1721" s="16"/>
      <c r="K1721" s="19"/>
    </row>
    <row r="1722" spans="1:11" x14ac:dyDescent="0.25">
      <c r="A17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22" s="22">
        <v>45936</v>
      </c>
      <c r="C1722" s="16" t="s">
        <v>28</v>
      </c>
      <c r="D1722" s="16" t="s">
        <v>814</v>
      </c>
      <c r="E1722" s="17">
        <f>IFERROR(VLOOKUP(Tabulka2[[#This Row],[Pracovník]],DATA!A:L,5,0),"")</f>
        <v>4745</v>
      </c>
      <c r="F1722" s="12" t="s">
        <v>655</v>
      </c>
      <c r="G1722" s="16"/>
      <c r="H1722" s="18"/>
      <c r="I1722" s="27" t="str">
        <f>IFERROR(VLOOKUP(Tabulka2[[#This Row],[Pracovník]],DATA!A:L,11,0),"")</f>
        <v>Vlastní auto</v>
      </c>
      <c r="J1722" s="16"/>
      <c r="K1722" s="19"/>
    </row>
    <row r="1723" spans="1:11" x14ac:dyDescent="0.25">
      <c r="A17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23" s="22">
        <v>45936</v>
      </c>
      <c r="C1723" s="16" t="s">
        <v>28</v>
      </c>
      <c r="D1723" s="16" t="s">
        <v>816</v>
      </c>
      <c r="E1723" s="17">
        <f>IFERROR(VLOOKUP(Tabulka2[[#This Row],[Pracovník]],DATA!A:L,5,0),"")</f>
        <v>5209</v>
      </c>
      <c r="F1723" s="12" t="s">
        <v>653</v>
      </c>
      <c r="G1723" s="16" t="s">
        <v>656</v>
      </c>
      <c r="H1723" s="18"/>
      <c r="I1723" s="27" t="str">
        <f>IFERROR(VLOOKUP(Tabulka2[[#This Row],[Pracovník]],DATA!A:L,11,0),"")</f>
        <v>Vlastní auto</v>
      </c>
      <c r="J1723" s="16"/>
      <c r="K1723" s="19"/>
    </row>
    <row r="1724" spans="1:11" x14ac:dyDescent="0.25">
      <c r="A17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24" s="22">
        <v>45936</v>
      </c>
      <c r="C1724" s="16" t="s">
        <v>28</v>
      </c>
      <c r="D1724" s="16" t="s">
        <v>815</v>
      </c>
      <c r="E1724" s="17">
        <f>IFERROR(VLOOKUP(Tabulka2[[#This Row],[Pracovník]],DATA!A:L,5,0),"")</f>
        <v>4790</v>
      </c>
      <c r="F1724" s="12" t="s">
        <v>655</v>
      </c>
      <c r="G1724" s="16"/>
      <c r="H1724" s="18"/>
      <c r="I1724" s="27" t="str">
        <f>IFERROR(VLOOKUP(Tabulka2[[#This Row],[Pracovník]],DATA!A:L,11,0),"")</f>
        <v>DSC 2</v>
      </c>
      <c r="J1724" s="16"/>
      <c r="K1724" s="19"/>
    </row>
    <row r="1725" spans="1:11" x14ac:dyDescent="0.25">
      <c r="A17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25" s="22">
        <v>45936</v>
      </c>
      <c r="C1725" s="16" t="s">
        <v>28</v>
      </c>
      <c r="D1725" s="16" t="s">
        <v>817</v>
      </c>
      <c r="E1725" s="17">
        <f>IFERROR(VLOOKUP(Tabulka2[[#This Row],[Pracovník]],DATA!A:L,5,0),"")</f>
        <v>4727</v>
      </c>
      <c r="F1725" s="12" t="s">
        <v>640</v>
      </c>
      <c r="G1725" s="16"/>
      <c r="H1725" s="18"/>
      <c r="I1725" s="27" t="str">
        <f>IFERROR(VLOOKUP(Tabulka2[[#This Row],[Pracovník]],DATA!A:L,11,0),"")</f>
        <v>DSC 1</v>
      </c>
      <c r="J1725" s="16"/>
      <c r="K1725" s="19"/>
    </row>
    <row r="1726" spans="1:11" x14ac:dyDescent="0.25">
      <c r="A17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26" s="22">
        <v>45936</v>
      </c>
      <c r="C1726" s="16" t="s">
        <v>28</v>
      </c>
      <c r="D1726" s="16" t="s">
        <v>818</v>
      </c>
      <c r="E1726" s="17">
        <f>IFERROR(VLOOKUP(Tabulka2[[#This Row],[Pracovník]],DATA!A:L,5,0),"")</f>
        <v>6488</v>
      </c>
      <c r="F1726" s="12" t="s">
        <v>654</v>
      </c>
      <c r="G1726" s="16"/>
      <c r="H1726" s="18"/>
      <c r="I1726" s="27" t="str">
        <f>IFERROR(VLOOKUP(Tabulka2[[#This Row],[Pracovník]],DATA!A:L,11,0),"")</f>
        <v>DSC 2</v>
      </c>
      <c r="J1726" s="16"/>
      <c r="K1726" s="19"/>
    </row>
    <row r="1727" spans="1:11" x14ac:dyDescent="0.25">
      <c r="A17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27" s="22">
        <v>45936</v>
      </c>
      <c r="C1727" s="16" t="s">
        <v>28</v>
      </c>
      <c r="D1727" s="16" t="s">
        <v>820</v>
      </c>
      <c r="E1727" s="17">
        <f>IFERROR(VLOOKUP(Tabulka2[[#This Row],[Pracovník]],DATA!A:L,5,0),"")</f>
        <v>5604</v>
      </c>
      <c r="F1727" s="12" t="s">
        <v>654</v>
      </c>
      <c r="G1727" s="16"/>
      <c r="H1727" s="18"/>
      <c r="I1727" s="27" t="str">
        <f>IFERROR(VLOOKUP(Tabulka2[[#This Row],[Pracovník]],DATA!A:L,11,0),"")</f>
        <v>Vlastní auto</v>
      </c>
      <c r="J1727" s="16"/>
      <c r="K1727" s="19"/>
    </row>
    <row r="1728" spans="1:11" x14ac:dyDescent="0.25">
      <c r="A17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28" s="22">
        <v>45936</v>
      </c>
      <c r="C1728" s="16" t="s">
        <v>28</v>
      </c>
      <c r="D1728" s="16" t="s">
        <v>821</v>
      </c>
      <c r="E1728" s="17">
        <f>IFERROR(VLOOKUP(Tabulka2[[#This Row],[Pracovník]],DATA!A:L,5,0),"")</f>
        <v>5632</v>
      </c>
      <c r="F1728" s="12" t="s">
        <v>654</v>
      </c>
      <c r="G1728" s="16"/>
      <c r="H1728" s="18"/>
      <c r="I1728" s="27" t="str">
        <f>IFERROR(VLOOKUP(Tabulka2[[#This Row],[Pracovník]],DATA!A:L,11,0),"")</f>
        <v>DSC 1</v>
      </c>
      <c r="J1728" s="16"/>
      <c r="K1728" s="19"/>
    </row>
    <row r="1729" spans="1:11" x14ac:dyDescent="0.25">
      <c r="A17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29" s="22">
        <v>45936</v>
      </c>
      <c r="C1729" s="16" t="s">
        <v>28</v>
      </c>
      <c r="D1729" s="16" t="s">
        <v>822</v>
      </c>
      <c r="E1729" s="17">
        <f>IFERROR(VLOOKUP(Tabulka2[[#This Row],[Pracovník]],DATA!A:L,5,0),"")</f>
        <v>5980</v>
      </c>
      <c r="F1729" s="12" t="s">
        <v>655</v>
      </c>
      <c r="G1729" s="16"/>
      <c r="H1729" s="18"/>
      <c r="I1729" s="27" t="str">
        <f>IFERROR(VLOOKUP(Tabulka2[[#This Row],[Pracovník]],DATA!A:L,11,0),"")</f>
        <v>DSC 2</v>
      </c>
      <c r="J1729" s="16"/>
      <c r="K1729" s="19"/>
    </row>
    <row r="1730" spans="1:11" x14ac:dyDescent="0.25">
      <c r="A17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30" s="22">
        <v>45936</v>
      </c>
      <c r="C1730" s="16" t="s">
        <v>28</v>
      </c>
      <c r="D1730" s="16" t="s">
        <v>823</v>
      </c>
      <c r="E1730" s="17">
        <f>IFERROR(VLOOKUP(Tabulka2[[#This Row],[Pracovník]],DATA!A:L,5,0),"")</f>
        <v>5481</v>
      </c>
      <c r="F1730" s="12" t="s">
        <v>655</v>
      </c>
      <c r="G1730" s="16"/>
      <c r="H1730" s="18"/>
      <c r="I1730" s="27" t="str">
        <f>IFERROR(VLOOKUP(Tabulka2[[#This Row],[Pracovník]],DATA!A:L,11,0),"")</f>
        <v>DSC 2</v>
      </c>
      <c r="J1730" s="16"/>
      <c r="K1730" s="19"/>
    </row>
    <row r="1731" spans="1:11" x14ac:dyDescent="0.25">
      <c r="A17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31" s="22">
        <v>45936</v>
      </c>
      <c r="C1731" s="16" t="s">
        <v>28</v>
      </c>
      <c r="D1731" s="16" t="s">
        <v>824</v>
      </c>
      <c r="E1731" s="17">
        <f>IFERROR(VLOOKUP(Tabulka2[[#This Row],[Pracovník]],DATA!A:L,5,0),"")</f>
        <v>150</v>
      </c>
      <c r="F1731" s="12" t="s">
        <v>653</v>
      </c>
      <c r="G1731" s="16" t="s">
        <v>657</v>
      </c>
      <c r="H1731" s="18"/>
      <c r="I1731" s="27" t="str">
        <f>IFERROR(VLOOKUP(Tabulka2[[#This Row],[Pracovník]],DATA!A:L,11,0),"")</f>
        <v>DSC 1</v>
      </c>
      <c r="J1731" s="16"/>
      <c r="K1731" s="19"/>
    </row>
    <row r="1732" spans="1:11" x14ac:dyDescent="0.25">
      <c r="A17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32" s="22">
        <v>45936</v>
      </c>
      <c r="C1732" s="16" t="s">
        <v>28</v>
      </c>
      <c r="D1732" s="16" t="s">
        <v>826</v>
      </c>
      <c r="E1732" s="17">
        <f>IFERROR(VLOOKUP(Tabulka2[[#This Row],[Pracovník]],DATA!A:L,5,0),"")</f>
        <v>5120</v>
      </c>
      <c r="F1732" s="12" t="s">
        <v>654</v>
      </c>
      <c r="G1732" s="16"/>
      <c r="H1732" s="18"/>
      <c r="I1732" s="27" t="str">
        <f>IFERROR(VLOOKUP(Tabulka2[[#This Row],[Pracovník]],DATA!A:L,11,0),"")</f>
        <v>Vlastní auto</v>
      </c>
      <c r="J1732" s="16"/>
      <c r="K1732" s="19"/>
    </row>
    <row r="1733" spans="1:11" x14ac:dyDescent="0.25">
      <c r="A17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33" s="22">
        <v>45936</v>
      </c>
      <c r="C1733" s="16" t="s">
        <v>28</v>
      </c>
      <c r="D1733" s="16" t="s">
        <v>827</v>
      </c>
      <c r="E1733" s="17">
        <f>IFERROR(VLOOKUP(Tabulka2[[#This Row],[Pracovník]],DATA!A:L,5,0),"")</f>
        <v>4713</v>
      </c>
      <c r="F1733" s="12" t="s">
        <v>655</v>
      </c>
      <c r="G1733" s="16"/>
      <c r="H1733" s="18"/>
      <c r="I1733" s="27" t="str">
        <f>IFERROR(VLOOKUP(Tabulka2[[#This Row],[Pracovník]],DATA!A:L,11,0),"")</f>
        <v>DSC 1</v>
      </c>
      <c r="J1733" s="16"/>
      <c r="K1733" s="19"/>
    </row>
    <row r="1734" spans="1:11" x14ac:dyDescent="0.25">
      <c r="A17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34" s="22">
        <v>45936</v>
      </c>
      <c r="C1734" s="16" t="s">
        <v>28</v>
      </c>
      <c r="D1734" s="16" t="s">
        <v>828</v>
      </c>
      <c r="E1734" s="17">
        <f>IFERROR(VLOOKUP(Tabulka2[[#This Row],[Pracovník]],DATA!A:L,5,0),"")</f>
        <v>6318</v>
      </c>
      <c r="F1734" s="12" t="s">
        <v>654</v>
      </c>
      <c r="G1734" s="16"/>
      <c r="H1734" s="18"/>
      <c r="I1734" s="27" t="str">
        <f>IFERROR(VLOOKUP(Tabulka2[[#This Row],[Pracovník]],DATA!A:L,11,0),"")</f>
        <v>DSC 1</v>
      </c>
      <c r="J1734" s="16"/>
      <c r="K1734" s="19"/>
    </row>
    <row r="1735" spans="1:11" x14ac:dyDescent="0.25">
      <c r="A17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35" s="22">
        <v>45936</v>
      </c>
      <c r="C1735" s="16" t="s">
        <v>28</v>
      </c>
      <c r="D1735" s="16" t="s">
        <v>829</v>
      </c>
      <c r="E1735" s="17">
        <f>IFERROR(VLOOKUP(Tabulka2[[#This Row],[Pracovník]],DATA!A:L,5,0),"")</f>
        <v>5712</v>
      </c>
      <c r="F1735" s="12" t="s">
        <v>654</v>
      </c>
      <c r="G1735" s="16"/>
      <c r="H1735" s="18"/>
      <c r="I1735" s="27" t="str">
        <f>IFERROR(VLOOKUP(Tabulka2[[#This Row],[Pracovník]],DATA!A:L,11,0),"")</f>
        <v>Vlastní auto</v>
      </c>
      <c r="J1735" s="16"/>
      <c r="K1735" s="19"/>
    </row>
    <row r="1736" spans="1:11" x14ac:dyDescent="0.25">
      <c r="A17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36" s="22">
        <v>45936</v>
      </c>
      <c r="C1736" s="16" t="s">
        <v>28</v>
      </c>
      <c r="D1736" s="16" t="s">
        <v>830</v>
      </c>
      <c r="E1736" s="17">
        <f>IFERROR(VLOOKUP(Tabulka2[[#This Row],[Pracovník]],DATA!A:L,5,0),"")</f>
        <v>4744</v>
      </c>
      <c r="F1736" s="12" t="s">
        <v>640</v>
      </c>
      <c r="G1736" s="16"/>
      <c r="H1736" s="18"/>
      <c r="I1736" s="27" t="str">
        <f>IFERROR(VLOOKUP(Tabulka2[[#This Row],[Pracovník]],DATA!A:L,11,0),"")</f>
        <v>DSC 2</v>
      </c>
      <c r="J1736" s="16"/>
      <c r="K1736" s="19"/>
    </row>
    <row r="1737" spans="1:11" x14ac:dyDescent="0.25">
      <c r="A17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37" s="22">
        <v>45936</v>
      </c>
      <c r="C1737" s="16" t="s">
        <v>28</v>
      </c>
      <c r="D1737" s="16" t="s">
        <v>831</v>
      </c>
      <c r="E1737" s="17">
        <f>IFERROR(VLOOKUP(Tabulka2[[#This Row],[Pracovník]],DATA!A:L,5,0),"")</f>
        <v>155</v>
      </c>
      <c r="F1737" s="12" t="s">
        <v>640</v>
      </c>
      <c r="G1737" s="16"/>
      <c r="H1737" s="18"/>
      <c r="I1737" s="27" t="str">
        <f>IFERROR(VLOOKUP(Tabulka2[[#This Row],[Pracovník]],DATA!A:L,11,0),"")</f>
        <v>DSC 1</v>
      </c>
      <c r="J1737" s="16"/>
      <c r="K1737" s="19"/>
    </row>
    <row r="1738" spans="1:11" x14ac:dyDescent="0.25">
      <c r="A17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38" s="22">
        <v>45936</v>
      </c>
      <c r="C1738" s="16" t="s">
        <v>28</v>
      </c>
      <c r="D1738" s="16" t="s">
        <v>833</v>
      </c>
      <c r="E1738" s="17">
        <f>IFERROR(VLOOKUP(Tabulka2[[#This Row],[Pracovník]],DATA!A:L,5,0),"")</f>
        <v>6178</v>
      </c>
      <c r="F1738" s="12" t="s">
        <v>654</v>
      </c>
      <c r="G1738" s="16"/>
      <c r="H1738" s="18"/>
      <c r="I1738" s="27" t="str">
        <f>IFERROR(VLOOKUP(Tabulka2[[#This Row],[Pracovník]],DATA!A:L,11,0),"")</f>
        <v>DSC 2</v>
      </c>
      <c r="J1738" s="16"/>
      <c r="K1738" s="19"/>
    </row>
    <row r="1739" spans="1:11" x14ac:dyDescent="0.25">
      <c r="A17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39" s="22">
        <v>45936</v>
      </c>
      <c r="C1739" s="16" t="s">
        <v>28</v>
      </c>
      <c r="D1739" s="16" t="s">
        <v>834</v>
      </c>
      <c r="E1739" s="17">
        <f>IFERROR(VLOOKUP(Tabulka2[[#This Row],[Pracovník]],DATA!A:L,5,0),"")</f>
        <v>6345</v>
      </c>
      <c r="F1739" s="12" t="s">
        <v>654</v>
      </c>
      <c r="G1739" s="16"/>
      <c r="H1739" s="18"/>
      <c r="I1739" s="27" t="str">
        <f>IFERROR(VLOOKUP(Tabulka2[[#This Row],[Pracovník]],DATA!A:L,11,0),"")</f>
        <v>DSC 1</v>
      </c>
      <c r="J1739" s="16"/>
      <c r="K1739" s="19"/>
    </row>
    <row r="1740" spans="1:11" x14ac:dyDescent="0.25">
      <c r="A17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40" s="22">
        <v>45936</v>
      </c>
      <c r="C1740" s="16" t="s">
        <v>28</v>
      </c>
      <c r="D1740" s="16" t="s">
        <v>835</v>
      </c>
      <c r="E1740" s="17">
        <f>IFERROR(VLOOKUP(Tabulka2[[#This Row],[Pracovník]],DATA!A:L,5,0),"")</f>
        <v>5601</v>
      </c>
      <c r="F1740" s="12" t="s">
        <v>640</v>
      </c>
      <c r="G1740" s="16"/>
      <c r="H1740" s="18"/>
      <c r="I1740" s="27" t="str">
        <f>IFERROR(VLOOKUP(Tabulka2[[#This Row],[Pracovník]],DATA!A:L,11,0),"")</f>
        <v>DSC 2</v>
      </c>
      <c r="J1740" s="16"/>
      <c r="K1740" s="19"/>
    </row>
    <row r="1741" spans="1:11" x14ac:dyDescent="0.25">
      <c r="A17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41" s="22">
        <v>45936</v>
      </c>
      <c r="C1741" s="16" t="s">
        <v>28</v>
      </c>
      <c r="D1741" s="16" t="s">
        <v>836</v>
      </c>
      <c r="E1741" s="17">
        <f>IFERROR(VLOOKUP(Tabulka2[[#This Row],[Pracovník]],DATA!A:L,5,0),"")</f>
        <v>5152</v>
      </c>
      <c r="F1741" s="12" t="s">
        <v>654</v>
      </c>
      <c r="G1741" s="16"/>
      <c r="H1741" s="18"/>
      <c r="I1741" s="27" t="str">
        <f>IFERROR(VLOOKUP(Tabulka2[[#This Row],[Pracovník]],DATA!A:L,11,0),"")</f>
        <v>Vlastní auto</v>
      </c>
      <c r="J1741" s="16"/>
      <c r="K1741" s="19"/>
    </row>
    <row r="1742" spans="1:11" x14ac:dyDescent="0.25">
      <c r="A17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42" s="22">
        <v>45936</v>
      </c>
      <c r="C1742" s="16" t="s">
        <v>28</v>
      </c>
      <c r="D1742" s="16" t="s">
        <v>837</v>
      </c>
      <c r="E1742" s="17">
        <f>IFERROR(VLOOKUP(Tabulka2[[#This Row],[Pracovník]],DATA!A:L,5,0),"")</f>
        <v>176</v>
      </c>
      <c r="F1742" s="12" t="s">
        <v>640</v>
      </c>
      <c r="G1742" s="16"/>
      <c r="H1742" s="18"/>
      <c r="I1742" s="27" t="str">
        <f>IFERROR(VLOOKUP(Tabulka2[[#This Row],[Pracovník]],DATA!A:L,11,0),"")</f>
        <v>Vlastní auto</v>
      </c>
      <c r="J1742" s="16"/>
      <c r="K1742" s="19"/>
    </row>
    <row r="1743" spans="1:11" x14ac:dyDescent="0.25">
      <c r="A17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43" s="22">
        <v>45936</v>
      </c>
      <c r="C1743" s="16" t="s">
        <v>28</v>
      </c>
      <c r="D1743" s="16" t="s">
        <v>839</v>
      </c>
      <c r="E1743" s="17">
        <f>IFERROR(VLOOKUP(Tabulka2[[#This Row],[Pracovník]],DATA!A:L,5,0),"")</f>
        <v>177</v>
      </c>
      <c r="F1743" s="12" t="s">
        <v>655</v>
      </c>
      <c r="G1743" s="16"/>
      <c r="H1743" s="18"/>
      <c r="I1743" s="27" t="str">
        <f>IFERROR(VLOOKUP(Tabulka2[[#This Row],[Pracovník]],DATA!A:L,11,0),"")</f>
        <v>DSC 2</v>
      </c>
      <c r="J1743" s="16"/>
      <c r="K1743" s="19"/>
    </row>
    <row r="1744" spans="1:11" x14ac:dyDescent="0.25">
      <c r="A17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44" s="22">
        <v>45936</v>
      </c>
      <c r="C1744" s="16" t="s">
        <v>28</v>
      </c>
      <c r="D1744" s="16" t="s">
        <v>840</v>
      </c>
      <c r="E1744" s="17">
        <f>IFERROR(VLOOKUP(Tabulka2[[#This Row],[Pracovník]],DATA!A:L,5,0),"")</f>
        <v>5555</v>
      </c>
      <c r="F1744" s="12" t="s">
        <v>655</v>
      </c>
      <c r="G1744" s="16"/>
      <c r="H1744" s="18"/>
      <c r="I1744" s="27" t="str">
        <f>IFERROR(VLOOKUP(Tabulka2[[#This Row],[Pracovník]],DATA!A:L,11,0),"")</f>
        <v>Vlastní auto</v>
      </c>
      <c r="J1744" s="16"/>
      <c r="K1744" s="19"/>
    </row>
    <row r="1745" spans="1:11" x14ac:dyDescent="0.25">
      <c r="A17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45" s="22">
        <v>45936</v>
      </c>
      <c r="C1745" s="16" t="s">
        <v>28</v>
      </c>
      <c r="D1745" s="16" t="s">
        <v>841</v>
      </c>
      <c r="E1745" s="17">
        <f>IFERROR(VLOOKUP(Tabulka2[[#This Row],[Pracovník]],DATA!A:L,5,0),"")</f>
        <v>4959</v>
      </c>
      <c r="F1745" s="12" t="s">
        <v>655</v>
      </c>
      <c r="G1745" s="16"/>
      <c r="H1745" s="18"/>
      <c r="I1745" s="27" t="str">
        <f>IFERROR(VLOOKUP(Tabulka2[[#This Row],[Pracovník]],DATA!A:L,11,0),"")</f>
        <v>Vlastní auto</v>
      </c>
      <c r="J1745" s="16"/>
      <c r="K1745" s="19"/>
    </row>
    <row r="1746" spans="1:11" x14ac:dyDescent="0.25">
      <c r="A17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46" s="22">
        <v>45936</v>
      </c>
      <c r="C1746" s="16" t="s">
        <v>28</v>
      </c>
      <c r="D1746" s="16" t="s">
        <v>843</v>
      </c>
      <c r="E1746" s="17">
        <f>IFERROR(VLOOKUP(Tabulka2[[#This Row],[Pracovník]],DATA!A:L,5,0),"")</f>
        <v>4919</v>
      </c>
      <c r="F1746" s="12" t="s">
        <v>654</v>
      </c>
      <c r="G1746" s="16"/>
      <c r="H1746" s="18"/>
      <c r="I1746" s="27" t="str">
        <f>IFERROR(VLOOKUP(Tabulka2[[#This Row],[Pracovník]],DATA!A:L,11,0),"")</f>
        <v>Vlastní auto</v>
      </c>
      <c r="J1746" s="16"/>
      <c r="K1746" s="19"/>
    </row>
    <row r="1747" spans="1:11" x14ac:dyDescent="0.25">
      <c r="A17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47" s="22">
        <v>45936</v>
      </c>
      <c r="C1747" s="16" t="s">
        <v>28</v>
      </c>
      <c r="D1747" s="16" t="s">
        <v>842</v>
      </c>
      <c r="E1747" s="17">
        <f>IFERROR(VLOOKUP(Tabulka2[[#This Row],[Pracovník]],DATA!A:L,5,0),"")</f>
        <v>4724</v>
      </c>
      <c r="F1747" s="12" t="s">
        <v>654</v>
      </c>
      <c r="G1747" s="16"/>
      <c r="H1747" s="18"/>
      <c r="I1747" s="27" t="str">
        <f>IFERROR(VLOOKUP(Tabulka2[[#This Row],[Pracovník]],DATA!A:L,11,0),"")</f>
        <v>Vlastní auto</v>
      </c>
      <c r="J1747" s="16"/>
      <c r="K1747" s="19"/>
    </row>
    <row r="1748" spans="1:11" x14ac:dyDescent="0.25">
      <c r="A17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48" s="22">
        <v>45936</v>
      </c>
      <c r="C1748" s="16" t="s">
        <v>28</v>
      </c>
      <c r="D1748" s="16" t="s">
        <v>844</v>
      </c>
      <c r="E1748" s="17">
        <f>IFERROR(VLOOKUP(Tabulka2[[#This Row],[Pracovník]],DATA!A:L,5,0),"")</f>
        <v>183</v>
      </c>
      <c r="F1748" s="12" t="s">
        <v>640</v>
      </c>
      <c r="G1748" s="16"/>
      <c r="H1748" s="18"/>
      <c r="I1748" s="27" t="str">
        <f>IFERROR(VLOOKUP(Tabulka2[[#This Row],[Pracovník]],DATA!A:L,11,0),"")</f>
        <v>DSC 1</v>
      </c>
      <c r="J1748" s="16"/>
      <c r="K1748" s="19"/>
    </row>
    <row r="1749" spans="1:11" x14ac:dyDescent="0.25">
      <c r="A17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49" s="22">
        <v>45936</v>
      </c>
      <c r="C1749" s="16" t="s">
        <v>28</v>
      </c>
      <c r="D1749" s="16" t="s">
        <v>845</v>
      </c>
      <c r="E1749" s="17">
        <f>IFERROR(VLOOKUP(Tabulka2[[#This Row],[Pracovník]],DATA!A:L,5,0),"")</f>
        <v>5545</v>
      </c>
      <c r="F1749" s="12" t="s">
        <v>653</v>
      </c>
      <c r="G1749" s="16" t="s">
        <v>925</v>
      </c>
      <c r="H1749" s="18"/>
      <c r="I1749" s="27" t="str">
        <f>IFERROR(VLOOKUP(Tabulka2[[#This Row],[Pracovník]],DATA!A:L,11,0),"")</f>
        <v>Vlastní auto</v>
      </c>
      <c r="J1749" s="16"/>
      <c r="K1749" s="19" t="s">
        <v>1010</v>
      </c>
    </row>
    <row r="1750" spans="1:11" x14ac:dyDescent="0.25">
      <c r="A17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50" s="22">
        <v>45936</v>
      </c>
      <c r="C1750" s="16" t="s">
        <v>28</v>
      </c>
      <c r="D1750" s="16" t="s">
        <v>846</v>
      </c>
      <c r="E1750" s="17">
        <f>IFERROR(VLOOKUP(Tabulka2[[#This Row],[Pracovník]],DATA!A:L,5,0),"")</f>
        <v>5526</v>
      </c>
      <c r="F1750" s="12" t="s">
        <v>654</v>
      </c>
      <c r="G1750" s="16"/>
      <c r="H1750" s="18"/>
      <c r="I1750" s="27" t="str">
        <f>IFERROR(VLOOKUP(Tabulka2[[#This Row],[Pracovník]],DATA!A:L,11,0),"")</f>
        <v>Vlastní auto</v>
      </c>
      <c r="J1750" s="16"/>
      <c r="K1750" s="19"/>
    </row>
    <row r="1751" spans="1:11" x14ac:dyDescent="0.25">
      <c r="A17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51" s="22">
        <v>45936</v>
      </c>
      <c r="C1751" s="16" t="s">
        <v>28</v>
      </c>
      <c r="D1751" s="16" t="s">
        <v>847</v>
      </c>
      <c r="E1751" s="17">
        <f>IFERROR(VLOOKUP(Tabulka2[[#This Row],[Pracovník]],DATA!A:L,5,0),"")</f>
        <v>5192</v>
      </c>
      <c r="F1751" s="12" t="s">
        <v>654</v>
      </c>
      <c r="G1751" s="16"/>
      <c r="H1751" s="18"/>
      <c r="I1751" s="27" t="str">
        <f>IFERROR(VLOOKUP(Tabulka2[[#This Row],[Pracovník]],DATA!A:L,11,0),"")</f>
        <v>Vlastní auto</v>
      </c>
      <c r="J1751" s="16"/>
      <c r="K1751" s="19"/>
    </row>
    <row r="1752" spans="1:11" x14ac:dyDescent="0.25">
      <c r="A17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52" s="22">
        <v>45936</v>
      </c>
      <c r="C1752" s="16" t="s">
        <v>28</v>
      </c>
      <c r="D1752" s="16" t="s">
        <v>848</v>
      </c>
      <c r="E1752" s="17">
        <f>IFERROR(VLOOKUP(Tabulka2[[#This Row],[Pracovník]],DATA!A:L,5,0),"")</f>
        <v>4698</v>
      </c>
      <c r="F1752" s="12" t="s">
        <v>654</v>
      </c>
      <c r="G1752" s="16"/>
      <c r="H1752" s="18"/>
      <c r="I1752" s="27" t="str">
        <f>IFERROR(VLOOKUP(Tabulka2[[#This Row],[Pracovník]],DATA!A:L,11,0),"")</f>
        <v>Vlastní auto</v>
      </c>
      <c r="J1752" s="16"/>
      <c r="K1752" s="19"/>
    </row>
    <row r="1753" spans="1:11" x14ac:dyDescent="0.25">
      <c r="A17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53" s="22">
        <v>45936</v>
      </c>
      <c r="C1753" s="16" t="s">
        <v>28</v>
      </c>
      <c r="D1753" s="16" t="s">
        <v>849</v>
      </c>
      <c r="E1753" s="17">
        <f>IFERROR(VLOOKUP(Tabulka2[[#This Row],[Pracovník]],DATA!A:L,5,0),"")</f>
        <v>4611</v>
      </c>
      <c r="F1753" s="12" t="s">
        <v>655</v>
      </c>
      <c r="G1753" s="16"/>
      <c r="H1753" s="18"/>
      <c r="I1753" s="27" t="str">
        <f>IFERROR(VLOOKUP(Tabulka2[[#This Row],[Pracovník]],DATA!A:L,11,0),"")</f>
        <v>DSC 1</v>
      </c>
      <c r="J1753" s="16"/>
      <c r="K1753" s="19"/>
    </row>
    <row r="1754" spans="1:11" x14ac:dyDescent="0.25">
      <c r="A17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54" s="22">
        <v>45936</v>
      </c>
      <c r="C1754" s="16" t="s">
        <v>28</v>
      </c>
      <c r="D1754" s="16" t="s">
        <v>850</v>
      </c>
      <c r="E1754" s="17">
        <f>IFERROR(VLOOKUP(Tabulka2[[#This Row],[Pracovník]],DATA!A:L,5,0),"")</f>
        <v>5069</v>
      </c>
      <c r="F1754" s="12" t="s">
        <v>655</v>
      </c>
      <c r="G1754" s="16"/>
      <c r="H1754" s="18"/>
      <c r="I1754" s="27" t="str">
        <f>IFERROR(VLOOKUP(Tabulka2[[#This Row],[Pracovník]],DATA!A:L,11,0),"")</f>
        <v>Vlastní auto</v>
      </c>
      <c r="J1754" s="16"/>
      <c r="K1754" s="19"/>
    </row>
    <row r="1755" spans="1:11" x14ac:dyDescent="0.25">
      <c r="A17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55" s="22">
        <v>45936</v>
      </c>
      <c r="C1755" s="16" t="s">
        <v>28</v>
      </c>
      <c r="D1755" s="16" t="s">
        <v>851</v>
      </c>
      <c r="E1755" s="17">
        <f>IFERROR(VLOOKUP(Tabulka2[[#This Row],[Pracovník]],DATA!A:L,5,0),"")</f>
        <v>185</v>
      </c>
      <c r="F1755" s="12" t="s">
        <v>640</v>
      </c>
      <c r="G1755" s="16"/>
      <c r="H1755" s="18"/>
      <c r="I1755" s="27" t="str">
        <f>IFERROR(VLOOKUP(Tabulka2[[#This Row],[Pracovník]],DATA!A:L,11,0),"")</f>
        <v>DSC 1</v>
      </c>
      <c r="J1755" s="16"/>
      <c r="K1755" s="19"/>
    </row>
    <row r="1756" spans="1:11" x14ac:dyDescent="0.25">
      <c r="A17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56" s="22">
        <v>45936</v>
      </c>
      <c r="C1756" s="16" t="s">
        <v>28</v>
      </c>
      <c r="D1756" s="16" t="s">
        <v>852</v>
      </c>
      <c r="E1756" s="17">
        <f>IFERROR(VLOOKUP(Tabulka2[[#This Row],[Pracovník]],DATA!A:L,5,0),"")</f>
        <v>6388</v>
      </c>
      <c r="F1756" s="12" t="s">
        <v>653</v>
      </c>
      <c r="G1756" s="16" t="s">
        <v>657</v>
      </c>
      <c r="H1756" s="18"/>
      <c r="I1756" s="27" t="str">
        <f>IFERROR(VLOOKUP(Tabulka2[[#This Row],[Pracovník]],DATA!A:L,11,0),"")</f>
        <v>Vlastní auto</v>
      </c>
      <c r="J1756" s="16"/>
      <c r="K1756" s="19"/>
    </row>
    <row r="1757" spans="1:11" x14ac:dyDescent="0.25">
      <c r="A17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57" s="22">
        <v>45936</v>
      </c>
      <c r="C1757" s="16" t="s">
        <v>28</v>
      </c>
      <c r="D1757" s="16" t="s">
        <v>854</v>
      </c>
      <c r="E1757" s="17">
        <f>IFERROR(VLOOKUP(Tabulka2[[#This Row],[Pracovník]],DATA!A:L,5,0),"")</f>
        <v>5720</v>
      </c>
      <c r="F1757" s="12" t="s">
        <v>653</v>
      </c>
      <c r="G1757" s="16" t="s">
        <v>658</v>
      </c>
      <c r="H1757" s="18"/>
      <c r="I1757" s="27" t="str">
        <f>IFERROR(VLOOKUP(Tabulka2[[#This Row],[Pracovník]],DATA!A:L,11,0),"")</f>
        <v>DSC 2</v>
      </c>
      <c r="J1757" s="16"/>
      <c r="K1757" s="19"/>
    </row>
    <row r="1758" spans="1:11" x14ac:dyDescent="0.25">
      <c r="A17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58" s="22">
        <v>45936</v>
      </c>
      <c r="C1758" s="16" t="s">
        <v>28</v>
      </c>
      <c r="D1758" s="16" t="s">
        <v>853</v>
      </c>
      <c r="E1758" s="17">
        <f>IFERROR(VLOOKUP(Tabulka2[[#This Row],[Pracovník]],DATA!A:L,5,0),"")</f>
        <v>5722</v>
      </c>
      <c r="F1758" s="12" t="s">
        <v>653</v>
      </c>
      <c r="G1758" s="16" t="s">
        <v>659</v>
      </c>
      <c r="H1758" s="18"/>
      <c r="I1758" s="27" t="str">
        <f>IFERROR(VLOOKUP(Tabulka2[[#This Row],[Pracovník]],DATA!A:L,11,0),"")</f>
        <v>DSC 2</v>
      </c>
      <c r="J1758" s="16"/>
      <c r="K1758" s="19"/>
    </row>
    <row r="1759" spans="1:11" x14ac:dyDescent="0.25">
      <c r="A17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59" s="22">
        <v>45936</v>
      </c>
      <c r="C1759" s="16" t="s">
        <v>28</v>
      </c>
      <c r="D1759" s="16" t="s">
        <v>855</v>
      </c>
      <c r="E1759" s="17">
        <f>IFERROR(VLOOKUP(Tabulka2[[#This Row],[Pracovník]],DATA!A:L,5,0),"")</f>
        <v>6180</v>
      </c>
      <c r="F1759" s="12" t="s">
        <v>655</v>
      </c>
      <c r="G1759" s="16"/>
      <c r="H1759" s="18"/>
      <c r="I1759" s="27" t="str">
        <f>IFERROR(VLOOKUP(Tabulka2[[#This Row],[Pracovník]],DATA!A:L,11,0),"")</f>
        <v>DSC 2</v>
      </c>
      <c r="J1759" s="16" t="s">
        <v>995</v>
      </c>
      <c r="K1759" s="19"/>
    </row>
    <row r="1760" spans="1:11" x14ac:dyDescent="0.25">
      <c r="A17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60" s="22">
        <v>45936</v>
      </c>
      <c r="C1760" s="16" t="s">
        <v>28</v>
      </c>
      <c r="D1760" s="16" t="s">
        <v>856</v>
      </c>
      <c r="E1760" s="17">
        <f>IFERROR(VLOOKUP(Tabulka2[[#This Row],[Pracovník]],DATA!A:L,5,0),"")</f>
        <v>4423</v>
      </c>
      <c r="F1760" s="12" t="s">
        <v>640</v>
      </c>
      <c r="G1760" s="16"/>
      <c r="H1760" s="18"/>
      <c r="I1760" s="27" t="str">
        <f>IFERROR(VLOOKUP(Tabulka2[[#This Row],[Pracovník]],DATA!A:L,11,0),"")</f>
        <v>DSC 1</v>
      </c>
      <c r="J1760" s="16"/>
      <c r="K1760" s="19"/>
    </row>
    <row r="1761" spans="1:11" x14ac:dyDescent="0.25">
      <c r="A17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61" s="22">
        <v>45936</v>
      </c>
      <c r="C1761" s="16" t="s">
        <v>28</v>
      </c>
      <c r="D1761" s="16" t="s">
        <v>857</v>
      </c>
      <c r="E1761" s="17">
        <f>IFERROR(VLOOKUP(Tabulka2[[#This Row],[Pracovník]],DATA!A:L,5,0),"")</f>
        <v>5036</v>
      </c>
      <c r="F1761" s="12" t="s">
        <v>653</v>
      </c>
      <c r="G1761" s="16"/>
      <c r="H1761" s="18"/>
      <c r="I1761" s="27" t="str">
        <f>IFERROR(VLOOKUP(Tabulka2[[#This Row],[Pracovník]],DATA!A:L,11,0),"")</f>
        <v>Vlastní auto</v>
      </c>
      <c r="J1761" s="16"/>
      <c r="K1761" s="19"/>
    </row>
    <row r="1762" spans="1:11" x14ac:dyDescent="0.25">
      <c r="A17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62" s="22">
        <v>45936</v>
      </c>
      <c r="C1762" s="16" t="s">
        <v>28</v>
      </c>
      <c r="D1762" s="16" t="s">
        <v>838</v>
      </c>
      <c r="E1762" s="17">
        <f>IFERROR(VLOOKUP(Tabulka2[[#This Row],[Pracovník]],DATA!A:L,5,0),"")</f>
        <v>4899</v>
      </c>
      <c r="F1762" s="12" t="s">
        <v>654</v>
      </c>
      <c r="G1762" s="16"/>
      <c r="H1762" s="18"/>
      <c r="I1762" s="27" t="str">
        <f>IFERROR(VLOOKUP(Tabulka2[[#This Row],[Pracovník]],DATA!A:L,11,0),"")</f>
        <v>DSC 1</v>
      </c>
      <c r="J1762" s="16"/>
      <c r="K1762" s="19"/>
    </row>
    <row r="1763" spans="1:11" x14ac:dyDescent="0.25">
      <c r="A17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63" s="22">
        <v>45936</v>
      </c>
      <c r="C1763" s="16" t="s">
        <v>28</v>
      </c>
      <c r="D1763" s="16" t="s">
        <v>918</v>
      </c>
      <c r="E1763" s="17">
        <f>IFERROR(VLOOKUP(Tabulka2[[#This Row],[Pracovník]],DATA!A:L,5,0),"")</f>
        <v>6582</v>
      </c>
      <c r="F1763" s="12" t="s">
        <v>640</v>
      </c>
      <c r="G1763" s="16"/>
      <c r="H1763" s="18"/>
      <c r="I1763" s="27" t="str">
        <f>IFERROR(VLOOKUP(Tabulka2[[#This Row],[Pracovník]],DATA!A:L,11,0),"")</f>
        <v>DSC 1</v>
      </c>
      <c r="J1763" s="16"/>
      <c r="K1763" s="19"/>
    </row>
    <row r="1764" spans="1:11" x14ac:dyDescent="0.25">
      <c r="A17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64" s="22">
        <v>45936</v>
      </c>
      <c r="C1764" s="16" t="s">
        <v>28</v>
      </c>
      <c r="D1764" s="16" t="s">
        <v>922</v>
      </c>
      <c r="E1764" s="17">
        <f>IFERROR(VLOOKUP(Tabulka2[[#This Row],[Pracovník]],DATA!A:L,5,0),"")</f>
        <v>6580</v>
      </c>
      <c r="F1764" s="12" t="s">
        <v>653</v>
      </c>
      <c r="G1764" s="16" t="s">
        <v>926</v>
      </c>
      <c r="H1764" s="18"/>
      <c r="I1764" s="27" t="str">
        <f>IFERROR(VLOOKUP(Tabulka2[[#This Row],[Pracovník]],DATA!A:L,11,0),"")</f>
        <v>Vlastní auto</v>
      </c>
      <c r="J1764" s="16"/>
      <c r="K1764" s="19"/>
    </row>
    <row r="1765" spans="1:11" x14ac:dyDescent="0.25">
      <c r="A17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65" s="22">
        <v>45936</v>
      </c>
      <c r="C1765" s="16" t="s">
        <v>28</v>
      </c>
      <c r="D1765" s="16" t="s">
        <v>772</v>
      </c>
      <c r="E1765" s="17">
        <f>IFERROR(VLOOKUP(Tabulka2[[#This Row],[Pracovník]],DATA!A:L,5,0),"")</f>
        <v>4869</v>
      </c>
      <c r="F1765" s="12" t="s">
        <v>655</v>
      </c>
      <c r="G1765" s="16"/>
      <c r="H1765" s="18"/>
      <c r="I1765" s="27" t="str">
        <f>IFERROR(VLOOKUP(Tabulka2[[#This Row],[Pracovník]],DATA!A:L,11,0),"")</f>
        <v>Vlastní auto</v>
      </c>
      <c r="J1765" s="16"/>
      <c r="K1765" s="19"/>
    </row>
    <row r="1766" spans="1:11" x14ac:dyDescent="0.25">
      <c r="A17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66" s="22">
        <v>45936</v>
      </c>
      <c r="C1766" s="16" t="s">
        <v>28</v>
      </c>
      <c r="D1766" s="16" t="s">
        <v>965</v>
      </c>
      <c r="E1766" s="17">
        <f>IFERROR(VLOOKUP(Tabulka2[[#This Row],[Pracovník]],DATA!A:L,5,0),"")</f>
        <v>6593</v>
      </c>
      <c r="F1766" s="12" t="s">
        <v>654</v>
      </c>
      <c r="G1766" s="16"/>
      <c r="H1766" s="18"/>
      <c r="I1766" s="27" t="str">
        <f>IFERROR(VLOOKUP(Tabulka2[[#This Row],[Pracovník]],DATA!A:L,11,0),"")</f>
        <v>DSC 1</v>
      </c>
      <c r="J1766" s="16"/>
      <c r="K1766" s="19"/>
    </row>
    <row r="1767" spans="1:11" x14ac:dyDescent="0.25">
      <c r="B1767" s="22">
        <v>45936</v>
      </c>
      <c r="C1767" s="16" t="s">
        <v>28</v>
      </c>
      <c r="D1767" s="16" t="s">
        <v>964</v>
      </c>
      <c r="E1767" s="17">
        <f>IFERROR(VLOOKUP(Tabulka2[[#This Row],[Pracovník]],DATA!A:L,5,0),"")</f>
        <v>6595</v>
      </c>
      <c r="F1767" s="12" t="s">
        <v>655</v>
      </c>
      <c r="G1767" s="16"/>
      <c r="H1767" s="18"/>
      <c r="I1767" s="27" t="str">
        <f>IFERROR(VLOOKUP(Tabulka2[[#This Row],[Pracovník]],DATA!A:L,11,0),"")</f>
        <v>DSC 1</v>
      </c>
      <c r="J1767" s="16"/>
      <c r="K1767" s="19"/>
    </row>
    <row r="1768" spans="1:11" x14ac:dyDescent="0.25">
      <c r="A17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68" s="22">
        <v>45936</v>
      </c>
      <c r="C1768" s="16" t="s">
        <v>28</v>
      </c>
      <c r="D1768" s="16" t="s">
        <v>967</v>
      </c>
      <c r="E1768" s="17">
        <f>IFERROR(VLOOKUP(Tabulka2[[#This Row],[Pracovník]],DATA!A:L,5,0),"")</f>
        <v>6596</v>
      </c>
      <c r="F1768" s="12" t="s">
        <v>655</v>
      </c>
      <c r="G1768" s="16"/>
      <c r="H1768" s="18"/>
      <c r="I1768" s="27" t="str">
        <f>IFERROR(VLOOKUP(Tabulka2[[#This Row],[Pracovník]],DATA!A:L,11,0),"")</f>
        <v>DSC 2</v>
      </c>
      <c r="J1768" s="16"/>
      <c r="K1768" s="19"/>
    </row>
    <row r="1769" spans="1:11" x14ac:dyDescent="0.25">
      <c r="A17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69" s="22">
        <v>45937</v>
      </c>
      <c r="C1769" s="16" t="s">
        <v>56</v>
      </c>
      <c r="D1769" s="16" t="s">
        <v>910</v>
      </c>
      <c r="E1769" s="17">
        <f>IFERROR(VLOOKUP(Tabulka2[[#This Row],[Pracovník]],DATA!A:L,5,0),"")</f>
        <v>6474</v>
      </c>
      <c r="F1769" s="12" t="s">
        <v>654</v>
      </c>
      <c r="G1769" s="16"/>
      <c r="H1769" s="18"/>
      <c r="I1769" s="27" t="str">
        <f>IFERROR(VLOOKUP(Tabulka2[[#This Row],[Pracovník]],DATA!A:L,11,0),"")</f>
        <v>BATZ 1</v>
      </c>
      <c r="J1769" s="16"/>
      <c r="K1769" s="19"/>
    </row>
    <row r="1770" spans="1:11" x14ac:dyDescent="0.25">
      <c r="A17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70" s="22">
        <v>45937</v>
      </c>
      <c r="C1770" s="16" t="s">
        <v>56</v>
      </c>
      <c r="D1770" s="16" t="s">
        <v>911</v>
      </c>
      <c r="E1770" s="17">
        <f>IFERROR(VLOOKUP(Tabulka2[[#This Row],[Pracovník]],DATA!A:L,5,0),"")</f>
        <v>5110</v>
      </c>
      <c r="F1770" s="12" t="s">
        <v>640</v>
      </c>
      <c r="G1770" s="16"/>
      <c r="H1770" s="18"/>
      <c r="I1770" s="27" t="str">
        <f>IFERROR(VLOOKUP(Tabulka2[[#This Row],[Pracovník]],DATA!A:L,11,0),"")</f>
        <v>BATZ 2</v>
      </c>
      <c r="J1770" s="16"/>
      <c r="K1770" s="19"/>
    </row>
    <row r="1771" spans="1:11" x14ac:dyDescent="0.25">
      <c r="A17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71" s="22">
        <v>45937</v>
      </c>
      <c r="C1771" s="16" t="s">
        <v>56</v>
      </c>
      <c r="D1771" s="16" t="s">
        <v>912</v>
      </c>
      <c r="E1771" s="17">
        <f>IFERROR(VLOOKUP(Tabulka2[[#This Row],[Pracovník]],DATA!A:L,5,0),"")</f>
        <v>6473</v>
      </c>
      <c r="F1771" s="12" t="s">
        <v>640</v>
      </c>
      <c r="G1771" s="16"/>
      <c r="H1771" s="18"/>
      <c r="I1771" s="27" t="str">
        <f>IFERROR(VLOOKUP(Tabulka2[[#This Row],[Pracovník]],DATA!A:L,11,0),"")</f>
        <v>BATZ 1</v>
      </c>
      <c r="J1771" s="16"/>
      <c r="K1771" s="19"/>
    </row>
    <row r="1772" spans="1:11" x14ac:dyDescent="0.25">
      <c r="A17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72" s="22">
        <v>45937</v>
      </c>
      <c r="C1772" s="16" t="s">
        <v>56</v>
      </c>
      <c r="D1772" s="16" t="s">
        <v>913</v>
      </c>
      <c r="E1772" s="17">
        <f>IFERROR(VLOOKUP(Tabulka2[[#This Row],[Pracovník]],DATA!A:L,5,0),"")</f>
        <v>6394</v>
      </c>
      <c r="F1772" s="12" t="s">
        <v>653</v>
      </c>
      <c r="G1772" s="16" t="s">
        <v>657</v>
      </c>
      <c r="H1772" s="18"/>
      <c r="I1772" s="27" t="str">
        <f>IFERROR(VLOOKUP(Tabulka2[[#This Row],[Pracovník]],DATA!A:L,11,0),"")</f>
        <v>BATZ 1</v>
      </c>
      <c r="J1772" s="16"/>
      <c r="K1772" s="19"/>
    </row>
    <row r="1773" spans="1:11" x14ac:dyDescent="0.25">
      <c r="A17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73" s="22">
        <v>45937</v>
      </c>
      <c r="C1773" s="16" t="s">
        <v>25</v>
      </c>
      <c r="D1773" s="16" t="s">
        <v>679</v>
      </c>
      <c r="E1773" s="17">
        <f>IFERROR(VLOOKUP(Tabulka2[[#This Row],[Pracovník]],DATA!A:L,5,0),"")</f>
        <v>5777</v>
      </c>
      <c r="F1773" s="12" t="s">
        <v>640</v>
      </c>
      <c r="G1773" s="16"/>
      <c r="H1773" s="18"/>
      <c r="I1773" s="27" t="str">
        <f>IFERROR(VLOOKUP(Tabulka2[[#This Row],[Pracovník]],DATA!A:L,11,0),"")</f>
        <v>BATZ 2</v>
      </c>
      <c r="J1773" s="16"/>
      <c r="K1773" s="19"/>
    </row>
    <row r="1774" spans="1:11" x14ac:dyDescent="0.25">
      <c r="A17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74" s="22">
        <v>45937</v>
      </c>
      <c r="C1774" s="16" t="s">
        <v>25</v>
      </c>
      <c r="D1774" s="23" t="s">
        <v>680</v>
      </c>
      <c r="E1774" s="17">
        <f>IFERROR(VLOOKUP(Tabulka2[[#This Row],[Pracovník]],DATA!A:L,5,0),"")</f>
        <v>4838</v>
      </c>
      <c r="F1774" s="24" t="s">
        <v>640</v>
      </c>
      <c r="G1774" s="16"/>
      <c r="H1774" s="18"/>
      <c r="I1774" s="27" t="str">
        <f>IFERROR(VLOOKUP(Tabulka2[[#This Row],[Pracovník]],DATA!A:L,11,0),"")</f>
        <v>BATZ 2</v>
      </c>
      <c r="J1774" s="16"/>
      <c r="K1774" s="19"/>
    </row>
    <row r="1775" spans="1:11" x14ac:dyDescent="0.25">
      <c r="A17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75" s="22">
        <v>45937</v>
      </c>
      <c r="C1775" s="16" t="s">
        <v>25</v>
      </c>
      <c r="D1775" s="16" t="s">
        <v>681</v>
      </c>
      <c r="E1775" s="17">
        <f>IFERROR(VLOOKUP(Tabulka2[[#This Row],[Pracovník]],DATA!A:L,5,0),"")</f>
        <v>4599</v>
      </c>
      <c r="F1775" s="12" t="s">
        <v>655</v>
      </c>
      <c r="G1775" s="16"/>
      <c r="H1775" s="18"/>
      <c r="I1775" s="27" t="str">
        <f>IFERROR(VLOOKUP(Tabulka2[[#This Row],[Pracovník]],DATA!A:L,11,0),"")</f>
        <v>BATZ 1</v>
      </c>
      <c r="J1775" s="16"/>
      <c r="K1775" s="19"/>
    </row>
    <row r="1776" spans="1:11" x14ac:dyDescent="0.25">
      <c r="A17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76" s="22">
        <v>45937</v>
      </c>
      <c r="C1776" s="16" t="s">
        <v>25</v>
      </c>
      <c r="D1776" s="16" t="s">
        <v>682</v>
      </c>
      <c r="E1776" s="17">
        <f>IFERROR(VLOOKUP(Tabulka2[[#This Row],[Pracovník]],DATA!A:L,5,0),"")</f>
        <v>6566</v>
      </c>
      <c r="F1776" s="12" t="s">
        <v>640</v>
      </c>
      <c r="G1776" s="16"/>
      <c r="H1776" s="18"/>
      <c r="I1776" s="27" t="str">
        <f>IFERROR(VLOOKUP(Tabulka2[[#This Row],[Pracovník]],DATA!A:L,11,0),"")</f>
        <v>BATZ 1</v>
      </c>
      <c r="J1776" s="16"/>
      <c r="K1776" s="19"/>
    </row>
    <row r="1777" spans="1:11" x14ac:dyDescent="0.25">
      <c r="A17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77" s="22">
        <v>45937</v>
      </c>
      <c r="C1777" s="16" t="s">
        <v>25</v>
      </c>
      <c r="D1777" s="16" t="s">
        <v>683</v>
      </c>
      <c r="E1777" s="17">
        <f>IFERROR(VLOOKUP(Tabulka2[[#This Row],[Pracovník]],DATA!A:L,5,0),"")</f>
        <v>5400</v>
      </c>
      <c r="F1777" s="12" t="s">
        <v>653</v>
      </c>
      <c r="G1777" s="16" t="s">
        <v>657</v>
      </c>
      <c r="H1777" s="18"/>
      <c r="I1777" s="27" t="str">
        <f>IFERROR(VLOOKUP(Tabulka2[[#This Row],[Pracovník]],DATA!A:L,11,0),"")</f>
        <v>BATZ 1</v>
      </c>
      <c r="J1777" s="16"/>
      <c r="K1777" s="19"/>
    </row>
    <row r="1778" spans="1:11" x14ac:dyDescent="0.25">
      <c r="A17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78" s="22">
        <v>45937</v>
      </c>
      <c r="C1778" s="16" t="s">
        <v>25</v>
      </c>
      <c r="D1778" s="16" t="s">
        <v>684</v>
      </c>
      <c r="E1778" s="17">
        <f>IFERROR(VLOOKUP(Tabulka2[[#This Row],[Pracovník]],DATA!A:L,5,0),"")</f>
        <v>5094</v>
      </c>
      <c r="F1778" s="12" t="s">
        <v>654</v>
      </c>
      <c r="G1778" s="16"/>
      <c r="H1778" s="18"/>
      <c r="I1778" s="27" t="str">
        <f>IFERROR(VLOOKUP(Tabulka2[[#This Row],[Pracovník]],DATA!A:L,11,0),"")</f>
        <v>BATZ 2</v>
      </c>
      <c r="J1778" s="16"/>
      <c r="K1778" s="19"/>
    </row>
    <row r="1779" spans="1:11" x14ac:dyDescent="0.25">
      <c r="A17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79" s="22">
        <v>45937</v>
      </c>
      <c r="C1779" s="16" t="s">
        <v>25</v>
      </c>
      <c r="D1779" s="16" t="s">
        <v>685</v>
      </c>
      <c r="E1779" s="17">
        <f>IFERROR(VLOOKUP(Tabulka2[[#This Row],[Pracovník]],DATA!A:L,5,0),"")</f>
        <v>6001</v>
      </c>
      <c r="F1779" s="12" t="s">
        <v>654</v>
      </c>
      <c r="G1779" s="16"/>
      <c r="H1779" s="18"/>
      <c r="I1779" s="27" t="str">
        <f>IFERROR(VLOOKUP(Tabulka2[[#This Row],[Pracovník]],DATA!A:L,11,0),"")</f>
        <v>BATZ 1</v>
      </c>
      <c r="J1779" s="16"/>
      <c r="K1779" s="19"/>
    </row>
    <row r="1780" spans="1:11" x14ac:dyDescent="0.25">
      <c r="A17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80" s="22">
        <v>45937</v>
      </c>
      <c r="C1780" s="16" t="s">
        <v>25</v>
      </c>
      <c r="D1780" s="16" t="s">
        <v>686</v>
      </c>
      <c r="E1780" s="17">
        <f>IFERROR(VLOOKUP(Tabulka2[[#This Row],[Pracovník]],DATA!A:L,5,0),"")</f>
        <v>6573</v>
      </c>
      <c r="F1780" s="12" t="s">
        <v>655</v>
      </c>
      <c r="G1780" s="16"/>
      <c r="H1780" s="18"/>
      <c r="I1780" s="27" t="str">
        <f>IFERROR(VLOOKUP(Tabulka2[[#This Row],[Pracovník]],DATA!A:L,11,0),"")</f>
        <v>BATZ 1</v>
      </c>
      <c r="J1780" s="16"/>
      <c r="K1780" s="19"/>
    </row>
    <row r="1781" spans="1:11" x14ac:dyDescent="0.25">
      <c r="A17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81" s="22">
        <v>45937</v>
      </c>
      <c r="C1781" s="16" t="s">
        <v>25</v>
      </c>
      <c r="D1781" s="16" t="s">
        <v>687</v>
      </c>
      <c r="E1781" s="17">
        <f>IFERROR(VLOOKUP(Tabulka2[[#This Row],[Pracovník]],DATA!A:L,5,0),"")</f>
        <v>5129</v>
      </c>
      <c r="F1781" s="12" t="s">
        <v>655</v>
      </c>
      <c r="G1781" s="16"/>
      <c r="H1781" s="18"/>
      <c r="I1781" s="27" t="str">
        <f>IFERROR(VLOOKUP(Tabulka2[[#This Row],[Pracovník]],DATA!A:L,11,0),"")</f>
        <v>BATZ 1</v>
      </c>
      <c r="J1781" s="16"/>
      <c r="K1781" s="19"/>
    </row>
    <row r="1782" spans="1:11" x14ac:dyDescent="0.25">
      <c r="A17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82" s="22">
        <v>45937</v>
      </c>
      <c r="C1782" s="16" t="s">
        <v>25</v>
      </c>
      <c r="D1782" s="16" t="s">
        <v>688</v>
      </c>
      <c r="E1782" s="17">
        <f>IFERROR(VLOOKUP(Tabulka2[[#This Row],[Pracovník]],DATA!A:L,5,0),"")</f>
        <v>5663</v>
      </c>
      <c r="F1782" s="12" t="s">
        <v>655</v>
      </c>
      <c r="G1782" s="16"/>
      <c r="H1782" s="18"/>
      <c r="I1782" s="27" t="str">
        <f>IFERROR(VLOOKUP(Tabulka2[[#This Row],[Pracovník]],DATA!A:L,11,0),"")</f>
        <v>BATZ 1</v>
      </c>
      <c r="J1782" s="16"/>
      <c r="K1782" s="19"/>
    </row>
    <row r="1783" spans="1:11" x14ac:dyDescent="0.25">
      <c r="A17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83" s="22">
        <v>45937</v>
      </c>
      <c r="C1783" s="16" t="s">
        <v>25</v>
      </c>
      <c r="D1783" s="16" t="s">
        <v>690</v>
      </c>
      <c r="E1783" s="17">
        <f>IFERROR(VLOOKUP(Tabulka2[[#This Row],[Pracovník]],DATA!A:L,5,0),"")</f>
        <v>4501</v>
      </c>
      <c r="F1783" s="12" t="s">
        <v>653</v>
      </c>
      <c r="G1783" s="16" t="s">
        <v>657</v>
      </c>
      <c r="H1783" s="18"/>
      <c r="I1783" s="27" t="str">
        <f>IFERROR(VLOOKUP(Tabulka2[[#This Row],[Pracovník]],DATA!A:L,11,0),"")</f>
        <v>BATZ 2</v>
      </c>
      <c r="J1783" s="16"/>
      <c r="K1783" s="19"/>
    </row>
    <row r="1784" spans="1:11" x14ac:dyDescent="0.25">
      <c r="A17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84" s="22">
        <v>45937</v>
      </c>
      <c r="C1784" s="16" t="s">
        <v>25</v>
      </c>
      <c r="D1784" s="16" t="s">
        <v>689</v>
      </c>
      <c r="E1784" s="17">
        <f>IFERROR(VLOOKUP(Tabulka2[[#This Row],[Pracovník]],DATA!A:L,5,0),"")</f>
        <v>4936</v>
      </c>
      <c r="F1784" s="12" t="s">
        <v>654</v>
      </c>
      <c r="G1784" s="16"/>
      <c r="H1784" s="18"/>
      <c r="I1784" s="27" t="str">
        <f>IFERROR(VLOOKUP(Tabulka2[[#This Row],[Pracovník]],DATA!A:L,11,0),"")</f>
        <v>BATZ 1</v>
      </c>
      <c r="J1784" s="16"/>
      <c r="K1784" s="19"/>
    </row>
    <row r="1785" spans="1:11" x14ac:dyDescent="0.25">
      <c r="A17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85" s="22">
        <v>45937</v>
      </c>
      <c r="C1785" s="16" t="s">
        <v>25</v>
      </c>
      <c r="D1785" s="16" t="s">
        <v>695</v>
      </c>
      <c r="E1785" s="17">
        <f>IFERROR(VLOOKUP(Tabulka2[[#This Row],[Pracovník]],DATA!A:L,5,0),"")</f>
        <v>3728</v>
      </c>
      <c r="F1785" s="12" t="s">
        <v>654</v>
      </c>
      <c r="G1785" s="16"/>
      <c r="H1785" s="18"/>
      <c r="I1785" s="27" t="str">
        <f>IFERROR(VLOOKUP(Tabulka2[[#This Row],[Pracovník]],DATA!A:L,11,0),"")</f>
        <v>BATZ 1</v>
      </c>
      <c r="J1785" s="16"/>
      <c r="K1785" s="19"/>
    </row>
    <row r="1786" spans="1:11" x14ac:dyDescent="0.25">
      <c r="A17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86" s="22">
        <v>45937</v>
      </c>
      <c r="C1786" s="16" t="s">
        <v>25</v>
      </c>
      <c r="D1786" s="16" t="s">
        <v>691</v>
      </c>
      <c r="E1786" s="17">
        <f>IFERROR(VLOOKUP(Tabulka2[[#This Row],[Pracovník]],DATA!A:L,5,0),"")</f>
        <v>4955</v>
      </c>
      <c r="F1786" s="12" t="s">
        <v>655</v>
      </c>
      <c r="G1786" s="16"/>
      <c r="H1786" s="18"/>
      <c r="I1786" s="27" t="str">
        <f>IFERROR(VLOOKUP(Tabulka2[[#This Row],[Pracovník]],DATA!A:L,11,0),"")</f>
        <v>BATZ 1</v>
      </c>
      <c r="J1786" s="16"/>
      <c r="K1786" s="19"/>
    </row>
    <row r="1787" spans="1:11" x14ac:dyDescent="0.25">
      <c r="A17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87" s="22">
        <v>45937</v>
      </c>
      <c r="C1787" s="16" t="s">
        <v>25</v>
      </c>
      <c r="D1787" s="16" t="s">
        <v>692</v>
      </c>
      <c r="E1787" s="17">
        <f>IFERROR(VLOOKUP(Tabulka2[[#This Row],[Pracovník]],DATA!A:L,5,0),"")</f>
        <v>6568</v>
      </c>
      <c r="F1787" s="12" t="s">
        <v>640</v>
      </c>
      <c r="G1787" s="16"/>
      <c r="H1787" s="18"/>
      <c r="I1787" s="27" t="str">
        <f>IFERROR(VLOOKUP(Tabulka2[[#This Row],[Pracovník]],DATA!A:L,11,0),"")</f>
        <v>BATZ 2</v>
      </c>
      <c r="J1787" s="16"/>
      <c r="K1787" s="19"/>
    </row>
    <row r="1788" spans="1:11" x14ac:dyDescent="0.25">
      <c r="A17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88" s="22">
        <v>45937</v>
      </c>
      <c r="C1788" s="16" t="s">
        <v>25</v>
      </c>
      <c r="D1788" s="16" t="s">
        <v>693</v>
      </c>
      <c r="E1788" s="17">
        <f>IFERROR(VLOOKUP(Tabulka2[[#This Row],[Pracovník]],DATA!A:L,5,0),"")</f>
        <v>3721</v>
      </c>
      <c r="F1788" s="12" t="s">
        <v>655</v>
      </c>
      <c r="G1788" s="16"/>
      <c r="H1788" s="18"/>
      <c r="I1788" s="27" t="str">
        <f>IFERROR(VLOOKUP(Tabulka2[[#This Row],[Pracovník]],DATA!A:L,11,0),"")</f>
        <v>BATZ 1</v>
      </c>
      <c r="J1788" s="16"/>
      <c r="K1788" s="19"/>
    </row>
    <row r="1789" spans="1:11" x14ac:dyDescent="0.25">
      <c r="A17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89" s="22">
        <v>45937</v>
      </c>
      <c r="C1789" s="16" t="s">
        <v>25</v>
      </c>
      <c r="D1789" s="16" t="s">
        <v>694</v>
      </c>
      <c r="E1789" s="17">
        <f>IFERROR(VLOOKUP(Tabulka2[[#This Row],[Pracovník]],DATA!A:L,5,0),"")</f>
        <v>6110</v>
      </c>
      <c r="F1789" s="12" t="s">
        <v>640</v>
      </c>
      <c r="G1789" s="16"/>
      <c r="H1789" s="18"/>
      <c r="I1789" s="27" t="str">
        <f>IFERROR(VLOOKUP(Tabulka2[[#This Row],[Pracovník]],DATA!A:L,11,0),"")</f>
        <v>BATZ 1</v>
      </c>
      <c r="J1789" s="16"/>
      <c r="K1789" s="19"/>
    </row>
    <row r="1790" spans="1:11" x14ac:dyDescent="0.25">
      <c r="A17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90" s="22">
        <v>45937</v>
      </c>
      <c r="C1790" s="16" t="s">
        <v>25</v>
      </c>
      <c r="D1790" s="16" t="s">
        <v>696</v>
      </c>
      <c r="E1790" s="17">
        <f>IFERROR(VLOOKUP(Tabulka2[[#This Row],[Pracovník]],DATA!A:L,5,0),"")</f>
        <v>0</v>
      </c>
      <c r="F1790" s="12" t="s">
        <v>655</v>
      </c>
      <c r="G1790" s="16"/>
      <c r="H1790" s="18"/>
      <c r="I1790" s="27" t="str">
        <f>IFERROR(VLOOKUP(Tabulka2[[#This Row],[Pracovník]],DATA!A:L,11,0),"")</f>
        <v>BATZ 1</v>
      </c>
      <c r="J1790" s="16"/>
      <c r="K1790" s="19"/>
    </row>
    <row r="1791" spans="1:11" x14ac:dyDescent="0.25">
      <c r="A17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91" s="22">
        <v>45937</v>
      </c>
      <c r="C1791" s="16" t="s">
        <v>25</v>
      </c>
      <c r="D1791" s="16" t="s">
        <v>697</v>
      </c>
      <c r="E1791" s="17">
        <f>IFERROR(VLOOKUP(Tabulka2[[#This Row],[Pracovník]],DATA!A:L,5,0),"")</f>
        <v>6330</v>
      </c>
      <c r="F1791" s="12" t="s">
        <v>654</v>
      </c>
      <c r="G1791" s="16"/>
      <c r="H1791" s="18"/>
      <c r="I1791" s="27" t="str">
        <f>IFERROR(VLOOKUP(Tabulka2[[#This Row],[Pracovník]],DATA!A:L,11,0),"")</f>
        <v>BATZ 2</v>
      </c>
      <c r="J1791" s="16"/>
      <c r="K1791" s="19"/>
    </row>
    <row r="1792" spans="1:11" x14ac:dyDescent="0.25">
      <c r="A17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92" s="22">
        <v>45937</v>
      </c>
      <c r="C1792" s="16" t="s">
        <v>25</v>
      </c>
      <c r="D1792" s="16" t="s">
        <v>698</v>
      </c>
      <c r="E1792" s="17">
        <f>IFERROR(VLOOKUP(Tabulka2[[#This Row],[Pracovník]],DATA!A:L,5,0),"")</f>
        <v>5828</v>
      </c>
      <c r="F1792" s="12" t="s">
        <v>655</v>
      </c>
      <c r="G1792" s="16"/>
      <c r="H1792" s="18"/>
      <c r="I1792" s="27" t="str">
        <f>IFERROR(VLOOKUP(Tabulka2[[#This Row],[Pracovník]],DATA!A:L,11,0),"")</f>
        <v>BATZ 1</v>
      </c>
      <c r="J1792" s="16"/>
      <c r="K1792" s="19"/>
    </row>
    <row r="1793" spans="1:11" x14ac:dyDescent="0.25">
      <c r="A17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93" s="22">
        <v>45937</v>
      </c>
      <c r="C1793" s="16" t="s">
        <v>25</v>
      </c>
      <c r="D1793" s="16" t="s">
        <v>699</v>
      </c>
      <c r="E1793" s="17">
        <f>IFERROR(VLOOKUP(Tabulka2[[#This Row],[Pracovník]],DATA!A:L,5,0),"")</f>
        <v>4775</v>
      </c>
      <c r="F1793" s="12" t="s">
        <v>653</v>
      </c>
      <c r="G1793" s="16" t="s">
        <v>656</v>
      </c>
      <c r="H1793" s="18"/>
      <c r="I1793" s="27" t="str">
        <f>IFERROR(VLOOKUP(Tabulka2[[#This Row],[Pracovník]],DATA!A:L,11,0),"")</f>
        <v>BATZ 2</v>
      </c>
      <c r="J1793" s="16"/>
      <c r="K1793" s="19"/>
    </row>
    <row r="1794" spans="1:11" x14ac:dyDescent="0.25">
      <c r="A17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94" s="22">
        <v>45937</v>
      </c>
      <c r="C1794" s="16" t="s">
        <v>25</v>
      </c>
      <c r="D1794" s="16" t="s">
        <v>700</v>
      </c>
      <c r="E1794" s="17">
        <f>IFERROR(VLOOKUP(Tabulka2[[#This Row],[Pracovník]],DATA!A:L,5,0),"")</f>
        <v>5665</v>
      </c>
      <c r="F1794" s="12" t="s">
        <v>655</v>
      </c>
      <c r="G1794" s="16"/>
      <c r="H1794" s="18"/>
      <c r="I1794" s="27" t="str">
        <f>IFERROR(VLOOKUP(Tabulka2[[#This Row],[Pracovník]],DATA!A:L,11,0),"")</f>
        <v>BATZ 1</v>
      </c>
      <c r="J1794" s="16"/>
      <c r="K1794" s="19"/>
    </row>
    <row r="1795" spans="1:11" x14ac:dyDescent="0.25">
      <c r="A17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95" s="22">
        <v>45937</v>
      </c>
      <c r="C1795" s="16" t="s">
        <v>25</v>
      </c>
      <c r="D1795" s="16" t="s">
        <v>701</v>
      </c>
      <c r="E1795" s="17">
        <f>IFERROR(VLOOKUP(Tabulka2[[#This Row],[Pracovník]],DATA!A:L,5,0),"")</f>
        <v>2463</v>
      </c>
      <c r="F1795" s="12" t="s">
        <v>640</v>
      </c>
      <c r="G1795" s="16"/>
      <c r="H1795" s="18"/>
      <c r="I1795" s="27" t="str">
        <f>IFERROR(VLOOKUP(Tabulka2[[#This Row],[Pracovník]],DATA!A:L,11,0),"")</f>
        <v>Vlastní auto</v>
      </c>
      <c r="J1795" s="16"/>
      <c r="K1795" s="19"/>
    </row>
    <row r="1796" spans="1:11" x14ac:dyDescent="0.25">
      <c r="A17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96" s="22">
        <v>45937</v>
      </c>
      <c r="C1796" s="16" t="s">
        <v>25</v>
      </c>
      <c r="D1796" s="16" t="s">
        <v>702</v>
      </c>
      <c r="E1796" s="17">
        <f>IFERROR(VLOOKUP(Tabulka2[[#This Row],[Pracovník]],DATA!A:L,5,0),"")</f>
        <v>6536</v>
      </c>
      <c r="F1796" s="12" t="s">
        <v>640</v>
      </c>
      <c r="G1796" s="16"/>
      <c r="H1796" s="18"/>
      <c r="I1796" s="27" t="str">
        <f>IFERROR(VLOOKUP(Tabulka2[[#This Row],[Pracovník]],DATA!A:L,11,0),"")</f>
        <v>BATZ 2</v>
      </c>
      <c r="J1796" s="16"/>
      <c r="K1796" s="19"/>
    </row>
    <row r="1797" spans="1:11" x14ac:dyDescent="0.25">
      <c r="A17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97" s="22">
        <v>45937</v>
      </c>
      <c r="C1797" s="16" t="s">
        <v>25</v>
      </c>
      <c r="D1797" s="16" t="s">
        <v>703</v>
      </c>
      <c r="E1797" s="17">
        <f>IFERROR(VLOOKUP(Tabulka2[[#This Row],[Pracovník]],DATA!A:L,5,0),"")</f>
        <v>4748</v>
      </c>
      <c r="F1797" s="12" t="s">
        <v>655</v>
      </c>
      <c r="G1797" s="16"/>
      <c r="H1797" s="18"/>
      <c r="I1797" s="27" t="str">
        <f>IFERROR(VLOOKUP(Tabulka2[[#This Row],[Pracovník]],DATA!A:L,11,0),"")</f>
        <v>BATZ 1</v>
      </c>
      <c r="J1797" s="16"/>
      <c r="K1797" s="19"/>
    </row>
    <row r="1798" spans="1:11" x14ac:dyDescent="0.25">
      <c r="A17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98" s="22">
        <v>45937</v>
      </c>
      <c r="C1798" s="16" t="s">
        <v>25</v>
      </c>
      <c r="D1798" s="16" t="s">
        <v>704</v>
      </c>
      <c r="E1798" s="17">
        <f>IFERROR(VLOOKUP(Tabulka2[[#This Row],[Pracovník]],DATA!A:L,5,0),"")</f>
        <v>6574</v>
      </c>
      <c r="F1798" s="12" t="s">
        <v>640</v>
      </c>
      <c r="G1798" s="16"/>
      <c r="H1798" s="18"/>
      <c r="I1798" s="27" t="str">
        <f>IFERROR(VLOOKUP(Tabulka2[[#This Row],[Pracovník]],DATA!A:L,11,0),"")</f>
        <v>BATZ 1</v>
      </c>
      <c r="J1798" s="16"/>
      <c r="K1798" s="19"/>
    </row>
    <row r="1799" spans="1:11" x14ac:dyDescent="0.25">
      <c r="A17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799" s="22">
        <v>45937</v>
      </c>
      <c r="C1799" s="16" t="s">
        <v>25</v>
      </c>
      <c r="D1799" s="16" t="s">
        <v>705</v>
      </c>
      <c r="E1799" s="17">
        <f>IFERROR(VLOOKUP(Tabulka2[[#This Row],[Pracovník]],DATA!A:L,5,0),"")</f>
        <v>4720</v>
      </c>
      <c r="F1799" s="12" t="s">
        <v>640</v>
      </c>
      <c r="G1799" s="16"/>
      <c r="H1799" s="18"/>
      <c r="I1799" s="27" t="str">
        <f>IFERROR(VLOOKUP(Tabulka2[[#This Row],[Pracovník]],DATA!A:L,11,0),"")</f>
        <v>BATZ 2</v>
      </c>
      <c r="J1799" s="16"/>
      <c r="K1799" s="19"/>
    </row>
    <row r="1800" spans="1:11" x14ac:dyDescent="0.25">
      <c r="A18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00" s="22">
        <v>45937</v>
      </c>
      <c r="C1800" s="16" t="s">
        <v>25</v>
      </c>
      <c r="D1800" s="16" t="s">
        <v>706</v>
      </c>
      <c r="E1800" s="17">
        <f>IFERROR(VLOOKUP(Tabulka2[[#This Row],[Pracovník]],DATA!A:L,5,0),"")</f>
        <v>6409</v>
      </c>
      <c r="F1800" s="12" t="s">
        <v>640</v>
      </c>
      <c r="G1800" s="16"/>
      <c r="H1800" s="18"/>
      <c r="I1800" s="27" t="str">
        <f>IFERROR(VLOOKUP(Tabulka2[[#This Row],[Pracovník]],DATA!A:L,11,0),"")</f>
        <v>Vlastní auto</v>
      </c>
      <c r="J1800" s="16"/>
      <c r="K1800" s="19"/>
    </row>
    <row r="1801" spans="1:11" x14ac:dyDescent="0.25">
      <c r="A18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01" s="22">
        <v>45937</v>
      </c>
      <c r="C1801" s="16" t="s">
        <v>25</v>
      </c>
      <c r="D1801" s="16" t="s">
        <v>707</v>
      </c>
      <c r="E1801" s="17">
        <f>IFERROR(VLOOKUP(Tabulka2[[#This Row],[Pracovník]],DATA!A:L,5,0),"")</f>
        <v>3396</v>
      </c>
      <c r="F1801" s="12" t="s">
        <v>640</v>
      </c>
      <c r="G1801" s="16"/>
      <c r="H1801" s="18"/>
      <c r="I1801" s="27" t="str">
        <f>IFERROR(VLOOKUP(Tabulka2[[#This Row],[Pracovník]],DATA!A:L,11,0),"")</f>
        <v>BATZ 1</v>
      </c>
      <c r="J1801" s="16"/>
      <c r="K1801" s="19"/>
    </row>
    <row r="1802" spans="1:11" x14ac:dyDescent="0.25">
      <c r="A18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02" s="22">
        <v>45937</v>
      </c>
      <c r="C1802" s="16" t="s">
        <v>25</v>
      </c>
      <c r="D1802" s="16" t="s">
        <v>708</v>
      </c>
      <c r="E1802" s="17">
        <f>IFERROR(VLOOKUP(Tabulka2[[#This Row],[Pracovník]],DATA!A:L,5,0),"")</f>
        <v>6376</v>
      </c>
      <c r="F1802" s="12" t="s">
        <v>640</v>
      </c>
      <c r="G1802" s="16"/>
      <c r="H1802" s="18"/>
      <c r="I1802" s="27" t="str">
        <f>IFERROR(VLOOKUP(Tabulka2[[#This Row],[Pracovník]],DATA!A:L,11,0),"")</f>
        <v>BATZ 2</v>
      </c>
      <c r="J1802" s="16"/>
      <c r="K1802" s="19"/>
    </row>
    <row r="1803" spans="1:11" x14ac:dyDescent="0.25">
      <c r="A18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03" s="22">
        <v>45937</v>
      </c>
      <c r="C1803" s="16" t="s">
        <v>25</v>
      </c>
      <c r="D1803" s="16" t="s">
        <v>709</v>
      </c>
      <c r="E1803" s="17">
        <f>IFERROR(VLOOKUP(Tabulka2[[#This Row],[Pracovník]],DATA!A:L,5,0),"")</f>
        <v>5014</v>
      </c>
      <c r="F1803" s="12" t="s">
        <v>640</v>
      </c>
      <c r="G1803" s="16"/>
      <c r="H1803" s="18"/>
      <c r="I1803" s="27" t="str">
        <f>IFERROR(VLOOKUP(Tabulka2[[#This Row],[Pracovník]],DATA!A:L,11,0),"")</f>
        <v>BATZ 2</v>
      </c>
      <c r="J1803" s="16"/>
      <c r="K1803" s="19"/>
    </row>
    <row r="1804" spans="1:11" x14ac:dyDescent="0.25">
      <c r="A18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04" s="22">
        <v>45937</v>
      </c>
      <c r="C1804" s="16" t="s">
        <v>25</v>
      </c>
      <c r="D1804" s="16" t="s">
        <v>710</v>
      </c>
      <c r="E1804" s="17">
        <f>IFERROR(VLOOKUP(Tabulka2[[#This Row],[Pracovník]],DATA!A:L,5,0),"")</f>
        <v>3369</v>
      </c>
      <c r="F1804" s="12" t="s">
        <v>653</v>
      </c>
      <c r="G1804" s="16" t="s">
        <v>925</v>
      </c>
      <c r="H1804" s="18"/>
      <c r="I1804" s="27" t="str">
        <f>IFERROR(VLOOKUP(Tabulka2[[#This Row],[Pracovník]],DATA!A:L,11,0),"")</f>
        <v>BATZ 1</v>
      </c>
      <c r="J1804" s="16"/>
      <c r="K1804" s="19" t="s">
        <v>1010</v>
      </c>
    </row>
    <row r="1805" spans="1:11" x14ac:dyDescent="0.25">
      <c r="A18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05" s="22">
        <v>45937</v>
      </c>
      <c r="C1805" s="16" t="s">
        <v>25</v>
      </c>
      <c r="D1805" s="16" t="s">
        <v>711</v>
      </c>
      <c r="E1805" s="17">
        <f>IFERROR(VLOOKUP(Tabulka2[[#This Row],[Pracovník]],DATA!A:L,5,0),"")</f>
        <v>6576</v>
      </c>
      <c r="F1805" s="12" t="s">
        <v>655</v>
      </c>
      <c r="G1805" s="16"/>
      <c r="H1805" s="18"/>
      <c r="I1805" s="27" t="str">
        <f>IFERROR(VLOOKUP(Tabulka2[[#This Row],[Pracovník]],DATA!A:L,11,0),"")</f>
        <v>BATZ 1</v>
      </c>
      <c r="J1805" s="16"/>
      <c r="K1805" s="19"/>
    </row>
    <row r="1806" spans="1:11" x14ac:dyDescent="0.25">
      <c r="A18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06" s="22">
        <v>45937</v>
      </c>
      <c r="C1806" s="16" t="s">
        <v>25</v>
      </c>
      <c r="D1806" s="16" t="s">
        <v>712</v>
      </c>
      <c r="E1806" s="17">
        <f>IFERROR(VLOOKUP(Tabulka2[[#This Row],[Pracovník]],DATA!A:L,5,0),"")</f>
        <v>6352</v>
      </c>
      <c r="F1806" s="12" t="s">
        <v>655</v>
      </c>
      <c r="G1806" s="16"/>
      <c r="H1806" s="18"/>
      <c r="I1806" s="27" t="str">
        <f>IFERROR(VLOOKUP(Tabulka2[[#This Row],[Pracovník]],DATA!A:L,11,0),"")</f>
        <v>BATZ 1</v>
      </c>
      <c r="J1806" s="16"/>
      <c r="K1806" s="19"/>
    </row>
    <row r="1807" spans="1:11" x14ac:dyDescent="0.25">
      <c r="A18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07" s="22">
        <v>45937</v>
      </c>
      <c r="C1807" s="16" t="s">
        <v>25</v>
      </c>
      <c r="D1807" s="16" t="s">
        <v>714</v>
      </c>
      <c r="E1807" s="17">
        <f>IFERROR(VLOOKUP(Tabulka2[[#This Row],[Pracovník]],DATA!A:L,5,0),"")</f>
        <v>4972</v>
      </c>
      <c r="F1807" s="12" t="s">
        <v>654</v>
      </c>
      <c r="G1807" s="16"/>
      <c r="H1807" s="18"/>
      <c r="I1807" s="27" t="str">
        <f>IFERROR(VLOOKUP(Tabulka2[[#This Row],[Pracovník]],DATA!A:L,11,0),"")</f>
        <v>BATZ 2</v>
      </c>
      <c r="J1807" s="16"/>
      <c r="K1807" s="19"/>
    </row>
    <row r="1808" spans="1:11" x14ac:dyDescent="0.25">
      <c r="A18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08" s="22">
        <v>45937</v>
      </c>
      <c r="C1808" s="16" t="s">
        <v>25</v>
      </c>
      <c r="D1808" s="16" t="s">
        <v>715</v>
      </c>
      <c r="E1808" s="17">
        <f>IFERROR(VLOOKUP(Tabulka2[[#This Row],[Pracovník]],DATA!A:L,5,0),"")</f>
        <v>2230</v>
      </c>
      <c r="F1808" s="12" t="s">
        <v>654</v>
      </c>
      <c r="G1808" s="16"/>
      <c r="H1808" s="18"/>
      <c r="I1808" s="27" t="str">
        <f>IFERROR(VLOOKUP(Tabulka2[[#This Row],[Pracovník]],DATA!A:L,11,0),"")</f>
        <v>BATZ 1</v>
      </c>
      <c r="J1808" s="16"/>
      <c r="K1808" s="19"/>
    </row>
    <row r="1809" spans="1:11" x14ac:dyDescent="0.25">
      <c r="A18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09" s="22">
        <v>45937</v>
      </c>
      <c r="C1809" s="16" t="s">
        <v>25</v>
      </c>
      <c r="D1809" s="16" t="s">
        <v>716</v>
      </c>
      <c r="E1809" s="17">
        <f>IFERROR(VLOOKUP(Tabulka2[[#This Row],[Pracovník]],DATA!A:L,5,0),"")</f>
        <v>5310</v>
      </c>
      <c r="F1809" s="12" t="s">
        <v>653</v>
      </c>
      <c r="G1809" s="16" t="s">
        <v>656</v>
      </c>
      <c r="H1809" s="18"/>
      <c r="I1809" s="27" t="str">
        <f>IFERROR(VLOOKUP(Tabulka2[[#This Row],[Pracovník]],DATA!A:L,11,0),"")</f>
        <v>BATZ 1</v>
      </c>
      <c r="J1809" s="16"/>
      <c r="K1809" s="19"/>
    </row>
    <row r="1810" spans="1:11" x14ac:dyDescent="0.25">
      <c r="A18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10" s="22">
        <v>45937</v>
      </c>
      <c r="C1810" s="16" t="s">
        <v>25</v>
      </c>
      <c r="D1810" s="16" t="s">
        <v>717</v>
      </c>
      <c r="E1810" s="17">
        <f>IFERROR(VLOOKUP(Tabulka2[[#This Row],[Pracovník]],DATA!A:L,5,0),"")</f>
        <v>5948</v>
      </c>
      <c r="F1810" s="12" t="s">
        <v>653</v>
      </c>
      <c r="G1810" s="16" t="s">
        <v>657</v>
      </c>
      <c r="H1810" s="18"/>
      <c r="I1810" s="27" t="str">
        <f>IFERROR(VLOOKUP(Tabulka2[[#This Row],[Pracovník]],DATA!A:L,11,0),"")</f>
        <v>BATZ 1</v>
      </c>
      <c r="J1810" s="16"/>
      <c r="K1810" s="19"/>
    </row>
    <row r="1811" spans="1:11" x14ac:dyDescent="0.25">
      <c r="A18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11" s="22">
        <v>45937</v>
      </c>
      <c r="C1811" s="16" t="s">
        <v>25</v>
      </c>
      <c r="D1811" s="16" t="s">
        <v>718</v>
      </c>
      <c r="E1811" s="17">
        <f>IFERROR(VLOOKUP(Tabulka2[[#This Row],[Pracovník]],DATA!A:L,5,0),"")</f>
        <v>6549</v>
      </c>
      <c r="F1811" s="12" t="s">
        <v>653</v>
      </c>
      <c r="G1811" s="16" t="s">
        <v>926</v>
      </c>
      <c r="H1811" s="18"/>
      <c r="I1811" s="27" t="str">
        <f>IFERROR(VLOOKUP(Tabulka2[[#This Row],[Pracovník]],DATA!A:L,11,0),"")</f>
        <v>BATZ 1</v>
      </c>
      <c r="J1811" s="16"/>
      <c r="K1811" s="19"/>
    </row>
    <row r="1812" spans="1:11" x14ac:dyDescent="0.25">
      <c r="A18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12" s="22">
        <v>45937</v>
      </c>
      <c r="C1812" s="16" t="s">
        <v>25</v>
      </c>
      <c r="D1812" s="16" t="s">
        <v>719</v>
      </c>
      <c r="E1812" s="17">
        <f>IFERROR(VLOOKUP(Tabulka2[[#This Row],[Pracovník]],DATA!A:L,5,0),"")</f>
        <v>5715</v>
      </c>
      <c r="F1812" s="12" t="s">
        <v>640</v>
      </c>
      <c r="G1812" s="16"/>
      <c r="H1812" s="18"/>
      <c r="I1812" s="27" t="str">
        <f>IFERROR(VLOOKUP(Tabulka2[[#This Row],[Pracovník]],DATA!A:L,11,0),"")</f>
        <v>BATZ 1</v>
      </c>
      <c r="J1812" s="16"/>
      <c r="K1812" s="19"/>
    </row>
    <row r="1813" spans="1:11" x14ac:dyDescent="0.25">
      <c r="A18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13" s="22">
        <v>45937</v>
      </c>
      <c r="C1813" s="16" t="s">
        <v>25</v>
      </c>
      <c r="D1813" s="16" t="s">
        <v>720</v>
      </c>
      <c r="E1813" s="17">
        <f>IFERROR(VLOOKUP(Tabulka2[[#This Row],[Pracovník]],DATA!A:L,5,0),"")</f>
        <v>4514</v>
      </c>
      <c r="F1813" s="12" t="s">
        <v>655</v>
      </c>
      <c r="G1813" s="16"/>
      <c r="H1813" s="18"/>
      <c r="I1813" s="27" t="str">
        <f>IFERROR(VLOOKUP(Tabulka2[[#This Row],[Pracovník]],DATA!A:L,11,0),"")</f>
        <v>BATZ 1</v>
      </c>
      <c r="J1813" s="16"/>
      <c r="K1813" s="19"/>
    </row>
    <row r="1814" spans="1:11" x14ac:dyDescent="0.25">
      <c r="A18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14" s="22">
        <v>45937</v>
      </c>
      <c r="C1814" s="16" t="s">
        <v>25</v>
      </c>
      <c r="D1814" s="16" t="s">
        <v>721</v>
      </c>
      <c r="E1814" s="17">
        <f>IFERROR(VLOOKUP(Tabulka2[[#This Row],[Pracovník]],DATA!A:L,5,0),"")</f>
        <v>5176</v>
      </c>
      <c r="F1814" s="12" t="s">
        <v>655</v>
      </c>
      <c r="G1814" s="16"/>
      <c r="H1814" s="18"/>
      <c r="I1814" s="27" t="str">
        <f>IFERROR(VLOOKUP(Tabulka2[[#This Row],[Pracovník]],DATA!A:L,11,0),"")</f>
        <v>BATZ 1</v>
      </c>
      <c r="J1814" s="16"/>
      <c r="K1814" s="19"/>
    </row>
    <row r="1815" spans="1:11" x14ac:dyDescent="0.25">
      <c r="A18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15" s="22">
        <v>45937</v>
      </c>
      <c r="C1815" s="16" t="s">
        <v>25</v>
      </c>
      <c r="D1815" s="16" t="s">
        <v>722</v>
      </c>
      <c r="E1815" s="17">
        <f>IFERROR(VLOOKUP(Tabulka2[[#This Row],[Pracovník]],DATA!A:L,5,0),"")</f>
        <v>4163</v>
      </c>
      <c r="F1815" s="12" t="s">
        <v>640</v>
      </c>
      <c r="G1815" s="16"/>
      <c r="H1815" s="18"/>
      <c r="I1815" s="27" t="str">
        <f>IFERROR(VLOOKUP(Tabulka2[[#This Row],[Pracovník]],DATA!A:L,11,0),"")</f>
        <v>BATZ 1</v>
      </c>
      <c r="J1815" s="16"/>
      <c r="K1815" s="19"/>
    </row>
    <row r="1816" spans="1:11" x14ac:dyDescent="0.25">
      <c r="A18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16" s="22">
        <v>45937</v>
      </c>
      <c r="C1816" s="16" t="s">
        <v>25</v>
      </c>
      <c r="D1816" s="16" t="s">
        <v>723</v>
      </c>
      <c r="E1816" s="17">
        <f>IFERROR(VLOOKUP(Tabulka2[[#This Row],[Pracovník]],DATA!A:L,5,0),"")</f>
        <v>3920</v>
      </c>
      <c r="F1816" s="12" t="s">
        <v>654</v>
      </c>
      <c r="G1816" s="16"/>
      <c r="H1816" s="18"/>
      <c r="I1816" s="27" t="str">
        <f>IFERROR(VLOOKUP(Tabulka2[[#This Row],[Pracovník]],DATA!A:L,11,0),"")</f>
        <v>BATZ 2</v>
      </c>
      <c r="J1816" s="16"/>
      <c r="K1816" s="19"/>
    </row>
    <row r="1817" spans="1:11" x14ac:dyDescent="0.25">
      <c r="A18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17" s="22">
        <v>45937</v>
      </c>
      <c r="C1817" s="16" t="s">
        <v>25</v>
      </c>
      <c r="D1817" s="16" t="s">
        <v>724</v>
      </c>
      <c r="E1817" s="17">
        <f>IFERROR(VLOOKUP(Tabulka2[[#This Row],[Pracovník]],DATA!A:L,5,0),"")</f>
        <v>3257</v>
      </c>
      <c r="F1817" s="12" t="s">
        <v>654</v>
      </c>
      <c r="G1817" s="16"/>
      <c r="H1817" s="18"/>
      <c r="I1817" s="27" t="str">
        <f>IFERROR(VLOOKUP(Tabulka2[[#This Row],[Pracovník]],DATA!A:L,11,0),"")</f>
        <v>BATZ 1</v>
      </c>
      <c r="J1817" s="16"/>
      <c r="K1817" s="19"/>
    </row>
    <row r="1818" spans="1:11" x14ac:dyDescent="0.25">
      <c r="A18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18" s="22">
        <v>45937</v>
      </c>
      <c r="C1818" s="16" t="s">
        <v>25</v>
      </c>
      <c r="D1818" s="16" t="s">
        <v>725</v>
      </c>
      <c r="E1818" s="17">
        <f>IFERROR(VLOOKUP(Tabulka2[[#This Row],[Pracovník]],DATA!A:L,5,0),"")</f>
        <v>3394</v>
      </c>
      <c r="F1818" s="12" t="s">
        <v>640</v>
      </c>
      <c r="G1818" s="16"/>
      <c r="H1818" s="18"/>
      <c r="I1818" s="27" t="str">
        <f>IFERROR(VLOOKUP(Tabulka2[[#This Row],[Pracovník]],DATA!A:L,11,0),"")</f>
        <v>BATZ 1</v>
      </c>
      <c r="J1818" s="16"/>
      <c r="K1818" s="19"/>
    </row>
    <row r="1819" spans="1:11" x14ac:dyDescent="0.25">
      <c r="A18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19" s="22">
        <v>45937</v>
      </c>
      <c r="C1819" s="16" t="s">
        <v>25</v>
      </c>
      <c r="D1819" s="16" t="s">
        <v>726</v>
      </c>
      <c r="E1819" s="17">
        <f>IFERROR(VLOOKUP(Tabulka2[[#This Row],[Pracovník]],DATA!A:L,5,0),"")</f>
        <v>4828</v>
      </c>
      <c r="F1819" s="12" t="s">
        <v>653</v>
      </c>
      <c r="G1819" s="16" t="s">
        <v>657</v>
      </c>
      <c r="H1819" s="18"/>
      <c r="I1819" s="27" t="str">
        <f>IFERROR(VLOOKUP(Tabulka2[[#This Row],[Pracovník]],DATA!A:L,11,0),"")</f>
        <v>BATZ 2</v>
      </c>
      <c r="J1819" s="16"/>
      <c r="K1819" s="19"/>
    </row>
    <row r="1820" spans="1:11" x14ac:dyDescent="0.25">
      <c r="A18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20" s="22">
        <v>45937</v>
      </c>
      <c r="C1820" s="16" t="s">
        <v>25</v>
      </c>
      <c r="D1820" s="16" t="s">
        <v>727</v>
      </c>
      <c r="E1820" s="17">
        <f>IFERROR(VLOOKUP(Tabulka2[[#This Row],[Pracovník]],DATA!A:L,5,0),"")</f>
        <v>4155</v>
      </c>
      <c r="F1820" s="12" t="s">
        <v>655</v>
      </c>
      <c r="G1820" s="16"/>
      <c r="H1820" s="18"/>
      <c r="I1820" s="27" t="str">
        <f>IFERROR(VLOOKUP(Tabulka2[[#This Row],[Pracovník]],DATA!A:L,11,0),"")</f>
        <v>BATZ 1</v>
      </c>
      <c r="J1820" s="16"/>
      <c r="K1820" s="19"/>
    </row>
    <row r="1821" spans="1:11" x14ac:dyDescent="0.25">
      <c r="A18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21" s="22">
        <v>45937</v>
      </c>
      <c r="C1821" s="16" t="s">
        <v>25</v>
      </c>
      <c r="D1821" s="16" t="s">
        <v>728</v>
      </c>
      <c r="E1821" s="17">
        <f>IFERROR(VLOOKUP(Tabulka2[[#This Row],[Pracovník]],DATA!A:L,5,0),"")</f>
        <v>0</v>
      </c>
      <c r="F1821" s="12" t="s">
        <v>640</v>
      </c>
      <c r="G1821" s="16"/>
      <c r="H1821" s="18"/>
      <c r="I1821" s="27" t="str">
        <f>IFERROR(VLOOKUP(Tabulka2[[#This Row],[Pracovník]],DATA!A:L,11,0),"")</f>
        <v>BATZ 1</v>
      </c>
      <c r="J1821" s="16"/>
      <c r="K1821" s="19"/>
    </row>
    <row r="1822" spans="1:11" x14ac:dyDescent="0.25">
      <c r="A18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22" s="22">
        <v>45937</v>
      </c>
      <c r="C1822" s="16" t="s">
        <v>25</v>
      </c>
      <c r="D1822" s="16" t="s">
        <v>729</v>
      </c>
      <c r="E1822" s="17">
        <f>IFERROR(VLOOKUP(Tabulka2[[#This Row],[Pracovník]],DATA!A:L,5,0),"")</f>
        <v>5179</v>
      </c>
      <c r="F1822" s="12" t="s">
        <v>655</v>
      </c>
      <c r="G1822" s="16"/>
      <c r="H1822" s="18"/>
      <c r="I1822" s="27" t="str">
        <f>IFERROR(VLOOKUP(Tabulka2[[#This Row],[Pracovník]],DATA!A:L,11,0),"")</f>
        <v>BATZ 1</v>
      </c>
      <c r="J1822" s="16"/>
      <c r="K1822" s="19"/>
    </row>
    <row r="1823" spans="1:11" x14ac:dyDescent="0.25">
      <c r="A18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23" s="22">
        <v>45937</v>
      </c>
      <c r="C1823" s="16" t="s">
        <v>25</v>
      </c>
      <c r="D1823" s="16" t="s">
        <v>730</v>
      </c>
      <c r="E1823" s="17">
        <f>IFERROR(VLOOKUP(Tabulka2[[#This Row],[Pracovník]],DATA!A:L,5,0),"")</f>
        <v>4912</v>
      </c>
      <c r="F1823" s="12" t="s">
        <v>654</v>
      </c>
      <c r="G1823" s="16"/>
      <c r="H1823" s="18"/>
      <c r="I1823" s="27" t="str">
        <f>IFERROR(VLOOKUP(Tabulka2[[#This Row],[Pracovník]],DATA!A:L,11,0),"")</f>
        <v>BATZ 2</v>
      </c>
      <c r="J1823" s="16"/>
      <c r="K1823" s="19"/>
    </row>
    <row r="1824" spans="1:11" x14ac:dyDescent="0.25">
      <c r="A18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24" s="22">
        <v>45937</v>
      </c>
      <c r="C1824" s="16" t="s">
        <v>25</v>
      </c>
      <c r="D1824" s="16" t="s">
        <v>713</v>
      </c>
      <c r="E1824" s="17">
        <f>IFERROR(VLOOKUP(Tabulka2[[#This Row],[Pracovník]],DATA!A:L,5,0),"")</f>
        <v>6507</v>
      </c>
      <c r="F1824" s="12" t="s">
        <v>654</v>
      </c>
      <c r="G1824" s="16"/>
      <c r="H1824" s="18"/>
      <c r="I1824" s="27" t="str">
        <f>IFERROR(VLOOKUP(Tabulka2[[#This Row],[Pracovník]],DATA!A:L,11,0),"")</f>
        <v>BATZ 1</v>
      </c>
      <c r="J1824" s="16"/>
      <c r="K1824" s="19"/>
    </row>
    <row r="1825" spans="1:11" x14ac:dyDescent="0.25">
      <c r="A18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25" s="22">
        <v>45937</v>
      </c>
      <c r="C1825" s="16" t="s">
        <v>25</v>
      </c>
      <c r="D1825" s="16" t="s">
        <v>732</v>
      </c>
      <c r="E1825" s="17">
        <f>IFERROR(VLOOKUP(Tabulka2[[#This Row],[Pracovník]],DATA!A:L,5,0),"")</f>
        <v>3937</v>
      </c>
      <c r="F1825" s="12" t="s">
        <v>640</v>
      </c>
      <c r="G1825" s="16"/>
      <c r="H1825" s="18"/>
      <c r="I1825" s="27" t="str">
        <f>IFERROR(VLOOKUP(Tabulka2[[#This Row],[Pracovník]],DATA!A:L,11,0),"")</f>
        <v>BATZ 1</v>
      </c>
      <c r="J1825" s="16"/>
      <c r="K1825" s="19"/>
    </row>
    <row r="1826" spans="1:11" x14ac:dyDescent="0.25">
      <c r="A18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26" s="22">
        <v>45937</v>
      </c>
      <c r="C1826" s="16" t="s">
        <v>25</v>
      </c>
      <c r="D1826" s="16" t="s">
        <v>733</v>
      </c>
      <c r="E1826" s="17">
        <f>IFERROR(VLOOKUP(Tabulka2[[#This Row],[Pracovník]],DATA!A:L,5,0),"")</f>
        <v>6076</v>
      </c>
      <c r="F1826" s="12" t="s">
        <v>640</v>
      </c>
      <c r="G1826" s="16"/>
      <c r="H1826" s="18"/>
      <c r="I1826" s="27" t="str">
        <f>IFERROR(VLOOKUP(Tabulka2[[#This Row],[Pracovník]],DATA!A:L,11,0),"")</f>
        <v>BATZ 1</v>
      </c>
      <c r="J1826" s="16"/>
      <c r="K1826" s="19"/>
    </row>
    <row r="1827" spans="1:11" x14ac:dyDescent="0.25">
      <c r="A18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27" s="22">
        <v>45937</v>
      </c>
      <c r="C1827" s="16" t="s">
        <v>25</v>
      </c>
      <c r="D1827" s="16" t="s">
        <v>734</v>
      </c>
      <c r="E1827" s="17">
        <f>IFERROR(VLOOKUP(Tabulka2[[#This Row],[Pracovník]],DATA!A:L,5,0),"")</f>
        <v>3648</v>
      </c>
      <c r="F1827" s="12" t="s">
        <v>654</v>
      </c>
      <c r="G1827" s="16"/>
      <c r="H1827" s="18"/>
      <c r="I1827" s="27" t="str">
        <f>IFERROR(VLOOKUP(Tabulka2[[#This Row],[Pracovník]],DATA!A:L,11,0),"")</f>
        <v>BATZ 1</v>
      </c>
      <c r="J1827" s="16"/>
      <c r="K1827" s="19"/>
    </row>
    <row r="1828" spans="1:11" x14ac:dyDescent="0.25">
      <c r="A18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28" s="22">
        <v>45937</v>
      </c>
      <c r="C1828" s="16" t="s">
        <v>25</v>
      </c>
      <c r="D1828" s="16" t="s">
        <v>735</v>
      </c>
      <c r="E1828" s="17">
        <f>IFERROR(VLOOKUP(Tabulka2[[#This Row],[Pracovník]],DATA!A:L,5,0),"")</f>
        <v>4602</v>
      </c>
      <c r="F1828" s="12" t="s">
        <v>655</v>
      </c>
      <c r="G1828" s="16"/>
      <c r="H1828" s="18"/>
      <c r="I1828" s="27" t="str">
        <f>IFERROR(VLOOKUP(Tabulka2[[#This Row],[Pracovník]],DATA!A:L,11,0),"")</f>
        <v>BATZ 1</v>
      </c>
      <c r="J1828" s="16"/>
      <c r="K1828" s="19"/>
    </row>
    <row r="1829" spans="1:11" x14ac:dyDescent="0.25">
      <c r="A18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29" s="22">
        <v>45937</v>
      </c>
      <c r="C1829" s="16" t="s">
        <v>25</v>
      </c>
      <c r="D1829" s="16" t="s">
        <v>736</v>
      </c>
      <c r="E1829" s="17">
        <f>IFERROR(VLOOKUP(Tabulka2[[#This Row],[Pracovník]],DATA!A:L,5,0),"")</f>
        <v>4940</v>
      </c>
      <c r="F1829" s="12" t="s">
        <v>654</v>
      </c>
      <c r="G1829" s="16"/>
      <c r="H1829" s="18"/>
      <c r="I1829" s="27" t="str">
        <f>IFERROR(VLOOKUP(Tabulka2[[#This Row],[Pracovník]],DATA!A:L,11,0),"")</f>
        <v>BATZ 1</v>
      </c>
      <c r="J1829" s="16"/>
      <c r="K1829" s="19"/>
    </row>
    <row r="1830" spans="1:11" x14ac:dyDescent="0.25">
      <c r="A18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30" s="22">
        <v>45937</v>
      </c>
      <c r="C1830" s="16" t="s">
        <v>25</v>
      </c>
      <c r="D1830" s="16" t="s">
        <v>737</v>
      </c>
      <c r="E1830" s="17">
        <f>IFERROR(VLOOKUP(Tabulka2[[#This Row],[Pracovník]],DATA!A:L,5,0),"")</f>
        <v>5660</v>
      </c>
      <c r="F1830" s="12" t="s">
        <v>640</v>
      </c>
      <c r="G1830" s="16"/>
      <c r="H1830" s="18"/>
      <c r="I1830" s="27" t="str">
        <f>IFERROR(VLOOKUP(Tabulka2[[#This Row],[Pracovník]],DATA!A:L,11,0),"")</f>
        <v>BATZ 1</v>
      </c>
      <c r="J1830" s="16"/>
      <c r="K1830" s="19"/>
    </row>
    <row r="1831" spans="1:11" x14ac:dyDescent="0.25">
      <c r="A18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31" s="22">
        <v>45937</v>
      </c>
      <c r="C1831" s="16" t="s">
        <v>25</v>
      </c>
      <c r="D1831" s="16" t="s">
        <v>738</v>
      </c>
      <c r="E1831" s="17">
        <f>IFERROR(VLOOKUP(Tabulka2[[#This Row],[Pracovník]],DATA!A:L,5,0),"")</f>
        <v>6243</v>
      </c>
      <c r="F1831" s="12" t="s">
        <v>653</v>
      </c>
      <c r="G1831" s="16" t="s">
        <v>926</v>
      </c>
      <c r="H1831" s="18"/>
      <c r="I1831" s="27" t="str">
        <f>IFERROR(VLOOKUP(Tabulka2[[#This Row],[Pracovník]],DATA!A:L,11,0),"")</f>
        <v>BATZ 2</v>
      </c>
      <c r="J1831" s="16"/>
      <c r="K1831" s="19"/>
    </row>
    <row r="1832" spans="1:11" x14ac:dyDescent="0.25">
      <c r="A18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32" s="22">
        <v>45937</v>
      </c>
      <c r="C1832" s="16" t="s">
        <v>25</v>
      </c>
      <c r="D1832" s="16" t="s">
        <v>739</v>
      </c>
      <c r="E1832" s="17">
        <f>IFERROR(VLOOKUP(Tabulka2[[#This Row],[Pracovník]],DATA!A:L,5,0),"")</f>
        <v>6339</v>
      </c>
      <c r="F1832" s="12" t="s">
        <v>653</v>
      </c>
      <c r="G1832" s="16" t="s">
        <v>657</v>
      </c>
      <c r="H1832" s="18"/>
      <c r="I1832" s="27" t="str">
        <f>IFERROR(VLOOKUP(Tabulka2[[#This Row],[Pracovník]],DATA!A:L,11,0),"")</f>
        <v>BATZ 1</v>
      </c>
      <c r="J1832" s="16"/>
      <c r="K1832" s="19"/>
    </row>
    <row r="1833" spans="1:11" x14ac:dyDescent="0.25">
      <c r="A18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33" s="22">
        <v>45937</v>
      </c>
      <c r="C1833" s="16" t="s">
        <v>25</v>
      </c>
      <c r="D1833" s="16" t="s">
        <v>740</v>
      </c>
      <c r="E1833" s="17">
        <f>IFERROR(VLOOKUP(Tabulka2[[#This Row],[Pracovník]],DATA!A:L,5,0),"")</f>
        <v>4928</v>
      </c>
      <c r="F1833" s="12" t="s">
        <v>655</v>
      </c>
      <c r="G1833" s="16"/>
      <c r="H1833" s="18"/>
      <c r="I1833" s="27" t="str">
        <f>IFERROR(VLOOKUP(Tabulka2[[#This Row],[Pracovník]],DATA!A:L,11,0),"")</f>
        <v>BATZ 1</v>
      </c>
      <c r="J1833" s="16"/>
      <c r="K1833" s="19"/>
    </row>
    <row r="1834" spans="1:11" x14ac:dyDescent="0.25">
      <c r="A18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34" s="22">
        <v>45937</v>
      </c>
      <c r="C1834" s="16" t="s">
        <v>25</v>
      </c>
      <c r="D1834" s="16" t="s">
        <v>731</v>
      </c>
      <c r="E1834" s="17">
        <f>IFERROR(VLOOKUP(Tabulka2[[#This Row],[Pracovník]],DATA!A:L,5,0),"")</f>
        <v>0</v>
      </c>
      <c r="F1834" s="12" t="s">
        <v>655</v>
      </c>
      <c r="G1834" s="16"/>
      <c r="H1834" s="18"/>
      <c r="I1834" s="27" t="str">
        <f>IFERROR(VLOOKUP(Tabulka2[[#This Row],[Pracovník]],DATA!A:L,11,0),"")</f>
        <v>BATZ 1</v>
      </c>
      <c r="J1834" s="16"/>
      <c r="K1834" s="19"/>
    </row>
    <row r="1835" spans="1:11" x14ac:dyDescent="0.25">
      <c r="A18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35" s="22">
        <v>45937</v>
      </c>
      <c r="C1835" s="16" t="s">
        <v>25</v>
      </c>
      <c r="D1835" s="16" t="s">
        <v>924</v>
      </c>
      <c r="E1835" s="17">
        <f>IFERROR(VLOOKUP(Tabulka2[[#This Row],[Pracovník]],DATA!A:L,5,0),"")</f>
        <v>6581</v>
      </c>
      <c r="F1835" s="12" t="s">
        <v>655</v>
      </c>
      <c r="G1835" s="16"/>
      <c r="H1835" s="18"/>
      <c r="I1835" s="27" t="str">
        <f>IFERROR(VLOOKUP(Tabulka2[[#This Row],[Pracovník]],DATA!A:L,11,0),"")</f>
        <v>BATZ 1</v>
      </c>
      <c r="J1835" s="16"/>
      <c r="K1835" s="19"/>
    </row>
    <row r="1836" spans="1:11" x14ac:dyDescent="0.25">
      <c r="A18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36" s="22">
        <v>45937</v>
      </c>
      <c r="C1836" s="16" t="s">
        <v>96</v>
      </c>
      <c r="D1836" s="16" t="s">
        <v>641</v>
      </c>
      <c r="E1836" s="17">
        <f>IFERROR(VLOOKUP(Tabulka2[[#This Row],[Pracovník]],DATA!A:L,5,0),"")</f>
        <v>6259</v>
      </c>
      <c r="F1836" s="12" t="s">
        <v>640</v>
      </c>
      <c r="G1836" s="16"/>
      <c r="H1836" s="18"/>
      <c r="I1836" s="27" t="str">
        <f>IFERROR(VLOOKUP(Tabulka2[[#This Row],[Pracovník]],DATA!A:L,11,0),"")</f>
        <v>Vlastní auto</v>
      </c>
      <c r="J1836" s="16"/>
      <c r="K1836" s="19"/>
    </row>
    <row r="1837" spans="1:11" x14ac:dyDescent="0.25">
      <c r="A18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37" s="22">
        <v>45937</v>
      </c>
      <c r="C1837" s="16" t="s">
        <v>96</v>
      </c>
      <c r="D1837" s="16" t="s">
        <v>649</v>
      </c>
      <c r="E1837" s="17">
        <f>IFERROR(VLOOKUP(Tabulka2[[#This Row],[Pracovník]],DATA!A:L,5,0),"")</f>
        <v>3951</v>
      </c>
      <c r="F1837" s="12" t="s">
        <v>654</v>
      </c>
      <c r="G1837" s="16"/>
      <c r="H1837" s="18"/>
      <c r="I1837" s="27" t="str">
        <f>IFERROR(VLOOKUP(Tabulka2[[#This Row],[Pracovník]],DATA!A:L,11,0),"")</f>
        <v>Vlastní auto</v>
      </c>
      <c r="J1837" s="16"/>
      <c r="K1837" s="19"/>
    </row>
    <row r="1838" spans="1:11" x14ac:dyDescent="0.25">
      <c r="A18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38" s="22">
        <v>45937</v>
      </c>
      <c r="C1838" s="16" t="s">
        <v>96</v>
      </c>
      <c r="D1838" s="16" t="s">
        <v>742</v>
      </c>
      <c r="E1838" s="17">
        <f>IFERROR(VLOOKUP(Tabulka2[[#This Row],[Pracovník]],DATA!A:L,5,0),"")</f>
        <v>6450</v>
      </c>
      <c r="F1838" s="12" t="s">
        <v>654</v>
      </c>
      <c r="G1838" s="16"/>
      <c r="H1838" s="18"/>
      <c r="I1838" s="27" t="str">
        <f>IFERROR(VLOOKUP(Tabulka2[[#This Row],[Pracovník]],DATA!A:L,11,0),"")</f>
        <v>DSC 2</v>
      </c>
      <c r="J1838" s="16"/>
      <c r="K1838" s="19"/>
    </row>
    <row r="1839" spans="1:11" x14ac:dyDescent="0.25">
      <c r="A18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39" s="22">
        <v>45937</v>
      </c>
      <c r="C1839" s="16" t="s">
        <v>96</v>
      </c>
      <c r="D1839" s="16" t="s">
        <v>744</v>
      </c>
      <c r="E1839" s="17">
        <f>IFERROR(VLOOKUP(Tabulka2[[#This Row],[Pracovník]],DATA!A:L,5,0),"")</f>
        <v>5584</v>
      </c>
      <c r="F1839" s="12" t="s">
        <v>654</v>
      </c>
      <c r="G1839" s="16"/>
      <c r="H1839" s="18"/>
      <c r="I1839" s="27" t="str">
        <f>IFERROR(VLOOKUP(Tabulka2[[#This Row],[Pracovník]],DATA!A:L,11,0),"")</f>
        <v>Vlastní auto</v>
      </c>
      <c r="J1839" s="16"/>
      <c r="K1839" s="19"/>
    </row>
    <row r="1840" spans="1:11" x14ac:dyDescent="0.25">
      <c r="A18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40" s="22">
        <v>45937</v>
      </c>
      <c r="C1840" s="16" t="s">
        <v>96</v>
      </c>
      <c r="D1840" s="16" t="s">
        <v>745</v>
      </c>
      <c r="E1840" s="17">
        <f>IFERROR(VLOOKUP(Tabulka2[[#This Row],[Pracovník]],DATA!A:L,5,0),"")</f>
        <v>6418</v>
      </c>
      <c r="F1840" s="12" t="s">
        <v>640</v>
      </c>
      <c r="G1840" s="16"/>
      <c r="H1840" s="18"/>
      <c r="I1840" s="27" t="str">
        <f>IFERROR(VLOOKUP(Tabulka2[[#This Row],[Pracovník]],DATA!A:L,11,0),"")</f>
        <v>Vlastní auto</v>
      </c>
      <c r="J1840" s="16"/>
      <c r="K1840" s="19"/>
    </row>
    <row r="1841" spans="1:11" x14ac:dyDescent="0.25">
      <c r="A18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41" s="22">
        <v>45937</v>
      </c>
      <c r="C1841" s="16" t="s">
        <v>96</v>
      </c>
      <c r="D1841" s="16" t="s">
        <v>747</v>
      </c>
      <c r="E1841" s="17">
        <f>IFERROR(VLOOKUP(Tabulka2[[#This Row],[Pracovník]],DATA!A:L,5,0),"")</f>
        <v>6177</v>
      </c>
      <c r="F1841" s="12" t="s">
        <v>654</v>
      </c>
      <c r="G1841" s="16"/>
      <c r="H1841" s="18"/>
      <c r="I1841" s="27" t="str">
        <f>IFERROR(VLOOKUP(Tabulka2[[#This Row],[Pracovník]],DATA!A:L,11,0),"")</f>
        <v>DSC 1</v>
      </c>
      <c r="J1841" s="16"/>
      <c r="K1841" s="19"/>
    </row>
    <row r="1842" spans="1:11" x14ac:dyDescent="0.25">
      <c r="A18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42" s="22">
        <v>45937</v>
      </c>
      <c r="C1842" s="16" t="s">
        <v>96</v>
      </c>
      <c r="D1842" s="16" t="s">
        <v>741</v>
      </c>
      <c r="E1842" s="17">
        <f>IFERROR(VLOOKUP(Tabulka2[[#This Row],[Pracovník]],DATA!A:L,5,0),"")</f>
        <v>4894</v>
      </c>
      <c r="F1842" s="12" t="s">
        <v>654</v>
      </c>
      <c r="G1842" s="16"/>
      <c r="H1842" s="18"/>
      <c r="I1842" s="27" t="str">
        <f>IFERROR(VLOOKUP(Tabulka2[[#This Row],[Pracovník]],DATA!A:L,11,0),"")</f>
        <v>Vlastní auto</v>
      </c>
      <c r="J1842" s="16"/>
      <c r="K1842" s="19"/>
    </row>
    <row r="1843" spans="1:11" x14ac:dyDescent="0.25">
      <c r="A18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43" s="22">
        <v>45937</v>
      </c>
      <c r="C1843" s="16" t="s">
        <v>96</v>
      </c>
      <c r="D1843" s="16" t="s">
        <v>746</v>
      </c>
      <c r="E1843" s="17">
        <f>IFERROR(VLOOKUP(Tabulka2[[#This Row],[Pracovník]],DATA!A:L,5,0),"")</f>
        <v>6543</v>
      </c>
      <c r="F1843" s="12" t="s">
        <v>654</v>
      </c>
      <c r="G1843" s="16"/>
      <c r="H1843" s="18"/>
      <c r="I1843" s="27" t="str">
        <f>IFERROR(VLOOKUP(Tabulka2[[#This Row],[Pracovník]],DATA!A:L,11,0),"")</f>
        <v>DSC 1</v>
      </c>
      <c r="J1843" s="16"/>
      <c r="K1843" s="19"/>
    </row>
    <row r="1844" spans="1:11" x14ac:dyDescent="0.25">
      <c r="A18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44" s="22">
        <v>45937</v>
      </c>
      <c r="C1844" s="16" t="s">
        <v>96</v>
      </c>
      <c r="D1844" s="16" t="s">
        <v>748</v>
      </c>
      <c r="E1844" s="17">
        <f>IFERROR(VLOOKUP(Tabulka2[[#This Row],[Pracovník]],DATA!A:L,5,0),"")</f>
        <v>6541</v>
      </c>
      <c r="F1844" s="12" t="s">
        <v>654</v>
      </c>
      <c r="G1844" s="16"/>
      <c r="H1844" s="18"/>
      <c r="I1844" s="27" t="str">
        <f>IFERROR(VLOOKUP(Tabulka2[[#This Row],[Pracovník]],DATA!A:L,11,0),"")</f>
        <v>DSC 2</v>
      </c>
      <c r="J1844" s="16"/>
      <c r="K1844" s="19"/>
    </row>
    <row r="1845" spans="1:11" x14ac:dyDescent="0.25">
      <c r="A18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45" s="22">
        <v>45937</v>
      </c>
      <c r="C1845" s="16" t="s">
        <v>96</v>
      </c>
      <c r="D1845" s="16" t="s">
        <v>749</v>
      </c>
      <c r="E1845" s="17">
        <f>IFERROR(VLOOKUP(Tabulka2[[#This Row],[Pracovník]],DATA!A:L,5,0),"")</f>
        <v>6442</v>
      </c>
      <c r="F1845" s="12" t="s">
        <v>640</v>
      </c>
      <c r="G1845" s="16"/>
      <c r="H1845" s="18"/>
      <c r="I1845" s="27" t="str">
        <f>IFERROR(VLOOKUP(Tabulka2[[#This Row],[Pracovník]],DATA!A:L,11,0),"")</f>
        <v>DSC 2</v>
      </c>
      <c r="J1845" s="16"/>
      <c r="K1845" s="19"/>
    </row>
    <row r="1846" spans="1:11" x14ac:dyDescent="0.25">
      <c r="A18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46" s="22">
        <v>45937</v>
      </c>
      <c r="C1846" s="16" t="s">
        <v>96</v>
      </c>
      <c r="D1846" s="16" t="s">
        <v>750</v>
      </c>
      <c r="E1846" s="17">
        <f>IFERROR(VLOOKUP(Tabulka2[[#This Row],[Pracovník]],DATA!A:L,5,0),"")</f>
        <v>6143</v>
      </c>
      <c r="F1846" s="12" t="s">
        <v>640</v>
      </c>
      <c r="G1846" s="16"/>
      <c r="H1846" s="18"/>
      <c r="I1846" s="27" t="str">
        <f>IFERROR(VLOOKUP(Tabulka2[[#This Row],[Pracovník]],DATA!A:L,11,0),"")</f>
        <v>Vlastní auto</v>
      </c>
      <c r="J1846" s="16"/>
      <c r="K1846" s="19"/>
    </row>
    <row r="1847" spans="1:11" x14ac:dyDescent="0.25">
      <c r="A18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47" s="22">
        <v>45937</v>
      </c>
      <c r="C1847" s="16" t="s">
        <v>96</v>
      </c>
      <c r="D1847" s="16" t="s">
        <v>751</v>
      </c>
      <c r="E1847" s="17">
        <f>IFERROR(VLOOKUP(Tabulka2[[#This Row],[Pracovník]],DATA!A:L,5,0),"")</f>
        <v>6260</v>
      </c>
      <c r="F1847" s="12" t="s">
        <v>640</v>
      </c>
      <c r="G1847" s="16"/>
      <c r="H1847" s="18"/>
      <c r="I1847" s="27" t="str">
        <f>IFERROR(VLOOKUP(Tabulka2[[#This Row],[Pracovník]],DATA!A:L,11,0),"")</f>
        <v>Vlastní auto</v>
      </c>
      <c r="J1847" s="16"/>
      <c r="K1847" s="19"/>
    </row>
    <row r="1848" spans="1:11" x14ac:dyDescent="0.25">
      <c r="A18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48" s="22">
        <v>45937</v>
      </c>
      <c r="C1848" s="16" t="s">
        <v>96</v>
      </c>
      <c r="D1848" s="16" t="s">
        <v>752</v>
      </c>
      <c r="E1848" s="17">
        <f>IFERROR(VLOOKUP(Tabulka2[[#This Row],[Pracovník]],DATA!A:L,5,0),"")</f>
        <v>6430</v>
      </c>
      <c r="F1848" s="12" t="s">
        <v>640</v>
      </c>
      <c r="G1848" s="16"/>
      <c r="H1848" s="18"/>
      <c r="I1848" s="27" t="str">
        <f>IFERROR(VLOOKUP(Tabulka2[[#This Row],[Pracovník]],DATA!A:L,11,0),"")</f>
        <v>Vlastní auto</v>
      </c>
      <c r="J1848" s="16"/>
      <c r="K1848" s="19"/>
    </row>
    <row r="1849" spans="1:11" x14ac:dyDescent="0.25">
      <c r="A18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49" s="22">
        <v>45937</v>
      </c>
      <c r="C1849" s="16" t="s">
        <v>96</v>
      </c>
      <c r="D1849" s="16" t="s">
        <v>753</v>
      </c>
      <c r="E1849" s="17">
        <f>IFERROR(VLOOKUP(Tabulka2[[#This Row],[Pracovník]],DATA!A:L,5,0),"")</f>
        <v>6016</v>
      </c>
      <c r="F1849" s="12" t="s">
        <v>640</v>
      </c>
      <c r="G1849" s="16"/>
      <c r="H1849" s="18"/>
      <c r="I1849" s="27" t="str">
        <f>IFERROR(VLOOKUP(Tabulka2[[#This Row],[Pracovník]],DATA!A:L,11,0),"")</f>
        <v>DSC 2</v>
      </c>
      <c r="J1849" s="16"/>
      <c r="K1849" s="19"/>
    </row>
    <row r="1850" spans="1:11" x14ac:dyDescent="0.25">
      <c r="A18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50" s="22">
        <v>45937</v>
      </c>
      <c r="C1850" s="16" t="s">
        <v>96</v>
      </c>
      <c r="D1850" s="16" t="s">
        <v>754</v>
      </c>
      <c r="E1850" s="17">
        <f>IFERROR(VLOOKUP(Tabulka2[[#This Row],[Pracovník]],DATA!A:L,5,0),"")</f>
        <v>6437</v>
      </c>
      <c r="F1850" s="12" t="s">
        <v>640</v>
      </c>
      <c r="G1850" s="16"/>
      <c r="H1850" s="18"/>
      <c r="I1850" s="27" t="str">
        <f>IFERROR(VLOOKUP(Tabulka2[[#This Row],[Pracovník]],DATA!A:L,11,0),"")</f>
        <v>DSC 2</v>
      </c>
      <c r="J1850" s="16"/>
      <c r="K1850" s="19"/>
    </row>
    <row r="1851" spans="1:11" x14ac:dyDescent="0.25">
      <c r="A18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51" s="22">
        <v>45937</v>
      </c>
      <c r="C1851" s="16" t="s">
        <v>96</v>
      </c>
      <c r="D1851" s="16" t="s">
        <v>756</v>
      </c>
      <c r="E1851" s="17">
        <f>IFERROR(VLOOKUP(Tabulka2[[#This Row],[Pracovník]],DATA!A:L,5,0),"")</f>
        <v>6431</v>
      </c>
      <c r="F1851" s="12" t="s">
        <v>640</v>
      </c>
      <c r="G1851" s="16"/>
      <c r="H1851" s="18"/>
      <c r="I1851" s="27" t="str">
        <f>IFERROR(VLOOKUP(Tabulka2[[#This Row],[Pracovník]],DATA!A:L,11,0),"")</f>
        <v>DSC 1</v>
      </c>
      <c r="J1851" s="16"/>
      <c r="K1851" s="19"/>
    </row>
    <row r="1852" spans="1:11" x14ac:dyDescent="0.25">
      <c r="A18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52" s="22">
        <v>45937</v>
      </c>
      <c r="C1852" s="16" t="s">
        <v>96</v>
      </c>
      <c r="D1852" s="16" t="s">
        <v>642</v>
      </c>
      <c r="E1852" s="17">
        <f>IFERROR(VLOOKUP(Tabulka2[[#This Row],[Pracovník]],DATA!A:L,5,0),"")</f>
        <v>6119</v>
      </c>
      <c r="F1852" s="12" t="s">
        <v>654</v>
      </c>
      <c r="G1852" s="16"/>
      <c r="H1852" s="18"/>
      <c r="I1852" s="27" t="str">
        <f>IFERROR(VLOOKUP(Tabulka2[[#This Row],[Pracovník]],DATA!A:L,11,0),"")</f>
        <v>DSC 1</v>
      </c>
      <c r="J1852" s="16"/>
      <c r="K1852" s="19"/>
    </row>
    <row r="1853" spans="1:11" x14ac:dyDescent="0.25">
      <c r="A18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53" s="22">
        <v>45937</v>
      </c>
      <c r="C1853" s="16" t="s">
        <v>96</v>
      </c>
      <c r="D1853" s="16" t="s">
        <v>757</v>
      </c>
      <c r="E1853" s="17">
        <f>IFERROR(VLOOKUP(Tabulka2[[#This Row],[Pracovník]],DATA!A:L,5,0),"")</f>
        <v>6559</v>
      </c>
      <c r="F1853" s="12" t="s">
        <v>654</v>
      </c>
      <c r="G1853" s="16"/>
      <c r="H1853" s="18"/>
      <c r="I1853" s="27" t="str">
        <f>IFERROR(VLOOKUP(Tabulka2[[#This Row],[Pracovník]],DATA!A:L,11,0),"")</f>
        <v>DSC 1</v>
      </c>
      <c r="J1853" s="16"/>
      <c r="K1853" s="19"/>
    </row>
    <row r="1854" spans="1:11" x14ac:dyDescent="0.25">
      <c r="A18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54" s="22">
        <v>45937</v>
      </c>
      <c r="C1854" s="16" t="s">
        <v>96</v>
      </c>
      <c r="D1854" s="16" t="s">
        <v>758</v>
      </c>
      <c r="E1854" s="17">
        <f>IFERROR(VLOOKUP(Tabulka2[[#This Row],[Pracovník]],DATA!A:L,5,0),"")</f>
        <v>4392</v>
      </c>
      <c r="F1854" s="12" t="s">
        <v>654</v>
      </c>
      <c r="G1854" s="16"/>
      <c r="H1854" s="18"/>
      <c r="I1854" s="27" t="str">
        <f>IFERROR(VLOOKUP(Tabulka2[[#This Row],[Pracovník]],DATA!A:L,11,0),"")</f>
        <v>DSC 1</v>
      </c>
      <c r="J1854" s="16"/>
      <c r="K1854" s="19"/>
    </row>
    <row r="1855" spans="1:11" x14ac:dyDescent="0.25">
      <c r="A18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55" s="22">
        <v>45937</v>
      </c>
      <c r="C1855" s="16" t="s">
        <v>96</v>
      </c>
      <c r="D1855" s="16" t="s">
        <v>760</v>
      </c>
      <c r="E1855" s="17">
        <f>IFERROR(VLOOKUP(Tabulka2[[#This Row],[Pracovník]],DATA!A:L,5,0),"")</f>
        <v>6514</v>
      </c>
      <c r="F1855" s="12" t="s">
        <v>640</v>
      </c>
      <c r="G1855" s="16"/>
      <c r="H1855" s="18"/>
      <c r="I1855" s="27" t="str">
        <f>IFERROR(VLOOKUP(Tabulka2[[#This Row],[Pracovník]],DATA!A:L,11,0),"")</f>
        <v>DSC 2</v>
      </c>
      <c r="J1855" s="16"/>
      <c r="K1855" s="19"/>
    </row>
    <row r="1856" spans="1:11" x14ac:dyDescent="0.25">
      <c r="A18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56" s="22">
        <v>45937</v>
      </c>
      <c r="C1856" s="16" t="s">
        <v>96</v>
      </c>
      <c r="D1856" s="16" t="s">
        <v>761</v>
      </c>
      <c r="E1856" s="17">
        <f>IFERROR(VLOOKUP(Tabulka2[[#This Row],[Pracovník]],DATA!A:L,5,0),"")</f>
        <v>6516</v>
      </c>
      <c r="F1856" s="12" t="s">
        <v>640</v>
      </c>
      <c r="G1856" s="16"/>
      <c r="H1856" s="18"/>
      <c r="I1856" s="27" t="str">
        <f>IFERROR(VLOOKUP(Tabulka2[[#This Row],[Pracovník]],DATA!A:L,11,0),"")</f>
        <v>DSC 1</v>
      </c>
      <c r="J1856" s="16"/>
      <c r="K1856" s="19"/>
    </row>
    <row r="1857" spans="1:11" x14ac:dyDescent="0.25">
      <c r="A18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57" s="22">
        <v>45937</v>
      </c>
      <c r="C1857" s="16" t="s">
        <v>96</v>
      </c>
      <c r="D1857" s="16" t="s">
        <v>762</v>
      </c>
      <c r="E1857" s="17">
        <f>IFERROR(VLOOKUP(Tabulka2[[#This Row],[Pracovník]],DATA!A:L,5,0),"")</f>
        <v>0</v>
      </c>
      <c r="F1857" s="12" t="s">
        <v>640</v>
      </c>
      <c r="G1857" s="16"/>
      <c r="H1857" s="18"/>
      <c r="I1857" s="27" t="str">
        <f>IFERROR(VLOOKUP(Tabulka2[[#This Row],[Pracovník]],DATA!A:L,11,0),"")</f>
        <v>Vlastní auto</v>
      </c>
      <c r="J1857" s="16"/>
      <c r="K1857" s="19"/>
    </row>
    <row r="1858" spans="1:11" x14ac:dyDescent="0.25">
      <c r="A18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58" s="22">
        <v>45937</v>
      </c>
      <c r="C1858" s="16" t="s">
        <v>96</v>
      </c>
      <c r="D1858" s="16" t="s">
        <v>763</v>
      </c>
      <c r="E1858" s="17">
        <f>IFERROR(VLOOKUP(Tabulka2[[#This Row],[Pracovník]],DATA!A:L,5,0),"")</f>
        <v>6158</v>
      </c>
      <c r="F1858" s="12" t="s">
        <v>654</v>
      </c>
      <c r="G1858" s="16"/>
      <c r="H1858" s="18"/>
      <c r="I1858" s="27" t="str">
        <f>IFERROR(VLOOKUP(Tabulka2[[#This Row],[Pracovník]],DATA!A:L,11,0),"")</f>
        <v>DSC 2</v>
      </c>
      <c r="J1858" s="16"/>
      <c r="K1858" s="19"/>
    </row>
    <row r="1859" spans="1:11" x14ac:dyDescent="0.25">
      <c r="A18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59" s="22">
        <v>45937</v>
      </c>
      <c r="C1859" s="16" t="s">
        <v>96</v>
      </c>
      <c r="D1859" s="16" t="s">
        <v>764</v>
      </c>
      <c r="E1859" s="17">
        <f>IFERROR(VLOOKUP(Tabulka2[[#This Row],[Pracovník]],DATA!A:L,5,0),"")</f>
        <v>3063</v>
      </c>
      <c r="F1859" s="12" t="s">
        <v>654</v>
      </c>
      <c r="G1859" s="16"/>
      <c r="H1859" s="18"/>
      <c r="I1859" s="27" t="str">
        <f>IFERROR(VLOOKUP(Tabulka2[[#This Row],[Pracovník]],DATA!A:L,11,0),"")</f>
        <v>DSC 2</v>
      </c>
      <c r="J1859" s="16"/>
      <c r="K1859" s="19"/>
    </row>
    <row r="1860" spans="1:11" x14ac:dyDescent="0.25">
      <c r="A18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60" s="22">
        <v>45937</v>
      </c>
      <c r="C1860" s="16" t="s">
        <v>96</v>
      </c>
      <c r="D1860" s="16" t="s">
        <v>765</v>
      </c>
      <c r="E1860" s="17">
        <f>IFERROR(VLOOKUP(Tabulka2[[#This Row],[Pracovník]],DATA!A:L,5,0),"")</f>
        <v>5853</v>
      </c>
      <c r="F1860" s="12" t="s">
        <v>640</v>
      </c>
      <c r="G1860" s="16"/>
      <c r="H1860" s="18"/>
      <c r="I1860" s="27" t="str">
        <f>IFERROR(VLOOKUP(Tabulka2[[#This Row],[Pracovník]],DATA!A:L,11,0),"")</f>
        <v>DSC 2</v>
      </c>
      <c r="J1860" s="16"/>
      <c r="K1860" s="19"/>
    </row>
    <row r="1861" spans="1:11" x14ac:dyDescent="0.25">
      <c r="A18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61" s="22">
        <v>45937</v>
      </c>
      <c r="C1861" s="16" t="s">
        <v>96</v>
      </c>
      <c r="D1861" s="16" t="s">
        <v>766</v>
      </c>
      <c r="E1861" s="17">
        <f>IFERROR(VLOOKUP(Tabulka2[[#This Row],[Pracovník]],DATA!A:L,5,0),"")</f>
        <v>6408</v>
      </c>
      <c r="F1861" s="12" t="s">
        <v>654</v>
      </c>
      <c r="G1861" s="16"/>
      <c r="H1861" s="18"/>
      <c r="I1861" s="27" t="str">
        <f>IFERROR(VLOOKUP(Tabulka2[[#This Row],[Pracovník]],DATA!A:L,11,0),"")</f>
        <v>Vlastní auto</v>
      </c>
      <c r="J1861" s="16"/>
      <c r="K1861" s="19"/>
    </row>
    <row r="1862" spans="1:11" x14ac:dyDescent="0.25">
      <c r="A18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62" s="22">
        <v>45937</v>
      </c>
      <c r="C1862" s="16" t="s">
        <v>96</v>
      </c>
      <c r="D1862" s="16" t="s">
        <v>767</v>
      </c>
      <c r="E1862" s="17">
        <f>IFERROR(VLOOKUP(Tabulka2[[#This Row],[Pracovník]],DATA!A:L,5,0),"")</f>
        <v>6544</v>
      </c>
      <c r="F1862" s="12" t="s">
        <v>640</v>
      </c>
      <c r="G1862" s="16"/>
      <c r="H1862" s="18"/>
      <c r="I1862" s="27" t="str">
        <f>IFERROR(VLOOKUP(Tabulka2[[#This Row],[Pracovník]],DATA!A:L,11,0),"")</f>
        <v>DSC 1</v>
      </c>
      <c r="J1862" s="16"/>
      <c r="K1862" s="19"/>
    </row>
    <row r="1863" spans="1:11" x14ac:dyDescent="0.25">
      <c r="A18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63" s="22">
        <v>45937</v>
      </c>
      <c r="C1863" s="16" t="s">
        <v>96</v>
      </c>
      <c r="D1863" s="16" t="s">
        <v>769</v>
      </c>
      <c r="E1863" s="17">
        <f>IFERROR(VLOOKUP(Tabulka2[[#This Row],[Pracovník]],DATA!A:L,5,0),"")</f>
        <v>0</v>
      </c>
      <c r="F1863" s="12" t="s">
        <v>640</v>
      </c>
      <c r="G1863" s="16"/>
      <c r="H1863" s="18"/>
      <c r="I1863" s="27" t="str">
        <f>IFERROR(VLOOKUP(Tabulka2[[#This Row],[Pracovník]],DATA!A:L,11,0),"")</f>
        <v>DSC 2</v>
      </c>
      <c r="J1863" s="16"/>
      <c r="K1863" s="19"/>
    </row>
    <row r="1864" spans="1:11" x14ac:dyDescent="0.25">
      <c r="A18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64" s="22">
        <v>45937</v>
      </c>
      <c r="C1864" s="16" t="s">
        <v>96</v>
      </c>
      <c r="D1864" s="16" t="s">
        <v>771</v>
      </c>
      <c r="E1864" s="17">
        <f>IFERROR(VLOOKUP(Tabulka2[[#This Row],[Pracovník]],DATA!A:L,5,0),"")</f>
        <v>6558</v>
      </c>
      <c r="F1864" s="12" t="s">
        <v>640</v>
      </c>
      <c r="G1864" s="16"/>
      <c r="H1864" s="18"/>
      <c r="I1864" s="27" t="str">
        <f>IFERROR(VLOOKUP(Tabulka2[[#This Row],[Pracovník]],DATA!A:L,11,0),"")</f>
        <v>DSC 1</v>
      </c>
      <c r="J1864" s="16"/>
      <c r="K1864" s="19"/>
    </row>
    <row r="1865" spans="1:11" x14ac:dyDescent="0.25">
      <c r="A18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65" s="22">
        <v>45937</v>
      </c>
      <c r="C1865" s="16" t="s">
        <v>96</v>
      </c>
      <c r="D1865" s="16" t="s">
        <v>771</v>
      </c>
      <c r="E1865" s="17">
        <f>IFERROR(VLOOKUP(Tabulka2[[#This Row],[Pracovník]],DATA!A:L,5,0),"")</f>
        <v>6558</v>
      </c>
      <c r="F1865" s="12" t="s">
        <v>640</v>
      </c>
      <c r="G1865" s="16"/>
      <c r="H1865" s="18"/>
      <c r="I1865" s="27" t="str">
        <f>IFERROR(VLOOKUP(Tabulka2[[#This Row],[Pracovník]],DATA!A:L,11,0),"")</f>
        <v>DSC 1</v>
      </c>
      <c r="J1865" s="16"/>
      <c r="K1865" s="19"/>
    </row>
    <row r="1866" spans="1:11" x14ac:dyDescent="0.25">
      <c r="A18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66" s="22">
        <v>45937</v>
      </c>
      <c r="C1866" s="16" t="s">
        <v>96</v>
      </c>
      <c r="D1866" s="16" t="s">
        <v>770</v>
      </c>
      <c r="E1866" s="17">
        <f>IFERROR(VLOOKUP(Tabulka2[[#This Row],[Pracovník]],DATA!A:L,5,0),"")</f>
        <v>6152</v>
      </c>
      <c r="F1866" s="12" t="s">
        <v>654</v>
      </c>
      <c r="G1866" s="16"/>
      <c r="H1866" s="18"/>
      <c r="I1866" s="27" t="str">
        <f>IFERROR(VLOOKUP(Tabulka2[[#This Row],[Pracovník]],DATA!A:L,11,0),"")</f>
        <v>DSC 2</v>
      </c>
      <c r="J1866" s="16"/>
      <c r="K1866" s="19"/>
    </row>
    <row r="1867" spans="1:11" x14ac:dyDescent="0.25">
      <c r="A18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67" s="22">
        <v>45937</v>
      </c>
      <c r="C1867" s="16" t="s">
        <v>28</v>
      </c>
      <c r="D1867" s="16" t="s">
        <v>646</v>
      </c>
      <c r="E1867" s="17">
        <f>IFERROR(VLOOKUP(Tabulka2[[#This Row],[Pracovník]],DATA!A:L,5,0),"")</f>
        <v>6537</v>
      </c>
      <c r="F1867" s="12" t="s">
        <v>655</v>
      </c>
      <c r="G1867" s="16"/>
      <c r="H1867" s="18"/>
      <c r="I1867" s="27" t="str">
        <f>IFERROR(VLOOKUP(Tabulka2[[#This Row],[Pracovník]],DATA!A:L,11,0),"")</f>
        <v>DSC 2</v>
      </c>
      <c r="J1867" s="16"/>
      <c r="K1867" s="19"/>
    </row>
    <row r="1868" spans="1:11" x14ac:dyDescent="0.25">
      <c r="A18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68" s="22">
        <v>45937</v>
      </c>
      <c r="C1868" s="16" t="s">
        <v>28</v>
      </c>
      <c r="D1868" s="16" t="s">
        <v>648</v>
      </c>
      <c r="E1868" s="17">
        <f>IFERROR(VLOOKUP(Tabulka2[[#This Row],[Pracovník]],DATA!A:L,5,0),"")</f>
        <v>5802</v>
      </c>
      <c r="F1868" s="12" t="s">
        <v>654</v>
      </c>
      <c r="G1868" s="16"/>
      <c r="H1868" s="18"/>
      <c r="I1868" s="27" t="str">
        <f>IFERROR(VLOOKUP(Tabulka2[[#This Row],[Pracovník]],DATA!A:L,11,0),"")</f>
        <v>Vlastní auto</v>
      </c>
      <c r="J1868" s="16"/>
      <c r="K1868" s="19"/>
    </row>
    <row r="1869" spans="1:11" x14ac:dyDescent="0.25">
      <c r="A18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69" s="22">
        <v>45937</v>
      </c>
      <c r="C1869" s="16" t="s">
        <v>28</v>
      </c>
      <c r="D1869" s="16" t="s">
        <v>772</v>
      </c>
      <c r="E1869" s="17">
        <f>IFERROR(VLOOKUP(Tabulka2[[#This Row],[Pracovník]],DATA!A:L,5,0),"")</f>
        <v>4869</v>
      </c>
      <c r="F1869" s="12" t="s">
        <v>640</v>
      </c>
      <c r="G1869" s="16"/>
      <c r="H1869" s="18"/>
      <c r="I1869" s="27" t="str">
        <f>IFERROR(VLOOKUP(Tabulka2[[#This Row],[Pracovník]],DATA!A:L,11,0),"")</f>
        <v>Vlastní auto</v>
      </c>
      <c r="J1869" s="16"/>
      <c r="K1869" s="19"/>
    </row>
    <row r="1870" spans="1:11" x14ac:dyDescent="0.25">
      <c r="A18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70" s="22">
        <v>45937</v>
      </c>
      <c r="C1870" s="16" t="s">
        <v>28</v>
      </c>
      <c r="D1870" s="16" t="s">
        <v>773</v>
      </c>
      <c r="E1870" s="17">
        <f>IFERROR(VLOOKUP(Tabulka2[[#This Row],[Pracovník]],DATA!A:L,5,0),"")</f>
        <v>6508</v>
      </c>
      <c r="F1870" s="12" t="s">
        <v>655</v>
      </c>
      <c r="G1870" s="16"/>
      <c r="H1870" s="18"/>
      <c r="I1870" s="27" t="str">
        <f>IFERROR(VLOOKUP(Tabulka2[[#This Row],[Pracovník]],DATA!A:L,11,0),"")</f>
        <v>Vlastní auto</v>
      </c>
      <c r="J1870" s="16"/>
      <c r="K1870" s="19"/>
    </row>
    <row r="1871" spans="1:11" x14ac:dyDescent="0.25">
      <c r="A18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71" s="22">
        <v>45937</v>
      </c>
      <c r="C1871" s="16" t="s">
        <v>28</v>
      </c>
      <c r="D1871" s="16" t="s">
        <v>774</v>
      </c>
      <c r="E1871" s="17">
        <f>IFERROR(VLOOKUP(Tabulka2[[#This Row],[Pracovník]],DATA!A:L,5,0),"")</f>
        <v>4607</v>
      </c>
      <c r="F1871" s="12" t="s">
        <v>654</v>
      </c>
      <c r="G1871" s="16"/>
      <c r="H1871" s="18"/>
      <c r="I1871" s="27" t="str">
        <f>IFERROR(VLOOKUP(Tabulka2[[#This Row],[Pracovník]],DATA!A:L,11,0),"")</f>
        <v>DSC 2</v>
      </c>
      <c r="J1871" s="16"/>
      <c r="K1871" s="19"/>
    </row>
    <row r="1872" spans="1:11" x14ac:dyDescent="0.25">
      <c r="A18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72" s="22">
        <v>45937</v>
      </c>
      <c r="C1872" s="16" t="s">
        <v>28</v>
      </c>
      <c r="D1872" s="16" t="s">
        <v>775</v>
      </c>
      <c r="E1872" s="17">
        <f>IFERROR(VLOOKUP(Tabulka2[[#This Row],[Pracovník]],DATA!A:L,5,0),"")</f>
        <v>5047</v>
      </c>
      <c r="F1872" s="12" t="s">
        <v>640</v>
      </c>
      <c r="G1872" s="16"/>
      <c r="H1872" s="18"/>
      <c r="I1872" s="27" t="str">
        <f>IFERROR(VLOOKUP(Tabulka2[[#This Row],[Pracovník]],DATA!A:L,11,0),"")</f>
        <v>Vlastní auto</v>
      </c>
      <c r="J1872" s="16"/>
      <c r="K1872" s="19"/>
    </row>
    <row r="1873" spans="1:11" x14ac:dyDescent="0.25">
      <c r="A18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73" s="22">
        <v>45937</v>
      </c>
      <c r="C1873" s="16" t="s">
        <v>28</v>
      </c>
      <c r="D1873" s="16" t="s">
        <v>777</v>
      </c>
      <c r="E1873" s="17">
        <f>IFERROR(VLOOKUP(Tabulka2[[#This Row],[Pracovník]],DATA!A:L,5,0),"")</f>
        <v>4616</v>
      </c>
      <c r="F1873" s="12" t="s">
        <v>654</v>
      </c>
      <c r="G1873" s="16"/>
      <c r="H1873" s="18"/>
      <c r="I1873" s="27" t="str">
        <f>IFERROR(VLOOKUP(Tabulka2[[#This Row],[Pracovník]],DATA!A:L,11,0),"")</f>
        <v>Vlastní auto</v>
      </c>
      <c r="J1873" s="16"/>
      <c r="K1873" s="19"/>
    </row>
    <row r="1874" spans="1:11" x14ac:dyDescent="0.25">
      <c r="A18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74" s="22">
        <v>45937</v>
      </c>
      <c r="C1874" s="16" t="s">
        <v>28</v>
      </c>
      <c r="D1874" s="16" t="s">
        <v>776</v>
      </c>
      <c r="E1874" s="17">
        <f>IFERROR(VLOOKUP(Tabulka2[[#This Row],[Pracovník]],DATA!A:L,5,0),"")</f>
        <v>4961</v>
      </c>
      <c r="F1874" s="12" t="s">
        <v>655</v>
      </c>
      <c r="G1874" s="16"/>
      <c r="H1874" s="18"/>
      <c r="I1874" s="27" t="str">
        <f>IFERROR(VLOOKUP(Tabulka2[[#This Row],[Pracovník]],DATA!A:L,11,0),"")</f>
        <v>Vlastní auto</v>
      </c>
      <c r="J1874" s="16"/>
      <c r="K1874" s="19"/>
    </row>
    <row r="1875" spans="1:11" x14ac:dyDescent="0.25">
      <c r="A18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75" s="22">
        <v>45937</v>
      </c>
      <c r="C1875" s="16" t="s">
        <v>28</v>
      </c>
      <c r="D1875" s="16" t="s">
        <v>778</v>
      </c>
      <c r="E1875" s="17">
        <f>IFERROR(VLOOKUP(Tabulka2[[#This Row],[Pracovník]],DATA!A:L,5,0),"")</f>
        <v>4721</v>
      </c>
      <c r="F1875" s="12" t="s">
        <v>655</v>
      </c>
      <c r="G1875" s="16"/>
      <c r="H1875" s="18"/>
      <c r="I1875" s="27" t="str">
        <f>IFERROR(VLOOKUP(Tabulka2[[#This Row],[Pracovník]],DATA!A:L,11,0),"")</f>
        <v>DSC 2</v>
      </c>
      <c r="J1875" s="16"/>
      <c r="K1875" s="19"/>
    </row>
    <row r="1876" spans="1:11" x14ac:dyDescent="0.25">
      <c r="A18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76" s="22">
        <v>45937</v>
      </c>
      <c r="C1876" s="16" t="s">
        <v>28</v>
      </c>
      <c r="D1876" s="16" t="s">
        <v>779</v>
      </c>
      <c r="E1876" s="17">
        <f>IFERROR(VLOOKUP(Tabulka2[[#This Row],[Pracovník]],DATA!A:L,5,0),"")</f>
        <v>4845</v>
      </c>
      <c r="F1876" s="12" t="s">
        <v>640</v>
      </c>
      <c r="G1876" s="16"/>
      <c r="H1876" s="18"/>
      <c r="I1876" s="27" t="str">
        <f>IFERROR(VLOOKUP(Tabulka2[[#This Row],[Pracovník]],DATA!A:L,11,0),"")</f>
        <v>Vlastní auto</v>
      </c>
      <c r="J1876" s="16"/>
      <c r="K1876" s="19"/>
    </row>
    <row r="1877" spans="1:11" x14ac:dyDescent="0.25">
      <c r="A18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77" s="22">
        <v>45937</v>
      </c>
      <c r="C1877" s="16" t="s">
        <v>28</v>
      </c>
      <c r="D1877" s="16" t="s">
        <v>780</v>
      </c>
      <c r="E1877" s="17">
        <f>IFERROR(VLOOKUP(Tabulka2[[#This Row],[Pracovník]],DATA!A:L,5,0),"")</f>
        <v>47</v>
      </c>
      <c r="F1877" s="12" t="s">
        <v>653</v>
      </c>
      <c r="G1877" s="16" t="s">
        <v>657</v>
      </c>
      <c r="H1877" s="18"/>
      <c r="I1877" s="27" t="str">
        <f>IFERROR(VLOOKUP(Tabulka2[[#This Row],[Pracovník]],DATA!A:L,11,0),"")</f>
        <v>DSC 1</v>
      </c>
      <c r="J1877" s="16"/>
      <c r="K1877" s="19"/>
    </row>
    <row r="1878" spans="1:11" x14ac:dyDescent="0.25">
      <c r="A18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78" s="22">
        <v>45937</v>
      </c>
      <c r="C1878" s="16" t="s">
        <v>28</v>
      </c>
      <c r="D1878" s="16" t="s">
        <v>792</v>
      </c>
      <c r="E1878" s="17">
        <f>IFERROR(VLOOKUP(Tabulka2[[#This Row],[Pracovník]],DATA!A:L,5,0),"")</f>
        <v>6332</v>
      </c>
      <c r="F1878" s="12" t="s">
        <v>640</v>
      </c>
      <c r="G1878" s="16"/>
      <c r="H1878" s="18"/>
      <c r="I1878" s="27" t="str">
        <f>IFERROR(VLOOKUP(Tabulka2[[#This Row],[Pracovník]],DATA!A:L,11,0),"")</f>
        <v>Vlastní auto</v>
      </c>
      <c r="J1878" s="16"/>
      <c r="K1878" s="19"/>
    </row>
    <row r="1879" spans="1:11" x14ac:dyDescent="0.25">
      <c r="A18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79" s="22">
        <v>45937</v>
      </c>
      <c r="C1879" s="16" t="s">
        <v>28</v>
      </c>
      <c r="D1879" s="16" t="s">
        <v>793</v>
      </c>
      <c r="E1879" s="17">
        <f>IFERROR(VLOOKUP(Tabulka2[[#This Row],[Pracovník]],DATA!A:L,5,0),"")</f>
        <v>4871</v>
      </c>
      <c r="F1879" s="12" t="s">
        <v>640</v>
      </c>
      <c r="G1879" s="16"/>
      <c r="H1879" s="18"/>
      <c r="I1879" s="27" t="str">
        <f>IFERROR(VLOOKUP(Tabulka2[[#This Row],[Pracovník]],DATA!A:L,11,0),"")</f>
        <v>Vlastní auto</v>
      </c>
      <c r="J1879" s="16"/>
      <c r="K1879" s="19"/>
    </row>
    <row r="1880" spans="1:11" x14ac:dyDescent="0.25">
      <c r="A18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80" s="22">
        <v>45937</v>
      </c>
      <c r="C1880" s="16" t="s">
        <v>28</v>
      </c>
      <c r="D1880" s="16" t="s">
        <v>794</v>
      </c>
      <c r="E1880" s="17">
        <f>IFERROR(VLOOKUP(Tabulka2[[#This Row],[Pracovník]],DATA!A:L,5,0),"")</f>
        <v>4755</v>
      </c>
      <c r="F1880" s="12" t="s">
        <v>654</v>
      </c>
      <c r="G1880" s="16"/>
      <c r="H1880" s="18"/>
      <c r="I1880" s="27" t="str">
        <f>IFERROR(VLOOKUP(Tabulka2[[#This Row],[Pracovník]],DATA!A:L,11,0),"")</f>
        <v>DSC 2</v>
      </c>
      <c r="J1880" s="16"/>
      <c r="K1880" s="19"/>
    </row>
    <row r="1881" spans="1:11" x14ac:dyDescent="0.25">
      <c r="A18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81" s="22">
        <v>45937</v>
      </c>
      <c r="C1881" s="16" t="s">
        <v>28</v>
      </c>
      <c r="D1881" s="16" t="s">
        <v>781</v>
      </c>
      <c r="E1881" s="17">
        <f>IFERROR(VLOOKUP(Tabulka2[[#This Row],[Pracovník]],DATA!A:L,5,0),"")</f>
        <v>49</v>
      </c>
      <c r="F1881" s="12" t="s">
        <v>655</v>
      </c>
      <c r="G1881" s="16"/>
      <c r="H1881" s="18"/>
      <c r="I1881" s="27" t="str">
        <f>IFERROR(VLOOKUP(Tabulka2[[#This Row],[Pracovník]],DATA!A:L,11,0),"")</f>
        <v>DSC 2</v>
      </c>
      <c r="J1881" s="16"/>
      <c r="K1881" s="19"/>
    </row>
    <row r="1882" spans="1:11" x14ac:dyDescent="0.25">
      <c r="A18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82" s="22">
        <v>45937</v>
      </c>
      <c r="C1882" s="16" t="s">
        <v>28</v>
      </c>
      <c r="D1882" s="16" t="s">
        <v>782</v>
      </c>
      <c r="E1882" s="17">
        <f>IFERROR(VLOOKUP(Tabulka2[[#This Row],[Pracovník]],DATA!A:L,5,0),"")</f>
        <v>5839</v>
      </c>
      <c r="F1882" s="12" t="s">
        <v>640</v>
      </c>
      <c r="G1882" s="16"/>
      <c r="H1882" s="18"/>
      <c r="I1882" s="27" t="str">
        <f>IFERROR(VLOOKUP(Tabulka2[[#This Row],[Pracovník]],DATA!A:L,11,0),"")</f>
        <v>DSC 1</v>
      </c>
      <c r="J1882" s="16"/>
      <c r="K1882" s="19"/>
    </row>
    <row r="1883" spans="1:11" x14ac:dyDescent="0.25">
      <c r="A18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83" s="22">
        <v>45937</v>
      </c>
      <c r="C1883" s="16" t="s">
        <v>28</v>
      </c>
      <c r="D1883" s="16" t="s">
        <v>783</v>
      </c>
      <c r="E1883" s="17">
        <f>IFERROR(VLOOKUP(Tabulka2[[#This Row],[Pracovník]],DATA!A:L,5,0),"")</f>
        <v>6487</v>
      </c>
      <c r="F1883" s="12" t="s">
        <v>654</v>
      </c>
      <c r="G1883" s="16"/>
      <c r="H1883" s="18"/>
      <c r="I1883" s="27" t="str">
        <f>IFERROR(VLOOKUP(Tabulka2[[#This Row],[Pracovník]],DATA!A:L,11,0),"")</f>
        <v>DSC 1</v>
      </c>
      <c r="J1883" s="16"/>
      <c r="K1883" s="19"/>
    </row>
    <row r="1884" spans="1:11" x14ac:dyDescent="0.25">
      <c r="A18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84" s="22">
        <v>45937</v>
      </c>
      <c r="C1884" s="16" t="s">
        <v>28</v>
      </c>
      <c r="D1884" s="16" t="s">
        <v>784</v>
      </c>
      <c r="E1884" s="17">
        <f>IFERROR(VLOOKUP(Tabulka2[[#This Row],[Pracovník]],DATA!A:L,5,0),"")</f>
        <v>6292</v>
      </c>
      <c r="F1884" s="12" t="s">
        <v>653</v>
      </c>
      <c r="G1884" s="16" t="s">
        <v>657</v>
      </c>
      <c r="H1884" s="18"/>
      <c r="I1884" s="27" t="str">
        <f>IFERROR(VLOOKUP(Tabulka2[[#This Row],[Pracovník]],DATA!A:L,11,0),"")</f>
        <v>Vlastní auto</v>
      </c>
      <c r="J1884" s="16"/>
      <c r="K1884" s="19"/>
    </row>
    <row r="1885" spans="1:11" x14ac:dyDescent="0.25">
      <c r="A18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85" s="22">
        <v>45937</v>
      </c>
      <c r="C1885" s="16" t="s">
        <v>28</v>
      </c>
      <c r="D1885" s="16" t="s">
        <v>788</v>
      </c>
      <c r="E1885" s="17">
        <f>IFERROR(VLOOKUP(Tabulka2[[#This Row],[Pracovník]],DATA!A:L,5,0),"")</f>
        <v>5198</v>
      </c>
      <c r="F1885" s="12" t="s">
        <v>640</v>
      </c>
      <c r="G1885" s="16"/>
      <c r="H1885" s="18"/>
      <c r="I1885" s="27" t="str">
        <f>IFERROR(VLOOKUP(Tabulka2[[#This Row],[Pracovník]],DATA!A:L,11,0),"")</f>
        <v>Vlastní auto</v>
      </c>
      <c r="J1885" s="16"/>
      <c r="K1885" s="19"/>
    </row>
    <row r="1886" spans="1:11" x14ac:dyDescent="0.25">
      <c r="A18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86" s="22">
        <v>45937</v>
      </c>
      <c r="C1886" s="16" t="s">
        <v>28</v>
      </c>
      <c r="D1886" s="16" t="s">
        <v>789</v>
      </c>
      <c r="E1886" s="17">
        <f>IFERROR(VLOOKUP(Tabulka2[[#This Row],[Pracovník]],DATA!A:L,5,0),"")</f>
        <v>6368</v>
      </c>
      <c r="F1886" s="12" t="s">
        <v>640</v>
      </c>
      <c r="G1886" s="16"/>
      <c r="H1886" s="18"/>
      <c r="I1886" s="27" t="str">
        <f>IFERROR(VLOOKUP(Tabulka2[[#This Row],[Pracovník]],DATA!A:L,11,0),"")</f>
        <v>Vlastní auto</v>
      </c>
      <c r="J1886" s="16"/>
      <c r="K1886" s="19"/>
    </row>
    <row r="1887" spans="1:11" x14ac:dyDescent="0.25">
      <c r="A18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87" s="22">
        <v>45937</v>
      </c>
      <c r="C1887" s="16" t="s">
        <v>28</v>
      </c>
      <c r="D1887" s="16" t="s">
        <v>786</v>
      </c>
      <c r="E1887" s="17">
        <f>IFERROR(VLOOKUP(Tabulka2[[#This Row],[Pracovník]],DATA!A:L,5,0),"")</f>
        <v>5595</v>
      </c>
      <c r="F1887" s="12" t="s">
        <v>655</v>
      </c>
      <c r="G1887" s="16"/>
      <c r="H1887" s="18"/>
      <c r="I1887" s="27" t="str">
        <f>IFERROR(VLOOKUP(Tabulka2[[#This Row],[Pracovník]],DATA!A:L,11,0),"")</f>
        <v>DSC 2</v>
      </c>
      <c r="J1887" s="16"/>
      <c r="K1887" s="19"/>
    </row>
    <row r="1888" spans="1:11" x14ac:dyDescent="0.25">
      <c r="A18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88" s="22">
        <v>45937</v>
      </c>
      <c r="C1888" s="16" t="s">
        <v>28</v>
      </c>
      <c r="D1888" s="16" t="s">
        <v>795</v>
      </c>
      <c r="E1888" s="17">
        <f>IFERROR(VLOOKUP(Tabulka2[[#This Row],[Pracovník]],DATA!A:L,5,0),"")</f>
        <v>4960</v>
      </c>
      <c r="F1888" s="12" t="s">
        <v>640</v>
      </c>
      <c r="G1888" s="16"/>
      <c r="H1888" s="18"/>
      <c r="I1888" s="27" t="str">
        <f>IFERROR(VLOOKUP(Tabulka2[[#This Row],[Pracovník]],DATA!A:L,11,0),"")</f>
        <v>DSC 1</v>
      </c>
      <c r="J1888" s="16"/>
      <c r="K1888" s="19"/>
    </row>
    <row r="1889" spans="1:11" x14ac:dyDescent="0.25">
      <c r="A18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89" s="22">
        <v>45937</v>
      </c>
      <c r="C1889" s="16" t="s">
        <v>28</v>
      </c>
      <c r="D1889" s="16" t="s">
        <v>790</v>
      </c>
      <c r="E1889" s="17">
        <f>IFERROR(VLOOKUP(Tabulka2[[#This Row],[Pracovník]],DATA!A:L,5,0),"")</f>
        <v>5125</v>
      </c>
      <c r="F1889" s="12" t="s">
        <v>654</v>
      </c>
      <c r="G1889" s="16"/>
      <c r="H1889" s="18"/>
      <c r="I1889" s="27" t="str">
        <f>IFERROR(VLOOKUP(Tabulka2[[#This Row],[Pracovník]],DATA!A:L,11,0),"")</f>
        <v>Vlastní auto</v>
      </c>
      <c r="J1889" s="16"/>
      <c r="K1889" s="19"/>
    </row>
    <row r="1890" spans="1:11" x14ac:dyDescent="0.25">
      <c r="A18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90" s="22">
        <v>45937</v>
      </c>
      <c r="C1890" s="16" t="s">
        <v>28</v>
      </c>
      <c r="D1890" s="16" t="s">
        <v>791</v>
      </c>
      <c r="E1890" s="17">
        <f>IFERROR(VLOOKUP(Tabulka2[[#This Row],[Pracovník]],DATA!A:L,5,0),"")</f>
        <v>6127</v>
      </c>
      <c r="F1890" s="12" t="s">
        <v>654</v>
      </c>
      <c r="G1890" s="16"/>
      <c r="H1890" s="18"/>
      <c r="I1890" s="27" t="str">
        <f>IFERROR(VLOOKUP(Tabulka2[[#This Row],[Pracovník]],DATA!A:L,11,0),"")</f>
        <v>DSC 2</v>
      </c>
      <c r="J1890" s="16"/>
      <c r="K1890" s="19"/>
    </row>
    <row r="1891" spans="1:11" x14ac:dyDescent="0.25">
      <c r="A18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91" s="22">
        <v>45937</v>
      </c>
      <c r="C1891" s="16" t="s">
        <v>28</v>
      </c>
      <c r="D1891" s="16" t="s">
        <v>796</v>
      </c>
      <c r="E1891" s="17">
        <f>IFERROR(VLOOKUP(Tabulka2[[#This Row],[Pracovník]],DATA!A:L,5,0),"")</f>
        <v>5583</v>
      </c>
      <c r="F1891" s="12" t="s">
        <v>640</v>
      </c>
      <c r="G1891" s="16"/>
      <c r="H1891" s="18"/>
      <c r="I1891" s="27" t="str">
        <f>IFERROR(VLOOKUP(Tabulka2[[#This Row],[Pracovník]],DATA!A:L,11,0),"")</f>
        <v>DSC 2</v>
      </c>
      <c r="J1891" s="16"/>
      <c r="K1891" s="19"/>
    </row>
    <row r="1892" spans="1:11" x14ac:dyDescent="0.25">
      <c r="A18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92" s="22">
        <v>45937</v>
      </c>
      <c r="C1892" s="16" t="s">
        <v>28</v>
      </c>
      <c r="D1892" s="16" t="s">
        <v>644</v>
      </c>
      <c r="E1892" s="17">
        <f>IFERROR(VLOOKUP(Tabulka2[[#This Row],[Pracovník]],DATA!A:L,5,0),"")</f>
        <v>123</v>
      </c>
      <c r="F1892" s="12" t="s">
        <v>654</v>
      </c>
      <c r="G1892" s="16"/>
      <c r="H1892" s="18"/>
      <c r="I1892" s="27" t="str">
        <f>IFERROR(VLOOKUP(Tabulka2[[#This Row],[Pracovník]],DATA!A:L,11,0),"")</f>
        <v>DSC 1</v>
      </c>
      <c r="J1892" s="16"/>
      <c r="K1892" s="19"/>
    </row>
    <row r="1893" spans="1:11" x14ac:dyDescent="0.25">
      <c r="A18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93" s="22">
        <v>45937</v>
      </c>
      <c r="C1893" s="16" t="s">
        <v>28</v>
      </c>
      <c r="D1893" s="16" t="s">
        <v>797</v>
      </c>
      <c r="E1893" s="17">
        <f>IFERROR(VLOOKUP(Tabulka2[[#This Row],[Pracovník]],DATA!A:L,5,0),"")</f>
        <v>5525</v>
      </c>
      <c r="F1893" s="12" t="s">
        <v>654</v>
      </c>
      <c r="G1893" s="16"/>
      <c r="H1893" s="18"/>
      <c r="I1893" s="27" t="str">
        <f>IFERROR(VLOOKUP(Tabulka2[[#This Row],[Pracovník]],DATA!A:L,11,0),"")</f>
        <v>Vlastní auto</v>
      </c>
      <c r="J1893" s="16"/>
      <c r="K1893" s="19"/>
    </row>
    <row r="1894" spans="1:11" x14ac:dyDescent="0.25">
      <c r="A18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94" s="22">
        <v>45937</v>
      </c>
      <c r="C1894" s="16" t="s">
        <v>28</v>
      </c>
      <c r="D1894" s="16" t="s">
        <v>798</v>
      </c>
      <c r="E1894" s="17">
        <f>IFERROR(VLOOKUP(Tabulka2[[#This Row],[Pracovník]],DATA!A:L,5,0),"")</f>
        <v>126</v>
      </c>
      <c r="F1894" s="12" t="s">
        <v>655</v>
      </c>
      <c r="G1894" s="16"/>
      <c r="H1894" s="18"/>
      <c r="I1894" s="27" t="str">
        <f>IFERROR(VLOOKUP(Tabulka2[[#This Row],[Pracovník]],DATA!A:L,11,0),"")</f>
        <v>Vlastní auto</v>
      </c>
      <c r="J1894" s="16"/>
      <c r="K1894" s="19"/>
    </row>
    <row r="1895" spans="1:11" x14ac:dyDescent="0.25">
      <c r="A18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95" s="22">
        <v>45937</v>
      </c>
      <c r="C1895" s="16" t="s">
        <v>28</v>
      </c>
      <c r="D1895" s="16" t="s">
        <v>799</v>
      </c>
      <c r="E1895" s="17">
        <f>IFERROR(VLOOKUP(Tabulka2[[#This Row],[Pracovník]],DATA!A:L,5,0),"")</f>
        <v>127</v>
      </c>
      <c r="F1895" s="12" t="s">
        <v>655</v>
      </c>
      <c r="G1895" s="16"/>
      <c r="H1895" s="18"/>
      <c r="I1895" s="27" t="str">
        <f>IFERROR(VLOOKUP(Tabulka2[[#This Row],[Pracovník]],DATA!A:L,11,0),"")</f>
        <v>DSC 2</v>
      </c>
      <c r="J1895" s="16"/>
      <c r="K1895" s="19"/>
    </row>
    <row r="1896" spans="1:11" x14ac:dyDescent="0.25">
      <c r="A18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96" s="22">
        <v>45937</v>
      </c>
      <c r="C1896" s="16" t="s">
        <v>28</v>
      </c>
      <c r="D1896" s="16" t="s">
        <v>800</v>
      </c>
      <c r="E1896" s="17">
        <f>IFERROR(VLOOKUP(Tabulka2[[#This Row],[Pracovník]],DATA!A:L,5,0),"")</f>
        <v>4847</v>
      </c>
      <c r="F1896" s="12" t="s">
        <v>655</v>
      </c>
      <c r="G1896" s="16"/>
      <c r="H1896" s="18"/>
      <c r="I1896" s="27" t="str">
        <f>IFERROR(VLOOKUP(Tabulka2[[#This Row],[Pracovník]],DATA!A:L,11,0),"")</f>
        <v>Vlastní auto</v>
      </c>
      <c r="J1896" s="16"/>
      <c r="K1896" s="19"/>
    </row>
    <row r="1897" spans="1:11" x14ac:dyDescent="0.25">
      <c r="A18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97" s="22">
        <v>45937</v>
      </c>
      <c r="C1897" s="16" t="s">
        <v>28</v>
      </c>
      <c r="D1897" s="16" t="s">
        <v>801</v>
      </c>
      <c r="E1897" s="17">
        <f>IFERROR(VLOOKUP(Tabulka2[[#This Row],[Pracovník]],DATA!A:L,5,0),"")</f>
        <v>750</v>
      </c>
      <c r="F1897" s="12" t="s">
        <v>655</v>
      </c>
      <c r="G1897" s="16"/>
      <c r="H1897" s="18"/>
      <c r="I1897" s="27" t="str">
        <f>IFERROR(VLOOKUP(Tabulka2[[#This Row],[Pracovník]],DATA!A:L,11,0),"")</f>
        <v>Vlastní auto</v>
      </c>
      <c r="J1897" s="16"/>
      <c r="K1897" s="19"/>
    </row>
    <row r="1898" spans="1:11" x14ac:dyDescent="0.25">
      <c r="A18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98" s="22">
        <v>45937</v>
      </c>
      <c r="C1898" s="16" t="s">
        <v>28</v>
      </c>
      <c r="D1898" s="16" t="s">
        <v>802</v>
      </c>
      <c r="E1898" s="17">
        <f>IFERROR(VLOOKUP(Tabulka2[[#This Row],[Pracovník]],DATA!A:L,5,0),"")</f>
        <v>4663</v>
      </c>
      <c r="F1898" s="12" t="s">
        <v>654</v>
      </c>
      <c r="G1898" s="16"/>
      <c r="H1898" s="18"/>
      <c r="I1898" s="27" t="str">
        <f>IFERROR(VLOOKUP(Tabulka2[[#This Row],[Pracovník]],DATA!A:L,11,0),"")</f>
        <v>DSC 2</v>
      </c>
      <c r="J1898" s="16"/>
      <c r="K1898" s="19"/>
    </row>
    <row r="1899" spans="1:11" x14ac:dyDescent="0.25">
      <c r="A18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899" s="22">
        <v>45937</v>
      </c>
      <c r="C1899" s="16" t="s">
        <v>28</v>
      </c>
      <c r="D1899" s="16" t="s">
        <v>803</v>
      </c>
      <c r="E1899" s="17">
        <f>IFERROR(VLOOKUP(Tabulka2[[#This Row],[Pracovník]],DATA!A:L,5,0),"")</f>
        <v>131</v>
      </c>
      <c r="F1899" s="12" t="s">
        <v>655</v>
      </c>
      <c r="G1899" s="16"/>
      <c r="H1899" s="18"/>
      <c r="I1899" s="27" t="str">
        <f>IFERROR(VLOOKUP(Tabulka2[[#This Row],[Pracovník]],DATA!A:L,11,0),"")</f>
        <v>DSC 2</v>
      </c>
      <c r="J1899" s="16"/>
      <c r="K1899" s="19"/>
    </row>
    <row r="1900" spans="1:11" x14ac:dyDescent="0.25">
      <c r="A19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00" s="22">
        <v>45937</v>
      </c>
      <c r="C1900" s="16" t="s">
        <v>28</v>
      </c>
      <c r="D1900" s="16" t="s">
        <v>643</v>
      </c>
      <c r="E1900" s="17">
        <f>IFERROR(VLOOKUP(Tabulka2[[#This Row],[Pracovník]],DATA!A:L,5,0),"")</f>
        <v>5620</v>
      </c>
      <c r="F1900" s="12" t="s">
        <v>654</v>
      </c>
      <c r="G1900" s="16"/>
      <c r="H1900" s="18"/>
      <c r="I1900" s="27" t="str">
        <f>IFERROR(VLOOKUP(Tabulka2[[#This Row],[Pracovník]],DATA!A:L,11,0),"")</f>
        <v>Vlastní auto</v>
      </c>
      <c r="J1900" s="16"/>
      <c r="K1900" s="19"/>
    </row>
    <row r="1901" spans="1:11" x14ac:dyDescent="0.25">
      <c r="A19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01" s="22">
        <v>45937</v>
      </c>
      <c r="C1901" s="16" t="s">
        <v>28</v>
      </c>
      <c r="D1901" s="16" t="s">
        <v>804</v>
      </c>
      <c r="E1901" s="17">
        <f>IFERROR(VLOOKUP(Tabulka2[[#This Row],[Pracovník]],DATA!A:L,5,0),"")</f>
        <v>4868</v>
      </c>
      <c r="F1901" s="12" t="s">
        <v>655</v>
      </c>
      <c r="G1901" s="16"/>
      <c r="H1901" s="18"/>
      <c r="I1901" s="27" t="str">
        <f>IFERROR(VLOOKUP(Tabulka2[[#This Row],[Pracovník]],DATA!A:L,11,0),"")</f>
        <v>Vlastní auto</v>
      </c>
      <c r="J1901" s="16"/>
      <c r="K1901" s="19"/>
    </row>
    <row r="1902" spans="1:11" x14ac:dyDescent="0.25">
      <c r="A19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02" s="22">
        <v>45937</v>
      </c>
      <c r="C1902" s="16" t="s">
        <v>28</v>
      </c>
      <c r="D1902" s="16" t="s">
        <v>805</v>
      </c>
      <c r="E1902" s="17">
        <f>IFERROR(VLOOKUP(Tabulka2[[#This Row],[Pracovník]],DATA!A:L,5,0),"")</f>
        <v>5026</v>
      </c>
      <c r="F1902" s="12" t="s">
        <v>655</v>
      </c>
      <c r="G1902" s="16"/>
      <c r="H1902" s="18"/>
      <c r="I1902" s="27" t="str">
        <f>IFERROR(VLOOKUP(Tabulka2[[#This Row],[Pracovník]],DATA!A:L,11,0),"")</f>
        <v>Vlastní auto</v>
      </c>
      <c r="J1902" s="16"/>
      <c r="K1902" s="19"/>
    </row>
    <row r="1903" spans="1:11" x14ac:dyDescent="0.25">
      <c r="A19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03" s="22">
        <v>45937</v>
      </c>
      <c r="C1903" s="16" t="s">
        <v>28</v>
      </c>
      <c r="D1903" s="16" t="s">
        <v>806</v>
      </c>
      <c r="E1903" s="17">
        <f>IFERROR(VLOOKUP(Tabulka2[[#This Row],[Pracovník]],DATA!A:L,5,0),"")</f>
        <v>6424</v>
      </c>
      <c r="F1903" s="12" t="s">
        <v>640</v>
      </c>
      <c r="G1903" s="16"/>
      <c r="H1903" s="18"/>
      <c r="I1903" s="27" t="str">
        <f>IFERROR(VLOOKUP(Tabulka2[[#This Row],[Pracovník]],DATA!A:L,11,0),"")</f>
        <v>DSC 1</v>
      </c>
      <c r="J1903" s="16"/>
      <c r="K1903" s="19"/>
    </row>
    <row r="1904" spans="1:11" x14ac:dyDescent="0.25">
      <c r="A19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04" s="22">
        <v>45937</v>
      </c>
      <c r="C1904" s="16" t="s">
        <v>28</v>
      </c>
      <c r="D1904" s="16" t="s">
        <v>807</v>
      </c>
      <c r="E1904" s="17">
        <f>IFERROR(VLOOKUP(Tabulka2[[#This Row],[Pracovník]],DATA!A:L,5,0),"")</f>
        <v>5004</v>
      </c>
      <c r="F1904" s="12" t="s">
        <v>655</v>
      </c>
      <c r="G1904" s="16"/>
      <c r="H1904" s="18"/>
      <c r="I1904" s="27" t="str">
        <f>IFERROR(VLOOKUP(Tabulka2[[#This Row],[Pracovník]],DATA!A:L,11,0),"")</f>
        <v>Vlastní auto</v>
      </c>
      <c r="J1904" s="16"/>
      <c r="K1904" s="19"/>
    </row>
    <row r="1905" spans="1:11" x14ac:dyDescent="0.25">
      <c r="A19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05" s="22">
        <v>45937</v>
      </c>
      <c r="C1905" s="16" t="s">
        <v>28</v>
      </c>
      <c r="D1905" s="16" t="s">
        <v>808</v>
      </c>
      <c r="E1905" s="17">
        <f>IFERROR(VLOOKUP(Tabulka2[[#This Row],[Pracovník]],DATA!A:L,5,0),"")</f>
        <v>136</v>
      </c>
      <c r="F1905" s="12" t="s">
        <v>655</v>
      </c>
      <c r="G1905" s="16"/>
      <c r="H1905" s="18"/>
      <c r="I1905" s="27" t="str">
        <f>IFERROR(VLOOKUP(Tabulka2[[#This Row],[Pracovník]],DATA!A:L,11,0),"")</f>
        <v>DSC 2</v>
      </c>
      <c r="J1905" s="16"/>
      <c r="K1905" s="19"/>
    </row>
    <row r="1906" spans="1:11" x14ac:dyDescent="0.25">
      <c r="A19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06" s="22">
        <v>45937</v>
      </c>
      <c r="C1906" s="16" t="s">
        <v>28</v>
      </c>
      <c r="D1906" s="16" t="s">
        <v>809</v>
      </c>
      <c r="E1906" s="17">
        <f>IFERROR(VLOOKUP(Tabulka2[[#This Row],[Pracovník]],DATA!A:L,5,0),"")</f>
        <v>19</v>
      </c>
      <c r="F1906" s="12" t="s">
        <v>655</v>
      </c>
      <c r="G1906" s="16"/>
      <c r="H1906" s="18"/>
      <c r="I1906" s="27" t="str">
        <f>IFERROR(VLOOKUP(Tabulka2[[#This Row],[Pracovník]],DATA!A:L,11,0),"")</f>
        <v>Vlastní auto</v>
      </c>
      <c r="J1906" s="16"/>
      <c r="K1906" s="19"/>
    </row>
    <row r="1907" spans="1:11" x14ac:dyDescent="0.25">
      <c r="A19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07" s="22">
        <v>45937</v>
      </c>
      <c r="C1907" s="16" t="s">
        <v>28</v>
      </c>
      <c r="D1907" s="16" t="s">
        <v>810</v>
      </c>
      <c r="E1907" s="17">
        <f>IFERROR(VLOOKUP(Tabulka2[[#This Row],[Pracovník]],DATA!A:L,5,0),"")</f>
        <v>4791</v>
      </c>
      <c r="F1907" s="12" t="s">
        <v>655</v>
      </c>
      <c r="G1907" s="16"/>
      <c r="H1907" s="18"/>
      <c r="I1907" s="27" t="str">
        <f>IFERROR(VLOOKUP(Tabulka2[[#This Row],[Pracovník]],DATA!A:L,11,0),"")</f>
        <v>Vlastní auto</v>
      </c>
      <c r="J1907" s="16"/>
      <c r="K1907" s="19"/>
    </row>
    <row r="1908" spans="1:11" x14ac:dyDescent="0.25">
      <c r="A19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08" s="22">
        <v>45937</v>
      </c>
      <c r="C1908" s="16" t="s">
        <v>28</v>
      </c>
      <c r="D1908" s="16" t="s">
        <v>811</v>
      </c>
      <c r="E1908" s="17">
        <f>IFERROR(VLOOKUP(Tabulka2[[#This Row],[Pracovník]],DATA!A:L,5,0),"")</f>
        <v>5121</v>
      </c>
      <c r="F1908" s="12" t="s">
        <v>654</v>
      </c>
      <c r="G1908" s="16"/>
      <c r="H1908" s="18"/>
      <c r="I1908" s="27" t="str">
        <f>IFERROR(VLOOKUP(Tabulka2[[#This Row],[Pracovník]],DATA!A:L,11,0),"")</f>
        <v>DSC 2</v>
      </c>
      <c r="J1908" s="16"/>
      <c r="K1908" s="19"/>
    </row>
    <row r="1909" spans="1:11" x14ac:dyDescent="0.25">
      <c r="A19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09" s="22">
        <v>45937</v>
      </c>
      <c r="C1909" s="16" t="s">
        <v>28</v>
      </c>
      <c r="D1909" s="16" t="s">
        <v>825</v>
      </c>
      <c r="E1909" s="17">
        <f>IFERROR(VLOOKUP(Tabulka2[[#This Row],[Pracovník]],DATA!A:L,5,0),"")</f>
        <v>6193</v>
      </c>
      <c r="F1909" s="12" t="s">
        <v>653</v>
      </c>
      <c r="G1909" s="16" t="s">
        <v>656</v>
      </c>
      <c r="H1909" s="18"/>
      <c r="I1909" s="27" t="str">
        <f>IFERROR(VLOOKUP(Tabulka2[[#This Row],[Pracovník]],DATA!A:L,11,0),"")</f>
        <v>DSC 2</v>
      </c>
      <c r="J1909" s="16"/>
      <c r="K1909" s="19"/>
    </row>
    <row r="1910" spans="1:11" x14ac:dyDescent="0.25">
      <c r="A19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10" s="22">
        <v>45937</v>
      </c>
      <c r="C1910" s="16" t="s">
        <v>28</v>
      </c>
      <c r="D1910" s="16" t="s">
        <v>812</v>
      </c>
      <c r="E1910" s="17">
        <f>IFERROR(VLOOKUP(Tabulka2[[#This Row],[Pracovník]],DATA!A:L,5,0),"")</f>
        <v>146</v>
      </c>
      <c r="F1910" s="12" t="s">
        <v>655</v>
      </c>
      <c r="G1910" s="16"/>
      <c r="H1910" s="18"/>
      <c r="I1910" s="27" t="str">
        <f>IFERROR(VLOOKUP(Tabulka2[[#This Row],[Pracovník]],DATA!A:L,11,0),"")</f>
        <v>DSC 2</v>
      </c>
      <c r="J1910" s="16"/>
      <c r="K1910" s="19"/>
    </row>
    <row r="1911" spans="1:11" x14ac:dyDescent="0.25">
      <c r="A19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11" s="22">
        <v>45937</v>
      </c>
      <c r="C1911" s="16" t="s">
        <v>28</v>
      </c>
      <c r="D1911" s="16" t="s">
        <v>814</v>
      </c>
      <c r="E1911" s="17">
        <f>IFERROR(VLOOKUP(Tabulka2[[#This Row],[Pracovník]],DATA!A:L,5,0),"")</f>
        <v>4745</v>
      </c>
      <c r="F1911" s="12" t="s">
        <v>655</v>
      </c>
      <c r="G1911" s="16"/>
      <c r="H1911" s="18"/>
      <c r="I1911" s="27" t="str">
        <f>IFERROR(VLOOKUP(Tabulka2[[#This Row],[Pracovník]],DATA!A:L,11,0),"")</f>
        <v>Vlastní auto</v>
      </c>
      <c r="J1911" s="16"/>
      <c r="K1911" s="19"/>
    </row>
    <row r="1912" spans="1:11" x14ac:dyDescent="0.25">
      <c r="A19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12" s="22">
        <v>45937</v>
      </c>
      <c r="C1912" s="16" t="s">
        <v>28</v>
      </c>
      <c r="D1912" s="16" t="s">
        <v>816</v>
      </c>
      <c r="E1912" s="17">
        <f>IFERROR(VLOOKUP(Tabulka2[[#This Row],[Pracovník]],DATA!A:L,5,0),"")</f>
        <v>5209</v>
      </c>
      <c r="F1912" s="12" t="s">
        <v>654</v>
      </c>
      <c r="G1912" s="16"/>
      <c r="H1912" s="18"/>
      <c r="I1912" s="27" t="str">
        <f>IFERROR(VLOOKUP(Tabulka2[[#This Row],[Pracovník]],DATA!A:L,11,0),"")</f>
        <v>Vlastní auto</v>
      </c>
      <c r="J1912" s="16"/>
      <c r="K1912" s="19"/>
    </row>
    <row r="1913" spans="1:11" x14ac:dyDescent="0.25">
      <c r="A19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13" s="22">
        <v>45937</v>
      </c>
      <c r="C1913" s="16" t="s">
        <v>28</v>
      </c>
      <c r="D1913" s="16" t="s">
        <v>815</v>
      </c>
      <c r="E1913" s="17">
        <f>IFERROR(VLOOKUP(Tabulka2[[#This Row],[Pracovník]],DATA!A:L,5,0),"")</f>
        <v>4790</v>
      </c>
      <c r="F1913" s="12" t="s">
        <v>655</v>
      </c>
      <c r="G1913" s="16"/>
      <c r="H1913" s="18"/>
      <c r="I1913" s="27" t="str">
        <f>IFERROR(VLOOKUP(Tabulka2[[#This Row],[Pracovník]],DATA!A:L,11,0),"")</f>
        <v>DSC 2</v>
      </c>
      <c r="J1913" s="16"/>
      <c r="K1913" s="19"/>
    </row>
    <row r="1914" spans="1:11" x14ac:dyDescent="0.25">
      <c r="A19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14" s="22">
        <v>45937</v>
      </c>
      <c r="C1914" s="16" t="s">
        <v>28</v>
      </c>
      <c r="D1914" s="16" t="s">
        <v>817</v>
      </c>
      <c r="E1914" s="17">
        <f>IFERROR(VLOOKUP(Tabulka2[[#This Row],[Pracovník]],DATA!A:L,5,0),"")</f>
        <v>4727</v>
      </c>
      <c r="F1914" s="12" t="s">
        <v>640</v>
      </c>
      <c r="G1914" s="16"/>
      <c r="H1914" s="18"/>
      <c r="I1914" s="27" t="str">
        <f>IFERROR(VLOOKUP(Tabulka2[[#This Row],[Pracovník]],DATA!A:L,11,0),"")</f>
        <v>DSC 1</v>
      </c>
      <c r="J1914" s="16"/>
      <c r="K1914" s="19"/>
    </row>
    <row r="1915" spans="1:11" x14ac:dyDescent="0.25">
      <c r="A19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15" s="22">
        <v>45937</v>
      </c>
      <c r="C1915" s="16" t="s">
        <v>28</v>
      </c>
      <c r="D1915" s="16" t="s">
        <v>818</v>
      </c>
      <c r="E1915" s="17">
        <f>IFERROR(VLOOKUP(Tabulka2[[#This Row],[Pracovník]],DATA!A:L,5,0),"")</f>
        <v>6488</v>
      </c>
      <c r="F1915" s="12" t="s">
        <v>654</v>
      </c>
      <c r="G1915" s="16"/>
      <c r="H1915" s="18"/>
      <c r="I1915" s="27" t="str">
        <f>IFERROR(VLOOKUP(Tabulka2[[#This Row],[Pracovník]],DATA!A:L,11,0),"")</f>
        <v>DSC 2</v>
      </c>
      <c r="J1915" s="16"/>
      <c r="K1915" s="19"/>
    </row>
    <row r="1916" spans="1:11" x14ac:dyDescent="0.25">
      <c r="A19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16" s="22">
        <v>45937</v>
      </c>
      <c r="C1916" s="16" t="s">
        <v>28</v>
      </c>
      <c r="D1916" s="16" t="s">
        <v>820</v>
      </c>
      <c r="E1916" s="17">
        <f>IFERROR(VLOOKUP(Tabulka2[[#This Row],[Pracovník]],DATA!A:L,5,0),"")</f>
        <v>5604</v>
      </c>
      <c r="F1916" s="12" t="s">
        <v>654</v>
      </c>
      <c r="G1916" s="16"/>
      <c r="H1916" s="18"/>
      <c r="I1916" s="27" t="str">
        <f>IFERROR(VLOOKUP(Tabulka2[[#This Row],[Pracovník]],DATA!A:L,11,0),"")</f>
        <v>Vlastní auto</v>
      </c>
      <c r="J1916" s="16"/>
      <c r="K1916" s="19"/>
    </row>
    <row r="1917" spans="1:11" x14ac:dyDescent="0.25">
      <c r="A19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17" s="22">
        <v>45937</v>
      </c>
      <c r="C1917" s="16" t="s">
        <v>28</v>
      </c>
      <c r="D1917" s="16" t="s">
        <v>821</v>
      </c>
      <c r="E1917" s="17">
        <f>IFERROR(VLOOKUP(Tabulka2[[#This Row],[Pracovník]],DATA!A:L,5,0),"")</f>
        <v>5632</v>
      </c>
      <c r="F1917" s="12" t="s">
        <v>654</v>
      </c>
      <c r="G1917" s="16"/>
      <c r="H1917" s="18"/>
      <c r="I1917" s="27" t="str">
        <f>IFERROR(VLOOKUP(Tabulka2[[#This Row],[Pracovník]],DATA!A:L,11,0),"")</f>
        <v>DSC 1</v>
      </c>
      <c r="J1917" s="16"/>
      <c r="K1917" s="19"/>
    </row>
    <row r="1918" spans="1:11" x14ac:dyDescent="0.25">
      <c r="A19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18" s="22">
        <v>45937</v>
      </c>
      <c r="C1918" s="16" t="s">
        <v>28</v>
      </c>
      <c r="D1918" s="16" t="s">
        <v>822</v>
      </c>
      <c r="E1918" s="17">
        <f>IFERROR(VLOOKUP(Tabulka2[[#This Row],[Pracovník]],DATA!A:L,5,0),"")</f>
        <v>5980</v>
      </c>
      <c r="F1918" s="12" t="s">
        <v>655</v>
      </c>
      <c r="G1918" s="16"/>
      <c r="H1918" s="18"/>
      <c r="I1918" s="27" t="str">
        <f>IFERROR(VLOOKUP(Tabulka2[[#This Row],[Pracovník]],DATA!A:L,11,0),"")</f>
        <v>DSC 2</v>
      </c>
      <c r="J1918" s="16"/>
      <c r="K1918" s="19"/>
    </row>
    <row r="1919" spans="1:11" x14ac:dyDescent="0.25">
      <c r="A19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19" s="22">
        <v>45937</v>
      </c>
      <c r="C1919" s="16" t="s">
        <v>28</v>
      </c>
      <c r="D1919" s="16" t="s">
        <v>823</v>
      </c>
      <c r="E1919" s="17">
        <f>IFERROR(VLOOKUP(Tabulka2[[#This Row],[Pracovník]],DATA!A:L,5,0),"")</f>
        <v>5481</v>
      </c>
      <c r="F1919" s="12" t="s">
        <v>655</v>
      </c>
      <c r="G1919" s="16"/>
      <c r="H1919" s="18"/>
      <c r="I1919" s="27" t="str">
        <f>IFERROR(VLOOKUP(Tabulka2[[#This Row],[Pracovník]],DATA!A:L,11,0),"")</f>
        <v>DSC 2</v>
      </c>
      <c r="J1919" s="16"/>
      <c r="K1919" s="19"/>
    </row>
    <row r="1920" spans="1:11" x14ac:dyDescent="0.25">
      <c r="A19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20" s="22">
        <v>45937</v>
      </c>
      <c r="C1920" s="16" t="s">
        <v>28</v>
      </c>
      <c r="D1920" s="16" t="s">
        <v>824</v>
      </c>
      <c r="E1920" s="17">
        <f>IFERROR(VLOOKUP(Tabulka2[[#This Row],[Pracovník]],DATA!A:L,5,0),"")</f>
        <v>150</v>
      </c>
      <c r="F1920" s="12" t="s">
        <v>653</v>
      </c>
      <c r="G1920" s="16" t="s">
        <v>657</v>
      </c>
      <c r="H1920" s="18"/>
      <c r="I1920" s="27" t="str">
        <f>IFERROR(VLOOKUP(Tabulka2[[#This Row],[Pracovník]],DATA!A:L,11,0),"")</f>
        <v>DSC 1</v>
      </c>
      <c r="J1920" s="16"/>
      <c r="K1920" s="19"/>
    </row>
    <row r="1921" spans="1:11" x14ac:dyDescent="0.25">
      <c r="A19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21" s="22">
        <v>45937</v>
      </c>
      <c r="C1921" s="16" t="s">
        <v>28</v>
      </c>
      <c r="D1921" s="16" t="s">
        <v>826</v>
      </c>
      <c r="E1921" s="17">
        <f>IFERROR(VLOOKUP(Tabulka2[[#This Row],[Pracovník]],DATA!A:L,5,0),"")</f>
        <v>5120</v>
      </c>
      <c r="F1921" s="12" t="s">
        <v>654</v>
      </c>
      <c r="G1921" s="16"/>
      <c r="H1921" s="18"/>
      <c r="I1921" s="27" t="str">
        <f>IFERROR(VLOOKUP(Tabulka2[[#This Row],[Pracovník]],DATA!A:L,11,0),"")</f>
        <v>Vlastní auto</v>
      </c>
      <c r="J1921" s="16"/>
      <c r="K1921" s="19"/>
    </row>
    <row r="1922" spans="1:11" x14ac:dyDescent="0.25">
      <c r="A19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22" s="22">
        <v>45937</v>
      </c>
      <c r="C1922" s="16" t="s">
        <v>28</v>
      </c>
      <c r="D1922" s="16" t="s">
        <v>827</v>
      </c>
      <c r="E1922" s="17">
        <f>IFERROR(VLOOKUP(Tabulka2[[#This Row],[Pracovník]],DATA!A:L,5,0),"")</f>
        <v>4713</v>
      </c>
      <c r="F1922" s="12" t="s">
        <v>655</v>
      </c>
      <c r="G1922" s="16"/>
      <c r="H1922" s="18"/>
      <c r="I1922" s="27" t="str">
        <f>IFERROR(VLOOKUP(Tabulka2[[#This Row],[Pracovník]],DATA!A:L,11,0),"")</f>
        <v>DSC 1</v>
      </c>
      <c r="J1922" s="16"/>
      <c r="K1922" s="19"/>
    </row>
    <row r="1923" spans="1:11" x14ac:dyDescent="0.25">
      <c r="A19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23" s="22">
        <v>45937</v>
      </c>
      <c r="C1923" s="16" t="s">
        <v>28</v>
      </c>
      <c r="D1923" s="16" t="s">
        <v>828</v>
      </c>
      <c r="E1923" s="17">
        <f>IFERROR(VLOOKUP(Tabulka2[[#This Row],[Pracovník]],DATA!A:L,5,0),"")</f>
        <v>6318</v>
      </c>
      <c r="F1923" s="12" t="s">
        <v>654</v>
      </c>
      <c r="G1923" s="16"/>
      <c r="H1923" s="18"/>
      <c r="I1923" s="27" t="str">
        <f>IFERROR(VLOOKUP(Tabulka2[[#This Row],[Pracovník]],DATA!A:L,11,0),"")</f>
        <v>DSC 1</v>
      </c>
      <c r="J1923" s="16"/>
      <c r="K1923" s="19"/>
    </row>
    <row r="1924" spans="1:11" x14ac:dyDescent="0.25">
      <c r="A19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24" s="22">
        <v>45937</v>
      </c>
      <c r="C1924" s="16" t="s">
        <v>28</v>
      </c>
      <c r="D1924" s="16" t="s">
        <v>829</v>
      </c>
      <c r="E1924" s="17">
        <f>IFERROR(VLOOKUP(Tabulka2[[#This Row],[Pracovník]],DATA!A:L,5,0),"")</f>
        <v>5712</v>
      </c>
      <c r="F1924" s="12" t="s">
        <v>654</v>
      </c>
      <c r="G1924" s="16"/>
      <c r="H1924" s="18"/>
      <c r="I1924" s="27" t="str">
        <f>IFERROR(VLOOKUP(Tabulka2[[#This Row],[Pracovník]],DATA!A:L,11,0),"")</f>
        <v>Vlastní auto</v>
      </c>
      <c r="J1924" s="16"/>
      <c r="K1924" s="19"/>
    </row>
    <row r="1925" spans="1:11" x14ac:dyDescent="0.25">
      <c r="A19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25" s="22">
        <v>45937</v>
      </c>
      <c r="C1925" s="16" t="s">
        <v>28</v>
      </c>
      <c r="D1925" s="16" t="s">
        <v>830</v>
      </c>
      <c r="E1925" s="17">
        <f>IFERROR(VLOOKUP(Tabulka2[[#This Row],[Pracovník]],DATA!A:L,5,0),"")</f>
        <v>4744</v>
      </c>
      <c r="F1925" s="12" t="s">
        <v>640</v>
      </c>
      <c r="G1925" s="16"/>
      <c r="H1925" s="18"/>
      <c r="I1925" s="27" t="str">
        <f>IFERROR(VLOOKUP(Tabulka2[[#This Row],[Pracovník]],DATA!A:L,11,0),"")</f>
        <v>DSC 2</v>
      </c>
      <c r="J1925" s="16"/>
      <c r="K1925" s="19"/>
    </row>
    <row r="1926" spans="1:11" x14ac:dyDescent="0.25">
      <c r="A19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26" s="22">
        <v>45937</v>
      </c>
      <c r="C1926" s="16" t="s">
        <v>28</v>
      </c>
      <c r="D1926" s="16" t="s">
        <v>831</v>
      </c>
      <c r="E1926" s="17">
        <f>IFERROR(VLOOKUP(Tabulka2[[#This Row],[Pracovník]],DATA!A:L,5,0),"")</f>
        <v>155</v>
      </c>
      <c r="F1926" s="12" t="s">
        <v>640</v>
      </c>
      <c r="G1926" s="16"/>
      <c r="H1926" s="18"/>
      <c r="I1926" s="27" t="str">
        <f>IFERROR(VLOOKUP(Tabulka2[[#This Row],[Pracovník]],DATA!A:L,11,0),"")</f>
        <v>DSC 1</v>
      </c>
      <c r="J1926" s="16"/>
      <c r="K1926" s="19"/>
    </row>
    <row r="1927" spans="1:11" x14ac:dyDescent="0.25">
      <c r="A19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27" s="22">
        <v>45937</v>
      </c>
      <c r="C1927" s="16" t="s">
        <v>28</v>
      </c>
      <c r="D1927" s="16" t="s">
        <v>833</v>
      </c>
      <c r="E1927" s="17">
        <f>IFERROR(VLOOKUP(Tabulka2[[#This Row],[Pracovník]],DATA!A:L,5,0),"")</f>
        <v>6178</v>
      </c>
      <c r="F1927" s="12" t="s">
        <v>654</v>
      </c>
      <c r="G1927" s="16"/>
      <c r="H1927" s="18"/>
      <c r="I1927" s="27" t="str">
        <f>IFERROR(VLOOKUP(Tabulka2[[#This Row],[Pracovník]],DATA!A:L,11,0),"")</f>
        <v>DSC 2</v>
      </c>
      <c r="J1927" s="16"/>
      <c r="K1927" s="19"/>
    </row>
    <row r="1928" spans="1:11" x14ac:dyDescent="0.25">
      <c r="A19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28" s="22">
        <v>45937</v>
      </c>
      <c r="C1928" s="16" t="s">
        <v>28</v>
      </c>
      <c r="D1928" s="16" t="s">
        <v>834</v>
      </c>
      <c r="E1928" s="17">
        <f>IFERROR(VLOOKUP(Tabulka2[[#This Row],[Pracovník]],DATA!A:L,5,0),"")</f>
        <v>6345</v>
      </c>
      <c r="F1928" s="12" t="s">
        <v>654</v>
      </c>
      <c r="G1928" s="16"/>
      <c r="H1928" s="18"/>
      <c r="I1928" s="27" t="str">
        <f>IFERROR(VLOOKUP(Tabulka2[[#This Row],[Pracovník]],DATA!A:L,11,0),"")</f>
        <v>DSC 1</v>
      </c>
      <c r="J1928" s="16"/>
      <c r="K1928" s="19"/>
    </row>
    <row r="1929" spans="1:11" x14ac:dyDescent="0.25">
      <c r="A19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29" s="22">
        <v>45937</v>
      </c>
      <c r="C1929" s="16" t="s">
        <v>28</v>
      </c>
      <c r="D1929" s="16" t="s">
        <v>835</v>
      </c>
      <c r="E1929" s="17">
        <f>IFERROR(VLOOKUP(Tabulka2[[#This Row],[Pracovník]],DATA!A:L,5,0),"")</f>
        <v>5601</v>
      </c>
      <c r="F1929" s="12" t="s">
        <v>640</v>
      </c>
      <c r="G1929" s="16"/>
      <c r="H1929" s="18"/>
      <c r="I1929" s="27" t="str">
        <f>IFERROR(VLOOKUP(Tabulka2[[#This Row],[Pracovník]],DATA!A:L,11,0),"")</f>
        <v>DSC 2</v>
      </c>
      <c r="J1929" s="16"/>
      <c r="K1929" s="19"/>
    </row>
    <row r="1930" spans="1:11" x14ac:dyDescent="0.25">
      <c r="A19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30" s="22">
        <v>45937</v>
      </c>
      <c r="C1930" s="16" t="s">
        <v>28</v>
      </c>
      <c r="D1930" s="16" t="s">
        <v>836</v>
      </c>
      <c r="E1930" s="17">
        <f>IFERROR(VLOOKUP(Tabulka2[[#This Row],[Pracovník]],DATA!A:L,5,0),"")</f>
        <v>5152</v>
      </c>
      <c r="F1930" s="12" t="s">
        <v>654</v>
      </c>
      <c r="G1930" s="16"/>
      <c r="H1930" s="18"/>
      <c r="I1930" s="27" t="str">
        <f>IFERROR(VLOOKUP(Tabulka2[[#This Row],[Pracovník]],DATA!A:L,11,0),"")</f>
        <v>Vlastní auto</v>
      </c>
      <c r="J1930" s="16"/>
      <c r="K1930" s="19"/>
    </row>
    <row r="1931" spans="1:11" x14ac:dyDescent="0.25">
      <c r="A19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31" s="22">
        <v>45937</v>
      </c>
      <c r="C1931" s="16" t="s">
        <v>28</v>
      </c>
      <c r="D1931" s="16" t="s">
        <v>837</v>
      </c>
      <c r="E1931" s="17">
        <f>IFERROR(VLOOKUP(Tabulka2[[#This Row],[Pracovník]],DATA!A:L,5,0),"")</f>
        <v>176</v>
      </c>
      <c r="F1931" s="12" t="s">
        <v>640</v>
      </c>
      <c r="G1931" s="16"/>
      <c r="H1931" s="18"/>
      <c r="I1931" s="27" t="str">
        <f>IFERROR(VLOOKUP(Tabulka2[[#This Row],[Pracovník]],DATA!A:L,11,0),"")</f>
        <v>Vlastní auto</v>
      </c>
      <c r="J1931" s="16"/>
      <c r="K1931" s="19"/>
    </row>
    <row r="1932" spans="1:11" x14ac:dyDescent="0.25">
      <c r="A19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32" s="22">
        <v>45937</v>
      </c>
      <c r="C1932" s="16" t="s">
        <v>28</v>
      </c>
      <c r="D1932" s="16" t="s">
        <v>839</v>
      </c>
      <c r="E1932" s="17">
        <f>IFERROR(VLOOKUP(Tabulka2[[#This Row],[Pracovník]],DATA!A:L,5,0),"")</f>
        <v>177</v>
      </c>
      <c r="F1932" s="12" t="s">
        <v>655</v>
      </c>
      <c r="G1932" s="16"/>
      <c r="H1932" s="18"/>
      <c r="I1932" s="27" t="str">
        <f>IFERROR(VLOOKUP(Tabulka2[[#This Row],[Pracovník]],DATA!A:L,11,0),"")</f>
        <v>DSC 2</v>
      </c>
      <c r="J1932" s="16"/>
      <c r="K1932" s="19"/>
    </row>
    <row r="1933" spans="1:11" x14ac:dyDescent="0.25">
      <c r="A19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33" s="22">
        <v>45937</v>
      </c>
      <c r="C1933" s="16" t="s">
        <v>28</v>
      </c>
      <c r="D1933" s="16" t="s">
        <v>840</v>
      </c>
      <c r="E1933" s="17">
        <f>IFERROR(VLOOKUP(Tabulka2[[#This Row],[Pracovník]],DATA!A:L,5,0),"")</f>
        <v>5555</v>
      </c>
      <c r="F1933" s="12" t="s">
        <v>655</v>
      </c>
      <c r="G1933" s="16"/>
      <c r="H1933" s="18"/>
      <c r="I1933" s="27" t="str">
        <f>IFERROR(VLOOKUP(Tabulka2[[#This Row],[Pracovník]],DATA!A:L,11,0),"")</f>
        <v>Vlastní auto</v>
      </c>
      <c r="J1933" s="16"/>
      <c r="K1933" s="19"/>
    </row>
    <row r="1934" spans="1:11" x14ac:dyDescent="0.25">
      <c r="A19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34" s="22">
        <v>45937</v>
      </c>
      <c r="C1934" s="16" t="s">
        <v>28</v>
      </c>
      <c r="D1934" s="16" t="s">
        <v>841</v>
      </c>
      <c r="E1934" s="17">
        <f>IFERROR(VLOOKUP(Tabulka2[[#This Row],[Pracovník]],DATA!A:L,5,0),"")</f>
        <v>4959</v>
      </c>
      <c r="F1934" s="12" t="s">
        <v>655</v>
      </c>
      <c r="G1934" s="16"/>
      <c r="H1934" s="18"/>
      <c r="I1934" s="27" t="str">
        <f>IFERROR(VLOOKUP(Tabulka2[[#This Row],[Pracovník]],DATA!A:L,11,0),"")</f>
        <v>Vlastní auto</v>
      </c>
      <c r="J1934" s="16"/>
      <c r="K1934" s="19"/>
    </row>
    <row r="1935" spans="1:11" x14ac:dyDescent="0.25">
      <c r="A19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35" s="22">
        <v>45937</v>
      </c>
      <c r="C1935" s="16" t="s">
        <v>28</v>
      </c>
      <c r="D1935" s="16" t="s">
        <v>843</v>
      </c>
      <c r="E1935" s="17">
        <f>IFERROR(VLOOKUP(Tabulka2[[#This Row],[Pracovník]],DATA!A:L,5,0),"")</f>
        <v>4919</v>
      </c>
      <c r="F1935" s="12" t="s">
        <v>654</v>
      </c>
      <c r="G1935" s="16"/>
      <c r="H1935" s="18"/>
      <c r="I1935" s="27" t="str">
        <f>IFERROR(VLOOKUP(Tabulka2[[#This Row],[Pracovník]],DATA!A:L,11,0),"")</f>
        <v>Vlastní auto</v>
      </c>
      <c r="J1935" s="16"/>
      <c r="K1935" s="19"/>
    </row>
    <row r="1936" spans="1:11" x14ac:dyDescent="0.25">
      <c r="A19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36" s="22">
        <v>45937</v>
      </c>
      <c r="C1936" s="16" t="s">
        <v>28</v>
      </c>
      <c r="D1936" s="16" t="s">
        <v>842</v>
      </c>
      <c r="E1936" s="17">
        <f>IFERROR(VLOOKUP(Tabulka2[[#This Row],[Pracovník]],DATA!A:L,5,0),"")</f>
        <v>4724</v>
      </c>
      <c r="F1936" s="12" t="s">
        <v>654</v>
      </c>
      <c r="G1936" s="16"/>
      <c r="H1936" s="18"/>
      <c r="I1936" s="27" t="str">
        <f>IFERROR(VLOOKUP(Tabulka2[[#This Row],[Pracovník]],DATA!A:L,11,0),"")</f>
        <v>Vlastní auto</v>
      </c>
      <c r="J1936" s="16"/>
      <c r="K1936" s="19"/>
    </row>
    <row r="1937" spans="1:11" x14ac:dyDescent="0.25">
      <c r="A19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37" s="22">
        <v>45937</v>
      </c>
      <c r="C1937" s="16" t="s">
        <v>28</v>
      </c>
      <c r="D1937" s="16" t="s">
        <v>844</v>
      </c>
      <c r="E1937" s="17">
        <f>IFERROR(VLOOKUP(Tabulka2[[#This Row],[Pracovník]],DATA!A:L,5,0),"")</f>
        <v>183</v>
      </c>
      <c r="F1937" s="12" t="s">
        <v>640</v>
      </c>
      <c r="G1937" s="16"/>
      <c r="H1937" s="18"/>
      <c r="I1937" s="27" t="str">
        <f>IFERROR(VLOOKUP(Tabulka2[[#This Row],[Pracovník]],DATA!A:L,11,0),"")</f>
        <v>DSC 1</v>
      </c>
      <c r="J1937" s="16"/>
      <c r="K1937" s="19"/>
    </row>
    <row r="1938" spans="1:11" x14ac:dyDescent="0.25">
      <c r="A19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38" s="22">
        <v>45937</v>
      </c>
      <c r="C1938" s="16" t="s">
        <v>28</v>
      </c>
      <c r="D1938" s="16" t="s">
        <v>845</v>
      </c>
      <c r="E1938" s="17">
        <f>IFERROR(VLOOKUP(Tabulka2[[#This Row],[Pracovník]],DATA!A:L,5,0),"")</f>
        <v>5545</v>
      </c>
      <c r="F1938" s="12" t="s">
        <v>653</v>
      </c>
      <c r="G1938" s="16" t="s">
        <v>925</v>
      </c>
      <c r="H1938" s="18"/>
      <c r="I1938" s="27" t="str">
        <f>IFERROR(VLOOKUP(Tabulka2[[#This Row],[Pracovník]],DATA!A:L,11,0),"")</f>
        <v>Vlastní auto</v>
      </c>
      <c r="J1938" s="16"/>
      <c r="K1938" s="19" t="s">
        <v>1010</v>
      </c>
    </row>
    <row r="1939" spans="1:11" x14ac:dyDescent="0.25">
      <c r="A19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39" s="22">
        <v>45937</v>
      </c>
      <c r="C1939" s="16" t="s">
        <v>28</v>
      </c>
      <c r="D1939" s="16" t="s">
        <v>846</v>
      </c>
      <c r="E1939" s="17">
        <f>IFERROR(VLOOKUP(Tabulka2[[#This Row],[Pracovník]],DATA!A:L,5,0),"")</f>
        <v>5526</v>
      </c>
      <c r="F1939" s="12" t="s">
        <v>654</v>
      </c>
      <c r="G1939" s="16"/>
      <c r="H1939" s="18"/>
      <c r="I1939" s="27" t="str">
        <f>IFERROR(VLOOKUP(Tabulka2[[#This Row],[Pracovník]],DATA!A:L,11,0),"")</f>
        <v>Vlastní auto</v>
      </c>
      <c r="J1939" s="16"/>
      <c r="K1939" s="19"/>
    </row>
    <row r="1940" spans="1:11" x14ac:dyDescent="0.25">
      <c r="A19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40" s="22">
        <v>45937</v>
      </c>
      <c r="C1940" s="16" t="s">
        <v>28</v>
      </c>
      <c r="D1940" s="16" t="s">
        <v>847</v>
      </c>
      <c r="E1940" s="17">
        <f>IFERROR(VLOOKUP(Tabulka2[[#This Row],[Pracovník]],DATA!A:L,5,0),"")</f>
        <v>5192</v>
      </c>
      <c r="F1940" s="12" t="s">
        <v>654</v>
      </c>
      <c r="G1940" s="16"/>
      <c r="H1940" s="18"/>
      <c r="I1940" s="27" t="str">
        <f>IFERROR(VLOOKUP(Tabulka2[[#This Row],[Pracovník]],DATA!A:L,11,0),"")</f>
        <v>Vlastní auto</v>
      </c>
      <c r="J1940" s="16"/>
      <c r="K1940" s="19"/>
    </row>
    <row r="1941" spans="1:11" x14ac:dyDescent="0.25">
      <c r="A19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41" s="22">
        <v>45937</v>
      </c>
      <c r="C1941" s="16" t="s">
        <v>28</v>
      </c>
      <c r="D1941" s="16" t="s">
        <v>848</v>
      </c>
      <c r="E1941" s="17">
        <f>IFERROR(VLOOKUP(Tabulka2[[#This Row],[Pracovník]],DATA!A:L,5,0),"")</f>
        <v>4698</v>
      </c>
      <c r="F1941" s="12" t="s">
        <v>654</v>
      </c>
      <c r="G1941" s="16"/>
      <c r="H1941" s="18"/>
      <c r="I1941" s="27" t="str">
        <f>IFERROR(VLOOKUP(Tabulka2[[#This Row],[Pracovník]],DATA!A:L,11,0),"")</f>
        <v>Vlastní auto</v>
      </c>
      <c r="J1941" s="16"/>
      <c r="K1941" s="19"/>
    </row>
    <row r="1942" spans="1:11" x14ac:dyDescent="0.25">
      <c r="A19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42" s="22">
        <v>45937</v>
      </c>
      <c r="C1942" s="16" t="s">
        <v>28</v>
      </c>
      <c r="D1942" s="16" t="s">
        <v>849</v>
      </c>
      <c r="E1942" s="17">
        <f>IFERROR(VLOOKUP(Tabulka2[[#This Row],[Pracovník]],DATA!A:L,5,0),"")</f>
        <v>4611</v>
      </c>
      <c r="F1942" s="12" t="s">
        <v>655</v>
      </c>
      <c r="G1942" s="16"/>
      <c r="H1942" s="18"/>
      <c r="I1942" s="27" t="str">
        <f>IFERROR(VLOOKUP(Tabulka2[[#This Row],[Pracovník]],DATA!A:L,11,0),"")</f>
        <v>DSC 1</v>
      </c>
      <c r="J1942" s="16"/>
      <c r="K1942" s="19"/>
    </row>
    <row r="1943" spans="1:11" x14ac:dyDescent="0.25">
      <c r="A19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43" s="22">
        <v>45937</v>
      </c>
      <c r="C1943" s="16" t="s">
        <v>28</v>
      </c>
      <c r="D1943" s="16" t="s">
        <v>850</v>
      </c>
      <c r="E1943" s="17">
        <f>IFERROR(VLOOKUP(Tabulka2[[#This Row],[Pracovník]],DATA!A:L,5,0),"")</f>
        <v>5069</v>
      </c>
      <c r="F1943" s="12" t="s">
        <v>655</v>
      </c>
      <c r="G1943" s="16"/>
      <c r="H1943" s="18"/>
      <c r="I1943" s="27" t="str">
        <f>IFERROR(VLOOKUP(Tabulka2[[#This Row],[Pracovník]],DATA!A:L,11,0),"")</f>
        <v>Vlastní auto</v>
      </c>
      <c r="J1943" s="16"/>
      <c r="K1943" s="19"/>
    </row>
    <row r="1944" spans="1:11" x14ac:dyDescent="0.25">
      <c r="A19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44" s="22">
        <v>45937</v>
      </c>
      <c r="C1944" s="16" t="s">
        <v>28</v>
      </c>
      <c r="D1944" s="16" t="s">
        <v>851</v>
      </c>
      <c r="E1944" s="17">
        <f>IFERROR(VLOOKUP(Tabulka2[[#This Row],[Pracovník]],DATA!A:L,5,0),"")</f>
        <v>185</v>
      </c>
      <c r="F1944" s="12" t="s">
        <v>640</v>
      </c>
      <c r="G1944" s="16"/>
      <c r="H1944" s="18"/>
      <c r="I1944" s="27" t="str">
        <f>IFERROR(VLOOKUP(Tabulka2[[#This Row],[Pracovník]],DATA!A:L,11,0),"")</f>
        <v>DSC 1</v>
      </c>
      <c r="J1944" s="16"/>
      <c r="K1944" s="19"/>
    </row>
    <row r="1945" spans="1:11" x14ac:dyDescent="0.25">
      <c r="A19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45" s="22">
        <v>45937</v>
      </c>
      <c r="C1945" s="16" t="s">
        <v>28</v>
      </c>
      <c r="D1945" s="16" t="s">
        <v>852</v>
      </c>
      <c r="E1945" s="17">
        <f>IFERROR(VLOOKUP(Tabulka2[[#This Row],[Pracovník]],DATA!A:L,5,0),"")</f>
        <v>6388</v>
      </c>
      <c r="F1945" s="12" t="s">
        <v>653</v>
      </c>
      <c r="G1945" s="16" t="s">
        <v>657</v>
      </c>
      <c r="H1945" s="18"/>
      <c r="I1945" s="27" t="str">
        <f>IFERROR(VLOOKUP(Tabulka2[[#This Row],[Pracovník]],DATA!A:L,11,0),"")</f>
        <v>Vlastní auto</v>
      </c>
      <c r="J1945" s="16"/>
      <c r="K1945" s="19"/>
    </row>
    <row r="1946" spans="1:11" x14ac:dyDescent="0.25">
      <c r="A19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46" s="22">
        <v>45937</v>
      </c>
      <c r="C1946" s="16" t="s">
        <v>28</v>
      </c>
      <c r="D1946" s="16" t="s">
        <v>854</v>
      </c>
      <c r="E1946" s="17">
        <f>IFERROR(VLOOKUP(Tabulka2[[#This Row],[Pracovník]],DATA!A:L,5,0),"")</f>
        <v>5720</v>
      </c>
      <c r="F1946" s="12" t="s">
        <v>654</v>
      </c>
      <c r="G1946" s="16"/>
      <c r="H1946" s="18"/>
      <c r="I1946" s="27" t="str">
        <f>IFERROR(VLOOKUP(Tabulka2[[#This Row],[Pracovník]],DATA!A:L,11,0),"")</f>
        <v>DSC 2</v>
      </c>
      <c r="J1946" s="16"/>
      <c r="K1946" s="19"/>
    </row>
    <row r="1947" spans="1:11" x14ac:dyDescent="0.25">
      <c r="A19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47" s="22">
        <v>45937</v>
      </c>
      <c r="C1947" s="16" t="s">
        <v>28</v>
      </c>
      <c r="D1947" s="16" t="s">
        <v>853</v>
      </c>
      <c r="E1947" s="17">
        <f>IFERROR(VLOOKUP(Tabulka2[[#This Row],[Pracovník]],DATA!A:L,5,0),"")</f>
        <v>5722</v>
      </c>
      <c r="F1947" s="12" t="s">
        <v>654</v>
      </c>
      <c r="G1947" s="16"/>
      <c r="H1947" s="18"/>
      <c r="I1947" s="27" t="str">
        <f>IFERROR(VLOOKUP(Tabulka2[[#This Row],[Pracovník]],DATA!A:L,11,0),"")</f>
        <v>DSC 2</v>
      </c>
      <c r="J1947" s="16"/>
      <c r="K1947" s="19"/>
    </row>
    <row r="1948" spans="1:11" x14ac:dyDescent="0.25">
      <c r="A19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48" s="22">
        <v>45937</v>
      </c>
      <c r="C1948" s="16" t="s">
        <v>28</v>
      </c>
      <c r="D1948" s="16" t="s">
        <v>855</v>
      </c>
      <c r="E1948" s="17">
        <f>IFERROR(VLOOKUP(Tabulka2[[#This Row],[Pracovník]],DATA!A:L,5,0),"")</f>
        <v>6180</v>
      </c>
      <c r="F1948" s="12" t="s">
        <v>655</v>
      </c>
      <c r="G1948" s="16"/>
      <c r="H1948" s="18"/>
      <c r="I1948" s="27" t="str">
        <f>IFERROR(VLOOKUP(Tabulka2[[#This Row],[Pracovník]],DATA!A:L,11,0),"")</f>
        <v>DSC 2</v>
      </c>
      <c r="J1948" s="16"/>
      <c r="K1948" s="19"/>
    </row>
    <row r="1949" spans="1:11" x14ac:dyDescent="0.25">
      <c r="A19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49" s="22">
        <v>45937</v>
      </c>
      <c r="C1949" s="16" t="s">
        <v>28</v>
      </c>
      <c r="D1949" s="16" t="s">
        <v>856</v>
      </c>
      <c r="E1949" s="17">
        <f>IFERROR(VLOOKUP(Tabulka2[[#This Row],[Pracovník]],DATA!A:L,5,0),"")</f>
        <v>4423</v>
      </c>
      <c r="F1949" s="12" t="s">
        <v>640</v>
      </c>
      <c r="G1949" s="16"/>
      <c r="H1949" s="18"/>
      <c r="I1949" s="27" t="str">
        <f>IFERROR(VLOOKUP(Tabulka2[[#This Row],[Pracovník]],DATA!A:L,11,0),"")</f>
        <v>DSC 1</v>
      </c>
      <c r="J1949" s="16"/>
      <c r="K1949" s="19"/>
    </row>
    <row r="1950" spans="1:11" x14ac:dyDescent="0.25">
      <c r="A19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50" s="22">
        <v>45937</v>
      </c>
      <c r="C1950" s="16" t="s">
        <v>28</v>
      </c>
      <c r="D1950" s="16" t="s">
        <v>857</v>
      </c>
      <c r="E1950" s="17">
        <f>IFERROR(VLOOKUP(Tabulka2[[#This Row],[Pracovník]],DATA!A:L,5,0),"")</f>
        <v>5036</v>
      </c>
      <c r="F1950" s="12" t="s">
        <v>653</v>
      </c>
      <c r="G1950" s="16"/>
      <c r="H1950" s="18"/>
      <c r="I1950" s="27" t="str">
        <f>IFERROR(VLOOKUP(Tabulka2[[#This Row],[Pracovník]],DATA!A:L,11,0),"")</f>
        <v>Vlastní auto</v>
      </c>
      <c r="J1950" s="16"/>
      <c r="K1950" s="19"/>
    </row>
    <row r="1951" spans="1:11" x14ac:dyDescent="0.25">
      <c r="A19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51" s="22">
        <v>45937</v>
      </c>
      <c r="C1951" s="16" t="s">
        <v>28</v>
      </c>
      <c r="D1951" s="16" t="s">
        <v>838</v>
      </c>
      <c r="E1951" s="17">
        <f>IFERROR(VLOOKUP(Tabulka2[[#This Row],[Pracovník]],DATA!A:L,5,0),"")</f>
        <v>4899</v>
      </c>
      <c r="F1951" s="12" t="s">
        <v>654</v>
      </c>
      <c r="G1951" s="16"/>
      <c r="H1951" s="18"/>
      <c r="I1951" s="27" t="str">
        <f>IFERROR(VLOOKUP(Tabulka2[[#This Row],[Pracovník]],DATA!A:L,11,0),"")</f>
        <v>DSC 1</v>
      </c>
      <c r="J1951" s="16"/>
      <c r="K1951" s="19"/>
    </row>
    <row r="1952" spans="1:11" x14ac:dyDescent="0.25">
      <c r="A19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52" s="22">
        <v>45937</v>
      </c>
      <c r="C1952" s="16" t="s">
        <v>28</v>
      </c>
      <c r="D1952" s="16" t="s">
        <v>918</v>
      </c>
      <c r="E1952" s="17">
        <f>IFERROR(VLOOKUP(Tabulka2[[#This Row],[Pracovník]],DATA!A:L,5,0),"")</f>
        <v>6582</v>
      </c>
      <c r="F1952" s="12" t="s">
        <v>640</v>
      </c>
      <c r="G1952" s="16"/>
      <c r="H1952" s="18"/>
      <c r="I1952" s="27" t="str">
        <f>IFERROR(VLOOKUP(Tabulka2[[#This Row],[Pracovník]],DATA!A:L,11,0),"")</f>
        <v>DSC 1</v>
      </c>
      <c r="J1952" s="16"/>
      <c r="K1952" s="19"/>
    </row>
    <row r="1953" spans="1:11" x14ac:dyDescent="0.25">
      <c r="A19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53" s="22">
        <v>45937</v>
      </c>
      <c r="C1953" s="16" t="s">
        <v>28</v>
      </c>
      <c r="D1953" s="16" t="s">
        <v>922</v>
      </c>
      <c r="E1953" s="17">
        <f>IFERROR(VLOOKUP(Tabulka2[[#This Row],[Pracovník]],DATA!A:L,5,0),"")</f>
        <v>6580</v>
      </c>
      <c r="F1953" s="12" t="s">
        <v>654</v>
      </c>
      <c r="G1953" s="16"/>
      <c r="H1953" s="18"/>
      <c r="I1953" s="27" t="str">
        <f>IFERROR(VLOOKUP(Tabulka2[[#This Row],[Pracovník]],DATA!A:L,11,0),"")</f>
        <v>Vlastní auto</v>
      </c>
      <c r="J1953" s="16"/>
      <c r="K1953" s="19"/>
    </row>
    <row r="1954" spans="1:11" x14ac:dyDescent="0.25">
      <c r="A19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54" s="22">
        <v>45937</v>
      </c>
      <c r="C1954" s="16" t="s">
        <v>28</v>
      </c>
      <c r="D1954" s="16" t="s">
        <v>772</v>
      </c>
      <c r="E1954" s="17">
        <f>IFERROR(VLOOKUP(Tabulka2[[#This Row],[Pracovník]],DATA!A:L,5,0),"")</f>
        <v>4869</v>
      </c>
      <c r="F1954" s="12" t="s">
        <v>654</v>
      </c>
      <c r="G1954" s="16"/>
      <c r="H1954" s="18"/>
      <c r="I1954" s="27" t="str">
        <f>IFERROR(VLOOKUP(Tabulka2[[#This Row],[Pracovník]],DATA!A:L,11,0),"")</f>
        <v>Vlastní auto</v>
      </c>
      <c r="J1954" s="16"/>
      <c r="K1954" s="19"/>
    </row>
    <row r="1955" spans="1:11" x14ac:dyDescent="0.25">
      <c r="A19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55" s="22">
        <v>45937</v>
      </c>
      <c r="C1955" s="16" t="s">
        <v>28</v>
      </c>
      <c r="D1955" s="16" t="s">
        <v>965</v>
      </c>
      <c r="E1955" s="17">
        <f>IFERROR(VLOOKUP(Tabulka2[[#This Row],[Pracovník]],DATA!A:L,5,0),"")</f>
        <v>6593</v>
      </c>
      <c r="F1955" s="12" t="s">
        <v>654</v>
      </c>
      <c r="G1955" s="16"/>
      <c r="H1955" s="18"/>
      <c r="I1955" s="27" t="str">
        <f>IFERROR(VLOOKUP(Tabulka2[[#This Row],[Pracovník]],DATA!A:L,11,0),"")</f>
        <v>DSC 1</v>
      </c>
      <c r="J1955" s="16"/>
      <c r="K1955" s="19"/>
    </row>
    <row r="1956" spans="1:11" x14ac:dyDescent="0.25">
      <c r="A19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56" s="22">
        <v>45937</v>
      </c>
      <c r="C1956" s="16" t="s">
        <v>28</v>
      </c>
      <c r="D1956" s="16" t="s">
        <v>964</v>
      </c>
      <c r="E1956" s="17">
        <f>IFERROR(VLOOKUP(Tabulka2[[#This Row],[Pracovník]],DATA!A:L,5,0),"")</f>
        <v>6595</v>
      </c>
      <c r="F1956" s="12" t="s">
        <v>655</v>
      </c>
      <c r="G1956" s="16"/>
      <c r="H1956" s="18"/>
      <c r="I1956" s="27" t="str">
        <f>IFERROR(VLOOKUP(Tabulka2[[#This Row],[Pracovník]],DATA!A:L,11,0),"")</f>
        <v>DSC 1</v>
      </c>
      <c r="J1956" s="16"/>
      <c r="K1956" s="19"/>
    </row>
    <row r="1957" spans="1:11" x14ac:dyDescent="0.25">
      <c r="A19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57" s="22">
        <v>45937</v>
      </c>
      <c r="C1957" s="16" t="s">
        <v>28</v>
      </c>
      <c r="D1957" s="16" t="s">
        <v>967</v>
      </c>
      <c r="E1957" s="17">
        <f>IFERROR(VLOOKUP(Tabulka2[[#This Row],[Pracovník]],DATA!A:L,5,0),"")</f>
        <v>6596</v>
      </c>
      <c r="F1957" s="12" t="s">
        <v>655</v>
      </c>
      <c r="G1957" s="16"/>
      <c r="H1957" s="18"/>
      <c r="I1957" s="27" t="str">
        <f>IFERROR(VLOOKUP(Tabulka2[[#This Row],[Pracovník]],DATA!A:L,11,0),"")</f>
        <v>DSC 2</v>
      </c>
      <c r="J1957" s="16"/>
      <c r="K1957" s="19"/>
    </row>
    <row r="1958" spans="1:11" x14ac:dyDescent="0.25">
      <c r="A19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  <c r="B1958" s="22">
        <v>45937</v>
      </c>
      <c r="C1958" s="16" t="s">
        <v>28</v>
      </c>
      <c r="D1958" s="16" t="s">
        <v>966</v>
      </c>
      <c r="E1958" s="17">
        <f>IFERROR(VLOOKUP(Tabulka2[[#This Row],[Pracovník]],DATA!A:L,5,0),"")</f>
        <v>6597</v>
      </c>
      <c r="F1958" s="12" t="s">
        <v>654</v>
      </c>
      <c r="G1958" s="16"/>
      <c r="H1958" s="18"/>
      <c r="I1958" s="27" t="str">
        <f>IFERROR(VLOOKUP(Tabulka2[[#This Row],[Pracovník]],DATA!A:L,11,0),"")</f>
        <v>DSC 2</v>
      </c>
      <c r="J1958" s="16"/>
      <c r="K1958" s="19"/>
    </row>
    <row r="1959" spans="1:11" x14ac:dyDescent="0.25">
      <c r="A19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59" s="22">
        <v>45937</v>
      </c>
      <c r="C1959" s="16"/>
      <c r="D1959" s="16"/>
      <c r="E1959" s="17" t="str">
        <f>IFERROR(VLOOKUP(Tabulka2[[#This Row],[Pracovník]],DATA!A:L,5,0),"")</f>
        <v/>
      </c>
      <c r="F1959" s="12"/>
      <c r="G1959" s="16"/>
      <c r="H1959" s="18"/>
      <c r="I1959" s="27" t="str">
        <f>IFERROR(VLOOKUP(Tabulka2[[#This Row],[Pracovník]],DATA!A:L,11,0),"")</f>
        <v/>
      </c>
      <c r="J1959" s="16"/>
      <c r="K1959" s="19"/>
    </row>
    <row r="1960" spans="1:11" x14ac:dyDescent="0.25">
      <c r="A19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60" s="22">
        <v>45937</v>
      </c>
      <c r="C1960" s="16"/>
      <c r="D1960" s="16"/>
      <c r="E1960" s="17" t="str">
        <f>IFERROR(VLOOKUP(Tabulka2[[#This Row],[Pracovník]],DATA!A:L,5,0),"")</f>
        <v/>
      </c>
      <c r="F1960" s="12"/>
      <c r="G1960" s="16"/>
      <c r="H1960" s="18"/>
      <c r="I1960" s="27" t="str">
        <f>IFERROR(VLOOKUP(Tabulka2[[#This Row],[Pracovník]],DATA!A:L,11,0),"")</f>
        <v/>
      </c>
      <c r="J1960" s="16"/>
      <c r="K1960" s="19"/>
    </row>
    <row r="1961" spans="1:11" x14ac:dyDescent="0.25">
      <c r="A19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61" s="22">
        <v>45937</v>
      </c>
      <c r="C1961" s="16"/>
      <c r="D1961" s="16"/>
      <c r="E1961" s="17" t="str">
        <f>IFERROR(VLOOKUP(Tabulka2[[#This Row],[Pracovník]],DATA!A:L,5,0),"")</f>
        <v/>
      </c>
      <c r="F1961" s="12"/>
      <c r="G1961" s="16"/>
      <c r="H1961" s="18"/>
      <c r="I1961" s="27" t="str">
        <f>IFERROR(VLOOKUP(Tabulka2[[#This Row],[Pracovník]],DATA!A:L,11,0),"")</f>
        <v/>
      </c>
      <c r="J1961" s="16"/>
      <c r="K1961" s="19"/>
    </row>
    <row r="1962" spans="1:11" x14ac:dyDescent="0.25">
      <c r="A19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62" s="22">
        <v>45937</v>
      </c>
      <c r="C1962" s="16"/>
      <c r="D1962" s="16"/>
      <c r="E1962" s="17" t="str">
        <f>IFERROR(VLOOKUP(Tabulka2[[#This Row],[Pracovník]],DATA!A:L,5,0),"")</f>
        <v/>
      </c>
      <c r="F1962" s="12"/>
      <c r="G1962" s="16"/>
      <c r="H1962" s="18"/>
      <c r="I1962" s="27" t="str">
        <f>IFERROR(VLOOKUP(Tabulka2[[#This Row],[Pracovník]],DATA!A:L,11,0),"")</f>
        <v/>
      </c>
      <c r="J1962" s="16"/>
      <c r="K1962" s="19"/>
    </row>
    <row r="1963" spans="1:11" x14ac:dyDescent="0.25">
      <c r="A19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63" s="22">
        <v>45937</v>
      </c>
      <c r="C1963" s="16"/>
      <c r="D1963" s="16"/>
      <c r="E1963" s="17" t="str">
        <f>IFERROR(VLOOKUP(Tabulka2[[#This Row],[Pracovník]],DATA!A:L,5,0),"")</f>
        <v/>
      </c>
      <c r="F1963" s="12"/>
      <c r="G1963" s="16"/>
      <c r="H1963" s="18"/>
      <c r="I1963" s="27" t="str">
        <f>IFERROR(VLOOKUP(Tabulka2[[#This Row],[Pracovník]],DATA!A:L,11,0),"")</f>
        <v/>
      </c>
      <c r="J1963" s="16"/>
      <c r="K1963" s="19"/>
    </row>
    <row r="1964" spans="1:11" x14ac:dyDescent="0.25">
      <c r="A19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64" s="22">
        <v>45937</v>
      </c>
      <c r="C1964" s="16"/>
      <c r="D1964" s="16"/>
      <c r="E1964" s="17" t="str">
        <f>IFERROR(VLOOKUP(Tabulka2[[#This Row],[Pracovník]],DATA!A:L,5,0),"")</f>
        <v/>
      </c>
      <c r="F1964" s="12"/>
      <c r="G1964" s="16"/>
      <c r="H1964" s="18"/>
      <c r="I1964" s="27" t="str">
        <f>IFERROR(VLOOKUP(Tabulka2[[#This Row],[Pracovník]],DATA!A:L,11,0),"")</f>
        <v/>
      </c>
      <c r="J1964" s="16"/>
      <c r="K1964" s="19"/>
    </row>
    <row r="1965" spans="1:11" x14ac:dyDescent="0.25">
      <c r="A19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65" s="22">
        <v>45937</v>
      </c>
      <c r="C1965" s="16"/>
      <c r="D1965" s="16"/>
      <c r="E1965" s="17" t="str">
        <f>IFERROR(VLOOKUP(Tabulka2[[#This Row],[Pracovník]],DATA!A:L,5,0),"")</f>
        <v/>
      </c>
      <c r="F1965" s="12"/>
      <c r="G1965" s="16"/>
      <c r="H1965" s="18"/>
      <c r="I1965" s="27" t="str">
        <f>IFERROR(VLOOKUP(Tabulka2[[#This Row],[Pracovník]],DATA!A:L,11,0),"")</f>
        <v/>
      </c>
      <c r="J1965" s="16"/>
      <c r="K1965" s="19"/>
    </row>
    <row r="1966" spans="1:11" x14ac:dyDescent="0.25">
      <c r="A19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66" s="22">
        <v>45937</v>
      </c>
      <c r="C1966" s="16"/>
      <c r="D1966" s="16"/>
      <c r="E1966" s="17" t="str">
        <f>IFERROR(VLOOKUP(Tabulka2[[#This Row],[Pracovník]],DATA!A:L,5,0),"")</f>
        <v/>
      </c>
      <c r="F1966" s="12"/>
      <c r="G1966" s="16"/>
      <c r="H1966" s="18"/>
      <c r="I1966" s="27" t="str">
        <f>IFERROR(VLOOKUP(Tabulka2[[#This Row],[Pracovník]],DATA!A:L,11,0),"")</f>
        <v/>
      </c>
      <c r="J1966" s="16"/>
      <c r="K1966" s="19"/>
    </row>
    <row r="1967" spans="1:11" x14ac:dyDescent="0.25">
      <c r="A19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67" s="22">
        <v>45937</v>
      </c>
      <c r="C1967" s="16"/>
      <c r="D1967" s="16"/>
      <c r="E1967" s="17" t="str">
        <f>IFERROR(VLOOKUP(Tabulka2[[#This Row],[Pracovník]],DATA!A:L,5,0),"")</f>
        <v/>
      </c>
      <c r="F1967" s="12"/>
      <c r="G1967" s="16"/>
      <c r="H1967" s="18"/>
      <c r="I1967" s="27" t="str">
        <f>IFERROR(VLOOKUP(Tabulka2[[#This Row],[Pracovník]],DATA!A:L,11,0),"")</f>
        <v/>
      </c>
      <c r="J1967" s="16"/>
      <c r="K1967" s="19"/>
    </row>
    <row r="1968" spans="1:11" x14ac:dyDescent="0.25">
      <c r="A19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68" s="22">
        <v>45937</v>
      </c>
      <c r="C1968" s="16"/>
      <c r="D1968" s="16"/>
      <c r="E1968" s="17" t="str">
        <f>IFERROR(VLOOKUP(Tabulka2[[#This Row],[Pracovník]],DATA!A:L,5,0),"")</f>
        <v/>
      </c>
      <c r="F1968" s="12"/>
      <c r="G1968" s="16"/>
      <c r="H1968" s="18"/>
      <c r="I1968" s="27" t="str">
        <f>IFERROR(VLOOKUP(Tabulka2[[#This Row],[Pracovník]],DATA!A:L,11,0),"")</f>
        <v/>
      </c>
      <c r="J1968" s="16"/>
      <c r="K1968" s="19"/>
    </row>
    <row r="1969" spans="1:11" x14ac:dyDescent="0.25">
      <c r="A19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69" s="22">
        <v>45937</v>
      </c>
      <c r="C1969" s="16"/>
      <c r="D1969" s="16"/>
      <c r="E1969" s="17" t="str">
        <f>IFERROR(VLOOKUP(Tabulka2[[#This Row],[Pracovník]],DATA!A:L,5,0),"")</f>
        <v/>
      </c>
      <c r="F1969" s="12"/>
      <c r="G1969" s="16"/>
      <c r="H1969" s="18"/>
      <c r="I1969" s="27" t="str">
        <f>IFERROR(VLOOKUP(Tabulka2[[#This Row],[Pracovník]],DATA!A:L,11,0),"")</f>
        <v/>
      </c>
      <c r="J1969" s="16"/>
      <c r="K1969" s="19"/>
    </row>
    <row r="1970" spans="1:11" x14ac:dyDescent="0.25">
      <c r="A19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70" s="22">
        <v>45937</v>
      </c>
      <c r="C1970" s="16"/>
      <c r="D1970" s="16"/>
      <c r="E1970" s="17" t="str">
        <f>IFERROR(VLOOKUP(Tabulka2[[#This Row],[Pracovník]],DATA!A:L,5,0),"")</f>
        <v/>
      </c>
      <c r="F1970" s="12"/>
      <c r="G1970" s="16"/>
      <c r="H1970" s="18"/>
      <c r="I1970" s="27" t="str">
        <f>IFERROR(VLOOKUP(Tabulka2[[#This Row],[Pracovník]],DATA!A:L,11,0),"")</f>
        <v/>
      </c>
      <c r="J1970" s="16"/>
      <c r="K1970" s="19"/>
    </row>
    <row r="1971" spans="1:11" x14ac:dyDescent="0.25">
      <c r="A19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71" s="22">
        <v>45937</v>
      </c>
      <c r="C1971" s="16"/>
      <c r="D1971" s="16"/>
      <c r="E1971" s="17" t="str">
        <f>IFERROR(VLOOKUP(Tabulka2[[#This Row],[Pracovník]],DATA!A:L,5,0),"")</f>
        <v/>
      </c>
      <c r="F1971" s="12"/>
      <c r="G1971" s="16"/>
      <c r="H1971" s="18"/>
      <c r="I1971" s="27" t="str">
        <f>IFERROR(VLOOKUP(Tabulka2[[#This Row],[Pracovník]],DATA!A:L,11,0),"")</f>
        <v/>
      </c>
      <c r="J1971" s="16"/>
      <c r="K1971" s="19"/>
    </row>
    <row r="1972" spans="1:11" x14ac:dyDescent="0.25">
      <c r="A19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72" s="22">
        <v>45937</v>
      </c>
      <c r="C1972" s="16"/>
      <c r="D1972" s="16"/>
      <c r="E1972" s="17" t="str">
        <f>IFERROR(VLOOKUP(Tabulka2[[#This Row],[Pracovník]],DATA!A:L,5,0),"")</f>
        <v/>
      </c>
      <c r="F1972" s="12"/>
      <c r="G1972" s="16"/>
      <c r="H1972" s="18"/>
      <c r="I1972" s="27" t="str">
        <f>IFERROR(VLOOKUP(Tabulka2[[#This Row],[Pracovník]],DATA!A:L,11,0),"")</f>
        <v/>
      </c>
      <c r="J1972" s="16"/>
      <c r="K1972" s="19"/>
    </row>
    <row r="1973" spans="1:11" x14ac:dyDescent="0.25">
      <c r="A19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73" s="22">
        <v>45937</v>
      </c>
      <c r="C1973" s="16"/>
      <c r="D1973" s="16"/>
      <c r="E1973" s="17" t="str">
        <f>IFERROR(VLOOKUP(Tabulka2[[#This Row],[Pracovník]],DATA!A:L,5,0),"")</f>
        <v/>
      </c>
      <c r="F1973" s="12"/>
      <c r="G1973" s="16"/>
      <c r="H1973" s="18"/>
      <c r="I1973" s="27" t="str">
        <f>IFERROR(VLOOKUP(Tabulka2[[#This Row],[Pracovník]],DATA!A:L,11,0),"")</f>
        <v/>
      </c>
      <c r="J1973" s="16"/>
      <c r="K1973" s="19"/>
    </row>
    <row r="1974" spans="1:11" x14ac:dyDescent="0.25">
      <c r="A19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74" s="22">
        <v>45937</v>
      </c>
      <c r="C1974" s="16"/>
      <c r="D1974" s="16"/>
      <c r="E1974" s="17" t="str">
        <f>IFERROR(VLOOKUP(Tabulka2[[#This Row],[Pracovník]],DATA!A:L,5,0),"")</f>
        <v/>
      </c>
      <c r="F1974" s="12"/>
      <c r="G1974" s="16"/>
      <c r="H1974" s="18"/>
      <c r="I1974" s="27" t="str">
        <f>IFERROR(VLOOKUP(Tabulka2[[#This Row],[Pracovník]],DATA!A:L,11,0),"")</f>
        <v/>
      </c>
      <c r="J1974" s="16"/>
      <c r="K1974" s="19"/>
    </row>
    <row r="1975" spans="1:11" x14ac:dyDescent="0.25">
      <c r="A19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75" s="22">
        <v>45937</v>
      </c>
      <c r="C1975" s="16"/>
      <c r="D1975" s="16"/>
      <c r="E1975" s="17" t="str">
        <f>IFERROR(VLOOKUP(Tabulka2[[#This Row],[Pracovník]],DATA!A:L,5,0),"")</f>
        <v/>
      </c>
      <c r="F1975" s="12"/>
      <c r="G1975" s="16"/>
      <c r="H1975" s="18"/>
      <c r="I1975" s="27" t="str">
        <f>IFERROR(VLOOKUP(Tabulka2[[#This Row],[Pracovník]],DATA!A:L,11,0),"")</f>
        <v/>
      </c>
      <c r="J1975" s="16"/>
      <c r="K1975" s="19"/>
    </row>
    <row r="1976" spans="1:11" x14ac:dyDescent="0.25">
      <c r="A19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76" s="22">
        <v>45937</v>
      </c>
      <c r="C1976" s="16"/>
      <c r="D1976" s="16"/>
      <c r="E1976" s="17" t="str">
        <f>IFERROR(VLOOKUP(Tabulka2[[#This Row],[Pracovník]],DATA!A:L,5,0),"")</f>
        <v/>
      </c>
      <c r="F1976" s="12"/>
      <c r="G1976" s="16"/>
      <c r="H1976" s="18"/>
      <c r="I1976" s="27" t="str">
        <f>IFERROR(VLOOKUP(Tabulka2[[#This Row],[Pracovník]],DATA!A:L,11,0),"")</f>
        <v/>
      </c>
      <c r="J1976" s="16"/>
      <c r="K1976" s="19"/>
    </row>
    <row r="1977" spans="1:11" x14ac:dyDescent="0.25">
      <c r="A19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77" s="22">
        <v>45937</v>
      </c>
      <c r="C1977" s="16"/>
      <c r="D1977" s="16"/>
      <c r="E1977" s="17" t="str">
        <f>IFERROR(VLOOKUP(Tabulka2[[#This Row],[Pracovník]],DATA!A:L,5,0),"")</f>
        <v/>
      </c>
      <c r="F1977" s="12"/>
      <c r="G1977" s="16"/>
      <c r="H1977" s="18"/>
      <c r="I1977" s="27" t="str">
        <f>IFERROR(VLOOKUP(Tabulka2[[#This Row],[Pracovník]],DATA!A:L,11,0),"")</f>
        <v/>
      </c>
      <c r="J1977" s="16"/>
      <c r="K1977" s="19"/>
    </row>
    <row r="1978" spans="1:11" x14ac:dyDescent="0.25">
      <c r="A19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78" s="22">
        <v>45937</v>
      </c>
      <c r="C1978" s="16"/>
      <c r="D1978" s="16"/>
      <c r="E1978" s="17" t="str">
        <f>IFERROR(VLOOKUP(Tabulka2[[#This Row],[Pracovník]],DATA!A:L,5,0),"")</f>
        <v/>
      </c>
      <c r="F1978" s="12"/>
      <c r="G1978" s="16"/>
      <c r="H1978" s="18"/>
      <c r="I1978" s="27" t="str">
        <f>IFERROR(VLOOKUP(Tabulka2[[#This Row],[Pracovník]],DATA!A:L,11,0),"")</f>
        <v/>
      </c>
      <c r="J1978" s="16"/>
      <c r="K1978" s="19"/>
    </row>
    <row r="1979" spans="1:11" x14ac:dyDescent="0.25">
      <c r="A19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79" s="22">
        <v>45937</v>
      </c>
      <c r="C1979" s="16"/>
      <c r="D1979" s="16"/>
      <c r="E1979" s="17" t="str">
        <f>IFERROR(VLOOKUP(Tabulka2[[#This Row],[Pracovník]],DATA!A:L,5,0),"")</f>
        <v/>
      </c>
      <c r="F1979" s="12"/>
      <c r="G1979" s="16"/>
      <c r="H1979" s="18"/>
      <c r="I1979" s="27" t="str">
        <f>IFERROR(VLOOKUP(Tabulka2[[#This Row],[Pracovník]],DATA!A:L,11,0),"")</f>
        <v/>
      </c>
      <c r="J1979" s="16"/>
      <c r="K1979" s="19"/>
    </row>
    <row r="1980" spans="1:11" x14ac:dyDescent="0.25">
      <c r="A19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80" s="22">
        <v>45937</v>
      </c>
      <c r="C1980" s="16"/>
      <c r="D1980" s="16"/>
      <c r="E1980" s="17" t="str">
        <f>IFERROR(VLOOKUP(Tabulka2[[#This Row],[Pracovník]],DATA!A:L,5,0),"")</f>
        <v/>
      </c>
      <c r="F1980" s="12"/>
      <c r="G1980" s="16"/>
      <c r="H1980" s="18"/>
      <c r="I1980" s="27" t="str">
        <f>IFERROR(VLOOKUP(Tabulka2[[#This Row],[Pracovník]],DATA!A:L,11,0),"")</f>
        <v/>
      </c>
      <c r="J1980" s="16"/>
      <c r="K1980" s="19"/>
    </row>
    <row r="1981" spans="1:11" x14ac:dyDescent="0.25">
      <c r="A19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81" s="22">
        <v>45937</v>
      </c>
      <c r="C1981" s="16"/>
      <c r="D1981" s="16"/>
      <c r="E1981" s="17" t="str">
        <f>IFERROR(VLOOKUP(Tabulka2[[#This Row],[Pracovník]],DATA!A:L,5,0),"")</f>
        <v/>
      </c>
      <c r="F1981" s="12"/>
      <c r="G1981" s="16"/>
      <c r="H1981" s="18"/>
      <c r="I1981" s="27" t="str">
        <f>IFERROR(VLOOKUP(Tabulka2[[#This Row],[Pracovník]],DATA!A:L,11,0),"")</f>
        <v/>
      </c>
      <c r="J1981" s="16"/>
      <c r="K1981" s="19"/>
    </row>
    <row r="1982" spans="1:11" x14ac:dyDescent="0.25">
      <c r="A19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82" s="22">
        <v>45937</v>
      </c>
      <c r="C1982" s="16"/>
      <c r="D1982" s="16"/>
      <c r="E1982" s="17" t="str">
        <f>IFERROR(VLOOKUP(Tabulka2[[#This Row],[Pracovník]],DATA!A:L,5,0),"")</f>
        <v/>
      </c>
      <c r="F1982" s="12"/>
      <c r="G1982" s="16"/>
      <c r="H1982" s="18"/>
      <c r="I1982" s="27" t="str">
        <f>IFERROR(VLOOKUP(Tabulka2[[#This Row],[Pracovník]],DATA!A:L,11,0),"")</f>
        <v/>
      </c>
      <c r="J1982" s="16"/>
      <c r="K1982" s="19"/>
    </row>
    <row r="1983" spans="1:11" x14ac:dyDescent="0.25">
      <c r="A19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83" s="22">
        <v>45937</v>
      </c>
      <c r="C1983" s="16"/>
      <c r="D1983" s="16"/>
      <c r="E1983" s="17" t="str">
        <f>IFERROR(VLOOKUP(Tabulka2[[#This Row],[Pracovník]],DATA!A:L,5,0),"")</f>
        <v/>
      </c>
      <c r="F1983" s="12"/>
      <c r="G1983" s="16"/>
      <c r="H1983" s="18"/>
      <c r="I1983" s="27" t="str">
        <f>IFERROR(VLOOKUP(Tabulka2[[#This Row],[Pracovník]],DATA!A:L,11,0),"")</f>
        <v/>
      </c>
      <c r="J1983" s="16"/>
      <c r="K1983" s="19"/>
    </row>
    <row r="1984" spans="1:11" x14ac:dyDescent="0.25">
      <c r="A19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84" s="22">
        <v>45937</v>
      </c>
      <c r="C1984" s="16"/>
      <c r="D1984" s="16"/>
      <c r="E1984" s="17" t="str">
        <f>IFERROR(VLOOKUP(Tabulka2[[#This Row],[Pracovník]],DATA!A:L,5,0),"")</f>
        <v/>
      </c>
      <c r="F1984" s="12"/>
      <c r="G1984" s="16"/>
      <c r="H1984" s="18"/>
      <c r="I1984" s="27" t="str">
        <f>IFERROR(VLOOKUP(Tabulka2[[#This Row],[Pracovník]],DATA!A:L,11,0),"")</f>
        <v/>
      </c>
      <c r="J1984" s="16"/>
      <c r="K1984" s="19"/>
    </row>
    <row r="1985" spans="1:11" x14ac:dyDescent="0.25">
      <c r="A19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85" s="22">
        <v>45937</v>
      </c>
      <c r="C1985" s="16"/>
      <c r="D1985" s="16"/>
      <c r="E1985" s="17" t="str">
        <f>IFERROR(VLOOKUP(Tabulka2[[#This Row],[Pracovník]],DATA!A:L,5,0),"")</f>
        <v/>
      </c>
      <c r="F1985" s="12"/>
      <c r="G1985" s="16"/>
      <c r="H1985" s="18"/>
      <c r="I1985" s="27" t="str">
        <f>IFERROR(VLOOKUP(Tabulka2[[#This Row],[Pracovník]],DATA!A:L,11,0),"")</f>
        <v/>
      </c>
      <c r="J1985" s="16"/>
      <c r="K1985" s="19"/>
    </row>
    <row r="1986" spans="1:11" x14ac:dyDescent="0.25">
      <c r="A19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86" s="22">
        <v>45937</v>
      </c>
      <c r="C1986" s="16"/>
      <c r="D1986" s="16"/>
      <c r="E1986" s="17" t="str">
        <f>IFERROR(VLOOKUP(Tabulka2[[#This Row],[Pracovník]],DATA!A:L,5,0),"")</f>
        <v/>
      </c>
      <c r="F1986" s="12"/>
      <c r="G1986" s="16"/>
      <c r="H1986" s="18"/>
      <c r="I1986" s="27" t="str">
        <f>IFERROR(VLOOKUP(Tabulka2[[#This Row],[Pracovník]],DATA!A:L,11,0),"")</f>
        <v/>
      </c>
      <c r="J1986" s="16"/>
      <c r="K1986" s="19"/>
    </row>
    <row r="1987" spans="1:11" x14ac:dyDescent="0.25">
      <c r="A19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87" s="22">
        <v>45937</v>
      </c>
      <c r="C1987" s="16"/>
      <c r="D1987" s="16"/>
      <c r="E1987" s="17" t="str">
        <f>IFERROR(VLOOKUP(Tabulka2[[#This Row],[Pracovník]],DATA!A:L,5,0),"")</f>
        <v/>
      </c>
      <c r="F1987" s="12"/>
      <c r="G1987" s="16"/>
      <c r="H1987" s="18"/>
      <c r="I1987" s="27" t="str">
        <f>IFERROR(VLOOKUP(Tabulka2[[#This Row],[Pracovník]],DATA!A:L,11,0),"")</f>
        <v/>
      </c>
      <c r="J1987" s="16"/>
      <c r="K1987" s="19"/>
    </row>
    <row r="1988" spans="1:11" x14ac:dyDescent="0.25">
      <c r="A19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88" s="22">
        <v>45937</v>
      </c>
      <c r="C1988" s="16"/>
      <c r="D1988" s="16"/>
      <c r="E1988" s="17" t="str">
        <f>IFERROR(VLOOKUP(Tabulka2[[#This Row],[Pracovník]],DATA!A:L,5,0),"")</f>
        <v/>
      </c>
      <c r="F1988" s="12"/>
      <c r="G1988" s="16"/>
      <c r="H1988" s="18"/>
      <c r="I1988" s="27" t="str">
        <f>IFERROR(VLOOKUP(Tabulka2[[#This Row],[Pracovník]],DATA!A:L,11,0),"")</f>
        <v/>
      </c>
      <c r="J1988" s="16"/>
      <c r="K1988" s="19"/>
    </row>
    <row r="1989" spans="1:11" x14ac:dyDescent="0.25">
      <c r="A19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89" s="22">
        <v>45937</v>
      </c>
      <c r="C1989" s="16"/>
      <c r="D1989" s="16"/>
      <c r="E1989" s="17" t="str">
        <f>IFERROR(VLOOKUP(Tabulka2[[#This Row],[Pracovník]],DATA!A:L,5,0),"")</f>
        <v/>
      </c>
      <c r="F1989" s="12"/>
      <c r="G1989" s="16"/>
      <c r="H1989" s="18"/>
      <c r="I1989" s="27" t="str">
        <f>IFERROR(VLOOKUP(Tabulka2[[#This Row],[Pracovník]],DATA!A:L,11,0),"")</f>
        <v/>
      </c>
      <c r="J1989" s="16"/>
      <c r="K1989" s="19"/>
    </row>
    <row r="1990" spans="1:11" x14ac:dyDescent="0.25">
      <c r="A19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90" s="22">
        <v>45937</v>
      </c>
      <c r="C1990" s="16"/>
      <c r="D1990" s="16"/>
      <c r="E1990" s="17" t="str">
        <f>IFERROR(VLOOKUP(Tabulka2[[#This Row],[Pracovník]],DATA!A:L,5,0),"")</f>
        <v/>
      </c>
      <c r="F1990" s="12"/>
      <c r="G1990" s="16"/>
      <c r="H1990" s="18"/>
      <c r="I1990" s="27" t="str">
        <f>IFERROR(VLOOKUP(Tabulka2[[#This Row],[Pracovník]],DATA!A:L,11,0),"")</f>
        <v/>
      </c>
      <c r="J1990" s="16"/>
      <c r="K1990" s="19"/>
    </row>
    <row r="1991" spans="1:11" x14ac:dyDescent="0.25">
      <c r="A19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91" s="22">
        <v>45937</v>
      </c>
      <c r="C1991" s="16"/>
      <c r="D1991" s="16"/>
      <c r="E1991" s="17" t="str">
        <f>IFERROR(VLOOKUP(Tabulka2[[#This Row],[Pracovník]],DATA!A:L,5,0),"")</f>
        <v/>
      </c>
      <c r="F1991" s="12"/>
      <c r="G1991" s="16"/>
      <c r="H1991" s="18"/>
      <c r="I1991" s="27" t="str">
        <f>IFERROR(VLOOKUP(Tabulka2[[#This Row],[Pracovník]],DATA!A:L,11,0),"")</f>
        <v/>
      </c>
      <c r="J1991" s="16"/>
      <c r="K1991" s="19"/>
    </row>
    <row r="1992" spans="1:11" x14ac:dyDescent="0.25">
      <c r="A19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92" s="22">
        <v>45937</v>
      </c>
      <c r="C1992" s="16"/>
      <c r="D1992" s="16"/>
      <c r="E1992" s="17" t="str">
        <f>IFERROR(VLOOKUP(Tabulka2[[#This Row],[Pracovník]],DATA!A:L,5,0),"")</f>
        <v/>
      </c>
      <c r="F1992" s="12"/>
      <c r="G1992" s="16"/>
      <c r="H1992" s="18"/>
      <c r="I1992" s="27" t="str">
        <f>IFERROR(VLOOKUP(Tabulka2[[#This Row],[Pracovník]],DATA!A:L,11,0),"")</f>
        <v/>
      </c>
      <c r="J1992" s="16"/>
      <c r="K1992" s="19"/>
    </row>
    <row r="1993" spans="1:11" x14ac:dyDescent="0.25">
      <c r="A19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93" s="22">
        <v>45937</v>
      </c>
      <c r="C1993" s="16"/>
      <c r="D1993" s="16"/>
      <c r="E1993" s="17" t="str">
        <f>IFERROR(VLOOKUP(Tabulka2[[#This Row],[Pracovník]],DATA!A:L,5,0),"")</f>
        <v/>
      </c>
      <c r="F1993" s="12"/>
      <c r="G1993" s="16"/>
      <c r="H1993" s="18"/>
      <c r="I1993" s="27" t="str">
        <f>IFERROR(VLOOKUP(Tabulka2[[#This Row],[Pracovník]],DATA!A:L,11,0),"")</f>
        <v/>
      </c>
      <c r="J1993" s="16"/>
      <c r="K1993" s="19"/>
    </row>
    <row r="1994" spans="1:11" x14ac:dyDescent="0.25">
      <c r="A19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94" s="22">
        <v>45937</v>
      </c>
      <c r="C1994" s="16"/>
      <c r="D1994" s="16"/>
      <c r="E1994" s="17" t="str">
        <f>IFERROR(VLOOKUP(Tabulka2[[#This Row],[Pracovník]],DATA!A:L,5,0),"")</f>
        <v/>
      </c>
      <c r="F1994" s="12"/>
      <c r="G1994" s="16"/>
      <c r="H1994" s="18"/>
      <c r="I1994" s="27" t="str">
        <f>IFERROR(VLOOKUP(Tabulka2[[#This Row],[Pracovník]],DATA!A:L,11,0),"")</f>
        <v/>
      </c>
      <c r="J1994" s="16"/>
      <c r="K1994" s="19"/>
    </row>
    <row r="1995" spans="1:11" x14ac:dyDescent="0.25">
      <c r="A19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95" s="22">
        <v>45937</v>
      </c>
      <c r="C1995" s="16"/>
      <c r="D1995" s="16"/>
      <c r="E1995" s="17" t="str">
        <f>IFERROR(VLOOKUP(Tabulka2[[#This Row],[Pracovník]],DATA!A:L,5,0),"")</f>
        <v/>
      </c>
      <c r="F1995" s="12"/>
      <c r="G1995" s="16"/>
      <c r="H1995" s="18"/>
      <c r="I1995" s="27" t="str">
        <f>IFERROR(VLOOKUP(Tabulka2[[#This Row],[Pracovník]],DATA!A:L,11,0),"")</f>
        <v/>
      </c>
      <c r="J1995" s="16"/>
      <c r="K1995" s="19"/>
    </row>
    <row r="1996" spans="1:11" x14ac:dyDescent="0.25">
      <c r="A19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96" s="22">
        <v>45937</v>
      </c>
      <c r="C1996" s="16"/>
      <c r="D1996" s="16"/>
      <c r="E1996" s="17" t="str">
        <f>IFERROR(VLOOKUP(Tabulka2[[#This Row],[Pracovník]],DATA!A:L,5,0),"")</f>
        <v/>
      </c>
      <c r="F1996" s="12"/>
      <c r="G1996" s="16"/>
      <c r="H1996" s="18"/>
      <c r="I1996" s="27" t="str">
        <f>IFERROR(VLOOKUP(Tabulka2[[#This Row],[Pracovník]],DATA!A:L,11,0),"")</f>
        <v/>
      </c>
      <c r="J1996" s="16"/>
      <c r="K1996" s="19"/>
    </row>
    <row r="1997" spans="1:11" x14ac:dyDescent="0.25">
      <c r="A19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97" s="22">
        <v>45937</v>
      </c>
      <c r="C1997" s="16"/>
      <c r="D1997" s="16"/>
      <c r="E1997" s="17" t="str">
        <f>IFERROR(VLOOKUP(Tabulka2[[#This Row],[Pracovník]],DATA!A:L,5,0),"")</f>
        <v/>
      </c>
      <c r="F1997" s="12"/>
      <c r="G1997" s="16"/>
      <c r="H1997" s="18"/>
      <c r="I1997" s="27" t="str">
        <f>IFERROR(VLOOKUP(Tabulka2[[#This Row],[Pracovník]],DATA!A:L,11,0),"")</f>
        <v/>
      </c>
      <c r="J1997" s="16"/>
      <c r="K1997" s="19"/>
    </row>
    <row r="1998" spans="1:11" x14ac:dyDescent="0.25">
      <c r="A19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98" s="22">
        <v>45937</v>
      </c>
      <c r="C1998" s="16"/>
      <c r="D1998" s="16"/>
      <c r="E1998" s="17" t="str">
        <f>IFERROR(VLOOKUP(Tabulka2[[#This Row],[Pracovník]],DATA!A:L,5,0),"")</f>
        <v/>
      </c>
      <c r="F1998" s="12"/>
      <c r="G1998" s="16"/>
      <c r="H1998" s="18"/>
      <c r="I1998" s="27" t="str">
        <f>IFERROR(VLOOKUP(Tabulka2[[#This Row],[Pracovník]],DATA!A:L,11,0),"")</f>
        <v/>
      </c>
      <c r="J1998" s="16"/>
      <c r="K1998" s="19"/>
    </row>
    <row r="1999" spans="1:11" x14ac:dyDescent="0.25">
      <c r="A19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1999" s="22">
        <v>45937</v>
      </c>
      <c r="C1999" s="16"/>
      <c r="D1999" s="16"/>
      <c r="E1999" s="17" t="str">
        <f>IFERROR(VLOOKUP(Tabulka2[[#This Row],[Pracovník]],DATA!A:L,5,0),"")</f>
        <v/>
      </c>
      <c r="F1999" s="12"/>
      <c r="G1999" s="16"/>
      <c r="H1999" s="18"/>
      <c r="I1999" s="27" t="str">
        <f>IFERROR(VLOOKUP(Tabulka2[[#This Row],[Pracovník]],DATA!A:L,11,0),"")</f>
        <v/>
      </c>
      <c r="J1999" s="16"/>
      <c r="K1999" s="19"/>
    </row>
    <row r="2000" spans="1:11" x14ac:dyDescent="0.25">
      <c r="A20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00" s="22">
        <v>45937</v>
      </c>
      <c r="C2000" s="16"/>
      <c r="D2000" s="16"/>
      <c r="E2000" s="17" t="str">
        <f>IFERROR(VLOOKUP(Tabulka2[[#This Row],[Pracovník]],DATA!A:L,5,0),"")</f>
        <v/>
      </c>
      <c r="F2000" s="12"/>
      <c r="G2000" s="16"/>
      <c r="H2000" s="18"/>
      <c r="I2000" s="27" t="str">
        <f>IFERROR(VLOOKUP(Tabulka2[[#This Row],[Pracovník]],DATA!A:L,11,0),"")</f>
        <v/>
      </c>
      <c r="J2000" s="16"/>
      <c r="K2000" s="19"/>
    </row>
    <row r="2001" spans="1:11" x14ac:dyDescent="0.25">
      <c r="A20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01" s="22">
        <v>45937</v>
      </c>
      <c r="C2001" s="16"/>
      <c r="D2001" s="16"/>
      <c r="E2001" s="17" t="str">
        <f>IFERROR(VLOOKUP(Tabulka2[[#This Row],[Pracovník]],DATA!A:L,5,0),"")</f>
        <v/>
      </c>
      <c r="F2001" s="12"/>
      <c r="G2001" s="16"/>
      <c r="H2001" s="18"/>
      <c r="I2001" s="27" t="str">
        <f>IFERROR(VLOOKUP(Tabulka2[[#This Row],[Pracovník]],DATA!A:L,11,0),"")</f>
        <v/>
      </c>
      <c r="J2001" s="16"/>
      <c r="K2001" s="19"/>
    </row>
    <row r="2002" spans="1:11" x14ac:dyDescent="0.25">
      <c r="A20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02" s="22">
        <v>45937</v>
      </c>
      <c r="C2002" s="16"/>
      <c r="D2002" s="16"/>
      <c r="E2002" s="17" t="str">
        <f>IFERROR(VLOOKUP(Tabulka2[[#This Row],[Pracovník]],DATA!A:L,5,0),"")</f>
        <v/>
      </c>
      <c r="F2002" s="12"/>
      <c r="G2002" s="16"/>
      <c r="H2002" s="18"/>
      <c r="I2002" s="27" t="str">
        <f>IFERROR(VLOOKUP(Tabulka2[[#This Row],[Pracovník]],DATA!A:L,11,0),"")</f>
        <v/>
      </c>
      <c r="J2002" s="16"/>
      <c r="K2002" s="19"/>
    </row>
    <row r="2003" spans="1:11" x14ac:dyDescent="0.25">
      <c r="A20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03" s="22">
        <v>45937</v>
      </c>
      <c r="C2003" s="16"/>
      <c r="D2003" s="16"/>
      <c r="E2003" s="17" t="str">
        <f>IFERROR(VLOOKUP(Tabulka2[[#This Row],[Pracovník]],DATA!A:L,5,0),"")</f>
        <v/>
      </c>
      <c r="F2003" s="12"/>
      <c r="G2003" s="16"/>
      <c r="H2003" s="18"/>
      <c r="I2003" s="27" t="str">
        <f>IFERROR(VLOOKUP(Tabulka2[[#This Row],[Pracovník]],DATA!A:L,11,0),"")</f>
        <v/>
      </c>
      <c r="J2003" s="16"/>
      <c r="K2003" s="19"/>
    </row>
    <row r="2004" spans="1:11" x14ac:dyDescent="0.25">
      <c r="A20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04" s="22">
        <v>45937</v>
      </c>
      <c r="C2004" s="16"/>
      <c r="D2004" s="16"/>
      <c r="E2004" s="17" t="str">
        <f>IFERROR(VLOOKUP(Tabulka2[[#This Row],[Pracovník]],DATA!A:L,5,0),"")</f>
        <v/>
      </c>
      <c r="F2004" s="12"/>
      <c r="G2004" s="16"/>
      <c r="H2004" s="18"/>
      <c r="I2004" s="27" t="str">
        <f>IFERROR(VLOOKUP(Tabulka2[[#This Row],[Pracovník]],DATA!A:L,11,0),"")</f>
        <v/>
      </c>
      <c r="J2004" s="16"/>
      <c r="K2004" s="19"/>
    </row>
    <row r="2005" spans="1:11" x14ac:dyDescent="0.25">
      <c r="A20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05" s="22">
        <v>45937</v>
      </c>
      <c r="C2005" s="16"/>
      <c r="D2005" s="16"/>
      <c r="E2005" s="17" t="str">
        <f>IFERROR(VLOOKUP(Tabulka2[[#This Row],[Pracovník]],DATA!A:L,5,0),"")</f>
        <v/>
      </c>
      <c r="F2005" s="12"/>
      <c r="G2005" s="16"/>
      <c r="H2005" s="18"/>
      <c r="I2005" s="27" t="str">
        <f>IFERROR(VLOOKUP(Tabulka2[[#This Row],[Pracovník]],DATA!A:L,11,0),"")</f>
        <v/>
      </c>
      <c r="J2005" s="16"/>
      <c r="K2005" s="19"/>
    </row>
    <row r="2006" spans="1:11" x14ac:dyDescent="0.25">
      <c r="A20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06" s="22">
        <v>45937</v>
      </c>
      <c r="C2006" s="16"/>
      <c r="D2006" s="16"/>
      <c r="E2006" s="17" t="str">
        <f>IFERROR(VLOOKUP(Tabulka2[[#This Row],[Pracovník]],DATA!A:L,5,0),"")</f>
        <v/>
      </c>
      <c r="F2006" s="12"/>
      <c r="G2006" s="16"/>
      <c r="H2006" s="18"/>
      <c r="I2006" s="27" t="str">
        <f>IFERROR(VLOOKUP(Tabulka2[[#This Row],[Pracovník]],DATA!A:L,11,0),"")</f>
        <v/>
      </c>
      <c r="J2006" s="16"/>
      <c r="K2006" s="19"/>
    </row>
    <row r="2007" spans="1:11" x14ac:dyDescent="0.25">
      <c r="A20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07" s="22">
        <v>45937</v>
      </c>
      <c r="C2007" s="16"/>
      <c r="D2007" s="16"/>
      <c r="E2007" s="17" t="str">
        <f>IFERROR(VLOOKUP(Tabulka2[[#This Row],[Pracovník]],DATA!A:L,5,0),"")</f>
        <v/>
      </c>
      <c r="F2007" s="12"/>
      <c r="G2007" s="16"/>
      <c r="H2007" s="18"/>
      <c r="I2007" s="27" t="str">
        <f>IFERROR(VLOOKUP(Tabulka2[[#This Row],[Pracovník]],DATA!A:L,11,0),"")</f>
        <v/>
      </c>
      <c r="J2007" s="16"/>
      <c r="K2007" s="19"/>
    </row>
    <row r="2008" spans="1:11" x14ac:dyDescent="0.25">
      <c r="A20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08" s="22">
        <v>45937</v>
      </c>
      <c r="C2008" s="16"/>
      <c r="D2008" s="16"/>
      <c r="E2008" s="17" t="str">
        <f>IFERROR(VLOOKUP(Tabulka2[[#This Row],[Pracovník]],DATA!A:L,5,0),"")</f>
        <v/>
      </c>
      <c r="F2008" s="12"/>
      <c r="G2008" s="16"/>
      <c r="H2008" s="18"/>
      <c r="I2008" s="27" t="str">
        <f>IFERROR(VLOOKUP(Tabulka2[[#This Row],[Pracovník]],DATA!A:L,11,0),"")</f>
        <v/>
      </c>
      <c r="J2008" s="16"/>
      <c r="K2008" s="19"/>
    </row>
    <row r="2009" spans="1:11" x14ac:dyDescent="0.25">
      <c r="A20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09" s="22">
        <v>45937</v>
      </c>
      <c r="C2009" s="16"/>
      <c r="D2009" s="16"/>
      <c r="E2009" s="17" t="str">
        <f>IFERROR(VLOOKUP(Tabulka2[[#This Row],[Pracovník]],DATA!A:L,5,0),"")</f>
        <v/>
      </c>
      <c r="F2009" s="12"/>
      <c r="G2009" s="16"/>
      <c r="H2009" s="18"/>
      <c r="I2009" s="27" t="str">
        <f>IFERROR(VLOOKUP(Tabulka2[[#This Row],[Pracovník]],DATA!A:L,11,0),"")</f>
        <v/>
      </c>
      <c r="J2009" s="16"/>
      <c r="K2009" s="19"/>
    </row>
    <row r="2010" spans="1:11" x14ac:dyDescent="0.25">
      <c r="A20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10" s="22">
        <v>45937</v>
      </c>
      <c r="C2010" s="16"/>
      <c r="D2010" s="16"/>
      <c r="E2010" s="17" t="str">
        <f>IFERROR(VLOOKUP(Tabulka2[[#This Row],[Pracovník]],DATA!A:L,5,0),"")</f>
        <v/>
      </c>
      <c r="F2010" s="12"/>
      <c r="G2010" s="16"/>
      <c r="H2010" s="18"/>
      <c r="I2010" s="27" t="str">
        <f>IFERROR(VLOOKUP(Tabulka2[[#This Row],[Pracovník]],DATA!A:L,11,0),"")</f>
        <v/>
      </c>
      <c r="J2010" s="16"/>
      <c r="K2010" s="19"/>
    </row>
    <row r="2011" spans="1:11" x14ac:dyDescent="0.25">
      <c r="A20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11" s="22">
        <v>45937</v>
      </c>
      <c r="C2011" s="16"/>
      <c r="D2011" s="16"/>
      <c r="E2011" s="17" t="str">
        <f>IFERROR(VLOOKUP(Tabulka2[[#This Row],[Pracovník]],DATA!A:L,5,0),"")</f>
        <v/>
      </c>
      <c r="F2011" s="12"/>
      <c r="G2011" s="16"/>
      <c r="H2011" s="18"/>
      <c r="I2011" s="27" t="str">
        <f>IFERROR(VLOOKUP(Tabulka2[[#This Row],[Pracovník]],DATA!A:L,11,0),"")</f>
        <v/>
      </c>
      <c r="J2011" s="16"/>
      <c r="K2011" s="19"/>
    </row>
    <row r="2012" spans="1:11" x14ac:dyDescent="0.25">
      <c r="A20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12" s="22">
        <v>45937</v>
      </c>
      <c r="C2012" s="16"/>
      <c r="D2012" s="16"/>
      <c r="E2012" s="17" t="str">
        <f>IFERROR(VLOOKUP(Tabulka2[[#This Row],[Pracovník]],DATA!A:L,5,0),"")</f>
        <v/>
      </c>
      <c r="F2012" s="12"/>
      <c r="G2012" s="16"/>
      <c r="H2012" s="18"/>
      <c r="I2012" s="27" t="str">
        <f>IFERROR(VLOOKUP(Tabulka2[[#This Row],[Pracovník]],DATA!A:L,11,0),"")</f>
        <v/>
      </c>
      <c r="J2012" s="16"/>
      <c r="K2012" s="19"/>
    </row>
    <row r="2013" spans="1:11" x14ac:dyDescent="0.25">
      <c r="A20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13" s="22">
        <v>45937</v>
      </c>
      <c r="C2013" s="16"/>
      <c r="D2013" s="16"/>
      <c r="E2013" s="17" t="str">
        <f>IFERROR(VLOOKUP(Tabulka2[[#This Row],[Pracovník]],DATA!A:L,5,0),"")</f>
        <v/>
      </c>
      <c r="F2013" s="12"/>
      <c r="G2013" s="16"/>
      <c r="H2013" s="18"/>
      <c r="I2013" s="27" t="str">
        <f>IFERROR(VLOOKUP(Tabulka2[[#This Row],[Pracovník]],DATA!A:L,11,0),"")</f>
        <v/>
      </c>
      <c r="J2013" s="16"/>
      <c r="K2013" s="19"/>
    </row>
    <row r="2014" spans="1:11" x14ac:dyDescent="0.25">
      <c r="A20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14" s="22">
        <v>45937</v>
      </c>
      <c r="C2014" s="16"/>
      <c r="D2014" s="16"/>
      <c r="E2014" s="17" t="str">
        <f>IFERROR(VLOOKUP(Tabulka2[[#This Row],[Pracovník]],DATA!A:L,5,0),"")</f>
        <v/>
      </c>
      <c r="F2014" s="12"/>
      <c r="G2014" s="16"/>
      <c r="H2014" s="18"/>
      <c r="I2014" s="27" t="str">
        <f>IFERROR(VLOOKUP(Tabulka2[[#This Row],[Pracovník]],DATA!A:L,11,0),"")</f>
        <v/>
      </c>
      <c r="J2014" s="16"/>
      <c r="K2014" s="19"/>
    </row>
    <row r="2015" spans="1:11" x14ac:dyDescent="0.25">
      <c r="A20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15" s="22">
        <v>45937</v>
      </c>
      <c r="C2015" s="16"/>
      <c r="D2015" s="16"/>
      <c r="E2015" s="17" t="str">
        <f>IFERROR(VLOOKUP(Tabulka2[[#This Row],[Pracovník]],DATA!A:L,5,0),"")</f>
        <v/>
      </c>
      <c r="F2015" s="12"/>
      <c r="G2015" s="16"/>
      <c r="H2015" s="18"/>
      <c r="I2015" s="27" t="str">
        <f>IFERROR(VLOOKUP(Tabulka2[[#This Row],[Pracovník]],DATA!A:L,11,0),"")</f>
        <v/>
      </c>
      <c r="J2015" s="16"/>
      <c r="K2015" s="19"/>
    </row>
    <row r="2016" spans="1:11" x14ac:dyDescent="0.25">
      <c r="A20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16" s="22">
        <v>45937</v>
      </c>
      <c r="C2016" s="16"/>
      <c r="D2016" s="16"/>
      <c r="E2016" s="17" t="str">
        <f>IFERROR(VLOOKUP(Tabulka2[[#This Row],[Pracovník]],DATA!A:L,5,0),"")</f>
        <v/>
      </c>
      <c r="F2016" s="12"/>
      <c r="G2016" s="16"/>
      <c r="H2016" s="18"/>
      <c r="I2016" s="27" t="str">
        <f>IFERROR(VLOOKUP(Tabulka2[[#This Row],[Pracovník]],DATA!A:L,11,0),"")</f>
        <v/>
      </c>
      <c r="J2016" s="16"/>
      <c r="K2016" s="19"/>
    </row>
    <row r="2017" spans="1:11" x14ac:dyDescent="0.25">
      <c r="A20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17" s="22">
        <v>45937</v>
      </c>
      <c r="C2017" s="16"/>
      <c r="D2017" s="16"/>
      <c r="E2017" s="17" t="str">
        <f>IFERROR(VLOOKUP(Tabulka2[[#This Row],[Pracovník]],DATA!A:L,5,0),"")</f>
        <v/>
      </c>
      <c r="F2017" s="12"/>
      <c r="G2017" s="16"/>
      <c r="H2017" s="18"/>
      <c r="I2017" s="27" t="str">
        <f>IFERROR(VLOOKUP(Tabulka2[[#This Row],[Pracovník]],DATA!A:L,11,0),"")</f>
        <v/>
      </c>
      <c r="J2017" s="16"/>
      <c r="K2017" s="19"/>
    </row>
    <row r="2018" spans="1:11" x14ac:dyDescent="0.25">
      <c r="A20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18" s="22">
        <v>45937</v>
      </c>
      <c r="C2018" s="16"/>
      <c r="D2018" s="16"/>
      <c r="E2018" s="17" t="str">
        <f>IFERROR(VLOOKUP(Tabulka2[[#This Row],[Pracovník]],DATA!A:L,5,0),"")</f>
        <v/>
      </c>
      <c r="F2018" s="12"/>
      <c r="G2018" s="16"/>
      <c r="H2018" s="18"/>
      <c r="I2018" s="27" t="str">
        <f>IFERROR(VLOOKUP(Tabulka2[[#This Row],[Pracovník]],DATA!A:L,11,0),"")</f>
        <v/>
      </c>
      <c r="J2018" s="16"/>
      <c r="K2018" s="19"/>
    </row>
    <row r="2019" spans="1:11" x14ac:dyDescent="0.25">
      <c r="A20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19" s="22">
        <v>45937</v>
      </c>
      <c r="C2019" s="16"/>
      <c r="D2019" s="16"/>
      <c r="E2019" s="17" t="str">
        <f>IFERROR(VLOOKUP(Tabulka2[[#This Row],[Pracovník]],DATA!A:L,5,0),"")</f>
        <v/>
      </c>
      <c r="F2019" s="12"/>
      <c r="G2019" s="16"/>
      <c r="H2019" s="18"/>
      <c r="I2019" s="27" t="str">
        <f>IFERROR(VLOOKUP(Tabulka2[[#This Row],[Pracovník]],DATA!A:L,11,0),"")</f>
        <v/>
      </c>
      <c r="J2019" s="16"/>
      <c r="K2019" s="19"/>
    </row>
    <row r="2020" spans="1:11" x14ac:dyDescent="0.25">
      <c r="A20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20" s="22">
        <v>45937</v>
      </c>
      <c r="C2020" s="16"/>
      <c r="D2020" s="16"/>
      <c r="E2020" s="17" t="str">
        <f>IFERROR(VLOOKUP(Tabulka2[[#This Row],[Pracovník]],DATA!A:L,5,0),"")</f>
        <v/>
      </c>
      <c r="F2020" s="12"/>
      <c r="G2020" s="16"/>
      <c r="H2020" s="18"/>
      <c r="I2020" s="27" t="str">
        <f>IFERROR(VLOOKUP(Tabulka2[[#This Row],[Pracovník]],DATA!A:L,11,0),"")</f>
        <v/>
      </c>
      <c r="J2020" s="16"/>
      <c r="K2020" s="19"/>
    </row>
    <row r="2021" spans="1:11" x14ac:dyDescent="0.25">
      <c r="A20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21" s="22">
        <v>45937</v>
      </c>
      <c r="C2021" s="16"/>
      <c r="D2021" s="16"/>
      <c r="E2021" s="17" t="str">
        <f>IFERROR(VLOOKUP(Tabulka2[[#This Row],[Pracovník]],DATA!A:L,5,0),"")</f>
        <v/>
      </c>
      <c r="F2021" s="12"/>
      <c r="G2021" s="16"/>
      <c r="H2021" s="18"/>
      <c r="I2021" s="27" t="str">
        <f>IFERROR(VLOOKUP(Tabulka2[[#This Row],[Pracovník]],DATA!A:L,11,0),"")</f>
        <v/>
      </c>
      <c r="J2021" s="16"/>
      <c r="K2021" s="19"/>
    </row>
    <row r="2022" spans="1:11" x14ac:dyDescent="0.25">
      <c r="A20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22" s="22">
        <v>45937</v>
      </c>
      <c r="C2022" s="16"/>
      <c r="D2022" s="16"/>
      <c r="E2022" s="17" t="str">
        <f>IFERROR(VLOOKUP(Tabulka2[[#This Row],[Pracovník]],DATA!A:L,5,0),"")</f>
        <v/>
      </c>
      <c r="F2022" s="12"/>
      <c r="G2022" s="16"/>
      <c r="H2022" s="18"/>
      <c r="I2022" s="27" t="str">
        <f>IFERROR(VLOOKUP(Tabulka2[[#This Row],[Pracovník]],DATA!A:L,11,0),"")</f>
        <v/>
      </c>
      <c r="J2022" s="16"/>
      <c r="K2022" s="19"/>
    </row>
    <row r="2023" spans="1:11" x14ac:dyDescent="0.25">
      <c r="A20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23" s="22">
        <v>45937</v>
      </c>
      <c r="C2023" s="16"/>
      <c r="D2023" s="16"/>
      <c r="E2023" s="17" t="str">
        <f>IFERROR(VLOOKUP(Tabulka2[[#This Row],[Pracovník]],DATA!A:L,5,0),"")</f>
        <v/>
      </c>
      <c r="F2023" s="12"/>
      <c r="G2023" s="16"/>
      <c r="H2023" s="18"/>
      <c r="I2023" s="27" t="str">
        <f>IFERROR(VLOOKUP(Tabulka2[[#This Row],[Pracovník]],DATA!A:L,11,0),"")</f>
        <v/>
      </c>
      <c r="J2023" s="16"/>
      <c r="K2023" s="19"/>
    </row>
    <row r="2024" spans="1:11" x14ac:dyDescent="0.25">
      <c r="A20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24" s="22">
        <v>45937</v>
      </c>
      <c r="C2024" s="16"/>
      <c r="D2024" s="16"/>
      <c r="E2024" s="17" t="str">
        <f>IFERROR(VLOOKUP(Tabulka2[[#This Row],[Pracovník]],DATA!A:L,5,0),"")</f>
        <v/>
      </c>
      <c r="F2024" s="12"/>
      <c r="G2024" s="16"/>
      <c r="H2024" s="18"/>
      <c r="I2024" s="27" t="str">
        <f>IFERROR(VLOOKUP(Tabulka2[[#This Row],[Pracovník]],DATA!A:L,11,0),"")</f>
        <v/>
      </c>
      <c r="J2024" s="16"/>
      <c r="K2024" s="19"/>
    </row>
    <row r="2025" spans="1:11" x14ac:dyDescent="0.25">
      <c r="A20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25" s="22">
        <v>45937</v>
      </c>
      <c r="C2025" s="16"/>
      <c r="D2025" s="16"/>
      <c r="E2025" s="17" t="str">
        <f>IFERROR(VLOOKUP(Tabulka2[[#This Row],[Pracovník]],DATA!A:L,5,0),"")</f>
        <v/>
      </c>
      <c r="F2025" s="12"/>
      <c r="G2025" s="16"/>
      <c r="H2025" s="18"/>
      <c r="I2025" s="27" t="str">
        <f>IFERROR(VLOOKUP(Tabulka2[[#This Row],[Pracovník]],DATA!A:L,11,0),"")</f>
        <v/>
      </c>
      <c r="J2025" s="16"/>
      <c r="K2025" s="19"/>
    </row>
    <row r="2026" spans="1:11" x14ac:dyDescent="0.25">
      <c r="A20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26" s="22">
        <v>45937</v>
      </c>
      <c r="C2026" s="16"/>
      <c r="D2026" s="16"/>
      <c r="E2026" s="17" t="str">
        <f>IFERROR(VLOOKUP(Tabulka2[[#This Row],[Pracovník]],DATA!A:L,5,0),"")</f>
        <v/>
      </c>
      <c r="F2026" s="12"/>
      <c r="G2026" s="16"/>
      <c r="H2026" s="18"/>
      <c r="I2026" s="27" t="str">
        <f>IFERROR(VLOOKUP(Tabulka2[[#This Row],[Pracovník]],DATA!A:L,11,0),"")</f>
        <v/>
      </c>
      <c r="J2026" s="16"/>
      <c r="K2026" s="19"/>
    </row>
    <row r="2027" spans="1:11" x14ac:dyDescent="0.25">
      <c r="A20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27" s="22">
        <v>45937</v>
      </c>
      <c r="C2027" s="16"/>
      <c r="D2027" s="16"/>
      <c r="E2027" s="17" t="str">
        <f>IFERROR(VLOOKUP(Tabulka2[[#This Row],[Pracovník]],DATA!A:L,5,0),"")</f>
        <v/>
      </c>
      <c r="F2027" s="12"/>
      <c r="G2027" s="16"/>
      <c r="H2027" s="18"/>
      <c r="I2027" s="27" t="str">
        <f>IFERROR(VLOOKUP(Tabulka2[[#This Row],[Pracovník]],DATA!A:L,11,0),"")</f>
        <v/>
      </c>
      <c r="J2027" s="16"/>
      <c r="K2027" s="19"/>
    </row>
    <row r="2028" spans="1:11" x14ac:dyDescent="0.25">
      <c r="A20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28" s="22">
        <v>45937</v>
      </c>
      <c r="C2028" s="16"/>
      <c r="D2028" s="16"/>
      <c r="E2028" s="17" t="str">
        <f>IFERROR(VLOOKUP(Tabulka2[[#This Row],[Pracovník]],DATA!A:L,5,0),"")</f>
        <v/>
      </c>
      <c r="F2028" s="12"/>
      <c r="G2028" s="16"/>
      <c r="H2028" s="18"/>
      <c r="I2028" s="27" t="str">
        <f>IFERROR(VLOOKUP(Tabulka2[[#This Row],[Pracovník]],DATA!A:L,11,0),"")</f>
        <v/>
      </c>
      <c r="J2028" s="16"/>
      <c r="K2028" s="19"/>
    </row>
    <row r="2029" spans="1:11" x14ac:dyDescent="0.25">
      <c r="A20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29" s="22">
        <v>45937</v>
      </c>
      <c r="C2029" s="16"/>
      <c r="D2029" s="16"/>
      <c r="E2029" s="17" t="str">
        <f>IFERROR(VLOOKUP(Tabulka2[[#This Row],[Pracovník]],DATA!A:L,5,0),"")</f>
        <v/>
      </c>
      <c r="F2029" s="12"/>
      <c r="G2029" s="16"/>
      <c r="H2029" s="18"/>
      <c r="I2029" s="27" t="str">
        <f>IFERROR(VLOOKUP(Tabulka2[[#This Row],[Pracovník]],DATA!A:L,11,0),"")</f>
        <v/>
      </c>
      <c r="J2029" s="16"/>
      <c r="K2029" s="19"/>
    </row>
    <row r="2030" spans="1:11" x14ac:dyDescent="0.25">
      <c r="A20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30" s="22">
        <v>45937</v>
      </c>
      <c r="C2030" s="16"/>
      <c r="D2030" s="16"/>
      <c r="E2030" s="17" t="str">
        <f>IFERROR(VLOOKUP(Tabulka2[[#This Row],[Pracovník]],DATA!A:L,5,0),"")</f>
        <v/>
      </c>
      <c r="F2030" s="12"/>
      <c r="G2030" s="16"/>
      <c r="H2030" s="18"/>
      <c r="I2030" s="27" t="str">
        <f>IFERROR(VLOOKUP(Tabulka2[[#This Row],[Pracovník]],DATA!A:L,11,0),"")</f>
        <v/>
      </c>
      <c r="J2030" s="16"/>
      <c r="K2030" s="19"/>
    </row>
    <row r="2031" spans="1:11" x14ac:dyDescent="0.25">
      <c r="A20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31" s="22">
        <v>45937</v>
      </c>
      <c r="C2031" s="16"/>
      <c r="D2031" s="16"/>
      <c r="E2031" s="17" t="str">
        <f>IFERROR(VLOOKUP(Tabulka2[[#This Row],[Pracovník]],DATA!A:L,5,0),"")</f>
        <v/>
      </c>
      <c r="F2031" s="12"/>
      <c r="G2031" s="16"/>
      <c r="H2031" s="18"/>
      <c r="I2031" s="27" t="str">
        <f>IFERROR(VLOOKUP(Tabulka2[[#This Row],[Pracovník]],DATA!A:L,11,0),"")</f>
        <v/>
      </c>
      <c r="J2031" s="16"/>
      <c r="K2031" s="19"/>
    </row>
    <row r="2032" spans="1:11" x14ac:dyDescent="0.25">
      <c r="A20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32" s="22">
        <v>45937</v>
      </c>
      <c r="C2032" s="16"/>
      <c r="D2032" s="16"/>
      <c r="E2032" s="17" t="str">
        <f>IFERROR(VLOOKUP(Tabulka2[[#This Row],[Pracovník]],DATA!A:L,5,0),"")</f>
        <v/>
      </c>
      <c r="F2032" s="12"/>
      <c r="G2032" s="16"/>
      <c r="H2032" s="18"/>
      <c r="I2032" s="27" t="str">
        <f>IFERROR(VLOOKUP(Tabulka2[[#This Row],[Pracovník]],DATA!A:L,11,0),"")</f>
        <v/>
      </c>
      <c r="J2032" s="16"/>
      <c r="K2032" s="19"/>
    </row>
    <row r="2033" spans="1:11" x14ac:dyDescent="0.25">
      <c r="A20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33" s="22">
        <v>45937</v>
      </c>
      <c r="C2033" s="16"/>
      <c r="D2033" s="16"/>
      <c r="E2033" s="17" t="str">
        <f>IFERROR(VLOOKUP(Tabulka2[[#This Row],[Pracovník]],DATA!A:L,5,0),"")</f>
        <v/>
      </c>
      <c r="F2033" s="12"/>
      <c r="G2033" s="16"/>
      <c r="H2033" s="18"/>
      <c r="I2033" s="27" t="str">
        <f>IFERROR(VLOOKUP(Tabulka2[[#This Row],[Pracovník]],DATA!A:L,11,0),"")</f>
        <v/>
      </c>
      <c r="J2033" s="16"/>
      <c r="K2033" s="19"/>
    </row>
    <row r="2034" spans="1:11" x14ac:dyDescent="0.25">
      <c r="A20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34" s="22">
        <v>45937</v>
      </c>
      <c r="C2034" s="16"/>
      <c r="D2034" s="16"/>
      <c r="E2034" s="17" t="str">
        <f>IFERROR(VLOOKUP(Tabulka2[[#This Row],[Pracovník]],DATA!A:L,5,0),"")</f>
        <v/>
      </c>
      <c r="F2034" s="12"/>
      <c r="G2034" s="16"/>
      <c r="H2034" s="18"/>
      <c r="I2034" s="27" t="str">
        <f>IFERROR(VLOOKUP(Tabulka2[[#This Row],[Pracovník]],DATA!A:L,11,0),"")</f>
        <v/>
      </c>
      <c r="J2034" s="16"/>
      <c r="K2034" s="19"/>
    </row>
    <row r="2035" spans="1:11" x14ac:dyDescent="0.25">
      <c r="A20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35" s="22">
        <v>45937</v>
      </c>
      <c r="C2035" s="16"/>
      <c r="D2035" s="16"/>
      <c r="E2035" s="17" t="str">
        <f>IFERROR(VLOOKUP(Tabulka2[[#This Row],[Pracovník]],DATA!A:L,5,0),"")</f>
        <v/>
      </c>
      <c r="F2035" s="12"/>
      <c r="G2035" s="16"/>
      <c r="H2035" s="18"/>
      <c r="I2035" s="27" t="str">
        <f>IFERROR(VLOOKUP(Tabulka2[[#This Row],[Pracovník]],DATA!A:L,11,0),"")</f>
        <v/>
      </c>
      <c r="J2035" s="16"/>
      <c r="K2035" s="19"/>
    </row>
    <row r="2036" spans="1:11" x14ac:dyDescent="0.25">
      <c r="A20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36" s="22">
        <v>45937</v>
      </c>
      <c r="C2036" s="16"/>
      <c r="D2036" s="16"/>
      <c r="E2036" s="17" t="str">
        <f>IFERROR(VLOOKUP(Tabulka2[[#This Row],[Pracovník]],DATA!A:L,5,0),"")</f>
        <v/>
      </c>
      <c r="F2036" s="12"/>
      <c r="G2036" s="16"/>
      <c r="H2036" s="18"/>
      <c r="I2036" s="27" t="str">
        <f>IFERROR(VLOOKUP(Tabulka2[[#This Row],[Pracovník]],DATA!A:L,11,0),"")</f>
        <v/>
      </c>
      <c r="J2036" s="16"/>
      <c r="K2036" s="19"/>
    </row>
    <row r="2037" spans="1:11" x14ac:dyDescent="0.25">
      <c r="A20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37" s="22">
        <v>45937</v>
      </c>
      <c r="C2037" s="16"/>
      <c r="D2037" s="16"/>
      <c r="E2037" s="17" t="str">
        <f>IFERROR(VLOOKUP(Tabulka2[[#This Row],[Pracovník]],DATA!A:L,5,0),"")</f>
        <v/>
      </c>
      <c r="F2037" s="12"/>
      <c r="G2037" s="16"/>
      <c r="H2037" s="18"/>
      <c r="I2037" s="27" t="str">
        <f>IFERROR(VLOOKUP(Tabulka2[[#This Row],[Pracovník]],DATA!A:L,11,0),"")</f>
        <v/>
      </c>
      <c r="J2037" s="16"/>
      <c r="K2037" s="19"/>
    </row>
    <row r="2038" spans="1:11" x14ac:dyDescent="0.25">
      <c r="A20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38" s="22">
        <v>45937</v>
      </c>
      <c r="C2038" s="16"/>
      <c r="D2038" s="16"/>
      <c r="E2038" s="17" t="str">
        <f>IFERROR(VLOOKUP(Tabulka2[[#This Row],[Pracovník]],DATA!A:L,5,0),"")</f>
        <v/>
      </c>
      <c r="F2038" s="12"/>
      <c r="G2038" s="16"/>
      <c r="H2038" s="18"/>
      <c r="I2038" s="27" t="str">
        <f>IFERROR(VLOOKUP(Tabulka2[[#This Row],[Pracovník]],DATA!A:L,11,0),"")</f>
        <v/>
      </c>
      <c r="J2038" s="16"/>
      <c r="K2038" s="19"/>
    </row>
    <row r="2039" spans="1:11" x14ac:dyDescent="0.25">
      <c r="A20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39" s="22">
        <v>45937</v>
      </c>
      <c r="C2039" s="16"/>
      <c r="D2039" s="16"/>
      <c r="E2039" s="17" t="str">
        <f>IFERROR(VLOOKUP(Tabulka2[[#This Row],[Pracovník]],DATA!A:L,5,0),"")</f>
        <v/>
      </c>
      <c r="F2039" s="12"/>
      <c r="G2039" s="16"/>
      <c r="H2039" s="18"/>
      <c r="I2039" s="27" t="str">
        <f>IFERROR(VLOOKUP(Tabulka2[[#This Row],[Pracovník]],DATA!A:L,11,0),"")</f>
        <v/>
      </c>
      <c r="J2039" s="16"/>
      <c r="K2039" s="19"/>
    </row>
    <row r="2040" spans="1:11" x14ac:dyDescent="0.25">
      <c r="A20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40" s="22">
        <v>45937</v>
      </c>
      <c r="C2040" s="16"/>
      <c r="D2040" s="16"/>
      <c r="E2040" s="17" t="str">
        <f>IFERROR(VLOOKUP(Tabulka2[[#This Row],[Pracovník]],DATA!A:L,5,0),"")</f>
        <v/>
      </c>
      <c r="F2040" s="12"/>
      <c r="G2040" s="16"/>
      <c r="H2040" s="18"/>
      <c r="I2040" s="27" t="str">
        <f>IFERROR(VLOOKUP(Tabulka2[[#This Row],[Pracovník]],DATA!A:L,11,0),"")</f>
        <v/>
      </c>
      <c r="J2040" s="16"/>
      <c r="K2040" s="19"/>
    </row>
    <row r="2041" spans="1:11" x14ac:dyDescent="0.25">
      <c r="A20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41" s="22">
        <v>45937</v>
      </c>
      <c r="C2041" s="16"/>
      <c r="D2041" s="16"/>
      <c r="E2041" s="17" t="str">
        <f>IFERROR(VLOOKUP(Tabulka2[[#This Row],[Pracovník]],DATA!A:L,5,0),"")</f>
        <v/>
      </c>
      <c r="F2041" s="12"/>
      <c r="G2041" s="16"/>
      <c r="H2041" s="18"/>
      <c r="I2041" s="27" t="str">
        <f>IFERROR(VLOOKUP(Tabulka2[[#This Row],[Pracovník]],DATA!A:L,11,0),"")</f>
        <v/>
      </c>
      <c r="J2041" s="16"/>
      <c r="K2041" s="19"/>
    </row>
    <row r="2042" spans="1:11" x14ac:dyDescent="0.25">
      <c r="A20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42" s="22">
        <v>45937</v>
      </c>
      <c r="C2042" s="16"/>
      <c r="D2042" s="16"/>
      <c r="E2042" s="17" t="str">
        <f>IFERROR(VLOOKUP(Tabulka2[[#This Row],[Pracovník]],DATA!A:L,5,0),"")</f>
        <v/>
      </c>
      <c r="F2042" s="12"/>
      <c r="G2042" s="16"/>
      <c r="H2042" s="18"/>
      <c r="I2042" s="27" t="str">
        <f>IFERROR(VLOOKUP(Tabulka2[[#This Row],[Pracovník]],DATA!A:L,11,0),"")</f>
        <v/>
      </c>
      <c r="J2042" s="16"/>
      <c r="K2042" s="19"/>
    </row>
    <row r="2043" spans="1:11" x14ac:dyDescent="0.25">
      <c r="A20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43" s="22">
        <v>45937</v>
      </c>
      <c r="C2043" s="16"/>
      <c r="D2043" s="16"/>
      <c r="E2043" s="17" t="str">
        <f>IFERROR(VLOOKUP(Tabulka2[[#This Row],[Pracovník]],DATA!A:L,5,0),"")</f>
        <v/>
      </c>
      <c r="F2043" s="12"/>
      <c r="G2043" s="16"/>
      <c r="H2043" s="18"/>
      <c r="I2043" s="27" t="str">
        <f>IFERROR(VLOOKUP(Tabulka2[[#This Row],[Pracovník]],DATA!A:L,11,0),"")</f>
        <v/>
      </c>
      <c r="J2043" s="16"/>
      <c r="K2043" s="19"/>
    </row>
    <row r="2044" spans="1:11" x14ac:dyDescent="0.25">
      <c r="A20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44" s="22">
        <v>45937</v>
      </c>
      <c r="C2044" s="16"/>
      <c r="D2044" s="16"/>
      <c r="E2044" s="17" t="str">
        <f>IFERROR(VLOOKUP(Tabulka2[[#This Row],[Pracovník]],DATA!A:L,5,0),"")</f>
        <v/>
      </c>
      <c r="F2044" s="12"/>
      <c r="G2044" s="16"/>
      <c r="H2044" s="18"/>
      <c r="I2044" s="27" t="str">
        <f>IFERROR(VLOOKUP(Tabulka2[[#This Row],[Pracovník]],DATA!A:L,11,0),"")</f>
        <v/>
      </c>
      <c r="J2044" s="16"/>
      <c r="K2044" s="19"/>
    </row>
    <row r="2045" spans="1:11" x14ac:dyDescent="0.25">
      <c r="A20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45" s="22">
        <v>45937</v>
      </c>
      <c r="C2045" s="16"/>
      <c r="D2045" s="16"/>
      <c r="E2045" s="17" t="str">
        <f>IFERROR(VLOOKUP(Tabulka2[[#This Row],[Pracovník]],DATA!A:L,5,0),"")</f>
        <v/>
      </c>
      <c r="F2045" s="12"/>
      <c r="G2045" s="16"/>
      <c r="H2045" s="18"/>
      <c r="I2045" s="27" t="str">
        <f>IFERROR(VLOOKUP(Tabulka2[[#This Row],[Pracovník]],DATA!A:L,11,0),"")</f>
        <v/>
      </c>
      <c r="J2045" s="16"/>
      <c r="K2045" s="19"/>
    </row>
    <row r="2046" spans="1:11" x14ac:dyDescent="0.25">
      <c r="A20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46" s="22">
        <v>45937</v>
      </c>
      <c r="C2046" s="16"/>
      <c r="D2046" s="16"/>
      <c r="E2046" s="17" t="str">
        <f>IFERROR(VLOOKUP(Tabulka2[[#This Row],[Pracovník]],DATA!A:L,5,0),"")</f>
        <v/>
      </c>
      <c r="F2046" s="12"/>
      <c r="G2046" s="16"/>
      <c r="H2046" s="18"/>
      <c r="I2046" s="27" t="str">
        <f>IFERROR(VLOOKUP(Tabulka2[[#This Row],[Pracovník]],DATA!A:L,11,0),"")</f>
        <v/>
      </c>
      <c r="J2046" s="16"/>
      <c r="K2046" s="19"/>
    </row>
    <row r="2047" spans="1:11" x14ac:dyDescent="0.25">
      <c r="A20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47" s="22">
        <v>45937</v>
      </c>
      <c r="C2047" s="16"/>
      <c r="D2047" s="16"/>
      <c r="E2047" s="17" t="str">
        <f>IFERROR(VLOOKUP(Tabulka2[[#This Row],[Pracovník]],DATA!A:L,5,0),"")</f>
        <v/>
      </c>
      <c r="F2047" s="12"/>
      <c r="G2047" s="16"/>
      <c r="H2047" s="18"/>
      <c r="I2047" s="27" t="str">
        <f>IFERROR(VLOOKUP(Tabulka2[[#This Row],[Pracovník]],DATA!A:L,11,0),"")</f>
        <v/>
      </c>
      <c r="J2047" s="16"/>
      <c r="K2047" s="19"/>
    </row>
    <row r="2048" spans="1:11" x14ac:dyDescent="0.25">
      <c r="A20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48" s="22">
        <v>45937</v>
      </c>
      <c r="C2048" s="16"/>
      <c r="D2048" s="16"/>
      <c r="E2048" s="17" t="str">
        <f>IFERROR(VLOOKUP(Tabulka2[[#This Row],[Pracovník]],DATA!A:L,5,0),"")</f>
        <v/>
      </c>
      <c r="F2048" s="12"/>
      <c r="G2048" s="16"/>
      <c r="H2048" s="18"/>
      <c r="I2048" s="27" t="str">
        <f>IFERROR(VLOOKUP(Tabulka2[[#This Row],[Pracovník]],DATA!A:L,11,0),"")</f>
        <v/>
      </c>
      <c r="J2048" s="16"/>
      <c r="K2048" s="19"/>
    </row>
    <row r="2049" spans="1:11" x14ac:dyDescent="0.25">
      <c r="A20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49" s="22">
        <v>45937</v>
      </c>
      <c r="C2049" s="16"/>
      <c r="D2049" s="16"/>
      <c r="E2049" s="17" t="str">
        <f>IFERROR(VLOOKUP(Tabulka2[[#This Row],[Pracovník]],DATA!A:L,5,0),"")</f>
        <v/>
      </c>
      <c r="F2049" s="12"/>
      <c r="G2049" s="16"/>
      <c r="H2049" s="18"/>
      <c r="I2049" s="27" t="str">
        <f>IFERROR(VLOOKUP(Tabulka2[[#This Row],[Pracovník]],DATA!A:L,11,0),"")</f>
        <v/>
      </c>
      <c r="J2049" s="16"/>
      <c r="K2049" s="19"/>
    </row>
    <row r="2050" spans="1:11" x14ac:dyDescent="0.25">
      <c r="A20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50" s="22">
        <v>45937</v>
      </c>
      <c r="C2050" s="16"/>
      <c r="D2050" s="16"/>
      <c r="E2050" s="17" t="str">
        <f>IFERROR(VLOOKUP(Tabulka2[[#This Row],[Pracovník]],DATA!A:L,5,0),"")</f>
        <v/>
      </c>
      <c r="F2050" s="12"/>
      <c r="G2050" s="16"/>
      <c r="H2050" s="18"/>
      <c r="I2050" s="27" t="str">
        <f>IFERROR(VLOOKUP(Tabulka2[[#This Row],[Pracovník]],DATA!A:L,11,0),"")</f>
        <v/>
      </c>
      <c r="J2050" s="16"/>
      <c r="K2050" s="19"/>
    </row>
    <row r="2051" spans="1:11" x14ac:dyDescent="0.25">
      <c r="A20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51" s="22">
        <v>45937</v>
      </c>
      <c r="C2051" s="16"/>
      <c r="D2051" s="16"/>
      <c r="E2051" s="17" t="str">
        <f>IFERROR(VLOOKUP(Tabulka2[[#This Row],[Pracovník]],DATA!A:L,5,0),"")</f>
        <v/>
      </c>
      <c r="F2051" s="12"/>
      <c r="G2051" s="16"/>
      <c r="H2051" s="18"/>
      <c r="I2051" s="27" t="str">
        <f>IFERROR(VLOOKUP(Tabulka2[[#This Row],[Pracovník]],DATA!A:L,11,0),"")</f>
        <v/>
      </c>
      <c r="J2051" s="16"/>
      <c r="K2051" s="19"/>
    </row>
    <row r="2052" spans="1:11" x14ac:dyDescent="0.25">
      <c r="A20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52" s="22">
        <v>45937</v>
      </c>
      <c r="C2052" s="16"/>
      <c r="D2052" s="16"/>
      <c r="E2052" s="17" t="str">
        <f>IFERROR(VLOOKUP(Tabulka2[[#This Row],[Pracovník]],DATA!A:L,5,0),"")</f>
        <v/>
      </c>
      <c r="F2052" s="12"/>
      <c r="G2052" s="16"/>
      <c r="H2052" s="18"/>
      <c r="I2052" s="27" t="str">
        <f>IFERROR(VLOOKUP(Tabulka2[[#This Row],[Pracovník]],DATA!A:L,11,0),"")</f>
        <v/>
      </c>
      <c r="J2052" s="16"/>
      <c r="K2052" s="19"/>
    </row>
    <row r="2053" spans="1:11" x14ac:dyDescent="0.25">
      <c r="A20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53" s="22">
        <v>45937</v>
      </c>
      <c r="C2053" s="16"/>
      <c r="D2053" s="16"/>
      <c r="E2053" s="17" t="str">
        <f>IFERROR(VLOOKUP(Tabulka2[[#This Row],[Pracovník]],DATA!A:L,5,0),"")</f>
        <v/>
      </c>
      <c r="F2053" s="12"/>
      <c r="G2053" s="16"/>
      <c r="H2053" s="18"/>
      <c r="I2053" s="27" t="str">
        <f>IFERROR(VLOOKUP(Tabulka2[[#This Row],[Pracovník]],DATA!A:L,11,0),"")</f>
        <v/>
      </c>
      <c r="J2053" s="16"/>
      <c r="K2053" s="19"/>
    </row>
    <row r="2054" spans="1:11" x14ac:dyDescent="0.25">
      <c r="A20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54" s="22">
        <v>45937</v>
      </c>
      <c r="C2054" s="16"/>
      <c r="D2054" s="16"/>
      <c r="E2054" s="17" t="str">
        <f>IFERROR(VLOOKUP(Tabulka2[[#This Row],[Pracovník]],DATA!A:L,5,0),"")</f>
        <v/>
      </c>
      <c r="F2054" s="12"/>
      <c r="G2054" s="16"/>
      <c r="H2054" s="18"/>
      <c r="I2054" s="27" t="str">
        <f>IFERROR(VLOOKUP(Tabulka2[[#This Row],[Pracovník]],DATA!A:L,11,0),"")</f>
        <v/>
      </c>
      <c r="J2054" s="16"/>
      <c r="K2054" s="19"/>
    </row>
    <row r="2055" spans="1:11" x14ac:dyDescent="0.25">
      <c r="A20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55" s="22">
        <v>45937</v>
      </c>
      <c r="C2055" s="16"/>
      <c r="D2055" s="16"/>
      <c r="E2055" s="17" t="str">
        <f>IFERROR(VLOOKUP(Tabulka2[[#This Row],[Pracovník]],DATA!A:L,5,0),"")</f>
        <v/>
      </c>
      <c r="F2055" s="12"/>
      <c r="G2055" s="16"/>
      <c r="H2055" s="18"/>
      <c r="I2055" s="27" t="str">
        <f>IFERROR(VLOOKUP(Tabulka2[[#This Row],[Pracovník]],DATA!A:L,11,0),"")</f>
        <v/>
      </c>
      <c r="J2055" s="16"/>
      <c r="K2055" s="19"/>
    </row>
    <row r="2056" spans="1:11" x14ac:dyDescent="0.25">
      <c r="A20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56" s="22">
        <v>45937</v>
      </c>
      <c r="C2056" s="16"/>
      <c r="D2056" s="16"/>
      <c r="E2056" s="17" t="str">
        <f>IFERROR(VLOOKUP(Tabulka2[[#This Row],[Pracovník]],DATA!A:L,5,0),"")</f>
        <v/>
      </c>
      <c r="F2056" s="12"/>
      <c r="G2056" s="16"/>
      <c r="H2056" s="18"/>
      <c r="I2056" s="27" t="str">
        <f>IFERROR(VLOOKUP(Tabulka2[[#This Row],[Pracovník]],DATA!A:L,11,0),"")</f>
        <v/>
      </c>
      <c r="J2056" s="16"/>
      <c r="K2056" s="19"/>
    </row>
    <row r="2057" spans="1:11" x14ac:dyDescent="0.25">
      <c r="A20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57" s="22">
        <v>45937</v>
      </c>
      <c r="C2057" s="16"/>
      <c r="D2057" s="16"/>
      <c r="E2057" s="17" t="str">
        <f>IFERROR(VLOOKUP(Tabulka2[[#This Row],[Pracovník]],DATA!A:L,5,0),"")</f>
        <v/>
      </c>
      <c r="F2057" s="12"/>
      <c r="G2057" s="16"/>
      <c r="H2057" s="18"/>
      <c r="I2057" s="27" t="str">
        <f>IFERROR(VLOOKUP(Tabulka2[[#This Row],[Pracovník]],DATA!A:L,11,0),"")</f>
        <v/>
      </c>
      <c r="J2057" s="16"/>
      <c r="K2057" s="19"/>
    </row>
    <row r="2058" spans="1:11" x14ac:dyDescent="0.25">
      <c r="A20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58" s="22">
        <v>45937</v>
      </c>
      <c r="C2058" s="16"/>
      <c r="D2058" s="16"/>
      <c r="E2058" s="17" t="str">
        <f>IFERROR(VLOOKUP(Tabulka2[[#This Row],[Pracovník]],DATA!A:L,5,0),"")</f>
        <v/>
      </c>
      <c r="F2058" s="12"/>
      <c r="G2058" s="16"/>
      <c r="H2058" s="18"/>
      <c r="I2058" s="27" t="str">
        <f>IFERROR(VLOOKUP(Tabulka2[[#This Row],[Pracovník]],DATA!A:L,11,0),"")</f>
        <v/>
      </c>
      <c r="J2058" s="16"/>
      <c r="K2058" s="19"/>
    </row>
    <row r="2059" spans="1:11" x14ac:dyDescent="0.25">
      <c r="A20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59" s="22">
        <v>45937</v>
      </c>
      <c r="C2059" s="16"/>
      <c r="D2059" s="16"/>
      <c r="E2059" s="17" t="str">
        <f>IFERROR(VLOOKUP(Tabulka2[[#This Row],[Pracovník]],DATA!A:L,5,0),"")</f>
        <v/>
      </c>
      <c r="F2059" s="12"/>
      <c r="G2059" s="16"/>
      <c r="H2059" s="18"/>
      <c r="I2059" s="27" t="str">
        <f>IFERROR(VLOOKUP(Tabulka2[[#This Row],[Pracovník]],DATA!A:L,11,0),"")</f>
        <v/>
      </c>
      <c r="J2059" s="16"/>
      <c r="K2059" s="19"/>
    </row>
    <row r="2060" spans="1:11" x14ac:dyDescent="0.25">
      <c r="A20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60" s="22">
        <v>45937</v>
      </c>
      <c r="C2060" s="16"/>
      <c r="D2060" s="16"/>
      <c r="E2060" s="17" t="str">
        <f>IFERROR(VLOOKUP(Tabulka2[[#This Row],[Pracovník]],DATA!A:L,5,0),"")</f>
        <v/>
      </c>
      <c r="F2060" s="12"/>
      <c r="G2060" s="16"/>
      <c r="H2060" s="18"/>
      <c r="I2060" s="27" t="str">
        <f>IFERROR(VLOOKUP(Tabulka2[[#This Row],[Pracovník]],DATA!A:L,11,0),"")</f>
        <v/>
      </c>
      <c r="J2060" s="16"/>
      <c r="K2060" s="19"/>
    </row>
    <row r="2061" spans="1:11" x14ac:dyDescent="0.25">
      <c r="A20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61" s="22">
        <v>45937</v>
      </c>
      <c r="C2061" s="16"/>
      <c r="D2061" s="16"/>
      <c r="E2061" s="17" t="str">
        <f>IFERROR(VLOOKUP(Tabulka2[[#This Row],[Pracovník]],DATA!A:L,5,0),"")</f>
        <v/>
      </c>
      <c r="F2061" s="12"/>
      <c r="G2061" s="16"/>
      <c r="H2061" s="18"/>
      <c r="I2061" s="27" t="str">
        <f>IFERROR(VLOOKUP(Tabulka2[[#This Row],[Pracovník]],DATA!A:L,11,0),"")</f>
        <v/>
      </c>
      <c r="J2061" s="16"/>
      <c r="K2061" s="19"/>
    </row>
    <row r="2062" spans="1:11" x14ac:dyDescent="0.25">
      <c r="A20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62" s="22">
        <v>45937</v>
      </c>
      <c r="C2062" s="16"/>
      <c r="D2062" s="16"/>
      <c r="E2062" s="17" t="str">
        <f>IFERROR(VLOOKUP(Tabulka2[[#This Row],[Pracovník]],DATA!A:L,5,0),"")</f>
        <v/>
      </c>
      <c r="F2062" s="12"/>
      <c r="G2062" s="16"/>
      <c r="H2062" s="18"/>
      <c r="I2062" s="27" t="str">
        <f>IFERROR(VLOOKUP(Tabulka2[[#This Row],[Pracovník]],DATA!A:L,11,0),"")</f>
        <v/>
      </c>
      <c r="J2062" s="16"/>
      <c r="K2062" s="19"/>
    </row>
    <row r="2063" spans="1:11" x14ac:dyDescent="0.25">
      <c r="A20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63" s="22">
        <v>45937</v>
      </c>
      <c r="C2063" s="16"/>
      <c r="D2063" s="16"/>
      <c r="E2063" s="17" t="str">
        <f>IFERROR(VLOOKUP(Tabulka2[[#This Row],[Pracovník]],DATA!A:L,5,0),"")</f>
        <v/>
      </c>
      <c r="F2063" s="12"/>
      <c r="G2063" s="16"/>
      <c r="H2063" s="18"/>
      <c r="I2063" s="27" t="str">
        <f>IFERROR(VLOOKUP(Tabulka2[[#This Row],[Pracovník]],DATA!A:L,11,0),"")</f>
        <v/>
      </c>
      <c r="J2063" s="16"/>
      <c r="K2063" s="19"/>
    </row>
    <row r="2064" spans="1:11" x14ac:dyDescent="0.25">
      <c r="A20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64" s="22">
        <v>45937</v>
      </c>
      <c r="C2064" s="16"/>
      <c r="D2064" s="16"/>
      <c r="E2064" s="17" t="str">
        <f>IFERROR(VLOOKUP(Tabulka2[[#This Row],[Pracovník]],DATA!A:L,5,0),"")</f>
        <v/>
      </c>
      <c r="F2064" s="12"/>
      <c r="G2064" s="16"/>
      <c r="H2064" s="18"/>
      <c r="I2064" s="27" t="str">
        <f>IFERROR(VLOOKUP(Tabulka2[[#This Row],[Pracovník]],DATA!A:L,11,0),"")</f>
        <v/>
      </c>
      <c r="J2064" s="16"/>
      <c r="K2064" s="19"/>
    </row>
    <row r="2065" spans="1:11" x14ac:dyDescent="0.25">
      <c r="A20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65" s="22">
        <v>45937</v>
      </c>
      <c r="C2065" s="16"/>
      <c r="D2065" s="16"/>
      <c r="E2065" s="17" t="str">
        <f>IFERROR(VLOOKUP(Tabulka2[[#This Row],[Pracovník]],DATA!A:L,5,0),"")</f>
        <v/>
      </c>
      <c r="F2065" s="12"/>
      <c r="G2065" s="16"/>
      <c r="H2065" s="18"/>
      <c r="I2065" s="27" t="str">
        <f>IFERROR(VLOOKUP(Tabulka2[[#This Row],[Pracovník]],DATA!A:L,11,0),"")</f>
        <v/>
      </c>
      <c r="J2065" s="16"/>
      <c r="K2065" s="19"/>
    </row>
    <row r="2066" spans="1:11" x14ac:dyDescent="0.25">
      <c r="A20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66" s="22">
        <v>45937</v>
      </c>
      <c r="C2066" s="16"/>
      <c r="D2066" s="16"/>
      <c r="E2066" s="17" t="str">
        <f>IFERROR(VLOOKUP(Tabulka2[[#This Row],[Pracovník]],DATA!A:L,5,0),"")</f>
        <v/>
      </c>
      <c r="F2066" s="12"/>
      <c r="G2066" s="16"/>
      <c r="H2066" s="18"/>
      <c r="I2066" s="27" t="str">
        <f>IFERROR(VLOOKUP(Tabulka2[[#This Row],[Pracovník]],DATA!A:L,11,0),"")</f>
        <v/>
      </c>
      <c r="J2066" s="16"/>
      <c r="K2066" s="19"/>
    </row>
    <row r="2067" spans="1:11" x14ac:dyDescent="0.25">
      <c r="A20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67" s="22">
        <v>45937</v>
      </c>
      <c r="C2067" s="16"/>
      <c r="D2067" s="16"/>
      <c r="E2067" s="17" t="str">
        <f>IFERROR(VLOOKUP(Tabulka2[[#This Row],[Pracovník]],DATA!A:L,5,0),"")</f>
        <v/>
      </c>
      <c r="F2067" s="12"/>
      <c r="G2067" s="16"/>
      <c r="H2067" s="18"/>
      <c r="I2067" s="27" t="str">
        <f>IFERROR(VLOOKUP(Tabulka2[[#This Row],[Pracovník]],DATA!A:L,11,0),"")</f>
        <v/>
      </c>
      <c r="J2067" s="16"/>
      <c r="K2067" s="19"/>
    </row>
    <row r="2068" spans="1:11" x14ac:dyDescent="0.25">
      <c r="A20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68" s="22">
        <v>45937</v>
      </c>
      <c r="C2068" s="16"/>
      <c r="D2068" s="16"/>
      <c r="E2068" s="17" t="str">
        <f>IFERROR(VLOOKUP(Tabulka2[[#This Row],[Pracovník]],DATA!A:L,5,0),"")</f>
        <v/>
      </c>
      <c r="F2068" s="12"/>
      <c r="G2068" s="16"/>
      <c r="H2068" s="18"/>
      <c r="I2068" s="27" t="str">
        <f>IFERROR(VLOOKUP(Tabulka2[[#This Row],[Pracovník]],DATA!A:L,11,0),"")</f>
        <v/>
      </c>
      <c r="J2068" s="16"/>
      <c r="K2068" s="19"/>
    </row>
    <row r="2069" spans="1:11" x14ac:dyDescent="0.25">
      <c r="A20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69" s="22">
        <v>45937</v>
      </c>
      <c r="C2069" s="16"/>
      <c r="D2069" s="16"/>
      <c r="E2069" s="17" t="str">
        <f>IFERROR(VLOOKUP(Tabulka2[[#This Row],[Pracovník]],DATA!A:L,5,0),"")</f>
        <v/>
      </c>
      <c r="F2069" s="12"/>
      <c r="G2069" s="16"/>
      <c r="H2069" s="18"/>
      <c r="I2069" s="27" t="str">
        <f>IFERROR(VLOOKUP(Tabulka2[[#This Row],[Pracovník]],DATA!A:L,11,0),"")</f>
        <v/>
      </c>
      <c r="J2069" s="16"/>
      <c r="K2069" s="19"/>
    </row>
    <row r="2070" spans="1:11" x14ac:dyDescent="0.25">
      <c r="A20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70" s="22">
        <v>45937</v>
      </c>
      <c r="C2070" s="16"/>
      <c r="D2070" s="16"/>
      <c r="E2070" s="17" t="str">
        <f>IFERROR(VLOOKUP(Tabulka2[[#This Row],[Pracovník]],DATA!A:L,5,0),"")</f>
        <v/>
      </c>
      <c r="F2070" s="12"/>
      <c r="G2070" s="16"/>
      <c r="H2070" s="18"/>
      <c r="I2070" s="27" t="str">
        <f>IFERROR(VLOOKUP(Tabulka2[[#This Row],[Pracovník]],DATA!A:L,11,0),"")</f>
        <v/>
      </c>
      <c r="J2070" s="16"/>
      <c r="K2070" s="19"/>
    </row>
    <row r="2071" spans="1:11" x14ac:dyDescent="0.25">
      <c r="A20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71" s="22">
        <v>45937</v>
      </c>
      <c r="C2071" s="16"/>
      <c r="D2071" s="16"/>
      <c r="E2071" s="17" t="str">
        <f>IFERROR(VLOOKUP(Tabulka2[[#This Row],[Pracovník]],DATA!A:L,5,0),"")</f>
        <v/>
      </c>
      <c r="F2071" s="12"/>
      <c r="G2071" s="16"/>
      <c r="H2071" s="18"/>
      <c r="I2071" s="27" t="str">
        <f>IFERROR(VLOOKUP(Tabulka2[[#This Row],[Pracovník]],DATA!A:L,11,0),"")</f>
        <v/>
      </c>
      <c r="J2071" s="16"/>
      <c r="K2071" s="19"/>
    </row>
    <row r="2072" spans="1:11" x14ac:dyDescent="0.25">
      <c r="A20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72" s="22">
        <v>45937</v>
      </c>
      <c r="C2072" s="16"/>
      <c r="D2072" s="16"/>
      <c r="E2072" s="17" t="str">
        <f>IFERROR(VLOOKUP(Tabulka2[[#This Row],[Pracovník]],DATA!A:L,5,0),"")</f>
        <v/>
      </c>
      <c r="F2072" s="12"/>
      <c r="G2072" s="16"/>
      <c r="H2072" s="18"/>
      <c r="I2072" s="27" t="str">
        <f>IFERROR(VLOOKUP(Tabulka2[[#This Row],[Pracovník]],DATA!A:L,11,0),"")</f>
        <v/>
      </c>
      <c r="J2072" s="16"/>
      <c r="K2072" s="19"/>
    </row>
    <row r="2073" spans="1:11" x14ac:dyDescent="0.25">
      <c r="A20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73" s="22">
        <v>45937</v>
      </c>
      <c r="C2073" s="16"/>
      <c r="D2073" s="16"/>
      <c r="E2073" s="17" t="str">
        <f>IFERROR(VLOOKUP(Tabulka2[[#This Row],[Pracovník]],DATA!A:L,5,0),"")</f>
        <v/>
      </c>
      <c r="F2073" s="12"/>
      <c r="G2073" s="16"/>
      <c r="H2073" s="18"/>
      <c r="I2073" s="27" t="str">
        <f>IFERROR(VLOOKUP(Tabulka2[[#This Row],[Pracovník]],DATA!A:L,11,0),"")</f>
        <v/>
      </c>
      <c r="J2073" s="16"/>
      <c r="K2073" s="19"/>
    </row>
    <row r="2074" spans="1:11" x14ac:dyDescent="0.25">
      <c r="A20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74" s="22">
        <v>45937</v>
      </c>
      <c r="C2074" s="16"/>
      <c r="D2074" s="16"/>
      <c r="E2074" s="17" t="str">
        <f>IFERROR(VLOOKUP(Tabulka2[[#This Row],[Pracovník]],DATA!A:L,5,0),"")</f>
        <v/>
      </c>
      <c r="F2074" s="12"/>
      <c r="G2074" s="16"/>
      <c r="H2074" s="18"/>
      <c r="I2074" s="27" t="str">
        <f>IFERROR(VLOOKUP(Tabulka2[[#This Row],[Pracovník]],DATA!A:L,11,0),"")</f>
        <v/>
      </c>
      <c r="J2074" s="16"/>
      <c r="K2074" s="19"/>
    </row>
    <row r="2075" spans="1:11" x14ac:dyDescent="0.25">
      <c r="A20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75" s="22">
        <v>45937</v>
      </c>
      <c r="C2075" s="16"/>
      <c r="D2075" s="16"/>
      <c r="E2075" s="17" t="str">
        <f>IFERROR(VLOOKUP(Tabulka2[[#This Row],[Pracovník]],DATA!A:L,5,0),"")</f>
        <v/>
      </c>
      <c r="F2075" s="12"/>
      <c r="G2075" s="16"/>
      <c r="H2075" s="18"/>
      <c r="I2075" s="27" t="str">
        <f>IFERROR(VLOOKUP(Tabulka2[[#This Row],[Pracovník]],DATA!A:L,11,0),"")</f>
        <v/>
      </c>
      <c r="J2075" s="16"/>
      <c r="K2075" s="19"/>
    </row>
    <row r="2076" spans="1:11" x14ac:dyDescent="0.25">
      <c r="A20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76" s="22">
        <v>45937</v>
      </c>
      <c r="C2076" s="16"/>
      <c r="D2076" s="16"/>
      <c r="E2076" s="17" t="str">
        <f>IFERROR(VLOOKUP(Tabulka2[[#This Row],[Pracovník]],DATA!A:L,5,0),"")</f>
        <v/>
      </c>
      <c r="F2076" s="12"/>
      <c r="G2076" s="16"/>
      <c r="H2076" s="18"/>
      <c r="I2076" s="27" t="str">
        <f>IFERROR(VLOOKUP(Tabulka2[[#This Row],[Pracovník]],DATA!A:L,11,0),"")</f>
        <v/>
      </c>
      <c r="J2076" s="16"/>
      <c r="K2076" s="19"/>
    </row>
    <row r="2077" spans="1:11" x14ac:dyDescent="0.25">
      <c r="A20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77" s="22">
        <v>45937</v>
      </c>
      <c r="C2077" s="16"/>
      <c r="D2077" s="16"/>
      <c r="E2077" s="17" t="str">
        <f>IFERROR(VLOOKUP(Tabulka2[[#This Row],[Pracovník]],DATA!A:L,5,0),"")</f>
        <v/>
      </c>
      <c r="F2077" s="12"/>
      <c r="G2077" s="16"/>
      <c r="H2077" s="18"/>
      <c r="I2077" s="27" t="str">
        <f>IFERROR(VLOOKUP(Tabulka2[[#This Row],[Pracovník]],DATA!A:L,11,0),"")</f>
        <v/>
      </c>
      <c r="J2077" s="16"/>
      <c r="K2077" s="19"/>
    </row>
    <row r="2078" spans="1:11" x14ac:dyDescent="0.25">
      <c r="A20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78" s="22">
        <v>45937</v>
      </c>
      <c r="C2078" s="16"/>
      <c r="D2078" s="16"/>
      <c r="E2078" s="17" t="str">
        <f>IFERROR(VLOOKUP(Tabulka2[[#This Row],[Pracovník]],DATA!A:L,5,0),"")</f>
        <v/>
      </c>
      <c r="F2078" s="12"/>
      <c r="G2078" s="16"/>
      <c r="H2078" s="18"/>
      <c r="I2078" s="27" t="str">
        <f>IFERROR(VLOOKUP(Tabulka2[[#This Row],[Pracovník]],DATA!A:L,11,0),"")</f>
        <v/>
      </c>
      <c r="J2078" s="16"/>
      <c r="K2078" s="19"/>
    </row>
    <row r="2079" spans="1:11" x14ac:dyDescent="0.25">
      <c r="A20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79" s="22">
        <v>45937</v>
      </c>
      <c r="C2079" s="16"/>
      <c r="D2079" s="16"/>
      <c r="E2079" s="17" t="str">
        <f>IFERROR(VLOOKUP(Tabulka2[[#This Row],[Pracovník]],DATA!A:L,5,0),"")</f>
        <v/>
      </c>
      <c r="F2079" s="12"/>
      <c r="G2079" s="16"/>
      <c r="H2079" s="18"/>
      <c r="I2079" s="27" t="str">
        <f>IFERROR(VLOOKUP(Tabulka2[[#This Row],[Pracovník]],DATA!A:L,11,0),"")</f>
        <v/>
      </c>
      <c r="J2079" s="16"/>
      <c r="K2079" s="19"/>
    </row>
    <row r="2080" spans="1:11" x14ac:dyDescent="0.25">
      <c r="A20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80" s="22">
        <v>45937</v>
      </c>
      <c r="C2080" s="16"/>
      <c r="D2080" s="16"/>
      <c r="E2080" s="17" t="str">
        <f>IFERROR(VLOOKUP(Tabulka2[[#This Row],[Pracovník]],DATA!A:L,5,0),"")</f>
        <v/>
      </c>
      <c r="F2080" s="12"/>
      <c r="G2080" s="16"/>
      <c r="H2080" s="18"/>
      <c r="I2080" s="27" t="str">
        <f>IFERROR(VLOOKUP(Tabulka2[[#This Row],[Pracovník]],DATA!A:L,11,0),"")</f>
        <v/>
      </c>
      <c r="J2080" s="16"/>
      <c r="K2080" s="19"/>
    </row>
    <row r="2081" spans="1:11" x14ac:dyDescent="0.25">
      <c r="A20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81" s="22">
        <v>45937</v>
      </c>
      <c r="C2081" s="16"/>
      <c r="D2081" s="16"/>
      <c r="E2081" s="17" t="str">
        <f>IFERROR(VLOOKUP(Tabulka2[[#This Row],[Pracovník]],DATA!A:L,5,0),"")</f>
        <v/>
      </c>
      <c r="F2081" s="12"/>
      <c r="G2081" s="16"/>
      <c r="H2081" s="18"/>
      <c r="I2081" s="27" t="str">
        <f>IFERROR(VLOOKUP(Tabulka2[[#This Row],[Pracovník]],DATA!A:L,11,0),"")</f>
        <v/>
      </c>
      <c r="J2081" s="16"/>
      <c r="K2081" s="19"/>
    </row>
    <row r="2082" spans="1:11" x14ac:dyDescent="0.25">
      <c r="A20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82" s="22">
        <v>45937</v>
      </c>
      <c r="C2082" s="16"/>
      <c r="D2082" s="16"/>
      <c r="E2082" s="17" t="str">
        <f>IFERROR(VLOOKUP(Tabulka2[[#This Row],[Pracovník]],DATA!A:L,5,0),"")</f>
        <v/>
      </c>
      <c r="F2082" s="12"/>
      <c r="G2082" s="16"/>
      <c r="H2082" s="18"/>
      <c r="I2082" s="27" t="str">
        <f>IFERROR(VLOOKUP(Tabulka2[[#This Row],[Pracovník]],DATA!A:L,11,0),"")</f>
        <v/>
      </c>
      <c r="J2082" s="16"/>
      <c r="K2082" s="19"/>
    </row>
    <row r="2083" spans="1:11" x14ac:dyDescent="0.25">
      <c r="A20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83" s="22">
        <v>45937</v>
      </c>
      <c r="C2083" s="16"/>
      <c r="D2083" s="16"/>
      <c r="E2083" s="17" t="str">
        <f>IFERROR(VLOOKUP(Tabulka2[[#This Row],[Pracovník]],DATA!A:L,5,0),"")</f>
        <v/>
      </c>
      <c r="F2083" s="12"/>
      <c r="G2083" s="16"/>
      <c r="H2083" s="18"/>
      <c r="I2083" s="27" t="str">
        <f>IFERROR(VLOOKUP(Tabulka2[[#This Row],[Pracovník]],DATA!A:L,11,0),"")</f>
        <v/>
      </c>
      <c r="J2083" s="16"/>
      <c r="K2083" s="19"/>
    </row>
    <row r="2084" spans="1:11" x14ac:dyDescent="0.25">
      <c r="A20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84" s="22">
        <v>45937</v>
      </c>
      <c r="C2084" s="16"/>
      <c r="D2084" s="16"/>
      <c r="E2084" s="17" t="str">
        <f>IFERROR(VLOOKUP(Tabulka2[[#This Row],[Pracovník]],DATA!A:L,5,0),"")</f>
        <v/>
      </c>
      <c r="F2084" s="12"/>
      <c r="G2084" s="16"/>
      <c r="H2084" s="18"/>
      <c r="I2084" s="27" t="str">
        <f>IFERROR(VLOOKUP(Tabulka2[[#This Row],[Pracovník]],DATA!A:L,11,0),"")</f>
        <v/>
      </c>
      <c r="J2084" s="16"/>
      <c r="K2084" s="19"/>
    </row>
    <row r="2085" spans="1:11" x14ac:dyDescent="0.25">
      <c r="A20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85" s="22">
        <v>45937</v>
      </c>
      <c r="C2085" s="16"/>
      <c r="D2085" s="16"/>
      <c r="E2085" s="17" t="str">
        <f>IFERROR(VLOOKUP(Tabulka2[[#This Row],[Pracovník]],DATA!A:L,5,0),"")</f>
        <v/>
      </c>
      <c r="F2085" s="12"/>
      <c r="G2085" s="16"/>
      <c r="H2085" s="18"/>
      <c r="I2085" s="27" t="str">
        <f>IFERROR(VLOOKUP(Tabulka2[[#This Row],[Pracovník]],DATA!A:L,11,0),"")</f>
        <v/>
      </c>
      <c r="J2085" s="16"/>
      <c r="K2085" s="19"/>
    </row>
    <row r="2086" spans="1:11" x14ac:dyDescent="0.25">
      <c r="A20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86" s="22">
        <v>45937</v>
      </c>
      <c r="C2086" s="16"/>
      <c r="D2086" s="16"/>
      <c r="E2086" s="17" t="str">
        <f>IFERROR(VLOOKUP(Tabulka2[[#This Row],[Pracovník]],DATA!A:L,5,0),"")</f>
        <v/>
      </c>
      <c r="F2086" s="12"/>
      <c r="G2086" s="16"/>
      <c r="H2086" s="18"/>
      <c r="I2086" s="27" t="str">
        <f>IFERROR(VLOOKUP(Tabulka2[[#This Row],[Pracovník]],DATA!A:L,11,0),"")</f>
        <v/>
      </c>
      <c r="J2086" s="16"/>
      <c r="K2086" s="19"/>
    </row>
    <row r="2087" spans="1:11" x14ac:dyDescent="0.25">
      <c r="A20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87" s="22">
        <v>45937</v>
      </c>
      <c r="C2087" s="16"/>
      <c r="D2087" s="16"/>
      <c r="E2087" s="17" t="str">
        <f>IFERROR(VLOOKUP(Tabulka2[[#This Row],[Pracovník]],DATA!A:L,5,0),"")</f>
        <v/>
      </c>
      <c r="F2087" s="12"/>
      <c r="G2087" s="16"/>
      <c r="H2087" s="18"/>
      <c r="I2087" s="27" t="str">
        <f>IFERROR(VLOOKUP(Tabulka2[[#This Row],[Pracovník]],DATA!A:L,11,0),"")</f>
        <v/>
      </c>
      <c r="J2087" s="16"/>
      <c r="K2087" s="19"/>
    </row>
    <row r="2088" spans="1:11" x14ac:dyDescent="0.25">
      <c r="A20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88" s="22">
        <v>45937</v>
      </c>
      <c r="C2088" s="16"/>
      <c r="D2088" s="16"/>
      <c r="E2088" s="17" t="str">
        <f>IFERROR(VLOOKUP(Tabulka2[[#This Row],[Pracovník]],DATA!A:L,5,0),"")</f>
        <v/>
      </c>
      <c r="F2088" s="12"/>
      <c r="G2088" s="16"/>
      <c r="H2088" s="18"/>
      <c r="I2088" s="27" t="str">
        <f>IFERROR(VLOOKUP(Tabulka2[[#This Row],[Pracovník]],DATA!A:L,11,0),"")</f>
        <v/>
      </c>
      <c r="J2088" s="16"/>
      <c r="K2088" s="19"/>
    </row>
    <row r="2089" spans="1:11" x14ac:dyDescent="0.25">
      <c r="A20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89" s="22">
        <v>45937</v>
      </c>
      <c r="C2089" s="16"/>
      <c r="D2089" s="16"/>
      <c r="E2089" s="17" t="str">
        <f>IFERROR(VLOOKUP(Tabulka2[[#This Row],[Pracovník]],DATA!A:L,5,0),"")</f>
        <v/>
      </c>
      <c r="F2089" s="12"/>
      <c r="G2089" s="16"/>
      <c r="H2089" s="18"/>
      <c r="I2089" s="27" t="str">
        <f>IFERROR(VLOOKUP(Tabulka2[[#This Row],[Pracovník]],DATA!A:L,11,0),"")</f>
        <v/>
      </c>
      <c r="J2089" s="16"/>
      <c r="K2089" s="19"/>
    </row>
    <row r="2090" spans="1:11" x14ac:dyDescent="0.25">
      <c r="A20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90" s="22">
        <v>45937</v>
      </c>
      <c r="C2090" s="16"/>
      <c r="D2090" s="16"/>
      <c r="E2090" s="17" t="str">
        <f>IFERROR(VLOOKUP(Tabulka2[[#This Row],[Pracovník]],DATA!A:L,5,0),"")</f>
        <v/>
      </c>
      <c r="F2090" s="12"/>
      <c r="G2090" s="16"/>
      <c r="H2090" s="18"/>
      <c r="I2090" s="27" t="str">
        <f>IFERROR(VLOOKUP(Tabulka2[[#This Row],[Pracovník]],DATA!A:L,11,0),"")</f>
        <v/>
      </c>
      <c r="J2090" s="16"/>
      <c r="K2090" s="19"/>
    </row>
    <row r="2091" spans="1:11" x14ac:dyDescent="0.25">
      <c r="A20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91" s="22">
        <v>45937</v>
      </c>
      <c r="C2091" s="16"/>
      <c r="D2091" s="16"/>
      <c r="E2091" s="17" t="str">
        <f>IFERROR(VLOOKUP(Tabulka2[[#This Row],[Pracovník]],DATA!A:L,5,0),"")</f>
        <v/>
      </c>
      <c r="F2091" s="12"/>
      <c r="G2091" s="16"/>
      <c r="H2091" s="18"/>
      <c r="I2091" s="27" t="str">
        <f>IFERROR(VLOOKUP(Tabulka2[[#This Row],[Pracovník]],DATA!A:L,11,0),"")</f>
        <v/>
      </c>
      <c r="J2091" s="16"/>
      <c r="K2091" s="19"/>
    </row>
    <row r="2092" spans="1:11" x14ac:dyDescent="0.25">
      <c r="A20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92" s="22">
        <v>45937</v>
      </c>
      <c r="C2092" s="16"/>
      <c r="D2092" s="16"/>
      <c r="E2092" s="17" t="str">
        <f>IFERROR(VLOOKUP(Tabulka2[[#This Row],[Pracovník]],DATA!A:L,5,0),"")</f>
        <v/>
      </c>
      <c r="F2092" s="12"/>
      <c r="G2092" s="16"/>
      <c r="H2092" s="18"/>
      <c r="I2092" s="27" t="str">
        <f>IFERROR(VLOOKUP(Tabulka2[[#This Row],[Pracovník]],DATA!A:L,11,0),"")</f>
        <v/>
      </c>
      <c r="J2092" s="16"/>
      <c r="K2092" s="19"/>
    </row>
    <row r="2093" spans="1:11" x14ac:dyDescent="0.25">
      <c r="A20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93" s="22">
        <v>45937</v>
      </c>
      <c r="C2093" s="16"/>
      <c r="D2093" s="16"/>
      <c r="E2093" s="17" t="str">
        <f>IFERROR(VLOOKUP(Tabulka2[[#This Row],[Pracovník]],DATA!A:L,5,0),"")</f>
        <v/>
      </c>
      <c r="F2093" s="12"/>
      <c r="G2093" s="16"/>
      <c r="H2093" s="18"/>
      <c r="I2093" s="27" t="str">
        <f>IFERROR(VLOOKUP(Tabulka2[[#This Row],[Pracovník]],DATA!A:L,11,0),"")</f>
        <v/>
      </c>
      <c r="J2093" s="16"/>
      <c r="K2093" s="19"/>
    </row>
    <row r="2094" spans="1:11" x14ac:dyDescent="0.25">
      <c r="A20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94" s="22">
        <v>45937</v>
      </c>
      <c r="C2094" s="16"/>
      <c r="D2094" s="16"/>
      <c r="E2094" s="17" t="str">
        <f>IFERROR(VLOOKUP(Tabulka2[[#This Row],[Pracovník]],DATA!A:L,5,0),"")</f>
        <v/>
      </c>
      <c r="F2094" s="12"/>
      <c r="G2094" s="16"/>
      <c r="H2094" s="18"/>
      <c r="I2094" s="27" t="str">
        <f>IFERROR(VLOOKUP(Tabulka2[[#This Row],[Pracovník]],DATA!A:L,11,0),"")</f>
        <v/>
      </c>
      <c r="J2094" s="16"/>
      <c r="K2094" s="19"/>
    </row>
    <row r="2095" spans="1:11" x14ac:dyDescent="0.25">
      <c r="A20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95" s="22">
        <v>45937</v>
      </c>
      <c r="C2095" s="16"/>
      <c r="D2095" s="16"/>
      <c r="E2095" s="17" t="str">
        <f>IFERROR(VLOOKUP(Tabulka2[[#This Row],[Pracovník]],DATA!A:L,5,0),"")</f>
        <v/>
      </c>
      <c r="F2095" s="12"/>
      <c r="G2095" s="16"/>
      <c r="H2095" s="18"/>
      <c r="I2095" s="27" t="str">
        <f>IFERROR(VLOOKUP(Tabulka2[[#This Row],[Pracovník]],DATA!A:L,11,0),"")</f>
        <v/>
      </c>
      <c r="J2095" s="16"/>
      <c r="K2095" s="19"/>
    </row>
    <row r="2096" spans="1:11" x14ac:dyDescent="0.25">
      <c r="A20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96" s="22">
        <v>45937</v>
      </c>
      <c r="C2096" s="16"/>
      <c r="D2096" s="16"/>
      <c r="E2096" s="17" t="str">
        <f>IFERROR(VLOOKUP(Tabulka2[[#This Row],[Pracovník]],DATA!A:L,5,0),"")</f>
        <v/>
      </c>
      <c r="F2096" s="12"/>
      <c r="G2096" s="16"/>
      <c r="H2096" s="18"/>
      <c r="I2096" s="27" t="str">
        <f>IFERROR(VLOOKUP(Tabulka2[[#This Row],[Pracovník]],DATA!A:L,11,0),"")</f>
        <v/>
      </c>
      <c r="J2096" s="16"/>
      <c r="K2096" s="19"/>
    </row>
    <row r="2097" spans="1:11" x14ac:dyDescent="0.25">
      <c r="A20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97" s="22">
        <v>45937</v>
      </c>
      <c r="C2097" s="16"/>
      <c r="D2097" s="16"/>
      <c r="E2097" s="17" t="str">
        <f>IFERROR(VLOOKUP(Tabulka2[[#This Row],[Pracovník]],DATA!A:L,5,0),"")</f>
        <v/>
      </c>
      <c r="F2097" s="12"/>
      <c r="G2097" s="16"/>
      <c r="H2097" s="18"/>
      <c r="I2097" s="27" t="str">
        <f>IFERROR(VLOOKUP(Tabulka2[[#This Row],[Pracovník]],DATA!A:L,11,0),"")</f>
        <v/>
      </c>
      <c r="J2097" s="16"/>
      <c r="K2097" s="19"/>
    </row>
    <row r="2098" spans="1:11" x14ac:dyDescent="0.25">
      <c r="A20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98" s="22">
        <v>45937</v>
      </c>
      <c r="C2098" s="16"/>
      <c r="D2098" s="16"/>
      <c r="E2098" s="17" t="str">
        <f>IFERROR(VLOOKUP(Tabulka2[[#This Row],[Pracovník]],DATA!A:L,5,0),"")</f>
        <v/>
      </c>
      <c r="F2098" s="12"/>
      <c r="G2098" s="16"/>
      <c r="H2098" s="18"/>
      <c r="I2098" s="27" t="str">
        <f>IFERROR(VLOOKUP(Tabulka2[[#This Row],[Pracovník]],DATA!A:L,11,0),"")</f>
        <v/>
      </c>
      <c r="J2098" s="16"/>
      <c r="K2098" s="19"/>
    </row>
    <row r="2099" spans="1:11" x14ac:dyDescent="0.25">
      <c r="A20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099" s="22">
        <v>45937</v>
      </c>
      <c r="C2099" s="16"/>
      <c r="D2099" s="16"/>
      <c r="E2099" s="17" t="str">
        <f>IFERROR(VLOOKUP(Tabulka2[[#This Row],[Pracovník]],DATA!A:L,5,0),"")</f>
        <v/>
      </c>
      <c r="F2099" s="12"/>
      <c r="G2099" s="16"/>
      <c r="H2099" s="18"/>
      <c r="I2099" s="27" t="str">
        <f>IFERROR(VLOOKUP(Tabulka2[[#This Row],[Pracovník]],DATA!A:L,11,0),"")</f>
        <v/>
      </c>
      <c r="J2099" s="16"/>
      <c r="K2099" s="19"/>
    </row>
    <row r="2100" spans="1:11" x14ac:dyDescent="0.25">
      <c r="A21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00" s="22">
        <v>45937</v>
      </c>
      <c r="C2100" s="16"/>
      <c r="D2100" s="16"/>
      <c r="E2100" s="17" t="str">
        <f>IFERROR(VLOOKUP(Tabulka2[[#This Row],[Pracovník]],DATA!A:L,5,0),"")</f>
        <v/>
      </c>
      <c r="F2100" s="12"/>
      <c r="G2100" s="16"/>
      <c r="H2100" s="18"/>
      <c r="I2100" s="27" t="str">
        <f>IFERROR(VLOOKUP(Tabulka2[[#This Row],[Pracovník]],DATA!A:L,11,0),"")</f>
        <v/>
      </c>
      <c r="J2100" s="16"/>
      <c r="K2100" s="19"/>
    </row>
    <row r="2101" spans="1:11" x14ac:dyDescent="0.25">
      <c r="A21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01" s="22">
        <v>45937</v>
      </c>
      <c r="C2101" s="16"/>
      <c r="D2101" s="16"/>
      <c r="E2101" s="17" t="str">
        <f>IFERROR(VLOOKUP(Tabulka2[[#This Row],[Pracovník]],DATA!A:L,5,0),"")</f>
        <v/>
      </c>
      <c r="F2101" s="12"/>
      <c r="G2101" s="16"/>
      <c r="H2101" s="18"/>
      <c r="I2101" s="27" t="str">
        <f>IFERROR(VLOOKUP(Tabulka2[[#This Row],[Pracovník]],DATA!A:L,11,0),"")</f>
        <v/>
      </c>
      <c r="J2101" s="16"/>
      <c r="K2101" s="19"/>
    </row>
    <row r="2102" spans="1:11" x14ac:dyDescent="0.25">
      <c r="A21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02" s="22">
        <v>45937</v>
      </c>
      <c r="C2102" s="16"/>
      <c r="D2102" s="16"/>
      <c r="E2102" s="17" t="str">
        <f>IFERROR(VLOOKUP(Tabulka2[[#This Row],[Pracovník]],DATA!A:L,5,0),"")</f>
        <v/>
      </c>
      <c r="F2102" s="12"/>
      <c r="G2102" s="16"/>
      <c r="H2102" s="18"/>
      <c r="I2102" s="27" t="str">
        <f>IFERROR(VLOOKUP(Tabulka2[[#This Row],[Pracovník]],DATA!A:L,11,0),"")</f>
        <v/>
      </c>
      <c r="J2102" s="16"/>
      <c r="K2102" s="19"/>
    </row>
    <row r="2103" spans="1:11" x14ac:dyDescent="0.25">
      <c r="A21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03" s="22">
        <v>45937</v>
      </c>
      <c r="C2103" s="16"/>
      <c r="D2103" s="16"/>
      <c r="E2103" s="17" t="str">
        <f>IFERROR(VLOOKUP(Tabulka2[[#This Row],[Pracovník]],DATA!A:L,5,0),"")</f>
        <v/>
      </c>
      <c r="F2103" s="12"/>
      <c r="G2103" s="16"/>
      <c r="H2103" s="18"/>
      <c r="I2103" s="27" t="str">
        <f>IFERROR(VLOOKUP(Tabulka2[[#This Row],[Pracovník]],DATA!A:L,11,0),"")</f>
        <v/>
      </c>
      <c r="J2103" s="16"/>
      <c r="K2103" s="19"/>
    </row>
    <row r="2104" spans="1:11" x14ac:dyDescent="0.25">
      <c r="A21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04" s="22">
        <v>45937</v>
      </c>
      <c r="C2104" s="16"/>
      <c r="D2104" s="16"/>
      <c r="E2104" s="17" t="str">
        <f>IFERROR(VLOOKUP(Tabulka2[[#This Row],[Pracovník]],DATA!A:L,5,0),"")</f>
        <v/>
      </c>
      <c r="F2104" s="12"/>
      <c r="G2104" s="16"/>
      <c r="H2104" s="18"/>
      <c r="I2104" s="27" t="str">
        <f>IFERROR(VLOOKUP(Tabulka2[[#This Row],[Pracovník]],DATA!A:L,11,0),"")</f>
        <v/>
      </c>
      <c r="J2104" s="16"/>
      <c r="K2104" s="19"/>
    </row>
    <row r="2105" spans="1:11" x14ac:dyDescent="0.25">
      <c r="A21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05" s="22">
        <v>45937</v>
      </c>
      <c r="C2105" s="16"/>
      <c r="D2105" s="16"/>
      <c r="E2105" s="17" t="str">
        <f>IFERROR(VLOOKUP(Tabulka2[[#This Row],[Pracovník]],DATA!A:L,5,0),"")</f>
        <v/>
      </c>
      <c r="F2105" s="12"/>
      <c r="G2105" s="16"/>
      <c r="H2105" s="18"/>
      <c r="I2105" s="27" t="str">
        <f>IFERROR(VLOOKUP(Tabulka2[[#This Row],[Pracovník]],DATA!A:L,11,0),"")</f>
        <v/>
      </c>
      <c r="J2105" s="16"/>
      <c r="K2105" s="19"/>
    </row>
    <row r="2106" spans="1:11" x14ac:dyDescent="0.25">
      <c r="A21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06" s="22">
        <v>45937</v>
      </c>
      <c r="C2106" s="16"/>
      <c r="D2106" s="16"/>
      <c r="E2106" s="17" t="str">
        <f>IFERROR(VLOOKUP(Tabulka2[[#This Row],[Pracovník]],DATA!A:L,5,0),"")</f>
        <v/>
      </c>
      <c r="F2106" s="12"/>
      <c r="G2106" s="16"/>
      <c r="H2106" s="18"/>
      <c r="I2106" s="27" t="str">
        <f>IFERROR(VLOOKUP(Tabulka2[[#This Row],[Pracovník]],DATA!A:L,11,0),"")</f>
        <v/>
      </c>
      <c r="J2106" s="16"/>
      <c r="K2106" s="19"/>
    </row>
    <row r="2107" spans="1:11" x14ac:dyDescent="0.25">
      <c r="A21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07" s="22">
        <v>45937</v>
      </c>
      <c r="C2107" s="16"/>
      <c r="D2107" s="16"/>
      <c r="E2107" s="17" t="str">
        <f>IFERROR(VLOOKUP(Tabulka2[[#This Row],[Pracovník]],DATA!A:L,5,0),"")</f>
        <v/>
      </c>
      <c r="F2107" s="12"/>
      <c r="G2107" s="16"/>
      <c r="H2107" s="18"/>
      <c r="I2107" s="27" t="str">
        <f>IFERROR(VLOOKUP(Tabulka2[[#This Row],[Pracovník]],DATA!A:L,11,0),"")</f>
        <v/>
      </c>
      <c r="J2107" s="16"/>
      <c r="K2107" s="19"/>
    </row>
    <row r="2108" spans="1:11" x14ac:dyDescent="0.25">
      <c r="A21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08" s="22">
        <v>45937</v>
      </c>
      <c r="C2108" s="16"/>
      <c r="D2108" s="16"/>
      <c r="E2108" s="17" t="str">
        <f>IFERROR(VLOOKUP(Tabulka2[[#This Row],[Pracovník]],DATA!A:L,5,0),"")</f>
        <v/>
      </c>
      <c r="F2108" s="12"/>
      <c r="G2108" s="16"/>
      <c r="H2108" s="18"/>
      <c r="I2108" s="27" t="str">
        <f>IFERROR(VLOOKUP(Tabulka2[[#This Row],[Pracovník]],DATA!A:L,11,0),"")</f>
        <v/>
      </c>
      <c r="J2108" s="16"/>
      <c r="K2108" s="19"/>
    </row>
    <row r="2109" spans="1:11" x14ac:dyDescent="0.25">
      <c r="A21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09" s="22">
        <v>45937</v>
      </c>
      <c r="C2109" s="16"/>
      <c r="D2109" s="16"/>
      <c r="E2109" s="17" t="str">
        <f>IFERROR(VLOOKUP(Tabulka2[[#This Row],[Pracovník]],DATA!A:L,5,0),"")</f>
        <v/>
      </c>
      <c r="F2109" s="12"/>
      <c r="G2109" s="16"/>
      <c r="H2109" s="18"/>
      <c r="I2109" s="27" t="str">
        <f>IFERROR(VLOOKUP(Tabulka2[[#This Row],[Pracovník]],DATA!A:L,11,0),"")</f>
        <v/>
      </c>
      <c r="J2109" s="16"/>
      <c r="K2109" s="19"/>
    </row>
    <row r="2110" spans="1:11" x14ac:dyDescent="0.25">
      <c r="A21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10" s="22">
        <v>45937</v>
      </c>
      <c r="C2110" s="16"/>
      <c r="D2110" s="16"/>
      <c r="E2110" s="17" t="str">
        <f>IFERROR(VLOOKUP(Tabulka2[[#This Row],[Pracovník]],DATA!A:L,5,0),"")</f>
        <v/>
      </c>
      <c r="F2110" s="12"/>
      <c r="G2110" s="16"/>
      <c r="H2110" s="18"/>
      <c r="I2110" s="27" t="str">
        <f>IFERROR(VLOOKUP(Tabulka2[[#This Row],[Pracovník]],DATA!A:L,11,0),"")</f>
        <v/>
      </c>
      <c r="J2110" s="16"/>
      <c r="K2110" s="19"/>
    </row>
    <row r="2111" spans="1:11" x14ac:dyDescent="0.25">
      <c r="A21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11" s="22">
        <v>45937</v>
      </c>
      <c r="C2111" s="16"/>
      <c r="D2111" s="16"/>
      <c r="E2111" s="17" t="str">
        <f>IFERROR(VLOOKUP(Tabulka2[[#This Row],[Pracovník]],DATA!A:L,5,0),"")</f>
        <v/>
      </c>
      <c r="F2111" s="12"/>
      <c r="G2111" s="16"/>
      <c r="H2111" s="18"/>
      <c r="I2111" s="27" t="str">
        <f>IFERROR(VLOOKUP(Tabulka2[[#This Row],[Pracovník]],DATA!A:L,11,0),"")</f>
        <v/>
      </c>
      <c r="J2111" s="16"/>
      <c r="K2111" s="19"/>
    </row>
    <row r="2112" spans="1:11" x14ac:dyDescent="0.25">
      <c r="A21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12" s="22">
        <v>45937</v>
      </c>
      <c r="C2112" s="16"/>
      <c r="D2112" s="16"/>
      <c r="E2112" s="17" t="str">
        <f>IFERROR(VLOOKUP(Tabulka2[[#This Row],[Pracovník]],DATA!A:L,5,0),"")</f>
        <v/>
      </c>
      <c r="F2112" s="12"/>
      <c r="G2112" s="16"/>
      <c r="H2112" s="18"/>
      <c r="I2112" s="27" t="str">
        <f>IFERROR(VLOOKUP(Tabulka2[[#This Row],[Pracovník]],DATA!A:L,11,0),"")</f>
        <v/>
      </c>
      <c r="J2112" s="16"/>
      <c r="K2112" s="19"/>
    </row>
    <row r="2113" spans="1:11" x14ac:dyDescent="0.25">
      <c r="A21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13" s="22">
        <v>45937</v>
      </c>
      <c r="C2113" s="16"/>
      <c r="D2113" s="16"/>
      <c r="E2113" s="17" t="str">
        <f>IFERROR(VLOOKUP(Tabulka2[[#This Row],[Pracovník]],DATA!A:L,5,0),"")</f>
        <v/>
      </c>
      <c r="F2113" s="12"/>
      <c r="G2113" s="16"/>
      <c r="H2113" s="18"/>
      <c r="I2113" s="27" t="str">
        <f>IFERROR(VLOOKUP(Tabulka2[[#This Row],[Pracovník]],DATA!A:L,11,0),"")</f>
        <v/>
      </c>
      <c r="J2113" s="16"/>
      <c r="K2113" s="19"/>
    </row>
    <row r="2114" spans="1:11" x14ac:dyDescent="0.25">
      <c r="A21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14" s="22">
        <v>45937</v>
      </c>
      <c r="C2114" s="16"/>
      <c r="D2114" s="16"/>
      <c r="E2114" s="17" t="str">
        <f>IFERROR(VLOOKUP(Tabulka2[[#This Row],[Pracovník]],DATA!A:L,5,0),"")</f>
        <v/>
      </c>
      <c r="F2114" s="12"/>
      <c r="G2114" s="16"/>
      <c r="H2114" s="18"/>
      <c r="I2114" s="27" t="str">
        <f>IFERROR(VLOOKUP(Tabulka2[[#This Row],[Pracovník]],DATA!A:L,11,0),"")</f>
        <v/>
      </c>
      <c r="J2114" s="16"/>
      <c r="K2114" s="19"/>
    </row>
    <row r="2115" spans="1:11" x14ac:dyDescent="0.25">
      <c r="A21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15" s="22">
        <v>45937</v>
      </c>
      <c r="C2115" s="16"/>
      <c r="D2115" s="16"/>
      <c r="E2115" s="17" t="str">
        <f>IFERROR(VLOOKUP(Tabulka2[[#This Row],[Pracovník]],DATA!A:L,5,0),"")</f>
        <v/>
      </c>
      <c r="F2115" s="12"/>
      <c r="G2115" s="16"/>
      <c r="H2115" s="18"/>
      <c r="I2115" s="27" t="str">
        <f>IFERROR(VLOOKUP(Tabulka2[[#This Row],[Pracovník]],DATA!A:L,11,0),"")</f>
        <v/>
      </c>
      <c r="J2115" s="16"/>
      <c r="K2115" s="19"/>
    </row>
    <row r="2116" spans="1:11" x14ac:dyDescent="0.25">
      <c r="A21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16" s="22">
        <v>45937</v>
      </c>
      <c r="C2116" s="16"/>
      <c r="D2116" s="16"/>
      <c r="E2116" s="17" t="str">
        <f>IFERROR(VLOOKUP(Tabulka2[[#This Row],[Pracovník]],DATA!A:L,5,0),"")</f>
        <v/>
      </c>
      <c r="F2116" s="12"/>
      <c r="G2116" s="16"/>
      <c r="H2116" s="18"/>
      <c r="I2116" s="27" t="str">
        <f>IFERROR(VLOOKUP(Tabulka2[[#This Row],[Pracovník]],DATA!A:L,11,0),"")</f>
        <v/>
      </c>
      <c r="J2116" s="16"/>
      <c r="K2116" s="19"/>
    </row>
    <row r="2117" spans="1:11" x14ac:dyDescent="0.25">
      <c r="A21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17" s="22">
        <v>45937</v>
      </c>
      <c r="C2117" s="16"/>
      <c r="D2117" s="16"/>
      <c r="E2117" s="17" t="str">
        <f>IFERROR(VLOOKUP(Tabulka2[[#This Row],[Pracovník]],DATA!A:L,5,0),"")</f>
        <v/>
      </c>
      <c r="F2117" s="12"/>
      <c r="G2117" s="16"/>
      <c r="H2117" s="18"/>
      <c r="I2117" s="27" t="str">
        <f>IFERROR(VLOOKUP(Tabulka2[[#This Row],[Pracovník]],DATA!A:L,11,0),"")</f>
        <v/>
      </c>
      <c r="J2117" s="16"/>
      <c r="K2117" s="19"/>
    </row>
    <row r="2118" spans="1:11" x14ac:dyDescent="0.25">
      <c r="A21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18" s="22">
        <v>45937</v>
      </c>
      <c r="C2118" s="16"/>
      <c r="D2118" s="16"/>
      <c r="E2118" s="17" t="str">
        <f>IFERROR(VLOOKUP(Tabulka2[[#This Row],[Pracovník]],DATA!A:L,5,0),"")</f>
        <v/>
      </c>
      <c r="F2118" s="12"/>
      <c r="G2118" s="16"/>
      <c r="H2118" s="18"/>
      <c r="I2118" s="27" t="str">
        <f>IFERROR(VLOOKUP(Tabulka2[[#This Row],[Pracovník]],DATA!A:L,11,0),"")</f>
        <v/>
      </c>
      <c r="J2118" s="16"/>
      <c r="K2118" s="19"/>
    </row>
    <row r="2119" spans="1:11" x14ac:dyDescent="0.25">
      <c r="A21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19" s="22">
        <v>45937</v>
      </c>
      <c r="C2119" s="16"/>
      <c r="D2119" s="16"/>
      <c r="E2119" s="17" t="str">
        <f>IFERROR(VLOOKUP(Tabulka2[[#This Row],[Pracovník]],DATA!A:L,5,0),"")</f>
        <v/>
      </c>
      <c r="F2119" s="12"/>
      <c r="G2119" s="16"/>
      <c r="H2119" s="18"/>
      <c r="I2119" s="27" t="str">
        <f>IFERROR(VLOOKUP(Tabulka2[[#This Row],[Pracovník]],DATA!A:L,11,0),"")</f>
        <v/>
      </c>
      <c r="J2119" s="16"/>
      <c r="K2119" s="19"/>
    </row>
    <row r="2120" spans="1:11" x14ac:dyDescent="0.25">
      <c r="A21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20" s="22">
        <v>45937</v>
      </c>
      <c r="C2120" s="16"/>
      <c r="D2120" s="16"/>
      <c r="E2120" s="17" t="str">
        <f>IFERROR(VLOOKUP(Tabulka2[[#This Row],[Pracovník]],DATA!A:L,5,0),"")</f>
        <v/>
      </c>
      <c r="F2120" s="12"/>
      <c r="G2120" s="16"/>
      <c r="H2120" s="18"/>
      <c r="I2120" s="27" t="str">
        <f>IFERROR(VLOOKUP(Tabulka2[[#This Row],[Pracovník]],DATA!A:L,11,0),"")</f>
        <v/>
      </c>
      <c r="J2120" s="16"/>
      <c r="K2120" s="19"/>
    </row>
    <row r="2121" spans="1:11" x14ac:dyDescent="0.25">
      <c r="A21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21" s="22">
        <v>45937</v>
      </c>
      <c r="C2121" s="16"/>
      <c r="D2121" s="16"/>
      <c r="E2121" s="17" t="str">
        <f>IFERROR(VLOOKUP(Tabulka2[[#This Row],[Pracovník]],DATA!A:L,5,0),"")</f>
        <v/>
      </c>
      <c r="F2121" s="12"/>
      <c r="G2121" s="16"/>
      <c r="H2121" s="18"/>
      <c r="I2121" s="27" t="str">
        <f>IFERROR(VLOOKUP(Tabulka2[[#This Row],[Pracovník]],DATA!A:L,11,0),"")</f>
        <v/>
      </c>
      <c r="J2121" s="16"/>
      <c r="K2121" s="19"/>
    </row>
    <row r="2122" spans="1:11" x14ac:dyDescent="0.25">
      <c r="A21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22" s="22">
        <v>45937</v>
      </c>
      <c r="C2122" s="16"/>
      <c r="D2122" s="16"/>
      <c r="E2122" s="17" t="str">
        <f>IFERROR(VLOOKUP(Tabulka2[[#This Row],[Pracovník]],DATA!A:L,5,0),"")</f>
        <v/>
      </c>
      <c r="F2122" s="12"/>
      <c r="G2122" s="16"/>
      <c r="H2122" s="18"/>
      <c r="I2122" s="27" t="str">
        <f>IFERROR(VLOOKUP(Tabulka2[[#This Row],[Pracovník]],DATA!A:L,11,0),"")</f>
        <v/>
      </c>
      <c r="J2122" s="16"/>
      <c r="K2122" s="19"/>
    </row>
    <row r="2123" spans="1:11" x14ac:dyDescent="0.25">
      <c r="A21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23" s="22">
        <v>45937</v>
      </c>
      <c r="C2123" s="16"/>
      <c r="D2123" s="16"/>
      <c r="E2123" s="17" t="str">
        <f>IFERROR(VLOOKUP(Tabulka2[[#This Row],[Pracovník]],DATA!A:L,5,0),"")</f>
        <v/>
      </c>
      <c r="F2123" s="12"/>
      <c r="G2123" s="16"/>
      <c r="H2123" s="18"/>
      <c r="I2123" s="27" t="str">
        <f>IFERROR(VLOOKUP(Tabulka2[[#This Row],[Pracovník]],DATA!A:L,11,0),"")</f>
        <v/>
      </c>
      <c r="J2123" s="16"/>
      <c r="K2123" s="19"/>
    </row>
    <row r="2124" spans="1:11" x14ac:dyDescent="0.25">
      <c r="A21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24" s="22">
        <v>45937</v>
      </c>
      <c r="C2124" s="16"/>
      <c r="D2124" s="16"/>
      <c r="E2124" s="17" t="str">
        <f>IFERROR(VLOOKUP(Tabulka2[[#This Row],[Pracovník]],DATA!A:L,5,0),"")</f>
        <v/>
      </c>
      <c r="F2124" s="12"/>
      <c r="G2124" s="16"/>
      <c r="H2124" s="18"/>
      <c r="I2124" s="27" t="str">
        <f>IFERROR(VLOOKUP(Tabulka2[[#This Row],[Pracovník]],DATA!A:L,11,0),"")</f>
        <v/>
      </c>
      <c r="J2124" s="16"/>
      <c r="K2124" s="19"/>
    </row>
    <row r="2125" spans="1:11" x14ac:dyDescent="0.25">
      <c r="A21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25" s="22">
        <v>45937</v>
      </c>
      <c r="C2125" s="16"/>
      <c r="D2125" s="16"/>
      <c r="E2125" s="17" t="str">
        <f>IFERROR(VLOOKUP(Tabulka2[[#This Row],[Pracovník]],DATA!A:L,5,0),"")</f>
        <v/>
      </c>
      <c r="F2125" s="12"/>
      <c r="G2125" s="16"/>
      <c r="H2125" s="18"/>
      <c r="I2125" s="27" t="str">
        <f>IFERROR(VLOOKUP(Tabulka2[[#This Row],[Pracovník]],DATA!A:L,11,0),"")</f>
        <v/>
      </c>
      <c r="J2125" s="16"/>
      <c r="K2125" s="19"/>
    </row>
    <row r="2126" spans="1:11" x14ac:dyDescent="0.25">
      <c r="A21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26" s="22">
        <v>45937</v>
      </c>
      <c r="C2126" s="16"/>
      <c r="D2126" s="16"/>
      <c r="E2126" s="17" t="str">
        <f>IFERROR(VLOOKUP(Tabulka2[[#This Row],[Pracovník]],DATA!A:L,5,0),"")</f>
        <v/>
      </c>
      <c r="F2126" s="12"/>
      <c r="G2126" s="16"/>
      <c r="H2126" s="18"/>
      <c r="I2126" s="27" t="str">
        <f>IFERROR(VLOOKUP(Tabulka2[[#This Row],[Pracovník]],DATA!A:L,11,0),"")</f>
        <v/>
      </c>
      <c r="J2126" s="16"/>
      <c r="K2126" s="19"/>
    </row>
    <row r="2127" spans="1:11" x14ac:dyDescent="0.25">
      <c r="A21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27" s="22">
        <v>45937</v>
      </c>
      <c r="C2127" s="16"/>
      <c r="D2127" s="16"/>
      <c r="E2127" s="17" t="str">
        <f>IFERROR(VLOOKUP(Tabulka2[[#This Row],[Pracovník]],DATA!A:L,5,0),"")</f>
        <v/>
      </c>
      <c r="F2127" s="12"/>
      <c r="G2127" s="16"/>
      <c r="H2127" s="18"/>
      <c r="I2127" s="27" t="str">
        <f>IFERROR(VLOOKUP(Tabulka2[[#This Row],[Pracovník]],DATA!A:L,11,0),"")</f>
        <v/>
      </c>
      <c r="J2127" s="16"/>
      <c r="K2127" s="19"/>
    </row>
    <row r="2128" spans="1:11" x14ac:dyDescent="0.25">
      <c r="A21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28" s="22">
        <v>45937</v>
      </c>
      <c r="C2128" s="16"/>
      <c r="D2128" s="16"/>
      <c r="E2128" s="17" t="str">
        <f>IFERROR(VLOOKUP(Tabulka2[[#This Row],[Pracovník]],DATA!A:L,5,0),"")</f>
        <v/>
      </c>
      <c r="F2128" s="12"/>
      <c r="G2128" s="16"/>
      <c r="H2128" s="18"/>
      <c r="I2128" s="27" t="str">
        <f>IFERROR(VLOOKUP(Tabulka2[[#This Row],[Pracovník]],DATA!A:L,11,0),"")</f>
        <v/>
      </c>
      <c r="J2128" s="16"/>
      <c r="K2128" s="19"/>
    </row>
    <row r="2129" spans="1:11" x14ac:dyDescent="0.25">
      <c r="A21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29" s="22">
        <v>45937</v>
      </c>
      <c r="C2129" s="16"/>
      <c r="D2129" s="16"/>
      <c r="E2129" s="17" t="str">
        <f>IFERROR(VLOOKUP(Tabulka2[[#This Row],[Pracovník]],DATA!A:L,5,0),"")</f>
        <v/>
      </c>
      <c r="F2129" s="12"/>
      <c r="G2129" s="16"/>
      <c r="H2129" s="18"/>
      <c r="I2129" s="27" t="str">
        <f>IFERROR(VLOOKUP(Tabulka2[[#This Row],[Pracovník]],DATA!A:L,11,0),"")</f>
        <v/>
      </c>
      <c r="J2129" s="16"/>
      <c r="K2129" s="19"/>
    </row>
    <row r="2130" spans="1:11" x14ac:dyDescent="0.25">
      <c r="A21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30" s="22">
        <v>45937</v>
      </c>
      <c r="C2130" s="16"/>
      <c r="D2130" s="16"/>
      <c r="E2130" s="17" t="str">
        <f>IFERROR(VLOOKUP(Tabulka2[[#This Row],[Pracovník]],DATA!A:L,5,0),"")</f>
        <v/>
      </c>
      <c r="F2130" s="12"/>
      <c r="G2130" s="16"/>
      <c r="H2130" s="18"/>
      <c r="I2130" s="27" t="str">
        <f>IFERROR(VLOOKUP(Tabulka2[[#This Row],[Pracovník]],DATA!A:L,11,0),"")</f>
        <v/>
      </c>
      <c r="J2130" s="16"/>
      <c r="K2130" s="19"/>
    </row>
    <row r="2131" spans="1:11" x14ac:dyDescent="0.25">
      <c r="A21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31" s="22">
        <v>45937</v>
      </c>
      <c r="C2131" s="16"/>
      <c r="D2131" s="16"/>
      <c r="E2131" s="17" t="str">
        <f>IFERROR(VLOOKUP(Tabulka2[[#This Row],[Pracovník]],DATA!A:L,5,0),"")</f>
        <v/>
      </c>
      <c r="F2131" s="12"/>
      <c r="G2131" s="16"/>
      <c r="H2131" s="18"/>
      <c r="I2131" s="27" t="str">
        <f>IFERROR(VLOOKUP(Tabulka2[[#This Row],[Pracovník]],DATA!A:L,11,0),"")</f>
        <v/>
      </c>
      <c r="J2131" s="16"/>
      <c r="K2131" s="19"/>
    </row>
    <row r="2132" spans="1:11" x14ac:dyDescent="0.25">
      <c r="A21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32" s="22">
        <v>45937</v>
      </c>
      <c r="C2132" s="16"/>
      <c r="D2132" s="16"/>
      <c r="E2132" s="17" t="str">
        <f>IFERROR(VLOOKUP(Tabulka2[[#This Row],[Pracovník]],DATA!A:L,5,0),"")</f>
        <v/>
      </c>
      <c r="F2132" s="12"/>
      <c r="G2132" s="16"/>
      <c r="H2132" s="18"/>
      <c r="I2132" s="27" t="str">
        <f>IFERROR(VLOOKUP(Tabulka2[[#This Row],[Pracovník]],DATA!A:L,11,0),"")</f>
        <v/>
      </c>
      <c r="J2132" s="16"/>
      <c r="K2132" s="19"/>
    </row>
    <row r="2133" spans="1:11" x14ac:dyDescent="0.25">
      <c r="A21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33" s="22">
        <v>45937</v>
      </c>
      <c r="C2133" s="16"/>
      <c r="D2133" s="16"/>
      <c r="E2133" s="17" t="str">
        <f>IFERROR(VLOOKUP(Tabulka2[[#This Row],[Pracovník]],DATA!A:L,5,0),"")</f>
        <v/>
      </c>
      <c r="F2133" s="12"/>
      <c r="G2133" s="16"/>
      <c r="H2133" s="18"/>
      <c r="I2133" s="27" t="str">
        <f>IFERROR(VLOOKUP(Tabulka2[[#This Row],[Pracovník]],DATA!A:L,11,0),"")</f>
        <v/>
      </c>
      <c r="J2133" s="16"/>
      <c r="K2133" s="19"/>
    </row>
    <row r="2134" spans="1:11" x14ac:dyDescent="0.25">
      <c r="A21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34" s="22">
        <v>45937</v>
      </c>
      <c r="C2134" s="16"/>
      <c r="D2134" s="16"/>
      <c r="E2134" s="17" t="str">
        <f>IFERROR(VLOOKUP(Tabulka2[[#This Row],[Pracovník]],DATA!A:L,5,0),"")</f>
        <v/>
      </c>
      <c r="F2134" s="12"/>
      <c r="G2134" s="16"/>
      <c r="H2134" s="18"/>
      <c r="I2134" s="27" t="str">
        <f>IFERROR(VLOOKUP(Tabulka2[[#This Row],[Pracovník]],DATA!A:L,11,0),"")</f>
        <v/>
      </c>
      <c r="J2134" s="16"/>
      <c r="K2134" s="19"/>
    </row>
    <row r="2135" spans="1:11" x14ac:dyDescent="0.25">
      <c r="A21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35" s="22">
        <v>45937</v>
      </c>
      <c r="C2135" s="16"/>
      <c r="D2135" s="16"/>
      <c r="E2135" s="17" t="str">
        <f>IFERROR(VLOOKUP(Tabulka2[[#This Row],[Pracovník]],DATA!A:L,5,0),"")</f>
        <v/>
      </c>
      <c r="F2135" s="12"/>
      <c r="G2135" s="16"/>
      <c r="H2135" s="18"/>
      <c r="I2135" s="27" t="str">
        <f>IFERROR(VLOOKUP(Tabulka2[[#This Row],[Pracovník]],DATA!A:L,11,0),"")</f>
        <v/>
      </c>
      <c r="J2135" s="16"/>
      <c r="K2135" s="19"/>
    </row>
    <row r="2136" spans="1:11" x14ac:dyDescent="0.25">
      <c r="A21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36" s="22">
        <v>45937</v>
      </c>
      <c r="C2136" s="16"/>
      <c r="D2136" s="16"/>
      <c r="E2136" s="17" t="str">
        <f>IFERROR(VLOOKUP(Tabulka2[[#This Row],[Pracovník]],DATA!A:L,5,0),"")</f>
        <v/>
      </c>
      <c r="F2136" s="12"/>
      <c r="G2136" s="16"/>
      <c r="H2136" s="18"/>
      <c r="I2136" s="27" t="str">
        <f>IFERROR(VLOOKUP(Tabulka2[[#This Row],[Pracovník]],DATA!A:L,11,0),"")</f>
        <v/>
      </c>
      <c r="J2136" s="16"/>
      <c r="K2136" s="19"/>
    </row>
    <row r="2137" spans="1:11" x14ac:dyDescent="0.25">
      <c r="A21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37" s="22">
        <v>45937</v>
      </c>
      <c r="C2137" s="16"/>
      <c r="D2137" s="16"/>
      <c r="E2137" s="17" t="str">
        <f>IFERROR(VLOOKUP(Tabulka2[[#This Row],[Pracovník]],DATA!A:L,5,0),"")</f>
        <v/>
      </c>
      <c r="F2137" s="12"/>
      <c r="G2137" s="16"/>
      <c r="H2137" s="18"/>
      <c r="I2137" s="27" t="str">
        <f>IFERROR(VLOOKUP(Tabulka2[[#This Row],[Pracovník]],DATA!A:L,11,0),"")</f>
        <v/>
      </c>
      <c r="J2137" s="16"/>
      <c r="K2137" s="19"/>
    </row>
    <row r="2138" spans="1:11" x14ac:dyDescent="0.25">
      <c r="A21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38" s="22">
        <v>45937</v>
      </c>
      <c r="C2138" s="16"/>
      <c r="D2138" s="16"/>
      <c r="E2138" s="17" t="str">
        <f>IFERROR(VLOOKUP(Tabulka2[[#This Row],[Pracovník]],DATA!A:L,5,0),"")</f>
        <v/>
      </c>
      <c r="F2138" s="12"/>
      <c r="G2138" s="16"/>
      <c r="H2138" s="18"/>
      <c r="I2138" s="27" t="str">
        <f>IFERROR(VLOOKUP(Tabulka2[[#This Row],[Pracovník]],DATA!A:L,11,0),"")</f>
        <v/>
      </c>
      <c r="J2138" s="16"/>
      <c r="K2138" s="19"/>
    </row>
    <row r="2139" spans="1:11" x14ac:dyDescent="0.25">
      <c r="A21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39" s="22">
        <v>45937</v>
      </c>
      <c r="C2139" s="16"/>
      <c r="D2139" s="16"/>
      <c r="E2139" s="17" t="str">
        <f>IFERROR(VLOOKUP(Tabulka2[[#This Row],[Pracovník]],DATA!A:L,5,0),"")</f>
        <v/>
      </c>
      <c r="F2139" s="12"/>
      <c r="G2139" s="16"/>
      <c r="H2139" s="18"/>
      <c r="I2139" s="27" t="str">
        <f>IFERROR(VLOOKUP(Tabulka2[[#This Row],[Pracovník]],DATA!A:L,11,0),"")</f>
        <v/>
      </c>
      <c r="J2139" s="16"/>
      <c r="K2139" s="19"/>
    </row>
    <row r="2140" spans="1:11" x14ac:dyDescent="0.25">
      <c r="A21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40" s="22">
        <v>45937</v>
      </c>
      <c r="C2140" s="16"/>
      <c r="D2140" s="16"/>
      <c r="E2140" s="17" t="str">
        <f>IFERROR(VLOOKUP(Tabulka2[[#This Row],[Pracovník]],DATA!A:L,5,0),"")</f>
        <v/>
      </c>
      <c r="F2140" s="12"/>
      <c r="G2140" s="16"/>
      <c r="H2140" s="18"/>
      <c r="I2140" s="27" t="str">
        <f>IFERROR(VLOOKUP(Tabulka2[[#This Row],[Pracovník]],DATA!A:L,11,0),"")</f>
        <v/>
      </c>
      <c r="J2140" s="16"/>
      <c r="K2140" s="19"/>
    </row>
    <row r="2141" spans="1:11" x14ac:dyDescent="0.25">
      <c r="A21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41" s="22">
        <v>45937</v>
      </c>
      <c r="C2141" s="16"/>
      <c r="D2141" s="16"/>
      <c r="E2141" s="17" t="str">
        <f>IFERROR(VLOOKUP(Tabulka2[[#This Row],[Pracovník]],DATA!A:L,5,0),"")</f>
        <v/>
      </c>
      <c r="F2141" s="12"/>
      <c r="G2141" s="16"/>
      <c r="H2141" s="18"/>
      <c r="I2141" s="27" t="str">
        <f>IFERROR(VLOOKUP(Tabulka2[[#This Row],[Pracovník]],DATA!A:L,11,0),"")</f>
        <v/>
      </c>
      <c r="J2141" s="16"/>
      <c r="K2141" s="19"/>
    </row>
    <row r="2142" spans="1:11" x14ac:dyDescent="0.25">
      <c r="A21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42" s="22">
        <v>45937</v>
      </c>
      <c r="C2142" s="16"/>
      <c r="D2142" s="16"/>
      <c r="E2142" s="17" t="str">
        <f>IFERROR(VLOOKUP(Tabulka2[[#This Row],[Pracovník]],DATA!A:L,5,0),"")</f>
        <v/>
      </c>
      <c r="F2142" s="12"/>
      <c r="G2142" s="16"/>
      <c r="H2142" s="18"/>
      <c r="I2142" s="27" t="str">
        <f>IFERROR(VLOOKUP(Tabulka2[[#This Row],[Pracovník]],DATA!A:L,11,0),"")</f>
        <v/>
      </c>
      <c r="J2142" s="16"/>
      <c r="K2142" s="19"/>
    </row>
    <row r="2143" spans="1:11" x14ac:dyDescent="0.25">
      <c r="A21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43" s="22">
        <v>45937</v>
      </c>
      <c r="C2143" s="16"/>
      <c r="D2143" s="16"/>
      <c r="E2143" s="17" t="str">
        <f>IFERROR(VLOOKUP(Tabulka2[[#This Row],[Pracovník]],DATA!A:L,5,0),"")</f>
        <v/>
      </c>
      <c r="F2143" s="12"/>
      <c r="G2143" s="16"/>
      <c r="H2143" s="18"/>
      <c r="I2143" s="27" t="str">
        <f>IFERROR(VLOOKUP(Tabulka2[[#This Row],[Pracovník]],DATA!A:L,11,0),"")</f>
        <v/>
      </c>
      <c r="J2143" s="16"/>
      <c r="K2143" s="19"/>
    </row>
    <row r="2144" spans="1:11" x14ac:dyDescent="0.25">
      <c r="A21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44" s="22">
        <v>45937</v>
      </c>
      <c r="C2144" s="16"/>
      <c r="D2144" s="16"/>
      <c r="E2144" s="17" t="str">
        <f>IFERROR(VLOOKUP(Tabulka2[[#This Row],[Pracovník]],DATA!A:L,5,0),"")</f>
        <v/>
      </c>
      <c r="F2144" s="12"/>
      <c r="G2144" s="16"/>
      <c r="H2144" s="18"/>
      <c r="I2144" s="27" t="str">
        <f>IFERROR(VLOOKUP(Tabulka2[[#This Row],[Pracovník]],DATA!A:L,11,0),"")</f>
        <v/>
      </c>
      <c r="J2144" s="16"/>
      <c r="K2144" s="19"/>
    </row>
    <row r="2145" spans="1:11" x14ac:dyDescent="0.25">
      <c r="A21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45" s="22">
        <v>45937</v>
      </c>
      <c r="C2145" s="16"/>
      <c r="D2145" s="16"/>
      <c r="E2145" s="17" t="str">
        <f>IFERROR(VLOOKUP(Tabulka2[[#This Row],[Pracovník]],DATA!A:L,5,0),"")</f>
        <v/>
      </c>
      <c r="F2145" s="12"/>
      <c r="G2145" s="16"/>
      <c r="H2145" s="18"/>
      <c r="I2145" s="27" t="str">
        <f>IFERROR(VLOOKUP(Tabulka2[[#This Row],[Pracovník]],DATA!A:L,11,0),"")</f>
        <v/>
      </c>
      <c r="J2145" s="16"/>
      <c r="K2145" s="19"/>
    </row>
    <row r="2146" spans="1:11" x14ac:dyDescent="0.25">
      <c r="A21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46" s="22">
        <v>45937</v>
      </c>
      <c r="C2146" s="16"/>
      <c r="D2146" s="16"/>
      <c r="E2146" s="17" t="str">
        <f>IFERROR(VLOOKUP(Tabulka2[[#This Row],[Pracovník]],DATA!A:L,5,0),"")</f>
        <v/>
      </c>
      <c r="F2146" s="12"/>
      <c r="G2146" s="16"/>
      <c r="H2146" s="18"/>
      <c r="I2146" s="27" t="str">
        <f>IFERROR(VLOOKUP(Tabulka2[[#This Row],[Pracovník]],DATA!A:L,11,0),"")</f>
        <v/>
      </c>
      <c r="J2146" s="16"/>
      <c r="K2146" s="19"/>
    </row>
    <row r="2147" spans="1:11" x14ac:dyDescent="0.25">
      <c r="A21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47" s="22">
        <v>45937</v>
      </c>
      <c r="C2147" s="16"/>
      <c r="D2147" s="16"/>
      <c r="E2147" s="17" t="str">
        <f>IFERROR(VLOOKUP(Tabulka2[[#This Row],[Pracovník]],DATA!A:L,5,0),"")</f>
        <v/>
      </c>
      <c r="F2147" s="12"/>
      <c r="G2147" s="16"/>
      <c r="H2147" s="18"/>
      <c r="I2147" s="27" t="str">
        <f>IFERROR(VLOOKUP(Tabulka2[[#This Row],[Pracovník]],DATA!A:L,11,0),"")</f>
        <v/>
      </c>
      <c r="J2147" s="16"/>
      <c r="K2147" s="19"/>
    </row>
    <row r="2148" spans="1:11" x14ac:dyDescent="0.25">
      <c r="A21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48" s="22">
        <v>45937</v>
      </c>
      <c r="C2148" s="16"/>
      <c r="D2148" s="16"/>
      <c r="E2148" s="17" t="str">
        <f>IFERROR(VLOOKUP(Tabulka2[[#This Row],[Pracovník]],DATA!A:L,5,0),"")</f>
        <v/>
      </c>
      <c r="F2148" s="12"/>
      <c r="G2148" s="16"/>
      <c r="H2148" s="18"/>
      <c r="I2148" s="27" t="str">
        <f>IFERROR(VLOOKUP(Tabulka2[[#This Row],[Pracovník]],DATA!A:L,11,0),"")</f>
        <v/>
      </c>
      <c r="J2148" s="16"/>
      <c r="K2148" s="19"/>
    </row>
    <row r="2149" spans="1:11" x14ac:dyDescent="0.25">
      <c r="A21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49" s="22">
        <v>45937</v>
      </c>
      <c r="C2149" s="16"/>
      <c r="D2149" s="16"/>
      <c r="E2149" s="17" t="str">
        <f>IFERROR(VLOOKUP(Tabulka2[[#This Row],[Pracovník]],DATA!A:L,5,0),"")</f>
        <v/>
      </c>
      <c r="F2149" s="12"/>
      <c r="G2149" s="16"/>
      <c r="H2149" s="18"/>
      <c r="I2149" s="27" t="str">
        <f>IFERROR(VLOOKUP(Tabulka2[[#This Row],[Pracovník]],DATA!A:L,11,0),"")</f>
        <v/>
      </c>
      <c r="J2149" s="16"/>
      <c r="K2149" s="19"/>
    </row>
    <row r="2150" spans="1:11" x14ac:dyDescent="0.25">
      <c r="A21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50" s="22">
        <v>45937</v>
      </c>
      <c r="C2150" s="16"/>
      <c r="D2150" s="16"/>
      <c r="E2150" s="17" t="str">
        <f>IFERROR(VLOOKUP(Tabulka2[[#This Row],[Pracovník]],DATA!A:L,5,0),"")</f>
        <v/>
      </c>
      <c r="F2150" s="12"/>
      <c r="G2150" s="16"/>
      <c r="H2150" s="18"/>
      <c r="I2150" s="27" t="str">
        <f>IFERROR(VLOOKUP(Tabulka2[[#This Row],[Pracovník]],DATA!A:L,11,0),"")</f>
        <v/>
      </c>
      <c r="J2150" s="16"/>
      <c r="K2150" s="19"/>
    </row>
    <row r="2151" spans="1:11" x14ac:dyDescent="0.25">
      <c r="A21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51" s="22">
        <v>45937</v>
      </c>
      <c r="C2151" s="16"/>
      <c r="D2151" s="16"/>
      <c r="E2151" s="17" t="str">
        <f>IFERROR(VLOOKUP(Tabulka2[[#This Row],[Pracovník]],DATA!A:L,5,0),"")</f>
        <v/>
      </c>
      <c r="F2151" s="12"/>
      <c r="G2151" s="16"/>
      <c r="H2151" s="18"/>
      <c r="I2151" s="27" t="str">
        <f>IFERROR(VLOOKUP(Tabulka2[[#This Row],[Pracovník]],DATA!A:L,11,0),"")</f>
        <v/>
      </c>
      <c r="J2151" s="16"/>
      <c r="K2151" s="19"/>
    </row>
    <row r="2152" spans="1:11" x14ac:dyDescent="0.25">
      <c r="A21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52" s="22">
        <v>45937</v>
      </c>
      <c r="C2152" s="16"/>
      <c r="D2152" s="16"/>
      <c r="E2152" s="17" t="str">
        <f>IFERROR(VLOOKUP(Tabulka2[[#This Row],[Pracovník]],DATA!A:L,5,0),"")</f>
        <v/>
      </c>
      <c r="F2152" s="12"/>
      <c r="G2152" s="16"/>
      <c r="H2152" s="18"/>
      <c r="I2152" s="27" t="str">
        <f>IFERROR(VLOOKUP(Tabulka2[[#This Row],[Pracovník]],DATA!A:L,11,0),"")</f>
        <v/>
      </c>
      <c r="J2152" s="16"/>
      <c r="K2152" s="19"/>
    </row>
    <row r="2153" spans="1:11" x14ac:dyDescent="0.25">
      <c r="A21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53" s="22">
        <v>45937</v>
      </c>
      <c r="C2153" s="16"/>
      <c r="D2153" s="16"/>
      <c r="E2153" s="17" t="str">
        <f>IFERROR(VLOOKUP(Tabulka2[[#This Row],[Pracovník]],DATA!A:L,5,0),"")</f>
        <v/>
      </c>
      <c r="F2153" s="12"/>
      <c r="G2153" s="16"/>
      <c r="H2153" s="18"/>
      <c r="I2153" s="27" t="str">
        <f>IFERROR(VLOOKUP(Tabulka2[[#This Row],[Pracovník]],DATA!A:L,11,0),"")</f>
        <v/>
      </c>
      <c r="J2153" s="16"/>
      <c r="K2153" s="19"/>
    </row>
    <row r="2154" spans="1:11" x14ac:dyDescent="0.25">
      <c r="A21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54" s="22">
        <v>45937</v>
      </c>
      <c r="C2154" s="16"/>
      <c r="D2154" s="16"/>
      <c r="E2154" s="17" t="str">
        <f>IFERROR(VLOOKUP(Tabulka2[[#This Row],[Pracovník]],DATA!A:L,5,0),"")</f>
        <v/>
      </c>
      <c r="F2154" s="12"/>
      <c r="G2154" s="16"/>
      <c r="H2154" s="18"/>
      <c r="I2154" s="27" t="str">
        <f>IFERROR(VLOOKUP(Tabulka2[[#This Row],[Pracovník]],DATA!A:L,11,0),"")</f>
        <v/>
      </c>
      <c r="J2154" s="16"/>
      <c r="K2154" s="19"/>
    </row>
    <row r="2155" spans="1:11" x14ac:dyDescent="0.25">
      <c r="A21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55" s="22">
        <v>45937</v>
      </c>
      <c r="C2155" s="16"/>
      <c r="D2155" s="16"/>
      <c r="E2155" s="17" t="str">
        <f>IFERROR(VLOOKUP(Tabulka2[[#This Row],[Pracovník]],DATA!A:L,5,0),"")</f>
        <v/>
      </c>
      <c r="F2155" s="12"/>
      <c r="G2155" s="16"/>
      <c r="H2155" s="18"/>
      <c r="I2155" s="27" t="str">
        <f>IFERROR(VLOOKUP(Tabulka2[[#This Row],[Pracovník]],DATA!A:L,11,0),"")</f>
        <v/>
      </c>
      <c r="J2155" s="16"/>
      <c r="K2155" s="19"/>
    </row>
    <row r="2156" spans="1:11" x14ac:dyDescent="0.25">
      <c r="A21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56" s="22">
        <v>45937</v>
      </c>
      <c r="C2156" s="16"/>
      <c r="D2156" s="16"/>
      <c r="E2156" s="17" t="str">
        <f>IFERROR(VLOOKUP(Tabulka2[[#This Row],[Pracovník]],DATA!A:L,5,0),"")</f>
        <v/>
      </c>
      <c r="F2156" s="12"/>
      <c r="G2156" s="16"/>
      <c r="H2156" s="18"/>
      <c r="I2156" s="27" t="str">
        <f>IFERROR(VLOOKUP(Tabulka2[[#This Row],[Pracovník]],DATA!A:L,11,0),"")</f>
        <v/>
      </c>
      <c r="J2156" s="16"/>
      <c r="K2156" s="19"/>
    </row>
    <row r="2157" spans="1:11" x14ac:dyDescent="0.25">
      <c r="A21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57" s="22">
        <v>45937</v>
      </c>
      <c r="C2157" s="16"/>
      <c r="D2157" s="16"/>
      <c r="E2157" s="17" t="str">
        <f>IFERROR(VLOOKUP(Tabulka2[[#This Row],[Pracovník]],DATA!A:L,5,0),"")</f>
        <v/>
      </c>
      <c r="F2157" s="12"/>
      <c r="G2157" s="16"/>
      <c r="H2157" s="18"/>
      <c r="I2157" s="27" t="str">
        <f>IFERROR(VLOOKUP(Tabulka2[[#This Row],[Pracovník]],DATA!A:L,11,0),"")</f>
        <v/>
      </c>
      <c r="J2157" s="16"/>
      <c r="K2157" s="19"/>
    </row>
    <row r="2158" spans="1:11" x14ac:dyDescent="0.25">
      <c r="A21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58" s="22">
        <v>45937</v>
      </c>
      <c r="C2158" s="16"/>
      <c r="D2158" s="16"/>
      <c r="E2158" s="17" t="str">
        <f>IFERROR(VLOOKUP(Tabulka2[[#This Row],[Pracovník]],DATA!A:L,5,0),"")</f>
        <v/>
      </c>
      <c r="F2158" s="12"/>
      <c r="G2158" s="16"/>
      <c r="H2158" s="18"/>
      <c r="I2158" s="27" t="str">
        <f>IFERROR(VLOOKUP(Tabulka2[[#This Row],[Pracovník]],DATA!A:L,11,0),"")</f>
        <v/>
      </c>
      <c r="J2158" s="16"/>
      <c r="K2158" s="19"/>
    </row>
    <row r="2159" spans="1:11" x14ac:dyDescent="0.25">
      <c r="A21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59" s="22">
        <v>45937</v>
      </c>
      <c r="C2159" s="16"/>
      <c r="D2159" s="16"/>
      <c r="E2159" s="17" t="str">
        <f>IFERROR(VLOOKUP(Tabulka2[[#This Row],[Pracovník]],DATA!A:L,5,0),"")</f>
        <v/>
      </c>
      <c r="F2159" s="12"/>
      <c r="G2159" s="16"/>
      <c r="H2159" s="18"/>
      <c r="I2159" s="27" t="str">
        <f>IFERROR(VLOOKUP(Tabulka2[[#This Row],[Pracovník]],DATA!A:L,11,0),"")</f>
        <v/>
      </c>
      <c r="J2159" s="16"/>
      <c r="K2159" s="19"/>
    </row>
    <row r="2160" spans="1:11" x14ac:dyDescent="0.25">
      <c r="A21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60" s="22">
        <v>45937</v>
      </c>
      <c r="C2160" s="16"/>
      <c r="D2160" s="16"/>
      <c r="E2160" s="17" t="str">
        <f>IFERROR(VLOOKUP(Tabulka2[[#This Row],[Pracovník]],DATA!A:L,5,0),"")</f>
        <v/>
      </c>
      <c r="F2160" s="12"/>
      <c r="G2160" s="16"/>
      <c r="H2160" s="18"/>
      <c r="I2160" s="27" t="str">
        <f>IFERROR(VLOOKUP(Tabulka2[[#This Row],[Pracovník]],DATA!A:L,11,0),"")</f>
        <v/>
      </c>
      <c r="J2160" s="16"/>
      <c r="K2160" s="19"/>
    </row>
    <row r="2161" spans="1:11" x14ac:dyDescent="0.25">
      <c r="A21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61" s="22">
        <v>45937</v>
      </c>
      <c r="C2161" s="16"/>
      <c r="D2161" s="16"/>
      <c r="E2161" s="17" t="str">
        <f>IFERROR(VLOOKUP(Tabulka2[[#This Row],[Pracovník]],DATA!A:L,5,0),"")</f>
        <v/>
      </c>
      <c r="F2161" s="12"/>
      <c r="G2161" s="16"/>
      <c r="H2161" s="18"/>
      <c r="I2161" s="27" t="str">
        <f>IFERROR(VLOOKUP(Tabulka2[[#This Row],[Pracovník]],DATA!A:L,11,0),"")</f>
        <v/>
      </c>
      <c r="J2161" s="16"/>
      <c r="K2161" s="19"/>
    </row>
    <row r="2162" spans="1:11" x14ac:dyDescent="0.25">
      <c r="A21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62" s="22">
        <v>45937</v>
      </c>
      <c r="C2162" s="16"/>
      <c r="D2162" s="16"/>
      <c r="E2162" s="17" t="str">
        <f>IFERROR(VLOOKUP(Tabulka2[[#This Row],[Pracovník]],DATA!A:L,5,0),"")</f>
        <v/>
      </c>
      <c r="F2162" s="12"/>
      <c r="G2162" s="16"/>
      <c r="H2162" s="18"/>
      <c r="I2162" s="27" t="str">
        <f>IFERROR(VLOOKUP(Tabulka2[[#This Row],[Pracovník]],DATA!A:L,11,0),"")</f>
        <v/>
      </c>
      <c r="J2162" s="16"/>
      <c r="K2162" s="19"/>
    </row>
    <row r="2163" spans="1:11" x14ac:dyDescent="0.25">
      <c r="A21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63" s="22">
        <v>45937</v>
      </c>
      <c r="C2163" s="16"/>
      <c r="D2163" s="16"/>
      <c r="E2163" s="17" t="str">
        <f>IFERROR(VLOOKUP(Tabulka2[[#This Row],[Pracovník]],DATA!A:L,5,0),"")</f>
        <v/>
      </c>
      <c r="F2163" s="12"/>
      <c r="G2163" s="16"/>
      <c r="H2163" s="18"/>
      <c r="I2163" s="27" t="str">
        <f>IFERROR(VLOOKUP(Tabulka2[[#This Row],[Pracovník]],DATA!A:L,11,0),"")</f>
        <v/>
      </c>
      <c r="J2163" s="16"/>
      <c r="K2163" s="19"/>
    </row>
    <row r="2164" spans="1:11" x14ac:dyDescent="0.25">
      <c r="A21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64" s="22">
        <v>45937</v>
      </c>
      <c r="C2164" s="16"/>
      <c r="D2164" s="16"/>
      <c r="E2164" s="17" t="str">
        <f>IFERROR(VLOOKUP(Tabulka2[[#This Row],[Pracovník]],DATA!A:L,5,0),"")</f>
        <v/>
      </c>
      <c r="F2164" s="12"/>
      <c r="G2164" s="16"/>
      <c r="H2164" s="18"/>
      <c r="I2164" s="27" t="str">
        <f>IFERROR(VLOOKUP(Tabulka2[[#This Row],[Pracovník]],DATA!A:L,11,0),"")</f>
        <v/>
      </c>
      <c r="J2164" s="16"/>
      <c r="K2164" s="19"/>
    </row>
    <row r="2165" spans="1:11" x14ac:dyDescent="0.25">
      <c r="A21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65" s="22">
        <v>45937</v>
      </c>
      <c r="C2165" s="16"/>
      <c r="D2165" s="16"/>
      <c r="E2165" s="17" t="str">
        <f>IFERROR(VLOOKUP(Tabulka2[[#This Row],[Pracovník]],DATA!A:L,5,0),"")</f>
        <v/>
      </c>
      <c r="F2165" s="12"/>
      <c r="G2165" s="16"/>
      <c r="H2165" s="18"/>
      <c r="I2165" s="27" t="str">
        <f>IFERROR(VLOOKUP(Tabulka2[[#This Row],[Pracovník]],DATA!A:L,11,0),"")</f>
        <v/>
      </c>
      <c r="J2165" s="16"/>
      <c r="K2165" s="19"/>
    </row>
    <row r="2166" spans="1:11" x14ac:dyDescent="0.25">
      <c r="A21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66" s="22">
        <v>45937</v>
      </c>
      <c r="C2166" s="16"/>
      <c r="D2166" s="16"/>
      <c r="E2166" s="17" t="str">
        <f>IFERROR(VLOOKUP(Tabulka2[[#This Row],[Pracovník]],DATA!A:L,5,0),"")</f>
        <v/>
      </c>
      <c r="F2166" s="12"/>
      <c r="G2166" s="16"/>
      <c r="H2166" s="18"/>
      <c r="I2166" s="27" t="str">
        <f>IFERROR(VLOOKUP(Tabulka2[[#This Row],[Pracovník]],DATA!A:L,11,0),"")</f>
        <v/>
      </c>
      <c r="J2166" s="16"/>
      <c r="K2166" s="19"/>
    </row>
    <row r="2167" spans="1:11" x14ac:dyDescent="0.25">
      <c r="A21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67" s="22">
        <v>45937</v>
      </c>
      <c r="C2167" s="16"/>
      <c r="D2167" s="16"/>
      <c r="E2167" s="17" t="str">
        <f>IFERROR(VLOOKUP(Tabulka2[[#This Row],[Pracovník]],DATA!A:L,5,0),"")</f>
        <v/>
      </c>
      <c r="F2167" s="12"/>
      <c r="G2167" s="16"/>
      <c r="H2167" s="18"/>
      <c r="I2167" s="27" t="str">
        <f>IFERROR(VLOOKUP(Tabulka2[[#This Row],[Pracovník]],DATA!A:L,11,0),"")</f>
        <v/>
      </c>
      <c r="J2167" s="16"/>
      <c r="K2167" s="19"/>
    </row>
    <row r="2168" spans="1:11" x14ac:dyDescent="0.25">
      <c r="A21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68" s="22">
        <v>45937</v>
      </c>
      <c r="C2168" s="16"/>
      <c r="D2168" s="16"/>
      <c r="E2168" s="17" t="str">
        <f>IFERROR(VLOOKUP(Tabulka2[[#This Row],[Pracovník]],DATA!A:L,5,0),"")</f>
        <v/>
      </c>
      <c r="F2168" s="12"/>
      <c r="G2168" s="16"/>
      <c r="H2168" s="18"/>
      <c r="I2168" s="27" t="str">
        <f>IFERROR(VLOOKUP(Tabulka2[[#This Row],[Pracovník]],DATA!A:L,11,0),"")</f>
        <v/>
      </c>
      <c r="J2168" s="16"/>
      <c r="K2168" s="19"/>
    </row>
    <row r="2169" spans="1:11" x14ac:dyDescent="0.25">
      <c r="A21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69" s="22">
        <v>45937</v>
      </c>
      <c r="C2169" s="16"/>
      <c r="D2169" s="16"/>
      <c r="E2169" s="17" t="str">
        <f>IFERROR(VLOOKUP(Tabulka2[[#This Row],[Pracovník]],DATA!A:L,5,0),"")</f>
        <v/>
      </c>
      <c r="F2169" s="12"/>
      <c r="G2169" s="16"/>
      <c r="H2169" s="18"/>
      <c r="I2169" s="27" t="str">
        <f>IFERROR(VLOOKUP(Tabulka2[[#This Row],[Pracovník]],DATA!A:L,11,0),"")</f>
        <v/>
      </c>
      <c r="J2169" s="16"/>
      <c r="K2169" s="19"/>
    </row>
    <row r="2170" spans="1:11" x14ac:dyDescent="0.25">
      <c r="A21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70" s="22">
        <v>45937</v>
      </c>
      <c r="C2170" s="16"/>
      <c r="D2170" s="16"/>
      <c r="E2170" s="17" t="str">
        <f>IFERROR(VLOOKUP(Tabulka2[[#This Row],[Pracovník]],DATA!A:L,5,0),"")</f>
        <v/>
      </c>
      <c r="F2170" s="12"/>
      <c r="G2170" s="16"/>
      <c r="H2170" s="18"/>
      <c r="I2170" s="27" t="str">
        <f>IFERROR(VLOOKUP(Tabulka2[[#This Row],[Pracovník]],DATA!A:L,11,0),"")</f>
        <v/>
      </c>
      <c r="J2170" s="16"/>
      <c r="K2170" s="19"/>
    </row>
    <row r="2171" spans="1:11" x14ac:dyDescent="0.25">
      <c r="A21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71" s="22">
        <v>45937</v>
      </c>
      <c r="C2171" s="16"/>
      <c r="D2171" s="16"/>
      <c r="E2171" s="17" t="str">
        <f>IFERROR(VLOOKUP(Tabulka2[[#This Row],[Pracovník]],DATA!A:L,5,0),"")</f>
        <v/>
      </c>
      <c r="F2171" s="12"/>
      <c r="G2171" s="16"/>
      <c r="H2171" s="18"/>
      <c r="I2171" s="27" t="str">
        <f>IFERROR(VLOOKUP(Tabulka2[[#This Row],[Pracovník]],DATA!A:L,11,0),"")</f>
        <v/>
      </c>
      <c r="J2171" s="16"/>
      <c r="K2171" s="19"/>
    </row>
    <row r="2172" spans="1:11" x14ac:dyDescent="0.25">
      <c r="A21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72" s="22">
        <v>45937</v>
      </c>
      <c r="C2172" s="16"/>
      <c r="D2172" s="16"/>
      <c r="E2172" s="17" t="str">
        <f>IFERROR(VLOOKUP(Tabulka2[[#This Row],[Pracovník]],DATA!A:L,5,0),"")</f>
        <v/>
      </c>
      <c r="F2172" s="12"/>
      <c r="G2172" s="16"/>
      <c r="H2172" s="18"/>
      <c r="I2172" s="27" t="str">
        <f>IFERROR(VLOOKUP(Tabulka2[[#This Row],[Pracovník]],DATA!A:L,11,0),"")</f>
        <v/>
      </c>
      <c r="J2172" s="16"/>
      <c r="K2172" s="19"/>
    </row>
    <row r="2173" spans="1:11" x14ac:dyDescent="0.25">
      <c r="A21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73" s="22">
        <v>45937</v>
      </c>
      <c r="C2173" s="16"/>
      <c r="D2173" s="16"/>
      <c r="E2173" s="17" t="str">
        <f>IFERROR(VLOOKUP(Tabulka2[[#This Row],[Pracovník]],DATA!A:L,5,0),"")</f>
        <v/>
      </c>
      <c r="F2173" s="12"/>
      <c r="G2173" s="16"/>
      <c r="H2173" s="18"/>
      <c r="I2173" s="27" t="str">
        <f>IFERROR(VLOOKUP(Tabulka2[[#This Row],[Pracovník]],DATA!A:L,11,0),"")</f>
        <v/>
      </c>
      <c r="J2173" s="16"/>
      <c r="K2173" s="19"/>
    </row>
    <row r="2174" spans="1:11" x14ac:dyDescent="0.25">
      <c r="A21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74" s="22">
        <v>45937</v>
      </c>
      <c r="C2174" s="16"/>
      <c r="D2174" s="16"/>
      <c r="E2174" s="17" t="str">
        <f>IFERROR(VLOOKUP(Tabulka2[[#This Row],[Pracovník]],DATA!A:L,5,0),"")</f>
        <v/>
      </c>
      <c r="F2174" s="12"/>
      <c r="G2174" s="16"/>
      <c r="H2174" s="18"/>
      <c r="I2174" s="27" t="str">
        <f>IFERROR(VLOOKUP(Tabulka2[[#This Row],[Pracovník]],DATA!A:L,11,0),"")</f>
        <v/>
      </c>
      <c r="J2174" s="16"/>
      <c r="K2174" s="19"/>
    </row>
    <row r="2175" spans="1:11" x14ac:dyDescent="0.25">
      <c r="A21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75" s="22">
        <v>45937</v>
      </c>
      <c r="C2175" s="16"/>
      <c r="D2175" s="16"/>
      <c r="E2175" s="17" t="str">
        <f>IFERROR(VLOOKUP(Tabulka2[[#This Row],[Pracovník]],DATA!A:L,5,0),"")</f>
        <v/>
      </c>
      <c r="F2175" s="12"/>
      <c r="G2175" s="16"/>
      <c r="H2175" s="18"/>
      <c r="I2175" s="27" t="str">
        <f>IFERROR(VLOOKUP(Tabulka2[[#This Row],[Pracovník]],DATA!A:L,11,0),"")</f>
        <v/>
      </c>
      <c r="J2175" s="16"/>
      <c r="K2175" s="19"/>
    </row>
    <row r="2176" spans="1:11" x14ac:dyDescent="0.25">
      <c r="A21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76" s="22">
        <v>45937</v>
      </c>
      <c r="C2176" s="16"/>
      <c r="D2176" s="16"/>
      <c r="E2176" s="17" t="str">
        <f>IFERROR(VLOOKUP(Tabulka2[[#This Row],[Pracovník]],DATA!A:L,5,0),"")</f>
        <v/>
      </c>
      <c r="F2176" s="12"/>
      <c r="G2176" s="16"/>
      <c r="H2176" s="18"/>
      <c r="I2176" s="27" t="str">
        <f>IFERROR(VLOOKUP(Tabulka2[[#This Row],[Pracovník]],DATA!A:L,11,0),"")</f>
        <v/>
      </c>
      <c r="J2176" s="16"/>
      <c r="K2176" s="19"/>
    </row>
    <row r="2177" spans="1:11" x14ac:dyDescent="0.25">
      <c r="A21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77" s="22">
        <v>45937</v>
      </c>
      <c r="C2177" s="16"/>
      <c r="D2177" s="16"/>
      <c r="E2177" s="17" t="str">
        <f>IFERROR(VLOOKUP(Tabulka2[[#This Row],[Pracovník]],DATA!A:L,5,0),"")</f>
        <v/>
      </c>
      <c r="F2177" s="12"/>
      <c r="G2177" s="16"/>
      <c r="H2177" s="18"/>
      <c r="I2177" s="27" t="str">
        <f>IFERROR(VLOOKUP(Tabulka2[[#This Row],[Pracovník]],DATA!A:L,11,0),"")</f>
        <v/>
      </c>
      <c r="J2177" s="16"/>
      <c r="K2177" s="19"/>
    </row>
    <row r="2178" spans="1:11" x14ac:dyDescent="0.25">
      <c r="A21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78" s="22">
        <v>45937</v>
      </c>
      <c r="C2178" s="16"/>
      <c r="D2178" s="16"/>
      <c r="E2178" s="17" t="str">
        <f>IFERROR(VLOOKUP(Tabulka2[[#This Row],[Pracovník]],DATA!A:L,5,0),"")</f>
        <v/>
      </c>
      <c r="F2178" s="12"/>
      <c r="G2178" s="16"/>
      <c r="H2178" s="18"/>
      <c r="I2178" s="27" t="str">
        <f>IFERROR(VLOOKUP(Tabulka2[[#This Row],[Pracovník]],DATA!A:L,11,0),"")</f>
        <v/>
      </c>
      <c r="J2178" s="16"/>
      <c r="K2178" s="19"/>
    </row>
    <row r="2179" spans="1:11" x14ac:dyDescent="0.25">
      <c r="A21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79" s="22">
        <v>45937</v>
      </c>
      <c r="C2179" s="16"/>
      <c r="D2179" s="16"/>
      <c r="E2179" s="17" t="str">
        <f>IFERROR(VLOOKUP(Tabulka2[[#This Row],[Pracovník]],DATA!A:L,5,0),"")</f>
        <v/>
      </c>
      <c r="F2179" s="12"/>
      <c r="G2179" s="16"/>
      <c r="H2179" s="18"/>
      <c r="I2179" s="27" t="str">
        <f>IFERROR(VLOOKUP(Tabulka2[[#This Row],[Pracovník]],DATA!A:L,11,0),"")</f>
        <v/>
      </c>
      <c r="J2179" s="16"/>
      <c r="K2179" s="19"/>
    </row>
    <row r="2180" spans="1:11" x14ac:dyDescent="0.25">
      <c r="A21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80" s="22">
        <v>45937</v>
      </c>
      <c r="C2180" s="16"/>
      <c r="D2180" s="16"/>
      <c r="E2180" s="17" t="str">
        <f>IFERROR(VLOOKUP(Tabulka2[[#This Row],[Pracovník]],DATA!A:L,5,0),"")</f>
        <v/>
      </c>
      <c r="F2180" s="12"/>
      <c r="G2180" s="16"/>
      <c r="H2180" s="18"/>
      <c r="I2180" s="27" t="str">
        <f>IFERROR(VLOOKUP(Tabulka2[[#This Row],[Pracovník]],DATA!A:L,11,0),"")</f>
        <v/>
      </c>
      <c r="J2180" s="16"/>
      <c r="K2180" s="19"/>
    </row>
    <row r="2181" spans="1:11" x14ac:dyDescent="0.25">
      <c r="A21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81" s="22">
        <v>45937</v>
      </c>
      <c r="C2181" s="16"/>
      <c r="D2181" s="16"/>
      <c r="E2181" s="17" t="str">
        <f>IFERROR(VLOOKUP(Tabulka2[[#This Row],[Pracovník]],DATA!A:L,5,0),"")</f>
        <v/>
      </c>
      <c r="F2181" s="12"/>
      <c r="G2181" s="16"/>
      <c r="H2181" s="18"/>
      <c r="I2181" s="27" t="str">
        <f>IFERROR(VLOOKUP(Tabulka2[[#This Row],[Pracovník]],DATA!A:L,11,0),"")</f>
        <v/>
      </c>
      <c r="J2181" s="16"/>
      <c r="K2181" s="19"/>
    </row>
    <row r="2182" spans="1:11" x14ac:dyDescent="0.25">
      <c r="A21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82" s="22">
        <v>45937</v>
      </c>
      <c r="C2182" s="16"/>
      <c r="D2182" s="16"/>
      <c r="E2182" s="17" t="str">
        <f>IFERROR(VLOOKUP(Tabulka2[[#This Row],[Pracovník]],DATA!A:L,5,0),"")</f>
        <v/>
      </c>
      <c r="F2182" s="12"/>
      <c r="G2182" s="16"/>
      <c r="H2182" s="18"/>
      <c r="I2182" s="27" t="str">
        <f>IFERROR(VLOOKUP(Tabulka2[[#This Row],[Pracovník]],DATA!A:L,11,0),"")</f>
        <v/>
      </c>
      <c r="J2182" s="16"/>
      <c r="K2182" s="19"/>
    </row>
    <row r="2183" spans="1:11" x14ac:dyDescent="0.25">
      <c r="A21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83" s="22">
        <v>45937</v>
      </c>
      <c r="C2183" s="16"/>
      <c r="D2183" s="16"/>
      <c r="E2183" s="17" t="str">
        <f>IFERROR(VLOOKUP(Tabulka2[[#This Row],[Pracovník]],DATA!A:L,5,0),"")</f>
        <v/>
      </c>
      <c r="F2183" s="12"/>
      <c r="G2183" s="16"/>
      <c r="H2183" s="18"/>
      <c r="I2183" s="27" t="str">
        <f>IFERROR(VLOOKUP(Tabulka2[[#This Row],[Pracovník]],DATA!A:L,11,0),"")</f>
        <v/>
      </c>
      <c r="J2183" s="16"/>
      <c r="K2183" s="19"/>
    </row>
    <row r="2184" spans="1:11" x14ac:dyDescent="0.25">
      <c r="A21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84" s="22">
        <v>45937</v>
      </c>
      <c r="C2184" s="16"/>
      <c r="D2184" s="16"/>
      <c r="E2184" s="17" t="str">
        <f>IFERROR(VLOOKUP(Tabulka2[[#This Row],[Pracovník]],DATA!A:L,5,0),"")</f>
        <v/>
      </c>
      <c r="F2184" s="12"/>
      <c r="G2184" s="16"/>
      <c r="H2184" s="18"/>
      <c r="I2184" s="27" t="str">
        <f>IFERROR(VLOOKUP(Tabulka2[[#This Row],[Pracovník]],DATA!A:L,11,0),"")</f>
        <v/>
      </c>
      <c r="J2184" s="16"/>
      <c r="K2184" s="19"/>
    </row>
    <row r="2185" spans="1:11" x14ac:dyDescent="0.25">
      <c r="A21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85" s="22">
        <v>45937</v>
      </c>
      <c r="C2185" s="16"/>
      <c r="D2185" s="16"/>
      <c r="E2185" s="17" t="str">
        <f>IFERROR(VLOOKUP(Tabulka2[[#This Row],[Pracovník]],DATA!A:L,5,0),"")</f>
        <v/>
      </c>
      <c r="F2185" s="12"/>
      <c r="G2185" s="16"/>
      <c r="H2185" s="18"/>
      <c r="I2185" s="27" t="str">
        <f>IFERROR(VLOOKUP(Tabulka2[[#This Row],[Pracovník]],DATA!A:L,11,0),"")</f>
        <v/>
      </c>
      <c r="J2185" s="16"/>
      <c r="K2185" s="19"/>
    </row>
    <row r="2186" spans="1:11" x14ac:dyDescent="0.25">
      <c r="A21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86" s="22">
        <v>45937</v>
      </c>
      <c r="C2186" s="16"/>
      <c r="D2186" s="16"/>
      <c r="E2186" s="17" t="str">
        <f>IFERROR(VLOOKUP(Tabulka2[[#This Row],[Pracovník]],DATA!A:L,5,0),"")</f>
        <v/>
      </c>
      <c r="F2186" s="12"/>
      <c r="G2186" s="16"/>
      <c r="H2186" s="18"/>
      <c r="I2186" s="27" t="str">
        <f>IFERROR(VLOOKUP(Tabulka2[[#This Row],[Pracovník]],DATA!A:L,11,0),"")</f>
        <v/>
      </c>
      <c r="J2186" s="16"/>
      <c r="K2186" s="19"/>
    </row>
    <row r="2187" spans="1:11" x14ac:dyDescent="0.25">
      <c r="A21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87" s="22">
        <v>45937</v>
      </c>
      <c r="C2187" s="16"/>
      <c r="D2187" s="16"/>
      <c r="E2187" s="17" t="str">
        <f>IFERROR(VLOOKUP(Tabulka2[[#This Row],[Pracovník]],DATA!A:L,5,0),"")</f>
        <v/>
      </c>
      <c r="F2187" s="12"/>
      <c r="G2187" s="16"/>
      <c r="H2187" s="18"/>
      <c r="I2187" s="27" t="str">
        <f>IFERROR(VLOOKUP(Tabulka2[[#This Row],[Pracovník]],DATA!A:L,11,0),"")</f>
        <v/>
      </c>
      <c r="J2187" s="16"/>
      <c r="K2187" s="19"/>
    </row>
    <row r="2188" spans="1:11" x14ac:dyDescent="0.25">
      <c r="A21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88" s="22">
        <v>45937</v>
      </c>
      <c r="C2188" s="16"/>
      <c r="D2188" s="16"/>
      <c r="E2188" s="17" t="str">
        <f>IFERROR(VLOOKUP(Tabulka2[[#This Row],[Pracovník]],DATA!A:L,5,0),"")</f>
        <v/>
      </c>
      <c r="F2188" s="12"/>
      <c r="G2188" s="16"/>
      <c r="H2188" s="18"/>
      <c r="I2188" s="27" t="str">
        <f>IFERROR(VLOOKUP(Tabulka2[[#This Row],[Pracovník]],DATA!A:L,11,0),"")</f>
        <v/>
      </c>
      <c r="J2188" s="16"/>
      <c r="K2188" s="19"/>
    </row>
    <row r="2189" spans="1:11" x14ac:dyDescent="0.25">
      <c r="A21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89" s="22">
        <v>45937</v>
      </c>
      <c r="C2189" s="16"/>
      <c r="D2189" s="16"/>
      <c r="E2189" s="17" t="str">
        <f>IFERROR(VLOOKUP(Tabulka2[[#This Row],[Pracovník]],DATA!A:L,5,0),"")</f>
        <v/>
      </c>
      <c r="F2189" s="12"/>
      <c r="G2189" s="16"/>
      <c r="H2189" s="18"/>
      <c r="I2189" s="27" t="str">
        <f>IFERROR(VLOOKUP(Tabulka2[[#This Row],[Pracovník]],DATA!A:L,11,0),"")</f>
        <v/>
      </c>
      <c r="J2189" s="16"/>
      <c r="K2189" s="19"/>
    </row>
    <row r="2190" spans="1:11" x14ac:dyDescent="0.25">
      <c r="A21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90" s="22">
        <v>45937</v>
      </c>
      <c r="C2190" s="16"/>
      <c r="D2190" s="16"/>
      <c r="E2190" s="17" t="str">
        <f>IFERROR(VLOOKUP(Tabulka2[[#This Row],[Pracovník]],DATA!A:L,5,0),"")</f>
        <v/>
      </c>
      <c r="F2190" s="12"/>
      <c r="G2190" s="16"/>
      <c r="H2190" s="18"/>
      <c r="I2190" s="27" t="str">
        <f>IFERROR(VLOOKUP(Tabulka2[[#This Row],[Pracovník]],DATA!A:L,11,0),"")</f>
        <v/>
      </c>
      <c r="J2190" s="16"/>
      <c r="K2190" s="19"/>
    </row>
    <row r="2191" spans="1:11" x14ac:dyDescent="0.25">
      <c r="A21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91" s="22">
        <v>45937</v>
      </c>
      <c r="C2191" s="16"/>
      <c r="D2191" s="16"/>
      <c r="E2191" s="17" t="str">
        <f>IFERROR(VLOOKUP(Tabulka2[[#This Row],[Pracovník]],DATA!A:L,5,0),"")</f>
        <v/>
      </c>
      <c r="F2191" s="12"/>
      <c r="G2191" s="16"/>
      <c r="H2191" s="18"/>
      <c r="I2191" s="27" t="str">
        <f>IFERROR(VLOOKUP(Tabulka2[[#This Row],[Pracovník]],DATA!A:L,11,0),"")</f>
        <v/>
      </c>
      <c r="J2191" s="16"/>
      <c r="K2191" s="19"/>
    </row>
    <row r="2192" spans="1:11" x14ac:dyDescent="0.25">
      <c r="A21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92" s="22">
        <v>45937</v>
      </c>
      <c r="C2192" s="16"/>
      <c r="D2192" s="16"/>
      <c r="E2192" s="17" t="str">
        <f>IFERROR(VLOOKUP(Tabulka2[[#This Row],[Pracovník]],DATA!A:L,5,0),"")</f>
        <v/>
      </c>
      <c r="F2192" s="12"/>
      <c r="G2192" s="16"/>
      <c r="H2192" s="18"/>
      <c r="I2192" s="27" t="str">
        <f>IFERROR(VLOOKUP(Tabulka2[[#This Row],[Pracovník]],DATA!A:L,11,0),"")</f>
        <v/>
      </c>
      <c r="J2192" s="16"/>
      <c r="K2192" s="19"/>
    </row>
    <row r="2193" spans="1:11" x14ac:dyDescent="0.25">
      <c r="A21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93" s="22">
        <v>45937</v>
      </c>
      <c r="C2193" s="16"/>
      <c r="D2193" s="16"/>
      <c r="E2193" s="17" t="str">
        <f>IFERROR(VLOOKUP(Tabulka2[[#This Row],[Pracovník]],DATA!A:L,5,0),"")</f>
        <v/>
      </c>
      <c r="F2193" s="12"/>
      <c r="G2193" s="16"/>
      <c r="H2193" s="18"/>
      <c r="I2193" s="27" t="str">
        <f>IFERROR(VLOOKUP(Tabulka2[[#This Row],[Pracovník]],DATA!A:L,11,0),"")</f>
        <v/>
      </c>
      <c r="J2193" s="16"/>
      <c r="K2193" s="19"/>
    </row>
    <row r="2194" spans="1:11" x14ac:dyDescent="0.25">
      <c r="A21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94" s="22">
        <v>45937</v>
      </c>
      <c r="C2194" s="16"/>
      <c r="D2194" s="16"/>
      <c r="E2194" s="17" t="str">
        <f>IFERROR(VLOOKUP(Tabulka2[[#This Row],[Pracovník]],DATA!A:L,5,0),"")</f>
        <v/>
      </c>
      <c r="F2194" s="12"/>
      <c r="G2194" s="16"/>
      <c r="H2194" s="18"/>
      <c r="I2194" s="27" t="str">
        <f>IFERROR(VLOOKUP(Tabulka2[[#This Row],[Pracovník]],DATA!A:L,11,0),"")</f>
        <v/>
      </c>
      <c r="J2194" s="16"/>
      <c r="K2194" s="19"/>
    </row>
    <row r="2195" spans="1:11" x14ac:dyDescent="0.25">
      <c r="A21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95" s="22">
        <v>45937</v>
      </c>
      <c r="C2195" s="16"/>
      <c r="D2195" s="16"/>
      <c r="E2195" s="17" t="str">
        <f>IFERROR(VLOOKUP(Tabulka2[[#This Row],[Pracovník]],DATA!A:L,5,0),"")</f>
        <v/>
      </c>
      <c r="F2195" s="12"/>
      <c r="G2195" s="16"/>
      <c r="H2195" s="18"/>
      <c r="I2195" s="27" t="str">
        <f>IFERROR(VLOOKUP(Tabulka2[[#This Row],[Pracovník]],DATA!A:L,11,0),"")</f>
        <v/>
      </c>
      <c r="J2195" s="16"/>
      <c r="K2195" s="19"/>
    </row>
    <row r="2196" spans="1:11" x14ac:dyDescent="0.25">
      <c r="A21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96" s="22">
        <v>45937</v>
      </c>
      <c r="C2196" s="16"/>
      <c r="D2196" s="16"/>
      <c r="E2196" s="17" t="str">
        <f>IFERROR(VLOOKUP(Tabulka2[[#This Row],[Pracovník]],DATA!A:L,5,0),"")</f>
        <v/>
      </c>
      <c r="F2196" s="12"/>
      <c r="G2196" s="16"/>
      <c r="H2196" s="18"/>
      <c r="I2196" s="27" t="str">
        <f>IFERROR(VLOOKUP(Tabulka2[[#This Row],[Pracovník]],DATA!A:L,11,0),"")</f>
        <v/>
      </c>
      <c r="J2196" s="16"/>
      <c r="K2196" s="19"/>
    </row>
    <row r="2197" spans="1:11" x14ac:dyDescent="0.25">
      <c r="A21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97" s="22">
        <v>45937</v>
      </c>
      <c r="C2197" s="16"/>
      <c r="D2197" s="16"/>
      <c r="E2197" s="17" t="str">
        <f>IFERROR(VLOOKUP(Tabulka2[[#This Row],[Pracovník]],DATA!A:L,5,0),"")</f>
        <v/>
      </c>
      <c r="F2197" s="12"/>
      <c r="G2197" s="16"/>
      <c r="H2197" s="18"/>
      <c r="I2197" s="27" t="str">
        <f>IFERROR(VLOOKUP(Tabulka2[[#This Row],[Pracovník]],DATA!A:L,11,0),"")</f>
        <v/>
      </c>
      <c r="J2197" s="16"/>
      <c r="K2197" s="19"/>
    </row>
    <row r="2198" spans="1:11" x14ac:dyDescent="0.25">
      <c r="A21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98" s="22">
        <v>45937</v>
      </c>
      <c r="C2198" s="16"/>
      <c r="D2198" s="16"/>
      <c r="E2198" s="17" t="str">
        <f>IFERROR(VLOOKUP(Tabulka2[[#This Row],[Pracovník]],DATA!A:L,5,0),"")</f>
        <v/>
      </c>
      <c r="F2198" s="12"/>
      <c r="G2198" s="16"/>
      <c r="H2198" s="18"/>
      <c r="I2198" s="27" t="str">
        <f>IFERROR(VLOOKUP(Tabulka2[[#This Row],[Pracovník]],DATA!A:L,11,0),"")</f>
        <v/>
      </c>
      <c r="J2198" s="16"/>
      <c r="K2198" s="19"/>
    </row>
    <row r="2199" spans="1:11" x14ac:dyDescent="0.25">
      <c r="A21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199" s="22">
        <v>45937</v>
      </c>
      <c r="C2199" s="16"/>
      <c r="D2199" s="16"/>
      <c r="E2199" s="17" t="str">
        <f>IFERROR(VLOOKUP(Tabulka2[[#This Row],[Pracovník]],DATA!A:L,5,0),"")</f>
        <v/>
      </c>
      <c r="F2199" s="12"/>
      <c r="G2199" s="16"/>
      <c r="H2199" s="18"/>
      <c r="I2199" s="27" t="str">
        <f>IFERROR(VLOOKUP(Tabulka2[[#This Row],[Pracovník]],DATA!A:L,11,0),"")</f>
        <v/>
      </c>
      <c r="J2199" s="16"/>
      <c r="K2199" s="19"/>
    </row>
    <row r="2200" spans="1:11" x14ac:dyDescent="0.25">
      <c r="A22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200" s="22">
        <v>45937</v>
      </c>
      <c r="C2200" s="16"/>
      <c r="D2200" s="16"/>
      <c r="E2200" s="17" t="str">
        <f>IFERROR(VLOOKUP(Tabulka2[[#This Row],[Pracovník]],DATA!A:L,5,0),"")</f>
        <v/>
      </c>
      <c r="F2200" s="12"/>
      <c r="G2200" s="16"/>
      <c r="H2200" s="18"/>
      <c r="I2200" s="27" t="str">
        <f>IFERROR(VLOOKUP(Tabulka2[[#This Row],[Pracovník]],DATA!A:L,11,0),"")</f>
        <v/>
      </c>
      <c r="J2200" s="16"/>
      <c r="K2200" s="19"/>
    </row>
    <row r="2201" spans="1:11" x14ac:dyDescent="0.25">
      <c r="A22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201" s="22">
        <v>45937</v>
      </c>
      <c r="C2201" s="16"/>
      <c r="D2201" s="16"/>
      <c r="E2201" s="17" t="str">
        <f>IFERROR(VLOOKUP(Tabulka2[[#This Row],[Pracovník]],DATA!A:L,5,0),"")</f>
        <v/>
      </c>
      <c r="F2201" s="12"/>
      <c r="G2201" s="16"/>
      <c r="H2201" s="18"/>
      <c r="I2201" s="27" t="str">
        <f>IFERROR(VLOOKUP(Tabulka2[[#This Row],[Pracovník]],DATA!A:L,11,0),"")</f>
        <v/>
      </c>
      <c r="J2201" s="16"/>
      <c r="K2201" s="19"/>
    </row>
    <row r="2202" spans="1:11" x14ac:dyDescent="0.25">
      <c r="A22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202" s="22">
        <v>45937</v>
      </c>
      <c r="C2202" s="16"/>
      <c r="D2202" s="16"/>
      <c r="E2202" s="17" t="str">
        <f>IFERROR(VLOOKUP(Tabulka2[[#This Row],[Pracovník]],DATA!A:L,5,0),"")</f>
        <v/>
      </c>
      <c r="F2202" s="12"/>
      <c r="G2202" s="16"/>
      <c r="H2202" s="18"/>
      <c r="I2202" s="27" t="str">
        <f>IFERROR(VLOOKUP(Tabulka2[[#This Row],[Pracovník]],DATA!A:L,11,0),"")</f>
        <v/>
      </c>
      <c r="J2202" s="16"/>
      <c r="K2202" s="19"/>
    </row>
    <row r="2203" spans="1:11" x14ac:dyDescent="0.25">
      <c r="A22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203" s="22">
        <v>45937</v>
      </c>
      <c r="C2203" s="16"/>
      <c r="D2203" s="16"/>
      <c r="E2203" s="17" t="str">
        <f>IFERROR(VLOOKUP(Tabulka2[[#This Row],[Pracovník]],DATA!A:L,5,0),"")</f>
        <v/>
      </c>
      <c r="F2203" s="12"/>
      <c r="G2203" s="16"/>
      <c r="H2203" s="18"/>
      <c r="I2203" s="27" t="str">
        <f>IFERROR(VLOOKUP(Tabulka2[[#This Row],[Pracovník]],DATA!A:L,11,0),"")</f>
        <v/>
      </c>
      <c r="J2203" s="16"/>
      <c r="K2203" s="19"/>
    </row>
    <row r="2204" spans="1:11" x14ac:dyDescent="0.25">
      <c r="A22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204" s="22">
        <v>45937</v>
      </c>
      <c r="C2204" s="16"/>
      <c r="D2204" s="16"/>
      <c r="E2204" s="17" t="str">
        <f>IFERROR(VLOOKUP(Tabulka2[[#This Row],[Pracovník]],DATA!A:L,5,0),"")</f>
        <v/>
      </c>
      <c r="F2204" s="12"/>
      <c r="G2204" s="16"/>
      <c r="H2204" s="18"/>
      <c r="I2204" s="27" t="str">
        <f>IFERROR(VLOOKUP(Tabulka2[[#This Row],[Pracovník]],DATA!A:L,11,0),"")</f>
        <v/>
      </c>
      <c r="J2204" s="16"/>
      <c r="K2204" s="19"/>
    </row>
    <row r="2205" spans="1:11" x14ac:dyDescent="0.25">
      <c r="A22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205" s="22">
        <v>45937</v>
      </c>
      <c r="C2205" s="16"/>
      <c r="D2205" s="16"/>
      <c r="E2205" s="17" t="str">
        <f>IFERROR(VLOOKUP(Tabulka2[[#This Row],[Pracovník]],DATA!A:L,5,0),"")</f>
        <v/>
      </c>
      <c r="F2205" s="12"/>
      <c r="G2205" s="16"/>
      <c r="H2205" s="18"/>
      <c r="I2205" s="27" t="str">
        <f>IFERROR(VLOOKUP(Tabulka2[[#This Row],[Pracovník]],DATA!A:L,11,0),"")</f>
        <v/>
      </c>
      <c r="J2205" s="16"/>
      <c r="K2205" s="19"/>
    </row>
    <row r="2206" spans="1:11" x14ac:dyDescent="0.25">
      <c r="A22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206" s="22">
        <v>45937</v>
      </c>
      <c r="C2206" s="16"/>
      <c r="D2206" s="16"/>
      <c r="E2206" s="17" t="str">
        <f>IFERROR(VLOOKUP(Tabulka2[[#This Row],[Pracovník]],DATA!A:L,5,0),"")</f>
        <v/>
      </c>
      <c r="F2206" s="12"/>
      <c r="G2206" s="16"/>
      <c r="H2206" s="18"/>
      <c r="I2206" s="27" t="str">
        <f>IFERROR(VLOOKUP(Tabulka2[[#This Row],[Pracovník]],DATA!A:L,11,0),"")</f>
        <v/>
      </c>
      <c r="J2206" s="16"/>
      <c r="K2206" s="19"/>
    </row>
    <row r="2207" spans="1:11" x14ac:dyDescent="0.25">
      <c r="A22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207" s="22">
        <v>45937</v>
      </c>
      <c r="C2207" s="16"/>
      <c r="D2207" s="16"/>
      <c r="E2207" s="17" t="str">
        <f>IFERROR(VLOOKUP(Tabulka2[[#This Row],[Pracovník]],DATA!A:L,5,0),"")</f>
        <v/>
      </c>
      <c r="F2207" s="12"/>
      <c r="G2207" s="16"/>
      <c r="H2207" s="18"/>
      <c r="I2207" s="27" t="str">
        <f>IFERROR(VLOOKUP(Tabulka2[[#This Row],[Pracovník]],DATA!A:L,11,0),"")</f>
        <v/>
      </c>
      <c r="J2207" s="16"/>
      <c r="K2207" s="19"/>
    </row>
    <row r="2208" spans="1:11" x14ac:dyDescent="0.25">
      <c r="A22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208" s="22">
        <v>45937</v>
      </c>
      <c r="C2208" s="16"/>
      <c r="D2208" s="16"/>
      <c r="E2208" s="17" t="str">
        <f>IFERROR(VLOOKUP(Tabulka2[[#This Row],[Pracovník]],DATA!A:L,5,0),"")</f>
        <v/>
      </c>
      <c r="F2208" s="12"/>
      <c r="G2208" s="16"/>
      <c r="H2208" s="18"/>
      <c r="I2208" s="27" t="str">
        <f>IFERROR(VLOOKUP(Tabulka2[[#This Row],[Pracovník]],DATA!A:L,11,0),"")</f>
        <v/>
      </c>
      <c r="J2208" s="16"/>
      <c r="K2208" s="19"/>
    </row>
    <row r="2209" spans="1:11" x14ac:dyDescent="0.25">
      <c r="A22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209" s="22">
        <v>45937</v>
      </c>
      <c r="C2209" s="16"/>
      <c r="D2209" s="16"/>
      <c r="E2209" s="17" t="str">
        <f>IFERROR(VLOOKUP(Tabulka2[[#This Row],[Pracovník]],DATA!A:L,5,0),"")</f>
        <v/>
      </c>
      <c r="F2209" s="12"/>
      <c r="G2209" s="16"/>
      <c r="H2209" s="18"/>
      <c r="I2209" s="27" t="str">
        <f>IFERROR(VLOOKUP(Tabulka2[[#This Row],[Pracovník]],DATA!A:L,11,0),"")</f>
        <v/>
      </c>
      <c r="J2209" s="16"/>
      <c r="K2209" s="19"/>
    </row>
    <row r="2210" spans="1:11" x14ac:dyDescent="0.25">
      <c r="A22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210" s="22">
        <v>45937</v>
      </c>
      <c r="C2210" s="16"/>
      <c r="D2210" s="16"/>
      <c r="E2210" s="17" t="str">
        <f>IFERROR(VLOOKUP(Tabulka2[[#This Row],[Pracovník]],DATA!A:L,5,0),"")</f>
        <v/>
      </c>
      <c r="F2210" s="12"/>
      <c r="G2210" s="16"/>
      <c r="H2210" s="18"/>
      <c r="I2210" s="27" t="str">
        <f>IFERROR(VLOOKUP(Tabulka2[[#This Row],[Pracovník]],DATA!A:L,11,0),"")</f>
        <v/>
      </c>
      <c r="J2210" s="16"/>
      <c r="K2210" s="19"/>
    </row>
    <row r="2211" spans="1:11" x14ac:dyDescent="0.25">
      <c r="A22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>!!! Vyplň FIRMU !!!</v>
      </c>
      <c r="B2211" s="22">
        <v>45937</v>
      </c>
      <c r="C2211" s="16"/>
      <c r="D2211" s="16"/>
      <c r="E2211" s="17" t="str">
        <f>IFERROR(VLOOKUP(Tabulka2[[#This Row],[Pracovník]],DATA!A:L,5,0),"")</f>
        <v/>
      </c>
      <c r="F2211" s="12"/>
      <c r="G2211" s="16"/>
      <c r="H2211" s="18"/>
      <c r="I2211" s="27" t="str">
        <f>IFERROR(VLOOKUP(Tabulka2[[#This Row],[Pracovník]],DATA!A:L,11,0),"")</f>
        <v/>
      </c>
      <c r="J2211" s="16"/>
      <c r="K2211" s="19"/>
    </row>
    <row r="2212" spans="1:11" x14ac:dyDescent="0.25">
      <c r="A22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13" spans="1:11" x14ac:dyDescent="0.25">
      <c r="A22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14" spans="1:11" x14ac:dyDescent="0.25">
      <c r="A22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15" spans="1:11" x14ac:dyDescent="0.25">
      <c r="A22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16" spans="1:11" x14ac:dyDescent="0.25">
      <c r="A22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17" spans="1:11" x14ac:dyDescent="0.25">
      <c r="A22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18" spans="1:11" x14ac:dyDescent="0.25">
      <c r="A22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19" spans="1:11" x14ac:dyDescent="0.25">
      <c r="A22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20" spans="1:11" x14ac:dyDescent="0.25">
      <c r="A22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21" spans="1:11" x14ac:dyDescent="0.25">
      <c r="A22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22" spans="1:11" x14ac:dyDescent="0.25">
      <c r="A22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23" spans="1:11" x14ac:dyDescent="0.25">
      <c r="A22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24" spans="1:11" x14ac:dyDescent="0.25">
      <c r="A22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25" spans="1:1" x14ac:dyDescent="0.25">
      <c r="A22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26" spans="1:1" x14ac:dyDescent="0.25">
      <c r="A22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27" spans="1:1" x14ac:dyDescent="0.25">
      <c r="A22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28" spans="1:1" x14ac:dyDescent="0.25">
      <c r="A22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29" spans="1:1" x14ac:dyDescent="0.25">
      <c r="A22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30" spans="1:1" x14ac:dyDescent="0.25">
      <c r="A22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31" spans="1:1" x14ac:dyDescent="0.25">
      <c r="A22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32" spans="1:1" x14ac:dyDescent="0.25">
      <c r="A22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33" spans="1:1" x14ac:dyDescent="0.25">
      <c r="A22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34" spans="1:1" x14ac:dyDescent="0.25">
      <c r="A22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35" spans="1:1" x14ac:dyDescent="0.25">
      <c r="A22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36" spans="1:1" x14ac:dyDescent="0.25">
      <c r="A22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37" spans="1:1" x14ac:dyDescent="0.25">
      <c r="A22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38" spans="1:1" x14ac:dyDescent="0.25">
      <c r="A22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39" spans="1:1" x14ac:dyDescent="0.25">
      <c r="A22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40" spans="1:1" x14ac:dyDescent="0.25">
      <c r="A22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41" spans="1:1" x14ac:dyDescent="0.25">
      <c r="A22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42" spans="1:1" x14ac:dyDescent="0.25">
      <c r="A22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43" spans="1:1" x14ac:dyDescent="0.25">
      <c r="A22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44" spans="1:1" x14ac:dyDescent="0.25">
      <c r="A22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45" spans="1:1" x14ac:dyDescent="0.25">
      <c r="A22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46" spans="1:1" x14ac:dyDescent="0.25">
      <c r="A22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47" spans="1:1" x14ac:dyDescent="0.25">
      <c r="A22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48" spans="1:1" x14ac:dyDescent="0.25">
      <c r="A22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49" spans="1:1" x14ac:dyDescent="0.25">
      <c r="A22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50" spans="1:1" x14ac:dyDescent="0.25">
      <c r="A22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51" spans="1:1" x14ac:dyDescent="0.25">
      <c r="A22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52" spans="1:1" x14ac:dyDescent="0.25">
      <c r="A22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53" spans="1:1" x14ac:dyDescent="0.25">
      <c r="A22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54" spans="1:1" x14ac:dyDescent="0.25">
      <c r="A22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55" spans="1:1" x14ac:dyDescent="0.25">
      <c r="A22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56" spans="1:1" x14ac:dyDescent="0.25">
      <c r="A22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57" spans="1:1" x14ac:dyDescent="0.25">
      <c r="A22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58" spans="1:1" x14ac:dyDescent="0.25">
      <c r="A22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59" spans="1:1" x14ac:dyDescent="0.25">
      <c r="A22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60" spans="1:1" x14ac:dyDescent="0.25">
      <c r="A22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61" spans="1:1" x14ac:dyDescent="0.25">
      <c r="A22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62" spans="1:1" x14ac:dyDescent="0.25">
      <c r="A22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63" spans="1:1" x14ac:dyDescent="0.25">
      <c r="A22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64" spans="1:1" x14ac:dyDescent="0.25">
      <c r="A22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65" spans="1:1" x14ac:dyDescent="0.25">
      <c r="A22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66" spans="1:1" x14ac:dyDescent="0.25">
      <c r="A22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67" spans="1:1" x14ac:dyDescent="0.25">
      <c r="A22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68" spans="1:1" x14ac:dyDescent="0.25">
      <c r="A22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69" spans="1:1" x14ac:dyDescent="0.25">
      <c r="A22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70" spans="1:1" x14ac:dyDescent="0.25">
      <c r="A22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71" spans="1:1" x14ac:dyDescent="0.25">
      <c r="A22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72" spans="1:1" x14ac:dyDescent="0.25">
      <c r="A22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73" spans="1:1" x14ac:dyDescent="0.25">
      <c r="A22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74" spans="1:1" x14ac:dyDescent="0.25">
      <c r="A22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75" spans="1:1" x14ac:dyDescent="0.25">
      <c r="A22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76" spans="1:1" x14ac:dyDescent="0.25">
      <c r="A22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77" spans="1:1" x14ac:dyDescent="0.25">
      <c r="A22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78" spans="1:1" x14ac:dyDescent="0.25">
      <c r="A22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79" spans="1:1" x14ac:dyDescent="0.25">
      <c r="A22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80" spans="1:1" x14ac:dyDescent="0.25">
      <c r="A22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81" spans="1:1" x14ac:dyDescent="0.25">
      <c r="A22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82" spans="1:1" x14ac:dyDescent="0.25">
      <c r="A22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83" spans="1:1" x14ac:dyDescent="0.25">
      <c r="A22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84" spans="1:1" x14ac:dyDescent="0.25">
      <c r="A22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85" spans="1:1" x14ac:dyDescent="0.25">
      <c r="A22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86" spans="1:1" x14ac:dyDescent="0.25">
      <c r="A22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87" spans="1:1" x14ac:dyDescent="0.25">
      <c r="A22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88" spans="1:1" x14ac:dyDescent="0.25">
      <c r="A22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89" spans="1:1" x14ac:dyDescent="0.25">
      <c r="A22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90" spans="1:1" x14ac:dyDescent="0.25">
      <c r="A22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91" spans="1:1" x14ac:dyDescent="0.25">
      <c r="A22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92" spans="1:1" x14ac:dyDescent="0.25">
      <c r="A22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93" spans="1:1" x14ac:dyDescent="0.25">
      <c r="A22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94" spans="1:1" x14ac:dyDescent="0.25">
      <c r="A22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95" spans="1:1" x14ac:dyDescent="0.25">
      <c r="A22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96" spans="1:1" x14ac:dyDescent="0.25">
      <c r="A22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97" spans="1:1" x14ac:dyDescent="0.25">
      <c r="A22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98" spans="1:1" x14ac:dyDescent="0.25">
      <c r="A22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299" spans="1:1" x14ac:dyDescent="0.25">
      <c r="A22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00" spans="1:1" x14ac:dyDescent="0.25">
      <c r="A23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01" spans="1:1" x14ac:dyDescent="0.25">
      <c r="A23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02" spans="1:1" x14ac:dyDescent="0.25">
      <c r="A23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03" spans="1:1" x14ac:dyDescent="0.25">
      <c r="A23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04" spans="1:1" x14ac:dyDescent="0.25">
      <c r="A23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05" spans="1:1" x14ac:dyDescent="0.25">
      <c r="A23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06" spans="1:1" x14ac:dyDescent="0.25">
      <c r="A23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07" spans="1:1" x14ac:dyDescent="0.25">
      <c r="A23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08" spans="1:1" x14ac:dyDescent="0.25">
      <c r="A23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09" spans="1:1" x14ac:dyDescent="0.25">
      <c r="A23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10" spans="1:1" x14ac:dyDescent="0.25">
      <c r="A23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11" spans="1:1" x14ac:dyDescent="0.25">
      <c r="A23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12" spans="1:1" x14ac:dyDescent="0.25">
      <c r="A23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13" spans="1:1" x14ac:dyDescent="0.25">
      <c r="A23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14" spans="1:1" x14ac:dyDescent="0.25">
      <c r="A23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15" spans="1:1" x14ac:dyDescent="0.25">
      <c r="A23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16" spans="1:1" x14ac:dyDescent="0.25">
      <c r="A23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17" spans="1:1" x14ac:dyDescent="0.25">
      <c r="A23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18" spans="1:1" x14ac:dyDescent="0.25">
      <c r="A23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19" spans="1:1" x14ac:dyDescent="0.25">
      <c r="A23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20" spans="1:1" x14ac:dyDescent="0.25">
      <c r="A23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21" spans="1:1" x14ac:dyDescent="0.25">
      <c r="A23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22" spans="1:1" x14ac:dyDescent="0.25">
      <c r="A23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23" spans="1:1" x14ac:dyDescent="0.25">
      <c r="A23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24" spans="1:1" x14ac:dyDescent="0.25">
      <c r="A23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25" spans="1:1" x14ac:dyDescent="0.25">
      <c r="A23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26" spans="1:1" x14ac:dyDescent="0.25">
      <c r="A23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27" spans="1:1" x14ac:dyDescent="0.25">
      <c r="A23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28" spans="1:1" x14ac:dyDescent="0.25">
      <c r="A23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29" spans="1:1" x14ac:dyDescent="0.25">
      <c r="A23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30" spans="1:1" x14ac:dyDescent="0.25">
      <c r="A23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31" spans="1:1" x14ac:dyDescent="0.25">
      <c r="A23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32" spans="1:1" x14ac:dyDescent="0.25">
      <c r="A23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33" spans="1:1" x14ac:dyDescent="0.25">
      <c r="A23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34" spans="1:1" x14ac:dyDescent="0.25">
      <c r="A23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35" spans="1:1" x14ac:dyDescent="0.25">
      <c r="A23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36" spans="1:1" x14ac:dyDescent="0.25">
      <c r="A23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37" spans="1:1" x14ac:dyDescent="0.25">
      <c r="A23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38" spans="1:1" x14ac:dyDescent="0.25">
      <c r="A23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39" spans="1:1" x14ac:dyDescent="0.25">
      <c r="A23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40" spans="1:1" x14ac:dyDescent="0.25">
      <c r="A23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41" spans="1:1" x14ac:dyDescent="0.25">
      <c r="A23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42" spans="1:1" x14ac:dyDescent="0.25">
      <c r="A23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43" spans="1:1" x14ac:dyDescent="0.25">
      <c r="A23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44" spans="1:1" x14ac:dyDescent="0.25">
      <c r="A23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45" spans="1:1" x14ac:dyDescent="0.25">
      <c r="A23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46" spans="1:1" x14ac:dyDescent="0.25">
      <c r="A23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47" spans="1:1" x14ac:dyDescent="0.25">
      <c r="A23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48" spans="1:1" x14ac:dyDescent="0.25">
      <c r="A23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49" spans="1:1" x14ac:dyDescent="0.25">
      <c r="A23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50" spans="1:1" x14ac:dyDescent="0.25">
      <c r="A23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51" spans="1:1" x14ac:dyDescent="0.25">
      <c r="A23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52" spans="1:1" x14ac:dyDescent="0.25">
      <c r="A23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53" spans="1:1" x14ac:dyDescent="0.25">
      <c r="A23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54" spans="1:1" x14ac:dyDescent="0.25">
      <c r="A23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55" spans="1:1" x14ac:dyDescent="0.25">
      <c r="A23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56" spans="1:1" x14ac:dyDescent="0.25">
      <c r="A23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57" spans="1:1" x14ac:dyDescent="0.25">
      <c r="A23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58" spans="1:1" x14ac:dyDescent="0.25">
      <c r="A23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59" spans="1:1" x14ac:dyDescent="0.25">
      <c r="A23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60" spans="1:1" x14ac:dyDescent="0.25">
      <c r="A23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61" spans="1:1" x14ac:dyDescent="0.25">
      <c r="A23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62" spans="1:1" x14ac:dyDescent="0.25">
      <c r="A23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63" spans="1:1" x14ac:dyDescent="0.25">
      <c r="A23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64" spans="1:1" x14ac:dyDescent="0.25">
      <c r="A23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65" spans="1:1" x14ac:dyDescent="0.25">
      <c r="A23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66" spans="1:1" x14ac:dyDescent="0.25">
      <c r="A23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67" spans="1:1" x14ac:dyDescent="0.25">
      <c r="A23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68" spans="1:1" x14ac:dyDescent="0.25">
      <c r="A23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69" spans="1:1" x14ac:dyDescent="0.25">
      <c r="A23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70" spans="1:1" x14ac:dyDescent="0.25">
      <c r="A23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71" spans="1:1" x14ac:dyDescent="0.25">
      <c r="A23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72" spans="1:1" x14ac:dyDescent="0.25">
      <c r="A23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73" spans="1:1" x14ac:dyDescent="0.25">
      <c r="A23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74" spans="1:1" x14ac:dyDescent="0.25">
      <c r="A23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75" spans="1:1" x14ac:dyDescent="0.25">
      <c r="A23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76" spans="1:1" x14ac:dyDescent="0.25">
      <c r="A23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77" spans="1:1" x14ac:dyDescent="0.25">
      <c r="A23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78" spans="1:1" x14ac:dyDescent="0.25">
      <c r="A23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79" spans="1:1" x14ac:dyDescent="0.25">
      <c r="A23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80" spans="1:1" x14ac:dyDescent="0.25">
      <c r="A23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81" spans="1:1" x14ac:dyDescent="0.25">
      <c r="A23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82" spans="1:1" x14ac:dyDescent="0.25">
      <c r="A23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83" spans="1:1" x14ac:dyDescent="0.25">
      <c r="A23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84" spans="1:1" x14ac:dyDescent="0.25">
      <c r="A23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85" spans="1:1" x14ac:dyDescent="0.25">
      <c r="A23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86" spans="1:1" x14ac:dyDescent="0.25">
      <c r="A23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87" spans="1:1" x14ac:dyDescent="0.25">
      <c r="A23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88" spans="1:1" x14ac:dyDescent="0.25">
      <c r="A23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89" spans="1:1" x14ac:dyDescent="0.25">
      <c r="A23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90" spans="1:1" x14ac:dyDescent="0.25">
      <c r="A23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91" spans="1:1" x14ac:dyDescent="0.25">
      <c r="A23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92" spans="1:1" x14ac:dyDescent="0.25">
      <c r="A23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93" spans="1:1" x14ac:dyDescent="0.25">
      <c r="A23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94" spans="1:1" x14ac:dyDescent="0.25">
      <c r="A23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95" spans="1:1" x14ac:dyDescent="0.25">
      <c r="A23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96" spans="1:1" x14ac:dyDescent="0.25">
      <c r="A23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97" spans="1:1" x14ac:dyDescent="0.25">
      <c r="A23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98" spans="1:1" x14ac:dyDescent="0.25">
      <c r="A23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399" spans="1:1" x14ac:dyDescent="0.25">
      <c r="A23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00" spans="1:1" x14ac:dyDescent="0.25">
      <c r="A24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01" spans="1:1" x14ac:dyDescent="0.25">
      <c r="A24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02" spans="1:1" x14ac:dyDescent="0.25">
      <c r="A24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03" spans="1:1" x14ac:dyDescent="0.25">
      <c r="A24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04" spans="1:1" x14ac:dyDescent="0.25">
      <c r="A24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05" spans="1:1" x14ac:dyDescent="0.25">
      <c r="A24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06" spans="1:1" x14ac:dyDescent="0.25">
      <c r="A24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07" spans="1:1" x14ac:dyDescent="0.25">
      <c r="A24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08" spans="1:1" x14ac:dyDescent="0.25">
      <c r="A24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09" spans="1:1" x14ac:dyDescent="0.25">
      <c r="A24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10" spans="1:1" x14ac:dyDescent="0.25">
      <c r="A24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11" spans="1:1" x14ac:dyDescent="0.25">
      <c r="A24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12" spans="1:1" x14ac:dyDescent="0.25">
      <c r="A24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13" spans="1:1" x14ac:dyDescent="0.25">
      <c r="A24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14" spans="1:1" x14ac:dyDescent="0.25">
      <c r="A24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15" spans="1:1" x14ac:dyDescent="0.25">
      <c r="A24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16" spans="1:1" x14ac:dyDescent="0.25">
      <c r="A24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17" spans="1:1" x14ac:dyDescent="0.25">
      <c r="A24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18" spans="1:1" x14ac:dyDescent="0.25">
      <c r="A24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19" spans="1:1" x14ac:dyDescent="0.25">
      <c r="A24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20" spans="1:1" x14ac:dyDescent="0.25">
      <c r="A24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21" spans="1:1" x14ac:dyDescent="0.25">
      <c r="A24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22" spans="1:1" x14ac:dyDescent="0.25">
      <c r="A24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23" spans="1:1" x14ac:dyDescent="0.25">
      <c r="A24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24" spans="1:1" x14ac:dyDescent="0.25">
      <c r="A24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25" spans="1:1" x14ac:dyDescent="0.25">
      <c r="A24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26" spans="1:1" x14ac:dyDescent="0.25">
      <c r="A24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27" spans="1:1" x14ac:dyDescent="0.25">
      <c r="A24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28" spans="1:1" x14ac:dyDescent="0.25">
      <c r="A24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29" spans="1:1" x14ac:dyDescent="0.25">
      <c r="A24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30" spans="1:1" x14ac:dyDescent="0.25">
      <c r="A24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31" spans="1:1" x14ac:dyDescent="0.25">
      <c r="A24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32" spans="1:1" x14ac:dyDescent="0.25">
      <c r="A24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33" spans="1:1" x14ac:dyDescent="0.25">
      <c r="A24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34" spans="1:1" x14ac:dyDescent="0.25">
      <c r="A24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35" spans="1:1" x14ac:dyDescent="0.25">
      <c r="A24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36" spans="1:1" x14ac:dyDescent="0.25">
      <c r="A24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37" spans="1:1" x14ac:dyDescent="0.25">
      <c r="A24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38" spans="1:1" x14ac:dyDescent="0.25">
      <c r="A24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39" spans="1:1" x14ac:dyDescent="0.25">
      <c r="A24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40" spans="1:1" x14ac:dyDescent="0.25">
      <c r="A24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41" spans="1:1" x14ac:dyDescent="0.25">
      <c r="A24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42" spans="1:1" x14ac:dyDescent="0.25">
      <c r="A24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43" spans="1:1" x14ac:dyDescent="0.25">
      <c r="A24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44" spans="1:1" x14ac:dyDescent="0.25">
      <c r="A24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45" spans="1:1" x14ac:dyDescent="0.25">
      <c r="A24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46" spans="1:1" x14ac:dyDescent="0.25">
      <c r="A24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47" spans="1:1" x14ac:dyDescent="0.25">
      <c r="A24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48" spans="1:1" x14ac:dyDescent="0.25">
      <c r="A24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49" spans="1:1" x14ac:dyDescent="0.25">
      <c r="A24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50" spans="1:1" x14ac:dyDescent="0.25">
      <c r="A24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51" spans="1:1" x14ac:dyDescent="0.25">
      <c r="A24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52" spans="1:1" x14ac:dyDescent="0.25">
      <c r="A24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53" spans="1:1" x14ac:dyDescent="0.25">
      <c r="A24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54" spans="1:1" x14ac:dyDescent="0.25">
      <c r="A24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55" spans="1:1" x14ac:dyDescent="0.25">
      <c r="A24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56" spans="1:1" x14ac:dyDescent="0.25">
      <c r="A24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57" spans="1:1" x14ac:dyDescent="0.25">
      <c r="A24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58" spans="1:1" x14ac:dyDescent="0.25">
      <c r="A24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59" spans="1:1" x14ac:dyDescent="0.25">
      <c r="A24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60" spans="1:1" x14ac:dyDescent="0.25">
      <c r="A24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61" spans="1:1" x14ac:dyDescent="0.25">
      <c r="A24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62" spans="1:1" x14ac:dyDescent="0.25">
      <c r="A24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63" spans="1:1" x14ac:dyDescent="0.25">
      <c r="A24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64" spans="1:1" x14ac:dyDescent="0.25">
      <c r="A24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65" spans="1:1" x14ac:dyDescent="0.25">
      <c r="A24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66" spans="1:1" x14ac:dyDescent="0.25">
      <c r="A24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67" spans="1:1" x14ac:dyDescent="0.25">
      <c r="A24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68" spans="1:1" x14ac:dyDescent="0.25">
      <c r="A24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69" spans="1:1" x14ac:dyDescent="0.25">
      <c r="A24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70" spans="1:1" x14ac:dyDescent="0.25">
      <c r="A24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71" spans="1:1" x14ac:dyDescent="0.25">
      <c r="A24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72" spans="1:1" x14ac:dyDescent="0.25">
      <c r="A24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73" spans="1:1" x14ac:dyDescent="0.25">
      <c r="A24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74" spans="1:1" x14ac:dyDescent="0.25">
      <c r="A24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75" spans="1:1" x14ac:dyDescent="0.25">
      <c r="A24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76" spans="1:1" x14ac:dyDescent="0.25">
      <c r="A24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77" spans="1:1" x14ac:dyDescent="0.25">
      <c r="A24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78" spans="1:1" x14ac:dyDescent="0.25">
      <c r="A24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79" spans="1:1" x14ac:dyDescent="0.25">
      <c r="A24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80" spans="1:1" x14ac:dyDescent="0.25">
      <c r="A24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81" spans="1:1" x14ac:dyDescent="0.25">
      <c r="A24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82" spans="1:1" x14ac:dyDescent="0.25">
      <c r="A24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83" spans="1:1" x14ac:dyDescent="0.25">
      <c r="A24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84" spans="1:1" x14ac:dyDescent="0.25">
      <c r="A24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85" spans="1:1" x14ac:dyDescent="0.25">
      <c r="A24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86" spans="1:1" x14ac:dyDescent="0.25">
      <c r="A24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87" spans="1:1" x14ac:dyDescent="0.25">
      <c r="A24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88" spans="1:1" x14ac:dyDescent="0.25">
      <c r="A24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89" spans="1:1" x14ac:dyDescent="0.25">
      <c r="A24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90" spans="1:1" x14ac:dyDescent="0.25">
      <c r="A24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91" spans="1:1" x14ac:dyDescent="0.25">
      <c r="A24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92" spans="1:1" x14ac:dyDescent="0.25">
      <c r="A24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93" spans="1:1" x14ac:dyDescent="0.25">
      <c r="A24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94" spans="1:1" x14ac:dyDescent="0.25">
      <c r="A24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95" spans="1:1" x14ac:dyDescent="0.25">
      <c r="A24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96" spans="1:1" x14ac:dyDescent="0.25">
      <c r="A24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97" spans="1:1" x14ac:dyDescent="0.25">
      <c r="A24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98" spans="1:1" x14ac:dyDescent="0.25">
      <c r="A24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499" spans="1:1" x14ac:dyDescent="0.25">
      <c r="A24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00" spans="1:1" x14ac:dyDescent="0.25">
      <c r="A25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01" spans="1:1" x14ac:dyDescent="0.25">
      <c r="A25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02" spans="1:1" x14ac:dyDescent="0.25">
      <c r="A25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03" spans="1:1" x14ac:dyDescent="0.25">
      <c r="A25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04" spans="1:1" x14ac:dyDescent="0.25">
      <c r="A25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05" spans="1:1" x14ac:dyDescent="0.25">
      <c r="A25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06" spans="1:1" x14ac:dyDescent="0.25">
      <c r="A25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07" spans="1:1" x14ac:dyDescent="0.25">
      <c r="A25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08" spans="1:1" x14ac:dyDescent="0.25">
      <c r="A25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09" spans="1:1" x14ac:dyDescent="0.25">
      <c r="A25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10" spans="1:1" x14ac:dyDescent="0.25">
      <c r="A25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11" spans="1:1" x14ac:dyDescent="0.25">
      <c r="A25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12" spans="1:1" x14ac:dyDescent="0.25">
      <c r="A25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13" spans="1:1" x14ac:dyDescent="0.25">
      <c r="A25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14" spans="1:1" x14ac:dyDescent="0.25">
      <c r="A25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15" spans="1:1" x14ac:dyDescent="0.25">
      <c r="A25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16" spans="1:1" x14ac:dyDescent="0.25">
      <c r="A25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17" spans="1:1" x14ac:dyDescent="0.25">
      <c r="A25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18" spans="1:1" x14ac:dyDescent="0.25">
      <c r="A25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19" spans="1:1" x14ac:dyDescent="0.25">
      <c r="A25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20" spans="1:1" x14ac:dyDescent="0.25">
      <c r="A25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21" spans="1:1" x14ac:dyDescent="0.25">
      <c r="A25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22" spans="1:1" x14ac:dyDescent="0.25">
      <c r="A25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23" spans="1:1" x14ac:dyDescent="0.25">
      <c r="A25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24" spans="1:1" x14ac:dyDescent="0.25">
      <c r="A25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25" spans="1:1" x14ac:dyDescent="0.25">
      <c r="A25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26" spans="1:1" x14ac:dyDescent="0.25">
      <c r="A25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27" spans="1:1" x14ac:dyDescent="0.25">
      <c r="A25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28" spans="1:1" x14ac:dyDescent="0.25">
      <c r="A25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29" spans="1:1" x14ac:dyDescent="0.25">
      <c r="A25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30" spans="1:1" x14ac:dyDescent="0.25">
      <c r="A25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31" spans="1:1" x14ac:dyDescent="0.25">
      <c r="A25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32" spans="1:1" x14ac:dyDescent="0.25">
      <c r="A25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33" spans="1:1" x14ac:dyDescent="0.25">
      <c r="A25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34" spans="1:1" x14ac:dyDescent="0.25">
      <c r="A25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35" spans="1:1" x14ac:dyDescent="0.25">
      <c r="A25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36" spans="1:1" x14ac:dyDescent="0.25">
      <c r="A25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37" spans="1:1" x14ac:dyDescent="0.25">
      <c r="A25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38" spans="1:1" x14ac:dyDescent="0.25">
      <c r="A25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39" spans="1:1" x14ac:dyDescent="0.25">
      <c r="A25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40" spans="1:1" x14ac:dyDescent="0.25">
      <c r="A25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41" spans="1:1" x14ac:dyDescent="0.25">
      <c r="A25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42" spans="1:1" x14ac:dyDescent="0.25">
      <c r="A25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43" spans="1:1" x14ac:dyDescent="0.25">
      <c r="A25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44" spans="1:1" x14ac:dyDescent="0.25">
      <c r="A25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45" spans="1:1" x14ac:dyDescent="0.25">
      <c r="A25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46" spans="1:1" x14ac:dyDescent="0.25">
      <c r="A25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47" spans="1:1" x14ac:dyDescent="0.25">
      <c r="A25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48" spans="1:1" x14ac:dyDescent="0.25">
      <c r="A25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49" spans="1:1" x14ac:dyDescent="0.25">
      <c r="A25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50" spans="1:1" x14ac:dyDescent="0.25">
      <c r="A25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51" spans="1:1" x14ac:dyDescent="0.25">
      <c r="A25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52" spans="1:1" x14ac:dyDescent="0.25">
      <c r="A25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53" spans="1:1" x14ac:dyDescent="0.25">
      <c r="A25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54" spans="1:1" x14ac:dyDescent="0.25">
      <c r="A25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55" spans="1:1" x14ac:dyDescent="0.25">
      <c r="A25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56" spans="1:1" x14ac:dyDescent="0.25">
      <c r="A25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57" spans="1:1" x14ac:dyDescent="0.25">
      <c r="A25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58" spans="1:1" x14ac:dyDescent="0.25">
      <c r="A25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59" spans="1:1" x14ac:dyDescent="0.25">
      <c r="A25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60" spans="1:1" x14ac:dyDescent="0.25">
      <c r="A25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61" spans="1:1" x14ac:dyDescent="0.25">
      <c r="A25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62" spans="1:1" x14ac:dyDescent="0.25">
      <c r="A25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63" spans="1:1" x14ac:dyDescent="0.25">
      <c r="A25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64" spans="1:1" x14ac:dyDescent="0.25">
      <c r="A25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65" spans="1:1" x14ac:dyDescent="0.25">
      <c r="A25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66" spans="1:1" x14ac:dyDescent="0.25">
      <c r="A25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67" spans="1:1" x14ac:dyDescent="0.25">
      <c r="A25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68" spans="1:1" x14ac:dyDescent="0.25">
      <c r="A25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69" spans="1:1" x14ac:dyDescent="0.25">
      <c r="A25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70" spans="1:1" x14ac:dyDescent="0.25">
      <c r="A25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71" spans="1:1" x14ac:dyDescent="0.25">
      <c r="A25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72" spans="1:1" x14ac:dyDescent="0.25">
      <c r="A25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73" spans="1:1" x14ac:dyDescent="0.25">
      <c r="A25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74" spans="1:1" x14ac:dyDescent="0.25">
      <c r="A25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75" spans="1:1" x14ac:dyDescent="0.25">
      <c r="A25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76" spans="1:1" x14ac:dyDescent="0.25">
      <c r="A25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77" spans="1:1" x14ac:dyDescent="0.25">
      <c r="A25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78" spans="1:1" x14ac:dyDescent="0.25">
      <c r="A25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79" spans="1:1" x14ac:dyDescent="0.25">
      <c r="A25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80" spans="1:1" x14ac:dyDescent="0.25">
      <c r="A25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81" spans="1:1" x14ac:dyDescent="0.25">
      <c r="A25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82" spans="1:1" x14ac:dyDescent="0.25">
      <c r="A25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83" spans="1:1" x14ac:dyDescent="0.25">
      <c r="A25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84" spans="1:1" x14ac:dyDescent="0.25">
      <c r="A25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85" spans="1:1" x14ac:dyDescent="0.25">
      <c r="A25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86" spans="1:1" x14ac:dyDescent="0.25">
      <c r="A25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87" spans="1:1" x14ac:dyDescent="0.25">
      <c r="A25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88" spans="1:1" x14ac:dyDescent="0.25">
      <c r="A25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89" spans="1:1" x14ac:dyDescent="0.25">
      <c r="A25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90" spans="1:1" x14ac:dyDescent="0.25">
      <c r="A25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91" spans="1:1" x14ac:dyDescent="0.25">
      <c r="A25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92" spans="1:1" x14ac:dyDescent="0.25">
      <c r="A25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93" spans="1:1" x14ac:dyDescent="0.25">
      <c r="A25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94" spans="1:1" x14ac:dyDescent="0.25">
      <c r="A25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95" spans="1:1" x14ac:dyDescent="0.25">
      <c r="A25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96" spans="1:1" x14ac:dyDescent="0.25">
      <c r="A25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97" spans="1:1" x14ac:dyDescent="0.25">
      <c r="A25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98" spans="1:1" x14ac:dyDescent="0.25">
      <c r="A25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599" spans="1:1" x14ac:dyDescent="0.25">
      <c r="A25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00" spans="1:1" x14ac:dyDescent="0.25">
      <c r="A26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01" spans="1:1" x14ac:dyDescent="0.25">
      <c r="A26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02" spans="1:1" x14ac:dyDescent="0.25">
      <c r="A26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03" spans="1:1" x14ac:dyDescent="0.25">
      <c r="A26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04" spans="1:1" x14ac:dyDescent="0.25">
      <c r="A26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05" spans="1:1" x14ac:dyDescent="0.25">
      <c r="A26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06" spans="1:1" x14ac:dyDescent="0.25">
      <c r="A26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07" spans="1:1" x14ac:dyDescent="0.25">
      <c r="A26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08" spans="1:1" x14ac:dyDescent="0.25">
      <c r="A26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09" spans="1:1" x14ac:dyDescent="0.25">
      <c r="A26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10" spans="1:1" x14ac:dyDescent="0.25">
      <c r="A26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11" spans="1:1" x14ac:dyDescent="0.25">
      <c r="A26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12" spans="1:1" x14ac:dyDescent="0.25">
      <c r="A26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13" spans="1:1" x14ac:dyDescent="0.25">
      <c r="A26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14" spans="1:1" x14ac:dyDescent="0.25">
      <c r="A26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15" spans="1:1" x14ac:dyDescent="0.25">
      <c r="A26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16" spans="1:1" x14ac:dyDescent="0.25">
      <c r="A26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17" spans="1:1" x14ac:dyDescent="0.25">
      <c r="A26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18" spans="1:1" x14ac:dyDescent="0.25">
      <c r="A26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19" spans="1:1" x14ac:dyDescent="0.25">
      <c r="A26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20" spans="1:1" x14ac:dyDescent="0.25">
      <c r="A26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21" spans="1:1" x14ac:dyDescent="0.25">
      <c r="A26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22" spans="1:1" x14ac:dyDescent="0.25">
      <c r="A26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23" spans="1:1" x14ac:dyDescent="0.25">
      <c r="A26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24" spans="1:1" x14ac:dyDescent="0.25">
      <c r="A26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25" spans="1:1" x14ac:dyDescent="0.25">
      <c r="A26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26" spans="1:1" x14ac:dyDescent="0.25">
      <c r="A26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27" spans="1:1" x14ac:dyDescent="0.25">
      <c r="A26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28" spans="1:1" x14ac:dyDescent="0.25">
      <c r="A26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29" spans="1:1" x14ac:dyDescent="0.25">
      <c r="A26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30" spans="1:1" x14ac:dyDescent="0.25">
      <c r="A26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31" spans="1:1" x14ac:dyDescent="0.25">
      <c r="A26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32" spans="1:1" x14ac:dyDescent="0.25">
      <c r="A26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33" spans="1:1" x14ac:dyDescent="0.25">
      <c r="A26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34" spans="1:1" x14ac:dyDescent="0.25">
      <c r="A26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35" spans="1:1" x14ac:dyDescent="0.25">
      <c r="A26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36" spans="1:1" x14ac:dyDescent="0.25">
      <c r="A26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37" spans="1:1" x14ac:dyDescent="0.25">
      <c r="A26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38" spans="1:1" x14ac:dyDescent="0.25">
      <c r="A26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39" spans="1:1" x14ac:dyDescent="0.25">
      <c r="A26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40" spans="1:1" x14ac:dyDescent="0.25">
      <c r="A26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41" spans="1:1" x14ac:dyDescent="0.25">
      <c r="A26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42" spans="1:1" x14ac:dyDescent="0.25">
      <c r="A26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43" spans="1:1" x14ac:dyDescent="0.25">
      <c r="A26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44" spans="1:1" x14ac:dyDescent="0.25">
      <c r="A26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45" spans="1:1" x14ac:dyDescent="0.25">
      <c r="A26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46" spans="1:1" x14ac:dyDescent="0.25">
      <c r="A26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47" spans="1:1" x14ac:dyDescent="0.25">
      <c r="A26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48" spans="1:1" x14ac:dyDescent="0.25">
      <c r="A26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49" spans="1:1" x14ac:dyDescent="0.25">
      <c r="A26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50" spans="1:1" x14ac:dyDescent="0.25">
      <c r="A26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51" spans="1:1" x14ac:dyDescent="0.25">
      <c r="A26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52" spans="1:1" x14ac:dyDescent="0.25">
      <c r="A26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53" spans="1:1" x14ac:dyDescent="0.25">
      <c r="A26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54" spans="1:1" x14ac:dyDescent="0.25">
      <c r="A26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55" spans="1:1" x14ac:dyDescent="0.25">
      <c r="A26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56" spans="1:1" x14ac:dyDescent="0.25">
      <c r="A26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57" spans="1:1" x14ac:dyDescent="0.25">
      <c r="A26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58" spans="1:1" x14ac:dyDescent="0.25">
      <c r="A26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59" spans="1:1" x14ac:dyDescent="0.25">
      <c r="A26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60" spans="1:1" x14ac:dyDescent="0.25">
      <c r="A26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61" spans="1:1" x14ac:dyDescent="0.25">
      <c r="A26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62" spans="1:1" x14ac:dyDescent="0.25">
      <c r="A26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63" spans="1:1" x14ac:dyDescent="0.25">
      <c r="A26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64" spans="1:1" x14ac:dyDescent="0.25">
      <c r="A26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65" spans="1:1" x14ac:dyDescent="0.25">
      <c r="A26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66" spans="1:1" x14ac:dyDescent="0.25">
      <c r="A26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67" spans="1:1" x14ac:dyDescent="0.25">
      <c r="A26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68" spans="1:1" x14ac:dyDescent="0.25">
      <c r="A26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69" spans="1:1" x14ac:dyDescent="0.25">
      <c r="A26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70" spans="1:1" x14ac:dyDescent="0.25">
      <c r="A26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71" spans="1:1" x14ac:dyDescent="0.25">
      <c r="A26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72" spans="1:1" x14ac:dyDescent="0.25">
      <c r="A26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73" spans="1:1" x14ac:dyDescent="0.25">
      <c r="A26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74" spans="1:1" x14ac:dyDescent="0.25">
      <c r="A26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75" spans="1:1" x14ac:dyDescent="0.25">
      <c r="A26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76" spans="1:1" x14ac:dyDescent="0.25">
      <c r="A26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77" spans="1:1" x14ac:dyDescent="0.25">
      <c r="A26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78" spans="1:1" x14ac:dyDescent="0.25">
      <c r="A26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79" spans="1:1" x14ac:dyDescent="0.25">
      <c r="A26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80" spans="1:1" x14ac:dyDescent="0.25">
      <c r="A26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81" spans="1:1" x14ac:dyDescent="0.25">
      <c r="A26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82" spans="1:1" x14ac:dyDescent="0.25">
      <c r="A26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83" spans="1:1" x14ac:dyDescent="0.25">
      <c r="A26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84" spans="1:1" x14ac:dyDescent="0.25">
      <c r="A26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85" spans="1:1" x14ac:dyDescent="0.25">
      <c r="A26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86" spans="1:1" x14ac:dyDescent="0.25">
      <c r="A26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87" spans="1:1" x14ac:dyDescent="0.25">
      <c r="A26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88" spans="1:1" x14ac:dyDescent="0.25">
      <c r="A26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89" spans="1:1" x14ac:dyDescent="0.25">
      <c r="A26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90" spans="1:1" x14ac:dyDescent="0.25">
      <c r="A26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91" spans="1:1" x14ac:dyDescent="0.25">
      <c r="A26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92" spans="1:1" x14ac:dyDescent="0.25">
      <c r="A26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93" spans="1:1" x14ac:dyDescent="0.25">
      <c r="A26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94" spans="1:1" x14ac:dyDescent="0.25">
      <c r="A26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95" spans="1:1" x14ac:dyDescent="0.25">
      <c r="A26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96" spans="1:1" x14ac:dyDescent="0.25">
      <c r="A26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97" spans="1:1" x14ac:dyDescent="0.25">
      <c r="A26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98" spans="1:1" x14ac:dyDescent="0.25">
      <c r="A26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699" spans="1:1" x14ac:dyDescent="0.25">
      <c r="A26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00" spans="1:1" x14ac:dyDescent="0.25">
      <c r="A27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01" spans="1:1" x14ac:dyDescent="0.25">
      <c r="A27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02" spans="1:1" x14ac:dyDescent="0.25">
      <c r="A27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03" spans="1:1" x14ac:dyDescent="0.25">
      <c r="A27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04" spans="1:1" x14ac:dyDescent="0.25">
      <c r="A27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05" spans="1:1" x14ac:dyDescent="0.25">
      <c r="A27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06" spans="1:1" x14ac:dyDescent="0.25">
      <c r="A27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07" spans="1:1" x14ac:dyDescent="0.25">
      <c r="A27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08" spans="1:1" x14ac:dyDescent="0.25">
      <c r="A27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09" spans="1:1" x14ac:dyDescent="0.25">
      <c r="A27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10" spans="1:1" x14ac:dyDescent="0.25">
      <c r="A27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11" spans="1:1" x14ac:dyDescent="0.25">
      <c r="A27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12" spans="1:1" x14ac:dyDescent="0.25">
      <c r="A27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13" spans="1:1" x14ac:dyDescent="0.25">
      <c r="A27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14" spans="1:1" x14ac:dyDescent="0.25">
      <c r="A27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15" spans="1:1" x14ac:dyDescent="0.25">
      <c r="A27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16" spans="1:1" x14ac:dyDescent="0.25">
      <c r="A27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17" spans="1:1" x14ac:dyDescent="0.25">
      <c r="A27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18" spans="1:1" x14ac:dyDescent="0.25">
      <c r="A27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19" spans="1:1" x14ac:dyDescent="0.25">
      <c r="A27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20" spans="1:1" x14ac:dyDescent="0.25">
      <c r="A27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21" spans="1:1" x14ac:dyDescent="0.25">
      <c r="A27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22" spans="1:1" x14ac:dyDescent="0.25">
      <c r="A27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23" spans="1:1" x14ac:dyDescent="0.25">
      <c r="A27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24" spans="1:1" x14ac:dyDescent="0.25">
      <c r="A27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25" spans="1:1" x14ac:dyDescent="0.25">
      <c r="A27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26" spans="1:1" x14ac:dyDescent="0.25">
      <c r="A27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27" spans="1:1" x14ac:dyDescent="0.25">
      <c r="A27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28" spans="1:1" x14ac:dyDescent="0.25">
      <c r="A27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29" spans="1:1" x14ac:dyDescent="0.25">
      <c r="A27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30" spans="1:1" x14ac:dyDescent="0.25">
      <c r="A27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31" spans="1:1" x14ac:dyDescent="0.25">
      <c r="A27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32" spans="1:1" x14ac:dyDescent="0.25">
      <c r="A27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33" spans="1:1" x14ac:dyDescent="0.25">
      <c r="A27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34" spans="1:1" x14ac:dyDescent="0.25">
      <c r="A27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35" spans="1:1" x14ac:dyDescent="0.25">
      <c r="A27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36" spans="1:1" x14ac:dyDescent="0.25">
      <c r="A27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37" spans="1:1" x14ac:dyDescent="0.25">
      <c r="A27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38" spans="1:1" x14ac:dyDescent="0.25">
      <c r="A27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39" spans="1:1" x14ac:dyDescent="0.25">
      <c r="A27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40" spans="1:1" x14ac:dyDescent="0.25">
      <c r="A27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41" spans="1:1" x14ac:dyDescent="0.25">
      <c r="A27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42" spans="1:1" x14ac:dyDescent="0.25">
      <c r="A27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43" spans="1:1" x14ac:dyDescent="0.25">
      <c r="A27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44" spans="1:1" x14ac:dyDescent="0.25">
      <c r="A27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45" spans="1:1" x14ac:dyDescent="0.25">
      <c r="A27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46" spans="1:1" x14ac:dyDescent="0.25">
      <c r="A27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47" spans="1:1" x14ac:dyDescent="0.25">
      <c r="A27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48" spans="1:1" x14ac:dyDescent="0.25">
      <c r="A27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49" spans="1:1" x14ac:dyDescent="0.25">
      <c r="A27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50" spans="1:1" x14ac:dyDescent="0.25">
      <c r="A27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51" spans="1:1" x14ac:dyDescent="0.25">
      <c r="A27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52" spans="1:1" x14ac:dyDescent="0.25">
      <c r="A27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53" spans="1:1" x14ac:dyDescent="0.25">
      <c r="A27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54" spans="1:1" x14ac:dyDescent="0.25">
      <c r="A27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55" spans="1:1" x14ac:dyDescent="0.25">
      <c r="A27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56" spans="1:1" x14ac:dyDescent="0.25">
      <c r="A27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57" spans="1:1" x14ac:dyDescent="0.25">
      <c r="A27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58" spans="1:1" x14ac:dyDescent="0.25">
      <c r="A27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59" spans="1:1" x14ac:dyDescent="0.25">
      <c r="A27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60" spans="1:1" x14ac:dyDescent="0.25">
      <c r="A27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61" spans="1:1" x14ac:dyDescent="0.25">
      <c r="A27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62" spans="1:1" x14ac:dyDescent="0.25">
      <c r="A27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63" spans="1:1" x14ac:dyDescent="0.25">
      <c r="A27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64" spans="1:1" x14ac:dyDescent="0.25">
      <c r="A27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65" spans="1:1" x14ac:dyDescent="0.25">
      <c r="A27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66" spans="1:1" x14ac:dyDescent="0.25">
      <c r="A27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67" spans="1:1" x14ac:dyDescent="0.25">
      <c r="A27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68" spans="1:1" x14ac:dyDescent="0.25">
      <c r="A27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69" spans="1:1" x14ac:dyDescent="0.25">
      <c r="A27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70" spans="1:1" x14ac:dyDescent="0.25">
      <c r="A27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71" spans="1:1" x14ac:dyDescent="0.25">
      <c r="A27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72" spans="1:1" x14ac:dyDescent="0.25">
      <c r="A27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73" spans="1:1" x14ac:dyDescent="0.25">
      <c r="A27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74" spans="1:1" x14ac:dyDescent="0.25">
      <c r="A27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75" spans="1:1" x14ac:dyDescent="0.25">
      <c r="A27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76" spans="1:1" x14ac:dyDescent="0.25">
      <c r="A27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77" spans="1:1" x14ac:dyDescent="0.25">
      <c r="A27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78" spans="1:1" x14ac:dyDescent="0.25">
      <c r="A27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79" spans="1:1" x14ac:dyDescent="0.25">
      <c r="A27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80" spans="1:1" x14ac:dyDescent="0.25">
      <c r="A27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81" spans="1:1" x14ac:dyDescent="0.25">
      <c r="A27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82" spans="1:1" x14ac:dyDescent="0.25">
      <c r="A27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83" spans="1:1" x14ac:dyDescent="0.25">
      <c r="A27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84" spans="1:1" x14ac:dyDescent="0.25">
      <c r="A27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85" spans="1:1" x14ac:dyDescent="0.25">
      <c r="A27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86" spans="1:1" x14ac:dyDescent="0.25">
      <c r="A27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87" spans="1:1" x14ac:dyDescent="0.25">
      <c r="A27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88" spans="1:1" x14ac:dyDescent="0.25">
      <c r="A27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89" spans="1:1" x14ac:dyDescent="0.25">
      <c r="A27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90" spans="1:1" x14ac:dyDescent="0.25">
      <c r="A27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91" spans="1:1" x14ac:dyDescent="0.25">
      <c r="A27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92" spans="1:1" x14ac:dyDescent="0.25">
      <c r="A27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93" spans="1:1" x14ac:dyDescent="0.25">
      <c r="A27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94" spans="1:1" x14ac:dyDescent="0.25">
      <c r="A27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95" spans="1:1" x14ac:dyDescent="0.25">
      <c r="A27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96" spans="1:1" x14ac:dyDescent="0.25">
      <c r="A27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97" spans="1:1" x14ac:dyDescent="0.25">
      <c r="A27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98" spans="1:1" x14ac:dyDescent="0.25">
      <c r="A27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799" spans="1:1" x14ac:dyDescent="0.25">
      <c r="A27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00" spans="1:1" x14ac:dyDescent="0.25">
      <c r="A28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01" spans="1:1" x14ac:dyDescent="0.25">
      <c r="A28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02" spans="1:1" x14ac:dyDescent="0.25">
      <c r="A28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03" spans="1:1" x14ac:dyDescent="0.25">
      <c r="A28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04" spans="1:1" x14ac:dyDescent="0.25">
      <c r="A28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05" spans="1:1" x14ac:dyDescent="0.25">
      <c r="A28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06" spans="1:1" x14ac:dyDescent="0.25">
      <c r="A28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07" spans="1:1" x14ac:dyDescent="0.25">
      <c r="A28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08" spans="1:1" x14ac:dyDescent="0.25">
      <c r="A28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09" spans="1:1" x14ac:dyDescent="0.25">
      <c r="A28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10" spans="1:1" x14ac:dyDescent="0.25">
      <c r="A28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11" spans="1:1" x14ac:dyDescent="0.25">
      <c r="A28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12" spans="1:1" x14ac:dyDescent="0.25">
      <c r="A28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13" spans="1:1" x14ac:dyDescent="0.25">
      <c r="A28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14" spans="1:1" x14ac:dyDescent="0.25">
      <c r="A28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15" spans="1:1" x14ac:dyDescent="0.25">
      <c r="A28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16" spans="1:1" x14ac:dyDescent="0.25">
      <c r="A28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17" spans="1:1" x14ac:dyDescent="0.25">
      <c r="A28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18" spans="1:1" x14ac:dyDescent="0.25">
      <c r="A28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19" spans="1:1" x14ac:dyDescent="0.25">
      <c r="A28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20" spans="1:1" x14ac:dyDescent="0.25">
      <c r="A28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21" spans="1:1" x14ac:dyDescent="0.25">
      <c r="A28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22" spans="1:1" x14ac:dyDescent="0.25">
      <c r="A28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23" spans="1:1" x14ac:dyDescent="0.25">
      <c r="A28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24" spans="1:1" x14ac:dyDescent="0.25">
      <c r="A28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25" spans="1:1" x14ac:dyDescent="0.25">
      <c r="A28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26" spans="1:1" x14ac:dyDescent="0.25">
      <c r="A28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27" spans="1:1" x14ac:dyDescent="0.25">
      <c r="A28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28" spans="1:1" x14ac:dyDescent="0.25">
      <c r="A28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29" spans="1:1" x14ac:dyDescent="0.25">
      <c r="A28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30" spans="1:1" x14ac:dyDescent="0.25">
      <c r="A28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31" spans="1:1" x14ac:dyDescent="0.25">
      <c r="A28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32" spans="1:1" x14ac:dyDescent="0.25">
      <c r="A28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33" spans="1:1" x14ac:dyDescent="0.25">
      <c r="A28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34" spans="1:1" x14ac:dyDescent="0.25">
      <c r="A28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35" spans="1:1" x14ac:dyDescent="0.25">
      <c r="A28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36" spans="1:1" x14ac:dyDescent="0.25">
      <c r="A28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37" spans="1:1" x14ac:dyDescent="0.25">
      <c r="A28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38" spans="1:1" x14ac:dyDescent="0.25">
      <c r="A28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39" spans="1:1" x14ac:dyDescent="0.25">
      <c r="A28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40" spans="1:1" x14ac:dyDescent="0.25">
      <c r="A28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41" spans="1:1" x14ac:dyDescent="0.25">
      <c r="A28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42" spans="1:1" x14ac:dyDescent="0.25">
      <c r="A28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43" spans="1:1" x14ac:dyDescent="0.25">
      <c r="A28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44" spans="1:1" x14ac:dyDescent="0.25">
      <c r="A28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45" spans="1:1" x14ac:dyDescent="0.25">
      <c r="A28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46" spans="1:1" x14ac:dyDescent="0.25">
      <c r="A28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47" spans="1:1" x14ac:dyDescent="0.25">
      <c r="A28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48" spans="1:1" x14ac:dyDescent="0.25">
      <c r="A28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49" spans="1:1" x14ac:dyDescent="0.25">
      <c r="A28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50" spans="1:1" x14ac:dyDescent="0.25">
      <c r="A28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51" spans="1:1" x14ac:dyDescent="0.25">
      <c r="A28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52" spans="1:1" x14ac:dyDescent="0.25">
      <c r="A28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53" spans="1:1" x14ac:dyDescent="0.25">
      <c r="A28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54" spans="1:1" x14ac:dyDescent="0.25">
      <c r="A28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55" spans="1:1" x14ac:dyDescent="0.25">
      <c r="A28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56" spans="1:1" x14ac:dyDescent="0.25">
      <c r="A28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57" spans="1:1" x14ac:dyDescent="0.25">
      <c r="A28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58" spans="1:1" x14ac:dyDescent="0.25">
      <c r="A28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59" spans="1:1" x14ac:dyDescent="0.25">
      <c r="A28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60" spans="1:1" x14ac:dyDescent="0.25">
      <c r="A28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61" spans="1:1" x14ac:dyDescent="0.25">
      <c r="A28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62" spans="1:1" x14ac:dyDescent="0.25">
      <c r="A28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63" spans="1:1" x14ac:dyDescent="0.25">
      <c r="A28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64" spans="1:1" x14ac:dyDescent="0.25">
      <c r="A28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65" spans="1:1" x14ac:dyDescent="0.25">
      <c r="A28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66" spans="1:1" x14ac:dyDescent="0.25">
      <c r="A28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67" spans="1:1" x14ac:dyDescent="0.25">
      <c r="A28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68" spans="1:1" x14ac:dyDescent="0.25">
      <c r="A28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69" spans="1:1" x14ac:dyDescent="0.25">
      <c r="A28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70" spans="1:1" x14ac:dyDescent="0.25">
      <c r="A28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71" spans="1:1" x14ac:dyDescent="0.25">
      <c r="A28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72" spans="1:1" x14ac:dyDescent="0.25">
      <c r="A28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73" spans="1:1" x14ac:dyDescent="0.25">
      <c r="A28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74" spans="1:1" x14ac:dyDescent="0.25">
      <c r="A28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75" spans="1:1" x14ac:dyDescent="0.25">
      <c r="A28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76" spans="1:1" x14ac:dyDescent="0.25">
      <c r="A28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77" spans="1:1" x14ac:dyDescent="0.25">
      <c r="A28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78" spans="1:1" x14ac:dyDescent="0.25">
      <c r="A28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79" spans="1:1" x14ac:dyDescent="0.25">
      <c r="A28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80" spans="1:1" x14ac:dyDescent="0.25">
      <c r="A28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81" spans="1:1" x14ac:dyDescent="0.25">
      <c r="A28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82" spans="1:1" x14ac:dyDescent="0.25">
      <c r="A28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83" spans="1:1" x14ac:dyDescent="0.25">
      <c r="A28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84" spans="1:1" x14ac:dyDescent="0.25">
      <c r="A28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85" spans="1:1" x14ac:dyDescent="0.25">
      <c r="A28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86" spans="1:1" x14ac:dyDescent="0.25">
      <c r="A28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87" spans="1:1" x14ac:dyDescent="0.25">
      <c r="A28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88" spans="1:1" x14ac:dyDescent="0.25">
      <c r="A28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89" spans="1:1" x14ac:dyDescent="0.25">
      <c r="A28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90" spans="1:1" x14ac:dyDescent="0.25">
      <c r="A28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91" spans="1:1" x14ac:dyDescent="0.25">
      <c r="A28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92" spans="1:1" x14ac:dyDescent="0.25">
      <c r="A28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93" spans="1:1" x14ac:dyDescent="0.25">
      <c r="A28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94" spans="1:1" x14ac:dyDescent="0.25">
      <c r="A28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95" spans="1:1" x14ac:dyDescent="0.25">
      <c r="A28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96" spans="1:1" x14ac:dyDescent="0.25">
      <c r="A28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97" spans="1:1" x14ac:dyDescent="0.25">
      <c r="A28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98" spans="1:1" x14ac:dyDescent="0.25">
      <c r="A28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899" spans="1:1" x14ac:dyDescent="0.25">
      <c r="A28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00" spans="1:1" x14ac:dyDescent="0.25">
      <c r="A29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01" spans="1:1" x14ac:dyDescent="0.25">
      <c r="A29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02" spans="1:1" x14ac:dyDescent="0.25">
      <c r="A29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03" spans="1:1" x14ac:dyDescent="0.25">
      <c r="A29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04" spans="1:1" x14ac:dyDescent="0.25">
      <c r="A29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05" spans="1:1" x14ac:dyDescent="0.25">
      <c r="A29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06" spans="1:1" x14ac:dyDescent="0.25">
      <c r="A29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07" spans="1:1" x14ac:dyDescent="0.25">
      <c r="A29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08" spans="1:1" x14ac:dyDescent="0.25">
      <c r="A29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09" spans="1:1" x14ac:dyDescent="0.25">
      <c r="A29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10" spans="1:1" x14ac:dyDescent="0.25">
      <c r="A29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11" spans="1:1" x14ac:dyDescent="0.25">
      <c r="A29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12" spans="1:1" x14ac:dyDescent="0.25">
      <c r="A29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13" spans="1:1" x14ac:dyDescent="0.25">
      <c r="A29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14" spans="1:1" x14ac:dyDescent="0.25">
      <c r="A29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15" spans="1:1" x14ac:dyDescent="0.25">
      <c r="A29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16" spans="1:1" x14ac:dyDescent="0.25">
      <c r="A29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17" spans="1:1" x14ac:dyDescent="0.25">
      <c r="A29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18" spans="1:1" x14ac:dyDescent="0.25">
      <c r="A29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19" spans="1:1" x14ac:dyDescent="0.25">
      <c r="A29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20" spans="1:1" x14ac:dyDescent="0.25">
      <c r="A29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21" spans="1:1" x14ac:dyDescent="0.25">
      <c r="A29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22" spans="1:1" x14ac:dyDescent="0.25">
      <c r="A29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23" spans="1:1" x14ac:dyDescent="0.25">
      <c r="A29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24" spans="1:1" x14ac:dyDescent="0.25">
      <c r="A29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25" spans="1:1" x14ac:dyDescent="0.25">
      <c r="A29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26" spans="1:1" x14ac:dyDescent="0.25">
      <c r="A29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27" spans="1:1" x14ac:dyDescent="0.25">
      <c r="A29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28" spans="1:1" x14ac:dyDescent="0.25">
      <c r="A29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29" spans="1:1" x14ac:dyDescent="0.25">
      <c r="A29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30" spans="1:1" x14ac:dyDescent="0.25">
      <c r="A29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31" spans="1:1" x14ac:dyDescent="0.25">
      <c r="A29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32" spans="1:1" x14ac:dyDescent="0.25">
      <c r="A29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33" spans="1:1" x14ac:dyDescent="0.25">
      <c r="A29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34" spans="1:1" x14ac:dyDescent="0.25">
      <c r="A29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35" spans="1:1" x14ac:dyDescent="0.25">
      <c r="A29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36" spans="1:1" x14ac:dyDescent="0.25">
      <c r="A29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37" spans="1:1" x14ac:dyDescent="0.25">
      <c r="A29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38" spans="1:1" x14ac:dyDescent="0.25">
      <c r="A29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39" spans="1:1" x14ac:dyDescent="0.25">
      <c r="A29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40" spans="1:1" x14ac:dyDescent="0.25">
      <c r="A29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41" spans="1:1" x14ac:dyDescent="0.25">
      <c r="A29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42" spans="1:1" x14ac:dyDescent="0.25">
      <c r="A29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43" spans="1:1" x14ac:dyDescent="0.25">
      <c r="A29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44" spans="1:1" x14ac:dyDescent="0.25">
      <c r="A29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45" spans="1:1" x14ac:dyDescent="0.25">
      <c r="A29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46" spans="1:1" x14ac:dyDescent="0.25">
      <c r="A29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47" spans="1:1" x14ac:dyDescent="0.25">
      <c r="A29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48" spans="1:1" x14ac:dyDescent="0.25">
      <c r="A29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49" spans="1:1" x14ac:dyDescent="0.25">
      <c r="A29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50" spans="1:1" x14ac:dyDescent="0.25">
      <c r="A29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51" spans="1:1" x14ac:dyDescent="0.25">
      <c r="A29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52" spans="1:1" x14ac:dyDescent="0.25">
      <c r="A29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53" spans="1:1" x14ac:dyDescent="0.25">
      <c r="A29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54" spans="1:1" x14ac:dyDescent="0.25">
      <c r="A29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55" spans="1:1" x14ac:dyDescent="0.25">
      <c r="A29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56" spans="1:1" x14ac:dyDescent="0.25">
      <c r="A29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57" spans="1:1" x14ac:dyDescent="0.25">
      <c r="A29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58" spans="1:1" x14ac:dyDescent="0.25">
      <c r="A29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59" spans="1:1" x14ac:dyDescent="0.25">
      <c r="A29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60" spans="1:1" x14ac:dyDescent="0.25">
      <c r="A29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61" spans="1:1" x14ac:dyDescent="0.25">
      <c r="A29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62" spans="1:1" x14ac:dyDescent="0.25">
      <c r="A29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63" spans="1:1" x14ac:dyDescent="0.25">
      <c r="A29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64" spans="1:1" x14ac:dyDescent="0.25">
      <c r="A29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65" spans="1:1" x14ac:dyDescent="0.25">
      <c r="A29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66" spans="1:1" x14ac:dyDescent="0.25">
      <c r="A29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67" spans="1:1" x14ac:dyDescent="0.25">
      <c r="A29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68" spans="1:1" x14ac:dyDescent="0.25">
      <c r="A29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69" spans="1:1" x14ac:dyDescent="0.25">
      <c r="A29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70" spans="1:1" x14ac:dyDescent="0.25">
      <c r="A29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71" spans="1:1" x14ac:dyDescent="0.25">
      <c r="A29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72" spans="1:1" x14ac:dyDescent="0.25">
      <c r="A29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73" spans="1:1" x14ac:dyDescent="0.25">
      <c r="A29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74" spans="1:1" x14ac:dyDescent="0.25">
      <c r="A29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75" spans="1:1" x14ac:dyDescent="0.25">
      <c r="A29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76" spans="1:1" x14ac:dyDescent="0.25">
      <c r="A29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77" spans="1:1" x14ac:dyDescent="0.25">
      <c r="A29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78" spans="1:1" x14ac:dyDescent="0.25">
      <c r="A29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79" spans="1:1" x14ac:dyDescent="0.25">
      <c r="A29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80" spans="1:1" x14ac:dyDescent="0.25">
      <c r="A29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81" spans="1:1" x14ac:dyDescent="0.25">
      <c r="A29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82" spans="1:1" x14ac:dyDescent="0.25">
      <c r="A29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83" spans="1:1" x14ac:dyDescent="0.25">
      <c r="A29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84" spans="1:1" x14ac:dyDescent="0.25">
      <c r="A29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85" spans="1:1" x14ac:dyDescent="0.25">
      <c r="A29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86" spans="1:1" x14ac:dyDescent="0.25">
      <c r="A29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87" spans="1:1" x14ac:dyDescent="0.25">
      <c r="A29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88" spans="1:1" x14ac:dyDescent="0.25">
      <c r="A29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89" spans="1:1" x14ac:dyDescent="0.25">
      <c r="A29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90" spans="1:1" x14ac:dyDescent="0.25">
      <c r="A29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91" spans="1:1" x14ac:dyDescent="0.25">
      <c r="A29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92" spans="1:1" x14ac:dyDescent="0.25">
      <c r="A29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93" spans="1:1" x14ac:dyDescent="0.25">
      <c r="A29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94" spans="1:1" x14ac:dyDescent="0.25">
      <c r="A29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95" spans="1:1" x14ac:dyDescent="0.25">
      <c r="A29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96" spans="1:1" x14ac:dyDescent="0.25">
      <c r="A29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97" spans="1:1" x14ac:dyDescent="0.25">
      <c r="A29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98" spans="1:1" x14ac:dyDescent="0.25">
      <c r="A29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2999" spans="1:1" x14ac:dyDescent="0.25">
      <c r="A29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00" spans="1:1" x14ac:dyDescent="0.25">
      <c r="A30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01" spans="1:1" x14ac:dyDescent="0.25">
      <c r="A30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02" spans="1:1" x14ac:dyDescent="0.25">
      <c r="A30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03" spans="1:1" x14ac:dyDescent="0.25">
      <c r="A30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04" spans="1:1" x14ac:dyDescent="0.25">
      <c r="A30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05" spans="1:1" x14ac:dyDescent="0.25">
      <c r="A30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06" spans="1:1" x14ac:dyDescent="0.25">
      <c r="A30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07" spans="1:1" x14ac:dyDescent="0.25">
      <c r="A30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08" spans="1:1" x14ac:dyDescent="0.25">
      <c r="A30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09" spans="1:1" x14ac:dyDescent="0.25">
      <c r="A30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10" spans="1:1" x14ac:dyDescent="0.25">
      <c r="A30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11" spans="1:1" x14ac:dyDescent="0.25">
      <c r="A30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12" spans="1:1" x14ac:dyDescent="0.25">
      <c r="A30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13" spans="1:1" x14ac:dyDescent="0.25">
      <c r="A30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14" spans="1:1" x14ac:dyDescent="0.25">
      <c r="A30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15" spans="1:1" x14ac:dyDescent="0.25">
      <c r="A30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16" spans="1:1" x14ac:dyDescent="0.25">
      <c r="A30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17" spans="1:1" x14ac:dyDescent="0.25">
      <c r="A30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18" spans="1:1" x14ac:dyDescent="0.25">
      <c r="A30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19" spans="1:1" x14ac:dyDescent="0.25">
      <c r="A30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20" spans="1:1" x14ac:dyDescent="0.25">
      <c r="A30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21" spans="1:1" x14ac:dyDescent="0.25">
      <c r="A30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22" spans="1:1" x14ac:dyDescent="0.25">
      <c r="A30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23" spans="1:1" x14ac:dyDescent="0.25">
      <c r="A30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24" spans="1:1" x14ac:dyDescent="0.25">
      <c r="A30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25" spans="1:1" x14ac:dyDescent="0.25">
      <c r="A30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26" spans="1:1" x14ac:dyDescent="0.25">
      <c r="A30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27" spans="1:1" x14ac:dyDescent="0.25">
      <c r="A30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28" spans="1:1" x14ac:dyDescent="0.25">
      <c r="A30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29" spans="1:1" x14ac:dyDescent="0.25">
      <c r="A30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30" spans="1:1" x14ac:dyDescent="0.25">
      <c r="A30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31" spans="1:1" x14ac:dyDescent="0.25">
      <c r="A30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32" spans="1:1" x14ac:dyDescent="0.25">
      <c r="A30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33" spans="1:1" x14ac:dyDescent="0.25">
      <c r="A30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34" spans="1:1" x14ac:dyDescent="0.25">
      <c r="A30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35" spans="1:1" x14ac:dyDescent="0.25">
      <c r="A30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36" spans="1:1" x14ac:dyDescent="0.25">
      <c r="A30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37" spans="1:1" x14ac:dyDescent="0.25">
      <c r="A30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38" spans="1:1" x14ac:dyDescent="0.25">
      <c r="A30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39" spans="1:1" x14ac:dyDescent="0.25">
      <c r="A30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40" spans="1:1" x14ac:dyDescent="0.25">
      <c r="A30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41" spans="1:1" x14ac:dyDescent="0.25">
      <c r="A30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42" spans="1:1" x14ac:dyDescent="0.25">
      <c r="A30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43" spans="1:1" x14ac:dyDescent="0.25">
      <c r="A30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44" spans="1:1" x14ac:dyDescent="0.25">
      <c r="A30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45" spans="1:1" x14ac:dyDescent="0.25">
      <c r="A30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46" spans="1:1" x14ac:dyDescent="0.25">
      <c r="A30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47" spans="1:1" x14ac:dyDescent="0.25">
      <c r="A30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48" spans="1:1" x14ac:dyDescent="0.25">
      <c r="A30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49" spans="1:1" x14ac:dyDescent="0.25">
      <c r="A30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50" spans="1:1" x14ac:dyDescent="0.25">
      <c r="A30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51" spans="1:1" x14ac:dyDescent="0.25">
      <c r="A30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52" spans="1:1" x14ac:dyDescent="0.25">
      <c r="A30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53" spans="1:1" x14ac:dyDescent="0.25">
      <c r="A30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54" spans="1:1" x14ac:dyDescent="0.25">
      <c r="A30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55" spans="1:1" x14ac:dyDescent="0.25">
      <c r="A30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56" spans="1:1" x14ac:dyDescent="0.25">
      <c r="A30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57" spans="1:1" x14ac:dyDescent="0.25">
      <c r="A30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58" spans="1:1" x14ac:dyDescent="0.25">
      <c r="A30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59" spans="1:1" x14ac:dyDescent="0.25">
      <c r="A30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60" spans="1:1" x14ac:dyDescent="0.25">
      <c r="A30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61" spans="1:1" x14ac:dyDescent="0.25">
      <c r="A30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62" spans="1:1" x14ac:dyDescent="0.25">
      <c r="A30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63" spans="1:1" x14ac:dyDescent="0.25">
      <c r="A30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64" spans="1:1" x14ac:dyDescent="0.25">
      <c r="A30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65" spans="1:1" x14ac:dyDescent="0.25">
      <c r="A30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66" spans="1:1" x14ac:dyDescent="0.25">
      <c r="A30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67" spans="1:1" x14ac:dyDescent="0.25">
      <c r="A30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68" spans="1:1" x14ac:dyDescent="0.25">
      <c r="A30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69" spans="1:1" x14ac:dyDescent="0.25">
      <c r="A30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70" spans="1:1" x14ac:dyDescent="0.25">
      <c r="A30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71" spans="1:1" x14ac:dyDescent="0.25">
      <c r="A30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72" spans="1:1" x14ac:dyDescent="0.25">
      <c r="A30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73" spans="1:1" x14ac:dyDescent="0.25">
      <c r="A30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74" spans="1:1" x14ac:dyDescent="0.25">
      <c r="A30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75" spans="1:1" x14ac:dyDescent="0.25">
      <c r="A30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76" spans="1:1" x14ac:dyDescent="0.25">
      <c r="A30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77" spans="1:1" x14ac:dyDescent="0.25">
      <c r="A30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78" spans="1:1" x14ac:dyDescent="0.25">
      <c r="A30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79" spans="1:1" x14ac:dyDescent="0.25">
      <c r="A30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80" spans="1:1" x14ac:dyDescent="0.25">
      <c r="A30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81" spans="1:1" x14ac:dyDescent="0.25">
      <c r="A30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82" spans="1:1" x14ac:dyDescent="0.25">
      <c r="A30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83" spans="1:1" x14ac:dyDescent="0.25">
      <c r="A30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84" spans="1:1" x14ac:dyDescent="0.25">
      <c r="A30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85" spans="1:1" x14ac:dyDescent="0.25">
      <c r="A30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86" spans="1:1" x14ac:dyDescent="0.25">
      <c r="A30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87" spans="1:1" x14ac:dyDescent="0.25">
      <c r="A30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88" spans="1:1" x14ac:dyDescent="0.25">
      <c r="A30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89" spans="1:1" x14ac:dyDescent="0.25">
      <c r="A30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90" spans="1:1" x14ac:dyDescent="0.25">
      <c r="A30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91" spans="1:1" x14ac:dyDescent="0.25">
      <c r="A30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92" spans="1:1" x14ac:dyDescent="0.25">
      <c r="A30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93" spans="1:1" x14ac:dyDescent="0.25">
      <c r="A30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94" spans="1:1" x14ac:dyDescent="0.25">
      <c r="A30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95" spans="1:1" x14ac:dyDescent="0.25">
      <c r="A30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96" spans="1:1" x14ac:dyDescent="0.25">
      <c r="A30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97" spans="1:1" x14ac:dyDescent="0.25">
      <c r="A30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98" spans="1:1" x14ac:dyDescent="0.25">
      <c r="A30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099" spans="1:1" x14ac:dyDescent="0.25">
      <c r="A30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00" spans="1:1" x14ac:dyDescent="0.25">
      <c r="A31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01" spans="1:1" x14ac:dyDescent="0.25">
      <c r="A31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02" spans="1:1" x14ac:dyDescent="0.25">
      <c r="A31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03" spans="1:1" x14ac:dyDescent="0.25">
      <c r="A31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04" spans="1:1" x14ac:dyDescent="0.25">
      <c r="A31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05" spans="1:1" x14ac:dyDescent="0.25">
      <c r="A31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06" spans="1:1" x14ac:dyDescent="0.25">
      <c r="A31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07" spans="1:1" x14ac:dyDescent="0.25">
      <c r="A31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08" spans="1:1" x14ac:dyDescent="0.25">
      <c r="A31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09" spans="1:1" x14ac:dyDescent="0.25">
      <c r="A31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10" spans="1:1" x14ac:dyDescent="0.25">
      <c r="A31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11" spans="1:1" x14ac:dyDescent="0.25">
      <c r="A31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12" spans="1:1" x14ac:dyDescent="0.25">
      <c r="A31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13" spans="1:1" x14ac:dyDescent="0.25">
      <c r="A31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14" spans="1:1" x14ac:dyDescent="0.25">
      <c r="A31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15" spans="1:1" x14ac:dyDescent="0.25">
      <c r="A31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16" spans="1:1" x14ac:dyDescent="0.25">
      <c r="A31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17" spans="1:1" x14ac:dyDescent="0.25">
      <c r="A31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18" spans="1:1" x14ac:dyDescent="0.25">
      <c r="A31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19" spans="1:1" x14ac:dyDescent="0.25">
      <c r="A31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20" spans="1:1" x14ac:dyDescent="0.25">
      <c r="A31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21" spans="1:1" x14ac:dyDescent="0.25">
      <c r="A31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22" spans="1:1" x14ac:dyDescent="0.25">
      <c r="A31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23" spans="1:1" x14ac:dyDescent="0.25">
      <c r="A31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24" spans="1:1" x14ac:dyDescent="0.25">
      <c r="A31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25" spans="1:1" x14ac:dyDescent="0.25">
      <c r="A31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26" spans="1:1" x14ac:dyDescent="0.25">
      <c r="A31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27" spans="1:1" x14ac:dyDescent="0.25">
      <c r="A31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28" spans="1:1" x14ac:dyDescent="0.25">
      <c r="A31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29" spans="1:1" x14ac:dyDescent="0.25">
      <c r="A31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30" spans="1:1" x14ac:dyDescent="0.25">
      <c r="A31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31" spans="1:1" x14ac:dyDescent="0.25">
      <c r="A31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32" spans="1:1" x14ac:dyDescent="0.25">
      <c r="A31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33" spans="1:1" x14ac:dyDescent="0.25">
      <c r="A31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34" spans="1:1" x14ac:dyDescent="0.25">
      <c r="A31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35" spans="1:1" x14ac:dyDescent="0.25">
      <c r="A31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36" spans="1:1" x14ac:dyDescent="0.25">
      <c r="A31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37" spans="1:1" x14ac:dyDescent="0.25">
      <c r="A31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38" spans="1:1" x14ac:dyDescent="0.25">
      <c r="A31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39" spans="1:1" x14ac:dyDescent="0.25">
      <c r="A31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40" spans="1:1" x14ac:dyDescent="0.25">
      <c r="A31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41" spans="1:1" x14ac:dyDescent="0.25">
      <c r="A31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42" spans="1:1" x14ac:dyDescent="0.25">
      <c r="A31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43" spans="1:1" x14ac:dyDescent="0.25">
      <c r="A31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44" spans="1:1" x14ac:dyDescent="0.25">
      <c r="A31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45" spans="1:1" x14ac:dyDescent="0.25">
      <c r="A31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46" spans="1:1" x14ac:dyDescent="0.25">
      <c r="A31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47" spans="1:1" x14ac:dyDescent="0.25">
      <c r="A31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48" spans="1:1" x14ac:dyDescent="0.25">
      <c r="A31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49" spans="1:1" x14ac:dyDescent="0.25">
      <c r="A31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50" spans="1:1" x14ac:dyDescent="0.25">
      <c r="A31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51" spans="1:1" x14ac:dyDescent="0.25">
      <c r="A31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52" spans="1:1" x14ac:dyDescent="0.25">
      <c r="A31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53" spans="1:1" x14ac:dyDescent="0.25">
      <c r="A31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54" spans="1:1" x14ac:dyDescent="0.25">
      <c r="A31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55" spans="1:1" x14ac:dyDescent="0.25">
      <c r="A31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56" spans="1:1" x14ac:dyDescent="0.25">
      <c r="A31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57" spans="1:1" x14ac:dyDescent="0.25">
      <c r="A31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58" spans="1:1" x14ac:dyDescent="0.25">
      <c r="A31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59" spans="1:1" x14ac:dyDescent="0.25">
      <c r="A31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60" spans="1:1" x14ac:dyDescent="0.25">
      <c r="A31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61" spans="1:1" x14ac:dyDescent="0.25">
      <c r="A31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62" spans="1:1" x14ac:dyDescent="0.25">
      <c r="A31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63" spans="1:1" x14ac:dyDescent="0.25">
      <c r="A31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64" spans="1:1" x14ac:dyDescent="0.25">
      <c r="A31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65" spans="1:1" x14ac:dyDescent="0.25">
      <c r="A31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66" spans="1:1" x14ac:dyDescent="0.25">
      <c r="A31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67" spans="1:1" x14ac:dyDescent="0.25">
      <c r="A31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68" spans="1:1" x14ac:dyDescent="0.25">
      <c r="A31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69" spans="1:1" x14ac:dyDescent="0.25">
      <c r="A31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70" spans="1:1" x14ac:dyDescent="0.25">
      <c r="A31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71" spans="1:1" x14ac:dyDescent="0.25">
      <c r="A31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72" spans="1:1" x14ac:dyDescent="0.25">
      <c r="A31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73" spans="1:1" x14ac:dyDescent="0.25">
      <c r="A31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74" spans="1:1" x14ac:dyDescent="0.25">
      <c r="A31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75" spans="1:1" x14ac:dyDescent="0.25">
      <c r="A31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76" spans="1:1" x14ac:dyDescent="0.25">
      <c r="A31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77" spans="1:1" x14ac:dyDescent="0.25">
      <c r="A31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78" spans="1:1" x14ac:dyDescent="0.25">
      <c r="A31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79" spans="1:1" x14ac:dyDescent="0.25">
      <c r="A31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80" spans="1:1" x14ac:dyDescent="0.25">
      <c r="A31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81" spans="1:1" x14ac:dyDescent="0.25">
      <c r="A31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82" spans="1:1" x14ac:dyDescent="0.25">
      <c r="A31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83" spans="1:1" x14ac:dyDescent="0.25">
      <c r="A31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84" spans="1:1" x14ac:dyDescent="0.25">
      <c r="A31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85" spans="1:1" x14ac:dyDescent="0.25">
      <c r="A31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86" spans="1:1" x14ac:dyDescent="0.25">
      <c r="A31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87" spans="1:1" x14ac:dyDescent="0.25">
      <c r="A31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88" spans="1:1" x14ac:dyDescent="0.25">
      <c r="A31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89" spans="1:1" x14ac:dyDescent="0.25">
      <c r="A31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90" spans="1:1" x14ac:dyDescent="0.25">
      <c r="A31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91" spans="1:1" x14ac:dyDescent="0.25">
      <c r="A31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92" spans="1:1" x14ac:dyDescent="0.25">
      <c r="A31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93" spans="1:1" x14ac:dyDescent="0.25">
      <c r="A31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94" spans="1:1" x14ac:dyDescent="0.25">
      <c r="A31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95" spans="1:1" x14ac:dyDescent="0.25">
      <c r="A31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96" spans="1:1" x14ac:dyDescent="0.25">
      <c r="A31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97" spans="1:1" x14ac:dyDescent="0.25">
      <c r="A31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98" spans="1:1" x14ac:dyDescent="0.25">
      <c r="A31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199" spans="1:1" x14ac:dyDescent="0.25">
      <c r="A31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00" spans="1:1" x14ac:dyDescent="0.25">
      <c r="A32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01" spans="1:1" x14ac:dyDescent="0.25">
      <c r="A32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02" spans="1:1" x14ac:dyDescent="0.25">
      <c r="A32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03" spans="1:1" x14ac:dyDescent="0.25">
      <c r="A32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04" spans="1:1" x14ac:dyDescent="0.25">
      <c r="A32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05" spans="1:1" x14ac:dyDescent="0.25">
      <c r="A32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06" spans="1:1" x14ac:dyDescent="0.25">
      <c r="A32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07" spans="1:1" x14ac:dyDescent="0.25">
      <c r="A32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08" spans="1:1" x14ac:dyDescent="0.25">
      <c r="A32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09" spans="1:1" x14ac:dyDescent="0.25">
      <c r="A32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10" spans="1:1" x14ac:dyDescent="0.25">
      <c r="A32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11" spans="1:1" x14ac:dyDescent="0.25">
      <c r="A32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12" spans="1:1" x14ac:dyDescent="0.25">
      <c r="A32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13" spans="1:1" x14ac:dyDescent="0.25">
      <c r="A32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14" spans="1:1" x14ac:dyDescent="0.25">
      <c r="A32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15" spans="1:1" x14ac:dyDescent="0.25">
      <c r="A32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16" spans="1:1" x14ac:dyDescent="0.25">
      <c r="A32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17" spans="1:1" x14ac:dyDescent="0.25">
      <c r="A32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18" spans="1:1" x14ac:dyDescent="0.25">
      <c r="A32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19" spans="1:1" x14ac:dyDescent="0.25">
      <c r="A32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20" spans="1:1" x14ac:dyDescent="0.25">
      <c r="A32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21" spans="1:1" x14ac:dyDescent="0.25">
      <c r="A32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22" spans="1:1" x14ac:dyDescent="0.25">
      <c r="A32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23" spans="1:1" x14ac:dyDescent="0.25">
      <c r="A32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24" spans="1:1" x14ac:dyDescent="0.25">
      <c r="A32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25" spans="1:1" x14ac:dyDescent="0.25">
      <c r="A32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26" spans="1:1" x14ac:dyDescent="0.25">
      <c r="A32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27" spans="1:1" x14ac:dyDescent="0.25">
      <c r="A32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28" spans="1:1" x14ac:dyDescent="0.25">
      <c r="A32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29" spans="1:1" x14ac:dyDescent="0.25">
      <c r="A32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30" spans="1:1" x14ac:dyDescent="0.25">
      <c r="A32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31" spans="1:1" x14ac:dyDescent="0.25">
      <c r="A32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32" spans="1:1" x14ac:dyDescent="0.25">
      <c r="A32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33" spans="1:1" x14ac:dyDescent="0.25">
      <c r="A32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34" spans="1:1" x14ac:dyDescent="0.25">
      <c r="A32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35" spans="1:1" x14ac:dyDescent="0.25">
      <c r="A32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36" spans="1:1" x14ac:dyDescent="0.25">
      <c r="A32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37" spans="1:1" x14ac:dyDescent="0.25">
      <c r="A32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38" spans="1:1" x14ac:dyDescent="0.25">
      <c r="A32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39" spans="1:1" x14ac:dyDescent="0.25">
      <c r="A32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40" spans="1:1" x14ac:dyDescent="0.25">
      <c r="A32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41" spans="1:1" x14ac:dyDescent="0.25">
      <c r="A32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42" spans="1:1" x14ac:dyDescent="0.25">
      <c r="A32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43" spans="1:1" x14ac:dyDescent="0.25">
      <c r="A32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44" spans="1:1" x14ac:dyDescent="0.25">
      <c r="A32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45" spans="1:1" x14ac:dyDescent="0.25">
      <c r="A32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46" spans="1:1" x14ac:dyDescent="0.25">
      <c r="A32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47" spans="1:1" x14ac:dyDescent="0.25">
      <c r="A32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48" spans="1:1" x14ac:dyDescent="0.25">
      <c r="A32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49" spans="1:1" x14ac:dyDescent="0.25">
      <c r="A32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50" spans="1:1" x14ac:dyDescent="0.25">
      <c r="A32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51" spans="1:1" x14ac:dyDescent="0.25">
      <c r="A32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52" spans="1:1" x14ac:dyDescent="0.25">
      <c r="A32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53" spans="1:1" x14ac:dyDescent="0.25">
      <c r="A32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54" spans="1:1" x14ac:dyDescent="0.25">
      <c r="A32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55" spans="1:1" x14ac:dyDescent="0.25">
      <c r="A32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56" spans="1:1" x14ac:dyDescent="0.25">
      <c r="A32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57" spans="1:1" x14ac:dyDescent="0.25">
      <c r="A32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58" spans="1:1" x14ac:dyDescent="0.25">
      <c r="A32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59" spans="1:1" x14ac:dyDescent="0.25">
      <c r="A32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60" spans="1:1" x14ac:dyDescent="0.25">
      <c r="A32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61" spans="1:1" x14ac:dyDescent="0.25">
      <c r="A32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62" spans="1:1" x14ac:dyDescent="0.25">
      <c r="A32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63" spans="1:1" x14ac:dyDescent="0.25">
      <c r="A32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64" spans="1:1" x14ac:dyDescent="0.25">
      <c r="A32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65" spans="1:1" x14ac:dyDescent="0.25">
      <c r="A32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66" spans="1:1" x14ac:dyDescent="0.25">
      <c r="A32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67" spans="1:1" x14ac:dyDescent="0.25">
      <c r="A32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68" spans="1:1" x14ac:dyDescent="0.25">
      <c r="A32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69" spans="1:1" x14ac:dyDescent="0.25">
      <c r="A32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70" spans="1:1" x14ac:dyDescent="0.25">
      <c r="A32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71" spans="1:1" x14ac:dyDescent="0.25">
      <c r="A32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72" spans="1:1" x14ac:dyDescent="0.25">
      <c r="A32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73" spans="1:1" x14ac:dyDescent="0.25">
      <c r="A32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74" spans="1:1" x14ac:dyDescent="0.25">
      <c r="A32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75" spans="1:1" x14ac:dyDescent="0.25">
      <c r="A32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76" spans="1:1" x14ac:dyDescent="0.25">
      <c r="A32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77" spans="1:1" x14ac:dyDescent="0.25">
      <c r="A32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78" spans="1:1" x14ac:dyDescent="0.25">
      <c r="A32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79" spans="1:1" x14ac:dyDescent="0.25">
      <c r="A32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80" spans="1:1" x14ac:dyDescent="0.25">
      <c r="A32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81" spans="1:1" x14ac:dyDescent="0.25">
      <c r="A32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82" spans="1:1" x14ac:dyDescent="0.25">
      <c r="A32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83" spans="1:1" x14ac:dyDescent="0.25">
      <c r="A32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84" spans="1:1" x14ac:dyDescent="0.25">
      <c r="A32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85" spans="1:1" x14ac:dyDescent="0.25">
      <c r="A32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86" spans="1:1" x14ac:dyDescent="0.25">
      <c r="A32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87" spans="1:1" x14ac:dyDescent="0.25">
      <c r="A32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88" spans="1:1" x14ac:dyDescent="0.25">
      <c r="A32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89" spans="1:1" x14ac:dyDescent="0.25">
      <c r="A32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90" spans="1:1" x14ac:dyDescent="0.25">
      <c r="A32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91" spans="1:1" x14ac:dyDescent="0.25">
      <c r="A32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92" spans="1:1" x14ac:dyDescent="0.25">
      <c r="A32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93" spans="1:1" x14ac:dyDescent="0.25">
      <c r="A32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94" spans="1:1" x14ac:dyDescent="0.25">
      <c r="A32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95" spans="1:1" x14ac:dyDescent="0.25">
      <c r="A32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96" spans="1:1" x14ac:dyDescent="0.25">
      <c r="A32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97" spans="1:1" x14ac:dyDescent="0.25">
      <c r="A32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98" spans="1:1" x14ac:dyDescent="0.25">
      <c r="A32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299" spans="1:1" x14ac:dyDescent="0.25">
      <c r="A32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00" spans="1:1" x14ac:dyDescent="0.25">
      <c r="A33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01" spans="1:1" x14ac:dyDescent="0.25">
      <c r="A33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02" spans="1:1" x14ac:dyDescent="0.25">
      <c r="A33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03" spans="1:1" x14ac:dyDescent="0.25">
      <c r="A33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04" spans="1:1" x14ac:dyDescent="0.25">
      <c r="A33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05" spans="1:1" x14ac:dyDescent="0.25">
      <c r="A33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06" spans="1:1" x14ac:dyDescent="0.25">
      <c r="A33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07" spans="1:1" x14ac:dyDescent="0.25">
      <c r="A33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08" spans="1:1" x14ac:dyDescent="0.25">
      <c r="A33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09" spans="1:1" x14ac:dyDescent="0.25">
      <c r="A33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10" spans="1:1" x14ac:dyDescent="0.25">
      <c r="A33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11" spans="1:1" x14ac:dyDescent="0.25">
      <c r="A33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12" spans="1:1" x14ac:dyDescent="0.25">
      <c r="A33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13" spans="1:1" x14ac:dyDescent="0.25">
      <c r="A33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14" spans="1:1" x14ac:dyDescent="0.25">
      <c r="A33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15" spans="1:1" x14ac:dyDescent="0.25">
      <c r="A33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16" spans="1:1" x14ac:dyDescent="0.25">
      <c r="A33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17" spans="1:1" x14ac:dyDescent="0.25">
      <c r="A33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18" spans="1:1" x14ac:dyDescent="0.25">
      <c r="A33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19" spans="1:1" x14ac:dyDescent="0.25">
      <c r="A33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20" spans="1:1" x14ac:dyDescent="0.25">
      <c r="A33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21" spans="1:1" x14ac:dyDescent="0.25">
      <c r="A33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22" spans="1:1" x14ac:dyDescent="0.25">
      <c r="A33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23" spans="1:1" x14ac:dyDescent="0.25">
      <c r="A33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24" spans="1:1" x14ac:dyDescent="0.25">
      <c r="A33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25" spans="1:1" x14ac:dyDescent="0.25">
      <c r="A33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26" spans="1:1" x14ac:dyDescent="0.25">
      <c r="A33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27" spans="1:1" x14ac:dyDescent="0.25">
      <c r="A33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28" spans="1:1" x14ac:dyDescent="0.25">
      <c r="A33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29" spans="1:1" x14ac:dyDescent="0.25">
      <c r="A33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30" spans="1:1" x14ac:dyDescent="0.25">
      <c r="A33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31" spans="1:1" x14ac:dyDescent="0.25">
      <c r="A33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32" spans="1:1" x14ac:dyDescent="0.25">
      <c r="A33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33" spans="1:1" x14ac:dyDescent="0.25">
      <c r="A33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34" spans="1:1" x14ac:dyDescent="0.25">
      <c r="A33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35" spans="1:1" x14ac:dyDescent="0.25">
      <c r="A33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36" spans="1:1" x14ac:dyDescent="0.25">
      <c r="A33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37" spans="1:1" x14ac:dyDescent="0.25">
      <c r="A33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38" spans="1:1" x14ac:dyDescent="0.25">
      <c r="A33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39" spans="1:1" x14ac:dyDescent="0.25">
      <c r="A33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40" spans="1:1" x14ac:dyDescent="0.25">
      <c r="A33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41" spans="1:1" x14ac:dyDescent="0.25">
      <c r="A33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42" spans="1:1" x14ac:dyDescent="0.25">
      <c r="A33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43" spans="1:1" x14ac:dyDescent="0.25">
      <c r="A33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44" spans="1:1" x14ac:dyDescent="0.25">
      <c r="A33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45" spans="1:1" x14ac:dyDescent="0.25">
      <c r="A33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46" spans="1:1" x14ac:dyDescent="0.25">
      <c r="A33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47" spans="1:1" x14ac:dyDescent="0.25">
      <c r="A33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48" spans="1:1" x14ac:dyDescent="0.25">
      <c r="A33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49" spans="1:1" x14ac:dyDescent="0.25">
      <c r="A33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50" spans="1:1" x14ac:dyDescent="0.25">
      <c r="A33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51" spans="1:1" x14ac:dyDescent="0.25">
      <c r="A33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52" spans="1:1" x14ac:dyDescent="0.25">
      <c r="A33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53" spans="1:1" x14ac:dyDescent="0.25">
      <c r="A33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54" spans="1:1" x14ac:dyDescent="0.25">
      <c r="A33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55" spans="1:1" x14ac:dyDescent="0.25">
      <c r="A33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56" spans="1:1" x14ac:dyDescent="0.25">
      <c r="A33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57" spans="1:1" x14ac:dyDescent="0.25">
      <c r="A33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58" spans="1:1" x14ac:dyDescent="0.25">
      <c r="A33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59" spans="1:1" x14ac:dyDescent="0.25">
      <c r="A33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60" spans="1:1" x14ac:dyDescent="0.25">
      <c r="A33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61" spans="1:1" x14ac:dyDescent="0.25">
      <c r="A33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62" spans="1:1" x14ac:dyDescent="0.25">
      <c r="A33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63" spans="1:1" x14ac:dyDescent="0.25">
      <c r="A33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64" spans="1:1" x14ac:dyDescent="0.25">
      <c r="A33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65" spans="1:1" x14ac:dyDescent="0.25">
      <c r="A33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66" spans="1:1" x14ac:dyDescent="0.25">
      <c r="A33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67" spans="1:1" x14ac:dyDescent="0.25">
      <c r="A33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68" spans="1:1" x14ac:dyDescent="0.25">
      <c r="A33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69" spans="1:1" x14ac:dyDescent="0.25">
      <c r="A33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70" spans="1:1" x14ac:dyDescent="0.25">
      <c r="A33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71" spans="1:1" x14ac:dyDescent="0.25">
      <c r="A33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72" spans="1:1" x14ac:dyDescent="0.25">
      <c r="A33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73" spans="1:1" x14ac:dyDescent="0.25">
      <c r="A33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74" spans="1:1" x14ac:dyDescent="0.25">
      <c r="A33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75" spans="1:1" x14ac:dyDescent="0.25">
      <c r="A33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76" spans="1:1" x14ac:dyDescent="0.25">
      <c r="A33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77" spans="1:1" x14ac:dyDescent="0.25">
      <c r="A33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78" spans="1:1" x14ac:dyDescent="0.25">
      <c r="A33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79" spans="1:1" x14ac:dyDescent="0.25">
      <c r="A33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80" spans="1:1" x14ac:dyDescent="0.25">
      <c r="A33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81" spans="1:1" x14ac:dyDescent="0.25">
      <c r="A33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82" spans="1:1" x14ac:dyDescent="0.25">
      <c r="A33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83" spans="1:1" x14ac:dyDescent="0.25">
      <c r="A33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84" spans="1:1" x14ac:dyDescent="0.25">
      <c r="A33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85" spans="1:1" x14ac:dyDescent="0.25">
      <c r="A33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86" spans="1:1" x14ac:dyDescent="0.25">
      <c r="A33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87" spans="1:1" x14ac:dyDescent="0.25">
      <c r="A33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88" spans="1:1" x14ac:dyDescent="0.25">
      <c r="A33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89" spans="1:1" x14ac:dyDescent="0.25">
      <c r="A33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90" spans="1:1" x14ac:dyDescent="0.25">
      <c r="A33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91" spans="1:1" x14ac:dyDescent="0.25">
      <c r="A33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92" spans="1:1" x14ac:dyDescent="0.25">
      <c r="A33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93" spans="1:1" x14ac:dyDescent="0.25">
      <c r="A33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94" spans="1:1" x14ac:dyDescent="0.25">
      <c r="A33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95" spans="1:1" x14ac:dyDescent="0.25">
      <c r="A33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96" spans="1:1" x14ac:dyDescent="0.25">
      <c r="A33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97" spans="1:1" x14ac:dyDescent="0.25">
      <c r="A33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98" spans="1:1" x14ac:dyDescent="0.25">
      <c r="A33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399" spans="1:1" x14ac:dyDescent="0.25">
      <c r="A33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00" spans="1:1" x14ac:dyDescent="0.25">
      <c r="A34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01" spans="1:1" x14ac:dyDescent="0.25">
      <c r="A34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02" spans="1:1" x14ac:dyDescent="0.25">
      <c r="A34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03" spans="1:1" x14ac:dyDescent="0.25">
      <c r="A34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04" spans="1:1" x14ac:dyDescent="0.25">
      <c r="A34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05" spans="1:1" x14ac:dyDescent="0.25">
      <c r="A34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06" spans="1:1" x14ac:dyDescent="0.25">
      <c r="A34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07" spans="1:1" x14ac:dyDescent="0.25">
      <c r="A34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08" spans="1:1" x14ac:dyDescent="0.25">
      <c r="A34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09" spans="1:1" x14ac:dyDescent="0.25">
      <c r="A34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10" spans="1:1" x14ac:dyDescent="0.25">
      <c r="A34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11" spans="1:1" x14ac:dyDescent="0.25">
      <c r="A34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12" spans="1:1" x14ac:dyDescent="0.25">
      <c r="A34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13" spans="1:1" x14ac:dyDescent="0.25">
      <c r="A34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14" spans="1:1" x14ac:dyDescent="0.25">
      <c r="A34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15" spans="1:1" x14ac:dyDescent="0.25">
      <c r="A34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16" spans="1:1" x14ac:dyDescent="0.25">
      <c r="A34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17" spans="1:1" x14ac:dyDescent="0.25">
      <c r="A34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18" spans="1:1" x14ac:dyDescent="0.25">
      <c r="A34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19" spans="1:1" x14ac:dyDescent="0.25">
      <c r="A34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20" spans="1:1" x14ac:dyDescent="0.25">
      <c r="A34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21" spans="1:1" x14ac:dyDescent="0.25">
      <c r="A34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22" spans="1:1" x14ac:dyDescent="0.25">
      <c r="A34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23" spans="1:1" x14ac:dyDescent="0.25">
      <c r="A34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24" spans="1:1" x14ac:dyDescent="0.25">
      <c r="A34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25" spans="1:1" x14ac:dyDescent="0.25">
      <c r="A34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26" spans="1:1" x14ac:dyDescent="0.25">
      <c r="A34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27" spans="1:1" x14ac:dyDescent="0.25">
      <c r="A34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28" spans="1:1" x14ac:dyDescent="0.25">
      <c r="A34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29" spans="1:1" x14ac:dyDescent="0.25">
      <c r="A34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30" spans="1:1" x14ac:dyDescent="0.25">
      <c r="A34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31" spans="1:1" x14ac:dyDescent="0.25">
      <c r="A34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32" spans="1:1" x14ac:dyDescent="0.25">
      <c r="A34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33" spans="1:1" x14ac:dyDescent="0.25">
      <c r="A34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34" spans="1:1" x14ac:dyDescent="0.25">
      <c r="A34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35" spans="1:1" x14ac:dyDescent="0.25">
      <c r="A34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36" spans="1:1" x14ac:dyDescent="0.25">
      <c r="A34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37" spans="1:1" x14ac:dyDescent="0.25">
      <c r="A34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38" spans="1:1" x14ac:dyDescent="0.25">
      <c r="A34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39" spans="1:1" x14ac:dyDescent="0.25">
      <c r="A34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40" spans="1:1" x14ac:dyDescent="0.25">
      <c r="A34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41" spans="1:1" x14ac:dyDescent="0.25">
      <c r="A34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42" spans="1:1" x14ac:dyDescent="0.25">
      <c r="A34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43" spans="1:1" x14ac:dyDescent="0.25">
      <c r="A34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44" spans="1:1" x14ac:dyDescent="0.25">
      <c r="A34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45" spans="1:1" x14ac:dyDescent="0.25">
      <c r="A34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46" spans="1:1" x14ac:dyDescent="0.25">
      <c r="A34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47" spans="1:1" x14ac:dyDescent="0.25">
      <c r="A34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48" spans="1:1" x14ac:dyDescent="0.25">
      <c r="A34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49" spans="1:1" x14ac:dyDescent="0.25">
      <c r="A34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50" spans="1:1" x14ac:dyDescent="0.25">
      <c r="A34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51" spans="1:1" x14ac:dyDescent="0.25">
      <c r="A34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52" spans="1:1" x14ac:dyDescent="0.25">
      <c r="A34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53" spans="1:1" x14ac:dyDescent="0.25">
      <c r="A34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54" spans="1:1" x14ac:dyDescent="0.25">
      <c r="A34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55" spans="1:1" x14ac:dyDescent="0.25">
      <c r="A34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56" spans="1:1" x14ac:dyDescent="0.25">
      <c r="A34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57" spans="1:1" x14ac:dyDescent="0.25">
      <c r="A34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58" spans="1:1" x14ac:dyDescent="0.25">
      <c r="A34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59" spans="1:1" x14ac:dyDescent="0.25">
      <c r="A34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60" spans="1:1" x14ac:dyDescent="0.25">
      <c r="A34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61" spans="1:1" x14ac:dyDescent="0.25">
      <c r="A34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62" spans="1:1" x14ac:dyDescent="0.25">
      <c r="A34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63" spans="1:1" x14ac:dyDescent="0.25">
      <c r="A34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64" spans="1:1" x14ac:dyDescent="0.25">
      <c r="A34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65" spans="1:1" x14ac:dyDescent="0.25">
      <c r="A34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66" spans="1:1" x14ac:dyDescent="0.25">
      <c r="A34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67" spans="1:1" x14ac:dyDescent="0.25">
      <c r="A34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68" spans="1:1" x14ac:dyDescent="0.25">
      <c r="A34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69" spans="1:1" x14ac:dyDescent="0.25">
      <c r="A34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70" spans="1:1" x14ac:dyDescent="0.25">
      <c r="A34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71" spans="1:1" x14ac:dyDescent="0.25">
      <c r="A34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72" spans="1:1" x14ac:dyDescent="0.25">
      <c r="A34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73" spans="1:1" x14ac:dyDescent="0.25">
      <c r="A34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74" spans="1:1" x14ac:dyDescent="0.25">
      <c r="A34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75" spans="1:1" x14ac:dyDescent="0.25">
      <c r="A34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76" spans="1:1" x14ac:dyDescent="0.25">
      <c r="A34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77" spans="1:1" x14ac:dyDescent="0.25">
      <c r="A34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78" spans="1:1" x14ac:dyDescent="0.25">
      <c r="A34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79" spans="1:1" x14ac:dyDescent="0.25">
      <c r="A34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80" spans="1:1" x14ac:dyDescent="0.25">
      <c r="A34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81" spans="1:1" x14ac:dyDescent="0.25">
      <c r="A34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82" spans="1:1" x14ac:dyDescent="0.25">
      <c r="A34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83" spans="1:1" x14ac:dyDescent="0.25">
      <c r="A34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84" spans="1:1" x14ac:dyDescent="0.25">
      <c r="A34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85" spans="1:1" x14ac:dyDescent="0.25">
      <c r="A34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86" spans="1:1" x14ac:dyDescent="0.25">
      <c r="A34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87" spans="1:1" x14ac:dyDescent="0.25">
      <c r="A34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88" spans="1:1" x14ac:dyDescent="0.25">
      <c r="A34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89" spans="1:1" x14ac:dyDescent="0.25">
      <c r="A34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90" spans="1:1" x14ac:dyDescent="0.25">
      <c r="A34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91" spans="1:1" x14ac:dyDescent="0.25">
      <c r="A34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92" spans="1:1" x14ac:dyDescent="0.25">
      <c r="A34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93" spans="1:1" x14ac:dyDescent="0.25">
      <c r="A34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94" spans="1:1" x14ac:dyDescent="0.25">
      <c r="A34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95" spans="1:1" x14ac:dyDescent="0.25">
      <c r="A34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96" spans="1:1" x14ac:dyDescent="0.25">
      <c r="A34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97" spans="1:1" x14ac:dyDescent="0.25">
      <c r="A34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98" spans="1:1" x14ac:dyDescent="0.25">
      <c r="A34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499" spans="1:1" x14ac:dyDescent="0.25">
      <c r="A34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00" spans="1:1" x14ac:dyDescent="0.25">
      <c r="A35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01" spans="1:1" x14ac:dyDescent="0.25">
      <c r="A35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02" spans="1:1" x14ac:dyDescent="0.25">
      <c r="A35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03" spans="1:1" x14ac:dyDescent="0.25">
      <c r="A35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04" spans="1:1" x14ac:dyDescent="0.25">
      <c r="A35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05" spans="1:1" x14ac:dyDescent="0.25">
      <c r="A35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06" spans="1:1" x14ac:dyDescent="0.25">
      <c r="A35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07" spans="1:1" x14ac:dyDescent="0.25">
      <c r="A35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08" spans="1:1" x14ac:dyDescent="0.25">
      <c r="A35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09" spans="1:1" x14ac:dyDescent="0.25">
      <c r="A35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10" spans="1:1" x14ac:dyDescent="0.25">
      <c r="A35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11" spans="1:1" x14ac:dyDescent="0.25">
      <c r="A35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12" spans="1:1" x14ac:dyDescent="0.25">
      <c r="A35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13" spans="1:1" x14ac:dyDescent="0.25">
      <c r="A35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14" spans="1:1" x14ac:dyDescent="0.25">
      <c r="A35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15" spans="1:1" x14ac:dyDescent="0.25">
      <c r="A35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16" spans="1:1" x14ac:dyDescent="0.25">
      <c r="A35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17" spans="1:1" x14ac:dyDescent="0.25">
      <c r="A35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18" spans="1:1" x14ac:dyDescent="0.25">
      <c r="A35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19" spans="1:1" x14ac:dyDescent="0.25">
      <c r="A35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20" spans="1:1" x14ac:dyDescent="0.25">
      <c r="A35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21" spans="1:1" x14ac:dyDescent="0.25">
      <c r="A35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22" spans="1:1" x14ac:dyDescent="0.25">
      <c r="A35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23" spans="1:1" x14ac:dyDescent="0.25">
      <c r="A35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24" spans="1:1" x14ac:dyDescent="0.25">
      <c r="A35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25" spans="1:1" x14ac:dyDescent="0.25">
      <c r="A35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26" spans="1:1" x14ac:dyDescent="0.25">
      <c r="A35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27" spans="1:1" x14ac:dyDescent="0.25">
      <c r="A35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28" spans="1:1" x14ac:dyDescent="0.25">
      <c r="A35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29" spans="1:1" x14ac:dyDescent="0.25">
      <c r="A35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30" spans="1:1" x14ac:dyDescent="0.25">
      <c r="A35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31" spans="1:1" x14ac:dyDescent="0.25">
      <c r="A35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32" spans="1:1" x14ac:dyDescent="0.25">
      <c r="A35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33" spans="1:1" x14ac:dyDescent="0.25">
      <c r="A35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34" spans="1:1" x14ac:dyDescent="0.25">
      <c r="A35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35" spans="1:1" x14ac:dyDescent="0.25">
      <c r="A35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36" spans="1:1" x14ac:dyDescent="0.25">
      <c r="A35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37" spans="1:1" x14ac:dyDescent="0.25">
      <c r="A35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38" spans="1:1" x14ac:dyDescent="0.25">
      <c r="A35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39" spans="1:1" x14ac:dyDescent="0.25">
      <c r="A35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40" spans="1:1" x14ac:dyDescent="0.25">
      <c r="A35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41" spans="1:1" x14ac:dyDescent="0.25">
      <c r="A35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42" spans="1:1" x14ac:dyDescent="0.25">
      <c r="A35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43" spans="1:1" x14ac:dyDescent="0.25">
      <c r="A35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44" spans="1:1" x14ac:dyDescent="0.25">
      <c r="A35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45" spans="1:1" x14ac:dyDescent="0.25">
      <c r="A35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46" spans="1:1" x14ac:dyDescent="0.25">
      <c r="A35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47" spans="1:1" x14ac:dyDescent="0.25">
      <c r="A35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48" spans="1:1" x14ac:dyDescent="0.25">
      <c r="A35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49" spans="1:1" x14ac:dyDescent="0.25">
      <c r="A35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50" spans="1:1" x14ac:dyDescent="0.25">
      <c r="A35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51" spans="1:1" x14ac:dyDescent="0.25">
      <c r="A35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52" spans="1:1" x14ac:dyDescent="0.25">
      <c r="A35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53" spans="1:1" x14ac:dyDescent="0.25">
      <c r="A35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54" spans="1:1" x14ac:dyDescent="0.25">
      <c r="A35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55" spans="1:1" x14ac:dyDescent="0.25">
      <c r="A35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56" spans="1:1" x14ac:dyDescent="0.25">
      <c r="A35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57" spans="1:1" x14ac:dyDescent="0.25">
      <c r="A35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58" spans="1:1" x14ac:dyDescent="0.25">
      <c r="A35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59" spans="1:1" x14ac:dyDescent="0.25">
      <c r="A35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60" spans="1:1" x14ac:dyDescent="0.25">
      <c r="A35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61" spans="1:1" x14ac:dyDescent="0.25">
      <c r="A35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62" spans="1:1" x14ac:dyDescent="0.25">
      <c r="A35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63" spans="1:1" x14ac:dyDescent="0.25">
      <c r="A35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64" spans="1:1" x14ac:dyDescent="0.25">
      <c r="A35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65" spans="1:1" x14ac:dyDescent="0.25">
      <c r="A35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66" spans="1:1" x14ac:dyDescent="0.25">
      <c r="A35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67" spans="1:1" x14ac:dyDescent="0.25">
      <c r="A35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68" spans="1:1" x14ac:dyDescent="0.25">
      <c r="A35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69" spans="1:1" x14ac:dyDescent="0.25">
      <c r="A35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70" spans="1:1" x14ac:dyDescent="0.25">
      <c r="A35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71" spans="1:1" x14ac:dyDescent="0.25">
      <c r="A35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72" spans="1:1" x14ac:dyDescent="0.25">
      <c r="A35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73" spans="1:1" x14ac:dyDescent="0.25">
      <c r="A35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74" spans="1:1" x14ac:dyDescent="0.25">
      <c r="A35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75" spans="1:1" x14ac:dyDescent="0.25">
      <c r="A35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76" spans="1:1" x14ac:dyDescent="0.25">
      <c r="A35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77" spans="1:1" x14ac:dyDescent="0.25">
      <c r="A35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78" spans="1:1" x14ac:dyDescent="0.25">
      <c r="A35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79" spans="1:1" x14ac:dyDescent="0.25">
      <c r="A35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80" spans="1:1" x14ac:dyDescent="0.25">
      <c r="A35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81" spans="1:1" x14ac:dyDescent="0.25">
      <c r="A35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82" spans="1:1" x14ac:dyDescent="0.25">
      <c r="A35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83" spans="1:1" x14ac:dyDescent="0.25">
      <c r="A35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84" spans="1:1" x14ac:dyDescent="0.25">
      <c r="A35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85" spans="1:1" x14ac:dyDescent="0.25">
      <c r="A35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86" spans="1:1" x14ac:dyDescent="0.25">
      <c r="A35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87" spans="1:1" x14ac:dyDescent="0.25">
      <c r="A35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88" spans="1:1" x14ac:dyDescent="0.25">
      <c r="A35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89" spans="1:1" x14ac:dyDescent="0.25">
      <c r="A35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90" spans="1:1" x14ac:dyDescent="0.25">
      <c r="A35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91" spans="1:1" x14ac:dyDescent="0.25">
      <c r="A35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92" spans="1:1" x14ac:dyDescent="0.25">
      <c r="A35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93" spans="1:1" x14ac:dyDescent="0.25">
      <c r="A35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94" spans="1:1" x14ac:dyDescent="0.25">
      <c r="A35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95" spans="1:1" x14ac:dyDescent="0.25">
      <c r="A35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96" spans="1:1" x14ac:dyDescent="0.25">
      <c r="A35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97" spans="1:1" x14ac:dyDescent="0.25">
      <c r="A35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98" spans="1:1" x14ac:dyDescent="0.25">
      <c r="A35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599" spans="1:1" x14ac:dyDescent="0.25">
      <c r="A35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00" spans="1:1" x14ac:dyDescent="0.25">
      <c r="A36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01" spans="1:1" x14ac:dyDescent="0.25">
      <c r="A36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02" spans="1:1" x14ac:dyDescent="0.25">
      <c r="A36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03" spans="1:1" x14ac:dyDescent="0.25">
      <c r="A36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04" spans="1:1" x14ac:dyDescent="0.25">
      <c r="A36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05" spans="1:1" x14ac:dyDescent="0.25">
      <c r="A36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06" spans="1:1" x14ac:dyDescent="0.25">
      <c r="A36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07" spans="1:1" x14ac:dyDescent="0.25">
      <c r="A36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08" spans="1:1" x14ac:dyDescent="0.25">
      <c r="A36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09" spans="1:1" x14ac:dyDescent="0.25">
      <c r="A36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10" spans="1:1" x14ac:dyDescent="0.25">
      <c r="A36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11" spans="1:1" x14ac:dyDescent="0.25">
      <c r="A36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12" spans="1:1" x14ac:dyDescent="0.25">
      <c r="A36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13" spans="1:1" x14ac:dyDescent="0.25">
      <c r="A36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14" spans="1:1" x14ac:dyDescent="0.25">
      <c r="A36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15" spans="1:1" x14ac:dyDescent="0.25">
      <c r="A36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16" spans="1:1" x14ac:dyDescent="0.25">
      <c r="A36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17" spans="1:1" x14ac:dyDescent="0.25">
      <c r="A36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18" spans="1:1" x14ac:dyDescent="0.25">
      <c r="A36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19" spans="1:1" x14ac:dyDescent="0.25">
      <c r="A36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20" spans="1:1" x14ac:dyDescent="0.25">
      <c r="A36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21" spans="1:1" x14ac:dyDescent="0.25">
      <c r="A36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22" spans="1:1" x14ac:dyDescent="0.25">
      <c r="A36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23" spans="1:1" x14ac:dyDescent="0.25">
      <c r="A36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24" spans="1:1" x14ac:dyDescent="0.25">
      <c r="A36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25" spans="1:1" x14ac:dyDescent="0.25">
      <c r="A36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26" spans="1:1" x14ac:dyDescent="0.25">
      <c r="A36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27" spans="1:1" x14ac:dyDescent="0.25">
      <c r="A36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28" spans="1:1" x14ac:dyDescent="0.25">
      <c r="A36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29" spans="1:1" x14ac:dyDescent="0.25">
      <c r="A36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30" spans="1:1" x14ac:dyDescent="0.25">
      <c r="A36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31" spans="1:1" x14ac:dyDescent="0.25">
      <c r="A36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32" spans="1:1" x14ac:dyDescent="0.25">
      <c r="A36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33" spans="1:1" x14ac:dyDescent="0.25">
      <c r="A36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34" spans="1:1" x14ac:dyDescent="0.25">
      <c r="A36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35" spans="1:1" x14ac:dyDescent="0.25">
      <c r="A36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36" spans="1:1" x14ac:dyDescent="0.25">
      <c r="A36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37" spans="1:1" x14ac:dyDescent="0.25">
      <c r="A36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38" spans="1:1" x14ac:dyDescent="0.25">
      <c r="A36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39" spans="1:1" x14ac:dyDescent="0.25">
      <c r="A36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40" spans="1:1" x14ac:dyDescent="0.25">
      <c r="A36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41" spans="1:1" x14ac:dyDescent="0.25">
      <c r="A36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42" spans="1:1" x14ac:dyDescent="0.25">
      <c r="A36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43" spans="1:1" x14ac:dyDescent="0.25">
      <c r="A36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44" spans="1:1" x14ac:dyDescent="0.25">
      <c r="A36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45" spans="1:1" x14ac:dyDescent="0.25">
      <c r="A36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46" spans="1:1" x14ac:dyDescent="0.25">
      <c r="A36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47" spans="1:1" x14ac:dyDescent="0.25">
      <c r="A36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48" spans="1:1" x14ac:dyDescent="0.25">
      <c r="A36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49" spans="1:1" x14ac:dyDescent="0.25">
      <c r="A36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50" spans="1:1" x14ac:dyDescent="0.25">
      <c r="A36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51" spans="1:1" x14ac:dyDescent="0.25">
      <c r="A36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52" spans="1:1" x14ac:dyDescent="0.25">
      <c r="A36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53" spans="1:1" x14ac:dyDescent="0.25">
      <c r="A36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54" spans="1:1" x14ac:dyDescent="0.25">
      <c r="A36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55" spans="1:1" x14ac:dyDescent="0.25">
      <c r="A36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56" spans="1:1" x14ac:dyDescent="0.25">
      <c r="A36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57" spans="1:1" x14ac:dyDescent="0.25">
      <c r="A36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58" spans="1:1" x14ac:dyDescent="0.25">
      <c r="A36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59" spans="1:1" x14ac:dyDescent="0.25">
      <c r="A36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60" spans="1:1" x14ac:dyDescent="0.25">
      <c r="A36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61" spans="1:1" x14ac:dyDescent="0.25">
      <c r="A36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62" spans="1:1" x14ac:dyDescent="0.25">
      <c r="A36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63" spans="1:1" x14ac:dyDescent="0.25">
      <c r="A36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64" spans="1:1" x14ac:dyDescent="0.25">
      <c r="A36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65" spans="1:1" x14ac:dyDescent="0.25">
      <c r="A36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66" spans="1:1" x14ac:dyDescent="0.25">
      <c r="A36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67" spans="1:1" x14ac:dyDescent="0.25">
      <c r="A36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68" spans="1:1" x14ac:dyDescent="0.25">
      <c r="A36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69" spans="1:1" x14ac:dyDescent="0.25">
      <c r="A36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70" spans="1:1" x14ac:dyDescent="0.25">
      <c r="A36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71" spans="1:1" x14ac:dyDescent="0.25">
      <c r="A36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72" spans="1:1" x14ac:dyDescent="0.25">
      <c r="A36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73" spans="1:1" x14ac:dyDescent="0.25">
      <c r="A36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74" spans="1:1" x14ac:dyDescent="0.25">
      <c r="A36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75" spans="1:1" x14ac:dyDescent="0.25">
      <c r="A36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76" spans="1:1" x14ac:dyDescent="0.25">
      <c r="A36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77" spans="1:1" x14ac:dyDescent="0.25">
      <c r="A36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78" spans="1:1" x14ac:dyDescent="0.25">
      <c r="A36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79" spans="1:1" x14ac:dyDescent="0.25">
      <c r="A36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80" spans="1:1" x14ac:dyDescent="0.25">
      <c r="A36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81" spans="1:1" x14ac:dyDescent="0.25">
      <c r="A36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82" spans="1:1" x14ac:dyDescent="0.25">
      <c r="A36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83" spans="1:1" x14ac:dyDescent="0.25">
      <c r="A36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84" spans="1:1" x14ac:dyDescent="0.25">
      <c r="A36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85" spans="1:1" x14ac:dyDescent="0.25">
      <c r="A36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86" spans="1:1" x14ac:dyDescent="0.25">
      <c r="A36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87" spans="1:1" x14ac:dyDescent="0.25">
      <c r="A36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88" spans="1:1" x14ac:dyDescent="0.25">
      <c r="A36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89" spans="1:1" x14ac:dyDescent="0.25">
      <c r="A36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90" spans="1:1" x14ac:dyDescent="0.25">
      <c r="A36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91" spans="1:1" x14ac:dyDescent="0.25">
      <c r="A36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92" spans="1:1" x14ac:dyDescent="0.25">
      <c r="A36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93" spans="1:1" x14ac:dyDescent="0.25">
      <c r="A36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94" spans="1:1" x14ac:dyDescent="0.25">
      <c r="A36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95" spans="1:1" x14ac:dyDescent="0.25">
      <c r="A36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96" spans="1:1" x14ac:dyDescent="0.25">
      <c r="A36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97" spans="1:1" x14ac:dyDescent="0.25">
      <c r="A36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98" spans="1:1" x14ac:dyDescent="0.25">
      <c r="A36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699" spans="1:1" x14ac:dyDescent="0.25">
      <c r="A36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00" spans="1:1" x14ac:dyDescent="0.25">
      <c r="A37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01" spans="1:1" x14ac:dyDescent="0.25">
      <c r="A37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02" spans="1:1" x14ac:dyDescent="0.25">
      <c r="A37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03" spans="1:1" x14ac:dyDescent="0.25">
      <c r="A37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04" spans="1:1" x14ac:dyDescent="0.25">
      <c r="A37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05" spans="1:1" x14ac:dyDescent="0.25">
      <c r="A37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06" spans="1:1" x14ac:dyDescent="0.25">
      <c r="A37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07" spans="1:1" x14ac:dyDescent="0.25">
      <c r="A37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08" spans="1:1" x14ac:dyDescent="0.25">
      <c r="A37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09" spans="1:1" x14ac:dyDescent="0.25">
      <c r="A37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10" spans="1:1" x14ac:dyDescent="0.25">
      <c r="A37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11" spans="1:1" x14ac:dyDescent="0.25">
      <c r="A37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12" spans="1:1" x14ac:dyDescent="0.25">
      <c r="A37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13" spans="1:1" x14ac:dyDescent="0.25">
      <c r="A37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14" spans="1:1" x14ac:dyDescent="0.25">
      <c r="A37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15" spans="1:1" x14ac:dyDescent="0.25">
      <c r="A37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16" spans="1:1" x14ac:dyDescent="0.25">
      <c r="A37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17" spans="1:1" x14ac:dyDescent="0.25">
      <c r="A37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18" spans="1:1" x14ac:dyDescent="0.25">
      <c r="A37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19" spans="1:1" x14ac:dyDescent="0.25">
      <c r="A37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20" spans="1:1" x14ac:dyDescent="0.25">
      <c r="A37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21" spans="1:1" x14ac:dyDescent="0.25">
      <c r="A37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22" spans="1:1" x14ac:dyDescent="0.25">
      <c r="A37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23" spans="1:1" x14ac:dyDescent="0.25">
      <c r="A37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24" spans="1:1" x14ac:dyDescent="0.25">
      <c r="A37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25" spans="1:1" x14ac:dyDescent="0.25">
      <c r="A37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26" spans="1:1" x14ac:dyDescent="0.25">
      <c r="A37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27" spans="1:1" x14ac:dyDescent="0.25">
      <c r="A37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28" spans="1:1" x14ac:dyDescent="0.25">
      <c r="A37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29" spans="1:1" x14ac:dyDescent="0.25">
      <c r="A37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30" spans="1:1" x14ac:dyDescent="0.25">
      <c r="A37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31" spans="1:1" x14ac:dyDescent="0.25">
      <c r="A37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32" spans="1:1" x14ac:dyDescent="0.25">
      <c r="A37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33" spans="1:1" x14ac:dyDescent="0.25">
      <c r="A37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34" spans="1:1" x14ac:dyDescent="0.25">
      <c r="A37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35" spans="1:1" x14ac:dyDescent="0.25">
      <c r="A37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36" spans="1:1" x14ac:dyDescent="0.25">
      <c r="A37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37" spans="1:1" x14ac:dyDescent="0.25">
      <c r="A37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38" spans="1:1" x14ac:dyDescent="0.25">
      <c r="A37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39" spans="1:1" x14ac:dyDescent="0.25">
      <c r="A37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40" spans="1:1" x14ac:dyDescent="0.25">
      <c r="A37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41" spans="1:1" x14ac:dyDescent="0.25">
      <c r="A37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42" spans="1:1" x14ac:dyDescent="0.25">
      <c r="A37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43" spans="1:1" x14ac:dyDescent="0.25">
      <c r="A37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44" spans="1:1" x14ac:dyDescent="0.25">
      <c r="A37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45" spans="1:1" x14ac:dyDescent="0.25">
      <c r="A37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46" spans="1:1" x14ac:dyDescent="0.25">
      <c r="A37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47" spans="1:1" x14ac:dyDescent="0.25">
      <c r="A37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48" spans="1:1" x14ac:dyDescent="0.25">
      <c r="A37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49" spans="1:1" x14ac:dyDescent="0.25">
      <c r="A37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50" spans="1:1" x14ac:dyDescent="0.25">
      <c r="A37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51" spans="1:1" x14ac:dyDescent="0.25">
      <c r="A37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52" spans="1:1" x14ac:dyDescent="0.25">
      <c r="A37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53" spans="1:1" x14ac:dyDescent="0.25">
      <c r="A37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54" spans="1:1" x14ac:dyDescent="0.25">
      <c r="A37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55" spans="1:1" x14ac:dyDescent="0.25">
      <c r="A37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56" spans="1:1" x14ac:dyDescent="0.25">
      <c r="A37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57" spans="1:1" x14ac:dyDescent="0.25">
      <c r="A37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58" spans="1:1" x14ac:dyDescent="0.25">
      <c r="A37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59" spans="1:1" x14ac:dyDescent="0.25">
      <c r="A37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60" spans="1:1" x14ac:dyDescent="0.25">
      <c r="A37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61" spans="1:1" x14ac:dyDescent="0.25">
      <c r="A37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62" spans="1:1" x14ac:dyDescent="0.25">
      <c r="A37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63" spans="1:1" x14ac:dyDescent="0.25">
      <c r="A37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64" spans="1:1" x14ac:dyDescent="0.25">
      <c r="A37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65" spans="1:1" x14ac:dyDescent="0.25">
      <c r="A37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66" spans="1:1" x14ac:dyDescent="0.25">
      <c r="A37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67" spans="1:1" x14ac:dyDescent="0.25">
      <c r="A37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68" spans="1:1" x14ac:dyDescent="0.25">
      <c r="A37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69" spans="1:1" x14ac:dyDescent="0.25">
      <c r="A37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70" spans="1:1" x14ac:dyDescent="0.25">
      <c r="A37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71" spans="1:1" x14ac:dyDescent="0.25">
      <c r="A37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72" spans="1:1" x14ac:dyDescent="0.25">
      <c r="A37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73" spans="1:1" x14ac:dyDescent="0.25">
      <c r="A37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74" spans="1:1" x14ac:dyDescent="0.25">
      <c r="A37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75" spans="1:1" x14ac:dyDescent="0.25">
      <c r="A37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76" spans="1:1" x14ac:dyDescent="0.25">
      <c r="A37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77" spans="1:1" x14ac:dyDescent="0.25">
      <c r="A37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78" spans="1:1" x14ac:dyDescent="0.25">
      <c r="A37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79" spans="1:1" x14ac:dyDescent="0.25">
      <c r="A37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80" spans="1:1" x14ac:dyDescent="0.25">
      <c r="A37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81" spans="1:1" x14ac:dyDescent="0.25">
      <c r="A37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82" spans="1:1" x14ac:dyDescent="0.25">
      <c r="A37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83" spans="1:1" x14ac:dyDescent="0.25">
      <c r="A37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84" spans="1:1" x14ac:dyDescent="0.25">
      <c r="A37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85" spans="1:1" x14ac:dyDescent="0.25">
      <c r="A37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86" spans="1:1" x14ac:dyDescent="0.25">
      <c r="A37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87" spans="1:1" x14ac:dyDescent="0.25">
      <c r="A37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88" spans="1:1" x14ac:dyDescent="0.25">
      <c r="A37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89" spans="1:1" x14ac:dyDescent="0.25">
      <c r="A37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90" spans="1:1" x14ac:dyDescent="0.25">
      <c r="A37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91" spans="1:1" x14ac:dyDescent="0.25">
      <c r="A37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92" spans="1:1" x14ac:dyDescent="0.25">
      <c r="A37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93" spans="1:1" x14ac:dyDescent="0.25">
      <c r="A37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94" spans="1:1" x14ac:dyDescent="0.25">
      <c r="A37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95" spans="1:1" x14ac:dyDescent="0.25">
      <c r="A37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96" spans="1:1" x14ac:dyDescent="0.25">
      <c r="A37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97" spans="1:1" x14ac:dyDescent="0.25">
      <c r="A37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98" spans="1:1" x14ac:dyDescent="0.25">
      <c r="A37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799" spans="1:1" x14ac:dyDescent="0.25">
      <c r="A37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00" spans="1:1" x14ac:dyDescent="0.25">
      <c r="A38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01" spans="1:1" x14ac:dyDescent="0.25">
      <c r="A38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02" spans="1:1" x14ac:dyDescent="0.25">
      <c r="A38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03" spans="1:1" x14ac:dyDescent="0.25">
      <c r="A38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04" spans="1:1" x14ac:dyDescent="0.25">
      <c r="A38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05" spans="1:1" x14ac:dyDescent="0.25">
      <c r="A38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06" spans="1:1" x14ac:dyDescent="0.25">
      <c r="A38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07" spans="1:1" x14ac:dyDescent="0.25">
      <c r="A38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08" spans="1:1" x14ac:dyDescent="0.25">
      <c r="A38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09" spans="1:1" x14ac:dyDescent="0.25">
      <c r="A38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10" spans="1:1" x14ac:dyDescent="0.25">
      <c r="A38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11" spans="1:1" x14ac:dyDescent="0.25">
      <c r="A38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12" spans="1:1" x14ac:dyDescent="0.25">
      <c r="A38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13" spans="1:1" x14ac:dyDescent="0.25">
      <c r="A38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14" spans="1:1" x14ac:dyDescent="0.25">
      <c r="A38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15" spans="1:1" x14ac:dyDescent="0.25">
      <c r="A38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16" spans="1:1" x14ac:dyDescent="0.25">
      <c r="A38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17" spans="1:1" x14ac:dyDescent="0.25">
      <c r="A38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18" spans="1:1" x14ac:dyDescent="0.25">
      <c r="A38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19" spans="1:1" x14ac:dyDescent="0.25">
      <c r="A38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20" spans="1:1" x14ac:dyDescent="0.25">
      <c r="A38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21" spans="1:1" x14ac:dyDescent="0.25">
      <c r="A38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22" spans="1:1" x14ac:dyDescent="0.25">
      <c r="A38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23" spans="1:1" x14ac:dyDescent="0.25">
      <c r="A38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24" spans="1:1" x14ac:dyDescent="0.25">
      <c r="A38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25" spans="1:1" x14ac:dyDescent="0.25">
      <c r="A38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26" spans="1:1" x14ac:dyDescent="0.25">
      <c r="A38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27" spans="1:1" x14ac:dyDescent="0.25">
      <c r="A38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28" spans="1:1" x14ac:dyDescent="0.25">
      <c r="A38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29" spans="1:1" x14ac:dyDescent="0.25">
      <c r="A38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30" spans="1:1" x14ac:dyDescent="0.25">
      <c r="A38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31" spans="1:1" x14ac:dyDescent="0.25">
      <c r="A38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32" spans="1:1" x14ac:dyDescent="0.25">
      <c r="A38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33" spans="1:1" x14ac:dyDescent="0.25">
      <c r="A38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34" spans="1:1" x14ac:dyDescent="0.25">
      <c r="A38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35" spans="1:1" x14ac:dyDescent="0.25">
      <c r="A38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36" spans="1:1" x14ac:dyDescent="0.25">
      <c r="A38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37" spans="1:1" x14ac:dyDescent="0.25">
      <c r="A38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38" spans="1:1" x14ac:dyDescent="0.25">
      <c r="A38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39" spans="1:1" x14ac:dyDescent="0.25">
      <c r="A38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40" spans="1:1" x14ac:dyDescent="0.25">
      <c r="A38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41" spans="1:1" x14ac:dyDescent="0.25">
      <c r="A38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42" spans="1:1" x14ac:dyDescent="0.25">
      <c r="A38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43" spans="1:1" x14ac:dyDescent="0.25">
      <c r="A38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44" spans="1:1" x14ac:dyDescent="0.25">
      <c r="A38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45" spans="1:1" x14ac:dyDescent="0.25">
      <c r="A38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46" spans="1:1" x14ac:dyDescent="0.25">
      <c r="A38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47" spans="1:1" x14ac:dyDescent="0.25">
      <c r="A38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48" spans="1:1" x14ac:dyDescent="0.25">
      <c r="A38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49" spans="1:1" x14ac:dyDescent="0.25">
      <c r="A38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50" spans="1:1" x14ac:dyDescent="0.25">
      <c r="A38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51" spans="1:1" x14ac:dyDescent="0.25">
      <c r="A38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52" spans="1:1" x14ac:dyDescent="0.25">
      <c r="A38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53" spans="1:1" x14ac:dyDescent="0.25">
      <c r="A38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54" spans="1:1" x14ac:dyDescent="0.25">
      <c r="A38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55" spans="1:1" x14ac:dyDescent="0.25">
      <c r="A38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56" spans="1:1" x14ac:dyDescent="0.25">
      <c r="A38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57" spans="1:1" x14ac:dyDescent="0.25">
      <c r="A38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58" spans="1:1" x14ac:dyDescent="0.25">
      <c r="A38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59" spans="1:1" x14ac:dyDescent="0.25">
      <c r="A38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60" spans="1:1" x14ac:dyDescent="0.25">
      <c r="A38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61" spans="1:1" x14ac:dyDescent="0.25">
      <c r="A38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62" spans="1:1" x14ac:dyDescent="0.25">
      <c r="A38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63" spans="1:1" x14ac:dyDescent="0.25">
      <c r="A38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64" spans="1:1" x14ac:dyDescent="0.25">
      <c r="A38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65" spans="1:1" x14ac:dyDescent="0.25">
      <c r="A38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66" spans="1:1" x14ac:dyDescent="0.25">
      <c r="A38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67" spans="1:1" x14ac:dyDescent="0.25">
      <c r="A38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68" spans="1:1" x14ac:dyDescent="0.25">
      <c r="A38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69" spans="1:1" x14ac:dyDescent="0.25">
      <c r="A38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70" spans="1:1" x14ac:dyDescent="0.25">
      <c r="A38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71" spans="1:1" x14ac:dyDescent="0.25">
      <c r="A38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72" spans="1:1" x14ac:dyDescent="0.25">
      <c r="A38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73" spans="1:1" x14ac:dyDescent="0.25">
      <c r="A38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74" spans="1:1" x14ac:dyDescent="0.25">
      <c r="A38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75" spans="1:1" x14ac:dyDescent="0.25">
      <c r="A38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76" spans="1:1" x14ac:dyDescent="0.25">
      <c r="A38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77" spans="1:1" x14ac:dyDescent="0.25">
      <c r="A38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78" spans="1:1" x14ac:dyDescent="0.25">
      <c r="A38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79" spans="1:1" x14ac:dyDescent="0.25">
      <c r="A38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80" spans="1:1" x14ac:dyDescent="0.25">
      <c r="A38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81" spans="1:1" x14ac:dyDescent="0.25">
      <c r="A38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82" spans="1:1" x14ac:dyDescent="0.25">
      <c r="A38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83" spans="1:1" x14ac:dyDescent="0.25">
      <c r="A38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84" spans="1:1" x14ac:dyDescent="0.25">
      <c r="A38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85" spans="1:1" x14ac:dyDescent="0.25">
      <c r="A38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86" spans="1:1" x14ac:dyDescent="0.25">
      <c r="A38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87" spans="1:1" x14ac:dyDescent="0.25">
      <c r="A38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88" spans="1:1" x14ac:dyDescent="0.25">
      <c r="A38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89" spans="1:1" x14ac:dyDescent="0.25">
      <c r="A38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90" spans="1:1" x14ac:dyDescent="0.25">
      <c r="A38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91" spans="1:1" x14ac:dyDescent="0.25">
      <c r="A38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92" spans="1:1" x14ac:dyDescent="0.25">
      <c r="A38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93" spans="1:1" x14ac:dyDescent="0.25">
      <c r="A38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94" spans="1:1" x14ac:dyDescent="0.25">
      <c r="A38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95" spans="1:1" x14ac:dyDescent="0.25">
      <c r="A38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96" spans="1:1" x14ac:dyDescent="0.25">
      <c r="A38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97" spans="1:1" x14ac:dyDescent="0.25">
      <c r="A38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98" spans="1:1" x14ac:dyDescent="0.25">
      <c r="A38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899" spans="1:1" x14ac:dyDescent="0.25">
      <c r="A38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00" spans="1:1" x14ac:dyDescent="0.25">
      <c r="A39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01" spans="1:1" x14ac:dyDescent="0.25">
      <c r="A39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02" spans="1:1" x14ac:dyDescent="0.25">
      <c r="A39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03" spans="1:1" x14ac:dyDescent="0.25">
      <c r="A39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04" spans="1:1" x14ac:dyDescent="0.25">
      <c r="A39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05" spans="1:1" x14ac:dyDescent="0.25">
      <c r="A39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06" spans="1:1" x14ac:dyDescent="0.25">
      <c r="A39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07" spans="1:1" x14ac:dyDescent="0.25">
      <c r="A39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08" spans="1:1" x14ac:dyDescent="0.25">
      <c r="A39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09" spans="1:1" x14ac:dyDescent="0.25">
      <c r="A39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10" spans="1:1" x14ac:dyDescent="0.25">
      <c r="A39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11" spans="1:1" x14ac:dyDescent="0.25">
      <c r="A39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12" spans="1:1" x14ac:dyDescent="0.25">
      <c r="A39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13" spans="1:1" x14ac:dyDescent="0.25">
      <c r="A39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14" spans="1:1" x14ac:dyDescent="0.25">
      <c r="A39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15" spans="1:1" x14ac:dyDescent="0.25">
      <c r="A39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16" spans="1:1" x14ac:dyDescent="0.25">
      <c r="A39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17" spans="1:1" x14ac:dyDescent="0.25">
      <c r="A39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18" spans="1:1" x14ac:dyDescent="0.25">
      <c r="A39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19" spans="1:1" x14ac:dyDescent="0.25">
      <c r="A39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20" spans="1:1" x14ac:dyDescent="0.25">
      <c r="A39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21" spans="1:1" x14ac:dyDescent="0.25">
      <c r="A39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22" spans="1:1" x14ac:dyDescent="0.25">
      <c r="A39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23" spans="1:1" x14ac:dyDescent="0.25">
      <c r="A39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24" spans="1:1" x14ac:dyDescent="0.25">
      <c r="A39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25" spans="1:1" x14ac:dyDescent="0.25">
      <c r="A39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26" spans="1:1" x14ac:dyDescent="0.25">
      <c r="A39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27" spans="1:1" x14ac:dyDescent="0.25">
      <c r="A39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28" spans="1:1" x14ac:dyDescent="0.25">
      <c r="A39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29" spans="1:1" x14ac:dyDescent="0.25">
      <c r="A39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30" spans="1:1" x14ac:dyDescent="0.25">
      <c r="A39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31" spans="1:1" x14ac:dyDescent="0.25">
      <c r="A39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32" spans="1:1" x14ac:dyDescent="0.25">
      <c r="A39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33" spans="1:1" x14ac:dyDescent="0.25">
      <c r="A39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34" spans="1:1" x14ac:dyDescent="0.25">
      <c r="A39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35" spans="1:1" x14ac:dyDescent="0.25">
      <c r="A39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36" spans="1:1" x14ac:dyDescent="0.25">
      <c r="A39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37" spans="1:1" x14ac:dyDescent="0.25">
      <c r="A39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38" spans="1:1" x14ac:dyDescent="0.25">
      <c r="A39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39" spans="1:1" x14ac:dyDescent="0.25">
      <c r="A39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40" spans="1:1" x14ac:dyDescent="0.25">
      <c r="A39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41" spans="1:1" x14ac:dyDescent="0.25">
      <c r="A39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42" spans="1:1" x14ac:dyDescent="0.25">
      <c r="A39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43" spans="1:1" x14ac:dyDescent="0.25">
      <c r="A39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44" spans="1:1" x14ac:dyDescent="0.25">
      <c r="A39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45" spans="1:1" x14ac:dyDescent="0.25">
      <c r="A39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46" spans="1:1" x14ac:dyDescent="0.25">
      <c r="A39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47" spans="1:1" x14ac:dyDescent="0.25">
      <c r="A39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48" spans="1:1" x14ac:dyDescent="0.25">
      <c r="A39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49" spans="1:1" x14ac:dyDescent="0.25">
      <c r="A39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50" spans="1:1" x14ac:dyDescent="0.25">
      <c r="A39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51" spans="1:1" x14ac:dyDescent="0.25">
      <c r="A39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52" spans="1:1" x14ac:dyDescent="0.25">
      <c r="A39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53" spans="1:1" x14ac:dyDescent="0.25">
      <c r="A39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54" spans="1:1" x14ac:dyDescent="0.25">
      <c r="A39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55" spans="1:1" x14ac:dyDescent="0.25">
      <c r="A39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56" spans="1:1" x14ac:dyDescent="0.25">
      <c r="A39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57" spans="1:1" x14ac:dyDescent="0.25">
      <c r="A39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58" spans="1:1" x14ac:dyDescent="0.25">
      <c r="A39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59" spans="1:1" x14ac:dyDescent="0.25">
      <c r="A39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60" spans="1:1" x14ac:dyDescent="0.25">
      <c r="A39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61" spans="1:1" x14ac:dyDescent="0.25">
      <c r="A39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62" spans="1:1" x14ac:dyDescent="0.25">
      <c r="A39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63" spans="1:1" x14ac:dyDescent="0.25">
      <c r="A39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64" spans="1:1" x14ac:dyDescent="0.25">
      <c r="A39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65" spans="1:1" x14ac:dyDescent="0.25">
      <c r="A39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66" spans="1:1" x14ac:dyDescent="0.25">
      <c r="A39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67" spans="1:1" x14ac:dyDescent="0.25">
      <c r="A39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68" spans="1:1" x14ac:dyDescent="0.25">
      <c r="A39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69" spans="1:1" x14ac:dyDescent="0.25">
      <c r="A39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70" spans="1:1" x14ac:dyDescent="0.25">
      <c r="A39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71" spans="1:1" x14ac:dyDescent="0.25">
      <c r="A39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72" spans="1:1" x14ac:dyDescent="0.25">
      <c r="A39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73" spans="1:1" x14ac:dyDescent="0.25">
      <c r="A39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74" spans="1:1" x14ac:dyDescent="0.25">
      <c r="A39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75" spans="1:1" x14ac:dyDescent="0.25">
      <c r="A39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76" spans="1:1" x14ac:dyDescent="0.25">
      <c r="A39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77" spans="1:1" x14ac:dyDescent="0.25">
      <c r="A39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78" spans="1:1" x14ac:dyDescent="0.25">
      <c r="A39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79" spans="1:1" x14ac:dyDescent="0.25">
      <c r="A39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80" spans="1:1" x14ac:dyDescent="0.25">
      <c r="A39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81" spans="1:1" x14ac:dyDescent="0.25">
      <c r="A39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82" spans="1:1" x14ac:dyDescent="0.25">
      <c r="A39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83" spans="1:1" x14ac:dyDescent="0.25">
      <c r="A39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84" spans="1:1" x14ac:dyDescent="0.25">
      <c r="A39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85" spans="1:1" x14ac:dyDescent="0.25">
      <c r="A39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86" spans="1:1" x14ac:dyDescent="0.25">
      <c r="A39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87" spans="1:1" x14ac:dyDescent="0.25">
      <c r="A39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88" spans="1:1" x14ac:dyDescent="0.25">
      <c r="A39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89" spans="1:1" x14ac:dyDescent="0.25">
      <c r="A39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90" spans="1:1" x14ac:dyDescent="0.25">
      <c r="A39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91" spans="1:1" x14ac:dyDescent="0.25">
      <c r="A39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92" spans="1:1" x14ac:dyDescent="0.25">
      <c r="A39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93" spans="1:1" x14ac:dyDescent="0.25">
      <c r="A39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94" spans="1:1" x14ac:dyDescent="0.25">
      <c r="A39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95" spans="1:1" x14ac:dyDescent="0.25">
      <c r="A39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96" spans="1:1" x14ac:dyDescent="0.25">
      <c r="A39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97" spans="1:1" x14ac:dyDescent="0.25">
      <c r="A39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98" spans="1:1" x14ac:dyDescent="0.25">
      <c r="A39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3999" spans="1:1" x14ac:dyDescent="0.25">
      <c r="A39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00" spans="1:1" x14ac:dyDescent="0.25">
      <c r="A40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01" spans="1:1" x14ac:dyDescent="0.25">
      <c r="A40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02" spans="1:1" x14ac:dyDescent="0.25">
      <c r="A40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03" spans="1:1" x14ac:dyDescent="0.25">
      <c r="A40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04" spans="1:1" x14ac:dyDescent="0.25">
      <c r="A40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05" spans="1:1" x14ac:dyDescent="0.25">
      <c r="A40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06" spans="1:1" x14ac:dyDescent="0.25">
      <c r="A40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07" spans="1:1" x14ac:dyDescent="0.25">
      <c r="A40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08" spans="1:1" x14ac:dyDescent="0.25">
      <c r="A40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09" spans="1:1" x14ac:dyDescent="0.25">
      <c r="A40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10" spans="1:1" x14ac:dyDescent="0.25">
      <c r="A40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11" spans="1:1" x14ac:dyDescent="0.25">
      <c r="A40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12" spans="1:1" x14ac:dyDescent="0.25">
      <c r="A40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13" spans="1:1" x14ac:dyDescent="0.25">
      <c r="A40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14" spans="1:1" x14ac:dyDescent="0.25">
      <c r="A40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15" spans="1:1" x14ac:dyDescent="0.25">
      <c r="A40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16" spans="1:1" x14ac:dyDescent="0.25">
      <c r="A40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17" spans="1:1" x14ac:dyDescent="0.25">
      <c r="A40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18" spans="1:1" x14ac:dyDescent="0.25">
      <c r="A40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19" spans="1:1" x14ac:dyDescent="0.25">
      <c r="A40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20" spans="1:1" x14ac:dyDescent="0.25">
      <c r="A40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21" spans="1:1" x14ac:dyDescent="0.25">
      <c r="A40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22" spans="1:1" x14ac:dyDescent="0.25">
      <c r="A40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23" spans="1:1" x14ac:dyDescent="0.25">
      <c r="A40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24" spans="1:1" x14ac:dyDescent="0.25">
      <c r="A40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25" spans="1:1" x14ac:dyDescent="0.25">
      <c r="A40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26" spans="1:1" x14ac:dyDescent="0.25">
      <c r="A40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27" spans="1:1" x14ac:dyDescent="0.25">
      <c r="A40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28" spans="1:1" x14ac:dyDescent="0.25">
      <c r="A40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29" spans="1:1" x14ac:dyDescent="0.25">
      <c r="A40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30" spans="1:1" x14ac:dyDescent="0.25">
      <c r="A40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31" spans="1:1" x14ac:dyDescent="0.25">
      <c r="A40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32" spans="1:1" x14ac:dyDescent="0.25">
      <c r="A40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33" spans="1:1" x14ac:dyDescent="0.25">
      <c r="A40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34" spans="1:1" x14ac:dyDescent="0.25">
      <c r="A40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35" spans="1:1" x14ac:dyDescent="0.25">
      <c r="A40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36" spans="1:1" x14ac:dyDescent="0.25">
      <c r="A40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37" spans="1:1" x14ac:dyDescent="0.25">
      <c r="A40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38" spans="1:1" x14ac:dyDescent="0.25">
      <c r="A40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39" spans="1:1" x14ac:dyDescent="0.25">
      <c r="A40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40" spans="1:1" x14ac:dyDescent="0.25">
      <c r="A40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41" spans="1:1" x14ac:dyDescent="0.25">
      <c r="A40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42" spans="1:1" x14ac:dyDescent="0.25">
      <c r="A40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43" spans="1:1" x14ac:dyDescent="0.25">
      <c r="A40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44" spans="1:1" x14ac:dyDescent="0.25">
      <c r="A40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45" spans="1:1" x14ac:dyDescent="0.25">
      <c r="A40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46" spans="1:1" x14ac:dyDescent="0.25">
      <c r="A40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47" spans="1:1" x14ac:dyDescent="0.25">
      <c r="A40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48" spans="1:1" x14ac:dyDescent="0.25">
      <c r="A40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49" spans="1:1" x14ac:dyDescent="0.25">
      <c r="A40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50" spans="1:1" x14ac:dyDescent="0.25">
      <c r="A40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51" spans="1:1" x14ac:dyDescent="0.25">
      <c r="A40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52" spans="1:1" x14ac:dyDescent="0.25">
      <c r="A40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53" spans="1:1" x14ac:dyDescent="0.25">
      <c r="A40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54" spans="1:1" x14ac:dyDescent="0.25">
      <c r="A40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55" spans="1:1" x14ac:dyDescent="0.25">
      <c r="A40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56" spans="1:1" x14ac:dyDescent="0.25">
      <c r="A40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57" spans="1:1" x14ac:dyDescent="0.25">
      <c r="A40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58" spans="1:1" x14ac:dyDescent="0.25">
      <c r="A40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59" spans="1:1" x14ac:dyDescent="0.25">
      <c r="A40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60" spans="1:1" x14ac:dyDescent="0.25">
      <c r="A40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61" spans="1:1" x14ac:dyDescent="0.25">
      <c r="A40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62" spans="1:1" x14ac:dyDescent="0.25">
      <c r="A40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63" spans="1:1" x14ac:dyDescent="0.25">
      <c r="A40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64" spans="1:1" x14ac:dyDescent="0.25">
      <c r="A40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65" spans="1:1" x14ac:dyDescent="0.25">
      <c r="A40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66" spans="1:1" x14ac:dyDescent="0.25">
      <c r="A40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67" spans="1:1" x14ac:dyDescent="0.25">
      <c r="A40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68" spans="1:1" x14ac:dyDescent="0.25">
      <c r="A40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69" spans="1:1" x14ac:dyDescent="0.25">
      <c r="A40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70" spans="1:1" x14ac:dyDescent="0.25">
      <c r="A40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71" spans="1:1" x14ac:dyDescent="0.25">
      <c r="A40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72" spans="1:1" x14ac:dyDescent="0.25">
      <c r="A40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73" spans="1:1" x14ac:dyDescent="0.25">
      <c r="A40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74" spans="1:1" x14ac:dyDescent="0.25">
      <c r="A40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75" spans="1:1" x14ac:dyDescent="0.25">
      <c r="A40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76" spans="1:1" x14ac:dyDescent="0.25">
      <c r="A40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77" spans="1:1" x14ac:dyDescent="0.25">
      <c r="A40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78" spans="1:1" x14ac:dyDescent="0.25">
      <c r="A40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79" spans="1:1" x14ac:dyDescent="0.25">
      <c r="A40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80" spans="1:1" x14ac:dyDescent="0.25">
      <c r="A40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81" spans="1:1" x14ac:dyDescent="0.25">
      <c r="A40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82" spans="1:1" x14ac:dyDescent="0.25">
      <c r="A40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83" spans="1:1" x14ac:dyDescent="0.25">
      <c r="A40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84" spans="1:1" x14ac:dyDescent="0.25">
      <c r="A40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85" spans="1:1" x14ac:dyDescent="0.25">
      <c r="A40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86" spans="1:1" x14ac:dyDescent="0.25">
      <c r="A40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87" spans="1:1" x14ac:dyDescent="0.25">
      <c r="A40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88" spans="1:1" x14ac:dyDescent="0.25">
      <c r="A40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89" spans="1:1" x14ac:dyDescent="0.25">
      <c r="A40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90" spans="1:1" x14ac:dyDescent="0.25">
      <c r="A40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91" spans="1:1" x14ac:dyDescent="0.25">
      <c r="A40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92" spans="1:1" x14ac:dyDescent="0.25">
      <c r="A40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93" spans="1:1" x14ac:dyDescent="0.25">
      <c r="A40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94" spans="1:1" x14ac:dyDescent="0.25">
      <c r="A40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95" spans="1:1" x14ac:dyDescent="0.25">
      <c r="A40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96" spans="1:1" x14ac:dyDescent="0.25">
      <c r="A40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97" spans="1:1" x14ac:dyDescent="0.25">
      <c r="A40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98" spans="1:1" x14ac:dyDescent="0.25">
      <c r="A40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099" spans="1:1" x14ac:dyDescent="0.25">
      <c r="A40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00" spans="1:1" x14ac:dyDescent="0.25">
      <c r="A41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01" spans="1:1" x14ac:dyDescent="0.25">
      <c r="A41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02" spans="1:1" x14ac:dyDescent="0.25">
      <c r="A41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03" spans="1:1" x14ac:dyDescent="0.25">
      <c r="A41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04" spans="1:1" x14ac:dyDescent="0.25">
      <c r="A41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05" spans="1:1" x14ac:dyDescent="0.25">
      <c r="A41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06" spans="1:1" x14ac:dyDescent="0.25">
      <c r="A41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07" spans="1:1" x14ac:dyDescent="0.25">
      <c r="A41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08" spans="1:1" x14ac:dyDescent="0.25">
      <c r="A41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09" spans="1:1" x14ac:dyDescent="0.25">
      <c r="A41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10" spans="1:1" x14ac:dyDescent="0.25">
      <c r="A41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11" spans="1:1" x14ac:dyDescent="0.25">
      <c r="A41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12" spans="1:1" x14ac:dyDescent="0.25">
      <c r="A41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13" spans="1:1" x14ac:dyDescent="0.25">
      <c r="A41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14" spans="1:1" x14ac:dyDescent="0.25">
      <c r="A41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15" spans="1:1" x14ac:dyDescent="0.25">
      <c r="A41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16" spans="1:1" x14ac:dyDescent="0.25">
      <c r="A41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17" spans="1:1" x14ac:dyDescent="0.25">
      <c r="A41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18" spans="1:1" x14ac:dyDescent="0.25">
      <c r="A41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19" spans="1:1" x14ac:dyDescent="0.25">
      <c r="A41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20" spans="1:1" x14ac:dyDescent="0.25">
      <c r="A41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21" spans="1:1" x14ac:dyDescent="0.25">
      <c r="A41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22" spans="1:1" x14ac:dyDescent="0.25">
      <c r="A41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23" spans="1:1" x14ac:dyDescent="0.25">
      <c r="A41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24" spans="1:1" x14ac:dyDescent="0.25">
      <c r="A41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25" spans="1:1" x14ac:dyDescent="0.25">
      <c r="A41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26" spans="1:1" x14ac:dyDescent="0.25">
      <c r="A41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27" spans="1:1" x14ac:dyDescent="0.25">
      <c r="A41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28" spans="1:1" x14ac:dyDescent="0.25">
      <c r="A41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29" spans="1:1" x14ac:dyDescent="0.25">
      <c r="A41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30" spans="1:1" x14ac:dyDescent="0.25">
      <c r="A41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31" spans="1:1" x14ac:dyDescent="0.25">
      <c r="A41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32" spans="1:1" x14ac:dyDescent="0.25">
      <c r="A41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33" spans="1:1" x14ac:dyDescent="0.25">
      <c r="A41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34" spans="1:1" x14ac:dyDescent="0.25">
      <c r="A41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35" spans="1:1" x14ac:dyDescent="0.25">
      <c r="A41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36" spans="1:1" x14ac:dyDescent="0.25">
      <c r="A41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37" spans="1:1" x14ac:dyDescent="0.25">
      <c r="A41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38" spans="1:1" x14ac:dyDescent="0.25">
      <c r="A41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39" spans="1:1" x14ac:dyDescent="0.25">
      <c r="A41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40" spans="1:1" x14ac:dyDescent="0.25">
      <c r="A41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41" spans="1:1" x14ac:dyDescent="0.25">
      <c r="A41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42" spans="1:1" x14ac:dyDescent="0.25">
      <c r="A41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43" spans="1:1" x14ac:dyDescent="0.25">
      <c r="A41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44" spans="1:1" x14ac:dyDescent="0.25">
      <c r="A41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45" spans="1:1" x14ac:dyDescent="0.25">
      <c r="A41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46" spans="1:1" x14ac:dyDescent="0.25">
      <c r="A41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47" spans="1:1" x14ac:dyDescent="0.25">
      <c r="A41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48" spans="1:1" x14ac:dyDescent="0.25">
      <c r="A41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49" spans="1:1" x14ac:dyDescent="0.25">
      <c r="A41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50" spans="1:1" x14ac:dyDescent="0.25">
      <c r="A41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51" spans="1:1" x14ac:dyDescent="0.25">
      <c r="A41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52" spans="1:1" x14ac:dyDescent="0.25">
      <c r="A41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53" spans="1:1" x14ac:dyDescent="0.25">
      <c r="A41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54" spans="1:1" x14ac:dyDescent="0.25">
      <c r="A41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55" spans="1:1" x14ac:dyDescent="0.25">
      <c r="A41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56" spans="1:1" x14ac:dyDescent="0.25">
      <c r="A41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57" spans="1:1" x14ac:dyDescent="0.25">
      <c r="A41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58" spans="1:1" x14ac:dyDescent="0.25">
      <c r="A41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59" spans="1:1" x14ac:dyDescent="0.25">
      <c r="A41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60" spans="1:1" x14ac:dyDescent="0.25">
      <c r="A41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61" spans="1:1" x14ac:dyDescent="0.25">
      <c r="A41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62" spans="1:1" x14ac:dyDescent="0.25">
      <c r="A41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63" spans="1:1" x14ac:dyDescent="0.25">
      <c r="A41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64" spans="1:1" x14ac:dyDescent="0.25">
      <c r="A41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65" spans="1:1" x14ac:dyDescent="0.25">
      <c r="A41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66" spans="1:1" x14ac:dyDescent="0.25">
      <c r="A41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67" spans="1:1" x14ac:dyDescent="0.25">
      <c r="A41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68" spans="1:1" x14ac:dyDescent="0.25">
      <c r="A41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69" spans="1:1" x14ac:dyDescent="0.25">
      <c r="A41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70" spans="1:1" x14ac:dyDescent="0.25">
      <c r="A41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71" spans="1:1" x14ac:dyDescent="0.25">
      <c r="A41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72" spans="1:1" x14ac:dyDescent="0.25">
      <c r="A41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73" spans="1:1" x14ac:dyDescent="0.25">
      <c r="A41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74" spans="1:1" x14ac:dyDescent="0.25">
      <c r="A41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75" spans="1:1" x14ac:dyDescent="0.25">
      <c r="A41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76" spans="1:1" x14ac:dyDescent="0.25">
      <c r="A41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77" spans="1:1" x14ac:dyDescent="0.25">
      <c r="A41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78" spans="1:1" x14ac:dyDescent="0.25">
      <c r="A41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79" spans="1:1" x14ac:dyDescent="0.25">
      <c r="A41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80" spans="1:1" x14ac:dyDescent="0.25">
      <c r="A41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81" spans="1:1" x14ac:dyDescent="0.25">
      <c r="A41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82" spans="1:1" x14ac:dyDescent="0.25">
      <c r="A41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83" spans="1:1" x14ac:dyDescent="0.25">
      <c r="A41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84" spans="1:1" x14ac:dyDescent="0.25">
      <c r="A41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85" spans="1:1" x14ac:dyDescent="0.25">
      <c r="A41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86" spans="1:1" x14ac:dyDescent="0.25">
      <c r="A41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87" spans="1:1" x14ac:dyDescent="0.25">
      <c r="A41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88" spans="1:1" x14ac:dyDescent="0.25">
      <c r="A41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89" spans="1:1" x14ac:dyDescent="0.25">
      <c r="A41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90" spans="1:1" x14ac:dyDescent="0.25">
      <c r="A41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91" spans="1:1" x14ac:dyDescent="0.25">
      <c r="A41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92" spans="1:1" x14ac:dyDescent="0.25">
      <c r="A41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93" spans="1:1" x14ac:dyDescent="0.25">
      <c r="A41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94" spans="1:1" x14ac:dyDescent="0.25">
      <c r="A41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95" spans="1:1" x14ac:dyDescent="0.25">
      <c r="A41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96" spans="1:1" x14ac:dyDescent="0.25">
      <c r="A41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97" spans="1:1" x14ac:dyDescent="0.25">
      <c r="A41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98" spans="1:1" x14ac:dyDescent="0.25">
      <c r="A41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199" spans="1:1" x14ac:dyDescent="0.25">
      <c r="A41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00" spans="1:1" x14ac:dyDescent="0.25">
      <c r="A42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01" spans="1:1" x14ac:dyDescent="0.25">
      <c r="A42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02" spans="1:1" x14ac:dyDescent="0.25">
      <c r="A42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03" spans="1:1" x14ac:dyDescent="0.25">
      <c r="A42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04" spans="1:1" x14ac:dyDescent="0.25">
      <c r="A42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05" spans="1:1" x14ac:dyDescent="0.25">
      <c r="A42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06" spans="1:1" x14ac:dyDescent="0.25">
      <c r="A42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07" spans="1:1" x14ac:dyDescent="0.25">
      <c r="A42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08" spans="1:1" x14ac:dyDescent="0.25">
      <c r="A42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09" spans="1:1" x14ac:dyDescent="0.25">
      <c r="A42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10" spans="1:1" x14ac:dyDescent="0.25">
      <c r="A42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11" spans="1:1" x14ac:dyDescent="0.25">
      <c r="A42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12" spans="1:1" x14ac:dyDescent="0.25">
      <c r="A42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13" spans="1:1" x14ac:dyDescent="0.25">
      <c r="A42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14" spans="1:1" x14ac:dyDescent="0.25">
      <c r="A42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15" spans="1:1" x14ac:dyDescent="0.25">
      <c r="A42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16" spans="1:1" x14ac:dyDescent="0.25">
      <c r="A42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17" spans="1:1" x14ac:dyDescent="0.25">
      <c r="A42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18" spans="1:1" x14ac:dyDescent="0.25">
      <c r="A42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19" spans="1:1" x14ac:dyDescent="0.25">
      <c r="A42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20" spans="1:1" x14ac:dyDescent="0.25">
      <c r="A42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21" spans="1:1" x14ac:dyDescent="0.25">
      <c r="A42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22" spans="1:1" x14ac:dyDescent="0.25">
      <c r="A42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23" spans="1:1" x14ac:dyDescent="0.25">
      <c r="A42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24" spans="1:1" x14ac:dyDescent="0.25">
      <c r="A42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25" spans="1:1" x14ac:dyDescent="0.25">
      <c r="A42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26" spans="1:1" x14ac:dyDescent="0.25">
      <c r="A42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27" spans="1:1" x14ac:dyDescent="0.25">
      <c r="A42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28" spans="1:1" x14ac:dyDescent="0.25">
      <c r="A42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29" spans="1:1" x14ac:dyDescent="0.25">
      <c r="A42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30" spans="1:1" x14ac:dyDescent="0.25">
      <c r="A42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31" spans="1:1" x14ac:dyDescent="0.25">
      <c r="A42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32" spans="1:1" x14ac:dyDescent="0.25">
      <c r="A42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33" spans="1:1" x14ac:dyDescent="0.25">
      <c r="A42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34" spans="1:1" x14ac:dyDescent="0.25">
      <c r="A42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35" spans="1:1" x14ac:dyDescent="0.25">
      <c r="A42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36" spans="1:1" x14ac:dyDescent="0.25">
      <c r="A42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37" spans="1:1" x14ac:dyDescent="0.25">
      <c r="A42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38" spans="1:1" x14ac:dyDescent="0.25">
      <c r="A42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39" spans="1:1" x14ac:dyDescent="0.25">
      <c r="A42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40" spans="1:1" x14ac:dyDescent="0.25">
      <c r="A42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41" spans="1:1" x14ac:dyDescent="0.25">
      <c r="A42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42" spans="1:1" x14ac:dyDescent="0.25">
      <c r="A42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43" spans="1:1" x14ac:dyDescent="0.25">
      <c r="A42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44" spans="1:1" x14ac:dyDescent="0.25">
      <c r="A42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45" spans="1:1" x14ac:dyDescent="0.25">
      <c r="A42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46" spans="1:1" x14ac:dyDescent="0.25">
      <c r="A42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47" spans="1:1" x14ac:dyDescent="0.25">
      <c r="A42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48" spans="1:1" x14ac:dyDescent="0.25">
      <c r="A42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49" spans="1:1" x14ac:dyDescent="0.25">
      <c r="A42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50" spans="1:1" x14ac:dyDescent="0.25">
      <c r="A42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51" spans="1:1" x14ac:dyDescent="0.25">
      <c r="A42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52" spans="1:1" x14ac:dyDescent="0.25">
      <c r="A42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53" spans="1:1" x14ac:dyDescent="0.25">
      <c r="A42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54" spans="1:1" x14ac:dyDescent="0.25">
      <c r="A42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55" spans="1:1" x14ac:dyDescent="0.25">
      <c r="A42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56" spans="1:1" x14ac:dyDescent="0.25">
      <c r="A42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57" spans="1:1" x14ac:dyDescent="0.25">
      <c r="A42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58" spans="1:1" x14ac:dyDescent="0.25">
      <c r="A42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59" spans="1:1" x14ac:dyDescent="0.25">
      <c r="A42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60" spans="1:1" x14ac:dyDescent="0.25">
      <c r="A42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61" spans="1:1" x14ac:dyDescent="0.25">
      <c r="A42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62" spans="1:1" x14ac:dyDescent="0.25">
      <c r="A42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63" spans="1:1" x14ac:dyDescent="0.25">
      <c r="A42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64" spans="1:1" x14ac:dyDescent="0.25">
      <c r="A42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65" spans="1:1" x14ac:dyDescent="0.25">
      <c r="A42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66" spans="1:1" x14ac:dyDescent="0.25">
      <c r="A42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67" spans="1:1" x14ac:dyDescent="0.25">
      <c r="A42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68" spans="1:1" x14ac:dyDescent="0.25">
      <c r="A42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69" spans="1:1" x14ac:dyDescent="0.25">
      <c r="A42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70" spans="1:1" x14ac:dyDescent="0.25">
      <c r="A42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71" spans="1:1" x14ac:dyDescent="0.25">
      <c r="A42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72" spans="1:1" x14ac:dyDescent="0.25">
      <c r="A42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73" spans="1:1" x14ac:dyDescent="0.25">
      <c r="A42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74" spans="1:1" x14ac:dyDescent="0.25">
      <c r="A42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75" spans="1:1" x14ac:dyDescent="0.25">
      <c r="A42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76" spans="1:1" x14ac:dyDescent="0.25">
      <c r="A42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77" spans="1:1" x14ac:dyDescent="0.25">
      <c r="A42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78" spans="1:1" x14ac:dyDescent="0.25">
      <c r="A42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79" spans="1:1" x14ac:dyDescent="0.25">
      <c r="A42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80" spans="1:1" x14ac:dyDescent="0.25">
      <c r="A42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81" spans="1:1" x14ac:dyDescent="0.25">
      <c r="A42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82" spans="1:1" x14ac:dyDescent="0.25">
      <c r="A42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83" spans="1:1" x14ac:dyDescent="0.25">
      <c r="A42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84" spans="1:1" x14ac:dyDescent="0.25">
      <c r="A42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85" spans="1:1" x14ac:dyDescent="0.25">
      <c r="A42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86" spans="1:1" x14ac:dyDescent="0.25">
      <c r="A42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87" spans="1:1" x14ac:dyDescent="0.25">
      <c r="A42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88" spans="1:1" x14ac:dyDescent="0.25">
      <c r="A42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89" spans="1:1" x14ac:dyDescent="0.25">
      <c r="A42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90" spans="1:1" x14ac:dyDescent="0.25">
      <c r="A42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91" spans="1:1" x14ac:dyDescent="0.25">
      <c r="A42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92" spans="1:1" x14ac:dyDescent="0.25">
      <c r="A42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93" spans="1:1" x14ac:dyDescent="0.25">
      <c r="A42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94" spans="1:1" x14ac:dyDescent="0.25">
      <c r="A42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95" spans="1:1" x14ac:dyDescent="0.25">
      <c r="A42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96" spans="1:1" x14ac:dyDescent="0.25">
      <c r="A42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97" spans="1:1" x14ac:dyDescent="0.25">
      <c r="A42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98" spans="1:1" x14ac:dyDescent="0.25">
      <c r="A42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299" spans="1:1" x14ac:dyDescent="0.25">
      <c r="A42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00" spans="1:1" x14ac:dyDescent="0.25">
      <c r="A43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01" spans="1:1" x14ac:dyDescent="0.25">
      <c r="A43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02" spans="1:1" x14ac:dyDescent="0.25">
      <c r="A43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03" spans="1:1" x14ac:dyDescent="0.25">
      <c r="A43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04" spans="1:1" x14ac:dyDescent="0.25">
      <c r="A43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05" spans="1:1" x14ac:dyDescent="0.25">
      <c r="A43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06" spans="1:1" x14ac:dyDescent="0.25">
      <c r="A43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07" spans="1:1" x14ac:dyDescent="0.25">
      <c r="A43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08" spans="1:1" x14ac:dyDescent="0.25">
      <c r="A43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09" spans="1:1" x14ac:dyDescent="0.25">
      <c r="A43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10" spans="1:1" x14ac:dyDescent="0.25">
      <c r="A43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11" spans="1:1" x14ac:dyDescent="0.25">
      <c r="A43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12" spans="1:1" x14ac:dyDescent="0.25">
      <c r="A43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13" spans="1:1" x14ac:dyDescent="0.25">
      <c r="A43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14" spans="1:1" x14ac:dyDescent="0.25">
      <c r="A43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15" spans="1:1" x14ac:dyDescent="0.25">
      <c r="A43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16" spans="1:1" x14ac:dyDescent="0.25">
      <c r="A43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17" spans="1:1" x14ac:dyDescent="0.25">
      <c r="A43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18" spans="1:1" x14ac:dyDescent="0.25">
      <c r="A43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19" spans="1:1" x14ac:dyDescent="0.25">
      <c r="A43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20" spans="1:1" x14ac:dyDescent="0.25">
      <c r="A43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21" spans="1:1" x14ac:dyDescent="0.25">
      <c r="A43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22" spans="1:1" x14ac:dyDescent="0.25">
      <c r="A43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23" spans="1:1" x14ac:dyDescent="0.25">
      <c r="A43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24" spans="1:1" x14ac:dyDescent="0.25">
      <c r="A43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25" spans="1:1" x14ac:dyDescent="0.25">
      <c r="A43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26" spans="1:1" x14ac:dyDescent="0.25">
      <c r="A43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27" spans="1:1" x14ac:dyDescent="0.25">
      <c r="A43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28" spans="1:1" x14ac:dyDescent="0.25">
      <c r="A43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29" spans="1:1" x14ac:dyDescent="0.25">
      <c r="A43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30" spans="1:1" x14ac:dyDescent="0.25">
      <c r="A43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31" spans="1:1" x14ac:dyDescent="0.25">
      <c r="A43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32" spans="1:1" x14ac:dyDescent="0.25">
      <c r="A43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33" spans="1:1" x14ac:dyDescent="0.25">
      <c r="A43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34" spans="1:1" x14ac:dyDescent="0.25">
      <c r="A43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35" spans="1:1" x14ac:dyDescent="0.25">
      <c r="A43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36" spans="1:1" x14ac:dyDescent="0.25">
      <c r="A43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37" spans="1:1" x14ac:dyDescent="0.25">
      <c r="A43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38" spans="1:1" x14ac:dyDescent="0.25">
      <c r="A43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39" spans="1:1" x14ac:dyDescent="0.25">
      <c r="A43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40" spans="1:1" x14ac:dyDescent="0.25">
      <c r="A43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41" spans="1:1" x14ac:dyDescent="0.25">
      <c r="A43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42" spans="1:1" x14ac:dyDescent="0.25">
      <c r="A43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43" spans="1:1" x14ac:dyDescent="0.25">
      <c r="A43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44" spans="1:1" x14ac:dyDescent="0.25">
      <c r="A43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45" spans="1:1" x14ac:dyDescent="0.25">
      <c r="A43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46" spans="1:1" x14ac:dyDescent="0.25">
      <c r="A43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47" spans="1:1" x14ac:dyDescent="0.25">
      <c r="A43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48" spans="1:1" x14ac:dyDescent="0.25">
      <c r="A43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49" spans="1:1" x14ac:dyDescent="0.25">
      <c r="A43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50" spans="1:1" x14ac:dyDescent="0.25">
      <c r="A43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51" spans="1:1" x14ac:dyDescent="0.25">
      <c r="A43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52" spans="1:1" x14ac:dyDescent="0.25">
      <c r="A43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53" spans="1:1" x14ac:dyDescent="0.25">
      <c r="A43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54" spans="1:1" x14ac:dyDescent="0.25">
      <c r="A43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55" spans="1:1" x14ac:dyDescent="0.25">
      <c r="A43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56" spans="1:1" x14ac:dyDescent="0.25">
      <c r="A43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57" spans="1:1" x14ac:dyDescent="0.25">
      <c r="A43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58" spans="1:1" x14ac:dyDescent="0.25">
      <c r="A43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59" spans="1:1" x14ac:dyDescent="0.25">
      <c r="A43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60" spans="1:1" x14ac:dyDescent="0.25">
      <c r="A43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61" spans="1:1" x14ac:dyDescent="0.25">
      <c r="A43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62" spans="1:1" x14ac:dyDescent="0.25">
      <c r="A43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63" spans="1:1" x14ac:dyDescent="0.25">
      <c r="A43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64" spans="1:1" x14ac:dyDescent="0.25">
      <c r="A43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65" spans="1:1" x14ac:dyDescent="0.25">
      <c r="A43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66" spans="1:1" x14ac:dyDescent="0.25">
      <c r="A43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67" spans="1:1" x14ac:dyDescent="0.25">
      <c r="A43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68" spans="1:1" x14ac:dyDescent="0.25">
      <c r="A43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69" spans="1:1" x14ac:dyDescent="0.25">
      <c r="A43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70" spans="1:1" x14ac:dyDescent="0.25">
      <c r="A43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71" spans="1:1" x14ac:dyDescent="0.25">
      <c r="A43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72" spans="1:1" x14ac:dyDescent="0.25">
      <c r="A43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73" spans="1:1" x14ac:dyDescent="0.25">
      <c r="A43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74" spans="1:1" x14ac:dyDescent="0.25">
      <c r="A43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75" spans="1:1" x14ac:dyDescent="0.25">
      <c r="A43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76" spans="1:1" x14ac:dyDescent="0.25">
      <c r="A43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77" spans="1:1" x14ac:dyDescent="0.25">
      <c r="A43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78" spans="1:1" x14ac:dyDescent="0.25">
      <c r="A43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79" spans="1:1" x14ac:dyDescent="0.25">
      <c r="A43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80" spans="1:1" x14ac:dyDescent="0.25">
      <c r="A43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81" spans="1:1" x14ac:dyDescent="0.25">
      <c r="A43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82" spans="1:1" x14ac:dyDescent="0.25">
      <c r="A43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83" spans="1:1" x14ac:dyDescent="0.25">
      <c r="A43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84" spans="1:1" x14ac:dyDescent="0.25">
      <c r="A43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85" spans="1:1" x14ac:dyDescent="0.25">
      <c r="A43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86" spans="1:1" x14ac:dyDescent="0.25">
      <c r="A43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87" spans="1:1" x14ac:dyDescent="0.25">
      <c r="A43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88" spans="1:1" x14ac:dyDescent="0.25">
      <c r="A43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89" spans="1:1" x14ac:dyDescent="0.25">
      <c r="A43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90" spans="1:1" x14ac:dyDescent="0.25">
      <c r="A43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91" spans="1:1" x14ac:dyDescent="0.25">
      <c r="A43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92" spans="1:1" x14ac:dyDescent="0.25">
      <c r="A43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93" spans="1:1" x14ac:dyDescent="0.25">
      <c r="A43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94" spans="1:1" x14ac:dyDescent="0.25">
      <c r="A43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95" spans="1:1" x14ac:dyDescent="0.25">
      <c r="A43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96" spans="1:1" x14ac:dyDescent="0.25">
      <c r="A43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97" spans="1:1" x14ac:dyDescent="0.25">
      <c r="A43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98" spans="1:1" x14ac:dyDescent="0.25">
      <c r="A43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399" spans="1:1" x14ac:dyDescent="0.25">
      <c r="A43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00" spans="1:1" x14ac:dyDescent="0.25">
      <c r="A44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01" spans="1:1" x14ac:dyDescent="0.25">
      <c r="A44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02" spans="1:1" x14ac:dyDescent="0.25">
      <c r="A44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03" spans="1:1" x14ac:dyDescent="0.25">
      <c r="A44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04" spans="1:1" x14ac:dyDescent="0.25">
      <c r="A44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05" spans="1:1" x14ac:dyDescent="0.25">
      <c r="A44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06" spans="1:1" x14ac:dyDescent="0.25">
      <c r="A44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07" spans="1:1" x14ac:dyDescent="0.25">
      <c r="A44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08" spans="1:1" x14ac:dyDescent="0.25">
      <c r="A44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09" spans="1:1" x14ac:dyDescent="0.25">
      <c r="A44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10" spans="1:1" x14ac:dyDescent="0.25">
      <c r="A44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11" spans="1:1" x14ac:dyDescent="0.25">
      <c r="A44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12" spans="1:1" x14ac:dyDescent="0.25">
      <c r="A44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13" spans="1:1" x14ac:dyDescent="0.25">
      <c r="A44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14" spans="1:1" x14ac:dyDescent="0.25">
      <c r="A44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15" spans="1:1" x14ac:dyDescent="0.25">
      <c r="A44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16" spans="1:1" x14ac:dyDescent="0.25">
      <c r="A44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17" spans="1:1" x14ac:dyDescent="0.25">
      <c r="A44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18" spans="1:1" x14ac:dyDescent="0.25">
      <c r="A44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19" spans="1:1" x14ac:dyDescent="0.25">
      <c r="A44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20" spans="1:1" x14ac:dyDescent="0.25">
      <c r="A44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21" spans="1:1" x14ac:dyDescent="0.25">
      <c r="A44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22" spans="1:1" x14ac:dyDescent="0.25">
      <c r="A44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23" spans="1:1" x14ac:dyDescent="0.25">
      <c r="A44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24" spans="1:1" x14ac:dyDescent="0.25">
      <c r="A44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25" spans="1:1" x14ac:dyDescent="0.25">
      <c r="A44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26" spans="1:1" x14ac:dyDescent="0.25">
      <c r="A44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27" spans="1:1" x14ac:dyDescent="0.25">
      <c r="A44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28" spans="1:1" x14ac:dyDescent="0.25">
      <c r="A44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29" spans="1:1" x14ac:dyDescent="0.25">
      <c r="A44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30" spans="1:1" x14ac:dyDescent="0.25">
      <c r="A44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31" spans="1:1" x14ac:dyDescent="0.25">
      <c r="A44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32" spans="1:1" x14ac:dyDescent="0.25">
      <c r="A44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33" spans="1:1" x14ac:dyDescent="0.25">
      <c r="A44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34" spans="1:1" x14ac:dyDescent="0.25">
      <c r="A44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35" spans="1:1" x14ac:dyDescent="0.25">
      <c r="A44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36" spans="1:1" x14ac:dyDescent="0.25">
      <c r="A44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37" spans="1:1" x14ac:dyDescent="0.25">
      <c r="A44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38" spans="1:1" x14ac:dyDescent="0.25">
      <c r="A44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39" spans="1:1" x14ac:dyDescent="0.25">
      <c r="A44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40" spans="1:1" x14ac:dyDescent="0.25">
      <c r="A44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41" spans="1:1" x14ac:dyDescent="0.25">
      <c r="A44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42" spans="1:1" x14ac:dyDescent="0.25">
      <c r="A44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43" spans="1:1" x14ac:dyDescent="0.25">
      <c r="A44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44" spans="1:1" x14ac:dyDescent="0.25">
      <c r="A44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45" spans="1:1" x14ac:dyDescent="0.25">
      <c r="A44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46" spans="1:1" x14ac:dyDescent="0.25">
      <c r="A44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47" spans="1:1" x14ac:dyDescent="0.25">
      <c r="A44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48" spans="1:1" x14ac:dyDescent="0.25">
      <c r="A44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49" spans="1:1" x14ac:dyDescent="0.25">
      <c r="A44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50" spans="1:1" x14ac:dyDescent="0.25">
      <c r="A44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51" spans="1:1" x14ac:dyDescent="0.25">
      <c r="A44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52" spans="1:1" x14ac:dyDescent="0.25">
      <c r="A44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53" spans="1:1" x14ac:dyDescent="0.25">
      <c r="A44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54" spans="1:1" x14ac:dyDescent="0.25">
      <c r="A44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55" spans="1:1" x14ac:dyDescent="0.25">
      <c r="A44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56" spans="1:1" x14ac:dyDescent="0.25">
      <c r="A44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57" spans="1:1" x14ac:dyDescent="0.25">
      <c r="A44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58" spans="1:1" x14ac:dyDescent="0.25">
      <c r="A44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59" spans="1:1" x14ac:dyDescent="0.25">
      <c r="A44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60" spans="1:1" x14ac:dyDescent="0.25">
      <c r="A44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61" spans="1:1" x14ac:dyDescent="0.25">
      <c r="A44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62" spans="1:1" x14ac:dyDescent="0.25">
      <c r="A44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63" spans="1:1" x14ac:dyDescent="0.25">
      <c r="A44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64" spans="1:1" x14ac:dyDescent="0.25">
      <c r="A44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65" spans="1:1" x14ac:dyDescent="0.25">
      <c r="A44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66" spans="1:1" x14ac:dyDescent="0.25">
      <c r="A44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67" spans="1:1" x14ac:dyDescent="0.25">
      <c r="A44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68" spans="1:1" x14ac:dyDescent="0.25">
      <c r="A44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69" spans="1:1" x14ac:dyDescent="0.25">
      <c r="A44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70" spans="1:1" x14ac:dyDescent="0.25">
      <c r="A44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71" spans="1:1" x14ac:dyDescent="0.25">
      <c r="A44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72" spans="1:1" x14ac:dyDescent="0.25">
      <c r="A44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73" spans="1:1" x14ac:dyDescent="0.25">
      <c r="A44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74" spans="1:1" x14ac:dyDescent="0.25">
      <c r="A44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75" spans="1:1" x14ac:dyDescent="0.25">
      <c r="A44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76" spans="1:1" x14ac:dyDescent="0.25">
      <c r="A44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77" spans="1:1" x14ac:dyDescent="0.25">
      <c r="A44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78" spans="1:1" x14ac:dyDescent="0.25">
      <c r="A44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79" spans="1:1" x14ac:dyDescent="0.25">
      <c r="A44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80" spans="1:1" x14ac:dyDescent="0.25">
      <c r="A44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81" spans="1:1" x14ac:dyDescent="0.25">
      <c r="A44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82" spans="1:1" x14ac:dyDescent="0.25">
      <c r="A44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83" spans="1:1" x14ac:dyDescent="0.25">
      <c r="A44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84" spans="1:1" x14ac:dyDescent="0.25">
      <c r="A44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85" spans="1:1" x14ac:dyDescent="0.25">
      <c r="A44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86" spans="1:1" x14ac:dyDescent="0.25">
      <c r="A44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87" spans="1:1" x14ac:dyDescent="0.25">
      <c r="A44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88" spans="1:1" x14ac:dyDescent="0.25">
      <c r="A44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89" spans="1:1" x14ac:dyDescent="0.25">
      <c r="A44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90" spans="1:1" x14ac:dyDescent="0.25">
      <c r="A44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91" spans="1:1" x14ac:dyDescent="0.25">
      <c r="A44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92" spans="1:1" x14ac:dyDescent="0.25">
      <c r="A44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93" spans="1:1" x14ac:dyDescent="0.25">
      <c r="A44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94" spans="1:1" x14ac:dyDescent="0.25">
      <c r="A44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95" spans="1:1" x14ac:dyDescent="0.25">
      <c r="A44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96" spans="1:1" x14ac:dyDescent="0.25">
      <c r="A44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97" spans="1:1" x14ac:dyDescent="0.25">
      <c r="A44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98" spans="1:1" x14ac:dyDescent="0.25">
      <c r="A44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499" spans="1:1" x14ac:dyDescent="0.25">
      <c r="A44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00" spans="1:1" x14ac:dyDescent="0.25">
      <c r="A45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01" spans="1:1" x14ac:dyDescent="0.25">
      <c r="A45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02" spans="1:1" x14ac:dyDescent="0.25">
      <c r="A45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03" spans="1:1" x14ac:dyDescent="0.25">
      <c r="A45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04" spans="1:1" x14ac:dyDescent="0.25">
      <c r="A45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05" spans="1:1" x14ac:dyDescent="0.25">
      <c r="A45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06" spans="1:1" x14ac:dyDescent="0.25">
      <c r="A45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07" spans="1:1" x14ac:dyDescent="0.25">
      <c r="A45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08" spans="1:1" x14ac:dyDescent="0.25">
      <c r="A45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09" spans="1:1" x14ac:dyDescent="0.25">
      <c r="A45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10" spans="1:1" x14ac:dyDescent="0.25">
      <c r="A45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11" spans="1:1" x14ac:dyDescent="0.25">
      <c r="A45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12" spans="1:1" x14ac:dyDescent="0.25">
      <c r="A45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13" spans="1:1" x14ac:dyDescent="0.25">
      <c r="A45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14" spans="1:1" x14ac:dyDescent="0.25">
      <c r="A45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15" spans="1:1" x14ac:dyDescent="0.25">
      <c r="A45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16" spans="1:1" x14ac:dyDescent="0.25">
      <c r="A45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17" spans="1:1" x14ac:dyDescent="0.25">
      <c r="A45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18" spans="1:1" x14ac:dyDescent="0.25">
      <c r="A45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19" spans="1:1" x14ac:dyDescent="0.25">
      <c r="A45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20" spans="1:1" x14ac:dyDescent="0.25">
      <c r="A45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21" spans="1:1" x14ac:dyDescent="0.25">
      <c r="A45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22" spans="1:1" x14ac:dyDescent="0.25">
      <c r="A45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23" spans="1:1" x14ac:dyDescent="0.25">
      <c r="A45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24" spans="1:1" x14ac:dyDescent="0.25">
      <c r="A45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25" spans="1:1" x14ac:dyDescent="0.25">
      <c r="A45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26" spans="1:1" x14ac:dyDescent="0.25">
      <c r="A45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27" spans="1:1" x14ac:dyDescent="0.25">
      <c r="A45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28" spans="1:1" x14ac:dyDescent="0.25">
      <c r="A45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29" spans="1:1" x14ac:dyDescent="0.25">
      <c r="A45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30" spans="1:1" x14ac:dyDescent="0.25">
      <c r="A45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31" spans="1:1" x14ac:dyDescent="0.25">
      <c r="A45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32" spans="1:1" x14ac:dyDescent="0.25">
      <c r="A45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33" spans="1:1" x14ac:dyDescent="0.25">
      <c r="A45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34" spans="1:1" x14ac:dyDescent="0.25">
      <c r="A45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35" spans="1:1" x14ac:dyDescent="0.25">
      <c r="A45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36" spans="1:1" x14ac:dyDescent="0.25">
      <c r="A45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37" spans="1:1" x14ac:dyDescent="0.25">
      <c r="A45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38" spans="1:1" x14ac:dyDescent="0.25">
      <c r="A45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39" spans="1:1" x14ac:dyDescent="0.25">
      <c r="A45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40" spans="1:1" x14ac:dyDescent="0.25">
      <c r="A45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41" spans="1:1" x14ac:dyDescent="0.25">
      <c r="A45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42" spans="1:1" x14ac:dyDescent="0.25">
      <c r="A45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43" spans="1:1" x14ac:dyDescent="0.25">
      <c r="A45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44" spans="1:1" x14ac:dyDescent="0.25">
      <c r="A45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45" spans="1:1" x14ac:dyDescent="0.25">
      <c r="A45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46" spans="1:1" x14ac:dyDescent="0.25">
      <c r="A45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47" spans="1:1" x14ac:dyDescent="0.25">
      <c r="A45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48" spans="1:1" x14ac:dyDescent="0.25">
      <c r="A45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49" spans="1:1" x14ac:dyDescent="0.25">
      <c r="A45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50" spans="1:1" x14ac:dyDescent="0.25">
      <c r="A45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51" spans="1:1" x14ac:dyDescent="0.25">
      <c r="A45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52" spans="1:1" x14ac:dyDescent="0.25">
      <c r="A45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53" spans="1:1" x14ac:dyDescent="0.25">
      <c r="A45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54" spans="1:1" x14ac:dyDescent="0.25">
      <c r="A45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55" spans="1:1" x14ac:dyDescent="0.25">
      <c r="A45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56" spans="1:1" x14ac:dyDescent="0.25">
      <c r="A45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57" spans="1:1" x14ac:dyDescent="0.25">
      <c r="A45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58" spans="1:1" x14ac:dyDescent="0.25">
      <c r="A45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59" spans="1:1" x14ac:dyDescent="0.25">
      <c r="A45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60" spans="1:1" x14ac:dyDescent="0.25">
      <c r="A45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61" spans="1:1" x14ac:dyDescent="0.25">
      <c r="A45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62" spans="1:1" x14ac:dyDescent="0.25">
      <c r="A45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63" spans="1:1" x14ac:dyDescent="0.25">
      <c r="A45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64" spans="1:1" x14ac:dyDescent="0.25">
      <c r="A45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65" spans="1:1" x14ac:dyDescent="0.25">
      <c r="A45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66" spans="1:1" x14ac:dyDescent="0.25">
      <c r="A45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67" spans="1:1" x14ac:dyDescent="0.25">
      <c r="A45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68" spans="1:1" x14ac:dyDescent="0.25">
      <c r="A45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69" spans="1:1" x14ac:dyDescent="0.25">
      <c r="A45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70" spans="1:1" x14ac:dyDescent="0.25">
      <c r="A45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71" spans="1:1" x14ac:dyDescent="0.25">
      <c r="A45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72" spans="1:1" x14ac:dyDescent="0.25">
      <c r="A45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73" spans="1:1" x14ac:dyDescent="0.25">
      <c r="A45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74" spans="1:1" x14ac:dyDescent="0.25">
      <c r="A45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75" spans="1:1" x14ac:dyDescent="0.25">
      <c r="A45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76" spans="1:1" x14ac:dyDescent="0.25">
      <c r="A45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77" spans="1:1" x14ac:dyDescent="0.25">
      <c r="A45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78" spans="1:1" x14ac:dyDescent="0.25">
      <c r="A45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79" spans="1:1" x14ac:dyDescent="0.25">
      <c r="A45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80" spans="1:1" x14ac:dyDescent="0.25">
      <c r="A45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81" spans="1:1" x14ac:dyDescent="0.25">
      <c r="A45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82" spans="1:1" x14ac:dyDescent="0.25">
      <c r="A45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83" spans="1:1" x14ac:dyDescent="0.25">
      <c r="A45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84" spans="1:1" x14ac:dyDescent="0.25">
      <c r="A45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85" spans="1:1" x14ac:dyDescent="0.25">
      <c r="A45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86" spans="1:1" x14ac:dyDescent="0.25">
      <c r="A45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87" spans="1:1" x14ac:dyDescent="0.25">
      <c r="A45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88" spans="1:1" x14ac:dyDescent="0.25">
      <c r="A45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89" spans="1:1" x14ac:dyDescent="0.25">
      <c r="A45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90" spans="1:1" x14ac:dyDescent="0.25">
      <c r="A45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91" spans="1:1" x14ac:dyDescent="0.25">
      <c r="A45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92" spans="1:1" x14ac:dyDescent="0.25">
      <c r="A45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93" spans="1:1" x14ac:dyDescent="0.25">
      <c r="A45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94" spans="1:1" x14ac:dyDescent="0.25">
      <c r="A45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95" spans="1:1" x14ac:dyDescent="0.25">
      <c r="A45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96" spans="1:1" x14ac:dyDescent="0.25">
      <c r="A45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97" spans="1:1" x14ac:dyDescent="0.25">
      <c r="A45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98" spans="1:1" x14ac:dyDescent="0.25">
      <c r="A45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599" spans="1:1" x14ac:dyDescent="0.25">
      <c r="A45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00" spans="1:1" x14ac:dyDescent="0.25">
      <c r="A46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01" spans="1:1" x14ac:dyDescent="0.25">
      <c r="A46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02" spans="1:1" x14ac:dyDescent="0.25">
      <c r="A46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03" spans="1:1" x14ac:dyDescent="0.25">
      <c r="A46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04" spans="1:1" x14ac:dyDescent="0.25">
      <c r="A46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05" spans="1:1" x14ac:dyDescent="0.25">
      <c r="A46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06" spans="1:1" x14ac:dyDescent="0.25">
      <c r="A46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07" spans="1:1" x14ac:dyDescent="0.25">
      <c r="A46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08" spans="1:1" x14ac:dyDescent="0.25">
      <c r="A46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09" spans="1:1" x14ac:dyDescent="0.25">
      <c r="A46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10" spans="1:1" x14ac:dyDescent="0.25">
      <c r="A46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11" spans="1:1" x14ac:dyDescent="0.25">
      <c r="A46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12" spans="1:1" x14ac:dyDescent="0.25">
      <c r="A46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13" spans="1:1" x14ac:dyDescent="0.25">
      <c r="A46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14" spans="1:1" x14ac:dyDescent="0.25">
      <c r="A46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15" spans="1:1" x14ac:dyDescent="0.25">
      <c r="A46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16" spans="1:1" x14ac:dyDescent="0.25">
      <c r="A46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17" spans="1:1" x14ac:dyDescent="0.25">
      <c r="A46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18" spans="1:1" x14ac:dyDescent="0.25">
      <c r="A46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19" spans="1:1" x14ac:dyDescent="0.25">
      <c r="A46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20" spans="1:1" x14ac:dyDescent="0.25">
      <c r="A46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21" spans="1:1" x14ac:dyDescent="0.25">
      <c r="A46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22" spans="1:1" x14ac:dyDescent="0.25">
      <c r="A46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23" spans="1:1" x14ac:dyDescent="0.25">
      <c r="A46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24" spans="1:1" x14ac:dyDescent="0.25">
      <c r="A46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25" spans="1:1" x14ac:dyDescent="0.25">
      <c r="A46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26" spans="1:1" x14ac:dyDescent="0.25">
      <c r="A46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27" spans="1:1" x14ac:dyDescent="0.25">
      <c r="A46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28" spans="1:1" x14ac:dyDescent="0.25">
      <c r="A46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29" spans="1:1" x14ac:dyDescent="0.25">
      <c r="A46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30" spans="1:1" x14ac:dyDescent="0.25">
      <c r="A46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31" spans="1:1" x14ac:dyDescent="0.25">
      <c r="A46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32" spans="1:1" x14ac:dyDescent="0.25">
      <c r="A46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33" spans="1:1" x14ac:dyDescent="0.25">
      <c r="A46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34" spans="1:1" x14ac:dyDescent="0.25">
      <c r="A46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35" spans="1:1" x14ac:dyDescent="0.25">
      <c r="A46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36" spans="1:1" x14ac:dyDescent="0.25">
      <c r="A46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37" spans="1:1" x14ac:dyDescent="0.25">
      <c r="A46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38" spans="1:1" x14ac:dyDescent="0.25">
      <c r="A46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39" spans="1:1" x14ac:dyDescent="0.25">
      <c r="A46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40" spans="1:1" x14ac:dyDescent="0.25">
      <c r="A46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41" spans="1:1" x14ac:dyDescent="0.25">
      <c r="A46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42" spans="1:1" x14ac:dyDescent="0.25">
      <c r="A46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43" spans="1:1" x14ac:dyDescent="0.25">
      <c r="A46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44" spans="1:1" x14ac:dyDescent="0.25">
      <c r="A46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45" spans="1:1" x14ac:dyDescent="0.25">
      <c r="A46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46" spans="1:1" x14ac:dyDescent="0.25">
      <c r="A46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47" spans="1:1" x14ac:dyDescent="0.25">
      <c r="A46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48" spans="1:1" x14ac:dyDescent="0.25">
      <c r="A46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49" spans="1:1" x14ac:dyDescent="0.25">
      <c r="A46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50" spans="1:1" x14ac:dyDescent="0.25">
      <c r="A46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51" spans="1:1" x14ac:dyDescent="0.25">
      <c r="A46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52" spans="1:1" x14ac:dyDescent="0.25">
      <c r="A46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53" spans="1:1" x14ac:dyDescent="0.25">
      <c r="A46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54" spans="1:1" x14ac:dyDescent="0.25">
      <c r="A46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55" spans="1:1" x14ac:dyDescent="0.25">
      <c r="A46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56" spans="1:1" x14ac:dyDescent="0.25">
      <c r="A46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57" spans="1:1" x14ac:dyDescent="0.25">
      <c r="A46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58" spans="1:1" x14ac:dyDescent="0.25">
      <c r="A46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59" spans="1:1" x14ac:dyDescent="0.25">
      <c r="A46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60" spans="1:1" x14ac:dyDescent="0.25">
      <c r="A46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61" spans="1:1" x14ac:dyDescent="0.25">
      <c r="A46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62" spans="1:1" x14ac:dyDescent="0.25">
      <c r="A46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63" spans="1:1" x14ac:dyDescent="0.25">
      <c r="A46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64" spans="1:1" x14ac:dyDescent="0.25">
      <c r="A46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65" spans="1:1" x14ac:dyDescent="0.25">
      <c r="A46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66" spans="1:1" x14ac:dyDescent="0.25">
      <c r="A46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67" spans="1:1" x14ac:dyDescent="0.25">
      <c r="A46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68" spans="1:1" x14ac:dyDescent="0.25">
      <c r="A46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69" spans="1:1" x14ac:dyDescent="0.25">
      <c r="A46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70" spans="1:1" x14ac:dyDescent="0.25">
      <c r="A46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71" spans="1:1" x14ac:dyDescent="0.25">
      <c r="A46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72" spans="1:1" x14ac:dyDescent="0.25">
      <c r="A46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73" spans="1:1" x14ac:dyDescent="0.25">
      <c r="A46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74" spans="1:1" x14ac:dyDescent="0.25">
      <c r="A46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75" spans="1:1" x14ac:dyDescent="0.25">
      <c r="A46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76" spans="1:1" x14ac:dyDescent="0.25">
      <c r="A46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77" spans="1:1" x14ac:dyDescent="0.25">
      <c r="A46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78" spans="1:1" x14ac:dyDescent="0.25">
      <c r="A46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79" spans="1:1" x14ac:dyDescent="0.25">
      <c r="A46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80" spans="1:1" x14ac:dyDescent="0.25">
      <c r="A46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81" spans="1:1" x14ac:dyDescent="0.25">
      <c r="A46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82" spans="1:1" x14ac:dyDescent="0.25">
      <c r="A46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83" spans="1:1" x14ac:dyDescent="0.25">
      <c r="A46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84" spans="1:1" x14ac:dyDescent="0.25">
      <c r="A46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85" spans="1:1" x14ac:dyDescent="0.25">
      <c r="A46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86" spans="1:1" x14ac:dyDescent="0.25">
      <c r="A46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87" spans="1:1" x14ac:dyDescent="0.25">
      <c r="A46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88" spans="1:1" x14ac:dyDescent="0.25">
      <c r="A46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89" spans="1:1" x14ac:dyDescent="0.25">
      <c r="A46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90" spans="1:1" x14ac:dyDescent="0.25">
      <c r="A46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91" spans="1:1" x14ac:dyDescent="0.25">
      <c r="A46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92" spans="1:1" x14ac:dyDescent="0.25">
      <c r="A46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93" spans="1:1" x14ac:dyDescent="0.25">
      <c r="A46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94" spans="1:1" x14ac:dyDescent="0.25">
      <c r="A46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95" spans="1:1" x14ac:dyDescent="0.25">
      <c r="A46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96" spans="1:1" x14ac:dyDescent="0.25">
      <c r="A46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97" spans="1:1" x14ac:dyDescent="0.25">
      <c r="A46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98" spans="1:1" x14ac:dyDescent="0.25">
      <c r="A46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699" spans="1:1" x14ac:dyDescent="0.25">
      <c r="A46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00" spans="1:1" x14ac:dyDescent="0.25">
      <c r="A47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01" spans="1:1" x14ac:dyDescent="0.25">
      <c r="A47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02" spans="1:1" x14ac:dyDescent="0.25">
      <c r="A47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03" spans="1:1" x14ac:dyDescent="0.25">
      <c r="A47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04" spans="1:1" x14ac:dyDescent="0.25">
      <c r="A47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05" spans="1:1" x14ac:dyDescent="0.25">
      <c r="A47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06" spans="1:1" x14ac:dyDescent="0.25">
      <c r="A47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07" spans="1:1" x14ac:dyDescent="0.25">
      <c r="A47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08" spans="1:1" x14ac:dyDescent="0.25">
      <c r="A47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09" spans="1:1" x14ac:dyDescent="0.25">
      <c r="A47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10" spans="1:1" x14ac:dyDescent="0.25">
      <c r="A47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11" spans="1:1" x14ac:dyDescent="0.25">
      <c r="A47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12" spans="1:1" x14ac:dyDescent="0.25">
      <c r="A47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13" spans="1:1" x14ac:dyDescent="0.25">
      <c r="A47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14" spans="1:1" x14ac:dyDescent="0.25">
      <c r="A47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15" spans="1:1" x14ac:dyDescent="0.25">
      <c r="A47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16" spans="1:1" x14ac:dyDescent="0.25">
      <c r="A47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17" spans="1:1" x14ac:dyDescent="0.25">
      <c r="A47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18" spans="1:1" x14ac:dyDescent="0.25">
      <c r="A47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19" spans="1:1" x14ac:dyDescent="0.25">
      <c r="A47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20" spans="1:1" x14ac:dyDescent="0.25">
      <c r="A47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21" spans="1:1" x14ac:dyDescent="0.25">
      <c r="A47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22" spans="1:1" x14ac:dyDescent="0.25">
      <c r="A47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23" spans="1:1" x14ac:dyDescent="0.25">
      <c r="A47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24" spans="1:1" x14ac:dyDescent="0.25">
      <c r="A47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25" spans="1:1" x14ac:dyDescent="0.25">
      <c r="A47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26" spans="1:1" x14ac:dyDescent="0.25">
      <c r="A47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27" spans="1:1" x14ac:dyDescent="0.25">
      <c r="A47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28" spans="1:1" x14ac:dyDescent="0.25">
      <c r="A47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29" spans="1:1" x14ac:dyDescent="0.25">
      <c r="A47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30" spans="1:1" x14ac:dyDescent="0.25">
      <c r="A47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31" spans="1:1" x14ac:dyDescent="0.25">
      <c r="A47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32" spans="1:1" x14ac:dyDescent="0.25">
      <c r="A47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33" spans="1:1" x14ac:dyDescent="0.25">
      <c r="A47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34" spans="1:1" x14ac:dyDescent="0.25">
      <c r="A47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35" spans="1:1" x14ac:dyDescent="0.25">
      <c r="A47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36" spans="1:1" x14ac:dyDescent="0.25">
      <c r="A47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37" spans="1:1" x14ac:dyDescent="0.25">
      <c r="A47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38" spans="1:1" x14ac:dyDescent="0.25">
      <c r="A47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39" spans="1:1" x14ac:dyDescent="0.25">
      <c r="A47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40" spans="1:1" x14ac:dyDescent="0.25">
      <c r="A47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41" spans="1:1" x14ac:dyDescent="0.25">
      <c r="A47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42" spans="1:1" x14ac:dyDescent="0.25">
      <c r="A47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43" spans="1:1" x14ac:dyDescent="0.25">
      <c r="A47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44" spans="1:1" x14ac:dyDescent="0.25">
      <c r="A47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45" spans="1:1" x14ac:dyDescent="0.25">
      <c r="A47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46" spans="1:1" x14ac:dyDescent="0.25">
      <c r="A47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47" spans="1:1" x14ac:dyDescent="0.25">
      <c r="A47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48" spans="1:1" x14ac:dyDescent="0.25">
      <c r="A47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49" spans="1:1" x14ac:dyDescent="0.25">
      <c r="A47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50" spans="1:1" x14ac:dyDescent="0.25">
      <c r="A47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51" spans="1:1" x14ac:dyDescent="0.25">
      <c r="A47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52" spans="1:1" x14ac:dyDescent="0.25">
      <c r="A47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53" spans="1:1" x14ac:dyDescent="0.25">
      <c r="A47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54" spans="1:1" x14ac:dyDescent="0.25">
      <c r="A47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55" spans="1:1" x14ac:dyDescent="0.25">
      <c r="A47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56" spans="1:1" x14ac:dyDescent="0.25">
      <c r="A47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57" spans="1:1" x14ac:dyDescent="0.25">
      <c r="A47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58" spans="1:1" x14ac:dyDescent="0.25">
      <c r="A47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59" spans="1:1" x14ac:dyDescent="0.25">
      <c r="A47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60" spans="1:1" x14ac:dyDescent="0.25">
      <c r="A47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61" spans="1:1" x14ac:dyDescent="0.25">
      <c r="A47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62" spans="1:1" x14ac:dyDescent="0.25">
      <c r="A47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63" spans="1:1" x14ac:dyDescent="0.25">
      <c r="A47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64" spans="1:1" x14ac:dyDescent="0.25">
      <c r="A47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65" spans="1:1" x14ac:dyDescent="0.25">
      <c r="A47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66" spans="1:1" x14ac:dyDescent="0.25">
      <c r="A47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67" spans="1:1" x14ac:dyDescent="0.25">
      <c r="A47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68" spans="1:1" x14ac:dyDescent="0.25">
      <c r="A47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69" spans="1:1" x14ac:dyDescent="0.25">
      <c r="A47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70" spans="1:1" x14ac:dyDescent="0.25">
      <c r="A47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71" spans="1:1" x14ac:dyDescent="0.25">
      <c r="A47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72" spans="1:1" x14ac:dyDescent="0.25">
      <c r="A47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73" spans="1:1" x14ac:dyDescent="0.25">
      <c r="A47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74" spans="1:1" x14ac:dyDescent="0.25">
      <c r="A47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75" spans="1:1" x14ac:dyDescent="0.25">
      <c r="A47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76" spans="1:1" x14ac:dyDescent="0.25">
      <c r="A47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77" spans="1:1" x14ac:dyDescent="0.25">
      <c r="A47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78" spans="1:1" x14ac:dyDescent="0.25">
      <c r="A47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79" spans="1:1" x14ac:dyDescent="0.25">
      <c r="A47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80" spans="1:1" x14ac:dyDescent="0.25">
      <c r="A47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81" spans="1:1" x14ac:dyDescent="0.25">
      <c r="A47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82" spans="1:1" x14ac:dyDescent="0.25">
      <c r="A47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83" spans="1:1" x14ac:dyDescent="0.25">
      <c r="A47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84" spans="1:1" x14ac:dyDescent="0.25">
      <c r="A47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85" spans="1:1" x14ac:dyDescent="0.25">
      <c r="A47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86" spans="1:1" x14ac:dyDescent="0.25">
      <c r="A47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87" spans="1:1" x14ac:dyDescent="0.25">
      <c r="A47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88" spans="1:1" x14ac:dyDescent="0.25">
      <c r="A47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89" spans="1:1" x14ac:dyDescent="0.25">
      <c r="A47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90" spans="1:1" x14ac:dyDescent="0.25">
      <c r="A47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91" spans="1:1" x14ac:dyDescent="0.25">
      <c r="A47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92" spans="1:1" x14ac:dyDescent="0.25">
      <c r="A47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93" spans="1:1" x14ac:dyDescent="0.25">
      <c r="A47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94" spans="1:1" x14ac:dyDescent="0.25">
      <c r="A47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95" spans="1:1" x14ac:dyDescent="0.25">
      <c r="A47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96" spans="1:1" x14ac:dyDescent="0.25">
      <c r="A47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97" spans="1:1" x14ac:dyDescent="0.25">
      <c r="A47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98" spans="1:1" x14ac:dyDescent="0.25">
      <c r="A47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799" spans="1:1" x14ac:dyDescent="0.25">
      <c r="A47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00" spans="1:1" x14ac:dyDescent="0.25">
      <c r="A48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01" spans="1:1" x14ac:dyDescent="0.25">
      <c r="A48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02" spans="1:1" x14ac:dyDescent="0.25">
      <c r="A48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03" spans="1:1" x14ac:dyDescent="0.25">
      <c r="A48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04" spans="1:1" x14ac:dyDescent="0.25">
      <c r="A48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05" spans="1:1" x14ac:dyDescent="0.25">
      <c r="A48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06" spans="1:1" x14ac:dyDescent="0.25">
      <c r="A48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07" spans="1:1" x14ac:dyDescent="0.25">
      <c r="A48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08" spans="1:1" x14ac:dyDescent="0.25">
      <c r="A48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09" spans="1:1" x14ac:dyDescent="0.25">
      <c r="A48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10" spans="1:1" x14ac:dyDescent="0.25">
      <c r="A48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11" spans="1:1" x14ac:dyDescent="0.25">
      <c r="A48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12" spans="1:1" x14ac:dyDescent="0.25">
      <c r="A48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13" spans="1:1" x14ac:dyDescent="0.25">
      <c r="A48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14" spans="1:1" x14ac:dyDescent="0.25">
      <c r="A48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15" spans="1:1" x14ac:dyDescent="0.25">
      <c r="A48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16" spans="1:1" x14ac:dyDescent="0.25">
      <c r="A48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17" spans="1:1" x14ac:dyDescent="0.25">
      <c r="A48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18" spans="1:1" x14ac:dyDescent="0.25">
      <c r="A48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19" spans="1:1" x14ac:dyDescent="0.25">
      <c r="A48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20" spans="1:1" x14ac:dyDescent="0.25">
      <c r="A48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21" spans="1:1" x14ac:dyDescent="0.25">
      <c r="A48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22" spans="1:1" x14ac:dyDescent="0.25">
      <c r="A48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23" spans="1:1" x14ac:dyDescent="0.25">
      <c r="A48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24" spans="1:1" x14ac:dyDescent="0.25">
      <c r="A48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25" spans="1:1" x14ac:dyDescent="0.25">
      <c r="A48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26" spans="1:1" x14ac:dyDescent="0.25">
      <c r="A48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27" spans="1:1" x14ac:dyDescent="0.25">
      <c r="A48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28" spans="1:1" x14ac:dyDescent="0.25">
      <c r="A48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29" spans="1:1" x14ac:dyDescent="0.25">
      <c r="A48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30" spans="1:1" x14ac:dyDescent="0.25">
      <c r="A48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31" spans="1:1" x14ac:dyDescent="0.25">
      <c r="A48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32" spans="1:1" x14ac:dyDescent="0.25">
      <c r="A48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33" spans="1:1" x14ac:dyDescent="0.25">
      <c r="A48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34" spans="1:1" x14ac:dyDescent="0.25">
      <c r="A48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35" spans="1:1" x14ac:dyDescent="0.25">
      <c r="A48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36" spans="1:1" x14ac:dyDescent="0.25">
      <c r="A48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37" spans="1:1" x14ac:dyDescent="0.25">
      <c r="A48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38" spans="1:1" x14ac:dyDescent="0.25">
      <c r="A48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39" spans="1:1" x14ac:dyDescent="0.25">
      <c r="A48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40" spans="1:1" x14ac:dyDescent="0.25">
      <c r="A48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41" spans="1:1" x14ac:dyDescent="0.25">
      <c r="A48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42" spans="1:1" x14ac:dyDescent="0.25">
      <c r="A48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43" spans="1:1" x14ac:dyDescent="0.25">
      <c r="A48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44" spans="1:1" x14ac:dyDescent="0.25">
      <c r="A48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45" spans="1:1" x14ac:dyDescent="0.25">
      <c r="A48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46" spans="1:1" x14ac:dyDescent="0.25">
      <c r="A48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47" spans="1:1" x14ac:dyDescent="0.25">
      <c r="A48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48" spans="1:1" x14ac:dyDescent="0.25">
      <c r="A48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49" spans="1:1" x14ac:dyDescent="0.25">
      <c r="A48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50" spans="1:1" x14ac:dyDescent="0.25">
      <c r="A48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51" spans="1:1" x14ac:dyDescent="0.25">
      <c r="A48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52" spans="1:1" x14ac:dyDescent="0.25">
      <c r="A48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53" spans="1:1" x14ac:dyDescent="0.25">
      <c r="A48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54" spans="1:1" x14ac:dyDescent="0.25">
      <c r="A48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55" spans="1:1" x14ac:dyDescent="0.25">
      <c r="A48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56" spans="1:1" x14ac:dyDescent="0.25">
      <c r="A48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57" spans="1:1" x14ac:dyDescent="0.25">
      <c r="A48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58" spans="1:1" x14ac:dyDescent="0.25">
      <c r="A48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59" spans="1:1" x14ac:dyDescent="0.25">
      <c r="A48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60" spans="1:1" x14ac:dyDescent="0.25">
      <c r="A48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61" spans="1:1" x14ac:dyDescent="0.25">
      <c r="A48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62" spans="1:1" x14ac:dyDescent="0.25">
      <c r="A48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63" spans="1:1" x14ac:dyDescent="0.25">
      <c r="A48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64" spans="1:1" x14ac:dyDescent="0.25">
      <c r="A48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65" spans="1:1" x14ac:dyDescent="0.25">
      <c r="A48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66" spans="1:1" x14ac:dyDescent="0.25">
      <c r="A48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67" spans="1:1" x14ac:dyDescent="0.25">
      <c r="A48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68" spans="1:1" x14ac:dyDescent="0.25">
      <c r="A48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69" spans="1:1" x14ac:dyDescent="0.25">
      <c r="A48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70" spans="1:1" x14ac:dyDescent="0.25">
      <c r="A48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71" spans="1:1" x14ac:dyDescent="0.25">
      <c r="A48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72" spans="1:1" x14ac:dyDescent="0.25">
      <c r="A48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73" spans="1:1" x14ac:dyDescent="0.25">
      <c r="A48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74" spans="1:1" x14ac:dyDescent="0.25">
      <c r="A48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75" spans="1:1" x14ac:dyDescent="0.25">
      <c r="A48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76" spans="1:1" x14ac:dyDescent="0.25">
      <c r="A48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77" spans="1:1" x14ac:dyDescent="0.25">
      <c r="A48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78" spans="1:1" x14ac:dyDescent="0.25">
      <c r="A48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79" spans="1:1" x14ac:dyDescent="0.25">
      <c r="A48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80" spans="1:1" x14ac:dyDescent="0.25">
      <c r="A48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81" spans="1:1" x14ac:dyDescent="0.25">
      <c r="A48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82" spans="1:1" x14ac:dyDescent="0.25">
      <c r="A48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83" spans="1:1" x14ac:dyDescent="0.25">
      <c r="A48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84" spans="1:1" x14ac:dyDescent="0.25">
      <c r="A48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85" spans="1:1" x14ac:dyDescent="0.25">
      <c r="A48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86" spans="1:1" x14ac:dyDescent="0.25">
      <c r="A48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87" spans="1:1" x14ac:dyDescent="0.25">
      <c r="A48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88" spans="1:1" x14ac:dyDescent="0.25">
      <c r="A48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89" spans="1:1" x14ac:dyDescent="0.25">
      <c r="A48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90" spans="1:1" x14ac:dyDescent="0.25">
      <c r="A48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91" spans="1:1" x14ac:dyDescent="0.25">
      <c r="A48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92" spans="1:1" x14ac:dyDescent="0.25">
      <c r="A48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93" spans="1:1" x14ac:dyDescent="0.25">
      <c r="A48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94" spans="1:1" x14ac:dyDescent="0.25">
      <c r="A48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95" spans="1:1" x14ac:dyDescent="0.25">
      <c r="A48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96" spans="1:1" x14ac:dyDescent="0.25">
      <c r="A48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97" spans="1:1" x14ac:dyDescent="0.25">
      <c r="A48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98" spans="1:1" x14ac:dyDescent="0.25">
      <c r="A48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899" spans="1:1" x14ac:dyDescent="0.25">
      <c r="A48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00" spans="1:1" x14ac:dyDescent="0.25">
      <c r="A49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01" spans="1:1" x14ac:dyDescent="0.25">
      <c r="A49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02" spans="1:1" x14ac:dyDescent="0.25">
      <c r="A49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03" spans="1:1" x14ac:dyDescent="0.25">
      <c r="A49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04" spans="1:1" x14ac:dyDescent="0.25">
      <c r="A49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05" spans="1:1" x14ac:dyDescent="0.25">
      <c r="A49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06" spans="1:1" x14ac:dyDescent="0.25">
      <c r="A49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07" spans="1:1" x14ac:dyDescent="0.25">
      <c r="A49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08" spans="1:1" x14ac:dyDescent="0.25">
      <c r="A49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09" spans="1:1" x14ac:dyDescent="0.25">
      <c r="A49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10" spans="1:1" x14ac:dyDescent="0.25">
      <c r="A49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11" spans="1:1" x14ac:dyDescent="0.25">
      <c r="A49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12" spans="1:1" x14ac:dyDescent="0.25">
      <c r="A49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13" spans="1:1" x14ac:dyDescent="0.25">
      <c r="A49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14" spans="1:1" x14ac:dyDescent="0.25">
      <c r="A49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15" spans="1:1" x14ac:dyDescent="0.25">
      <c r="A49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16" spans="1:1" x14ac:dyDescent="0.25">
      <c r="A49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17" spans="1:1" x14ac:dyDescent="0.25">
      <c r="A49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18" spans="1:1" x14ac:dyDescent="0.25">
      <c r="A49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19" spans="1:1" x14ac:dyDescent="0.25">
      <c r="A49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20" spans="1:1" x14ac:dyDescent="0.25">
      <c r="A49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21" spans="1:1" x14ac:dyDescent="0.25">
      <c r="A49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22" spans="1:1" x14ac:dyDescent="0.25">
      <c r="A49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23" spans="1:1" x14ac:dyDescent="0.25">
      <c r="A49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24" spans="1:1" x14ac:dyDescent="0.25">
      <c r="A49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25" spans="1:1" x14ac:dyDescent="0.25">
      <c r="A49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26" spans="1:1" x14ac:dyDescent="0.25">
      <c r="A49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27" spans="1:1" x14ac:dyDescent="0.25">
      <c r="A49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28" spans="1:1" x14ac:dyDescent="0.25">
      <c r="A49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29" spans="1:1" x14ac:dyDescent="0.25">
      <c r="A49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30" spans="1:1" x14ac:dyDescent="0.25">
      <c r="A49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31" spans="1:1" x14ac:dyDescent="0.25">
      <c r="A49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32" spans="1:1" x14ac:dyDescent="0.25">
      <c r="A49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33" spans="1:1" x14ac:dyDescent="0.25">
      <c r="A49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34" spans="1:1" x14ac:dyDescent="0.25">
      <c r="A49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35" spans="1:1" x14ac:dyDescent="0.25">
      <c r="A49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36" spans="1:1" x14ac:dyDescent="0.25">
      <c r="A49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37" spans="1:1" x14ac:dyDescent="0.25">
      <c r="A49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38" spans="1:1" x14ac:dyDescent="0.25">
      <c r="A49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39" spans="1:1" x14ac:dyDescent="0.25">
      <c r="A49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40" spans="1:1" x14ac:dyDescent="0.25">
      <c r="A49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41" spans="1:1" x14ac:dyDescent="0.25">
      <c r="A49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42" spans="1:1" x14ac:dyDescent="0.25">
      <c r="A49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43" spans="1:1" x14ac:dyDescent="0.25">
      <c r="A49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44" spans="1:1" x14ac:dyDescent="0.25">
      <c r="A49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45" spans="1:1" x14ac:dyDescent="0.25">
      <c r="A49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46" spans="1:1" x14ac:dyDescent="0.25">
      <c r="A49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47" spans="1:1" x14ac:dyDescent="0.25">
      <c r="A49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48" spans="1:1" x14ac:dyDescent="0.25">
      <c r="A49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49" spans="1:1" x14ac:dyDescent="0.25">
      <c r="A49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50" spans="1:1" x14ac:dyDescent="0.25">
      <c r="A49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51" spans="1:1" x14ac:dyDescent="0.25">
      <c r="A49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52" spans="1:1" x14ac:dyDescent="0.25">
      <c r="A49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53" spans="1:1" x14ac:dyDescent="0.25">
      <c r="A49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54" spans="1:1" x14ac:dyDescent="0.25">
      <c r="A49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55" spans="1:1" x14ac:dyDescent="0.25">
      <c r="A49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56" spans="1:1" x14ac:dyDescent="0.25">
      <c r="A49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57" spans="1:1" x14ac:dyDescent="0.25">
      <c r="A49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58" spans="1:1" x14ac:dyDescent="0.25">
      <c r="A49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59" spans="1:1" x14ac:dyDescent="0.25">
      <c r="A49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60" spans="1:1" x14ac:dyDescent="0.25">
      <c r="A49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61" spans="1:1" x14ac:dyDescent="0.25">
      <c r="A49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62" spans="1:1" x14ac:dyDescent="0.25">
      <c r="A49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63" spans="1:1" x14ac:dyDescent="0.25">
      <c r="A49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64" spans="1:1" x14ac:dyDescent="0.25">
      <c r="A49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65" spans="1:1" x14ac:dyDescent="0.25">
      <c r="A49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66" spans="1:1" x14ac:dyDescent="0.25">
      <c r="A49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67" spans="1:1" x14ac:dyDescent="0.25">
      <c r="A49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68" spans="1:1" x14ac:dyDescent="0.25">
      <c r="A49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69" spans="1:1" x14ac:dyDescent="0.25">
      <c r="A49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70" spans="1:1" x14ac:dyDescent="0.25">
      <c r="A49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71" spans="1:1" x14ac:dyDescent="0.25">
      <c r="A49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72" spans="1:1" x14ac:dyDescent="0.25">
      <c r="A49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73" spans="1:1" x14ac:dyDescent="0.25">
      <c r="A49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74" spans="1:1" x14ac:dyDescent="0.25">
      <c r="A49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75" spans="1:1" x14ac:dyDescent="0.25">
      <c r="A49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76" spans="1:1" x14ac:dyDescent="0.25">
      <c r="A49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77" spans="1:1" x14ac:dyDescent="0.25">
      <c r="A49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78" spans="1:1" x14ac:dyDescent="0.25">
      <c r="A49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79" spans="1:1" x14ac:dyDescent="0.25">
      <c r="A49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80" spans="1:1" x14ac:dyDescent="0.25">
      <c r="A49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81" spans="1:1" x14ac:dyDescent="0.25">
      <c r="A49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82" spans="1:1" x14ac:dyDescent="0.25">
      <c r="A49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83" spans="1:1" x14ac:dyDescent="0.25">
      <c r="A49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84" spans="1:1" x14ac:dyDescent="0.25">
      <c r="A49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85" spans="1:1" x14ac:dyDescent="0.25">
      <c r="A49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86" spans="1:1" x14ac:dyDescent="0.25">
      <c r="A49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87" spans="1:1" x14ac:dyDescent="0.25">
      <c r="A49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88" spans="1:1" x14ac:dyDescent="0.25">
      <c r="A49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89" spans="1:1" x14ac:dyDescent="0.25">
      <c r="A49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90" spans="1:1" x14ac:dyDescent="0.25">
      <c r="A49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91" spans="1:1" x14ac:dyDescent="0.25">
      <c r="A49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92" spans="1:1" x14ac:dyDescent="0.25">
      <c r="A49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93" spans="1:1" x14ac:dyDescent="0.25">
      <c r="A49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94" spans="1:1" x14ac:dyDescent="0.25">
      <c r="A49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95" spans="1:1" x14ac:dyDescent="0.25">
      <c r="A49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96" spans="1:1" x14ac:dyDescent="0.25">
      <c r="A49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97" spans="1:1" x14ac:dyDescent="0.25">
      <c r="A49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98" spans="1:1" x14ac:dyDescent="0.25">
      <c r="A49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4999" spans="1:1" x14ac:dyDescent="0.25">
      <c r="A49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00" spans="1:1" x14ac:dyDescent="0.25">
      <c r="A50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01" spans="1:1" x14ac:dyDescent="0.25">
      <c r="A50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02" spans="1:1" x14ac:dyDescent="0.25">
      <c r="A50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03" spans="1:1" x14ac:dyDescent="0.25">
      <c r="A50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04" spans="1:1" x14ac:dyDescent="0.25">
      <c r="A50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05" spans="1:1" x14ac:dyDescent="0.25">
      <c r="A50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06" spans="1:1" x14ac:dyDescent="0.25">
      <c r="A50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07" spans="1:1" x14ac:dyDescent="0.25">
      <c r="A50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08" spans="1:1" x14ac:dyDescent="0.25">
      <c r="A50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09" spans="1:1" x14ac:dyDescent="0.25">
      <c r="A50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10" spans="1:1" x14ac:dyDescent="0.25">
      <c r="A50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11" spans="1:1" x14ac:dyDescent="0.25">
      <c r="A50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12" spans="1:1" x14ac:dyDescent="0.25">
      <c r="A50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13" spans="1:1" x14ac:dyDescent="0.25">
      <c r="A50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14" spans="1:1" x14ac:dyDescent="0.25">
      <c r="A50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15" spans="1:1" x14ac:dyDescent="0.25">
      <c r="A50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16" spans="1:1" x14ac:dyDescent="0.25">
      <c r="A50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17" spans="1:1" x14ac:dyDescent="0.25">
      <c r="A50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18" spans="1:1" x14ac:dyDescent="0.25">
      <c r="A50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19" spans="1:1" x14ac:dyDescent="0.25">
      <c r="A50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20" spans="1:1" x14ac:dyDescent="0.25">
      <c r="A50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21" spans="1:1" x14ac:dyDescent="0.25">
      <c r="A50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22" spans="1:1" x14ac:dyDescent="0.25">
      <c r="A50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23" spans="1:1" x14ac:dyDescent="0.25">
      <c r="A50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24" spans="1:1" x14ac:dyDescent="0.25">
      <c r="A50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25" spans="1:1" x14ac:dyDescent="0.25">
      <c r="A50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26" spans="1:1" x14ac:dyDescent="0.25">
      <c r="A50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27" spans="1:1" x14ac:dyDescent="0.25">
      <c r="A50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28" spans="1:1" x14ac:dyDescent="0.25">
      <c r="A50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29" spans="1:1" x14ac:dyDescent="0.25">
      <c r="A50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30" spans="1:1" x14ac:dyDescent="0.25">
      <c r="A50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31" spans="1:1" x14ac:dyDescent="0.25">
      <c r="A50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32" spans="1:1" x14ac:dyDescent="0.25">
      <c r="A50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33" spans="1:1" x14ac:dyDescent="0.25">
      <c r="A50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34" spans="1:1" x14ac:dyDescent="0.25">
      <c r="A50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35" spans="1:1" x14ac:dyDescent="0.25">
      <c r="A50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36" spans="1:1" x14ac:dyDescent="0.25">
      <c r="A50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37" spans="1:1" x14ac:dyDescent="0.25">
      <c r="A50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38" spans="1:1" x14ac:dyDescent="0.25">
      <c r="A50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39" spans="1:1" x14ac:dyDescent="0.25">
      <c r="A50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40" spans="1:1" x14ac:dyDescent="0.25">
      <c r="A50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41" spans="1:1" x14ac:dyDescent="0.25">
      <c r="A50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42" spans="1:1" x14ac:dyDescent="0.25">
      <c r="A50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43" spans="1:1" x14ac:dyDescent="0.25">
      <c r="A50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44" spans="1:1" x14ac:dyDescent="0.25">
      <c r="A50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45" spans="1:1" x14ac:dyDescent="0.25">
      <c r="A50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46" spans="1:1" x14ac:dyDescent="0.25">
      <c r="A50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47" spans="1:1" x14ac:dyDescent="0.25">
      <c r="A50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48" spans="1:1" x14ac:dyDescent="0.25">
      <c r="A50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49" spans="1:1" x14ac:dyDescent="0.25">
      <c r="A50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50" spans="1:1" x14ac:dyDescent="0.25">
      <c r="A50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51" spans="1:1" x14ac:dyDescent="0.25">
      <c r="A50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52" spans="1:1" x14ac:dyDescent="0.25">
      <c r="A50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53" spans="1:1" x14ac:dyDescent="0.25">
      <c r="A50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54" spans="1:1" x14ac:dyDescent="0.25">
      <c r="A50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55" spans="1:1" x14ac:dyDescent="0.25">
      <c r="A50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56" spans="1:1" x14ac:dyDescent="0.25">
      <c r="A50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57" spans="1:1" x14ac:dyDescent="0.25">
      <c r="A50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58" spans="1:1" x14ac:dyDescent="0.25">
      <c r="A50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59" spans="1:1" x14ac:dyDescent="0.25">
      <c r="A50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60" spans="1:1" x14ac:dyDescent="0.25">
      <c r="A50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61" spans="1:1" x14ac:dyDescent="0.25">
      <c r="A50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62" spans="1:1" x14ac:dyDescent="0.25">
      <c r="A50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63" spans="1:1" x14ac:dyDescent="0.25">
      <c r="A50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64" spans="1:1" x14ac:dyDescent="0.25">
      <c r="A50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65" spans="1:1" x14ac:dyDescent="0.25">
      <c r="A50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66" spans="1:1" x14ac:dyDescent="0.25">
      <c r="A50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67" spans="1:1" x14ac:dyDescent="0.25">
      <c r="A50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68" spans="1:1" x14ac:dyDescent="0.25">
      <c r="A50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69" spans="1:1" x14ac:dyDescent="0.25">
      <c r="A50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70" spans="1:1" x14ac:dyDescent="0.25">
      <c r="A50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71" spans="1:1" x14ac:dyDescent="0.25">
      <c r="A50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72" spans="1:1" x14ac:dyDescent="0.25">
      <c r="A50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73" spans="1:1" x14ac:dyDescent="0.25">
      <c r="A50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74" spans="1:1" x14ac:dyDescent="0.25">
      <c r="A50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75" spans="1:1" x14ac:dyDescent="0.25">
      <c r="A50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76" spans="1:1" x14ac:dyDescent="0.25">
      <c r="A50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77" spans="1:1" x14ac:dyDescent="0.25">
      <c r="A50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78" spans="1:1" x14ac:dyDescent="0.25">
      <c r="A50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79" spans="1:1" x14ac:dyDescent="0.25">
      <c r="A50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80" spans="1:1" x14ac:dyDescent="0.25">
      <c r="A50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81" spans="1:1" x14ac:dyDescent="0.25">
      <c r="A50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82" spans="1:1" x14ac:dyDescent="0.25">
      <c r="A50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83" spans="1:1" x14ac:dyDescent="0.25">
      <c r="A50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84" spans="1:1" x14ac:dyDescent="0.25">
      <c r="A50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85" spans="1:1" x14ac:dyDescent="0.25">
      <c r="A50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86" spans="1:1" x14ac:dyDescent="0.25">
      <c r="A50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87" spans="1:1" x14ac:dyDescent="0.25">
      <c r="A50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88" spans="1:1" x14ac:dyDescent="0.25">
      <c r="A50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89" spans="1:1" x14ac:dyDescent="0.25">
      <c r="A50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90" spans="1:1" x14ac:dyDescent="0.25">
      <c r="A50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91" spans="1:1" x14ac:dyDescent="0.25">
      <c r="A50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92" spans="1:1" x14ac:dyDescent="0.25">
      <c r="A50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93" spans="1:1" x14ac:dyDescent="0.25">
      <c r="A50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94" spans="1:1" x14ac:dyDescent="0.25">
      <c r="A50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95" spans="1:1" x14ac:dyDescent="0.25">
      <c r="A50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96" spans="1:1" x14ac:dyDescent="0.25">
      <c r="A50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97" spans="1:1" x14ac:dyDescent="0.25">
      <c r="A50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98" spans="1:1" x14ac:dyDescent="0.25">
      <c r="A50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099" spans="1:1" x14ac:dyDescent="0.25">
      <c r="A50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00" spans="1:1" x14ac:dyDescent="0.25">
      <c r="A51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01" spans="1:1" x14ac:dyDescent="0.25">
      <c r="A51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02" spans="1:1" x14ac:dyDescent="0.25">
      <c r="A51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03" spans="1:1" x14ac:dyDescent="0.25">
      <c r="A51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04" spans="1:1" x14ac:dyDescent="0.25">
      <c r="A51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05" spans="1:1" x14ac:dyDescent="0.25">
      <c r="A51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06" spans="1:1" x14ac:dyDescent="0.25">
      <c r="A51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07" spans="1:1" x14ac:dyDescent="0.25">
      <c r="A51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08" spans="1:1" x14ac:dyDescent="0.25">
      <c r="A51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09" spans="1:1" x14ac:dyDescent="0.25">
      <c r="A51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10" spans="1:1" x14ac:dyDescent="0.25">
      <c r="A51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11" spans="1:1" x14ac:dyDescent="0.25">
      <c r="A51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12" spans="1:1" x14ac:dyDescent="0.25">
      <c r="A51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13" spans="1:1" x14ac:dyDescent="0.25">
      <c r="A51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14" spans="1:1" x14ac:dyDescent="0.25">
      <c r="A51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15" spans="1:1" x14ac:dyDescent="0.25">
      <c r="A51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16" spans="1:1" x14ac:dyDescent="0.25">
      <c r="A51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17" spans="1:1" x14ac:dyDescent="0.25">
      <c r="A51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18" spans="1:1" x14ac:dyDescent="0.25">
      <c r="A51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19" spans="1:1" x14ac:dyDescent="0.25">
      <c r="A51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20" spans="1:1" x14ac:dyDescent="0.25">
      <c r="A51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21" spans="1:1" x14ac:dyDescent="0.25">
      <c r="A51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22" spans="1:1" x14ac:dyDescent="0.25">
      <c r="A51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23" spans="1:1" x14ac:dyDescent="0.25">
      <c r="A51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24" spans="1:1" x14ac:dyDescent="0.25">
      <c r="A51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25" spans="1:1" x14ac:dyDescent="0.25">
      <c r="A51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26" spans="1:1" x14ac:dyDescent="0.25">
      <c r="A51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27" spans="1:1" x14ac:dyDescent="0.25">
      <c r="A51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28" spans="1:1" x14ac:dyDescent="0.25">
      <c r="A51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29" spans="1:1" x14ac:dyDescent="0.25">
      <c r="A51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30" spans="1:1" x14ac:dyDescent="0.25">
      <c r="A51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31" spans="1:1" x14ac:dyDescent="0.25">
      <c r="A51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32" spans="1:1" x14ac:dyDescent="0.25">
      <c r="A51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33" spans="1:1" x14ac:dyDescent="0.25">
      <c r="A51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34" spans="1:1" x14ac:dyDescent="0.25">
      <c r="A51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35" spans="1:1" x14ac:dyDescent="0.25">
      <c r="A51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36" spans="1:1" x14ac:dyDescent="0.25">
      <c r="A51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37" spans="1:1" x14ac:dyDescent="0.25">
      <c r="A51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38" spans="1:1" x14ac:dyDescent="0.25">
      <c r="A51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39" spans="1:1" x14ac:dyDescent="0.25">
      <c r="A51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40" spans="1:1" x14ac:dyDescent="0.25">
      <c r="A51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41" spans="1:1" x14ac:dyDescent="0.25">
      <c r="A51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42" spans="1:1" x14ac:dyDescent="0.25">
      <c r="A51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43" spans="1:1" x14ac:dyDescent="0.25">
      <c r="A51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44" spans="1:1" x14ac:dyDescent="0.25">
      <c r="A51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45" spans="1:1" x14ac:dyDescent="0.25">
      <c r="A51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46" spans="1:1" x14ac:dyDescent="0.25">
      <c r="A51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47" spans="1:1" x14ac:dyDescent="0.25">
      <c r="A51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48" spans="1:1" x14ac:dyDescent="0.25">
      <c r="A51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49" spans="1:1" x14ac:dyDescent="0.25">
      <c r="A51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50" spans="1:1" x14ac:dyDescent="0.25">
      <c r="A51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51" spans="1:1" x14ac:dyDescent="0.25">
      <c r="A51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52" spans="1:1" x14ac:dyDescent="0.25">
      <c r="A51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53" spans="1:1" x14ac:dyDescent="0.25">
      <c r="A51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54" spans="1:1" x14ac:dyDescent="0.25">
      <c r="A51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55" spans="1:1" x14ac:dyDescent="0.25">
      <c r="A51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56" spans="1:1" x14ac:dyDescent="0.25">
      <c r="A51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57" spans="1:1" x14ac:dyDescent="0.25">
      <c r="A51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58" spans="1:1" x14ac:dyDescent="0.25">
      <c r="A51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59" spans="1:1" x14ac:dyDescent="0.25">
      <c r="A51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60" spans="1:1" x14ac:dyDescent="0.25">
      <c r="A51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61" spans="1:1" x14ac:dyDescent="0.25">
      <c r="A51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62" spans="1:1" x14ac:dyDescent="0.25">
      <c r="A51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63" spans="1:1" x14ac:dyDescent="0.25">
      <c r="A51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64" spans="1:1" x14ac:dyDescent="0.25">
      <c r="A51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65" spans="1:1" x14ac:dyDescent="0.25">
      <c r="A51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66" spans="1:1" x14ac:dyDescent="0.25">
      <c r="A51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67" spans="1:1" x14ac:dyDescent="0.25">
      <c r="A51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68" spans="1:1" x14ac:dyDescent="0.25">
      <c r="A51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69" spans="1:1" x14ac:dyDescent="0.25">
      <c r="A51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70" spans="1:1" x14ac:dyDescent="0.25">
      <c r="A51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71" spans="1:1" x14ac:dyDescent="0.25">
      <c r="A51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72" spans="1:1" x14ac:dyDescent="0.25">
      <c r="A51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73" spans="1:1" x14ac:dyDescent="0.25">
      <c r="A51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74" spans="1:1" x14ac:dyDescent="0.25">
      <c r="A51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75" spans="1:1" x14ac:dyDescent="0.25">
      <c r="A51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76" spans="1:1" x14ac:dyDescent="0.25">
      <c r="A51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77" spans="1:1" x14ac:dyDescent="0.25">
      <c r="A51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78" spans="1:1" x14ac:dyDescent="0.25">
      <c r="A51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79" spans="1:1" x14ac:dyDescent="0.25">
      <c r="A51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80" spans="1:1" x14ac:dyDescent="0.25">
      <c r="A51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81" spans="1:1" x14ac:dyDescent="0.25">
      <c r="A51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82" spans="1:1" x14ac:dyDescent="0.25">
      <c r="A51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83" spans="1:1" x14ac:dyDescent="0.25">
      <c r="A51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84" spans="1:1" x14ac:dyDescent="0.25">
      <c r="A51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85" spans="1:1" x14ac:dyDescent="0.25">
      <c r="A51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86" spans="1:1" x14ac:dyDescent="0.25">
      <c r="A51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87" spans="1:1" x14ac:dyDescent="0.25">
      <c r="A51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88" spans="1:1" x14ac:dyDescent="0.25">
      <c r="A51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89" spans="1:1" x14ac:dyDescent="0.25">
      <c r="A51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90" spans="1:1" x14ac:dyDescent="0.25">
      <c r="A51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91" spans="1:1" x14ac:dyDescent="0.25">
      <c r="A51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92" spans="1:1" x14ac:dyDescent="0.25">
      <c r="A51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93" spans="1:1" x14ac:dyDescent="0.25">
      <c r="A51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94" spans="1:1" x14ac:dyDescent="0.25">
      <c r="A51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95" spans="1:1" x14ac:dyDescent="0.25">
      <c r="A51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96" spans="1:1" x14ac:dyDescent="0.25">
      <c r="A51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97" spans="1:1" x14ac:dyDescent="0.25">
      <c r="A51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98" spans="1:1" x14ac:dyDescent="0.25">
      <c r="A51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199" spans="1:1" x14ac:dyDescent="0.25">
      <c r="A51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00" spans="1:1" x14ac:dyDescent="0.25">
      <c r="A52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01" spans="1:1" x14ac:dyDescent="0.25">
      <c r="A52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02" spans="1:1" x14ac:dyDescent="0.25">
      <c r="A52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03" spans="1:1" x14ac:dyDescent="0.25">
      <c r="A52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04" spans="1:1" x14ac:dyDescent="0.25">
      <c r="A52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05" spans="1:1" x14ac:dyDescent="0.25">
      <c r="A52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06" spans="1:1" x14ac:dyDescent="0.25">
      <c r="A52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07" spans="1:1" x14ac:dyDescent="0.25">
      <c r="A52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08" spans="1:1" x14ac:dyDescent="0.25">
      <c r="A52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09" spans="1:1" x14ac:dyDescent="0.25">
      <c r="A52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10" spans="1:1" x14ac:dyDescent="0.25">
      <c r="A52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11" spans="1:1" x14ac:dyDescent="0.25">
      <c r="A52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12" spans="1:1" x14ac:dyDescent="0.25">
      <c r="A52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13" spans="1:1" x14ac:dyDescent="0.25">
      <c r="A52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14" spans="1:1" x14ac:dyDescent="0.25">
      <c r="A52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15" spans="1:1" x14ac:dyDescent="0.25">
      <c r="A52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16" spans="1:1" x14ac:dyDescent="0.25">
      <c r="A52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17" spans="1:1" x14ac:dyDescent="0.25">
      <c r="A52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18" spans="1:1" x14ac:dyDescent="0.25">
      <c r="A52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19" spans="1:1" x14ac:dyDescent="0.25">
      <c r="A52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20" spans="1:1" x14ac:dyDescent="0.25">
      <c r="A52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21" spans="1:1" x14ac:dyDescent="0.25">
      <c r="A52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22" spans="1:1" x14ac:dyDescent="0.25">
      <c r="A52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23" spans="1:1" x14ac:dyDescent="0.25">
      <c r="A52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24" spans="1:1" x14ac:dyDescent="0.25">
      <c r="A52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25" spans="1:1" x14ac:dyDescent="0.25">
      <c r="A52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26" spans="1:1" x14ac:dyDescent="0.25">
      <c r="A52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27" spans="1:1" x14ac:dyDescent="0.25">
      <c r="A52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28" spans="1:1" x14ac:dyDescent="0.25">
      <c r="A52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29" spans="1:1" x14ac:dyDescent="0.25">
      <c r="A52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30" spans="1:1" x14ac:dyDescent="0.25">
      <c r="A52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31" spans="1:1" x14ac:dyDescent="0.25">
      <c r="A52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32" spans="1:1" x14ac:dyDescent="0.25">
      <c r="A52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33" spans="1:1" x14ac:dyDescent="0.25">
      <c r="A52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34" spans="1:1" x14ac:dyDescent="0.25">
      <c r="A52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35" spans="1:1" x14ac:dyDescent="0.25">
      <c r="A52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36" spans="1:1" x14ac:dyDescent="0.25">
      <c r="A52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37" spans="1:1" x14ac:dyDescent="0.25">
      <c r="A52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38" spans="1:1" x14ac:dyDescent="0.25">
      <c r="A52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39" spans="1:1" x14ac:dyDescent="0.25">
      <c r="A52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40" spans="1:1" x14ac:dyDescent="0.25">
      <c r="A52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41" spans="1:1" x14ac:dyDescent="0.25">
      <c r="A52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42" spans="1:1" x14ac:dyDescent="0.25">
      <c r="A52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43" spans="1:1" x14ac:dyDescent="0.25">
      <c r="A52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44" spans="1:1" x14ac:dyDescent="0.25">
      <c r="A52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45" spans="1:1" x14ac:dyDescent="0.25">
      <c r="A52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46" spans="1:1" x14ac:dyDescent="0.25">
      <c r="A52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47" spans="1:1" x14ac:dyDescent="0.25">
      <c r="A52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48" spans="1:1" x14ac:dyDescent="0.25">
      <c r="A52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49" spans="1:1" x14ac:dyDescent="0.25">
      <c r="A52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50" spans="1:1" x14ac:dyDescent="0.25">
      <c r="A52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51" spans="1:1" x14ac:dyDescent="0.25">
      <c r="A52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52" spans="1:1" x14ac:dyDescent="0.25">
      <c r="A52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53" spans="1:1" x14ac:dyDescent="0.25">
      <c r="A52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54" spans="1:1" x14ac:dyDescent="0.25">
      <c r="A52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55" spans="1:1" x14ac:dyDescent="0.25">
      <c r="A52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56" spans="1:1" x14ac:dyDescent="0.25">
      <c r="A52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57" spans="1:1" x14ac:dyDescent="0.25">
      <c r="A52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58" spans="1:1" x14ac:dyDescent="0.25">
      <c r="A52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59" spans="1:1" x14ac:dyDescent="0.25">
      <c r="A52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60" spans="1:1" x14ac:dyDescent="0.25">
      <c r="A52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61" spans="1:1" x14ac:dyDescent="0.25">
      <c r="A52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62" spans="1:1" x14ac:dyDescent="0.25">
      <c r="A52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63" spans="1:1" x14ac:dyDescent="0.25">
      <c r="A52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64" spans="1:1" x14ac:dyDescent="0.25">
      <c r="A52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65" spans="1:1" x14ac:dyDescent="0.25">
      <c r="A52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66" spans="1:1" x14ac:dyDescent="0.25">
      <c r="A52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67" spans="1:1" x14ac:dyDescent="0.25">
      <c r="A52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68" spans="1:1" x14ac:dyDescent="0.25">
      <c r="A52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69" spans="1:1" x14ac:dyDescent="0.25">
      <c r="A52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70" spans="1:1" x14ac:dyDescent="0.25">
      <c r="A52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71" spans="1:1" x14ac:dyDescent="0.25">
      <c r="A52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72" spans="1:1" x14ac:dyDescent="0.25">
      <c r="A52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73" spans="1:1" x14ac:dyDescent="0.25">
      <c r="A52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74" spans="1:1" x14ac:dyDescent="0.25">
      <c r="A52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75" spans="1:1" x14ac:dyDescent="0.25">
      <c r="A52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76" spans="1:1" x14ac:dyDescent="0.25">
      <c r="A52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77" spans="1:1" x14ac:dyDescent="0.25">
      <c r="A52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78" spans="1:1" x14ac:dyDescent="0.25">
      <c r="A52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79" spans="1:1" x14ac:dyDescent="0.25">
      <c r="A52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80" spans="1:1" x14ac:dyDescent="0.25">
      <c r="A52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81" spans="1:1" x14ac:dyDescent="0.25">
      <c r="A52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82" spans="1:1" x14ac:dyDescent="0.25">
      <c r="A52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83" spans="1:1" x14ac:dyDescent="0.25">
      <c r="A52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84" spans="1:1" x14ac:dyDescent="0.25">
      <c r="A52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85" spans="1:1" x14ac:dyDescent="0.25">
      <c r="A52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86" spans="1:1" x14ac:dyDescent="0.25">
      <c r="A52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87" spans="1:1" x14ac:dyDescent="0.25">
      <c r="A52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88" spans="1:1" x14ac:dyDescent="0.25">
      <c r="A52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89" spans="1:1" x14ac:dyDescent="0.25">
      <c r="A52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90" spans="1:1" x14ac:dyDescent="0.25">
      <c r="A52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91" spans="1:1" x14ac:dyDescent="0.25">
      <c r="A52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92" spans="1:1" x14ac:dyDescent="0.25">
      <c r="A52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93" spans="1:1" x14ac:dyDescent="0.25">
      <c r="A52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94" spans="1:1" x14ac:dyDescent="0.25">
      <c r="A52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95" spans="1:1" x14ac:dyDescent="0.25">
      <c r="A52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96" spans="1:1" x14ac:dyDescent="0.25">
      <c r="A52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97" spans="1:1" x14ac:dyDescent="0.25">
      <c r="A52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98" spans="1:1" x14ac:dyDescent="0.25">
      <c r="A52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299" spans="1:1" x14ac:dyDescent="0.25">
      <c r="A52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00" spans="1:1" x14ac:dyDescent="0.25">
      <c r="A53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01" spans="1:1" x14ac:dyDescent="0.25">
      <c r="A53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02" spans="1:1" x14ac:dyDescent="0.25">
      <c r="A53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03" spans="1:1" x14ac:dyDescent="0.25">
      <c r="A53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04" spans="1:1" x14ac:dyDescent="0.25">
      <c r="A53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05" spans="1:1" x14ac:dyDescent="0.25">
      <c r="A53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06" spans="1:1" x14ac:dyDescent="0.25">
      <c r="A53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07" spans="1:1" x14ac:dyDescent="0.25">
      <c r="A53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08" spans="1:1" x14ac:dyDescent="0.25">
      <c r="A53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09" spans="1:1" x14ac:dyDescent="0.25">
      <c r="A53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10" spans="1:1" x14ac:dyDescent="0.25">
      <c r="A53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11" spans="1:1" x14ac:dyDescent="0.25">
      <c r="A53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12" spans="1:1" x14ac:dyDescent="0.25">
      <c r="A53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13" spans="1:1" x14ac:dyDescent="0.25">
      <c r="A53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14" spans="1:1" x14ac:dyDescent="0.25">
      <c r="A53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15" spans="1:1" x14ac:dyDescent="0.25">
      <c r="A53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16" spans="1:1" x14ac:dyDescent="0.25">
      <c r="A53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17" spans="1:1" x14ac:dyDescent="0.25">
      <c r="A53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18" spans="1:1" x14ac:dyDescent="0.25">
      <c r="A53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19" spans="1:1" x14ac:dyDescent="0.25">
      <c r="A53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20" spans="1:1" x14ac:dyDescent="0.25">
      <c r="A53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21" spans="1:1" x14ac:dyDescent="0.25">
      <c r="A53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22" spans="1:1" x14ac:dyDescent="0.25">
      <c r="A53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23" spans="1:1" x14ac:dyDescent="0.25">
      <c r="A53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24" spans="1:1" x14ac:dyDescent="0.25">
      <c r="A53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25" spans="1:1" x14ac:dyDescent="0.25">
      <c r="A53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26" spans="1:1" x14ac:dyDescent="0.25">
      <c r="A53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27" spans="1:1" x14ac:dyDescent="0.25">
      <c r="A53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28" spans="1:1" x14ac:dyDescent="0.25">
      <c r="A53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29" spans="1:1" x14ac:dyDescent="0.25">
      <c r="A53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30" spans="1:1" x14ac:dyDescent="0.25">
      <c r="A53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31" spans="1:1" x14ac:dyDescent="0.25">
      <c r="A53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32" spans="1:1" x14ac:dyDescent="0.25">
      <c r="A53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33" spans="1:1" x14ac:dyDescent="0.25">
      <c r="A53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34" spans="1:1" x14ac:dyDescent="0.25">
      <c r="A53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35" spans="1:1" x14ac:dyDescent="0.25">
      <c r="A53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36" spans="1:1" x14ac:dyDescent="0.25">
      <c r="A53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37" spans="1:1" x14ac:dyDescent="0.25">
      <c r="A53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38" spans="1:1" x14ac:dyDescent="0.25">
      <c r="A53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39" spans="1:1" x14ac:dyDescent="0.25">
      <c r="A53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40" spans="1:1" x14ac:dyDescent="0.25">
      <c r="A53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41" spans="1:1" x14ac:dyDescent="0.25">
      <c r="A53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42" spans="1:1" x14ac:dyDescent="0.25">
      <c r="A53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43" spans="1:1" x14ac:dyDescent="0.25">
      <c r="A53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44" spans="1:1" x14ac:dyDescent="0.25">
      <c r="A53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45" spans="1:1" x14ac:dyDescent="0.25">
      <c r="A53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46" spans="1:1" x14ac:dyDescent="0.25">
      <c r="A53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47" spans="1:1" x14ac:dyDescent="0.25">
      <c r="A53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48" spans="1:1" x14ac:dyDescent="0.25">
      <c r="A53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49" spans="1:1" x14ac:dyDescent="0.25">
      <c r="A53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50" spans="1:1" x14ac:dyDescent="0.25">
      <c r="A53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51" spans="1:1" x14ac:dyDescent="0.25">
      <c r="A53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52" spans="1:1" x14ac:dyDescent="0.25">
      <c r="A53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53" spans="1:1" x14ac:dyDescent="0.25">
      <c r="A53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54" spans="1:1" x14ac:dyDescent="0.25">
      <c r="A53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55" spans="1:1" x14ac:dyDescent="0.25">
      <c r="A53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56" spans="1:1" x14ac:dyDescent="0.25">
      <c r="A53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57" spans="1:1" x14ac:dyDescent="0.25">
      <c r="A53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58" spans="1:1" x14ac:dyDescent="0.25">
      <c r="A53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59" spans="1:1" x14ac:dyDescent="0.25">
      <c r="A53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60" spans="1:1" x14ac:dyDescent="0.25">
      <c r="A53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61" spans="1:1" x14ac:dyDescent="0.25">
      <c r="A53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62" spans="1:1" x14ac:dyDescent="0.25">
      <c r="A53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63" spans="1:1" x14ac:dyDescent="0.25">
      <c r="A53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64" spans="1:1" x14ac:dyDescent="0.25">
      <c r="A53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65" spans="1:1" x14ac:dyDescent="0.25">
      <c r="A53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66" spans="1:1" x14ac:dyDescent="0.25">
      <c r="A53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67" spans="1:1" x14ac:dyDescent="0.25">
      <c r="A53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68" spans="1:1" x14ac:dyDescent="0.25">
      <c r="A53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69" spans="1:1" x14ac:dyDescent="0.25">
      <c r="A53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70" spans="1:1" x14ac:dyDescent="0.25">
      <c r="A53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71" spans="1:1" x14ac:dyDescent="0.25">
      <c r="A53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72" spans="1:1" x14ac:dyDescent="0.25">
      <c r="A53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73" spans="1:1" x14ac:dyDescent="0.25">
      <c r="A53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74" spans="1:1" x14ac:dyDescent="0.25">
      <c r="A53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75" spans="1:1" x14ac:dyDescent="0.25">
      <c r="A53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76" spans="1:1" x14ac:dyDescent="0.25">
      <c r="A53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77" spans="1:1" x14ac:dyDescent="0.25">
      <c r="A53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78" spans="1:1" x14ac:dyDescent="0.25">
      <c r="A53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79" spans="1:1" x14ac:dyDescent="0.25">
      <c r="A53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80" spans="1:1" x14ac:dyDescent="0.25">
      <c r="A53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81" spans="1:1" x14ac:dyDescent="0.25">
      <c r="A53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82" spans="1:1" x14ac:dyDescent="0.25">
      <c r="A53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83" spans="1:1" x14ac:dyDescent="0.25">
      <c r="A53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84" spans="1:1" x14ac:dyDescent="0.25">
      <c r="A53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85" spans="1:1" x14ac:dyDescent="0.25">
      <c r="A53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86" spans="1:1" x14ac:dyDescent="0.25">
      <c r="A53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87" spans="1:1" x14ac:dyDescent="0.25">
      <c r="A53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88" spans="1:1" x14ac:dyDescent="0.25">
      <c r="A53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89" spans="1:1" x14ac:dyDescent="0.25">
      <c r="A53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90" spans="1:1" x14ac:dyDescent="0.25">
      <c r="A53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91" spans="1:1" x14ac:dyDescent="0.25">
      <c r="A53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92" spans="1:1" x14ac:dyDescent="0.25">
      <c r="A53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93" spans="1:1" x14ac:dyDescent="0.25">
      <c r="A53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94" spans="1:1" x14ac:dyDescent="0.25">
      <c r="A53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95" spans="1:1" x14ac:dyDescent="0.25">
      <c r="A53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96" spans="1:1" x14ac:dyDescent="0.25">
      <c r="A53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97" spans="1:1" x14ac:dyDescent="0.25">
      <c r="A53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98" spans="1:1" x14ac:dyDescent="0.25">
      <c r="A53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399" spans="1:1" x14ac:dyDescent="0.25">
      <c r="A53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00" spans="1:1" x14ac:dyDescent="0.25">
      <c r="A54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01" spans="1:1" x14ac:dyDescent="0.25">
      <c r="A54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02" spans="1:1" x14ac:dyDescent="0.25">
      <c r="A54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03" spans="1:1" x14ac:dyDescent="0.25">
      <c r="A54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04" spans="1:1" x14ac:dyDescent="0.25">
      <c r="A54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05" spans="1:1" x14ac:dyDescent="0.25">
      <c r="A54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06" spans="1:1" x14ac:dyDescent="0.25">
      <c r="A54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07" spans="1:1" x14ac:dyDescent="0.25">
      <c r="A54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08" spans="1:1" x14ac:dyDescent="0.25">
      <c r="A54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09" spans="1:1" x14ac:dyDescent="0.25">
      <c r="A54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10" spans="1:1" x14ac:dyDescent="0.25">
      <c r="A54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11" spans="1:1" x14ac:dyDescent="0.25">
      <c r="A54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12" spans="1:1" x14ac:dyDescent="0.25">
      <c r="A54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13" spans="1:1" x14ac:dyDescent="0.25">
      <c r="A54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14" spans="1:1" x14ac:dyDescent="0.25">
      <c r="A54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15" spans="1:1" x14ac:dyDescent="0.25">
      <c r="A54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16" spans="1:1" x14ac:dyDescent="0.25">
      <c r="A54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17" spans="1:1" x14ac:dyDescent="0.25">
      <c r="A54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18" spans="1:1" x14ac:dyDescent="0.25">
      <c r="A54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19" spans="1:1" x14ac:dyDescent="0.25">
      <c r="A54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20" spans="1:1" x14ac:dyDescent="0.25">
      <c r="A54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21" spans="1:1" x14ac:dyDescent="0.25">
      <c r="A54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22" spans="1:1" x14ac:dyDescent="0.25">
      <c r="A54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23" spans="1:1" x14ac:dyDescent="0.25">
      <c r="A54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24" spans="1:1" x14ac:dyDescent="0.25">
      <c r="A54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25" spans="1:1" x14ac:dyDescent="0.25">
      <c r="A54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26" spans="1:1" x14ac:dyDescent="0.25">
      <c r="A54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27" spans="1:1" x14ac:dyDescent="0.25">
      <c r="A54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28" spans="1:1" x14ac:dyDescent="0.25">
      <c r="A54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29" spans="1:1" x14ac:dyDescent="0.25">
      <c r="A54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30" spans="1:1" x14ac:dyDescent="0.25">
      <c r="A54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31" spans="1:1" x14ac:dyDescent="0.25">
      <c r="A54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32" spans="1:1" x14ac:dyDescent="0.25">
      <c r="A54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33" spans="1:1" x14ac:dyDescent="0.25">
      <c r="A54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34" spans="1:1" x14ac:dyDescent="0.25">
      <c r="A54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35" spans="1:1" x14ac:dyDescent="0.25">
      <c r="A54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36" spans="1:1" x14ac:dyDescent="0.25">
      <c r="A54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37" spans="1:1" x14ac:dyDescent="0.25">
      <c r="A54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38" spans="1:1" x14ac:dyDescent="0.25">
      <c r="A54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39" spans="1:1" x14ac:dyDescent="0.25">
      <c r="A54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40" spans="1:1" x14ac:dyDescent="0.25">
      <c r="A54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41" spans="1:1" x14ac:dyDescent="0.25">
      <c r="A54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42" spans="1:1" x14ac:dyDescent="0.25">
      <c r="A54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43" spans="1:1" x14ac:dyDescent="0.25">
      <c r="A54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44" spans="1:1" x14ac:dyDescent="0.25">
      <c r="A54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45" spans="1:1" x14ac:dyDescent="0.25">
      <c r="A54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46" spans="1:1" x14ac:dyDescent="0.25">
      <c r="A54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47" spans="1:1" x14ac:dyDescent="0.25">
      <c r="A54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48" spans="1:1" x14ac:dyDescent="0.25">
      <c r="A54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49" spans="1:1" x14ac:dyDescent="0.25">
      <c r="A54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50" spans="1:1" x14ac:dyDescent="0.25">
      <c r="A54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51" spans="1:1" x14ac:dyDescent="0.25">
      <c r="A54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52" spans="1:1" x14ac:dyDescent="0.25">
      <c r="A54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53" spans="1:1" x14ac:dyDescent="0.25">
      <c r="A54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54" spans="1:1" x14ac:dyDescent="0.25">
      <c r="A54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55" spans="1:1" x14ac:dyDescent="0.25">
      <c r="A54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56" spans="1:1" x14ac:dyDescent="0.25">
      <c r="A54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57" spans="1:1" x14ac:dyDescent="0.25">
      <c r="A54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58" spans="1:1" x14ac:dyDescent="0.25">
      <c r="A54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59" spans="1:1" x14ac:dyDescent="0.25">
      <c r="A54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60" spans="1:1" x14ac:dyDescent="0.25">
      <c r="A54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61" spans="1:1" x14ac:dyDescent="0.25">
      <c r="A54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62" spans="1:1" x14ac:dyDescent="0.25">
      <c r="A54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63" spans="1:1" x14ac:dyDescent="0.25">
      <c r="A54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64" spans="1:1" x14ac:dyDescent="0.25">
      <c r="A54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65" spans="1:1" x14ac:dyDescent="0.25">
      <c r="A54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66" spans="1:1" x14ac:dyDescent="0.25">
      <c r="A54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67" spans="1:1" x14ac:dyDescent="0.25">
      <c r="A54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68" spans="1:1" x14ac:dyDescent="0.25">
      <c r="A54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69" spans="1:1" x14ac:dyDescent="0.25">
      <c r="A54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70" spans="1:1" x14ac:dyDescent="0.25">
      <c r="A54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71" spans="1:1" x14ac:dyDescent="0.25">
      <c r="A54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72" spans="1:1" x14ac:dyDescent="0.25">
      <c r="A54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73" spans="1:1" x14ac:dyDescent="0.25">
      <c r="A54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74" spans="1:1" x14ac:dyDescent="0.25">
      <c r="A54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75" spans="1:1" x14ac:dyDescent="0.25">
      <c r="A54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76" spans="1:1" x14ac:dyDescent="0.25">
      <c r="A54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77" spans="1:1" x14ac:dyDescent="0.25">
      <c r="A54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78" spans="1:1" x14ac:dyDescent="0.25">
      <c r="A54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79" spans="1:1" x14ac:dyDescent="0.25">
      <c r="A54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80" spans="1:1" x14ac:dyDescent="0.25">
      <c r="A54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81" spans="1:1" x14ac:dyDescent="0.25">
      <c r="A54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82" spans="1:1" x14ac:dyDescent="0.25">
      <c r="A54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83" spans="1:1" x14ac:dyDescent="0.25">
      <c r="A54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84" spans="1:1" x14ac:dyDescent="0.25">
      <c r="A54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85" spans="1:1" x14ac:dyDescent="0.25">
      <c r="A54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86" spans="1:1" x14ac:dyDescent="0.25">
      <c r="A54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87" spans="1:1" x14ac:dyDescent="0.25">
      <c r="A54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88" spans="1:1" x14ac:dyDescent="0.25">
      <c r="A54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89" spans="1:1" x14ac:dyDescent="0.25">
      <c r="A54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90" spans="1:1" x14ac:dyDescent="0.25">
      <c r="A54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91" spans="1:1" x14ac:dyDescent="0.25">
      <c r="A54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92" spans="1:1" x14ac:dyDescent="0.25">
      <c r="A54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93" spans="1:1" x14ac:dyDescent="0.25">
      <c r="A54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94" spans="1:1" x14ac:dyDescent="0.25">
      <c r="A54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95" spans="1:1" x14ac:dyDescent="0.25">
      <c r="A54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96" spans="1:1" x14ac:dyDescent="0.25">
      <c r="A54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97" spans="1:1" x14ac:dyDescent="0.25">
      <c r="A54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98" spans="1:1" x14ac:dyDescent="0.25">
      <c r="A54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499" spans="1:1" x14ac:dyDescent="0.25">
      <c r="A54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00" spans="1:1" x14ac:dyDescent="0.25">
      <c r="A55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01" spans="1:1" x14ac:dyDescent="0.25">
      <c r="A55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02" spans="1:1" x14ac:dyDescent="0.25">
      <c r="A55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03" spans="1:1" x14ac:dyDescent="0.25">
      <c r="A55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04" spans="1:1" x14ac:dyDescent="0.25">
      <c r="A55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05" spans="1:1" x14ac:dyDescent="0.25">
      <c r="A55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06" spans="1:1" x14ac:dyDescent="0.25">
      <c r="A55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07" spans="1:1" x14ac:dyDescent="0.25">
      <c r="A55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08" spans="1:1" x14ac:dyDescent="0.25">
      <c r="A55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09" spans="1:1" x14ac:dyDescent="0.25">
      <c r="A55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10" spans="1:1" x14ac:dyDescent="0.25">
      <c r="A55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11" spans="1:1" x14ac:dyDescent="0.25">
      <c r="A55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12" spans="1:1" x14ac:dyDescent="0.25">
      <c r="A55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13" spans="1:1" x14ac:dyDescent="0.25">
      <c r="A55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14" spans="1:1" x14ac:dyDescent="0.25">
      <c r="A55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15" spans="1:1" x14ac:dyDescent="0.25">
      <c r="A55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16" spans="1:1" x14ac:dyDescent="0.25">
      <c r="A55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17" spans="1:1" x14ac:dyDescent="0.25">
      <c r="A55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18" spans="1:1" x14ac:dyDescent="0.25">
      <c r="A55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19" spans="1:1" x14ac:dyDescent="0.25">
      <c r="A55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20" spans="1:1" x14ac:dyDescent="0.25">
      <c r="A55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21" spans="1:1" x14ac:dyDescent="0.25">
      <c r="A55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22" spans="1:1" x14ac:dyDescent="0.25">
      <c r="A55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23" spans="1:1" x14ac:dyDescent="0.25">
      <c r="A55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24" spans="1:1" x14ac:dyDescent="0.25">
      <c r="A55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25" spans="1:1" x14ac:dyDescent="0.25">
      <c r="A55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26" spans="1:1" x14ac:dyDescent="0.25">
      <c r="A55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27" spans="1:1" x14ac:dyDescent="0.25">
      <c r="A55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28" spans="1:1" x14ac:dyDescent="0.25">
      <c r="A55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29" spans="1:1" x14ac:dyDescent="0.25">
      <c r="A55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30" spans="1:1" x14ac:dyDescent="0.25">
      <c r="A55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31" spans="1:1" x14ac:dyDescent="0.25">
      <c r="A55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32" spans="1:1" x14ac:dyDescent="0.25">
      <c r="A55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33" spans="1:1" x14ac:dyDescent="0.25">
      <c r="A55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34" spans="1:1" x14ac:dyDescent="0.25">
      <c r="A55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35" spans="1:1" x14ac:dyDescent="0.25">
      <c r="A55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36" spans="1:1" x14ac:dyDescent="0.25">
      <c r="A55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37" spans="1:1" x14ac:dyDescent="0.25">
      <c r="A55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38" spans="1:1" x14ac:dyDescent="0.25">
      <c r="A55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39" spans="1:1" x14ac:dyDescent="0.25">
      <c r="A55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40" spans="1:1" x14ac:dyDescent="0.25">
      <c r="A55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41" spans="1:1" x14ac:dyDescent="0.25">
      <c r="A55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42" spans="1:1" x14ac:dyDescent="0.25">
      <c r="A55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43" spans="1:1" x14ac:dyDescent="0.25">
      <c r="A55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44" spans="1:1" x14ac:dyDescent="0.25">
      <c r="A55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45" spans="1:1" x14ac:dyDescent="0.25">
      <c r="A55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46" spans="1:1" x14ac:dyDescent="0.25">
      <c r="A55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47" spans="1:1" x14ac:dyDescent="0.25">
      <c r="A55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48" spans="1:1" x14ac:dyDescent="0.25">
      <c r="A55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49" spans="1:1" x14ac:dyDescent="0.25">
      <c r="A55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50" spans="1:1" x14ac:dyDescent="0.25">
      <c r="A55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51" spans="1:1" x14ac:dyDescent="0.25">
      <c r="A55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52" spans="1:1" x14ac:dyDescent="0.25">
      <c r="A55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53" spans="1:1" x14ac:dyDescent="0.25">
      <c r="A55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54" spans="1:1" x14ac:dyDescent="0.25">
      <c r="A55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55" spans="1:1" x14ac:dyDescent="0.25">
      <c r="A55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56" spans="1:1" x14ac:dyDescent="0.25">
      <c r="A55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57" spans="1:1" x14ac:dyDescent="0.25">
      <c r="A55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58" spans="1:1" x14ac:dyDescent="0.25">
      <c r="A55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59" spans="1:1" x14ac:dyDescent="0.25">
      <c r="A55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60" spans="1:1" x14ac:dyDescent="0.25">
      <c r="A55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61" spans="1:1" x14ac:dyDescent="0.25">
      <c r="A55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62" spans="1:1" x14ac:dyDescent="0.25">
      <c r="A55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63" spans="1:1" x14ac:dyDescent="0.25">
      <c r="A55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64" spans="1:1" x14ac:dyDescent="0.25">
      <c r="A55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65" spans="1:1" x14ac:dyDescent="0.25">
      <c r="A55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66" spans="1:1" x14ac:dyDescent="0.25">
      <c r="A55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67" spans="1:1" x14ac:dyDescent="0.25">
      <c r="A55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68" spans="1:1" x14ac:dyDescent="0.25">
      <c r="A55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69" spans="1:1" x14ac:dyDescent="0.25">
      <c r="A55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70" spans="1:1" x14ac:dyDescent="0.25">
      <c r="A55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71" spans="1:1" x14ac:dyDescent="0.25">
      <c r="A55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72" spans="1:1" x14ac:dyDescent="0.25">
      <c r="A55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73" spans="1:1" x14ac:dyDescent="0.25">
      <c r="A55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74" spans="1:1" x14ac:dyDescent="0.25">
      <c r="A55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75" spans="1:1" x14ac:dyDescent="0.25">
      <c r="A55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76" spans="1:1" x14ac:dyDescent="0.25">
      <c r="A55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77" spans="1:1" x14ac:dyDescent="0.25">
      <c r="A55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78" spans="1:1" x14ac:dyDescent="0.25">
      <c r="A55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79" spans="1:1" x14ac:dyDescent="0.25">
      <c r="A55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80" spans="1:1" x14ac:dyDescent="0.25">
      <c r="A55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81" spans="1:1" x14ac:dyDescent="0.25">
      <c r="A55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82" spans="1:1" x14ac:dyDescent="0.25">
      <c r="A55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83" spans="1:1" x14ac:dyDescent="0.25">
      <c r="A55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84" spans="1:1" x14ac:dyDescent="0.25">
      <c r="A55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85" spans="1:1" x14ac:dyDescent="0.25">
      <c r="A55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86" spans="1:1" x14ac:dyDescent="0.25">
      <c r="A55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87" spans="1:1" x14ac:dyDescent="0.25">
      <c r="A55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88" spans="1:1" x14ac:dyDescent="0.25">
      <c r="A55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89" spans="1:1" x14ac:dyDescent="0.25">
      <c r="A55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90" spans="1:1" x14ac:dyDescent="0.25">
      <c r="A55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91" spans="1:1" x14ac:dyDescent="0.25">
      <c r="A55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92" spans="1:1" x14ac:dyDescent="0.25">
      <c r="A55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93" spans="1:1" x14ac:dyDescent="0.25">
      <c r="A55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94" spans="1:1" x14ac:dyDescent="0.25">
      <c r="A55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95" spans="1:1" x14ac:dyDescent="0.25">
      <c r="A55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96" spans="1:1" x14ac:dyDescent="0.25">
      <c r="A55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97" spans="1:1" x14ac:dyDescent="0.25">
      <c r="A55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98" spans="1:1" x14ac:dyDescent="0.25">
      <c r="A55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599" spans="1:1" x14ac:dyDescent="0.25">
      <c r="A55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00" spans="1:1" x14ac:dyDescent="0.25">
      <c r="A56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01" spans="1:1" x14ac:dyDescent="0.25">
      <c r="A56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02" spans="1:1" x14ac:dyDescent="0.25">
      <c r="A56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03" spans="1:1" x14ac:dyDescent="0.25">
      <c r="A56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04" spans="1:1" x14ac:dyDescent="0.25">
      <c r="A56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05" spans="1:1" x14ac:dyDescent="0.25">
      <c r="A56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06" spans="1:1" x14ac:dyDescent="0.25">
      <c r="A56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07" spans="1:1" x14ac:dyDescent="0.25">
      <c r="A56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08" spans="1:1" x14ac:dyDescent="0.25">
      <c r="A56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09" spans="1:1" x14ac:dyDescent="0.25">
      <c r="A56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10" spans="1:1" x14ac:dyDescent="0.25">
      <c r="A56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11" spans="1:1" x14ac:dyDescent="0.25">
      <c r="A56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12" spans="1:1" x14ac:dyDescent="0.25">
      <c r="A56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13" spans="1:1" x14ac:dyDescent="0.25">
      <c r="A56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14" spans="1:1" x14ac:dyDescent="0.25">
      <c r="A56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15" spans="1:1" x14ac:dyDescent="0.25">
      <c r="A56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16" spans="1:1" x14ac:dyDescent="0.25">
      <c r="A56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17" spans="1:1" x14ac:dyDescent="0.25">
      <c r="A56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18" spans="1:1" x14ac:dyDescent="0.25">
      <c r="A56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19" spans="1:1" x14ac:dyDescent="0.25">
      <c r="A56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20" spans="1:1" x14ac:dyDescent="0.25">
      <c r="A56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21" spans="1:1" x14ac:dyDescent="0.25">
      <c r="A56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22" spans="1:1" x14ac:dyDescent="0.25">
      <c r="A56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23" spans="1:1" x14ac:dyDescent="0.25">
      <c r="A56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24" spans="1:1" x14ac:dyDescent="0.25">
      <c r="A56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25" spans="1:1" x14ac:dyDescent="0.25">
      <c r="A56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26" spans="1:1" x14ac:dyDescent="0.25">
      <c r="A56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27" spans="1:1" x14ac:dyDescent="0.25">
      <c r="A56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28" spans="1:1" x14ac:dyDescent="0.25">
      <c r="A56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29" spans="1:1" x14ac:dyDescent="0.25">
      <c r="A56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30" spans="1:1" x14ac:dyDescent="0.25">
      <c r="A56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31" spans="1:1" x14ac:dyDescent="0.25">
      <c r="A56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32" spans="1:1" x14ac:dyDescent="0.25">
      <c r="A56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33" spans="1:1" x14ac:dyDescent="0.25">
      <c r="A56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34" spans="1:1" x14ac:dyDescent="0.25">
      <c r="A56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35" spans="1:1" x14ac:dyDescent="0.25">
      <c r="A56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36" spans="1:1" x14ac:dyDescent="0.25">
      <c r="A56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37" spans="1:1" x14ac:dyDescent="0.25">
      <c r="A56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38" spans="1:1" x14ac:dyDescent="0.25">
      <c r="A56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39" spans="1:1" x14ac:dyDescent="0.25">
      <c r="A56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40" spans="1:1" x14ac:dyDescent="0.25">
      <c r="A56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41" spans="1:1" x14ac:dyDescent="0.25">
      <c r="A56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42" spans="1:1" x14ac:dyDescent="0.25">
      <c r="A56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43" spans="1:1" x14ac:dyDescent="0.25">
      <c r="A56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44" spans="1:1" x14ac:dyDescent="0.25">
      <c r="A56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45" spans="1:1" x14ac:dyDescent="0.25">
      <c r="A56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46" spans="1:1" x14ac:dyDescent="0.25">
      <c r="A56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47" spans="1:1" x14ac:dyDescent="0.25">
      <c r="A56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48" spans="1:1" x14ac:dyDescent="0.25">
      <c r="A56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49" spans="1:1" x14ac:dyDescent="0.25">
      <c r="A56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50" spans="1:1" x14ac:dyDescent="0.25">
      <c r="A56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51" spans="1:1" x14ac:dyDescent="0.25">
      <c r="A56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52" spans="1:1" x14ac:dyDescent="0.25">
      <c r="A56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53" spans="1:1" x14ac:dyDescent="0.25">
      <c r="A56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54" spans="1:1" x14ac:dyDescent="0.25">
      <c r="A56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55" spans="1:1" x14ac:dyDescent="0.25">
      <c r="A56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56" spans="1:1" x14ac:dyDescent="0.25">
      <c r="A56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57" spans="1:1" x14ac:dyDescent="0.25">
      <c r="A56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58" spans="1:1" x14ac:dyDescent="0.25">
      <c r="A56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59" spans="1:1" x14ac:dyDescent="0.25">
      <c r="A56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60" spans="1:1" x14ac:dyDescent="0.25">
      <c r="A56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61" spans="1:1" x14ac:dyDescent="0.25">
      <c r="A56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62" spans="1:1" x14ac:dyDescent="0.25">
      <c r="A56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63" spans="1:1" x14ac:dyDescent="0.25">
      <c r="A56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64" spans="1:1" x14ac:dyDescent="0.25">
      <c r="A56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65" spans="1:1" x14ac:dyDescent="0.25">
      <c r="A56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66" spans="1:1" x14ac:dyDescent="0.25">
      <c r="A56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67" spans="1:1" x14ac:dyDescent="0.25">
      <c r="A56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68" spans="1:1" x14ac:dyDescent="0.25">
      <c r="A56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69" spans="1:1" x14ac:dyDescent="0.25">
      <c r="A56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70" spans="1:1" x14ac:dyDescent="0.25">
      <c r="A56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71" spans="1:1" x14ac:dyDescent="0.25">
      <c r="A56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72" spans="1:1" x14ac:dyDescent="0.25">
      <c r="A56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73" spans="1:1" x14ac:dyDescent="0.25">
      <c r="A56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74" spans="1:1" x14ac:dyDescent="0.25">
      <c r="A56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75" spans="1:1" x14ac:dyDescent="0.25">
      <c r="A56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76" spans="1:1" x14ac:dyDescent="0.25">
      <c r="A56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77" spans="1:1" x14ac:dyDescent="0.25">
      <c r="A56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78" spans="1:1" x14ac:dyDescent="0.25">
      <c r="A56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79" spans="1:1" x14ac:dyDescent="0.25">
      <c r="A56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80" spans="1:1" x14ac:dyDescent="0.25">
      <c r="A56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81" spans="1:1" x14ac:dyDescent="0.25">
      <c r="A56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82" spans="1:1" x14ac:dyDescent="0.25">
      <c r="A56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83" spans="1:1" x14ac:dyDescent="0.25">
      <c r="A56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84" spans="1:1" x14ac:dyDescent="0.25">
      <c r="A56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85" spans="1:1" x14ac:dyDescent="0.25">
      <c r="A56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86" spans="1:1" x14ac:dyDescent="0.25">
      <c r="A56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87" spans="1:1" x14ac:dyDescent="0.25">
      <c r="A56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88" spans="1:1" x14ac:dyDescent="0.25">
      <c r="A56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89" spans="1:1" x14ac:dyDescent="0.25">
      <c r="A56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90" spans="1:1" x14ac:dyDescent="0.25">
      <c r="A56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91" spans="1:1" x14ac:dyDescent="0.25">
      <c r="A56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92" spans="1:1" x14ac:dyDescent="0.25">
      <c r="A56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93" spans="1:1" x14ac:dyDescent="0.25">
      <c r="A56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94" spans="1:1" x14ac:dyDescent="0.25">
      <c r="A56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95" spans="1:1" x14ac:dyDescent="0.25">
      <c r="A56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96" spans="1:1" x14ac:dyDescent="0.25">
      <c r="A56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97" spans="1:1" x14ac:dyDescent="0.25">
      <c r="A56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98" spans="1:1" x14ac:dyDescent="0.25">
      <c r="A56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699" spans="1:1" x14ac:dyDescent="0.25">
      <c r="A56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00" spans="1:1" x14ac:dyDescent="0.25">
      <c r="A57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01" spans="1:1" x14ac:dyDescent="0.25">
      <c r="A57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02" spans="1:1" x14ac:dyDescent="0.25">
      <c r="A57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03" spans="1:1" x14ac:dyDescent="0.25">
      <c r="A57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04" spans="1:1" x14ac:dyDescent="0.25">
      <c r="A57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05" spans="1:1" x14ac:dyDescent="0.25">
      <c r="A57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06" spans="1:1" x14ac:dyDescent="0.25">
      <c r="A57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07" spans="1:1" x14ac:dyDescent="0.25">
      <c r="A57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08" spans="1:1" x14ac:dyDescent="0.25">
      <c r="A57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09" spans="1:1" x14ac:dyDescent="0.25">
      <c r="A57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10" spans="1:1" x14ac:dyDescent="0.25">
      <c r="A57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11" spans="1:1" x14ac:dyDescent="0.25">
      <c r="A57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12" spans="1:1" x14ac:dyDescent="0.25">
      <c r="A57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13" spans="1:1" x14ac:dyDescent="0.25">
      <c r="A57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14" spans="1:1" x14ac:dyDescent="0.25">
      <c r="A57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15" spans="1:1" x14ac:dyDescent="0.25">
      <c r="A57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16" spans="1:1" x14ac:dyDescent="0.25">
      <c r="A57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17" spans="1:1" x14ac:dyDescent="0.25">
      <c r="A57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18" spans="1:1" x14ac:dyDescent="0.25">
      <c r="A57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19" spans="1:1" x14ac:dyDescent="0.25">
      <c r="A57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20" spans="1:1" x14ac:dyDescent="0.25">
      <c r="A57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21" spans="1:1" x14ac:dyDescent="0.25">
      <c r="A57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22" spans="1:1" x14ac:dyDescent="0.25">
      <c r="A57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23" spans="1:1" x14ac:dyDescent="0.25">
      <c r="A57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24" spans="1:1" x14ac:dyDescent="0.25">
      <c r="A57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25" spans="1:1" x14ac:dyDescent="0.25">
      <c r="A57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26" spans="1:1" x14ac:dyDescent="0.25">
      <c r="A57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27" spans="1:1" x14ac:dyDescent="0.25">
      <c r="A57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28" spans="1:1" x14ac:dyDescent="0.25">
      <c r="A57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29" spans="1:1" x14ac:dyDescent="0.25">
      <c r="A57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30" spans="1:1" x14ac:dyDescent="0.25">
      <c r="A57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31" spans="1:1" x14ac:dyDescent="0.25">
      <c r="A57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32" spans="1:1" x14ac:dyDescent="0.25">
      <c r="A57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33" spans="1:1" x14ac:dyDescent="0.25">
      <c r="A57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34" spans="1:1" x14ac:dyDescent="0.25">
      <c r="A57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35" spans="1:1" x14ac:dyDescent="0.25">
      <c r="A57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36" spans="1:1" x14ac:dyDescent="0.25">
      <c r="A57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37" spans="1:1" x14ac:dyDescent="0.25">
      <c r="A57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38" spans="1:1" x14ac:dyDescent="0.25">
      <c r="A57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39" spans="1:1" x14ac:dyDescent="0.25">
      <c r="A57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40" spans="1:1" x14ac:dyDescent="0.25">
      <c r="A57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41" spans="1:1" x14ac:dyDescent="0.25">
      <c r="A57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42" spans="1:1" x14ac:dyDescent="0.25">
      <c r="A57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43" spans="1:1" x14ac:dyDescent="0.25">
      <c r="A57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44" spans="1:1" x14ac:dyDescent="0.25">
      <c r="A57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45" spans="1:1" x14ac:dyDescent="0.25">
      <c r="A57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46" spans="1:1" x14ac:dyDescent="0.25">
      <c r="A57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47" spans="1:1" x14ac:dyDescent="0.25">
      <c r="A57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48" spans="1:1" x14ac:dyDescent="0.25">
      <c r="A57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49" spans="1:1" x14ac:dyDescent="0.25">
      <c r="A57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50" spans="1:1" x14ac:dyDescent="0.25">
      <c r="A57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51" spans="1:1" x14ac:dyDescent="0.25">
      <c r="A57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52" spans="1:1" x14ac:dyDescent="0.25">
      <c r="A57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53" spans="1:1" x14ac:dyDescent="0.25">
      <c r="A57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54" spans="1:1" x14ac:dyDescent="0.25">
      <c r="A57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55" spans="1:1" x14ac:dyDescent="0.25">
      <c r="A57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56" spans="1:1" x14ac:dyDescent="0.25">
      <c r="A57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57" spans="1:1" x14ac:dyDescent="0.25">
      <c r="A57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58" spans="1:1" x14ac:dyDescent="0.25">
      <c r="A57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59" spans="1:1" x14ac:dyDescent="0.25">
      <c r="A57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60" spans="1:1" x14ac:dyDescent="0.25">
      <c r="A57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61" spans="1:1" x14ac:dyDescent="0.25">
      <c r="A57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62" spans="1:1" x14ac:dyDescent="0.25">
      <c r="A57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63" spans="1:1" x14ac:dyDescent="0.25">
      <c r="A57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64" spans="1:1" x14ac:dyDescent="0.25">
      <c r="A57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65" spans="1:1" x14ac:dyDescent="0.25">
      <c r="A57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66" spans="1:1" x14ac:dyDescent="0.25">
      <c r="A57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67" spans="1:1" x14ac:dyDescent="0.25">
      <c r="A57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68" spans="1:1" x14ac:dyDescent="0.25">
      <c r="A57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69" spans="1:1" x14ac:dyDescent="0.25">
      <c r="A57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70" spans="1:1" x14ac:dyDescent="0.25">
      <c r="A57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71" spans="1:1" x14ac:dyDescent="0.25">
      <c r="A57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72" spans="1:1" x14ac:dyDescent="0.25">
      <c r="A57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73" spans="1:1" x14ac:dyDescent="0.25">
      <c r="A57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74" spans="1:1" x14ac:dyDescent="0.25">
      <c r="A57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75" spans="1:1" x14ac:dyDescent="0.25">
      <c r="A57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76" spans="1:1" x14ac:dyDescent="0.25">
      <c r="A57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77" spans="1:1" x14ac:dyDescent="0.25">
      <c r="A57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78" spans="1:1" x14ac:dyDescent="0.25">
      <c r="A57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79" spans="1:1" x14ac:dyDescent="0.25">
      <c r="A57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80" spans="1:1" x14ac:dyDescent="0.25">
      <c r="A57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81" spans="1:1" x14ac:dyDescent="0.25">
      <c r="A57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82" spans="1:1" x14ac:dyDescent="0.25">
      <c r="A57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83" spans="1:1" x14ac:dyDescent="0.25">
      <c r="A57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84" spans="1:1" x14ac:dyDescent="0.25">
      <c r="A57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85" spans="1:1" x14ac:dyDescent="0.25">
      <c r="A57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86" spans="1:1" x14ac:dyDescent="0.25">
      <c r="A57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87" spans="1:1" x14ac:dyDescent="0.25">
      <c r="A57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88" spans="1:1" x14ac:dyDescent="0.25">
      <c r="A57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89" spans="1:1" x14ac:dyDescent="0.25">
      <c r="A57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90" spans="1:1" x14ac:dyDescent="0.25">
      <c r="A57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91" spans="1:1" x14ac:dyDescent="0.25">
      <c r="A57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92" spans="1:1" x14ac:dyDescent="0.25">
      <c r="A57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93" spans="1:1" x14ac:dyDescent="0.25">
      <c r="A57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94" spans="1:1" x14ac:dyDescent="0.25">
      <c r="A57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95" spans="1:1" x14ac:dyDescent="0.25">
      <c r="A57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96" spans="1:1" x14ac:dyDescent="0.25">
      <c r="A57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97" spans="1:1" x14ac:dyDescent="0.25">
      <c r="A57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98" spans="1:1" x14ac:dyDescent="0.25">
      <c r="A57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799" spans="1:1" x14ac:dyDescent="0.25">
      <c r="A57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00" spans="1:1" x14ac:dyDescent="0.25">
      <c r="A58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01" spans="1:1" x14ac:dyDescent="0.25">
      <c r="A58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02" spans="1:1" x14ac:dyDescent="0.25">
      <c r="A58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03" spans="1:1" x14ac:dyDescent="0.25">
      <c r="A58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04" spans="1:1" x14ac:dyDescent="0.25">
      <c r="A58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05" spans="1:1" x14ac:dyDescent="0.25">
      <c r="A58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06" spans="1:1" x14ac:dyDescent="0.25">
      <c r="A58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07" spans="1:1" x14ac:dyDescent="0.25">
      <c r="A58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08" spans="1:1" x14ac:dyDescent="0.25">
      <c r="A58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09" spans="1:1" x14ac:dyDescent="0.25">
      <c r="A58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10" spans="1:1" x14ac:dyDescent="0.25">
      <c r="A58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11" spans="1:1" x14ac:dyDescent="0.25">
      <c r="A58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12" spans="1:1" x14ac:dyDescent="0.25">
      <c r="A58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13" spans="1:1" x14ac:dyDescent="0.25">
      <c r="A58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14" spans="1:1" x14ac:dyDescent="0.25">
      <c r="A58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15" spans="1:1" x14ac:dyDescent="0.25">
      <c r="A58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16" spans="1:1" x14ac:dyDescent="0.25">
      <c r="A58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17" spans="1:1" x14ac:dyDescent="0.25">
      <c r="A58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18" spans="1:1" x14ac:dyDescent="0.25">
      <c r="A58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19" spans="1:1" x14ac:dyDescent="0.25">
      <c r="A58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20" spans="1:1" x14ac:dyDescent="0.25">
      <c r="A58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21" spans="1:1" x14ac:dyDescent="0.25">
      <c r="A58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22" spans="1:1" x14ac:dyDescent="0.25">
      <c r="A58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23" spans="1:1" x14ac:dyDescent="0.25">
      <c r="A58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24" spans="1:1" x14ac:dyDescent="0.25">
      <c r="A58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25" spans="1:1" x14ac:dyDescent="0.25">
      <c r="A58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26" spans="1:1" x14ac:dyDescent="0.25">
      <c r="A58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27" spans="1:1" x14ac:dyDescent="0.25">
      <c r="A58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28" spans="1:1" x14ac:dyDescent="0.25">
      <c r="A58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29" spans="1:1" x14ac:dyDescent="0.25">
      <c r="A58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30" spans="1:1" x14ac:dyDescent="0.25">
      <c r="A58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31" spans="1:1" x14ac:dyDescent="0.25">
      <c r="A58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32" spans="1:1" x14ac:dyDescent="0.25">
      <c r="A58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33" spans="1:1" x14ac:dyDescent="0.25">
      <c r="A58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34" spans="1:1" x14ac:dyDescent="0.25">
      <c r="A58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35" spans="1:1" x14ac:dyDescent="0.25">
      <c r="A58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36" spans="1:1" x14ac:dyDescent="0.25">
      <c r="A58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37" spans="1:1" x14ac:dyDescent="0.25">
      <c r="A58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38" spans="1:1" x14ac:dyDescent="0.25">
      <c r="A58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39" spans="1:1" x14ac:dyDescent="0.25">
      <c r="A58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40" spans="1:1" x14ac:dyDescent="0.25">
      <c r="A58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41" spans="1:1" x14ac:dyDescent="0.25">
      <c r="A58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42" spans="1:1" x14ac:dyDescent="0.25">
      <c r="A58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43" spans="1:1" x14ac:dyDescent="0.25">
      <c r="A58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44" spans="1:1" x14ac:dyDescent="0.25">
      <c r="A58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45" spans="1:1" x14ac:dyDescent="0.25">
      <c r="A58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46" spans="1:1" x14ac:dyDescent="0.25">
      <c r="A58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47" spans="1:1" x14ac:dyDescent="0.25">
      <c r="A58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48" spans="1:1" x14ac:dyDescent="0.25">
      <c r="A58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49" spans="1:1" x14ac:dyDescent="0.25">
      <c r="A58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50" spans="1:1" x14ac:dyDescent="0.25">
      <c r="A58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51" spans="1:1" x14ac:dyDescent="0.25">
      <c r="A58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52" spans="1:1" x14ac:dyDescent="0.25">
      <c r="A58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53" spans="1:1" x14ac:dyDescent="0.25">
      <c r="A58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54" spans="1:1" x14ac:dyDescent="0.25">
      <c r="A58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55" spans="1:1" x14ac:dyDescent="0.25">
      <c r="A58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56" spans="1:1" x14ac:dyDescent="0.25">
      <c r="A58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57" spans="1:1" x14ac:dyDescent="0.25">
      <c r="A58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58" spans="1:1" x14ac:dyDescent="0.25">
      <c r="A58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59" spans="1:1" x14ac:dyDescent="0.25">
      <c r="A58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60" spans="1:1" x14ac:dyDescent="0.25">
      <c r="A58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61" spans="1:1" x14ac:dyDescent="0.25">
      <c r="A58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62" spans="1:1" x14ac:dyDescent="0.25">
      <c r="A58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63" spans="1:1" x14ac:dyDescent="0.25">
      <c r="A58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64" spans="1:1" x14ac:dyDescent="0.25">
      <c r="A58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65" spans="1:1" x14ac:dyDescent="0.25">
      <c r="A58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66" spans="1:1" x14ac:dyDescent="0.25">
      <c r="A58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67" spans="1:1" x14ac:dyDescent="0.25">
      <c r="A58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68" spans="1:1" x14ac:dyDescent="0.25">
      <c r="A58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69" spans="1:1" x14ac:dyDescent="0.25">
      <c r="A58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70" spans="1:1" x14ac:dyDescent="0.25">
      <c r="A58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71" spans="1:1" x14ac:dyDescent="0.25">
      <c r="A58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72" spans="1:1" x14ac:dyDescent="0.25">
      <c r="A58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73" spans="1:1" x14ac:dyDescent="0.25">
      <c r="A58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74" spans="1:1" x14ac:dyDescent="0.25">
      <c r="A58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75" spans="1:1" x14ac:dyDescent="0.25">
      <c r="A58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76" spans="1:1" x14ac:dyDescent="0.25">
      <c r="A58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77" spans="1:1" x14ac:dyDescent="0.25">
      <c r="A58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78" spans="1:1" x14ac:dyDescent="0.25">
      <c r="A58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79" spans="1:1" x14ac:dyDescent="0.25">
      <c r="A58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80" spans="1:1" x14ac:dyDescent="0.25">
      <c r="A58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81" spans="1:1" x14ac:dyDescent="0.25">
      <c r="A58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82" spans="1:1" x14ac:dyDescent="0.25">
      <c r="A58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83" spans="1:1" x14ac:dyDescent="0.25">
      <c r="A58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84" spans="1:1" x14ac:dyDescent="0.25">
      <c r="A58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85" spans="1:1" x14ac:dyDescent="0.25">
      <c r="A58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86" spans="1:1" x14ac:dyDescent="0.25">
      <c r="A58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87" spans="1:1" x14ac:dyDescent="0.25">
      <c r="A58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88" spans="1:1" x14ac:dyDescent="0.25">
      <c r="A58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89" spans="1:1" x14ac:dyDescent="0.25">
      <c r="A58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90" spans="1:1" x14ac:dyDescent="0.25">
      <c r="A58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91" spans="1:1" x14ac:dyDescent="0.25">
      <c r="A58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92" spans="1:1" x14ac:dyDescent="0.25">
      <c r="A58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93" spans="1:1" x14ac:dyDescent="0.25">
      <c r="A58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94" spans="1:1" x14ac:dyDescent="0.25">
      <c r="A58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95" spans="1:1" x14ac:dyDescent="0.25">
      <c r="A58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96" spans="1:1" x14ac:dyDescent="0.25">
      <c r="A58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97" spans="1:1" x14ac:dyDescent="0.25">
      <c r="A58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98" spans="1:1" x14ac:dyDescent="0.25">
      <c r="A58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899" spans="1:1" x14ac:dyDescent="0.25">
      <c r="A58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00" spans="1:1" x14ac:dyDescent="0.25">
      <c r="A59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01" spans="1:1" x14ac:dyDescent="0.25">
      <c r="A59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02" spans="1:1" x14ac:dyDescent="0.25">
      <c r="A59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03" spans="1:1" x14ac:dyDescent="0.25">
      <c r="A59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04" spans="1:1" x14ac:dyDescent="0.25">
      <c r="A59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05" spans="1:1" x14ac:dyDescent="0.25">
      <c r="A59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06" spans="1:1" x14ac:dyDescent="0.25">
      <c r="A59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07" spans="1:1" x14ac:dyDescent="0.25">
      <c r="A59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08" spans="1:1" x14ac:dyDescent="0.25">
      <c r="A59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09" spans="1:1" x14ac:dyDescent="0.25">
      <c r="A59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10" spans="1:1" x14ac:dyDescent="0.25">
      <c r="A59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11" spans="1:1" x14ac:dyDescent="0.25">
      <c r="A59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12" spans="1:1" x14ac:dyDescent="0.25">
      <c r="A59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13" spans="1:1" x14ac:dyDescent="0.25">
      <c r="A59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14" spans="1:1" x14ac:dyDescent="0.25">
      <c r="A59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15" spans="1:1" x14ac:dyDescent="0.25">
      <c r="A59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16" spans="1:1" x14ac:dyDescent="0.25">
      <c r="A59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17" spans="1:1" x14ac:dyDescent="0.25">
      <c r="A59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18" spans="1:1" x14ac:dyDescent="0.25">
      <c r="A59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19" spans="1:1" x14ac:dyDescent="0.25">
      <c r="A59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20" spans="1:1" x14ac:dyDescent="0.25">
      <c r="A59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21" spans="1:1" x14ac:dyDescent="0.25">
      <c r="A59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22" spans="1:1" x14ac:dyDescent="0.25">
      <c r="A59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23" spans="1:1" x14ac:dyDescent="0.25">
      <c r="A59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24" spans="1:1" x14ac:dyDescent="0.25">
      <c r="A59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25" spans="1:1" x14ac:dyDescent="0.25">
      <c r="A59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26" spans="1:1" x14ac:dyDescent="0.25">
      <c r="A59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27" spans="1:1" x14ac:dyDescent="0.25">
      <c r="A59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28" spans="1:1" x14ac:dyDescent="0.25">
      <c r="A59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29" spans="1:1" x14ac:dyDescent="0.25">
      <c r="A59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30" spans="1:1" x14ac:dyDescent="0.25">
      <c r="A59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31" spans="1:1" x14ac:dyDescent="0.25">
      <c r="A59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32" spans="1:1" x14ac:dyDescent="0.25">
      <c r="A59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33" spans="1:1" x14ac:dyDescent="0.25">
      <c r="A59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34" spans="1:1" x14ac:dyDescent="0.25">
      <c r="A59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35" spans="1:1" x14ac:dyDescent="0.25">
      <c r="A59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36" spans="1:1" x14ac:dyDescent="0.25">
      <c r="A59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37" spans="1:1" x14ac:dyDescent="0.25">
      <c r="A59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38" spans="1:1" x14ac:dyDescent="0.25">
      <c r="A59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39" spans="1:1" x14ac:dyDescent="0.25">
      <c r="A59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40" spans="1:1" x14ac:dyDescent="0.25">
      <c r="A59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41" spans="1:1" x14ac:dyDescent="0.25">
      <c r="A59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42" spans="1:1" x14ac:dyDescent="0.25">
      <c r="A59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43" spans="1:1" x14ac:dyDescent="0.25">
      <c r="A59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44" spans="1:1" x14ac:dyDescent="0.25">
      <c r="A59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45" spans="1:1" x14ac:dyDescent="0.25">
      <c r="A59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46" spans="1:1" x14ac:dyDescent="0.25">
      <c r="A59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47" spans="1:1" x14ac:dyDescent="0.25">
      <c r="A59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48" spans="1:1" x14ac:dyDescent="0.25">
      <c r="A59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49" spans="1:1" x14ac:dyDescent="0.25">
      <c r="A59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50" spans="1:1" x14ac:dyDescent="0.25">
      <c r="A59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51" spans="1:1" x14ac:dyDescent="0.25">
      <c r="A59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52" spans="1:1" x14ac:dyDescent="0.25">
      <c r="A59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53" spans="1:1" x14ac:dyDescent="0.25">
      <c r="A59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54" spans="1:1" x14ac:dyDescent="0.25">
      <c r="A59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55" spans="1:1" x14ac:dyDescent="0.25">
      <c r="A59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56" spans="1:1" x14ac:dyDescent="0.25">
      <c r="A59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57" spans="1:1" x14ac:dyDescent="0.25">
      <c r="A59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58" spans="1:1" x14ac:dyDescent="0.25">
      <c r="A59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59" spans="1:1" x14ac:dyDescent="0.25">
      <c r="A59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60" spans="1:1" x14ac:dyDescent="0.25">
      <c r="A59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61" spans="1:1" x14ac:dyDescent="0.25">
      <c r="A59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62" spans="1:1" x14ac:dyDescent="0.25">
      <c r="A59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63" spans="1:1" x14ac:dyDescent="0.25">
      <c r="A59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64" spans="1:1" x14ac:dyDescent="0.25">
      <c r="A59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65" spans="1:1" x14ac:dyDescent="0.25">
      <c r="A59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66" spans="1:1" x14ac:dyDescent="0.25">
      <c r="A59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67" spans="1:1" x14ac:dyDescent="0.25">
      <c r="A59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68" spans="1:1" x14ac:dyDescent="0.25">
      <c r="A59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69" spans="1:1" x14ac:dyDescent="0.25">
      <c r="A59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70" spans="1:1" x14ac:dyDescent="0.25">
      <c r="A59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71" spans="1:1" x14ac:dyDescent="0.25">
      <c r="A59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72" spans="1:1" x14ac:dyDescent="0.25">
      <c r="A59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73" spans="1:1" x14ac:dyDescent="0.25">
      <c r="A59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74" spans="1:1" x14ac:dyDescent="0.25">
      <c r="A59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75" spans="1:1" x14ac:dyDescent="0.25">
      <c r="A59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76" spans="1:1" x14ac:dyDescent="0.25">
      <c r="A59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77" spans="1:1" x14ac:dyDescent="0.25">
      <c r="A59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78" spans="1:1" x14ac:dyDescent="0.25">
      <c r="A59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79" spans="1:1" x14ac:dyDescent="0.25">
      <c r="A59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80" spans="1:1" x14ac:dyDescent="0.25">
      <c r="A59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81" spans="1:1" x14ac:dyDescent="0.25">
      <c r="A59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82" spans="1:1" x14ac:dyDescent="0.25">
      <c r="A59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83" spans="1:1" x14ac:dyDescent="0.25">
      <c r="A59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84" spans="1:1" x14ac:dyDescent="0.25">
      <c r="A59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85" spans="1:1" x14ac:dyDescent="0.25">
      <c r="A59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86" spans="1:1" x14ac:dyDescent="0.25">
      <c r="A59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87" spans="1:1" x14ac:dyDescent="0.25">
      <c r="A59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88" spans="1:1" x14ac:dyDescent="0.25">
      <c r="A59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89" spans="1:1" x14ac:dyDescent="0.25">
      <c r="A59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90" spans="1:1" x14ac:dyDescent="0.25">
      <c r="A59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91" spans="1:1" x14ac:dyDescent="0.25">
      <c r="A59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92" spans="1:1" x14ac:dyDescent="0.25">
      <c r="A59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93" spans="1:1" x14ac:dyDescent="0.25">
      <c r="A59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94" spans="1:1" x14ac:dyDescent="0.25">
      <c r="A59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95" spans="1:1" x14ac:dyDescent="0.25">
      <c r="A59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96" spans="1:1" x14ac:dyDescent="0.25">
      <c r="A59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97" spans="1:1" x14ac:dyDescent="0.25">
      <c r="A59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98" spans="1:1" x14ac:dyDescent="0.25">
      <c r="A59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5999" spans="1:1" x14ac:dyDescent="0.25">
      <c r="A59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00" spans="1:1" x14ac:dyDescent="0.25">
      <c r="A60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01" spans="1:1" x14ac:dyDescent="0.25">
      <c r="A60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02" spans="1:1" x14ac:dyDescent="0.25">
      <c r="A60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03" spans="1:1" x14ac:dyDescent="0.25">
      <c r="A60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04" spans="1:1" x14ac:dyDescent="0.25">
      <c r="A60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05" spans="1:1" x14ac:dyDescent="0.25">
      <c r="A60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06" spans="1:1" x14ac:dyDescent="0.25">
      <c r="A60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07" spans="1:1" x14ac:dyDescent="0.25">
      <c r="A60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08" spans="1:1" x14ac:dyDescent="0.25">
      <c r="A60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09" spans="1:1" x14ac:dyDescent="0.25">
      <c r="A60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10" spans="1:1" x14ac:dyDescent="0.25">
      <c r="A60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11" spans="1:1" x14ac:dyDescent="0.25">
      <c r="A60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12" spans="1:1" x14ac:dyDescent="0.25">
      <c r="A60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13" spans="1:1" x14ac:dyDescent="0.25">
      <c r="A60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14" spans="1:1" x14ac:dyDescent="0.25">
      <c r="A60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15" spans="1:1" x14ac:dyDescent="0.25">
      <c r="A60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16" spans="1:1" x14ac:dyDescent="0.25">
      <c r="A60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17" spans="1:1" x14ac:dyDescent="0.25">
      <c r="A60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18" spans="1:1" x14ac:dyDescent="0.25">
      <c r="A60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19" spans="1:1" x14ac:dyDescent="0.25">
      <c r="A60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20" spans="1:1" x14ac:dyDescent="0.25">
      <c r="A60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21" spans="1:1" x14ac:dyDescent="0.25">
      <c r="A60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22" spans="1:1" x14ac:dyDescent="0.25">
      <c r="A60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23" spans="1:1" x14ac:dyDescent="0.25">
      <c r="A60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24" spans="1:1" x14ac:dyDescent="0.25">
      <c r="A60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25" spans="1:1" x14ac:dyDescent="0.25">
      <c r="A60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26" spans="1:1" x14ac:dyDescent="0.25">
      <c r="A60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27" spans="1:1" x14ac:dyDescent="0.25">
      <c r="A60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28" spans="1:1" x14ac:dyDescent="0.25">
      <c r="A60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29" spans="1:1" x14ac:dyDescent="0.25">
      <c r="A60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30" spans="1:1" x14ac:dyDescent="0.25">
      <c r="A60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31" spans="1:1" x14ac:dyDescent="0.25">
      <c r="A60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32" spans="1:1" x14ac:dyDescent="0.25">
      <c r="A60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33" spans="1:1" x14ac:dyDescent="0.25">
      <c r="A60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34" spans="1:1" x14ac:dyDescent="0.25">
      <c r="A60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35" spans="1:1" x14ac:dyDescent="0.25">
      <c r="A60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36" spans="1:1" x14ac:dyDescent="0.25">
      <c r="A60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37" spans="1:1" x14ac:dyDescent="0.25">
      <c r="A60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38" spans="1:1" x14ac:dyDescent="0.25">
      <c r="A60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39" spans="1:1" x14ac:dyDescent="0.25">
      <c r="A60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40" spans="1:1" x14ac:dyDescent="0.25">
      <c r="A60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41" spans="1:1" x14ac:dyDescent="0.25">
      <c r="A60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42" spans="1:1" x14ac:dyDescent="0.25">
      <c r="A60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43" spans="1:1" x14ac:dyDescent="0.25">
      <c r="A60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44" spans="1:1" x14ac:dyDescent="0.25">
      <c r="A60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45" spans="1:1" x14ac:dyDescent="0.25">
      <c r="A60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46" spans="1:1" x14ac:dyDescent="0.25">
      <c r="A60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47" spans="1:1" x14ac:dyDescent="0.25">
      <c r="A60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48" spans="1:1" x14ac:dyDescent="0.25">
      <c r="A60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49" spans="1:1" x14ac:dyDescent="0.25">
      <c r="A60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50" spans="1:1" x14ac:dyDescent="0.25">
      <c r="A60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51" spans="1:1" x14ac:dyDescent="0.25">
      <c r="A60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52" spans="1:1" x14ac:dyDescent="0.25">
      <c r="A60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53" spans="1:1" x14ac:dyDescent="0.25">
      <c r="A60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54" spans="1:1" x14ac:dyDescent="0.25">
      <c r="A60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55" spans="1:1" x14ac:dyDescent="0.25">
      <c r="A60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56" spans="1:1" x14ac:dyDescent="0.25">
      <c r="A60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57" spans="1:1" x14ac:dyDescent="0.25">
      <c r="A60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58" spans="1:1" x14ac:dyDescent="0.25">
      <c r="A60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59" spans="1:1" x14ac:dyDescent="0.25">
      <c r="A60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60" spans="1:1" x14ac:dyDescent="0.25">
      <c r="A60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61" spans="1:1" x14ac:dyDescent="0.25">
      <c r="A60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62" spans="1:1" x14ac:dyDescent="0.25">
      <c r="A60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63" spans="1:1" x14ac:dyDescent="0.25">
      <c r="A60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64" spans="1:1" x14ac:dyDescent="0.25">
      <c r="A60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65" spans="1:1" x14ac:dyDescent="0.25">
      <c r="A60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66" spans="1:1" x14ac:dyDescent="0.25">
      <c r="A60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67" spans="1:1" x14ac:dyDescent="0.25">
      <c r="A60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68" spans="1:1" x14ac:dyDescent="0.25">
      <c r="A60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69" spans="1:1" x14ac:dyDescent="0.25">
      <c r="A60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70" spans="1:1" x14ac:dyDescent="0.25">
      <c r="A60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71" spans="1:1" x14ac:dyDescent="0.25">
      <c r="A60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72" spans="1:1" x14ac:dyDescent="0.25">
      <c r="A60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73" spans="1:1" x14ac:dyDescent="0.25">
      <c r="A60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74" spans="1:1" x14ac:dyDescent="0.25">
      <c r="A60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75" spans="1:1" x14ac:dyDescent="0.25">
      <c r="A60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76" spans="1:1" x14ac:dyDescent="0.25">
      <c r="A60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77" spans="1:1" x14ac:dyDescent="0.25">
      <c r="A60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78" spans="1:1" x14ac:dyDescent="0.25">
      <c r="A60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79" spans="1:1" x14ac:dyDescent="0.25">
      <c r="A60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80" spans="1:1" x14ac:dyDescent="0.25">
      <c r="A60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81" spans="1:1" x14ac:dyDescent="0.25">
      <c r="A60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82" spans="1:1" x14ac:dyDescent="0.25">
      <c r="A60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83" spans="1:1" x14ac:dyDescent="0.25">
      <c r="A60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84" spans="1:1" x14ac:dyDescent="0.25">
      <c r="A60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85" spans="1:1" x14ac:dyDescent="0.25">
      <c r="A60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86" spans="1:1" x14ac:dyDescent="0.25">
      <c r="A60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87" spans="1:1" x14ac:dyDescent="0.25">
      <c r="A60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88" spans="1:1" x14ac:dyDescent="0.25">
      <c r="A60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89" spans="1:1" x14ac:dyDescent="0.25">
      <c r="A60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90" spans="1:1" x14ac:dyDescent="0.25">
      <c r="A60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91" spans="1:1" x14ac:dyDescent="0.25">
      <c r="A60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92" spans="1:1" x14ac:dyDescent="0.25">
      <c r="A60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93" spans="1:1" x14ac:dyDescent="0.25">
      <c r="A60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94" spans="1:1" x14ac:dyDescent="0.25">
      <c r="A60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95" spans="1:1" x14ac:dyDescent="0.25">
      <c r="A60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96" spans="1:1" x14ac:dyDescent="0.25">
      <c r="A60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97" spans="1:1" x14ac:dyDescent="0.25">
      <c r="A60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98" spans="1:1" x14ac:dyDescent="0.25">
      <c r="A60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099" spans="1:1" x14ac:dyDescent="0.25">
      <c r="A60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00" spans="1:1" x14ac:dyDescent="0.25">
      <c r="A61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01" spans="1:1" x14ac:dyDescent="0.25">
      <c r="A61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02" spans="1:1" x14ac:dyDescent="0.25">
      <c r="A61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03" spans="1:1" x14ac:dyDescent="0.25">
      <c r="A61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04" spans="1:1" x14ac:dyDescent="0.25">
      <c r="A61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05" spans="1:1" x14ac:dyDescent="0.25">
      <c r="A61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06" spans="1:1" x14ac:dyDescent="0.25">
      <c r="A61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07" spans="1:1" x14ac:dyDescent="0.25">
      <c r="A61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08" spans="1:1" x14ac:dyDescent="0.25">
      <c r="A61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09" spans="1:1" x14ac:dyDescent="0.25">
      <c r="A61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10" spans="1:1" x14ac:dyDescent="0.25">
      <c r="A61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11" spans="1:1" x14ac:dyDescent="0.25">
      <c r="A61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12" spans="1:1" x14ac:dyDescent="0.25">
      <c r="A61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13" spans="1:1" x14ac:dyDescent="0.25">
      <c r="A61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14" spans="1:1" x14ac:dyDescent="0.25">
      <c r="A61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15" spans="1:1" x14ac:dyDescent="0.25">
      <c r="A61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16" spans="1:1" x14ac:dyDescent="0.25">
      <c r="A61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17" spans="1:1" x14ac:dyDescent="0.25">
      <c r="A61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18" spans="1:1" x14ac:dyDescent="0.25">
      <c r="A61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19" spans="1:1" x14ac:dyDescent="0.25">
      <c r="A61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20" spans="1:1" x14ac:dyDescent="0.25">
      <c r="A61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21" spans="1:1" x14ac:dyDescent="0.25">
      <c r="A61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22" spans="1:1" x14ac:dyDescent="0.25">
      <c r="A61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23" spans="1:1" x14ac:dyDescent="0.25">
      <c r="A61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24" spans="1:1" x14ac:dyDescent="0.25">
      <c r="A61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25" spans="1:1" x14ac:dyDescent="0.25">
      <c r="A61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26" spans="1:1" x14ac:dyDescent="0.25">
      <c r="A61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27" spans="1:1" x14ac:dyDescent="0.25">
      <c r="A61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28" spans="1:1" x14ac:dyDescent="0.25">
      <c r="A61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29" spans="1:1" x14ac:dyDescent="0.25">
      <c r="A61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30" spans="1:1" x14ac:dyDescent="0.25">
      <c r="A61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31" spans="1:1" x14ac:dyDescent="0.25">
      <c r="A61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32" spans="1:1" x14ac:dyDescent="0.25">
      <c r="A61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33" spans="1:1" x14ac:dyDescent="0.25">
      <c r="A61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34" spans="1:1" x14ac:dyDescent="0.25">
      <c r="A61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35" spans="1:1" x14ac:dyDescent="0.25">
      <c r="A61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36" spans="1:1" x14ac:dyDescent="0.25">
      <c r="A61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37" spans="1:1" x14ac:dyDescent="0.25">
      <c r="A61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38" spans="1:1" x14ac:dyDescent="0.25">
      <c r="A61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39" spans="1:1" x14ac:dyDescent="0.25">
      <c r="A61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40" spans="1:1" x14ac:dyDescent="0.25">
      <c r="A61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41" spans="1:1" x14ac:dyDescent="0.25">
      <c r="A61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42" spans="1:1" x14ac:dyDescent="0.25">
      <c r="A61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43" spans="1:1" x14ac:dyDescent="0.25">
      <c r="A61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44" spans="1:1" x14ac:dyDescent="0.25">
      <c r="A61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45" spans="1:1" x14ac:dyDescent="0.25">
      <c r="A61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46" spans="1:1" x14ac:dyDescent="0.25">
      <c r="A61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47" spans="1:1" x14ac:dyDescent="0.25">
      <c r="A61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48" spans="1:1" x14ac:dyDescent="0.25">
      <c r="A61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49" spans="1:1" x14ac:dyDescent="0.25">
      <c r="A61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50" spans="1:1" x14ac:dyDescent="0.25">
      <c r="A61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51" spans="1:1" x14ac:dyDescent="0.25">
      <c r="A61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52" spans="1:1" x14ac:dyDescent="0.25">
      <c r="A61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53" spans="1:1" x14ac:dyDescent="0.25">
      <c r="A61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54" spans="1:1" x14ac:dyDescent="0.25">
      <c r="A61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55" spans="1:1" x14ac:dyDescent="0.25">
      <c r="A61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56" spans="1:1" x14ac:dyDescent="0.25">
      <c r="A61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57" spans="1:1" x14ac:dyDescent="0.25">
      <c r="A61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58" spans="1:1" x14ac:dyDescent="0.25">
      <c r="A61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59" spans="1:1" x14ac:dyDescent="0.25">
      <c r="A61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60" spans="1:1" x14ac:dyDescent="0.25">
      <c r="A61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61" spans="1:1" x14ac:dyDescent="0.25">
      <c r="A61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62" spans="1:1" x14ac:dyDescent="0.25">
      <c r="A61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63" spans="1:1" x14ac:dyDescent="0.25">
      <c r="A61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64" spans="1:1" x14ac:dyDescent="0.25">
      <c r="A61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65" spans="1:1" x14ac:dyDescent="0.25">
      <c r="A61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66" spans="1:1" x14ac:dyDescent="0.25">
      <c r="A61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67" spans="1:1" x14ac:dyDescent="0.25">
      <c r="A61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68" spans="1:1" x14ac:dyDescent="0.25">
      <c r="A61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69" spans="1:1" x14ac:dyDescent="0.25">
      <c r="A61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70" spans="1:1" x14ac:dyDescent="0.25">
      <c r="A61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71" spans="1:1" x14ac:dyDescent="0.25">
      <c r="A61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72" spans="1:1" x14ac:dyDescent="0.25">
      <c r="A61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73" spans="1:1" x14ac:dyDescent="0.25">
      <c r="A61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74" spans="1:1" x14ac:dyDescent="0.25">
      <c r="A61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75" spans="1:1" x14ac:dyDescent="0.25">
      <c r="A61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76" spans="1:1" x14ac:dyDescent="0.25">
      <c r="A61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77" spans="1:1" x14ac:dyDescent="0.25">
      <c r="A61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78" spans="1:1" x14ac:dyDescent="0.25">
      <c r="A61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79" spans="1:1" x14ac:dyDescent="0.25">
      <c r="A61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80" spans="1:1" x14ac:dyDescent="0.25">
      <c r="A61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81" spans="1:1" x14ac:dyDescent="0.25">
      <c r="A61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82" spans="1:1" x14ac:dyDescent="0.25">
      <c r="A61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83" spans="1:1" x14ac:dyDescent="0.25">
      <c r="A61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84" spans="1:1" x14ac:dyDescent="0.25">
      <c r="A61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85" spans="1:1" x14ac:dyDescent="0.25">
      <c r="A61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86" spans="1:1" x14ac:dyDescent="0.25">
      <c r="A61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87" spans="1:1" x14ac:dyDescent="0.25">
      <c r="A61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88" spans="1:1" x14ac:dyDescent="0.25">
      <c r="A61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89" spans="1:1" x14ac:dyDescent="0.25">
      <c r="A61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90" spans="1:1" x14ac:dyDescent="0.25">
      <c r="A61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91" spans="1:1" x14ac:dyDescent="0.25">
      <c r="A61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92" spans="1:1" x14ac:dyDescent="0.25">
      <c r="A61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93" spans="1:1" x14ac:dyDescent="0.25">
      <c r="A61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94" spans="1:1" x14ac:dyDescent="0.25">
      <c r="A61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95" spans="1:1" x14ac:dyDescent="0.25">
      <c r="A61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96" spans="1:1" x14ac:dyDescent="0.25">
      <c r="A61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97" spans="1:1" x14ac:dyDescent="0.25">
      <c r="A61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98" spans="1:1" x14ac:dyDescent="0.25">
      <c r="A61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199" spans="1:1" x14ac:dyDescent="0.25">
      <c r="A61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00" spans="1:1" x14ac:dyDescent="0.25">
      <c r="A62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01" spans="1:1" x14ac:dyDescent="0.25">
      <c r="A62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02" spans="1:1" x14ac:dyDescent="0.25">
      <c r="A62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03" spans="1:1" x14ac:dyDescent="0.25">
      <c r="A62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04" spans="1:1" x14ac:dyDescent="0.25">
      <c r="A62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05" spans="1:1" x14ac:dyDescent="0.25">
      <c r="A62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06" spans="1:1" x14ac:dyDescent="0.25">
      <c r="A62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07" spans="1:1" x14ac:dyDescent="0.25">
      <c r="A62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08" spans="1:1" x14ac:dyDescent="0.25">
      <c r="A62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09" spans="1:1" x14ac:dyDescent="0.25">
      <c r="A62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10" spans="1:1" x14ac:dyDescent="0.25">
      <c r="A62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11" spans="1:1" x14ac:dyDescent="0.25">
      <c r="A62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12" spans="1:1" x14ac:dyDescent="0.25">
      <c r="A62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13" spans="1:1" x14ac:dyDescent="0.25">
      <c r="A62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14" spans="1:1" x14ac:dyDescent="0.25">
      <c r="A62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15" spans="1:1" x14ac:dyDescent="0.25">
      <c r="A62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16" spans="1:1" x14ac:dyDescent="0.25">
      <c r="A62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17" spans="1:1" x14ac:dyDescent="0.25">
      <c r="A62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18" spans="1:1" x14ac:dyDescent="0.25">
      <c r="A62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19" spans="1:1" x14ac:dyDescent="0.25">
      <c r="A62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20" spans="1:1" x14ac:dyDescent="0.25">
      <c r="A62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21" spans="1:1" x14ac:dyDescent="0.25">
      <c r="A62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22" spans="1:1" x14ac:dyDescent="0.25">
      <c r="A62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23" spans="1:1" x14ac:dyDescent="0.25">
      <c r="A62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24" spans="1:1" x14ac:dyDescent="0.25">
      <c r="A62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25" spans="1:1" x14ac:dyDescent="0.25">
      <c r="A62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26" spans="1:1" x14ac:dyDescent="0.25">
      <c r="A62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27" spans="1:1" x14ac:dyDescent="0.25">
      <c r="A62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28" spans="1:1" x14ac:dyDescent="0.25">
      <c r="A62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29" spans="1:1" x14ac:dyDescent="0.25">
      <c r="A62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30" spans="1:1" x14ac:dyDescent="0.25">
      <c r="A62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31" spans="1:1" x14ac:dyDescent="0.25">
      <c r="A62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32" spans="1:1" x14ac:dyDescent="0.25">
      <c r="A62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33" spans="1:1" x14ac:dyDescent="0.25">
      <c r="A62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34" spans="1:1" x14ac:dyDescent="0.25">
      <c r="A62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35" spans="1:1" x14ac:dyDescent="0.25">
      <c r="A62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36" spans="1:1" x14ac:dyDescent="0.25">
      <c r="A62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37" spans="1:1" x14ac:dyDescent="0.25">
      <c r="A62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38" spans="1:1" x14ac:dyDescent="0.25">
      <c r="A62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39" spans="1:1" x14ac:dyDescent="0.25">
      <c r="A62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40" spans="1:1" x14ac:dyDescent="0.25">
      <c r="A62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41" spans="1:1" x14ac:dyDescent="0.25">
      <c r="A62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42" spans="1:1" x14ac:dyDescent="0.25">
      <c r="A62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43" spans="1:1" x14ac:dyDescent="0.25">
      <c r="A62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44" spans="1:1" x14ac:dyDescent="0.25">
      <c r="A62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45" spans="1:1" x14ac:dyDescent="0.25">
      <c r="A62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46" spans="1:1" x14ac:dyDescent="0.25">
      <c r="A62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47" spans="1:1" x14ac:dyDescent="0.25">
      <c r="A62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48" spans="1:1" x14ac:dyDescent="0.25">
      <c r="A62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49" spans="1:1" x14ac:dyDescent="0.25">
      <c r="A62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50" spans="1:1" x14ac:dyDescent="0.25">
      <c r="A62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51" spans="1:1" x14ac:dyDescent="0.25">
      <c r="A62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52" spans="1:1" x14ac:dyDescent="0.25">
      <c r="A62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53" spans="1:1" x14ac:dyDescent="0.25">
      <c r="A62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54" spans="1:1" x14ac:dyDescent="0.25">
      <c r="A62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55" spans="1:1" x14ac:dyDescent="0.25">
      <c r="A62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56" spans="1:1" x14ac:dyDescent="0.25">
      <c r="A62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57" spans="1:1" x14ac:dyDescent="0.25">
      <c r="A62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58" spans="1:1" x14ac:dyDescent="0.25">
      <c r="A62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59" spans="1:1" x14ac:dyDescent="0.25">
      <c r="A62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60" spans="1:1" x14ac:dyDescent="0.25">
      <c r="A62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61" spans="1:1" x14ac:dyDescent="0.25">
      <c r="A62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62" spans="1:1" x14ac:dyDescent="0.25">
      <c r="A62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63" spans="1:1" x14ac:dyDescent="0.25">
      <c r="A62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64" spans="1:1" x14ac:dyDescent="0.25">
      <c r="A62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65" spans="1:1" x14ac:dyDescent="0.25">
      <c r="A62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66" spans="1:1" x14ac:dyDescent="0.25">
      <c r="A62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67" spans="1:1" x14ac:dyDescent="0.25">
      <c r="A62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68" spans="1:1" x14ac:dyDescent="0.25">
      <c r="A62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69" spans="1:1" x14ac:dyDescent="0.25">
      <c r="A62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70" spans="1:1" x14ac:dyDescent="0.25">
      <c r="A62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71" spans="1:1" x14ac:dyDescent="0.25">
      <c r="A62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72" spans="1:1" x14ac:dyDescent="0.25">
      <c r="A62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73" spans="1:1" x14ac:dyDescent="0.25">
      <c r="A62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74" spans="1:1" x14ac:dyDescent="0.25">
      <c r="A62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75" spans="1:1" x14ac:dyDescent="0.25">
      <c r="A62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76" spans="1:1" x14ac:dyDescent="0.25">
      <c r="A62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77" spans="1:1" x14ac:dyDescent="0.25">
      <c r="A62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78" spans="1:1" x14ac:dyDescent="0.25">
      <c r="A62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79" spans="1:1" x14ac:dyDescent="0.25">
      <c r="A62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80" spans="1:1" x14ac:dyDescent="0.25">
      <c r="A62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81" spans="1:1" x14ac:dyDescent="0.25">
      <c r="A62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82" spans="1:1" x14ac:dyDescent="0.25">
      <c r="A62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83" spans="1:1" x14ac:dyDescent="0.25">
      <c r="A62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84" spans="1:1" x14ac:dyDescent="0.25">
      <c r="A62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85" spans="1:1" x14ac:dyDescent="0.25">
      <c r="A62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86" spans="1:1" x14ac:dyDescent="0.25">
      <c r="A62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87" spans="1:1" x14ac:dyDescent="0.25">
      <c r="A62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88" spans="1:1" x14ac:dyDescent="0.25">
      <c r="A62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89" spans="1:1" x14ac:dyDescent="0.25">
      <c r="A62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90" spans="1:1" x14ac:dyDescent="0.25">
      <c r="A62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91" spans="1:1" x14ac:dyDescent="0.25">
      <c r="A62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92" spans="1:1" x14ac:dyDescent="0.25">
      <c r="A62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93" spans="1:1" x14ac:dyDescent="0.25">
      <c r="A62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94" spans="1:1" x14ac:dyDescent="0.25">
      <c r="A62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95" spans="1:1" x14ac:dyDescent="0.25">
      <c r="A62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96" spans="1:1" x14ac:dyDescent="0.25">
      <c r="A62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97" spans="1:1" x14ac:dyDescent="0.25">
      <c r="A62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98" spans="1:1" x14ac:dyDescent="0.25">
      <c r="A62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299" spans="1:1" x14ac:dyDescent="0.25">
      <c r="A62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00" spans="1:1" x14ac:dyDescent="0.25">
      <c r="A63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01" spans="1:1" x14ac:dyDescent="0.25">
      <c r="A63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02" spans="1:1" x14ac:dyDescent="0.25">
      <c r="A63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03" spans="1:1" x14ac:dyDescent="0.25">
      <c r="A63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04" spans="1:1" x14ac:dyDescent="0.25">
      <c r="A63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05" spans="1:1" x14ac:dyDescent="0.25">
      <c r="A63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06" spans="1:1" x14ac:dyDescent="0.25">
      <c r="A63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07" spans="1:1" x14ac:dyDescent="0.25">
      <c r="A63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08" spans="1:1" x14ac:dyDescent="0.25">
      <c r="A63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09" spans="1:1" x14ac:dyDescent="0.25">
      <c r="A63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10" spans="1:1" x14ac:dyDescent="0.25">
      <c r="A63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11" spans="1:1" x14ac:dyDescent="0.25">
      <c r="A63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12" spans="1:1" x14ac:dyDescent="0.25">
      <c r="A63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13" spans="1:1" x14ac:dyDescent="0.25">
      <c r="A63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14" spans="1:1" x14ac:dyDescent="0.25">
      <c r="A63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15" spans="1:1" x14ac:dyDescent="0.25">
      <c r="A63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16" spans="1:1" x14ac:dyDescent="0.25">
      <c r="A63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17" spans="1:1" x14ac:dyDescent="0.25">
      <c r="A63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18" spans="1:1" x14ac:dyDescent="0.25">
      <c r="A63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19" spans="1:1" x14ac:dyDescent="0.25">
      <c r="A63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20" spans="1:1" x14ac:dyDescent="0.25">
      <c r="A63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21" spans="1:1" x14ac:dyDescent="0.25">
      <c r="A63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22" spans="1:1" x14ac:dyDescent="0.25">
      <c r="A63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23" spans="1:1" x14ac:dyDescent="0.25">
      <c r="A63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24" spans="1:1" x14ac:dyDescent="0.25">
      <c r="A63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25" spans="1:1" x14ac:dyDescent="0.25">
      <c r="A63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26" spans="1:1" x14ac:dyDescent="0.25">
      <c r="A63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27" spans="1:1" x14ac:dyDescent="0.25">
      <c r="A63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28" spans="1:1" x14ac:dyDescent="0.25">
      <c r="A63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29" spans="1:1" x14ac:dyDescent="0.25">
      <c r="A63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30" spans="1:1" x14ac:dyDescent="0.25">
      <c r="A63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31" spans="1:1" x14ac:dyDescent="0.25">
      <c r="A63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32" spans="1:1" x14ac:dyDescent="0.25">
      <c r="A63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33" spans="1:1" x14ac:dyDescent="0.25">
      <c r="A63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34" spans="1:1" x14ac:dyDescent="0.25">
      <c r="A63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35" spans="1:1" x14ac:dyDescent="0.25">
      <c r="A63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36" spans="1:1" x14ac:dyDescent="0.25">
      <c r="A63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37" spans="1:1" x14ac:dyDescent="0.25">
      <c r="A63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38" spans="1:1" x14ac:dyDescent="0.25">
      <c r="A63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39" spans="1:1" x14ac:dyDescent="0.25">
      <c r="A63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40" spans="1:1" x14ac:dyDescent="0.25">
      <c r="A63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41" spans="1:1" x14ac:dyDescent="0.25">
      <c r="A63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42" spans="1:1" x14ac:dyDescent="0.25">
      <c r="A63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43" spans="1:1" x14ac:dyDescent="0.25">
      <c r="A63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44" spans="1:1" x14ac:dyDescent="0.25">
      <c r="A63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45" spans="1:1" x14ac:dyDescent="0.25">
      <c r="A63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46" spans="1:1" x14ac:dyDescent="0.25">
      <c r="A63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47" spans="1:1" x14ac:dyDescent="0.25">
      <c r="A63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48" spans="1:1" x14ac:dyDescent="0.25">
      <c r="A63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49" spans="1:1" x14ac:dyDescent="0.25">
      <c r="A63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50" spans="1:1" x14ac:dyDescent="0.25">
      <c r="A63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51" spans="1:1" x14ac:dyDescent="0.25">
      <c r="A63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52" spans="1:1" x14ac:dyDescent="0.25">
      <c r="A63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53" spans="1:1" x14ac:dyDescent="0.25">
      <c r="A63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54" spans="1:1" x14ac:dyDescent="0.25">
      <c r="A63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55" spans="1:1" x14ac:dyDescent="0.25">
      <c r="A63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56" spans="1:1" x14ac:dyDescent="0.25">
      <c r="A63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57" spans="1:1" x14ac:dyDescent="0.25">
      <c r="A63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58" spans="1:1" x14ac:dyDescent="0.25">
      <c r="A63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59" spans="1:1" x14ac:dyDescent="0.25">
      <c r="A63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60" spans="1:1" x14ac:dyDescent="0.25">
      <c r="A63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61" spans="1:1" x14ac:dyDescent="0.25">
      <c r="A63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62" spans="1:1" x14ac:dyDescent="0.25">
      <c r="A63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63" spans="1:1" x14ac:dyDescent="0.25">
      <c r="A63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64" spans="1:1" x14ac:dyDescent="0.25">
      <c r="A63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65" spans="1:1" x14ac:dyDescent="0.25">
      <c r="A63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66" spans="1:1" x14ac:dyDescent="0.25">
      <c r="A63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67" spans="1:1" x14ac:dyDescent="0.25">
      <c r="A63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68" spans="1:1" x14ac:dyDescent="0.25">
      <c r="A63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69" spans="1:1" x14ac:dyDescent="0.25">
      <c r="A63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70" spans="1:1" x14ac:dyDescent="0.25">
      <c r="A63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71" spans="1:1" x14ac:dyDescent="0.25">
      <c r="A63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72" spans="1:1" x14ac:dyDescent="0.25">
      <c r="A63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73" spans="1:1" x14ac:dyDescent="0.25">
      <c r="A63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74" spans="1:1" x14ac:dyDescent="0.25">
      <c r="A63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75" spans="1:1" x14ac:dyDescent="0.25">
      <c r="A63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76" spans="1:1" x14ac:dyDescent="0.25">
      <c r="A63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77" spans="1:1" x14ac:dyDescent="0.25">
      <c r="A63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78" spans="1:1" x14ac:dyDescent="0.25">
      <c r="A63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79" spans="1:1" x14ac:dyDescent="0.25">
      <c r="A63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80" spans="1:1" x14ac:dyDescent="0.25">
      <c r="A63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81" spans="1:1" x14ac:dyDescent="0.25">
      <c r="A63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82" spans="1:1" x14ac:dyDescent="0.25">
      <c r="A63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83" spans="1:1" x14ac:dyDescent="0.25">
      <c r="A63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84" spans="1:1" x14ac:dyDescent="0.25">
      <c r="A63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85" spans="1:1" x14ac:dyDescent="0.25">
      <c r="A63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86" spans="1:1" x14ac:dyDescent="0.25">
      <c r="A63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87" spans="1:1" x14ac:dyDescent="0.25">
      <c r="A63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88" spans="1:1" x14ac:dyDescent="0.25">
      <c r="A63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89" spans="1:1" x14ac:dyDescent="0.25">
      <c r="A63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90" spans="1:1" x14ac:dyDescent="0.25">
      <c r="A63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91" spans="1:1" x14ac:dyDescent="0.25">
      <c r="A63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92" spans="1:1" x14ac:dyDescent="0.25">
      <c r="A63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93" spans="1:1" x14ac:dyDescent="0.25">
      <c r="A63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94" spans="1:1" x14ac:dyDescent="0.25">
      <c r="A63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95" spans="1:1" x14ac:dyDescent="0.25">
      <c r="A63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96" spans="1:1" x14ac:dyDescent="0.25">
      <c r="A63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97" spans="1:1" x14ac:dyDescent="0.25">
      <c r="A63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98" spans="1:1" x14ac:dyDescent="0.25">
      <c r="A63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399" spans="1:1" x14ac:dyDescent="0.25">
      <c r="A63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00" spans="1:1" x14ac:dyDescent="0.25">
      <c r="A64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01" spans="1:1" x14ac:dyDescent="0.25">
      <c r="A64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02" spans="1:1" x14ac:dyDescent="0.25">
      <c r="A64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03" spans="1:1" x14ac:dyDescent="0.25">
      <c r="A64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04" spans="1:1" x14ac:dyDescent="0.25">
      <c r="A64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05" spans="1:1" x14ac:dyDescent="0.25">
      <c r="A64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06" spans="1:1" x14ac:dyDescent="0.25">
      <c r="A64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07" spans="1:1" x14ac:dyDescent="0.25">
      <c r="A64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08" spans="1:1" x14ac:dyDescent="0.25">
      <c r="A64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09" spans="1:1" x14ac:dyDescent="0.25">
      <c r="A64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10" spans="1:1" x14ac:dyDescent="0.25">
      <c r="A64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11" spans="1:1" x14ac:dyDescent="0.25">
      <c r="A64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12" spans="1:1" x14ac:dyDescent="0.25">
      <c r="A64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13" spans="1:1" x14ac:dyDescent="0.25">
      <c r="A64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14" spans="1:1" x14ac:dyDescent="0.25">
      <c r="A64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15" spans="1:1" x14ac:dyDescent="0.25">
      <c r="A64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16" spans="1:1" x14ac:dyDescent="0.25">
      <c r="A64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17" spans="1:1" x14ac:dyDescent="0.25">
      <c r="A64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18" spans="1:1" x14ac:dyDescent="0.25">
      <c r="A64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19" spans="1:1" x14ac:dyDescent="0.25">
      <c r="A64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20" spans="1:1" x14ac:dyDescent="0.25">
      <c r="A64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21" spans="1:1" x14ac:dyDescent="0.25">
      <c r="A64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22" spans="1:1" x14ac:dyDescent="0.25">
      <c r="A64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23" spans="1:1" x14ac:dyDescent="0.25">
      <c r="A64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24" spans="1:1" x14ac:dyDescent="0.25">
      <c r="A64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25" spans="1:1" x14ac:dyDescent="0.25">
      <c r="A64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26" spans="1:1" x14ac:dyDescent="0.25">
      <c r="A64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27" spans="1:1" x14ac:dyDescent="0.25">
      <c r="A64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28" spans="1:1" x14ac:dyDescent="0.25">
      <c r="A64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29" spans="1:1" x14ac:dyDescent="0.25">
      <c r="A64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30" spans="1:1" x14ac:dyDescent="0.25">
      <c r="A64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31" spans="1:1" x14ac:dyDescent="0.25">
      <c r="A64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32" spans="1:1" x14ac:dyDescent="0.25">
      <c r="A64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33" spans="1:1" x14ac:dyDescent="0.25">
      <c r="A64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34" spans="1:1" x14ac:dyDescent="0.25">
      <c r="A64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35" spans="1:1" x14ac:dyDescent="0.25">
      <c r="A64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36" spans="1:1" x14ac:dyDescent="0.25">
      <c r="A64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37" spans="1:1" x14ac:dyDescent="0.25">
      <c r="A64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38" spans="1:1" x14ac:dyDescent="0.25">
      <c r="A64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39" spans="1:1" x14ac:dyDescent="0.25">
      <c r="A64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40" spans="1:1" x14ac:dyDescent="0.25">
      <c r="A64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41" spans="1:1" x14ac:dyDescent="0.25">
      <c r="A64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42" spans="1:1" x14ac:dyDescent="0.25">
      <c r="A64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43" spans="1:1" x14ac:dyDescent="0.25">
      <c r="A64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44" spans="1:1" x14ac:dyDescent="0.25">
      <c r="A64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45" spans="1:1" x14ac:dyDescent="0.25">
      <c r="A64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46" spans="1:1" x14ac:dyDescent="0.25">
      <c r="A64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47" spans="1:1" x14ac:dyDescent="0.25">
      <c r="A64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48" spans="1:1" x14ac:dyDescent="0.25">
      <c r="A64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49" spans="1:1" x14ac:dyDescent="0.25">
      <c r="A64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50" spans="1:1" x14ac:dyDescent="0.25">
      <c r="A64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51" spans="1:1" x14ac:dyDescent="0.25">
      <c r="A64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52" spans="1:1" x14ac:dyDescent="0.25">
      <c r="A64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53" spans="1:1" x14ac:dyDescent="0.25">
      <c r="A64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54" spans="1:1" x14ac:dyDescent="0.25">
      <c r="A64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55" spans="1:1" x14ac:dyDescent="0.25">
      <c r="A64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56" spans="1:1" x14ac:dyDescent="0.25">
      <c r="A64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57" spans="1:1" x14ac:dyDescent="0.25">
      <c r="A64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58" spans="1:1" x14ac:dyDescent="0.25">
      <c r="A64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59" spans="1:1" x14ac:dyDescent="0.25">
      <c r="A64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60" spans="1:1" x14ac:dyDescent="0.25">
      <c r="A64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61" spans="1:1" x14ac:dyDescent="0.25">
      <c r="A64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62" spans="1:1" x14ac:dyDescent="0.25">
      <c r="A64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63" spans="1:1" x14ac:dyDescent="0.25">
      <c r="A64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64" spans="1:1" x14ac:dyDescent="0.25">
      <c r="A64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65" spans="1:1" x14ac:dyDescent="0.25">
      <c r="A64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66" spans="1:1" x14ac:dyDescent="0.25">
      <c r="A64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67" spans="1:1" x14ac:dyDescent="0.25">
      <c r="A64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68" spans="1:1" x14ac:dyDescent="0.25">
      <c r="A64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69" spans="1:1" x14ac:dyDescent="0.25">
      <c r="A64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70" spans="1:1" x14ac:dyDescent="0.25">
      <c r="A64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71" spans="1:1" x14ac:dyDescent="0.25">
      <c r="A64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72" spans="1:1" x14ac:dyDescent="0.25">
      <c r="A64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73" spans="1:1" x14ac:dyDescent="0.25">
      <c r="A64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74" spans="1:1" x14ac:dyDescent="0.25">
      <c r="A64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75" spans="1:1" x14ac:dyDescent="0.25">
      <c r="A64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76" spans="1:1" x14ac:dyDescent="0.25">
      <c r="A64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77" spans="1:1" x14ac:dyDescent="0.25">
      <c r="A64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78" spans="1:1" x14ac:dyDescent="0.25">
      <c r="A64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79" spans="1:1" x14ac:dyDescent="0.25">
      <c r="A64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80" spans="1:1" x14ac:dyDescent="0.25">
      <c r="A64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81" spans="1:1" x14ac:dyDescent="0.25">
      <c r="A64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82" spans="1:1" x14ac:dyDescent="0.25">
      <c r="A64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83" spans="1:1" x14ac:dyDescent="0.25">
      <c r="A64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84" spans="1:1" x14ac:dyDescent="0.25">
      <c r="A64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85" spans="1:1" x14ac:dyDescent="0.25">
      <c r="A64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86" spans="1:1" x14ac:dyDescent="0.25">
      <c r="A64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87" spans="1:1" x14ac:dyDescent="0.25">
      <c r="A64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88" spans="1:1" x14ac:dyDescent="0.25">
      <c r="A64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89" spans="1:1" x14ac:dyDescent="0.25">
      <c r="A64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90" spans="1:1" x14ac:dyDescent="0.25">
      <c r="A64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91" spans="1:1" x14ac:dyDescent="0.25">
      <c r="A64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92" spans="1:1" x14ac:dyDescent="0.25">
      <c r="A64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93" spans="1:1" x14ac:dyDescent="0.25">
      <c r="A64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94" spans="1:1" x14ac:dyDescent="0.25">
      <c r="A64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95" spans="1:1" x14ac:dyDescent="0.25">
      <c r="A64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96" spans="1:1" x14ac:dyDescent="0.25">
      <c r="A64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97" spans="1:1" x14ac:dyDescent="0.25">
      <c r="A64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98" spans="1:1" x14ac:dyDescent="0.25">
      <c r="A64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499" spans="1:1" x14ac:dyDescent="0.25">
      <c r="A64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00" spans="1:1" x14ac:dyDescent="0.25">
      <c r="A65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01" spans="1:1" x14ac:dyDescent="0.25">
      <c r="A65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02" spans="1:1" x14ac:dyDescent="0.25">
      <c r="A65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03" spans="1:1" x14ac:dyDescent="0.25">
      <c r="A65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04" spans="1:1" x14ac:dyDescent="0.25">
      <c r="A65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05" spans="1:1" x14ac:dyDescent="0.25">
      <c r="A65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06" spans="1:1" x14ac:dyDescent="0.25">
      <c r="A65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07" spans="1:1" x14ac:dyDescent="0.25">
      <c r="A65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08" spans="1:1" x14ac:dyDescent="0.25">
      <c r="A65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09" spans="1:1" x14ac:dyDescent="0.25">
      <c r="A65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10" spans="1:1" x14ac:dyDescent="0.25">
      <c r="A65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11" spans="1:1" x14ac:dyDescent="0.25">
      <c r="A65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12" spans="1:1" x14ac:dyDescent="0.25">
      <c r="A65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13" spans="1:1" x14ac:dyDescent="0.25">
      <c r="A65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14" spans="1:1" x14ac:dyDescent="0.25">
      <c r="A65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15" spans="1:1" x14ac:dyDescent="0.25">
      <c r="A65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16" spans="1:1" x14ac:dyDescent="0.25">
      <c r="A65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17" spans="1:1" x14ac:dyDescent="0.25">
      <c r="A65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18" spans="1:1" x14ac:dyDescent="0.25">
      <c r="A65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19" spans="1:1" x14ac:dyDescent="0.25">
      <c r="A65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20" spans="1:1" x14ac:dyDescent="0.25">
      <c r="A65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21" spans="1:1" x14ac:dyDescent="0.25">
      <c r="A65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22" spans="1:1" x14ac:dyDescent="0.25">
      <c r="A65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23" spans="1:1" x14ac:dyDescent="0.25">
      <c r="A65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24" spans="1:1" x14ac:dyDescent="0.25">
      <c r="A65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25" spans="1:1" x14ac:dyDescent="0.25">
      <c r="A65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26" spans="1:1" x14ac:dyDescent="0.25">
      <c r="A65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27" spans="1:1" x14ac:dyDescent="0.25">
      <c r="A65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28" spans="1:1" x14ac:dyDescent="0.25">
      <c r="A65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29" spans="1:1" x14ac:dyDescent="0.25">
      <c r="A65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30" spans="1:1" x14ac:dyDescent="0.25">
      <c r="A65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31" spans="1:1" x14ac:dyDescent="0.25">
      <c r="A65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32" spans="1:1" x14ac:dyDescent="0.25">
      <c r="A65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33" spans="1:1" x14ac:dyDescent="0.25">
      <c r="A65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34" spans="1:1" x14ac:dyDescent="0.25">
      <c r="A65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35" spans="1:1" x14ac:dyDescent="0.25">
      <c r="A65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36" spans="1:1" x14ac:dyDescent="0.25">
      <c r="A65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37" spans="1:1" x14ac:dyDescent="0.25">
      <c r="A65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38" spans="1:1" x14ac:dyDescent="0.25">
      <c r="A65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39" spans="1:1" x14ac:dyDescent="0.25">
      <c r="A65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40" spans="1:1" x14ac:dyDescent="0.25">
      <c r="A65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41" spans="1:1" x14ac:dyDescent="0.25">
      <c r="A65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42" spans="1:1" x14ac:dyDescent="0.25">
      <c r="A65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43" spans="1:1" x14ac:dyDescent="0.25">
      <c r="A65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44" spans="1:1" x14ac:dyDescent="0.25">
      <c r="A65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45" spans="1:1" x14ac:dyDescent="0.25">
      <c r="A65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46" spans="1:1" x14ac:dyDescent="0.25">
      <c r="A65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47" spans="1:1" x14ac:dyDescent="0.25">
      <c r="A65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48" spans="1:1" x14ac:dyDescent="0.25">
      <c r="A65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49" spans="1:1" x14ac:dyDescent="0.25">
      <c r="A65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50" spans="1:1" x14ac:dyDescent="0.25">
      <c r="A65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51" spans="1:1" x14ac:dyDescent="0.25">
      <c r="A65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52" spans="1:1" x14ac:dyDescent="0.25">
      <c r="A65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53" spans="1:1" x14ac:dyDescent="0.25">
      <c r="A65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54" spans="1:1" x14ac:dyDescent="0.25">
      <c r="A65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55" spans="1:1" x14ac:dyDescent="0.25">
      <c r="A65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56" spans="1:1" x14ac:dyDescent="0.25">
      <c r="A65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57" spans="1:1" x14ac:dyDescent="0.25">
      <c r="A65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58" spans="1:1" x14ac:dyDescent="0.25">
      <c r="A65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59" spans="1:1" x14ac:dyDescent="0.25">
      <c r="A65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60" spans="1:1" x14ac:dyDescent="0.25">
      <c r="A65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61" spans="1:1" x14ac:dyDescent="0.25">
      <c r="A65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62" spans="1:1" x14ac:dyDescent="0.25">
      <c r="A65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63" spans="1:1" x14ac:dyDescent="0.25">
      <c r="A65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64" spans="1:1" x14ac:dyDescent="0.25">
      <c r="A65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65" spans="1:1" x14ac:dyDescent="0.25">
      <c r="A65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66" spans="1:1" x14ac:dyDescent="0.25">
      <c r="A65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67" spans="1:1" x14ac:dyDescent="0.25">
      <c r="A65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68" spans="1:1" x14ac:dyDescent="0.25">
      <c r="A65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69" spans="1:1" x14ac:dyDescent="0.25">
      <c r="A65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70" spans="1:1" x14ac:dyDescent="0.25">
      <c r="A65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71" spans="1:1" x14ac:dyDescent="0.25">
      <c r="A65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72" spans="1:1" x14ac:dyDescent="0.25">
      <c r="A65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73" spans="1:1" x14ac:dyDescent="0.25">
      <c r="A65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74" spans="1:1" x14ac:dyDescent="0.25">
      <c r="A65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75" spans="1:1" x14ac:dyDescent="0.25">
      <c r="A65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76" spans="1:1" x14ac:dyDescent="0.25">
      <c r="A65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77" spans="1:1" x14ac:dyDescent="0.25">
      <c r="A65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78" spans="1:1" x14ac:dyDescent="0.25">
      <c r="A65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79" spans="1:1" x14ac:dyDescent="0.25">
      <c r="A65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80" spans="1:1" x14ac:dyDescent="0.25">
      <c r="A65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81" spans="1:1" x14ac:dyDescent="0.25">
      <c r="A65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82" spans="1:1" x14ac:dyDescent="0.25">
      <c r="A65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83" spans="1:1" x14ac:dyDescent="0.25">
      <c r="A65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84" spans="1:1" x14ac:dyDescent="0.25">
      <c r="A65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85" spans="1:1" x14ac:dyDescent="0.25">
      <c r="A65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86" spans="1:1" x14ac:dyDescent="0.25">
      <c r="A65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87" spans="1:1" x14ac:dyDescent="0.25">
      <c r="A65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88" spans="1:1" x14ac:dyDescent="0.25">
      <c r="A65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89" spans="1:1" x14ac:dyDescent="0.25">
      <c r="A65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90" spans="1:1" x14ac:dyDescent="0.25">
      <c r="A65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91" spans="1:1" x14ac:dyDescent="0.25">
      <c r="A65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92" spans="1:1" x14ac:dyDescent="0.25">
      <c r="A65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93" spans="1:1" x14ac:dyDescent="0.25">
      <c r="A65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94" spans="1:1" x14ac:dyDescent="0.25">
      <c r="A65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95" spans="1:1" x14ac:dyDescent="0.25">
      <c r="A65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96" spans="1:1" x14ac:dyDescent="0.25">
      <c r="A65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97" spans="1:1" x14ac:dyDescent="0.25">
      <c r="A65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98" spans="1:1" x14ac:dyDescent="0.25">
      <c r="A65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599" spans="1:1" x14ac:dyDescent="0.25">
      <c r="A65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00" spans="1:1" x14ac:dyDescent="0.25">
      <c r="A66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01" spans="1:1" x14ac:dyDescent="0.25">
      <c r="A66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02" spans="1:1" x14ac:dyDescent="0.25">
      <c r="A66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03" spans="1:1" x14ac:dyDescent="0.25">
      <c r="A66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04" spans="1:1" x14ac:dyDescent="0.25">
      <c r="A66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05" spans="1:1" x14ac:dyDescent="0.25">
      <c r="A66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06" spans="1:1" x14ac:dyDescent="0.25">
      <c r="A66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07" spans="1:1" x14ac:dyDescent="0.25">
      <c r="A66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08" spans="1:1" x14ac:dyDescent="0.25">
      <c r="A66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09" spans="1:1" x14ac:dyDescent="0.25">
      <c r="A66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10" spans="1:1" x14ac:dyDescent="0.25">
      <c r="A66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11" spans="1:1" x14ac:dyDescent="0.25">
      <c r="A66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12" spans="1:1" x14ac:dyDescent="0.25">
      <c r="A66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13" spans="1:1" x14ac:dyDescent="0.25">
      <c r="A66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14" spans="1:1" x14ac:dyDescent="0.25">
      <c r="A66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15" spans="1:1" x14ac:dyDescent="0.25">
      <c r="A66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16" spans="1:1" x14ac:dyDescent="0.25">
      <c r="A66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17" spans="1:1" x14ac:dyDescent="0.25">
      <c r="A66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18" spans="1:1" x14ac:dyDescent="0.25">
      <c r="A66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19" spans="1:1" x14ac:dyDescent="0.25">
      <c r="A66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20" spans="1:1" x14ac:dyDescent="0.25">
      <c r="A66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21" spans="1:1" x14ac:dyDescent="0.25">
      <c r="A66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22" spans="1:1" x14ac:dyDescent="0.25">
      <c r="A66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23" spans="1:1" x14ac:dyDescent="0.25">
      <c r="A66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24" spans="1:1" x14ac:dyDescent="0.25">
      <c r="A66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25" spans="1:1" x14ac:dyDescent="0.25">
      <c r="A66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26" spans="1:1" x14ac:dyDescent="0.25">
      <c r="A66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27" spans="1:1" x14ac:dyDescent="0.25">
      <c r="A66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28" spans="1:1" x14ac:dyDescent="0.25">
      <c r="A66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29" spans="1:1" x14ac:dyDescent="0.25">
      <c r="A66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30" spans="1:1" x14ac:dyDescent="0.25">
      <c r="A66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31" spans="1:1" x14ac:dyDescent="0.25">
      <c r="A66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32" spans="1:1" x14ac:dyDescent="0.25">
      <c r="A66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33" spans="1:1" x14ac:dyDescent="0.25">
      <c r="A66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34" spans="1:1" x14ac:dyDescent="0.25">
      <c r="A66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35" spans="1:1" x14ac:dyDescent="0.25">
      <c r="A66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36" spans="1:1" x14ac:dyDescent="0.25">
      <c r="A66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37" spans="1:1" x14ac:dyDescent="0.25">
      <c r="A66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38" spans="1:1" x14ac:dyDescent="0.25">
      <c r="A66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39" spans="1:1" x14ac:dyDescent="0.25">
      <c r="A66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40" spans="1:1" x14ac:dyDescent="0.25">
      <c r="A66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41" spans="1:1" x14ac:dyDescent="0.25">
      <c r="A66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42" spans="1:1" x14ac:dyDescent="0.25">
      <c r="A66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43" spans="1:1" x14ac:dyDescent="0.25">
      <c r="A66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44" spans="1:1" x14ac:dyDescent="0.25">
      <c r="A66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45" spans="1:1" x14ac:dyDescent="0.25">
      <c r="A66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46" spans="1:1" x14ac:dyDescent="0.25">
      <c r="A66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47" spans="1:1" x14ac:dyDescent="0.25">
      <c r="A66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48" spans="1:1" x14ac:dyDescent="0.25">
      <c r="A66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49" spans="1:1" x14ac:dyDescent="0.25">
      <c r="A66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50" spans="1:1" x14ac:dyDescent="0.25">
      <c r="A66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51" spans="1:1" x14ac:dyDescent="0.25">
      <c r="A66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52" spans="1:1" x14ac:dyDescent="0.25">
      <c r="A66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53" spans="1:1" x14ac:dyDescent="0.25">
      <c r="A66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54" spans="1:1" x14ac:dyDescent="0.25">
      <c r="A66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55" spans="1:1" x14ac:dyDescent="0.25">
      <c r="A66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56" spans="1:1" x14ac:dyDescent="0.25">
      <c r="A66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57" spans="1:1" x14ac:dyDescent="0.25">
      <c r="A66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58" spans="1:1" x14ac:dyDescent="0.25">
      <c r="A66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59" spans="1:1" x14ac:dyDescent="0.25">
      <c r="A66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60" spans="1:1" x14ac:dyDescent="0.25">
      <c r="A66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61" spans="1:1" x14ac:dyDescent="0.25">
      <c r="A66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62" spans="1:1" x14ac:dyDescent="0.25">
      <c r="A66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63" spans="1:1" x14ac:dyDescent="0.25">
      <c r="A66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64" spans="1:1" x14ac:dyDescent="0.25">
      <c r="A66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65" spans="1:1" x14ac:dyDescent="0.25">
      <c r="A66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66" spans="1:1" x14ac:dyDescent="0.25">
      <c r="A66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67" spans="1:1" x14ac:dyDescent="0.25">
      <c r="A66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68" spans="1:1" x14ac:dyDescent="0.25">
      <c r="A66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69" spans="1:1" x14ac:dyDescent="0.25">
      <c r="A66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70" spans="1:1" x14ac:dyDescent="0.25">
      <c r="A66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71" spans="1:1" x14ac:dyDescent="0.25">
      <c r="A66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72" spans="1:1" x14ac:dyDescent="0.25">
      <c r="A66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73" spans="1:1" x14ac:dyDescent="0.25">
      <c r="A66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74" spans="1:1" x14ac:dyDescent="0.25">
      <c r="A66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75" spans="1:1" x14ac:dyDescent="0.25">
      <c r="A66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76" spans="1:1" x14ac:dyDescent="0.25">
      <c r="A66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77" spans="1:1" x14ac:dyDescent="0.25">
      <c r="A66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78" spans="1:1" x14ac:dyDescent="0.25">
      <c r="A66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79" spans="1:1" x14ac:dyDescent="0.25">
      <c r="A66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80" spans="1:1" x14ac:dyDescent="0.25">
      <c r="A66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81" spans="1:1" x14ac:dyDescent="0.25">
      <c r="A66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82" spans="1:1" x14ac:dyDescent="0.25">
      <c r="A66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83" spans="1:1" x14ac:dyDescent="0.25">
      <c r="A66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84" spans="1:1" x14ac:dyDescent="0.25">
      <c r="A66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85" spans="1:1" x14ac:dyDescent="0.25">
      <c r="A66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86" spans="1:1" x14ac:dyDescent="0.25">
      <c r="A66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87" spans="1:1" x14ac:dyDescent="0.25">
      <c r="A66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88" spans="1:1" x14ac:dyDescent="0.25">
      <c r="A66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89" spans="1:1" x14ac:dyDescent="0.25">
      <c r="A66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90" spans="1:1" x14ac:dyDescent="0.25">
      <c r="A66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91" spans="1:1" x14ac:dyDescent="0.25">
      <c r="A66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92" spans="1:1" x14ac:dyDescent="0.25">
      <c r="A66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93" spans="1:1" x14ac:dyDescent="0.25">
      <c r="A66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94" spans="1:1" x14ac:dyDescent="0.25">
      <c r="A66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95" spans="1:1" x14ac:dyDescent="0.25">
      <c r="A66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96" spans="1:1" x14ac:dyDescent="0.25">
      <c r="A66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97" spans="1:1" x14ac:dyDescent="0.25">
      <c r="A66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98" spans="1:1" x14ac:dyDescent="0.25">
      <c r="A66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699" spans="1:1" x14ac:dyDescent="0.25">
      <c r="A66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00" spans="1:1" x14ac:dyDescent="0.25">
      <c r="A67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01" spans="1:1" x14ac:dyDescent="0.25">
      <c r="A67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02" spans="1:1" x14ac:dyDescent="0.25">
      <c r="A67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03" spans="1:1" x14ac:dyDescent="0.25">
      <c r="A67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04" spans="1:1" x14ac:dyDescent="0.25">
      <c r="A67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05" spans="1:1" x14ac:dyDescent="0.25">
      <c r="A67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06" spans="1:1" x14ac:dyDescent="0.25">
      <c r="A67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07" spans="1:1" x14ac:dyDescent="0.25">
      <c r="A67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08" spans="1:1" x14ac:dyDescent="0.25">
      <c r="A67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09" spans="1:1" x14ac:dyDescent="0.25">
      <c r="A67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10" spans="1:1" x14ac:dyDescent="0.25">
      <c r="A67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11" spans="1:1" x14ac:dyDescent="0.25">
      <c r="A67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12" spans="1:1" x14ac:dyDescent="0.25">
      <c r="A67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13" spans="1:1" x14ac:dyDescent="0.25">
      <c r="A67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14" spans="1:1" x14ac:dyDescent="0.25">
      <c r="A67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15" spans="1:1" x14ac:dyDescent="0.25">
      <c r="A67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16" spans="1:1" x14ac:dyDescent="0.25">
      <c r="A67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17" spans="1:1" x14ac:dyDescent="0.25">
      <c r="A67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18" spans="1:1" x14ac:dyDescent="0.25">
      <c r="A67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19" spans="1:1" x14ac:dyDescent="0.25">
      <c r="A67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20" spans="1:1" x14ac:dyDescent="0.25">
      <c r="A67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21" spans="1:1" x14ac:dyDescent="0.25">
      <c r="A67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22" spans="1:1" x14ac:dyDescent="0.25">
      <c r="A67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23" spans="1:1" x14ac:dyDescent="0.25">
      <c r="A67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24" spans="1:1" x14ac:dyDescent="0.25">
      <c r="A67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25" spans="1:1" x14ac:dyDescent="0.25">
      <c r="A67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26" spans="1:1" x14ac:dyDescent="0.25">
      <c r="A67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27" spans="1:1" x14ac:dyDescent="0.25">
      <c r="A67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28" spans="1:1" x14ac:dyDescent="0.25">
      <c r="A67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29" spans="1:1" x14ac:dyDescent="0.25">
      <c r="A67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30" spans="1:1" x14ac:dyDescent="0.25">
      <c r="A67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31" spans="1:1" x14ac:dyDescent="0.25">
      <c r="A67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32" spans="1:1" x14ac:dyDescent="0.25">
      <c r="A67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33" spans="1:1" x14ac:dyDescent="0.25">
      <c r="A67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34" spans="1:1" x14ac:dyDescent="0.25">
      <c r="A67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35" spans="1:1" x14ac:dyDescent="0.25">
      <c r="A67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36" spans="1:1" x14ac:dyDescent="0.25">
      <c r="A67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37" spans="1:1" x14ac:dyDescent="0.25">
      <c r="A67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38" spans="1:1" x14ac:dyDescent="0.25">
      <c r="A67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39" spans="1:1" x14ac:dyDescent="0.25">
      <c r="A67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40" spans="1:1" x14ac:dyDescent="0.25">
      <c r="A67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41" spans="1:1" x14ac:dyDescent="0.25">
      <c r="A67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42" spans="1:1" x14ac:dyDescent="0.25">
      <c r="A67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43" spans="1:1" x14ac:dyDescent="0.25">
      <c r="A67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44" spans="1:1" x14ac:dyDescent="0.25">
      <c r="A67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45" spans="1:1" x14ac:dyDescent="0.25">
      <c r="A67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46" spans="1:1" x14ac:dyDescent="0.25">
      <c r="A67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47" spans="1:1" x14ac:dyDescent="0.25">
      <c r="A67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48" spans="1:1" x14ac:dyDescent="0.25">
      <c r="A67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49" spans="1:1" x14ac:dyDescent="0.25">
      <c r="A67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50" spans="1:1" x14ac:dyDescent="0.25">
      <c r="A67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51" spans="1:1" x14ac:dyDescent="0.25">
      <c r="A67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52" spans="1:1" x14ac:dyDescent="0.25">
      <c r="A67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53" spans="1:1" x14ac:dyDescent="0.25">
      <c r="A67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54" spans="1:1" x14ac:dyDescent="0.25">
      <c r="A67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55" spans="1:1" x14ac:dyDescent="0.25">
      <c r="A67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56" spans="1:1" x14ac:dyDescent="0.25">
      <c r="A67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57" spans="1:1" x14ac:dyDescent="0.25">
      <c r="A67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58" spans="1:1" x14ac:dyDescent="0.25">
      <c r="A67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59" spans="1:1" x14ac:dyDescent="0.25">
      <c r="A67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60" spans="1:1" x14ac:dyDescent="0.25">
      <c r="A67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61" spans="1:1" x14ac:dyDescent="0.25">
      <c r="A67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62" spans="1:1" x14ac:dyDescent="0.25">
      <c r="A67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63" spans="1:1" x14ac:dyDescent="0.25">
      <c r="A67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64" spans="1:1" x14ac:dyDescent="0.25">
      <c r="A67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65" spans="1:1" x14ac:dyDescent="0.25">
      <c r="A67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66" spans="1:1" x14ac:dyDescent="0.25">
      <c r="A67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67" spans="1:1" x14ac:dyDescent="0.25">
      <c r="A67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68" spans="1:1" x14ac:dyDescent="0.25">
      <c r="A67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69" spans="1:1" x14ac:dyDescent="0.25">
      <c r="A67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70" spans="1:1" x14ac:dyDescent="0.25">
      <c r="A67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71" spans="1:1" x14ac:dyDescent="0.25">
      <c r="A67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72" spans="1:1" x14ac:dyDescent="0.25">
      <c r="A67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73" spans="1:1" x14ac:dyDescent="0.25">
      <c r="A67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74" spans="1:1" x14ac:dyDescent="0.25">
      <c r="A67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75" spans="1:1" x14ac:dyDescent="0.25">
      <c r="A67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76" spans="1:1" x14ac:dyDescent="0.25">
      <c r="A67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77" spans="1:1" x14ac:dyDescent="0.25">
      <c r="A67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78" spans="1:1" x14ac:dyDescent="0.25">
      <c r="A67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79" spans="1:1" x14ac:dyDescent="0.25">
      <c r="A67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80" spans="1:1" x14ac:dyDescent="0.25">
      <c r="A67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81" spans="1:1" x14ac:dyDescent="0.25">
      <c r="A67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82" spans="1:1" x14ac:dyDescent="0.25">
      <c r="A67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83" spans="1:1" x14ac:dyDescent="0.25">
      <c r="A67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84" spans="1:1" x14ac:dyDescent="0.25">
      <c r="A67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85" spans="1:1" x14ac:dyDescent="0.25">
      <c r="A67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86" spans="1:1" x14ac:dyDescent="0.25">
      <c r="A67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87" spans="1:1" x14ac:dyDescent="0.25">
      <c r="A67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88" spans="1:1" x14ac:dyDescent="0.25">
      <c r="A67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89" spans="1:1" x14ac:dyDescent="0.25">
      <c r="A67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90" spans="1:1" x14ac:dyDescent="0.25">
      <c r="A67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91" spans="1:1" x14ac:dyDescent="0.25">
      <c r="A67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92" spans="1:1" x14ac:dyDescent="0.25">
      <c r="A67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93" spans="1:1" x14ac:dyDescent="0.25">
      <c r="A67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94" spans="1:1" x14ac:dyDescent="0.25">
      <c r="A67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95" spans="1:1" x14ac:dyDescent="0.25">
      <c r="A67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96" spans="1:1" x14ac:dyDescent="0.25">
      <c r="A67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97" spans="1:1" x14ac:dyDescent="0.25">
      <c r="A67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98" spans="1:1" x14ac:dyDescent="0.25">
      <c r="A67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799" spans="1:1" x14ac:dyDescent="0.25">
      <c r="A67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00" spans="1:1" x14ac:dyDescent="0.25">
      <c r="A68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01" spans="1:1" x14ac:dyDescent="0.25">
      <c r="A68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02" spans="1:1" x14ac:dyDescent="0.25">
      <c r="A68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03" spans="1:1" x14ac:dyDescent="0.25">
      <c r="A68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04" spans="1:1" x14ac:dyDescent="0.25">
      <c r="A68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05" spans="1:1" x14ac:dyDescent="0.25">
      <c r="A68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06" spans="1:1" x14ac:dyDescent="0.25">
      <c r="A68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07" spans="1:1" x14ac:dyDescent="0.25">
      <c r="A68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08" spans="1:1" x14ac:dyDescent="0.25">
      <c r="A68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09" spans="1:1" x14ac:dyDescent="0.25">
      <c r="A68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10" spans="1:1" x14ac:dyDescent="0.25">
      <c r="A68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11" spans="1:1" x14ac:dyDescent="0.25">
      <c r="A68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12" spans="1:1" x14ac:dyDescent="0.25">
      <c r="A68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13" spans="1:1" x14ac:dyDescent="0.25">
      <c r="A68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14" spans="1:1" x14ac:dyDescent="0.25">
      <c r="A68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15" spans="1:1" x14ac:dyDescent="0.25">
      <c r="A68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16" spans="1:1" x14ac:dyDescent="0.25">
      <c r="A68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17" spans="1:1" x14ac:dyDescent="0.25">
      <c r="A68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18" spans="1:1" x14ac:dyDescent="0.25">
      <c r="A68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19" spans="1:1" x14ac:dyDescent="0.25">
      <c r="A68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20" spans="1:1" x14ac:dyDescent="0.25">
      <c r="A68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21" spans="1:1" x14ac:dyDescent="0.25">
      <c r="A68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22" spans="1:1" x14ac:dyDescent="0.25">
      <c r="A68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23" spans="1:1" x14ac:dyDescent="0.25">
      <c r="A68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24" spans="1:1" x14ac:dyDescent="0.25">
      <c r="A68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25" spans="1:1" x14ac:dyDescent="0.25">
      <c r="A68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26" spans="1:1" x14ac:dyDescent="0.25">
      <c r="A68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27" spans="1:1" x14ac:dyDescent="0.25">
      <c r="A68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28" spans="1:1" x14ac:dyDescent="0.25">
      <c r="A68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29" spans="1:1" x14ac:dyDescent="0.25">
      <c r="A68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30" spans="1:1" x14ac:dyDescent="0.25">
      <c r="A68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31" spans="1:1" x14ac:dyDescent="0.25">
      <c r="A68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32" spans="1:1" x14ac:dyDescent="0.25">
      <c r="A68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33" spans="1:1" x14ac:dyDescent="0.25">
      <c r="A68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34" spans="1:1" x14ac:dyDescent="0.25">
      <c r="A68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35" spans="1:1" x14ac:dyDescent="0.25">
      <c r="A68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36" spans="1:1" x14ac:dyDescent="0.25">
      <c r="A68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37" spans="1:1" x14ac:dyDescent="0.25">
      <c r="A68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38" spans="1:1" x14ac:dyDescent="0.25">
      <c r="A68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39" spans="1:1" x14ac:dyDescent="0.25">
      <c r="A68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40" spans="1:1" x14ac:dyDescent="0.25">
      <c r="A68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41" spans="1:1" x14ac:dyDescent="0.25">
      <c r="A68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42" spans="1:1" x14ac:dyDescent="0.25">
      <c r="A68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43" spans="1:1" x14ac:dyDescent="0.25">
      <c r="A68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44" spans="1:1" x14ac:dyDescent="0.25">
      <c r="A68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45" spans="1:1" x14ac:dyDescent="0.25">
      <c r="A68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46" spans="1:1" x14ac:dyDescent="0.25">
      <c r="A68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47" spans="1:1" x14ac:dyDescent="0.25">
      <c r="A68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48" spans="1:1" x14ac:dyDescent="0.25">
      <c r="A68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49" spans="1:1" x14ac:dyDescent="0.25">
      <c r="A68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50" spans="1:1" x14ac:dyDescent="0.25">
      <c r="A68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51" spans="1:1" x14ac:dyDescent="0.25">
      <c r="A68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52" spans="1:1" x14ac:dyDescent="0.25">
      <c r="A68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53" spans="1:1" x14ac:dyDescent="0.25">
      <c r="A68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54" spans="1:1" x14ac:dyDescent="0.25">
      <c r="A68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55" spans="1:1" x14ac:dyDescent="0.25">
      <c r="A68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56" spans="1:1" x14ac:dyDescent="0.25">
      <c r="A68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57" spans="1:1" x14ac:dyDescent="0.25">
      <c r="A68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58" spans="1:1" x14ac:dyDescent="0.25">
      <c r="A68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59" spans="1:1" x14ac:dyDescent="0.25">
      <c r="A68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60" spans="1:1" x14ac:dyDescent="0.25">
      <c r="A68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61" spans="1:1" x14ac:dyDescent="0.25">
      <c r="A68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62" spans="1:1" x14ac:dyDescent="0.25">
      <c r="A68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63" spans="1:1" x14ac:dyDescent="0.25">
      <c r="A68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64" spans="1:1" x14ac:dyDescent="0.25">
      <c r="A68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65" spans="1:1" x14ac:dyDescent="0.25">
      <c r="A68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66" spans="1:1" x14ac:dyDescent="0.25">
      <c r="A68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67" spans="1:1" x14ac:dyDescent="0.25">
      <c r="A68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68" spans="1:1" x14ac:dyDescent="0.25">
      <c r="A68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69" spans="1:1" x14ac:dyDescent="0.25">
      <c r="A68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70" spans="1:1" x14ac:dyDescent="0.25">
      <c r="A68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71" spans="1:1" x14ac:dyDescent="0.25">
      <c r="A68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72" spans="1:1" x14ac:dyDescent="0.25">
      <c r="A68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73" spans="1:1" x14ac:dyDescent="0.25">
      <c r="A68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74" spans="1:1" x14ac:dyDescent="0.25">
      <c r="A68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75" spans="1:1" x14ac:dyDescent="0.25">
      <c r="A68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76" spans="1:1" x14ac:dyDescent="0.25">
      <c r="A68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77" spans="1:1" x14ac:dyDescent="0.25">
      <c r="A68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78" spans="1:1" x14ac:dyDescent="0.25">
      <c r="A68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79" spans="1:1" x14ac:dyDescent="0.25">
      <c r="A68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80" spans="1:1" x14ac:dyDescent="0.25">
      <c r="A68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81" spans="1:1" x14ac:dyDescent="0.25">
      <c r="A68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82" spans="1:1" x14ac:dyDescent="0.25">
      <c r="A68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83" spans="1:1" x14ac:dyDescent="0.25">
      <c r="A68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84" spans="1:1" x14ac:dyDescent="0.25">
      <c r="A68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85" spans="1:1" x14ac:dyDescent="0.25">
      <c r="A68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86" spans="1:1" x14ac:dyDescent="0.25">
      <c r="A68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87" spans="1:1" x14ac:dyDescent="0.25">
      <c r="A68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88" spans="1:1" x14ac:dyDescent="0.25">
      <c r="A68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89" spans="1:1" x14ac:dyDescent="0.25">
      <c r="A68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90" spans="1:1" x14ac:dyDescent="0.25">
      <c r="A68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91" spans="1:1" x14ac:dyDescent="0.25">
      <c r="A68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92" spans="1:1" x14ac:dyDescent="0.25">
      <c r="A68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93" spans="1:1" x14ac:dyDescent="0.25">
      <c r="A68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94" spans="1:1" x14ac:dyDescent="0.25">
      <c r="A68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95" spans="1:1" x14ac:dyDescent="0.25">
      <c r="A68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96" spans="1:1" x14ac:dyDescent="0.25">
      <c r="A68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97" spans="1:1" x14ac:dyDescent="0.25">
      <c r="A68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98" spans="1:1" x14ac:dyDescent="0.25">
      <c r="A68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899" spans="1:1" x14ac:dyDescent="0.25">
      <c r="A68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00" spans="1:1" x14ac:dyDescent="0.25">
      <c r="A69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01" spans="1:1" x14ac:dyDescent="0.25">
      <c r="A69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02" spans="1:1" x14ac:dyDescent="0.25">
      <c r="A69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03" spans="1:1" x14ac:dyDescent="0.25">
      <c r="A69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04" spans="1:1" x14ac:dyDescent="0.25">
      <c r="A69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05" spans="1:1" x14ac:dyDescent="0.25">
      <c r="A69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06" spans="1:1" x14ac:dyDescent="0.25">
      <c r="A69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07" spans="1:1" x14ac:dyDescent="0.25">
      <c r="A69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08" spans="1:1" x14ac:dyDescent="0.25">
      <c r="A69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09" spans="1:1" x14ac:dyDescent="0.25">
      <c r="A69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10" spans="1:1" x14ac:dyDescent="0.25">
      <c r="A69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11" spans="1:1" x14ac:dyDescent="0.25">
      <c r="A69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12" spans="1:1" x14ac:dyDescent="0.25">
      <c r="A69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13" spans="1:1" x14ac:dyDescent="0.25">
      <c r="A69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14" spans="1:1" x14ac:dyDescent="0.25">
      <c r="A69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15" spans="1:1" x14ac:dyDescent="0.25">
      <c r="A69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16" spans="1:1" x14ac:dyDescent="0.25">
      <c r="A69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17" spans="1:1" x14ac:dyDescent="0.25">
      <c r="A69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18" spans="1:1" x14ac:dyDescent="0.25">
      <c r="A69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19" spans="1:1" x14ac:dyDescent="0.25">
      <c r="A69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20" spans="1:1" x14ac:dyDescent="0.25">
      <c r="A69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21" spans="1:1" x14ac:dyDescent="0.25">
      <c r="A69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22" spans="1:1" x14ac:dyDescent="0.25">
      <c r="A69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23" spans="1:1" x14ac:dyDescent="0.25">
      <c r="A69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24" spans="1:1" x14ac:dyDescent="0.25">
      <c r="A69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25" spans="1:1" x14ac:dyDescent="0.25">
      <c r="A69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26" spans="1:1" x14ac:dyDescent="0.25">
      <c r="A69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27" spans="1:1" x14ac:dyDescent="0.25">
      <c r="A69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28" spans="1:1" x14ac:dyDescent="0.25">
      <c r="A69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29" spans="1:1" x14ac:dyDescent="0.25">
      <c r="A69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30" spans="1:1" x14ac:dyDescent="0.25">
      <c r="A69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31" spans="1:1" x14ac:dyDescent="0.25">
      <c r="A69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32" spans="1:1" x14ac:dyDescent="0.25">
      <c r="A69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33" spans="1:1" x14ac:dyDescent="0.25">
      <c r="A69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34" spans="1:1" x14ac:dyDescent="0.25">
      <c r="A69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35" spans="1:1" x14ac:dyDescent="0.25">
      <c r="A69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36" spans="1:1" x14ac:dyDescent="0.25">
      <c r="A69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37" spans="1:1" x14ac:dyDescent="0.25">
      <c r="A69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38" spans="1:1" x14ac:dyDescent="0.25">
      <c r="A69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39" spans="1:1" x14ac:dyDescent="0.25">
      <c r="A69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40" spans="1:1" x14ac:dyDescent="0.25">
      <c r="A69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41" spans="1:1" x14ac:dyDescent="0.25">
      <c r="A69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42" spans="1:1" x14ac:dyDescent="0.25">
      <c r="A69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43" spans="1:1" x14ac:dyDescent="0.25">
      <c r="A69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44" spans="1:1" x14ac:dyDescent="0.25">
      <c r="A69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45" spans="1:1" x14ac:dyDescent="0.25">
      <c r="A69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46" spans="1:1" x14ac:dyDescent="0.25">
      <c r="A69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47" spans="1:1" x14ac:dyDescent="0.25">
      <c r="A69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48" spans="1:1" x14ac:dyDescent="0.25">
      <c r="A69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49" spans="1:1" x14ac:dyDescent="0.25">
      <c r="A69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50" spans="1:1" x14ac:dyDescent="0.25">
      <c r="A69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51" spans="1:1" x14ac:dyDescent="0.25">
      <c r="A69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52" spans="1:1" x14ac:dyDescent="0.25">
      <c r="A69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53" spans="1:1" x14ac:dyDescent="0.25">
      <c r="A69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54" spans="1:1" x14ac:dyDescent="0.25">
      <c r="A69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55" spans="1:1" x14ac:dyDescent="0.25">
      <c r="A69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56" spans="1:1" x14ac:dyDescent="0.25">
      <c r="A69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57" spans="1:1" x14ac:dyDescent="0.25">
      <c r="A69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58" spans="1:1" x14ac:dyDescent="0.25">
      <c r="A69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59" spans="1:1" x14ac:dyDescent="0.25">
      <c r="A69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60" spans="1:1" x14ac:dyDescent="0.25">
      <c r="A69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61" spans="1:1" x14ac:dyDescent="0.25">
      <c r="A69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62" spans="1:1" x14ac:dyDescent="0.25">
      <c r="A69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63" spans="1:1" x14ac:dyDescent="0.25">
      <c r="A69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64" spans="1:1" x14ac:dyDescent="0.25">
      <c r="A69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65" spans="1:1" x14ac:dyDescent="0.25">
      <c r="A69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66" spans="1:1" x14ac:dyDescent="0.25">
      <c r="A69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67" spans="1:1" x14ac:dyDescent="0.25">
      <c r="A69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68" spans="1:1" x14ac:dyDescent="0.25">
      <c r="A69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69" spans="1:1" x14ac:dyDescent="0.25">
      <c r="A69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70" spans="1:1" x14ac:dyDescent="0.25">
      <c r="A69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71" spans="1:1" x14ac:dyDescent="0.25">
      <c r="A69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72" spans="1:1" x14ac:dyDescent="0.25">
      <c r="A69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73" spans="1:1" x14ac:dyDescent="0.25">
      <c r="A69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74" spans="1:1" x14ac:dyDescent="0.25">
      <c r="A69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75" spans="1:1" x14ac:dyDescent="0.25">
      <c r="A69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76" spans="1:1" x14ac:dyDescent="0.25">
      <c r="A69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77" spans="1:1" x14ac:dyDescent="0.25">
      <c r="A69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78" spans="1:1" x14ac:dyDescent="0.25">
      <c r="A69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79" spans="1:1" x14ac:dyDescent="0.25">
      <c r="A69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80" spans="1:1" x14ac:dyDescent="0.25">
      <c r="A69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81" spans="1:1" x14ac:dyDescent="0.25">
      <c r="A69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82" spans="1:1" x14ac:dyDescent="0.25">
      <c r="A69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83" spans="1:1" x14ac:dyDescent="0.25">
      <c r="A69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84" spans="1:1" x14ac:dyDescent="0.25">
      <c r="A69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85" spans="1:1" x14ac:dyDescent="0.25">
      <c r="A69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86" spans="1:1" x14ac:dyDescent="0.25">
      <c r="A69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87" spans="1:1" x14ac:dyDescent="0.25">
      <c r="A69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88" spans="1:1" x14ac:dyDescent="0.25">
      <c r="A69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89" spans="1:1" x14ac:dyDescent="0.25">
      <c r="A69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90" spans="1:1" x14ac:dyDescent="0.25">
      <c r="A69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91" spans="1:1" x14ac:dyDescent="0.25">
      <c r="A69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92" spans="1:1" x14ac:dyDescent="0.25">
      <c r="A69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93" spans="1:1" x14ac:dyDescent="0.25">
      <c r="A69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94" spans="1:1" x14ac:dyDescent="0.25">
      <c r="A69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95" spans="1:1" x14ac:dyDescent="0.25">
      <c r="A69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96" spans="1:1" x14ac:dyDescent="0.25">
      <c r="A69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97" spans="1:1" x14ac:dyDescent="0.25">
      <c r="A69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98" spans="1:1" x14ac:dyDescent="0.25">
      <c r="A69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6999" spans="1:1" x14ac:dyDescent="0.25">
      <c r="A69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00" spans="1:1" x14ac:dyDescent="0.25">
      <c r="A70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01" spans="1:1" x14ac:dyDescent="0.25">
      <c r="A70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02" spans="1:1" x14ac:dyDescent="0.25">
      <c r="A70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03" spans="1:1" x14ac:dyDescent="0.25">
      <c r="A70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04" spans="1:1" x14ac:dyDescent="0.25">
      <c r="A70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05" spans="1:1" x14ac:dyDescent="0.25">
      <c r="A70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06" spans="1:1" x14ac:dyDescent="0.25">
      <c r="A70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07" spans="1:1" x14ac:dyDescent="0.25">
      <c r="A70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08" spans="1:1" x14ac:dyDescent="0.25">
      <c r="A70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09" spans="1:1" x14ac:dyDescent="0.25">
      <c r="A70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10" spans="1:1" x14ac:dyDescent="0.25">
      <c r="A70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11" spans="1:1" x14ac:dyDescent="0.25">
      <c r="A70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12" spans="1:1" x14ac:dyDescent="0.25">
      <c r="A70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13" spans="1:1" x14ac:dyDescent="0.25">
      <c r="A70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14" spans="1:1" x14ac:dyDescent="0.25">
      <c r="A70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15" spans="1:1" x14ac:dyDescent="0.25">
      <c r="A70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16" spans="1:1" x14ac:dyDescent="0.25">
      <c r="A70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17" spans="1:1" x14ac:dyDescent="0.25">
      <c r="A70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18" spans="1:1" x14ac:dyDescent="0.25">
      <c r="A70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19" spans="1:1" x14ac:dyDescent="0.25">
      <c r="A70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20" spans="1:1" x14ac:dyDescent="0.25">
      <c r="A70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21" spans="1:1" x14ac:dyDescent="0.25">
      <c r="A70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22" spans="1:1" x14ac:dyDescent="0.25">
      <c r="A70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23" spans="1:1" x14ac:dyDescent="0.25">
      <c r="A70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24" spans="1:1" x14ac:dyDescent="0.25">
      <c r="A70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25" spans="1:1" x14ac:dyDescent="0.25">
      <c r="A70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26" spans="1:1" x14ac:dyDescent="0.25">
      <c r="A70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27" spans="1:1" x14ac:dyDescent="0.25">
      <c r="A70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28" spans="1:1" x14ac:dyDescent="0.25">
      <c r="A70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29" spans="1:1" x14ac:dyDescent="0.25">
      <c r="A70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30" spans="1:1" x14ac:dyDescent="0.25">
      <c r="A70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31" spans="1:1" x14ac:dyDescent="0.25">
      <c r="A70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32" spans="1:1" x14ac:dyDescent="0.25">
      <c r="A70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33" spans="1:1" x14ac:dyDescent="0.25">
      <c r="A70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34" spans="1:1" x14ac:dyDescent="0.25">
      <c r="A70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35" spans="1:1" x14ac:dyDescent="0.25">
      <c r="A70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36" spans="1:1" x14ac:dyDescent="0.25">
      <c r="A70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37" spans="1:1" x14ac:dyDescent="0.25">
      <c r="A70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38" spans="1:1" x14ac:dyDescent="0.25">
      <c r="A70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39" spans="1:1" x14ac:dyDescent="0.25">
      <c r="A70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40" spans="1:1" x14ac:dyDescent="0.25">
      <c r="A70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41" spans="1:1" x14ac:dyDescent="0.25">
      <c r="A70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42" spans="1:1" x14ac:dyDescent="0.25">
      <c r="A70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43" spans="1:1" x14ac:dyDescent="0.25">
      <c r="A70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44" spans="1:1" x14ac:dyDescent="0.25">
      <c r="A70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45" spans="1:1" x14ac:dyDescent="0.25">
      <c r="A70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46" spans="1:1" x14ac:dyDescent="0.25">
      <c r="A70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47" spans="1:1" x14ac:dyDescent="0.25">
      <c r="A70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48" spans="1:1" x14ac:dyDescent="0.25">
      <c r="A70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49" spans="1:1" x14ac:dyDescent="0.25">
      <c r="A70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50" spans="1:1" x14ac:dyDescent="0.25">
      <c r="A70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51" spans="1:1" x14ac:dyDescent="0.25">
      <c r="A70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52" spans="1:1" x14ac:dyDescent="0.25">
      <c r="A70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53" spans="1:1" x14ac:dyDescent="0.25">
      <c r="A70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54" spans="1:1" x14ac:dyDescent="0.25">
      <c r="A70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55" spans="1:1" x14ac:dyDescent="0.25">
      <c r="A70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56" spans="1:1" x14ac:dyDescent="0.25">
      <c r="A70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57" spans="1:1" x14ac:dyDescent="0.25">
      <c r="A70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58" spans="1:1" x14ac:dyDescent="0.25">
      <c r="A70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59" spans="1:1" x14ac:dyDescent="0.25">
      <c r="A70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60" spans="1:1" x14ac:dyDescent="0.25">
      <c r="A70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61" spans="1:1" x14ac:dyDescent="0.25">
      <c r="A70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62" spans="1:1" x14ac:dyDescent="0.25">
      <c r="A70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63" spans="1:1" x14ac:dyDescent="0.25">
      <c r="A70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64" spans="1:1" x14ac:dyDescent="0.25">
      <c r="A70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65" spans="1:1" x14ac:dyDescent="0.25">
      <c r="A70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66" spans="1:1" x14ac:dyDescent="0.25">
      <c r="A70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67" spans="1:1" x14ac:dyDescent="0.25">
      <c r="A70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68" spans="1:1" x14ac:dyDescent="0.25">
      <c r="A70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69" spans="1:1" x14ac:dyDescent="0.25">
      <c r="A70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70" spans="1:1" x14ac:dyDescent="0.25">
      <c r="A70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71" spans="1:1" x14ac:dyDescent="0.25">
      <c r="A70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72" spans="1:1" x14ac:dyDescent="0.25">
      <c r="A70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73" spans="1:1" x14ac:dyDescent="0.25">
      <c r="A70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74" spans="1:1" x14ac:dyDescent="0.25">
      <c r="A70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75" spans="1:1" x14ac:dyDescent="0.25">
      <c r="A70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76" spans="1:1" x14ac:dyDescent="0.25">
      <c r="A70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77" spans="1:1" x14ac:dyDescent="0.25">
      <c r="A70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78" spans="1:1" x14ac:dyDescent="0.25">
      <c r="A70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79" spans="1:1" x14ac:dyDescent="0.25">
      <c r="A70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80" spans="1:1" x14ac:dyDescent="0.25">
      <c r="A70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81" spans="1:1" x14ac:dyDescent="0.25">
      <c r="A70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82" spans="1:1" x14ac:dyDescent="0.25">
      <c r="A70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83" spans="1:1" x14ac:dyDescent="0.25">
      <c r="A70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84" spans="1:1" x14ac:dyDescent="0.25">
      <c r="A70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85" spans="1:1" x14ac:dyDescent="0.25">
      <c r="A70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86" spans="1:1" x14ac:dyDescent="0.25">
      <c r="A70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87" spans="1:1" x14ac:dyDescent="0.25">
      <c r="A70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88" spans="1:1" x14ac:dyDescent="0.25">
      <c r="A70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89" spans="1:1" x14ac:dyDescent="0.25">
      <c r="A70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90" spans="1:1" x14ac:dyDescent="0.25">
      <c r="A70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91" spans="1:1" x14ac:dyDescent="0.25">
      <c r="A70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92" spans="1:1" x14ac:dyDescent="0.25">
      <c r="A70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93" spans="1:1" x14ac:dyDescent="0.25">
      <c r="A70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94" spans="1:1" x14ac:dyDescent="0.25">
      <c r="A70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95" spans="1:1" x14ac:dyDescent="0.25">
      <c r="A70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96" spans="1:1" x14ac:dyDescent="0.25">
      <c r="A70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97" spans="1:1" x14ac:dyDescent="0.25">
      <c r="A70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98" spans="1:1" x14ac:dyDescent="0.25">
      <c r="A70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099" spans="1:1" x14ac:dyDescent="0.25">
      <c r="A70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00" spans="1:1" x14ac:dyDescent="0.25">
      <c r="A71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01" spans="1:1" x14ac:dyDescent="0.25">
      <c r="A71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02" spans="1:1" x14ac:dyDescent="0.25">
      <c r="A71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03" spans="1:1" x14ac:dyDescent="0.25">
      <c r="A71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04" spans="1:1" x14ac:dyDescent="0.25">
      <c r="A71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05" spans="1:1" x14ac:dyDescent="0.25">
      <c r="A71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06" spans="1:1" x14ac:dyDescent="0.25">
      <c r="A71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07" spans="1:1" x14ac:dyDescent="0.25">
      <c r="A71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08" spans="1:1" x14ac:dyDescent="0.25">
      <c r="A71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09" spans="1:1" x14ac:dyDescent="0.25">
      <c r="A71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10" spans="1:1" x14ac:dyDescent="0.25">
      <c r="A71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11" spans="1:1" x14ac:dyDescent="0.25">
      <c r="A71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12" spans="1:1" x14ac:dyDescent="0.25">
      <c r="A71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13" spans="1:1" x14ac:dyDescent="0.25">
      <c r="A71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14" spans="1:1" x14ac:dyDescent="0.25">
      <c r="A71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15" spans="1:1" x14ac:dyDescent="0.25">
      <c r="A71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16" spans="1:1" x14ac:dyDescent="0.25">
      <c r="A71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17" spans="1:1" x14ac:dyDescent="0.25">
      <c r="A71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18" spans="1:1" x14ac:dyDescent="0.25">
      <c r="A71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19" spans="1:1" x14ac:dyDescent="0.25">
      <c r="A71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20" spans="1:1" x14ac:dyDescent="0.25">
      <c r="A71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21" spans="1:1" x14ac:dyDescent="0.25">
      <c r="A71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22" spans="1:1" x14ac:dyDescent="0.25">
      <c r="A71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23" spans="1:1" x14ac:dyDescent="0.25">
      <c r="A71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24" spans="1:1" x14ac:dyDescent="0.25">
      <c r="A71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25" spans="1:1" x14ac:dyDescent="0.25">
      <c r="A71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26" spans="1:1" x14ac:dyDescent="0.25">
      <c r="A71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27" spans="1:1" x14ac:dyDescent="0.25">
      <c r="A71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28" spans="1:1" x14ac:dyDescent="0.25">
      <c r="A71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29" spans="1:1" x14ac:dyDescent="0.25">
      <c r="A71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30" spans="1:1" x14ac:dyDescent="0.25">
      <c r="A71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31" spans="1:1" x14ac:dyDescent="0.25">
      <c r="A71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32" spans="1:1" x14ac:dyDescent="0.25">
      <c r="A71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33" spans="1:1" x14ac:dyDescent="0.25">
      <c r="A71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34" spans="1:1" x14ac:dyDescent="0.25">
      <c r="A71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35" spans="1:1" x14ac:dyDescent="0.25">
      <c r="A71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36" spans="1:1" x14ac:dyDescent="0.25">
      <c r="A71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37" spans="1:1" x14ac:dyDescent="0.25">
      <c r="A71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38" spans="1:1" x14ac:dyDescent="0.25">
      <c r="A71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39" spans="1:1" x14ac:dyDescent="0.25">
      <c r="A71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40" spans="1:1" x14ac:dyDescent="0.25">
      <c r="A71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41" spans="1:1" x14ac:dyDescent="0.25">
      <c r="A71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42" spans="1:1" x14ac:dyDescent="0.25">
      <c r="A71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43" spans="1:1" x14ac:dyDescent="0.25">
      <c r="A71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44" spans="1:1" x14ac:dyDescent="0.25">
      <c r="A71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45" spans="1:1" x14ac:dyDescent="0.25">
      <c r="A71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46" spans="1:1" x14ac:dyDescent="0.25">
      <c r="A71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47" spans="1:1" x14ac:dyDescent="0.25">
      <c r="A71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48" spans="1:1" x14ac:dyDescent="0.25">
      <c r="A71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49" spans="1:1" x14ac:dyDescent="0.25">
      <c r="A71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50" spans="1:1" x14ac:dyDescent="0.25">
      <c r="A71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51" spans="1:1" x14ac:dyDescent="0.25">
      <c r="A71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52" spans="1:1" x14ac:dyDescent="0.25">
      <c r="A71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53" spans="1:1" x14ac:dyDescent="0.25">
      <c r="A71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54" spans="1:1" x14ac:dyDescent="0.25">
      <c r="A71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55" spans="1:1" x14ac:dyDescent="0.25">
      <c r="A71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56" spans="1:1" x14ac:dyDescent="0.25">
      <c r="A71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57" spans="1:1" x14ac:dyDescent="0.25">
      <c r="A71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58" spans="1:1" x14ac:dyDescent="0.25">
      <c r="A71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59" spans="1:1" x14ac:dyDescent="0.25">
      <c r="A71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60" spans="1:1" x14ac:dyDescent="0.25">
      <c r="A71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61" spans="1:1" x14ac:dyDescent="0.25">
      <c r="A71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62" spans="1:1" x14ac:dyDescent="0.25">
      <c r="A71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63" spans="1:1" x14ac:dyDescent="0.25">
      <c r="A71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64" spans="1:1" x14ac:dyDescent="0.25">
      <c r="A71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65" spans="1:1" x14ac:dyDescent="0.25">
      <c r="A71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66" spans="1:1" x14ac:dyDescent="0.25">
      <c r="A71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67" spans="1:1" x14ac:dyDescent="0.25">
      <c r="A71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68" spans="1:1" x14ac:dyDescent="0.25">
      <c r="A71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69" spans="1:1" x14ac:dyDescent="0.25">
      <c r="A71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70" spans="1:1" x14ac:dyDescent="0.25">
      <c r="A71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71" spans="1:1" x14ac:dyDescent="0.25">
      <c r="A71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72" spans="1:1" x14ac:dyDescent="0.25">
      <c r="A71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73" spans="1:1" x14ac:dyDescent="0.25">
      <c r="A71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74" spans="1:1" x14ac:dyDescent="0.25">
      <c r="A71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75" spans="1:1" x14ac:dyDescent="0.25">
      <c r="A71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76" spans="1:1" x14ac:dyDescent="0.25">
      <c r="A71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77" spans="1:1" x14ac:dyDescent="0.25">
      <c r="A71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78" spans="1:1" x14ac:dyDescent="0.25">
      <c r="A71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79" spans="1:1" x14ac:dyDescent="0.25">
      <c r="A71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80" spans="1:1" x14ac:dyDescent="0.25">
      <c r="A71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81" spans="1:1" x14ac:dyDescent="0.25">
      <c r="A71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82" spans="1:1" x14ac:dyDescent="0.25">
      <c r="A71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83" spans="1:1" x14ac:dyDescent="0.25">
      <c r="A71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84" spans="1:1" x14ac:dyDescent="0.25">
      <c r="A71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85" spans="1:1" x14ac:dyDescent="0.25">
      <c r="A71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86" spans="1:1" x14ac:dyDescent="0.25">
      <c r="A71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87" spans="1:1" x14ac:dyDescent="0.25">
      <c r="A71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88" spans="1:1" x14ac:dyDescent="0.25">
      <c r="A71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89" spans="1:1" x14ac:dyDescent="0.25">
      <c r="A71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90" spans="1:1" x14ac:dyDescent="0.25">
      <c r="A71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91" spans="1:1" x14ac:dyDescent="0.25">
      <c r="A71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92" spans="1:1" x14ac:dyDescent="0.25">
      <c r="A71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93" spans="1:1" x14ac:dyDescent="0.25">
      <c r="A71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94" spans="1:1" x14ac:dyDescent="0.25">
      <c r="A71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95" spans="1:1" x14ac:dyDescent="0.25">
      <c r="A71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96" spans="1:1" x14ac:dyDescent="0.25">
      <c r="A71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97" spans="1:1" x14ac:dyDescent="0.25">
      <c r="A71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98" spans="1:1" x14ac:dyDescent="0.25">
      <c r="A71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199" spans="1:1" x14ac:dyDescent="0.25">
      <c r="A71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00" spans="1:1" x14ac:dyDescent="0.25">
      <c r="A72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01" spans="1:1" x14ac:dyDescent="0.25">
      <c r="A72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02" spans="1:1" x14ac:dyDescent="0.25">
      <c r="A72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03" spans="1:1" x14ac:dyDescent="0.25">
      <c r="A72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04" spans="1:1" x14ac:dyDescent="0.25">
      <c r="A72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05" spans="1:1" x14ac:dyDescent="0.25">
      <c r="A72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06" spans="1:1" x14ac:dyDescent="0.25">
      <c r="A72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07" spans="1:1" x14ac:dyDescent="0.25">
      <c r="A72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08" spans="1:1" x14ac:dyDescent="0.25">
      <c r="A72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09" spans="1:1" x14ac:dyDescent="0.25">
      <c r="A72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10" spans="1:1" x14ac:dyDescent="0.25">
      <c r="A72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11" spans="1:1" x14ac:dyDescent="0.25">
      <c r="A72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12" spans="1:1" x14ac:dyDescent="0.25">
      <c r="A72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13" spans="1:1" x14ac:dyDescent="0.25">
      <c r="A72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14" spans="1:1" x14ac:dyDescent="0.25">
      <c r="A72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15" spans="1:1" x14ac:dyDescent="0.25">
      <c r="A72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16" spans="1:1" x14ac:dyDescent="0.25">
      <c r="A72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17" spans="1:1" x14ac:dyDescent="0.25">
      <c r="A72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18" spans="1:1" x14ac:dyDescent="0.25">
      <c r="A72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19" spans="1:1" x14ac:dyDescent="0.25">
      <c r="A72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20" spans="1:1" x14ac:dyDescent="0.25">
      <c r="A72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21" spans="1:1" x14ac:dyDescent="0.25">
      <c r="A72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22" spans="1:1" x14ac:dyDescent="0.25">
      <c r="A72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23" spans="1:1" x14ac:dyDescent="0.25">
      <c r="A72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24" spans="1:1" x14ac:dyDescent="0.25">
      <c r="A72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25" spans="1:1" x14ac:dyDescent="0.25">
      <c r="A72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26" spans="1:1" x14ac:dyDescent="0.25">
      <c r="A72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27" spans="1:1" x14ac:dyDescent="0.25">
      <c r="A72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28" spans="1:1" x14ac:dyDescent="0.25">
      <c r="A72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29" spans="1:1" x14ac:dyDescent="0.25">
      <c r="A72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30" spans="1:1" x14ac:dyDescent="0.25">
      <c r="A72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31" spans="1:1" x14ac:dyDescent="0.25">
      <c r="A72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32" spans="1:1" x14ac:dyDescent="0.25">
      <c r="A72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33" spans="1:1" x14ac:dyDescent="0.25">
      <c r="A72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34" spans="1:1" x14ac:dyDescent="0.25">
      <c r="A72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35" spans="1:1" x14ac:dyDescent="0.25">
      <c r="A72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36" spans="1:1" x14ac:dyDescent="0.25">
      <c r="A72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37" spans="1:1" x14ac:dyDescent="0.25">
      <c r="A72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38" spans="1:1" x14ac:dyDescent="0.25">
      <c r="A72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39" spans="1:1" x14ac:dyDescent="0.25">
      <c r="A72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40" spans="1:1" x14ac:dyDescent="0.25">
      <c r="A72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41" spans="1:1" x14ac:dyDescent="0.25">
      <c r="A72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42" spans="1:1" x14ac:dyDescent="0.25">
      <c r="A72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43" spans="1:1" x14ac:dyDescent="0.25">
      <c r="A72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44" spans="1:1" x14ac:dyDescent="0.25">
      <c r="A72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45" spans="1:1" x14ac:dyDescent="0.25">
      <c r="A72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46" spans="1:1" x14ac:dyDescent="0.25">
      <c r="A72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47" spans="1:1" x14ac:dyDescent="0.25">
      <c r="A72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48" spans="1:1" x14ac:dyDescent="0.25">
      <c r="A72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49" spans="1:1" x14ac:dyDescent="0.25">
      <c r="A72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50" spans="1:1" x14ac:dyDescent="0.25">
      <c r="A72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51" spans="1:1" x14ac:dyDescent="0.25">
      <c r="A72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52" spans="1:1" x14ac:dyDescent="0.25">
      <c r="A72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53" spans="1:1" x14ac:dyDescent="0.25">
      <c r="A72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54" spans="1:1" x14ac:dyDescent="0.25">
      <c r="A72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55" spans="1:1" x14ac:dyDescent="0.25">
      <c r="A72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56" spans="1:1" x14ac:dyDescent="0.25">
      <c r="A72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57" spans="1:1" x14ac:dyDescent="0.25">
      <c r="A72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58" spans="1:1" x14ac:dyDescent="0.25">
      <c r="A72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59" spans="1:1" x14ac:dyDescent="0.25">
      <c r="A72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60" spans="1:1" x14ac:dyDescent="0.25">
      <c r="A72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61" spans="1:1" x14ac:dyDescent="0.25">
      <c r="A72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62" spans="1:1" x14ac:dyDescent="0.25">
      <c r="A72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63" spans="1:1" x14ac:dyDescent="0.25">
      <c r="A72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64" spans="1:1" x14ac:dyDescent="0.25">
      <c r="A72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65" spans="1:1" x14ac:dyDescent="0.25">
      <c r="A72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66" spans="1:1" x14ac:dyDescent="0.25">
      <c r="A72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67" spans="1:1" x14ac:dyDescent="0.25">
      <c r="A72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68" spans="1:1" x14ac:dyDescent="0.25">
      <c r="A72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69" spans="1:1" x14ac:dyDescent="0.25">
      <c r="A72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70" spans="1:1" x14ac:dyDescent="0.25">
      <c r="A72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71" spans="1:1" x14ac:dyDescent="0.25">
      <c r="A72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72" spans="1:1" x14ac:dyDescent="0.25">
      <c r="A72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73" spans="1:1" x14ac:dyDescent="0.25">
      <c r="A72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74" spans="1:1" x14ac:dyDescent="0.25">
      <c r="A72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75" spans="1:1" x14ac:dyDescent="0.25">
      <c r="A72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76" spans="1:1" x14ac:dyDescent="0.25">
      <c r="A72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77" spans="1:1" x14ac:dyDescent="0.25">
      <c r="A72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78" spans="1:1" x14ac:dyDescent="0.25">
      <c r="A72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79" spans="1:1" x14ac:dyDescent="0.25">
      <c r="A72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80" spans="1:1" x14ac:dyDescent="0.25">
      <c r="A72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81" spans="1:1" x14ac:dyDescent="0.25">
      <c r="A72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82" spans="1:1" x14ac:dyDescent="0.25">
      <c r="A72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83" spans="1:1" x14ac:dyDescent="0.25">
      <c r="A72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84" spans="1:1" x14ac:dyDescent="0.25">
      <c r="A72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85" spans="1:1" x14ac:dyDescent="0.25">
      <c r="A72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86" spans="1:1" x14ac:dyDescent="0.25">
      <c r="A72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87" spans="1:1" x14ac:dyDescent="0.25">
      <c r="A72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88" spans="1:1" x14ac:dyDescent="0.25">
      <c r="A72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89" spans="1:1" x14ac:dyDescent="0.25">
      <c r="A72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90" spans="1:1" x14ac:dyDescent="0.25">
      <c r="A72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91" spans="1:1" x14ac:dyDescent="0.25">
      <c r="A72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92" spans="1:1" x14ac:dyDescent="0.25">
      <c r="A72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93" spans="1:1" x14ac:dyDescent="0.25">
      <c r="A72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94" spans="1:1" x14ac:dyDescent="0.25">
      <c r="A72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95" spans="1:1" x14ac:dyDescent="0.25">
      <c r="A72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96" spans="1:1" x14ac:dyDescent="0.25">
      <c r="A72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97" spans="1:1" x14ac:dyDescent="0.25">
      <c r="A72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98" spans="1:1" x14ac:dyDescent="0.25">
      <c r="A72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299" spans="1:1" x14ac:dyDescent="0.25">
      <c r="A72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00" spans="1:1" x14ac:dyDescent="0.25">
      <c r="A73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01" spans="1:1" x14ac:dyDescent="0.25">
      <c r="A73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02" spans="1:1" x14ac:dyDescent="0.25">
      <c r="A73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03" spans="1:1" x14ac:dyDescent="0.25">
      <c r="A73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04" spans="1:1" x14ac:dyDescent="0.25">
      <c r="A73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05" spans="1:1" x14ac:dyDescent="0.25">
      <c r="A73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06" spans="1:1" x14ac:dyDescent="0.25">
      <c r="A73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07" spans="1:1" x14ac:dyDescent="0.25">
      <c r="A73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08" spans="1:1" x14ac:dyDescent="0.25">
      <c r="A73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09" spans="1:1" x14ac:dyDescent="0.25">
      <c r="A73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10" spans="1:1" x14ac:dyDescent="0.25">
      <c r="A73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11" spans="1:1" x14ac:dyDescent="0.25">
      <c r="A73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12" spans="1:1" x14ac:dyDescent="0.25">
      <c r="A73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13" spans="1:1" x14ac:dyDescent="0.25">
      <c r="A73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14" spans="1:1" x14ac:dyDescent="0.25">
      <c r="A73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15" spans="1:1" x14ac:dyDescent="0.25">
      <c r="A73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16" spans="1:1" x14ac:dyDescent="0.25">
      <c r="A73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17" spans="1:1" x14ac:dyDescent="0.25">
      <c r="A73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18" spans="1:1" x14ac:dyDescent="0.25">
      <c r="A73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19" spans="1:1" x14ac:dyDescent="0.25">
      <c r="A73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20" spans="1:1" x14ac:dyDescent="0.25">
      <c r="A73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21" spans="1:1" x14ac:dyDescent="0.25">
      <c r="A73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22" spans="1:1" x14ac:dyDescent="0.25">
      <c r="A73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23" spans="1:1" x14ac:dyDescent="0.25">
      <c r="A73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24" spans="1:1" x14ac:dyDescent="0.25">
      <c r="A73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25" spans="1:1" x14ac:dyDescent="0.25">
      <c r="A73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26" spans="1:1" x14ac:dyDescent="0.25">
      <c r="A73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27" spans="1:1" x14ac:dyDescent="0.25">
      <c r="A73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28" spans="1:1" x14ac:dyDescent="0.25">
      <c r="A73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29" spans="1:1" x14ac:dyDescent="0.25">
      <c r="A73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30" spans="1:1" x14ac:dyDescent="0.25">
      <c r="A73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31" spans="1:1" x14ac:dyDescent="0.25">
      <c r="A73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32" spans="1:1" x14ac:dyDescent="0.25">
      <c r="A73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33" spans="1:1" x14ac:dyDescent="0.25">
      <c r="A73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34" spans="1:1" x14ac:dyDescent="0.25">
      <c r="A73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35" spans="1:1" x14ac:dyDescent="0.25">
      <c r="A73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36" spans="1:1" x14ac:dyDescent="0.25">
      <c r="A73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37" spans="1:1" x14ac:dyDescent="0.25">
      <c r="A73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38" spans="1:1" x14ac:dyDescent="0.25">
      <c r="A73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39" spans="1:1" x14ac:dyDescent="0.25">
      <c r="A73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40" spans="1:1" x14ac:dyDescent="0.25">
      <c r="A73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41" spans="1:1" x14ac:dyDescent="0.25">
      <c r="A73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42" spans="1:1" x14ac:dyDescent="0.25">
      <c r="A73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43" spans="1:1" x14ac:dyDescent="0.25">
      <c r="A73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44" spans="1:1" x14ac:dyDescent="0.25">
      <c r="A73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45" spans="1:1" x14ac:dyDescent="0.25">
      <c r="A73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46" spans="1:1" x14ac:dyDescent="0.25">
      <c r="A73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47" spans="1:1" x14ac:dyDescent="0.25">
      <c r="A73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48" spans="1:1" x14ac:dyDescent="0.25">
      <c r="A73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49" spans="1:1" x14ac:dyDescent="0.25">
      <c r="A73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50" spans="1:1" x14ac:dyDescent="0.25">
      <c r="A73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51" spans="1:1" x14ac:dyDescent="0.25">
      <c r="A73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52" spans="1:1" x14ac:dyDescent="0.25">
      <c r="A73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53" spans="1:1" x14ac:dyDescent="0.25">
      <c r="A73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54" spans="1:1" x14ac:dyDescent="0.25">
      <c r="A73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55" spans="1:1" x14ac:dyDescent="0.25">
      <c r="A73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56" spans="1:1" x14ac:dyDescent="0.25">
      <c r="A73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57" spans="1:1" x14ac:dyDescent="0.25">
      <c r="A73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58" spans="1:1" x14ac:dyDescent="0.25">
      <c r="A73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59" spans="1:1" x14ac:dyDescent="0.25">
      <c r="A73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60" spans="1:1" x14ac:dyDescent="0.25">
      <c r="A73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61" spans="1:1" x14ac:dyDescent="0.25">
      <c r="A73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62" spans="1:1" x14ac:dyDescent="0.25">
      <c r="A73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63" spans="1:1" x14ac:dyDescent="0.25">
      <c r="A73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64" spans="1:1" x14ac:dyDescent="0.25">
      <c r="A73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65" spans="1:1" x14ac:dyDescent="0.25">
      <c r="A73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66" spans="1:1" x14ac:dyDescent="0.25">
      <c r="A73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67" spans="1:1" x14ac:dyDescent="0.25">
      <c r="A73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68" spans="1:1" x14ac:dyDescent="0.25">
      <c r="A73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69" spans="1:1" x14ac:dyDescent="0.25">
      <c r="A73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70" spans="1:1" x14ac:dyDescent="0.25">
      <c r="A73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71" spans="1:1" x14ac:dyDescent="0.25">
      <c r="A73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72" spans="1:1" x14ac:dyDescent="0.25">
      <c r="A73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73" spans="1:1" x14ac:dyDescent="0.25">
      <c r="A73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74" spans="1:1" x14ac:dyDescent="0.25">
      <c r="A73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75" spans="1:1" x14ac:dyDescent="0.25">
      <c r="A73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76" spans="1:1" x14ac:dyDescent="0.25">
      <c r="A73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77" spans="1:1" x14ac:dyDescent="0.25">
      <c r="A73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78" spans="1:1" x14ac:dyDescent="0.25">
      <c r="A73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79" spans="1:1" x14ac:dyDescent="0.25">
      <c r="A73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80" spans="1:1" x14ac:dyDescent="0.25">
      <c r="A73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81" spans="1:1" x14ac:dyDescent="0.25">
      <c r="A73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82" spans="1:1" x14ac:dyDescent="0.25">
      <c r="A73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83" spans="1:1" x14ac:dyDescent="0.25">
      <c r="A73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84" spans="1:1" x14ac:dyDescent="0.25">
      <c r="A73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85" spans="1:1" x14ac:dyDescent="0.25">
      <c r="A73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86" spans="1:1" x14ac:dyDescent="0.25">
      <c r="A73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87" spans="1:1" x14ac:dyDescent="0.25">
      <c r="A73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88" spans="1:1" x14ac:dyDescent="0.25">
      <c r="A73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89" spans="1:1" x14ac:dyDescent="0.25">
      <c r="A73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90" spans="1:1" x14ac:dyDescent="0.25">
      <c r="A73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91" spans="1:1" x14ac:dyDescent="0.25">
      <c r="A73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92" spans="1:1" x14ac:dyDescent="0.25">
      <c r="A73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93" spans="1:1" x14ac:dyDescent="0.25">
      <c r="A73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94" spans="1:1" x14ac:dyDescent="0.25">
      <c r="A73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95" spans="1:1" x14ac:dyDescent="0.25">
      <c r="A73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96" spans="1:1" x14ac:dyDescent="0.25">
      <c r="A73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97" spans="1:1" x14ac:dyDescent="0.25">
      <c r="A73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98" spans="1:1" x14ac:dyDescent="0.25">
      <c r="A73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399" spans="1:1" x14ac:dyDescent="0.25">
      <c r="A73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00" spans="1:1" x14ac:dyDescent="0.25">
      <c r="A74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01" spans="1:1" x14ac:dyDescent="0.25">
      <c r="A74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02" spans="1:1" x14ac:dyDescent="0.25">
      <c r="A74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03" spans="1:1" x14ac:dyDescent="0.25">
      <c r="A74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04" spans="1:1" x14ac:dyDescent="0.25">
      <c r="A74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05" spans="1:1" x14ac:dyDescent="0.25">
      <c r="A74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06" spans="1:1" x14ac:dyDescent="0.25">
      <c r="A74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07" spans="1:1" x14ac:dyDescent="0.25">
      <c r="A74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08" spans="1:1" x14ac:dyDescent="0.25">
      <c r="A74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09" spans="1:1" x14ac:dyDescent="0.25">
      <c r="A74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10" spans="1:1" x14ac:dyDescent="0.25">
      <c r="A74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11" spans="1:1" x14ac:dyDescent="0.25">
      <c r="A74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12" spans="1:1" x14ac:dyDescent="0.25">
      <c r="A74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13" spans="1:1" x14ac:dyDescent="0.25">
      <c r="A74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14" spans="1:1" x14ac:dyDescent="0.25">
      <c r="A74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15" spans="1:1" x14ac:dyDescent="0.25">
      <c r="A74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16" spans="1:1" x14ac:dyDescent="0.25">
      <c r="A74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17" spans="1:1" x14ac:dyDescent="0.25">
      <c r="A74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18" spans="1:1" x14ac:dyDescent="0.25">
      <c r="A74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19" spans="1:1" x14ac:dyDescent="0.25">
      <c r="A74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20" spans="1:1" x14ac:dyDescent="0.25">
      <c r="A74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21" spans="1:1" x14ac:dyDescent="0.25">
      <c r="A74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22" spans="1:1" x14ac:dyDescent="0.25">
      <c r="A74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23" spans="1:1" x14ac:dyDescent="0.25">
      <c r="A74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24" spans="1:1" x14ac:dyDescent="0.25">
      <c r="A74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25" spans="1:1" x14ac:dyDescent="0.25">
      <c r="A74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26" spans="1:1" x14ac:dyDescent="0.25">
      <c r="A74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27" spans="1:1" x14ac:dyDescent="0.25">
      <c r="A74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28" spans="1:1" x14ac:dyDescent="0.25">
      <c r="A74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29" spans="1:1" x14ac:dyDescent="0.25">
      <c r="A74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30" spans="1:1" x14ac:dyDescent="0.25">
      <c r="A74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31" spans="1:1" x14ac:dyDescent="0.25">
      <c r="A74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32" spans="1:1" x14ac:dyDescent="0.25">
      <c r="A74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33" spans="1:1" x14ac:dyDescent="0.25">
      <c r="A74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34" spans="1:1" x14ac:dyDescent="0.25">
      <c r="A74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35" spans="1:1" x14ac:dyDescent="0.25">
      <c r="A74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36" spans="1:1" x14ac:dyDescent="0.25">
      <c r="A74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37" spans="1:1" x14ac:dyDescent="0.25">
      <c r="A74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38" spans="1:1" x14ac:dyDescent="0.25">
      <c r="A74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39" spans="1:1" x14ac:dyDescent="0.25">
      <c r="A74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40" spans="1:1" x14ac:dyDescent="0.25">
      <c r="A74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41" spans="1:1" x14ac:dyDescent="0.25">
      <c r="A74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42" spans="1:1" x14ac:dyDescent="0.25">
      <c r="A74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43" spans="1:1" x14ac:dyDescent="0.25">
      <c r="A74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44" spans="1:1" x14ac:dyDescent="0.25">
      <c r="A74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45" spans="1:1" x14ac:dyDescent="0.25">
      <c r="A74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46" spans="1:1" x14ac:dyDescent="0.25">
      <c r="A74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47" spans="1:1" x14ac:dyDescent="0.25">
      <c r="A74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48" spans="1:1" x14ac:dyDescent="0.25">
      <c r="A74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49" spans="1:1" x14ac:dyDescent="0.25">
      <c r="A74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50" spans="1:1" x14ac:dyDescent="0.25">
      <c r="A74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51" spans="1:1" x14ac:dyDescent="0.25">
      <c r="A74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52" spans="1:1" x14ac:dyDescent="0.25">
      <c r="A74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53" spans="1:1" x14ac:dyDescent="0.25">
      <c r="A74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54" spans="1:1" x14ac:dyDescent="0.25">
      <c r="A74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55" spans="1:1" x14ac:dyDescent="0.25">
      <c r="A74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56" spans="1:1" x14ac:dyDescent="0.25">
      <c r="A74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57" spans="1:1" x14ac:dyDescent="0.25">
      <c r="A74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58" spans="1:1" x14ac:dyDescent="0.25">
      <c r="A74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59" spans="1:1" x14ac:dyDescent="0.25">
      <c r="A74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60" spans="1:1" x14ac:dyDescent="0.25">
      <c r="A74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61" spans="1:1" x14ac:dyDescent="0.25">
      <c r="A74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62" spans="1:1" x14ac:dyDescent="0.25">
      <c r="A74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63" spans="1:1" x14ac:dyDescent="0.25">
      <c r="A74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64" spans="1:1" x14ac:dyDescent="0.25">
      <c r="A74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65" spans="1:1" x14ac:dyDescent="0.25">
      <c r="A74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66" spans="1:1" x14ac:dyDescent="0.25">
      <c r="A74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67" spans="1:1" x14ac:dyDescent="0.25">
      <c r="A74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68" spans="1:1" x14ac:dyDescent="0.25">
      <c r="A74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69" spans="1:1" x14ac:dyDescent="0.25">
      <c r="A74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70" spans="1:1" x14ac:dyDescent="0.25">
      <c r="A74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71" spans="1:1" x14ac:dyDescent="0.25">
      <c r="A74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72" spans="1:1" x14ac:dyDescent="0.25">
      <c r="A74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73" spans="1:1" x14ac:dyDescent="0.25">
      <c r="A74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74" spans="1:1" x14ac:dyDescent="0.25">
      <c r="A74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75" spans="1:1" x14ac:dyDescent="0.25">
      <c r="A74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76" spans="1:1" x14ac:dyDescent="0.25">
      <c r="A74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77" spans="1:1" x14ac:dyDescent="0.25">
      <c r="A74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78" spans="1:1" x14ac:dyDescent="0.25">
      <c r="A74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79" spans="1:1" x14ac:dyDescent="0.25">
      <c r="A74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80" spans="1:1" x14ac:dyDescent="0.25">
      <c r="A74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81" spans="1:1" x14ac:dyDescent="0.25">
      <c r="A74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82" spans="1:1" x14ac:dyDescent="0.25">
      <c r="A74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83" spans="1:1" x14ac:dyDescent="0.25">
      <c r="A74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84" spans="1:1" x14ac:dyDescent="0.25">
      <c r="A74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85" spans="1:1" x14ac:dyDescent="0.25">
      <c r="A74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86" spans="1:1" x14ac:dyDescent="0.25">
      <c r="A74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87" spans="1:1" x14ac:dyDescent="0.25">
      <c r="A74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88" spans="1:1" x14ac:dyDescent="0.25">
      <c r="A74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89" spans="1:1" x14ac:dyDescent="0.25">
      <c r="A74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90" spans="1:1" x14ac:dyDescent="0.25">
      <c r="A74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91" spans="1:1" x14ac:dyDescent="0.25">
      <c r="A74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92" spans="1:1" x14ac:dyDescent="0.25">
      <c r="A74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93" spans="1:1" x14ac:dyDescent="0.25">
      <c r="A74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94" spans="1:1" x14ac:dyDescent="0.25">
      <c r="A74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95" spans="1:1" x14ac:dyDescent="0.25">
      <c r="A74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96" spans="1:1" x14ac:dyDescent="0.25">
      <c r="A74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97" spans="1:1" x14ac:dyDescent="0.25">
      <c r="A74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98" spans="1:1" x14ac:dyDescent="0.25">
      <c r="A74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499" spans="1:1" x14ac:dyDescent="0.25">
      <c r="A74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00" spans="1:1" x14ac:dyDescent="0.25">
      <c r="A75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01" spans="1:1" x14ac:dyDescent="0.25">
      <c r="A75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02" spans="1:1" x14ac:dyDescent="0.25">
      <c r="A75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03" spans="1:1" x14ac:dyDescent="0.25">
      <c r="A75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04" spans="1:1" x14ac:dyDescent="0.25">
      <c r="A75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05" spans="1:1" x14ac:dyDescent="0.25">
      <c r="A75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06" spans="1:1" x14ac:dyDescent="0.25">
      <c r="A75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07" spans="1:1" x14ac:dyDescent="0.25">
      <c r="A75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08" spans="1:1" x14ac:dyDescent="0.25">
      <c r="A75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09" spans="1:1" x14ac:dyDescent="0.25">
      <c r="A75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10" spans="1:1" x14ac:dyDescent="0.25">
      <c r="A75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11" spans="1:1" x14ac:dyDescent="0.25">
      <c r="A75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12" spans="1:1" x14ac:dyDescent="0.25">
      <c r="A75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13" spans="1:1" x14ac:dyDescent="0.25">
      <c r="A75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14" spans="1:1" x14ac:dyDescent="0.25">
      <c r="A75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15" spans="1:1" x14ac:dyDescent="0.25">
      <c r="A75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16" spans="1:1" x14ac:dyDescent="0.25">
      <c r="A75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17" spans="1:1" x14ac:dyDescent="0.25">
      <c r="A75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18" spans="1:1" x14ac:dyDescent="0.25">
      <c r="A75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19" spans="1:1" x14ac:dyDescent="0.25">
      <c r="A75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20" spans="1:1" x14ac:dyDescent="0.25">
      <c r="A75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21" spans="1:1" x14ac:dyDescent="0.25">
      <c r="A75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22" spans="1:1" x14ac:dyDescent="0.25">
      <c r="A75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23" spans="1:1" x14ac:dyDescent="0.25">
      <c r="A75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24" spans="1:1" x14ac:dyDescent="0.25">
      <c r="A75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25" spans="1:1" x14ac:dyDescent="0.25">
      <c r="A75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26" spans="1:1" x14ac:dyDescent="0.25">
      <c r="A75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27" spans="1:1" x14ac:dyDescent="0.25">
      <c r="A75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28" spans="1:1" x14ac:dyDescent="0.25">
      <c r="A75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29" spans="1:1" x14ac:dyDescent="0.25">
      <c r="A75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30" spans="1:1" x14ac:dyDescent="0.25">
      <c r="A75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31" spans="1:1" x14ac:dyDescent="0.25">
      <c r="A75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32" spans="1:1" x14ac:dyDescent="0.25">
      <c r="A75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33" spans="1:1" x14ac:dyDescent="0.25">
      <c r="A75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34" spans="1:1" x14ac:dyDescent="0.25">
      <c r="A75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35" spans="1:1" x14ac:dyDescent="0.25">
      <c r="A75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36" spans="1:1" x14ac:dyDescent="0.25">
      <c r="A75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37" spans="1:1" x14ac:dyDescent="0.25">
      <c r="A75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38" spans="1:1" x14ac:dyDescent="0.25">
      <c r="A75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39" spans="1:1" x14ac:dyDescent="0.25">
      <c r="A75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40" spans="1:1" x14ac:dyDescent="0.25">
      <c r="A75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41" spans="1:1" x14ac:dyDescent="0.25">
      <c r="A75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42" spans="1:1" x14ac:dyDescent="0.25">
      <c r="A75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43" spans="1:1" x14ac:dyDescent="0.25">
      <c r="A75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44" spans="1:1" x14ac:dyDescent="0.25">
      <c r="A75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45" spans="1:1" x14ac:dyDescent="0.25">
      <c r="A75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46" spans="1:1" x14ac:dyDescent="0.25">
      <c r="A75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47" spans="1:1" x14ac:dyDescent="0.25">
      <c r="A75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48" spans="1:1" x14ac:dyDescent="0.25">
      <c r="A75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49" spans="1:1" x14ac:dyDescent="0.25">
      <c r="A75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50" spans="1:1" x14ac:dyDescent="0.25">
      <c r="A75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51" spans="1:1" x14ac:dyDescent="0.25">
      <c r="A75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52" spans="1:1" x14ac:dyDescent="0.25">
      <c r="A75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53" spans="1:1" x14ac:dyDescent="0.25">
      <c r="A75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54" spans="1:1" x14ac:dyDescent="0.25">
      <c r="A75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55" spans="1:1" x14ac:dyDescent="0.25">
      <c r="A75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56" spans="1:1" x14ac:dyDescent="0.25">
      <c r="A75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57" spans="1:1" x14ac:dyDescent="0.25">
      <c r="A75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58" spans="1:1" x14ac:dyDescent="0.25">
      <c r="A75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59" spans="1:1" x14ac:dyDescent="0.25">
      <c r="A75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60" spans="1:1" x14ac:dyDescent="0.25">
      <c r="A75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61" spans="1:1" x14ac:dyDescent="0.25">
      <c r="A75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62" spans="1:1" x14ac:dyDescent="0.25">
      <c r="A75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63" spans="1:1" x14ac:dyDescent="0.25">
      <c r="A75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64" spans="1:1" x14ac:dyDescent="0.25">
      <c r="A75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65" spans="1:1" x14ac:dyDescent="0.25">
      <c r="A75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66" spans="1:1" x14ac:dyDescent="0.25">
      <c r="A75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67" spans="1:1" x14ac:dyDescent="0.25">
      <c r="A75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68" spans="1:1" x14ac:dyDescent="0.25">
      <c r="A75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69" spans="1:1" x14ac:dyDescent="0.25">
      <c r="A75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70" spans="1:1" x14ac:dyDescent="0.25">
      <c r="A75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71" spans="1:1" x14ac:dyDescent="0.25">
      <c r="A75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72" spans="1:1" x14ac:dyDescent="0.25">
      <c r="A75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73" spans="1:1" x14ac:dyDescent="0.25">
      <c r="A75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74" spans="1:1" x14ac:dyDescent="0.25">
      <c r="A75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75" spans="1:1" x14ac:dyDescent="0.25">
      <c r="A75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76" spans="1:1" x14ac:dyDescent="0.25">
      <c r="A75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77" spans="1:1" x14ac:dyDescent="0.25">
      <c r="A75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78" spans="1:1" x14ac:dyDescent="0.25">
      <c r="A75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79" spans="1:1" x14ac:dyDescent="0.25">
      <c r="A75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80" spans="1:1" x14ac:dyDescent="0.25">
      <c r="A75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81" spans="1:1" x14ac:dyDescent="0.25">
      <c r="A75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82" spans="1:1" x14ac:dyDescent="0.25">
      <c r="A75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83" spans="1:1" x14ac:dyDescent="0.25">
      <c r="A75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84" spans="1:1" x14ac:dyDescent="0.25">
      <c r="A75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85" spans="1:1" x14ac:dyDescent="0.25">
      <c r="A75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86" spans="1:1" x14ac:dyDescent="0.25">
      <c r="A75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87" spans="1:1" x14ac:dyDescent="0.25">
      <c r="A75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88" spans="1:1" x14ac:dyDescent="0.25">
      <c r="A75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89" spans="1:1" x14ac:dyDescent="0.25">
      <c r="A75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90" spans="1:1" x14ac:dyDescent="0.25">
      <c r="A75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91" spans="1:1" x14ac:dyDescent="0.25">
      <c r="A75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92" spans="1:1" x14ac:dyDescent="0.25">
      <c r="A75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93" spans="1:1" x14ac:dyDescent="0.25">
      <c r="A75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94" spans="1:1" x14ac:dyDescent="0.25">
      <c r="A75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95" spans="1:1" x14ac:dyDescent="0.25">
      <c r="A75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96" spans="1:1" x14ac:dyDescent="0.25">
      <c r="A75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97" spans="1:1" x14ac:dyDescent="0.25">
      <c r="A75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98" spans="1:1" x14ac:dyDescent="0.25">
      <c r="A75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599" spans="1:1" x14ac:dyDescent="0.25">
      <c r="A75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00" spans="1:1" x14ac:dyDescent="0.25">
      <c r="A76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01" spans="1:1" x14ac:dyDescent="0.25">
      <c r="A76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02" spans="1:1" x14ac:dyDescent="0.25">
      <c r="A76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03" spans="1:1" x14ac:dyDescent="0.25">
      <c r="A76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04" spans="1:1" x14ac:dyDescent="0.25">
      <c r="A76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05" spans="1:1" x14ac:dyDescent="0.25">
      <c r="A76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06" spans="1:1" x14ac:dyDescent="0.25">
      <c r="A76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07" spans="1:1" x14ac:dyDescent="0.25">
      <c r="A76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08" spans="1:1" x14ac:dyDescent="0.25">
      <c r="A76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09" spans="1:1" x14ac:dyDescent="0.25">
      <c r="A76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10" spans="1:1" x14ac:dyDescent="0.25">
      <c r="A76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11" spans="1:1" x14ac:dyDescent="0.25">
      <c r="A76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12" spans="1:1" x14ac:dyDescent="0.25">
      <c r="A76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13" spans="1:1" x14ac:dyDescent="0.25">
      <c r="A76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14" spans="1:1" x14ac:dyDescent="0.25">
      <c r="A76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15" spans="1:1" x14ac:dyDescent="0.25">
      <c r="A76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16" spans="1:1" x14ac:dyDescent="0.25">
      <c r="A76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17" spans="1:1" x14ac:dyDescent="0.25">
      <c r="A76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18" spans="1:1" x14ac:dyDescent="0.25">
      <c r="A76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19" spans="1:1" x14ac:dyDescent="0.25">
      <c r="A76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20" spans="1:1" x14ac:dyDescent="0.25">
      <c r="A76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21" spans="1:1" x14ac:dyDescent="0.25">
      <c r="A76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22" spans="1:1" x14ac:dyDescent="0.25">
      <c r="A76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23" spans="1:1" x14ac:dyDescent="0.25">
      <c r="A76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24" spans="1:1" x14ac:dyDescent="0.25">
      <c r="A76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25" spans="1:1" x14ac:dyDescent="0.25">
      <c r="A76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26" spans="1:1" x14ac:dyDescent="0.25">
      <c r="A76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27" spans="1:1" x14ac:dyDescent="0.25">
      <c r="A76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28" spans="1:1" x14ac:dyDescent="0.25">
      <c r="A76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29" spans="1:1" x14ac:dyDescent="0.25">
      <c r="A76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30" spans="1:1" x14ac:dyDescent="0.25">
      <c r="A76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31" spans="1:1" x14ac:dyDescent="0.25">
      <c r="A76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32" spans="1:1" x14ac:dyDescent="0.25">
      <c r="A76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33" spans="1:1" x14ac:dyDescent="0.25">
      <c r="A76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34" spans="1:1" x14ac:dyDescent="0.25">
      <c r="A76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35" spans="1:1" x14ac:dyDescent="0.25">
      <c r="A76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36" spans="1:1" x14ac:dyDescent="0.25">
      <c r="A76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37" spans="1:1" x14ac:dyDescent="0.25">
      <c r="A76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38" spans="1:1" x14ac:dyDescent="0.25">
      <c r="A76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39" spans="1:1" x14ac:dyDescent="0.25">
      <c r="A76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40" spans="1:1" x14ac:dyDescent="0.25">
      <c r="A76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41" spans="1:1" x14ac:dyDescent="0.25">
      <c r="A76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42" spans="1:1" x14ac:dyDescent="0.25">
      <c r="A76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43" spans="1:1" x14ac:dyDescent="0.25">
      <c r="A76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44" spans="1:1" x14ac:dyDescent="0.25">
      <c r="A76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45" spans="1:1" x14ac:dyDescent="0.25">
      <c r="A76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46" spans="1:1" x14ac:dyDescent="0.25">
      <c r="A76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47" spans="1:1" x14ac:dyDescent="0.25">
      <c r="A76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48" spans="1:1" x14ac:dyDescent="0.25">
      <c r="A76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49" spans="1:1" x14ac:dyDescent="0.25">
      <c r="A76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50" spans="1:1" x14ac:dyDescent="0.25">
      <c r="A76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51" spans="1:1" x14ac:dyDescent="0.25">
      <c r="A76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52" spans="1:1" x14ac:dyDescent="0.25">
      <c r="A76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53" spans="1:1" x14ac:dyDescent="0.25">
      <c r="A76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54" spans="1:1" x14ac:dyDescent="0.25">
      <c r="A76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55" spans="1:1" x14ac:dyDescent="0.25">
      <c r="A76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56" spans="1:1" x14ac:dyDescent="0.25">
      <c r="A76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57" spans="1:1" x14ac:dyDescent="0.25">
      <c r="A76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58" spans="1:1" x14ac:dyDescent="0.25">
      <c r="A76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59" spans="1:1" x14ac:dyDescent="0.25">
      <c r="A76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60" spans="1:1" x14ac:dyDescent="0.25">
      <c r="A76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61" spans="1:1" x14ac:dyDescent="0.25">
      <c r="A76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62" spans="1:1" x14ac:dyDescent="0.25">
      <c r="A76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63" spans="1:1" x14ac:dyDescent="0.25">
      <c r="A76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64" spans="1:1" x14ac:dyDescent="0.25">
      <c r="A76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65" spans="1:1" x14ac:dyDescent="0.25">
      <c r="A76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66" spans="1:1" x14ac:dyDescent="0.25">
      <c r="A76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67" spans="1:1" x14ac:dyDescent="0.25">
      <c r="A76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68" spans="1:1" x14ac:dyDescent="0.25">
      <c r="A76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69" spans="1:1" x14ac:dyDescent="0.25">
      <c r="A76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70" spans="1:1" x14ac:dyDescent="0.25">
      <c r="A76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71" spans="1:1" x14ac:dyDescent="0.25">
      <c r="A76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72" spans="1:1" x14ac:dyDescent="0.25">
      <c r="A76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73" spans="1:1" x14ac:dyDescent="0.25">
      <c r="A76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74" spans="1:1" x14ac:dyDescent="0.25">
      <c r="A76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75" spans="1:1" x14ac:dyDescent="0.25">
      <c r="A76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76" spans="1:1" x14ac:dyDescent="0.25">
      <c r="A76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77" spans="1:1" x14ac:dyDescent="0.25">
      <c r="A76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78" spans="1:1" x14ac:dyDescent="0.25">
      <c r="A76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79" spans="1:1" x14ac:dyDescent="0.25">
      <c r="A76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80" spans="1:1" x14ac:dyDescent="0.25">
      <c r="A76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81" spans="1:1" x14ac:dyDescent="0.25">
      <c r="A76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82" spans="1:1" x14ac:dyDescent="0.25">
      <c r="A76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83" spans="1:1" x14ac:dyDescent="0.25">
      <c r="A76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84" spans="1:1" x14ac:dyDescent="0.25">
      <c r="A76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85" spans="1:1" x14ac:dyDescent="0.25">
      <c r="A76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86" spans="1:1" x14ac:dyDescent="0.25">
      <c r="A76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87" spans="1:1" x14ac:dyDescent="0.25">
      <c r="A76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88" spans="1:1" x14ac:dyDescent="0.25">
      <c r="A76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89" spans="1:1" x14ac:dyDescent="0.25">
      <c r="A76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90" spans="1:1" x14ac:dyDescent="0.25">
      <c r="A76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91" spans="1:1" x14ac:dyDescent="0.25">
      <c r="A76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92" spans="1:1" x14ac:dyDescent="0.25">
      <c r="A76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93" spans="1:1" x14ac:dyDescent="0.25">
      <c r="A76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94" spans="1:1" x14ac:dyDescent="0.25">
      <c r="A76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95" spans="1:1" x14ac:dyDescent="0.25">
      <c r="A76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96" spans="1:1" x14ac:dyDescent="0.25">
      <c r="A76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97" spans="1:1" x14ac:dyDescent="0.25">
      <c r="A76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98" spans="1:1" x14ac:dyDescent="0.25">
      <c r="A76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699" spans="1:1" x14ac:dyDescent="0.25">
      <c r="A76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00" spans="1:1" x14ac:dyDescent="0.25">
      <c r="A77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01" spans="1:1" x14ac:dyDescent="0.25">
      <c r="A77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02" spans="1:1" x14ac:dyDescent="0.25">
      <c r="A77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03" spans="1:1" x14ac:dyDescent="0.25">
      <c r="A77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04" spans="1:1" x14ac:dyDescent="0.25">
      <c r="A77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05" spans="1:1" x14ac:dyDescent="0.25">
      <c r="A77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06" spans="1:1" x14ac:dyDescent="0.25">
      <c r="A77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07" spans="1:1" x14ac:dyDescent="0.25">
      <c r="A77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08" spans="1:1" x14ac:dyDescent="0.25">
      <c r="A77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09" spans="1:1" x14ac:dyDescent="0.25">
      <c r="A77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10" spans="1:1" x14ac:dyDescent="0.25">
      <c r="A77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11" spans="1:1" x14ac:dyDescent="0.25">
      <c r="A77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12" spans="1:1" x14ac:dyDescent="0.25">
      <c r="A77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13" spans="1:1" x14ac:dyDescent="0.25">
      <c r="A77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14" spans="1:1" x14ac:dyDescent="0.25">
      <c r="A77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15" spans="1:1" x14ac:dyDescent="0.25">
      <c r="A77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16" spans="1:1" x14ac:dyDescent="0.25">
      <c r="A77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17" spans="1:1" x14ac:dyDescent="0.25">
      <c r="A77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18" spans="1:1" x14ac:dyDescent="0.25">
      <c r="A77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19" spans="1:1" x14ac:dyDescent="0.25">
      <c r="A77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20" spans="1:1" x14ac:dyDescent="0.25">
      <c r="A77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21" spans="1:1" x14ac:dyDescent="0.25">
      <c r="A77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22" spans="1:1" x14ac:dyDescent="0.25">
      <c r="A77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23" spans="1:1" x14ac:dyDescent="0.25">
      <c r="A77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24" spans="1:1" x14ac:dyDescent="0.25">
      <c r="A77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25" spans="1:1" x14ac:dyDescent="0.25">
      <c r="A77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26" spans="1:1" x14ac:dyDescent="0.25">
      <c r="A77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27" spans="1:1" x14ac:dyDescent="0.25">
      <c r="A77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28" spans="1:1" x14ac:dyDescent="0.25">
      <c r="A77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29" spans="1:1" x14ac:dyDescent="0.25">
      <c r="A77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30" spans="1:1" x14ac:dyDescent="0.25">
      <c r="A77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31" spans="1:1" x14ac:dyDescent="0.25">
      <c r="A77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32" spans="1:1" x14ac:dyDescent="0.25">
      <c r="A77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33" spans="1:1" x14ac:dyDescent="0.25">
      <c r="A77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34" spans="1:1" x14ac:dyDescent="0.25">
      <c r="A77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35" spans="1:1" x14ac:dyDescent="0.25">
      <c r="A77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36" spans="1:1" x14ac:dyDescent="0.25">
      <c r="A77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37" spans="1:1" x14ac:dyDescent="0.25">
      <c r="A77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38" spans="1:1" x14ac:dyDescent="0.25">
      <c r="A77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39" spans="1:1" x14ac:dyDescent="0.25">
      <c r="A77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40" spans="1:1" x14ac:dyDescent="0.25">
      <c r="A77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41" spans="1:1" x14ac:dyDescent="0.25">
      <c r="A77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42" spans="1:1" x14ac:dyDescent="0.25">
      <c r="A77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43" spans="1:1" x14ac:dyDescent="0.25">
      <c r="A77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44" spans="1:1" x14ac:dyDescent="0.25">
      <c r="A77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45" spans="1:1" x14ac:dyDescent="0.25">
      <c r="A77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46" spans="1:1" x14ac:dyDescent="0.25">
      <c r="A77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47" spans="1:1" x14ac:dyDescent="0.25">
      <c r="A77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48" spans="1:1" x14ac:dyDescent="0.25">
      <c r="A77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49" spans="1:1" x14ac:dyDescent="0.25">
      <c r="A77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50" spans="1:1" x14ac:dyDescent="0.25">
      <c r="A77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51" spans="1:1" x14ac:dyDescent="0.25">
      <c r="A77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52" spans="1:1" x14ac:dyDescent="0.25">
      <c r="A77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53" spans="1:1" x14ac:dyDescent="0.25">
      <c r="A77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54" spans="1:1" x14ac:dyDescent="0.25">
      <c r="A77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55" spans="1:1" x14ac:dyDescent="0.25">
      <c r="A77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56" spans="1:1" x14ac:dyDescent="0.25">
      <c r="A77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57" spans="1:1" x14ac:dyDescent="0.25">
      <c r="A77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58" spans="1:1" x14ac:dyDescent="0.25">
      <c r="A77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59" spans="1:1" x14ac:dyDescent="0.25">
      <c r="A77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60" spans="1:1" x14ac:dyDescent="0.25">
      <c r="A77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61" spans="1:1" x14ac:dyDescent="0.25">
      <c r="A77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62" spans="1:1" x14ac:dyDescent="0.25">
      <c r="A77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63" spans="1:1" x14ac:dyDescent="0.25">
      <c r="A77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64" spans="1:1" x14ac:dyDescent="0.25">
      <c r="A77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65" spans="1:1" x14ac:dyDescent="0.25">
      <c r="A77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66" spans="1:1" x14ac:dyDescent="0.25">
      <c r="A77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67" spans="1:1" x14ac:dyDescent="0.25">
      <c r="A77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68" spans="1:1" x14ac:dyDescent="0.25">
      <c r="A77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69" spans="1:1" x14ac:dyDescent="0.25">
      <c r="A77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70" spans="1:1" x14ac:dyDescent="0.25">
      <c r="A77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71" spans="1:1" x14ac:dyDescent="0.25">
      <c r="A77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72" spans="1:1" x14ac:dyDescent="0.25">
      <c r="A77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73" spans="1:1" x14ac:dyDescent="0.25">
      <c r="A77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74" spans="1:1" x14ac:dyDescent="0.25">
      <c r="A77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75" spans="1:1" x14ac:dyDescent="0.25">
      <c r="A77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76" spans="1:1" x14ac:dyDescent="0.25">
      <c r="A77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77" spans="1:1" x14ac:dyDescent="0.25">
      <c r="A77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78" spans="1:1" x14ac:dyDescent="0.25">
      <c r="A77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79" spans="1:1" x14ac:dyDescent="0.25">
      <c r="A77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80" spans="1:1" x14ac:dyDescent="0.25">
      <c r="A77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81" spans="1:1" x14ac:dyDescent="0.25">
      <c r="A77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82" spans="1:1" x14ac:dyDescent="0.25">
      <c r="A77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83" spans="1:1" x14ac:dyDescent="0.25">
      <c r="A77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84" spans="1:1" x14ac:dyDescent="0.25">
      <c r="A77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85" spans="1:1" x14ac:dyDescent="0.25">
      <c r="A77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86" spans="1:1" x14ac:dyDescent="0.25">
      <c r="A77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87" spans="1:1" x14ac:dyDescent="0.25">
      <c r="A77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88" spans="1:1" x14ac:dyDescent="0.25">
      <c r="A77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89" spans="1:1" x14ac:dyDescent="0.25">
      <c r="A77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90" spans="1:1" x14ac:dyDescent="0.25">
      <c r="A77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91" spans="1:1" x14ac:dyDescent="0.25">
      <c r="A77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92" spans="1:1" x14ac:dyDescent="0.25">
      <c r="A77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93" spans="1:1" x14ac:dyDescent="0.25">
      <c r="A77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94" spans="1:1" x14ac:dyDescent="0.25">
      <c r="A77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95" spans="1:1" x14ac:dyDescent="0.25">
      <c r="A77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96" spans="1:1" x14ac:dyDescent="0.25">
      <c r="A77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97" spans="1:1" x14ac:dyDescent="0.25">
      <c r="A77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98" spans="1:1" x14ac:dyDescent="0.25">
      <c r="A77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799" spans="1:1" x14ac:dyDescent="0.25">
      <c r="A77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00" spans="1:1" x14ac:dyDescent="0.25">
      <c r="A78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01" spans="1:1" x14ac:dyDescent="0.25">
      <c r="A78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02" spans="1:1" x14ac:dyDescent="0.25">
      <c r="A78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03" spans="1:1" x14ac:dyDescent="0.25">
      <c r="A78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04" spans="1:1" x14ac:dyDescent="0.25">
      <c r="A78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05" spans="1:1" x14ac:dyDescent="0.25">
      <c r="A78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06" spans="1:1" x14ac:dyDescent="0.25">
      <c r="A78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07" spans="1:1" x14ac:dyDescent="0.25">
      <c r="A78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08" spans="1:1" x14ac:dyDescent="0.25">
      <c r="A78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09" spans="1:1" x14ac:dyDescent="0.25">
      <c r="A78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10" spans="1:1" x14ac:dyDescent="0.25">
      <c r="A78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11" spans="1:1" x14ac:dyDescent="0.25">
      <c r="A78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12" spans="1:1" x14ac:dyDescent="0.25">
      <c r="A78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13" spans="1:1" x14ac:dyDescent="0.25">
      <c r="A78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14" spans="1:1" x14ac:dyDescent="0.25">
      <c r="A78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15" spans="1:1" x14ac:dyDescent="0.25">
      <c r="A78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16" spans="1:1" x14ac:dyDescent="0.25">
      <c r="A78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17" spans="1:1" x14ac:dyDescent="0.25">
      <c r="A78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18" spans="1:1" x14ac:dyDescent="0.25">
      <c r="A78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19" spans="1:1" x14ac:dyDescent="0.25">
      <c r="A78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20" spans="1:1" x14ac:dyDescent="0.25">
      <c r="A78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21" spans="1:1" x14ac:dyDescent="0.25">
      <c r="A78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22" spans="1:1" x14ac:dyDescent="0.25">
      <c r="A78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23" spans="1:1" x14ac:dyDescent="0.25">
      <c r="A78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24" spans="1:1" x14ac:dyDescent="0.25">
      <c r="A78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25" spans="1:1" x14ac:dyDescent="0.25">
      <c r="A78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26" spans="1:1" x14ac:dyDescent="0.25">
      <c r="A78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27" spans="1:1" x14ac:dyDescent="0.25">
      <c r="A78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28" spans="1:1" x14ac:dyDescent="0.25">
      <c r="A78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29" spans="1:1" x14ac:dyDescent="0.25">
      <c r="A78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30" spans="1:1" x14ac:dyDescent="0.25">
      <c r="A78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31" spans="1:1" x14ac:dyDescent="0.25">
      <c r="A78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32" spans="1:1" x14ac:dyDescent="0.25">
      <c r="A78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33" spans="1:1" x14ac:dyDescent="0.25">
      <c r="A78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34" spans="1:1" x14ac:dyDescent="0.25">
      <c r="A78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35" spans="1:1" x14ac:dyDescent="0.25">
      <c r="A78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36" spans="1:1" x14ac:dyDescent="0.25">
      <c r="A78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37" spans="1:1" x14ac:dyDescent="0.25">
      <c r="A78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38" spans="1:1" x14ac:dyDescent="0.25">
      <c r="A78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39" spans="1:1" x14ac:dyDescent="0.25">
      <c r="A78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40" spans="1:1" x14ac:dyDescent="0.25">
      <c r="A78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41" spans="1:1" x14ac:dyDescent="0.25">
      <c r="A78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42" spans="1:1" x14ac:dyDescent="0.25">
      <c r="A78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43" spans="1:1" x14ac:dyDescent="0.25">
      <c r="A78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44" spans="1:1" x14ac:dyDescent="0.25">
      <c r="A78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45" spans="1:1" x14ac:dyDescent="0.25">
      <c r="A78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46" spans="1:1" x14ac:dyDescent="0.25">
      <c r="A78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47" spans="1:1" x14ac:dyDescent="0.25">
      <c r="A78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48" spans="1:1" x14ac:dyDescent="0.25">
      <c r="A78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49" spans="1:1" x14ac:dyDescent="0.25">
      <c r="A78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50" spans="1:1" x14ac:dyDescent="0.25">
      <c r="A78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51" spans="1:1" x14ac:dyDescent="0.25">
      <c r="A78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52" spans="1:1" x14ac:dyDescent="0.25">
      <c r="A78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53" spans="1:1" x14ac:dyDescent="0.25">
      <c r="A78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54" spans="1:1" x14ac:dyDescent="0.25">
      <c r="A78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55" spans="1:1" x14ac:dyDescent="0.25">
      <c r="A78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56" spans="1:1" x14ac:dyDescent="0.25">
      <c r="A78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57" spans="1:1" x14ac:dyDescent="0.25">
      <c r="A78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58" spans="1:1" x14ac:dyDescent="0.25">
      <c r="A78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59" spans="1:1" x14ac:dyDescent="0.25">
      <c r="A78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60" spans="1:1" x14ac:dyDescent="0.25">
      <c r="A78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61" spans="1:1" x14ac:dyDescent="0.25">
      <c r="A78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62" spans="1:1" x14ac:dyDescent="0.25">
      <c r="A78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63" spans="1:1" x14ac:dyDescent="0.25">
      <c r="A78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64" spans="1:1" x14ac:dyDescent="0.25">
      <c r="A78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65" spans="1:1" x14ac:dyDescent="0.25">
      <c r="A78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66" spans="1:1" x14ac:dyDescent="0.25">
      <c r="A78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67" spans="1:1" x14ac:dyDescent="0.25">
      <c r="A78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68" spans="1:1" x14ac:dyDescent="0.25">
      <c r="A78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69" spans="1:1" x14ac:dyDescent="0.25">
      <c r="A78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70" spans="1:1" x14ac:dyDescent="0.25">
      <c r="A78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71" spans="1:1" x14ac:dyDescent="0.25">
      <c r="A78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72" spans="1:1" x14ac:dyDescent="0.25">
      <c r="A78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73" spans="1:1" x14ac:dyDescent="0.25">
      <c r="A78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74" spans="1:1" x14ac:dyDescent="0.25">
      <c r="A78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75" spans="1:1" x14ac:dyDescent="0.25">
      <c r="A78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76" spans="1:1" x14ac:dyDescent="0.25">
      <c r="A78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77" spans="1:1" x14ac:dyDescent="0.25">
      <c r="A78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78" spans="1:1" x14ac:dyDescent="0.25">
      <c r="A78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79" spans="1:1" x14ac:dyDescent="0.25">
      <c r="A78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80" spans="1:1" x14ac:dyDescent="0.25">
      <c r="A78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81" spans="1:1" x14ac:dyDescent="0.25">
      <c r="A78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82" spans="1:1" x14ac:dyDescent="0.25">
      <c r="A78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83" spans="1:1" x14ac:dyDescent="0.25">
      <c r="A78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84" spans="1:1" x14ac:dyDescent="0.25">
      <c r="A78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85" spans="1:1" x14ac:dyDescent="0.25">
      <c r="A78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86" spans="1:1" x14ac:dyDescent="0.25">
      <c r="A78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87" spans="1:1" x14ac:dyDescent="0.25">
      <c r="A78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88" spans="1:1" x14ac:dyDescent="0.25">
      <c r="A78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89" spans="1:1" x14ac:dyDescent="0.25">
      <c r="A78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90" spans="1:1" x14ac:dyDescent="0.25">
      <c r="A78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91" spans="1:1" x14ac:dyDescent="0.25">
      <c r="A78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92" spans="1:1" x14ac:dyDescent="0.25">
      <c r="A78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93" spans="1:1" x14ac:dyDescent="0.25">
      <c r="A78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94" spans="1:1" x14ac:dyDescent="0.25">
      <c r="A78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95" spans="1:1" x14ac:dyDescent="0.25">
      <c r="A78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96" spans="1:1" x14ac:dyDescent="0.25">
      <c r="A78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97" spans="1:1" x14ac:dyDescent="0.25">
      <c r="A78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98" spans="1:1" x14ac:dyDescent="0.25">
      <c r="A78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899" spans="1:1" x14ac:dyDescent="0.25">
      <c r="A78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00" spans="1:1" x14ac:dyDescent="0.25">
      <c r="A79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01" spans="1:1" x14ac:dyDescent="0.25">
      <c r="A79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02" spans="1:1" x14ac:dyDescent="0.25">
      <c r="A79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03" spans="1:1" x14ac:dyDescent="0.25">
      <c r="A79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04" spans="1:1" x14ac:dyDescent="0.25">
      <c r="A79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05" spans="1:1" x14ac:dyDescent="0.25">
      <c r="A79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06" spans="1:1" x14ac:dyDescent="0.25">
      <c r="A79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07" spans="1:1" x14ac:dyDescent="0.25">
      <c r="A79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08" spans="1:1" x14ac:dyDescent="0.25">
      <c r="A79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09" spans="1:1" x14ac:dyDescent="0.25">
      <c r="A79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10" spans="1:1" x14ac:dyDescent="0.25">
      <c r="A79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11" spans="1:1" x14ac:dyDescent="0.25">
      <c r="A79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12" spans="1:1" x14ac:dyDescent="0.25">
      <c r="A79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13" spans="1:1" x14ac:dyDescent="0.25">
      <c r="A79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14" spans="1:1" x14ac:dyDescent="0.25">
      <c r="A79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15" spans="1:1" x14ac:dyDescent="0.25">
      <c r="A79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16" spans="1:1" x14ac:dyDescent="0.25">
      <c r="A79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17" spans="1:1" x14ac:dyDescent="0.25">
      <c r="A79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18" spans="1:1" x14ac:dyDescent="0.25">
      <c r="A79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19" spans="1:1" x14ac:dyDescent="0.25">
      <c r="A79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20" spans="1:1" x14ac:dyDescent="0.25">
      <c r="A79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21" spans="1:1" x14ac:dyDescent="0.25">
      <c r="A79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22" spans="1:1" x14ac:dyDescent="0.25">
      <c r="A79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23" spans="1:1" x14ac:dyDescent="0.25">
      <c r="A79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24" spans="1:1" x14ac:dyDescent="0.25">
      <c r="A79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25" spans="1:1" x14ac:dyDescent="0.25">
      <c r="A79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26" spans="1:1" x14ac:dyDescent="0.25">
      <c r="A79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27" spans="1:1" x14ac:dyDescent="0.25">
      <c r="A79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28" spans="1:1" x14ac:dyDescent="0.25">
      <c r="A79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29" spans="1:1" x14ac:dyDescent="0.25">
      <c r="A79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30" spans="1:1" x14ac:dyDescent="0.25">
      <c r="A79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31" spans="1:1" x14ac:dyDescent="0.25">
      <c r="A79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32" spans="1:1" x14ac:dyDescent="0.25">
      <c r="A79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33" spans="1:1" x14ac:dyDescent="0.25">
      <c r="A79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34" spans="1:1" x14ac:dyDescent="0.25">
      <c r="A79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35" spans="1:1" x14ac:dyDescent="0.25">
      <c r="A79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36" spans="1:1" x14ac:dyDescent="0.25">
      <c r="A79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37" spans="1:1" x14ac:dyDescent="0.25">
      <c r="A79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38" spans="1:1" x14ac:dyDescent="0.25">
      <c r="A79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39" spans="1:1" x14ac:dyDescent="0.25">
      <c r="A79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40" spans="1:1" x14ac:dyDescent="0.25">
      <c r="A79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41" spans="1:1" x14ac:dyDescent="0.25">
      <c r="A79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42" spans="1:1" x14ac:dyDescent="0.25">
      <c r="A79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43" spans="1:1" x14ac:dyDescent="0.25">
      <c r="A79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44" spans="1:1" x14ac:dyDescent="0.25">
      <c r="A79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45" spans="1:1" x14ac:dyDescent="0.25">
      <c r="A79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46" spans="1:1" x14ac:dyDescent="0.25">
      <c r="A79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47" spans="1:1" x14ac:dyDescent="0.25">
      <c r="A79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48" spans="1:1" x14ac:dyDescent="0.25">
      <c r="A79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49" spans="1:1" x14ac:dyDescent="0.25">
      <c r="A79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50" spans="1:1" x14ac:dyDescent="0.25">
      <c r="A79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51" spans="1:1" x14ac:dyDescent="0.25">
      <c r="A79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52" spans="1:1" x14ac:dyDescent="0.25">
      <c r="A79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53" spans="1:1" x14ac:dyDescent="0.25">
      <c r="A79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54" spans="1:1" x14ac:dyDescent="0.25">
      <c r="A79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55" spans="1:1" x14ac:dyDescent="0.25">
      <c r="A79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56" spans="1:1" x14ac:dyDescent="0.25">
      <c r="A79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57" spans="1:1" x14ac:dyDescent="0.25">
      <c r="A79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58" spans="1:1" x14ac:dyDescent="0.25">
      <c r="A79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59" spans="1:1" x14ac:dyDescent="0.25">
      <c r="A79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60" spans="1:1" x14ac:dyDescent="0.25">
      <c r="A79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61" spans="1:1" x14ac:dyDescent="0.25">
      <c r="A79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62" spans="1:1" x14ac:dyDescent="0.25">
      <c r="A79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63" spans="1:1" x14ac:dyDescent="0.25">
      <c r="A79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64" spans="1:1" x14ac:dyDescent="0.25">
      <c r="A79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65" spans="1:1" x14ac:dyDescent="0.25">
      <c r="A79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66" spans="1:1" x14ac:dyDescent="0.25">
      <c r="A79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67" spans="1:1" x14ac:dyDescent="0.25">
      <c r="A79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68" spans="1:1" x14ac:dyDescent="0.25">
      <c r="A79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69" spans="1:1" x14ac:dyDescent="0.25">
      <c r="A79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70" spans="1:1" x14ac:dyDescent="0.25">
      <c r="A79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71" spans="1:1" x14ac:dyDescent="0.25">
      <c r="A79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72" spans="1:1" x14ac:dyDescent="0.25">
      <c r="A79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73" spans="1:1" x14ac:dyDescent="0.25">
      <c r="A79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74" spans="1:1" x14ac:dyDescent="0.25">
      <c r="A79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75" spans="1:1" x14ac:dyDescent="0.25">
      <c r="A79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76" spans="1:1" x14ac:dyDescent="0.25">
      <c r="A79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77" spans="1:1" x14ac:dyDescent="0.25">
      <c r="A79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78" spans="1:1" x14ac:dyDescent="0.25">
      <c r="A79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79" spans="1:1" x14ac:dyDescent="0.25">
      <c r="A79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80" spans="1:1" x14ac:dyDescent="0.25">
      <c r="A79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81" spans="1:1" x14ac:dyDescent="0.25">
      <c r="A79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82" spans="1:1" x14ac:dyDescent="0.25">
      <c r="A79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83" spans="1:1" x14ac:dyDescent="0.25">
      <c r="A79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84" spans="1:1" x14ac:dyDescent="0.25">
      <c r="A79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85" spans="1:1" x14ac:dyDescent="0.25">
      <c r="A79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86" spans="1:1" x14ac:dyDescent="0.25">
      <c r="A79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87" spans="1:1" x14ac:dyDescent="0.25">
      <c r="A79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88" spans="1:1" x14ac:dyDescent="0.25">
      <c r="A79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89" spans="1:1" x14ac:dyDescent="0.25">
      <c r="A79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90" spans="1:1" x14ac:dyDescent="0.25">
      <c r="A79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91" spans="1:1" x14ac:dyDescent="0.25">
      <c r="A79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92" spans="1:1" x14ac:dyDescent="0.25">
      <c r="A79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93" spans="1:1" x14ac:dyDescent="0.25">
      <c r="A79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94" spans="1:1" x14ac:dyDescent="0.25">
      <c r="A79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95" spans="1:1" x14ac:dyDescent="0.25">
      <c r="A79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96" spans="1:1" x14ac:dyDescent="0.25">
      <c r="A79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97" spans="1:1" x14ac:dyDescent="0.25">
      <c r="A79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98" spans="1:1" x14ac:dyDescent="0.25">
      <c r="A79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7999" spans="1:1" x14ac:dyDescent="0.25">
      <c r="A79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00" spans="1:1" x14ac:dyDescent="0.25">
      <c r="A80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01" spans="1:1" x14ac:dyDescent="0.25">
      <c r="A80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02" spans="1:1" x14ac:dyDescent="0.25">
      <c r="A80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03" spans="1:1" x14ac:dyDescent="0.25">
      <c r="A80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04" spans="1:1" x14ac:dyDescent="0.25">
      <c r="A80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05" spans="1:1" x14ac:dyDescent="0.25">
      <c r="A80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06" spans="1:1" x14ac:dyDescent="0.25">
      <c r="A80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07" spans="1:1" x14ac:dyDescent="0.25">
      <c r="A80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08" spans="1:1" x14ac:dyDescent="0.25">
      <c r="A80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09" spans="1:1" x14ac:dyDescent="0.25">
      <c r="A80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10" spans="1:1" x14ac:dyDescent="0.25">
      <c r="A80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11" spans="1:1" x14ac:dyDescent="0.25">
      <c r="A80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12" spans="1:1" x14ac:dyDescent="0.25">
      <c r="A80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13" spans="1:1" x14ac:dyDescent="0.25">
      <c r="A80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14" spans="1:1" x14ac:dyDescent="0.25">
      <c r="A80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15" spans="1:1" x14ac:dyDescent="0.25">
      <c r="A80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16" spans="1:1" x14ac:dyDescent="0.25">
      <c r="A80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17" spans="1:1" x14ac:dyDescent="0.25">
      <c r="A80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18" spans="1:1" x14ac:dyDescent="0.25">
      <c r="A80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19" spans="1:1" x14ac:dyDescent="0.25">
      <c r="A80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20" spans="1:1" x14ac:dyDescent="0.25">
      <c r="A80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21" spans="1:1" x14ac:dyDescent="0.25">
      <c r="A80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22" spans="1:1" x14ac:dyDescent="0.25">
      <c r="A80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23" spans="1:1" x14ac:dyDescent="0.25">
      <c r="A80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24" spans="1:1" x14ac:dyDescent="0.25">
      <c r="A80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25" spans="1:1" x14ac:dyDescent="0.25">
      <c r="A80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26" spans="1:1" x14ac:dyDescent="0.25">
      <c r="A80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27" spans="1:1" x14ac:dyDescent="0.25">
      <c r="A80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28" spans="1:1" x14ac:dyDescent="0.25">
      <c r="A80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29" spans="1:1" x14ac:dyDescent="0.25">
      <c r="A80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30" spans="1:1" x14ac:dyDescent="0.25">
      <c r="A80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31" spans="1:1" x14ac:dyDescent="0.25">
      <c r="A80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32" spans="1:1" x14ac:dyDescent="0.25">
      <c r="A80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33" spans="1:1" x14ac:dyDescent="0.25">
      <c r="A80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34" spans="1:1" x14ac:dyDescent="0.25">
      <c r="A80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35" spans="1:1" x14ac:dyDescent="0.25">
      <c r="A80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36" spans="1:1" x14ac:dyDescent="0.25">
      <c r="A80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37" spans="1:1" x14ac:dyDescent="0.25">
      <c r="A80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38" spans="1:1" x14ac:dyDescent="0.25">
      <c r="A80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39" spans="1:1" x14ac:dyDescent="0.25">
      <c r="A80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40" spans="1:1" x14ac:dyDescent="0.25">
      <c r="A80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41" spans="1:1" x14ac:dyDescent="0.25">
      <c r="A80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42" spans="1:1" x14ac:dyDescent="0.25">
      <c r="A80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43" spans="1:1" x14ac:dyDescent="0.25">
      <c r="A80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44" spans="1:1" x14ac:dyDescent="0.25">
      <c r="A80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45" spans="1:1" x14ac:dyDescent="0.25">
      <c r="A80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46" spans="1:1" x14ac:dyDescent="0.25">
      <c r="A80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47" spans="1:1" x14ac:dyDescent="0.25">
      <c r="A80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48" spans="1:1" x14ac:dyDescent="0.25">
      <c r="A80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49" spans="1:1" x14ac:dyDescent="0.25">
      <c r="A80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50" spans="1:1" x14ac:dyDescent="0.25">
      <c r="A80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51" spans="1:1" x14ac:dyDescent="0.25">
      <c r="A80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52" spans="1:1" x14ac:dyDescent="0.25">
      <c r="A80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53" spans="1:1" x14ac:dyDescent="0.25">
      <c r="A80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54" spans="1:1" x14ac:dyDescent="0.25">
      <c r="A80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55" spans="1:1" x14ac:dyDescent="0.25">
      <c r="A80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56" spans="1:1" x14ac:dyDescent="0.25">
      <c r="A80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57" spans="1:1" x14ac:dyDescent="0.25">
      <c r="A80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58" spans="1:1" x14ac:dyDescent="0.25">
      <c r="A80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59" spans="1:1" x14ac:dyDescent="0.25">
      <c r="A80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60" spans="1:1" x14ac:dyDescent="0.25">
      <c r="A80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61" spans="1:1" x14ac:dyDescent="0.25">
      <c r="A80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62" spans="1:1" x14ac:dyDescent="0.25">
      <c r="A80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63" spans="1:1" x14ac:dyDescent="0.25">
      <c r="A80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64" spans="1:1" x14ac:dyDescent="0.25">
      <c r="A80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65" spans="1:1" x14ac:dyDescent="0.25">
      <c r="A80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66" spans="1:1" x14ac:dyDescent="0.25">
      <c r="A80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67" spans="1:1" x14ac:dyDescent="0.25">
      <c r="A80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68" spans="1:1" x14ac:dyDescent="0.25">
      <c r="A80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69" spans="1:1" x14ac:dyDescent="0.25">
      <c r="A80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70" spans="1:1" x14ac:dyDescent="0.25">
      <c r="A80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71" spans="1:1" x14ac:dyDescent="0.25">
      <c r="A80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72" spans="1:1" x14ac:dyDescent="0.25">
      <c r="A80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73" spans="1:1" x14ac:dyDescent="0.25">
      <c r="A80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74" spans="1:1" x14ac:dyDescent="0.25">
      <c r="A80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75" spans="1:1" x14ac:dyDescent="0.25">
      <c r="A80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76" spans="1:1" x14ac:dyDescent="0.25">
      <c r="A80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77" spans="1:1" x14ac:dyDescent="0.25">
      <c r="A80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78" spans="1:1" x14ac:dyDescent="0.25">
      <c r="A80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79" spans="1:1" x14ac:dyDescent="0.25">
      <c r="A80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80" spans="1:1" x14ac:dyDescent="0.25">
      <c r="A80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81" spans="1:1" x14ac:dyDescent="0.25">
      <c r="A80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82" spans="1:1" x14ac:dyDescent="0.25">
      <c r="A80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83" spans="1:1" x14ac:dyDescent="0.25">
      <c r="A80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84" spans="1:1" x14ac:dyDescent="0.25">
      <c r="A80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85" spans="1:1" x14ac:dyDescent="0.25">
      <c r="A80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86" spans="1:1" x14ac:dyDescent="0.25">
      <c r="A80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87" spans="1:1" x14ac:dyDescent="0.25">
      <c r="A80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88" spans="1:1" x14ac:dyDescent="0.25">
      <c r="A80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89" spans="1:1" x14ac:dyDescent="0.25">
      <c r="A80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90" spans="1:1" x14ac:dyDescent="0.25">
      <c r="A80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91" spans="1:1" x14ac:dyDescent="0.25">
      <c r="A80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92" spans="1:1" x14ac:dyDescent="0.25">
      <c r="A80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93" spans="1:1" x14ac:dyDescent="0.25">
      <c r="A80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94" spans="1:1" x14ac:dyDescent="0.25">
      <c r="A80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95" spans="1:1" x14ac:dyDescent="0.25">
      <c r="A80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96" spans="1:1" x14ac:dyDescent="0.25">
      <c r="A80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97" spans="1:1" x14ac:dyDescent="0.25">
      <c r="A80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98" spans="1:1" x14ac:dyDescent="0.25">
      <c r="A80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099" spans="1:1" x14ac:dyDescent="0.25">
      <c r="A80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00" spans="1:1" x14ac:dyDescent="0.25">
      <c r="A81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01" spans="1:1" x14ac:dyDescent="0.25">
      <c r="A81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02" spans="1:1" x14ac:dyDescent="0.25">
      <c r="A81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03" spans="1:1" x14ac:dyDescent="0.25">
      <c r="A81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04" spans="1:1" x14ac:dyDescent="0.25">
      <c r="A81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05" spans="1:1" x14ac:dyDescent="0.25">
      <c r="A81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06" spans="1:1" x14ac:dyDescent="0.25">
      <c r="A81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07" spans="1:1" x14ac:dyDescent="0.25">
      <c r="A81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08" spans="1:1" x14ac:dyDescent="0.25">
      <c r="A81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09" spans="1:1" x14ac:dyDescent="0.25">
      <c r="A81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10" spans="1:1" x14ac:dyDescent="0.25">
      <c r="A81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11" spans="1:1" x14ac:dyDescent="0.25">
      <c r="A81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12" spans="1:1" x14ac:dyDescent="0.25">
      <c r="A81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13" spans="1:1" x14ac:dyDescent="0.25">
      <c r="A81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14" spans="1:1" x14ac:dyDescent="0.25">
      <c r="A81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15" spans="1:1" x14ac:dyDescent="0.25">
      <c r="A81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16" spans="1:1" x14ac:dyDescent="0.25">
      <c r="A81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17" spans="1:1" x14ac:dyDescent="0.25">
      <c r="A81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18" spans="1:1" x14ac:dyDescent="0.25">
      <c r="A81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19" spans="1:1" x14ac:dyDescent="0.25">
      <c r="A81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20" spans="1:1" x14ac:dyDescent="0.25">
      <c r="A81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21" spans="1:1" x14ac:dyDescent="0.25">
      <c r="A81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22" spans="1:1" x14ac:dyDescent="0.25">
      <c r="A81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23" spans="1:1" x14ac:dyDescent="0.25">
      <c r="A81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24" spans="1:1" x14ac:dyDescent="0.25">
      <c r="A81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25" spans="1:1" x14ac:dyDescent="0.25">
      <c r="A81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26" spans="1:1" x14ac:dyDescent="0.25">
      <c r="A81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27" spans="1:1" x14ac:dyDescent="0.25">
      <c r="A81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28" spans="1:1" x14ac:dyDescent="0.25">
      <c r="A81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29" spans="1:1" x14ac:dyDescent="0.25">
      <c r="A81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30" spans="1:1" x14ac:dyDescent="0.25">
      <c r="A81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31" spans="1:1" x14ac:dyDescent="0.25">
      <c r="A81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32" spans="1:1" x14ac:dyDescent="0.25">
      <c r="A81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33" spans="1:1" x14ac:dyDescent="0.25">
      <c r="A81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34" spans="1:1" x14ac:dyDescent="0.25">
      <c r="A81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35" spans="1:1" x14ac:dyDescent="0.25">
      <c r="A81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36" spans="1:1" x14ac:dyDescent="0.25">
      <c r="A81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37" spans="1:1" x14ac:dyDescent="0.25">
      <c r="A81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38" spans="1:1" x14ac:dyDescent="0.25">
      <c r="A81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39" spans="1:1" x14ac:dyDescent="0.25">
      <c r="A81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40" spans="1:1" x14ac:dyDescent="0.25">
      <c r="A81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41" spans="1:1" x14ac:dyDescent="0.25">
      <c r="A81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42" spans="1:1" x14ac:dyDescent="0.25">
      <c r="A81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43" spans="1:1" x14ac:dyDescent="0.25">
      <c r="A81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44" spans="1:1" x14ac:dyDescent="0.25">
      <c r="A81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45" spans="1:1" x14ac:dyDescent="0.25">
      <c r="A81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46" spans="1:1" x14ac:dyDescent="0.25">
      <c r="A81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47" spans="1:1" x14ac:dyDescent="0.25">
      <c r="A81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48" spans="1:1" x14ac:dyDescent="0.25">
      <c r="A81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49" spans="1:1" x14ac:dyDescent="0.25">
      <c r="A81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50" spans="1:1" x14ac:dyDescent="0.25">
      <c r="A81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51" spans="1:1" x14ac:dyDescent="0.25">
      <c r="A81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52" spans="1:1" x14ac:dyDescent="0.25">
      <c r="A81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53" spans="1:1" x14ac:dyDescent="0.25">
      <c r="A81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54" spans="1:1" x14ac:dyDescent="0.25">
      <c r="A81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55" spans="1:1" x14ac:dyDescent="0.25">
      <c r="A81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56" spans="1:1" x14ac:dyDescent="0.25">
      <c r="A81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57" spans="1:1" x14ac:dyDescent="0.25">
      <c r="A81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58" spans="1:1" x14ac:dyDescent="0.25">
      <c r="A81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59" spans="1:1" x14ac:dyDescent="0.25">
      <c r="A81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60" spans="1:1" x14ac:dyDescent="0.25">
      <c r="A81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61" spans="1:1" x14ac:dyDescent="0.25">
      <c r="A81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62" spans="1:1" x14ac:dyDescent="0.25">
      <c r="A81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63" spans="1:1" x14ac:dyDescent="0.25">
      <c r="A81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64" spans="1:1" x14ac:dyDescent="0.25">
      <c r="A81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65" spans="1:1" x14ac:dyDescent="0.25">
      <c r="A81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66" spans="1:1" x14ac:dyDescent="0.25">
      <c r="A81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67" spans="1:1" x14ac:dyDescent="0.25">
      <c r="A81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68" spans="1:1" x14ac:dyDescent="0.25">
      <c r="A81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69" spans="1:1" x14ac:dyDescent="0.25">
      <c r="A81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70" spans="1:1" x14ac:dyDescent="0.25">
      <c r="A81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71" spans="1:1" x14ac:dyDescent="0.25">
      <c r="A81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72" spans="1:1" x14ac:dyDescent="0.25">
      <c r="A81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73" spans="1:1" x14ac:dyDescent="0.25">
      <c r="A81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74" spans="1:1" x14ac:dyDescent="0.25">
      <c r="A81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75" spans="1:1" x14ac:dyDescent="0.25">
      <c r="A81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76" spans="1:1" x14ac:dyDescent="0.25">
      <c r="A81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77" spans="1:1" x14ac:dyDescent="0.25">
      <c r="A81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78" spans="1:1" x14ac:dyDescent="0.25">
      <c r="A81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79" spans="1:1" x14ac:dyDescent="0.25">
      <c r="A81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80" spans="1:1" x14ac:dyDescent="0.25">
      <c r="A81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81" spans="1:1" x14ac:dyDescent="0.25">
      <c r="A81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82" spans="1:1" x14ac:dyDescent="0.25">
      <c r="A81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83" spans="1:1" x14ac:dyDescent="0.25">
      <c r="A81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84" spans="1:1" x14ac:dyDescent="0.25">
      <c r="A81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85" spans="1:1" x14ac:dyDescent="0.25">
      <c r="A81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86" spans="1:1" x14ac:dyDescent="0.25">
      <c r="A81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87" spans="1:1" x14ac:dyDescent="0.25">
      <c r="A81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88" spans="1:1" x14ac:dyDescent="0.25">
      <c r="A81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89" spans="1:1" x14ac:dyDescent="0.25">
      <c r="A81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90" spans="1:1" x14ac:dyDescent="0.25">
      <c r="A81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91" spans="1:1" x14ac:dyDescent="0.25">
      <c r="A81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92" spans="1:1" x14ac:dyDescent="0.25">
      <c r="A81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93" spans="1:1" x14ac:dyDescent="0.25">
      <c r="A81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94" spans="1:1" x14ac:dyDescent="0.25">
      <c r="A81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95" spans="1:1" x14ac:dyDescent="0.25">
      <c r="A81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96" spans="1:1" x14ac:dyDescent="0.25">
      <c r="A81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97" spans="1:1" x14ac:dyDescent="0.25">
      <c r="A81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98" spans="1:1" x14ac:dyDescent="0.25">
      <c r="A81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199" spans="1:1" x14ac:dyDescent="0.25">
      <c r="A81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00" spans="1:1" x14ac:dyDescent="0.25">
      <c r="A82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01" spans="1:1" x14ac:dyDescent="0.25">
      <c r="A82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02" spans="1:1" x14ac:dyDescent="0.25">
      <c r="A82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03" spans="1:1" x14ac:dyDescent="0.25">
      <c r="A82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04" spans="1:1" x14ac:dyDescent="0.25">
      <c r="A82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05" spans="1:1" x14ac:dyDescent="0.25">
      <c r="A82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06" spans="1:1" x14ac:dyDescent="0.25">
      <c r="A82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07" spans="1:1" x14ac:dyDescent="0.25">
      <c r="A82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08" spans="1:1" x14ac:dyDescent="0.25">
      <c r="A82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09" spans="1:1" x14ac:dyDescent="0.25">
      <c r="A82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10" spans="1:1" x14ac:dyDescent="0.25">
      <c r="A82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11" spans="1:1" x14ac:dyDescent="0.25">
      <c r="A82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12" spans="1:1" x14ac:dyDescent="0.25">
      <c r="A82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13" spans="1:1" x14ac:dyDescent="0.25">
      <c r="A82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14" spans="1:1" x14ac:dyDescent="0.25">
      <c r="A82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15" spans="1:1" x14ac:dyDescent="0.25">
      <c r="A82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16" spans="1:1" x14ac:dyDescent="0.25">
      <c r="A82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17" spans="1:1" x14ac:dyDescent="0.25">
      <c r="A82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18" spans="1:1" x14ac:dyDescent="0.25">
      <c r="A82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19" spans="1:1" x14ac:dyDescent="0.25">
      <c r="A82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20" spans="1:1" x14ac:dyDescent="0.25">
      <c r="A82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21" spans="1:1" x14ac:dyDescent="0.25">
      <c r="A82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22" spans="1:1" x14ac:dyDescent="0.25">
      <c r="A82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23" spans="1:1" x14ac:dyDescent="0.25">
      <c r="A82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24" spans="1:1" x14ac:dyDescent="0.25">
      <c r="A82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25" spans="1:1" x14ac:dyDescent="0.25">
      <c r="A82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26" spans="1:1" x14ac:dyDescent="0.25">
      <c r="A82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27" spans="1:1" x14ac:dyDescent="0.25">
      <c r="A82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28" spans="1:1" x14ac:dyDescent="0.25">
      <c r="A82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29" spans="1:1" x14ac:dyDescent="0.25">
      <c r="A82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30" spans="1:1" x14ac:dyDescent="0.25">
      <c r="A82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31" spans="1:1" x14ac:dyDescent="0.25">
      <c r="A82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32" spans="1:1" x14ac:dyDescent="0.25">
      <c r="A82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33" spans="1:1" x14ac:dyDescent="0.25">
      <c r="A82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34" spans="1:1" x14ac:dyDescent="0.25">
      <c r="A82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35" spans="1:1" x14ac:dyDescent="0.25">
      <c r="A82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36" spans="1:1" x14ac:dyDescent="0.25">
      <c r="A82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37" spans="1:1" x14ac:dyDescent="0.25">
      <c r="A82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38" spans="1:1" x14ac:dyDescent="0.25">
      <c r="A82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39" spans="1:1" x14ac:dyDescent="0.25">
      <c r="A82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40" spans="1:1" x14ac:dyDescent="0.25">
      <c r="A82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41" spans="1:1" x14ac:dyDescent="0.25">
      <c r="A82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42" spans="1:1" x14ac:dyDescent="0.25">
      <c r="A82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43" spans="1:1" x14ac:dyDescent="0.25">
      <c r="A82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44" spans="1:1" x14ac:dyDescent="0.25">
      <c r="A82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45" spans="1:1" x14ac:dyDescent="0.25">
      <c r="A82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46" spans="1:1" x14ac:dyDescent="0.25">
      <c r="A82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47" spans="1:1" x14ac:dyDescent="0.25">
      <c r="A82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48" spans="1:1" x14ac:dyDescent="0.25">
      <c r="A82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49" spans="1:1" x14ac:dyDescent="0.25">
      <c r="A82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50" spans="1:1" x14ac:dyDescent="0.25">
      <c r="A82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51" spans="1:1" x14ac:dyDescent="0.25">
      <c r="A82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52" spans="1:1" x14ac:dyDescent="0.25">
      <c r="A82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53" spans="1:1" x14ac:dyDescent="0.25">
      <c r="A82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54" spans="1:1" x14ac:dyDescent="0.25">
      <c r="A82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55" spans="1:1" x14ac:dyDescent="0.25">
      <c r="A82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56" spans="1:1" x14ac:dyDescent="0.25">
      <c r="A82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57" spans="1:1" x14ac:dyDescent="0.25">
      <c r="A82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58" spans="1:1" x14ac:dyDescent="0.25">
      <c r="A82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59" spans="1:1" x14ac:dyDescent="0.25">
      <c r="A82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60" spans="1:1" x14ac:dyDescent="0.25">
      <c r="A82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61" spans="1:1" x14ac:dyDescent="0.25">
      <c r="A82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62" spans="1:1" x14ac:dyDescent="0.25">
      <c r="A82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63" spans="1:1" x14ac:dyDescent="0.25">
      <c r="A82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64" spans="1:1" x14ac:dyDescent="0.25">
      <c r="A82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65" spans="1:1" x14ac:dyDescent="0.25">
      <c r="A82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66" spans="1:1" x14ac:dyDescent="0.25">
      <c r="A82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67" spans="1:1" x14ac:dyDescent="0.25">
      <c r="A82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68" spans="1:1" x14ac:dyDescent="0.25">
      <c r="A82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69" spans="1:1" x14ac:dyDescent="0.25">
      <c r="A82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70" spans="1:1" x14ac:dyDescent="0.25">
      <c r="A82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71" spans="1:1" x14ac:dyDescent="0.25">
      <c r="A82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72" spans="1:1" x14ac:dyDescent="0.25">
      <c r="A82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73" spans="1:1" x14ac:dyDescent="0.25">
      <c r="A82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74" spans="1:1" x14ac:dyDescent="0.25">
      <c r="A82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75" spans="1:1" x14ac:dyDescent="0.25">
      <c r="A82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76" spans="1:1" x14ac:dyDescent="0.25">
      <c r="A82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77" spans="1:1" x14ac:dyDescent="0.25">
      <c r="A82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78" spans="1:1" x14ac:dyDescent="0.25">
      <c r="A82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79" spans="1:1" x14ac:dyDescent="0.25">
      <c r="A82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80" spans="1:1" x14ac:dyDescent="0.25">
      <c r="A82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81" spans="1:1" x14ac:dyDescent="0.25">
      <c r="A82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82" spans="1:1" x14ac:dyDescent="0.25">
      <c r="A82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83" spans="1:1" x14ac:dyDescent="0.25">
      <c r="A82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84" spans="1:1" x14ac:dyDescent="0.25">
      <c r="A82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85" spans="1:1" x14ac:dyDescent="0.25">
      <c r="A82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86" spans="1:1" x14ac:dyDescent="0.25">
      <c r="A82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87" spans="1:1" x14ac:dyDescent="0.25">
      <c r="A82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88" spans="1:1" x14ac:dyDescent="0.25">
      <c r="A82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89" spans="1:1" x14ac:dyDescent="0.25">
      <c r="A82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90" spans="1:1" x14ac:dyDescent="0.25">
      <c r="A82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91" spans="1:1" x14ac:dyDescent="0.25">
      <c r="A82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92" spans="1:1" x14ac:dyDescent="0.25">
      <c r="A82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93" spans="1:1" x14ac:dyDescent="0.25">
      <c r="A82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94" spans="1:1" x14ac:dyDescent="0.25">
      <c r="A82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95" spans="1:1" x14ac:dyDescent="0.25">
      <c r="A82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96" spans="1:1" x14ac:dyDescent="0.25">
      <c r="A82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97" spans="1:1" x14ac:dyDescent="0.25">
      <c r="A82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98" spans="1:1" x14ac:dyDescent="0.25">
      <c r="A82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299" spans="1:1" x14ac:dyDescent="0.25">
      <c r="A82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00" spans="1:1" x14ac:dyDescent="0.25">
      <c r="A83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01" spans="1:1" x14ac:dyDescent="0.25">
      <c r="A83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02" spans="1:1" x14ac:dyDescent="0.25">
      <c r="A83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03" spans="1:1" x14ac:dyDescent="0.25">
      <c r="A83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04" spans="1:1" x14ac:dyDescent="0.25">
      <c r="A83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05" spans="1:1" x14ac:dyDescent="0.25">
      <c r="A83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06" spans="1:1" x14ac:dyDescent="0.25">
      <c r="A83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07" spans="1:1" x14ac:dyDescent="0.25">
      <c r="A83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08" spans="1:1" x14ac:dyDescent="0.25">
      <c r="A83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09" spans="1:1" x14ac:dyDescent="0.25">
      <c r="A83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10" spans="1:1" x14ac:dyDescent="0.25">
      <c r="A83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11" spans="1:1" x14ac:dyDescent="0.25">
      <c r="A83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12" spans="1:1" x14ac:dyDescent="0.25">
      <c r="A83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13" spans="1:1" x14ac:dyDescent="0.25">
      <c r="A83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14" spans="1:1" x14ac:dyDescent="0.25">
      <c r="A83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15" spans="1:1" x14ac:dyDescent="0.25">
      <c r="A83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16" spans="1:1" x14ac:dyDescent="0.25">
      <c r="A83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17" spans="1:1" x14ac:dyDescent="0.25">
      <c r="A83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18" spans="1:1" x14ac:dyDescent="0.25">
      <c r="A83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19" spans="1:1" x14ac:dyDescent="0.25">
      <c r="A83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20" spans="1:1" x14ac:dyDescent="0.25">
      <c r="A83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21" spans="1:1" x14ac:dyDescent="0.25">
      <c r="A83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22" spans="1:1" x14ac:dyDescent="0.25">
      <c r="A83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23" spans="1:1" x14ac:dyDescent="0.25">
      <c r="A83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24" spans="1:1" x14ac:dyDescent="0.25">
      <c r="A83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25" spans="1:1" x14ac:dyDescent="0.25">
      <c r="A83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26" spans="1:1" x14ac:dyDescent="0.25">
      <c r="A83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27" spans="1:1" x14ac:dyDescent="0.25">
      <c r="A83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28" spans="1:1" x14ac:dyDescent="0.25">
      <c r="A83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29" spans="1:1" x14ac:dyDescent="0.25">
      <c r="A83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30" spans="1:1" x14ac:dyDescent="0.25">
      <c r="A83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31" spans="1:1" x14ac:dyDescent="0.25">
      <c r="A83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32" spans="1:1" x14ac:dyDescent="0.25">
      <c r="A83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33" spans="1:1" x14ac:dyDescent="0.25">
      <c r="A83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34" spans="1:1" x14ac:dyDescent="0.25">
      <c r="A83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35" spans="1:1" x14ac:dyDescent="0.25">
      <c r="A83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36" spans="1:1" x14ac:dyDescent="0.25">
      <c r="A83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37" spans="1:1" x14ac:dyDescent="0.25">
      <c r="A83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38" spans="1:1" x14ac:dyDescent="0.25">
      <c r="A83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39" spans="1:1" x14ac:dyDescent="0.25">
      <c r="A83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40" spans="1:1" x14ac:dyDescent="0.25">
      <c r="A83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41" spans="1:1" x14ac:dyDescent="0.25">
      <c r="A83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42" spans="1:1" x14ac:dyDescent="0.25">
      <c r="A83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43" spans="1:1" x14ac:dyDescent="0.25">
      <c r="A83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44" spans="1:1" x14ac:dyDescent="0.25">
      <c r="A83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45" spans="1:1" x14ac:dyDescent="0.25">
      <c r="A83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46" spans="1:1" x14ac:dyDescent="0.25">
      <c r="A83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47" spans="1:1" x14ac:dyDescent="0.25">
      <c r="A83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48" spans="1:1" x14ac:dyDescent="0.25">
      <c r="A83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49" spans="1:1" x14ac:dyDescent="0.25">
      <c r="A83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50" spans="1:1" x14ac:dyDescent="0.25">
      <c r="A83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51" spans="1:1" x14ac:dyDescent="0.25">
      <c r="A83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52" spans="1:1" x14ac:dyDescent="0.25">
      <c r="A83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53" spans="1:1" x14ac:dyDescent="0.25">
      <c r="A83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54" spans="1:1" x14ac:dyDescent="0.25">
      <c r="A83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55" spans="1:1" x14ac:dyDescent="0.25">
      <c r="A83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56" spans="1:1" x14ac:dyDescent="0.25">
      <c r="A83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57" spans="1:1" x14ac:dyDescent="0.25">
      <c r="A83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58" spans="1:1" x14ac:dyDescent="0.25">
      <c r="A83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59" spans="1:1" x14ac:dyDescent="0.25">
      <c r="A83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60" spans="1:1" x14ac:dyDescent="0.25">
      <c r="A83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61" spans="1:1" x14ac:dyDescent="0.25">
      <c r="A83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62" spans="1:1" x14ac:dyDescent="0.25">
      <c r="A83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63" spans="1:1" x14ac:dyDescent="0.25">
      <c r="A83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64" spans="1:1" x14ac:dyDescent="0.25">
      <c r="A83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65" spans="1:1" x14ac:dyDescent="0.25">
      <c r="A83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66" spans="1:1" x14ac:dyDescent="0.25">
      <c r="A83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67" spans="1:1" x14ac:dyDescent="0.25">
      <c r="A83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68" spans="1:1" x14ac:dyDescent="0.25">
      <c r="A83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69" spans="1:1" x14ac:dyDescent="0.25">
      <c r="A83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70" spans="1:1" x14ac:dyDescent="0.25">
      <c r="A83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71" spans="1:1" x14ac:dyDescent="0.25">
      <c r="A83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72" spans="1:1" x14ac:dyDescent="0.25">
      <c r="A83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73" spans="1:1" x14ac:dyDescent="0.25">
      <c r="A83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74" spans="1:1" x14ac:dyDescent="0.25">
      <c r="A83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75" spans="1:1" x14ac:dyDescent="0.25">
      <c r="A83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76" spans="1:1" x14ac:dyDescent="0.25">
      <c r="A83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77" spans="1:1" x14ac:dyDescent="0.25">
      <c r="A83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78" spans="1:1" x14ac:dyDescent="0.25">
      <c r="A83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79" spans="1:1" x14ac:dyDescent="0.25">
      <c r="A83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80" spans="1:1" x14ac:dyDescent="0.25">
      <c r="A83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81" spans="1:1" x14ac:dyDescent="0.25">
      <c r="A83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82" spans="1:1" x14ac:dyDescent="0.25">
      <c r="A83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83" spans="1:1" x14ac:dyDescent="0.25">
      <c r="A83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84" spans="1:1" x14ac:dyDescent="0.25">
      <c r="A83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85" spans="1:1" x14ac:dyDescent="0.25">
      <c r="A83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86" spans="1:1" x14ac:dyDescent="0.25">
      <c r="A83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87" spans="1:1" x14ac:dyDescent="0.25">
      <c r="A83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88" spans="1:1" x14ac:dyDescent="0.25">
      <c r="A83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89" spans="1:1" x14ac:dyDescent="0.25">
      <c r="A83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90" spans="1:1" x14ac:dyDescent="0.25">
      <c r="A83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91" spans="1:1" x14ac:dyDescent="0.25">
      <c r="A83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92" spans="1:1" x14ac:dyDescent="0.25">
      <c r="A83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93" spans="1:1" x14ac:dyDescent="0.25">
      <c r="A83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94" spans="1:1" x14ac:dyDescent="0.25">
      <c r="A83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95" spans="1:1" x14ac:dyDescent="0.25">
      <c r="A83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96" spans="1:1" x14ac:dyDescent="0.25">
      <c r="A83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97" spans="1:1" x14ac:dyDescent="0.25">
      <c r="A83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98" spans="1:1" x14ac:dyDescent="0.25">
      <c r="A83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399" spans="1:1" x14ac:dyDescent="0.25">
      <c r="A83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00" spans="1:1" x14ac:dyDescent="0.25">
      <c r="A84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01" spans="1:1" x14ac:dyDescent="0.25">
      <c r="A84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02" spans="1:1" x14ac:dyDescent="0.25">
      <c r="A84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03" spans="1:1" x14ac:dyDescent="0.25">
      <c r="A84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04" spans="1:1" x14ac:dyDescent="0.25">
      <c r="A84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05" spans="1:1" x14ac:dyDescent="0.25">
      <c r="A84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06" spans="1:1" x14ac:dyDescent="0.25">
      <c r="A84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07" spans="1:1" x14ac:dyDescent="0.25">
      <c r="A84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08" spans="1:1" x14ac:dyDescent="0.25">
      <c r="A84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09" spans="1:1" x14ac:dyDescent="0.25">
      <c r="A84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10" spans="1:1" x14ac:dyDescent="0.25">
      <c r="A84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11" spans="1:1" x14ac:dyDescent="0.25">
      <c r="A84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12" spans="1:1" x14ac:dyDescent="0.25">
      <c r="A84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13" spans="1:1" x14ac:dyDescent="0.25">
      <c r="A84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14" spans="1:1" x14ac:dyDescent="0.25">
      <c r="A84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15" spans="1:1" x14ac:dyDescent="0.25">
      <c r="A84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16" spans="1:1" x14ac:dyDescent="0.25">
      <c r="A84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17" spans="1:1" x14ac:dyDescent="0.25">
      <c r="A84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18" spans="1:1" x14ac:dyDescent="0.25">
      <c r="A84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19" spans="1:1" x14ac:dyDescent="0.25">
      <c r="A84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20" spans="1:1" x14ac:dyDescent="0.25">
      <c r="A84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21" spans="1:1" x14ac:dyDescent="0.25">
      <c r="A84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22" spans="1:1" x14ac:dyDescent="0.25">
      <c r="A84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23" spans="1:1" x14ac:dyDescent="0.25">
      <c r="A84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24" spans="1:1" x14ac:dyDescent="0.25">
      <c r="A84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25" spans="1:1" x14ac:dyDescent="0.25">
      <c r="A84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26" spans="1:1" x14ac:dyDescent="0.25">
      <c r="A84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27" spans="1:1" x14ac:dyDescent="0.25">
      <c r="A84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28" spans="1:1" x14ac:dyDescent="0.25">
      <c r="A84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29" spans="1:1" x14ac:dyDescent="0.25">
      <c r="A84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30" spans="1:1" x14ac:dyDescent="0.25">
      <c r="A84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31" spans="1:1" x14ac:dyDescent="0.25">
      <c r="A84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32" spans="1:1" x14ac:dyDescent="0.25">
      <c r="A84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33" spans="1:1" x14ac:dyDescent="0.25">
      <c r="A84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34" spans="1:1" x14ac:dyDescent="0.25">
      <c r="A84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35" spans="1:1" x14ac:dyDescent="0.25">
      <c r="A84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36" spans="1:1" x14ac:dyDescent="0.25">
      <c r="A84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37" spans="1:1" x14ac:dyDescent="0.25">
      <c r="A84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38" spans="1:1" x14ac:dyDescent="0.25">
      <c r="A84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39" spans="1:1" x14ac:dyDescent="0.25">
      <c r="A84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40" spans="1:1" x14ac:dyDescent="0.25">
      <c r="A84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41" spans="1:1" x14ac:dyDescent="0.25">
      <c r="A84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42" spans="1:1" x14ac:dyDescent="0.25">
      <c r="A84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43" spans="1:1" x14ac:dyDescent="0.25">
      <c r="A84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44" spans="1:1" x14ac:dyDescent="0.25">
      <c r="A84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45" spans="1:1" x14ac:dyDescent="0.25">
      <c r="A84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46" spans="1:1" x14ac:dyDescent="0.25">
      <c r="A84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47" spans="1:1" x14ac:dyDescent="0.25">
      <c r="A84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48" spans="1:1" x14ac:dyDescent="0.25">
      <c r="A84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49" spans="1:1" x14ac:dyDescent="0.25">
      <c r="A84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50" spans="1:1" x14ac:dyDescent="0.25">
      <c r="A84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51" spans="1:1" x14ac:dyDescent="0.25">
      <c r="A84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52" spans="1:1" x14ac:dyDescent="0.25">
      <c r="A84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53" spans="1:1" x14ac:dyDescent="0.25">
      <c r="A84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54" spans="1:1" x14ac:dyDescent="0.25">
      <c r="A84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55" spans="1:1" x14ac:dyDescent="0.25">
      <c r="A84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56" spans="1:1" x14ac:dyDescent="0.25">
      <c r="A84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57" spans="1:1" x14ac:dyDescent="0.25">
      <c r="A84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58" spans="1:1" x14ac:dyDescent="0.25">
      <c r="A84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59" spans="1:1" x14ac:dyDescent="0.25">
      <c r="A84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60" spans="1:1" x14ac:dyDescent="0.25">
      <c r="A84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61" spans="1:1" x14ac:dyDescent="0.25">
      <c r="A84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62" spans="1:1" x14ac:dyDescent="0.25">
      <c r="A84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63" spans="1:1" x14ac:dyDescent="0.25">
      <c r="A84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64" spans="1:1" x14ac:dyDescent="0.25">
      <c r="A84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65" spans="1:1" x14ac:dyDescent="0.25">
      <c r="A84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66" spans="1:1" x14ac:dyDescent="0.25">
      <c r="A84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67" spans="1:1" x14ac:dyDescent="0.25">
      <c r="A84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68" spans="1:1" x14ac:dyDescent="0.25">
      <c r="A84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69" spans="1:1" x14ac:dyDescent="0.25">
      <c r="A84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70" spans="1:1" x14ac:dyDescent="0.25">
      <c r="A84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71" spans="1:1" x14ac:dyDescent="0.25">
      <c r="A84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72" spans="1:1" x14ac:dyDescent="0.25">
      <c r="A84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73" spans="1:1" x14ac:dyDescent="0.25">
      <c r="A84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74" spans="1:1" x14ac:dyDescent="0.25">
      <c r="A84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75" spans="1:1" x14ac:dyDescent="0.25">
      <c r="A84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76" spans="1:1" x14ac:dyDescent="0.25">
      <c r="A84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77" spans="1:1" x14ac:dyDescent="0.25">
      <c r="A84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78" spans="1:1" x14ac:dyDescent="0.25">
      <c r="A84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79" spans="1:1" x14ac:dyDescent="0.25">
      <c r="A84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80" spans="1:1" x14ac:dyDescent="0.25">
      <c r="A84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81" spans="1:1" x14ac:dyDescent="0.25">
      <c r="A84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82" spans="1:1" x14ac:dyDescent="0.25">
      <c r="A84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83" spans="1:1" x14ac:dyDescent="0.25">
      <c r="A84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84" spans="1:1" x14ac:dyDescent="0.25">
      <c r="A84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85" spans="1:1" x14ac:dyDescent="0.25">
      <c r="A84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86" spans="1:1" x14ac:dyDescent="0.25">
      <c r="A84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87" spans="1:1" x14ac:dyDescent="0.25">
      <c r="A84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88" spans="1:1" x14ac:dyDescent="0.25">
      <c r="A84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89" spans="1:1" x14ac:dyDescent="0.25">
      <c r="A84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90" spans="1:1" x14ac:dyDescent="0.25">
      <c r="A84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91" spans="1:1" x14ac:dyDescent="0.25">
      <c r="A84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92" spans="1:1" x14ac:dyDescent="0.25">
      <c r="A84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93" spans="1:1" x14ac:dyDescent="0.25">
      <c r="A84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94" spans="1:1" x14ac:dyDescent="0.25">
      <c r="A84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95" spans="1:1" x14ac:dyDescent="0.25">
      <c r="A84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96" spans="1:1" x14ac:dyDescent="0.25">
      <c r="A84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97" spans="1:1" x14ac:dyDescent="0.25">
      <c r="A84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98" spans="1:1" x14ac:dyDescent="0.25">
      <c r="A84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499" spans="1:1" x14ac:dyDescent="0.25">
      <c r="A84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00" spans="1:1" x14ac:dyDescent="0.25">
      <c r="A85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01" spans="1:1" x14ac:dyDescent="0.25">
      <c r="A85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02" spans="1:1" x14ac:dyDescent="0.25">
      <c r="A85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03" spans="1:1" x14ac:dyDescent="0.25">
      <c r="A85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04" spans="1:1" x14ac:dyDescent="0.25">
      <c r="A85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05" spans="1:1" x14ac:dyDescent="0.25">
      <c r="A85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06" spans="1:1" x14ac:dyDescent="0.25">
      <c r="A85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07" spans="1:1" x14ac:dyDescent="0.25">
      <c r="A85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08" spans="1:1" x14ac:dyDescent="0.25">
      <c r="A85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09" spans="1:1" x14ac:dyDescent="0.25">
      <c r="A85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10" spans="1:1" x14ac:dyDescent="0.25">
      <c r="A85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11" spans="1:1" x14ac:dyDescent="0.25">
      <c r="A85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12" spans="1:1" x14ac:dyDescent="0.25">
      <c r="A85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13" spans="1:1" x14ac:dyDescent="0.25">
      <c r="A85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14" spans="1:1" x14ac:dyDescent="0.25">
      <c r="A85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15" spans="1:1" x14ac:dyDescent="0.25">
      <c r="A85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16" spans="1:1" x14ac:dyDescent="0.25">
      <c r="A85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17" spans="1:1" x14ac:dyDescent="0.25">
      <c r="A85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18" spans="1:1" x14ac:dyDescent="0.25">
      <c r="A85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19" spans="1:1" x14ac:dyDescent="0.25">
      <c r="A85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20" spans="1:1" x14ac:dyDescent="0.25">
      <c r="A85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21" spans="1:1" x14ac:dyDescent="0.25">
      <c r="A85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22" spans="1:1" x14ac:dyDescent="0.25">
      <c r="A85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23" spans="1:1" x14ac:dyDescent="0.25">
      <c r="A85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24" spans="1:1" x14ac:dyDescent="0.25">
      <c r="A85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25" spans="1:1" x14ac:dyDescent="0.25">
      <c r="A85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26" spans="1:1" x14ac:dyDescent="0.25">
      <c r="A85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27" spans="1:1" x14ac:dyDescent="0.25">
      <c r="A85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28" spans="1:1" x14ac:dyDescent="0.25">
      <c r="A85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29" spans="1:1" x14ac:dyDescent="0.25">
      <c r="A85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30" spans="1:1" x14ac:dyDescent="0.25">
      <c r="A85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31" spans="1:1" x14ac:dyDescent="0.25">
      <c r="A85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32" spans="1:1" x14ac:dyDescent="0.25">
      <c r="A85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33" spans="1:1" x14ac:dyDescent="0.25">
      <c r="A85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34" spans="1:1" x14ac:dyDescent="0.25">
      <c r="A85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35" spans="1:1" x14ac:dyDescent="0.25">
      <c r="A85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36" spans="1:1" x14ac:dyDescent="0.25">
      <c r="A85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37" spans="1:1" x14ac:dyDescent="0.25">
      <c r="A85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38" spans="1:1" x14ac:dyDescent="0.25">
      <c r="A85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39" spans="1:1" x14ac:dyDescent="0.25">
      <c r="A85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40" spans="1:1" x14ac:dyDescent="0.25">
      <c r="A85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41" spans="1:1" x14ac:dyDescent="0.25">
      <c r="A85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42" spans="1:1" x14ac:dyDescent="0.25">
      <c r="A85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43" spans="1:1" x14ac:dyDescent="0.25">
      <c r="A85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44" spans="1:1" x14ac:dyDescent="0.25">
      <c r="A85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45" spans="1:1" x14ac:dyDescent="0.25">
      <c r="A85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46" spans="1:1" x14ac:dyDescent="0.25">
      <c r="A85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47" spans="1:1" x14ac:dyDescent="0.25">
      <c r="A85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48" spans="1:1" x14ac:dyDescent="0.25">
      <c r="A85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49" spans="1:1" x14ac:dyDescent="0.25">
      <c r="A85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50" spans="1:1" x14ac:dyDescent="0.25">
      <c r="A85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51" spans="1:1" x14ac:dyDescent="0.25">
      <c r="A85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52" spans="1:1" x14ac:dyDescent="0.25">
      <c r="A85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53" spans="1:1" x14ac:dyDescent="0.25">
      <c r="A85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54" spans="1:1" x14ac:dyDescent="0.25">
      <c r="A85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55" spans="1:1" x14ac:dyDescent="0.25">
      <c r="A85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56" spans="1:1" x14ac:dyDescent="0.25">
      <c r="A85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57" spans="1:1" x14ac:dyDescent="0.25">
      <c r="A85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58" spans="1:1" x14ac:dyDescent="0.25">
      <c r="A85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59" spans="1:1" x14ac:dyDescent="0.25">
      <c r="A85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60" spans="1:1" x14ac:dyDescent="0.25">
      <c r="A85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61" spans="1:1" x14ac:dyDescent="0.25">
      <c r="A85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62" spans="1:1" x14ac:dyDescent="0.25">
      <c r="A85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63" spans="1:1" x14ac:dyDescent="0.25">
      <c r="A85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64" spans="1:1" x14ac:dyDescent="0.25">
      <c r="A85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65" spans="1:1" x14ac:dyDescent="0.25">
      <c r="A85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66" spans="1:1" x14ac:dyDescent="0.25">
      <c r="A85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67" spans="1:1" x14ac:dyDescent="0.25">
      <c r="A85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68" spans="1:1" x14ac:dyDescent="0.25">
      <c r="A85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69" spans="1:1" x14ac:dyDescent="0.25">
      <c r="A85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70" spans="1:1" x14ac:dyDescent="0.25">
      <c r="A85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71" spans="1:1" x14ac:dyDescent="0.25">
      <c r="A85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72" spans="1:1" x14ac:dyDescent="0.25">
      <c r="A85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73" spans="1:1" x14ac:dyDescent="0.25">
      <c r="A85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74" spans="1:1" x14ac:dyDescent="0.25">
      <c r="A85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75" spans="1:1" x14ac:dyDescent="0.25">
      <c r="A85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76" spans="1:1" x14ac:dyDescent="0.25">
      <c r="A85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77" spans="1:1" x14ac:dyDescent="0.25">
      <c r="A85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78" spans="1:1" x14ac:dyDescent="0.25">
      <c r="A85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79" spans="1:1" x14ac:dyDescent="0.25">
      <c r="A85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80" spans="1:1" x14ac:dyDescent="0.25">
      <c r="A85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81" spans="1:1" x14ac:dyDescent="0.25">
      <c r="A85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82" spans="1:1" x14ac:dyDescent="0.25">
      <c r="A85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83" spans="1:1" x14ac:dyDescent="0.25">
      <c r="A85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84" spans="1:1" x14ac:dyDescent="0.25">
      <c r="A85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85" spans="1:1" x14ac:dyDescent="0.25">
      <c r="A85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86" spans="1:1" x14ac:dyDescent="0.25">
      <c r="A85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87" spans="1:1" x14ac:dyDescent="0.25">
      <c r="A85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88" spans="1:1" x14ac:dyDescent="0.25">
      <c r="A85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89" spans="1:1" x14ac:dyDescent="0.25">
      <c r="A85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90" spans="1:1" x14ac:dyDescent="0.25">
      <c r="A85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91" spans="1:1" x14ac:dyDescent="0.25">
      <c r="A85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92" spans="1:1" x14ac:dyDescent="0.25">
      <c r="A85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93" spans="1:1" x14ac:dyDescent="0.25">
      <c r="A85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94" spans="1:1" x14ac:dyDescent="0.25">
      <c r="A85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95" spans="1:1" x14ac:dyDescent="0.25">
      <c r="A85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96" spans="1:1" x14ac:dyDescent="0.25">
      <c r="A85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97" spans="1:1" x14ac:dyDescent="0.25">
      <c r="A85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98" spans="1:1" x14ac:dyDescent="0.25">
      <c r="A85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599" spans="1:1" x14ac:dyDescent="0.25">
      <c r="A85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00" spans="1:1" x14ac:dyDescent="0.25">
      <c r="A86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01" spans="1:1" x14ac:dyDescent="0.25">
      <c r="A86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02" spans="1:1" x14ac:dyDescent="0.25">
      <c r="A86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03" spans="1:1" x14ac:dyDescent="0.25">
      <c r="A86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04" spans="1:1" x14ac:dyDescent="0.25">
      <c r="A86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05" spans="1:1" x14ac:dyDescent="0.25">
      <c r="A86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06" spans="1:1" x14ac:dyDescent="0.25">
      <c r="A86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07" spans="1:1" x14ac:dyDescent="0.25">
      <c r="A86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08" spans="1:1" x14ac:dyDescent="0.25">
      <c r="A86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09" spans="1:1" x14ac:dyDescent="0.25">
      <c r="A86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10" spans="1:1" x14ac:dyDescent="0.25">
      <c r="A86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11" spans="1:1" x14ac:dyDescent="0.25">
      <c r="A86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12" spans="1:1" x14ac:dyDescent="0.25">
      <c r="A86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13" spans="1:1" x14ac:dyDescent="0.25">
      <c r="A86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14" spans="1:1" x14ac:dyDescent="0.25">
      <c r="A86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15" spans="1:1" x14ac:dyDescent="0.25">
      <c r="A86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16" spans="1:1" x14ac:dyDescent="0.25">
      <c r="A86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17" spans="1:1" x14ac:dyDescent="0.25">
      <c r="A86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18" spans="1:1" x14ac:dyDescent="0.25">
      <c r="A86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19" spans="1:1" x14ac:dyDescent="0.25">
      <c r="A86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20" spans="1:1" x14ac:dyDescent="0.25">
      <c r="A86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21" spans="1:1" x14ac:dyDescent="0.25">
      <c r="A86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22" spans="1:1" x14ac:dyDescent="0.25">
      <c r="A86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23" spans="1:1" x14ac:dyDescent="0.25">
      <c r="A86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24" spans="1:1" x14ac:dyDescent="0.25">
      <c r="A86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25" spans="1:1" x14ac:dyDescent="0.25">
      <c r="A86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26" spans="1:1" x14ac:dyDescent="0.25">
      <c r="A86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27" spans="1:1" x14ac:dyDescent="0.25">
      <c r="A86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28" spans="1:1" x14ac:dyDescent="0.25">
      <c r="A86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29" spans="1:1" x14ac:dyDescent="0.25">
      <c r="A86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30" spans="1:1" x14ac:dyDescent="0.25">
      <c r="A86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31" spans="1:1" x14ac:dyDescent="0.25">
      <c r="A86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32" spans="1:1" x14ac:dyDescent="0.25">
      <c r="A86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33" spans="1:1" x14ac:dyDescent="0.25">
      <c r="A86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34" spans="1:1" x14ac:dyDescent="0.25">
      <c r="A86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35" spans="1:1" x14ac:dyDescent="0.25">
      <c r="A86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36" spans="1:1" x14ac:dyDescent="0.25">
      <c r="A86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37" spans="1:1" x14ac:dyDescent="0.25">
      <c r="A86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38" spans="1:1" x14ac:dyDescent="0.25">
      <c r="A86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39" spans="1:1" x14ac:dyDescent="0.25">
      <c r="A86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40" spans="1:1" x14ac:dyDescent="0.25">
      <c r="A86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41" spans="1:1" x14ac:dyDescent="0.25">
      <c r="A86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42" spans="1:1" x14ac:dyDescent="0.25">
      <c r="A86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43" spans="1:1" x14ac:dyDescent="0.25">
      <c r="A86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44" spans="1:1" x14ac:dyDescent="0.25">
      <c r="A86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45" spans="1:1" x14ac:dyDescent="0.25">
      <c r="A86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46" spans="1:1" x14ac:dyDescent="0.25">
      <c r="A86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47" spans="1:1" x14ac:dyDescent="0.25">
      <c r="A86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48" spans="1:1" x14ac:dyDescent="0.25">
      <c r="A86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49" spans="1:1" x14ac:dyDescent="0.25">
      <c r="A86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50" spans="1:1" x14ac:dyDescent="0.25">
      <c r="A86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51" spans="1:1" x14ac:dyDescent="0.25">
      <c r="A86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52" spans="1:1" x14ac:dyDescent="0.25">
      <c r="A86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53" spans="1:1" x14ac:dyDescent="0.25">
      <c r="A86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54" spans="1:1" x14ac:dyDescent="0.25">
      <c r="A86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55" spans="1:1" x14ac:dyDescent="0.25">
      <c r="A86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56" spans="1:1" x14ac:dyDescent="0.25">
      <c r="A86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57" spans="1:1" x14ac:dyDescent="0.25">
      <c r="A86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58" spans="1:1" x14ac:dyDescent="0.25">
      <c r="A86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59" spans="1:1" x14ac:dyDescent="0.25">
      <c r="A86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60" spans="1:1" x14ac:dyDescent="0.25">
      <c r="A86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61" spans="1:1" x14ac:dyDescent="0.25">
      <c r="A86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62" spans="1:1" x14ac:dyDescent="0.25">
      <c r="A86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63" spans="1:1" x14ac:dyDescent="0.25">
      <c r="A86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64" spans="1:1" x14ac:dyDescent="0.25">
      <c r="A86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65" spans="1:1" x14ac:dyDescent="0.25">
      <c r="A86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66" spans="1:1" x14ac:dyDescent="0.25">
      <c r="A86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67" spans="1:1" x14ac:dyDescent="0.25">
      <c r="A86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68" spans="1:1" x14ac:dyDescent="0.25">
      <c r="A86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69" spans="1:1" x14ac:dyDescent="0.25">
      <c r="A86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70" spans="1:1" x14ac:dyDescent="0.25">
      <c r="A86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71" spans="1:1" x14ac:dyDescent="0.25">
      <c r="A86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72" spans="1:1" x14ac:dyDescent="0.25">
      <c r="A86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73" spans="1:1" x14ac:dyDescent="0.25">
      <c r="A86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74" spans="1:1" x14ac:dyDescent="0.25">
      <c r="A86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75" spans="1:1" x14ac:dyDescent="0.25">
      <c r="A86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76" spans="1:1" x14ac:dyDescent="0.25">
      <c r="A86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77" spans="1:1" x14ac:dyDescent="0.25">
      <c r="A86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78" spans="1:1" x14ac:dyDescent="0.25">
      <c r="A86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79" spans="1:1" x14ac:dyDescent="0.25">
      <c r="A86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80" spans="1:1" x14ac:dyDescent="0.25">
      <c r="A86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81" spans="1:1" x14ac:dyDescent="0.25">
      <c r="A86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82" spans="1:1" x14ac:dyDescent="0.25">
      <c r="A86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83" spans="1:1" x14ac:dyDescent="0.25">
      <c r="A86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84" spans="1:1" x14ac:dyDescent="0.25">
      <c r="A86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85" spans="1:1" x14ac:dyDescent="0.25">
      <c r="A86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86" spans="1:1" x14ac:dyDescent="0.25">
      <c r="A86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87" spans="1:1" x14ac:dyDescent="0.25">
      <c r="A86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88" spans="1:1" x14ac:dyDescent="0.25">
      <c r="A86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89" spans="1:1" x14ac:dyDescent="0.25">
      <c r="A86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90" spans="1:1" x14ac:dyDescent="0.25">
      <c r="A86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91" spans="1:1" x14ac:dyDescent="0.25">
      <c r="A86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92" spans="1:1" x14ac:dyDescent="0.25">
      <c r="A86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93" spans="1:1" x14ac:dyDescent="0.25">
      <c r="A86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94" spans="1:1" x14ac:dyDescent="0.25">
      <c r="A86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95" spans="1:1" x14ac:dyDescent="0.25">
      <c r="A86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96" spans="1:1" x14ac:dyDescent="0.25">
      <c r="A86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97" spans="1:1" x14ac:dyDescent="0.25">
      <c r="A86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98" spans="1:1" x14ac:dyDescent="0.25">
      <c r="A86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699" spans="1:1" x14ac:dyDescent="0.25">
      <c r="A86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00" spans="1:1" x14ac:dyDescent="0.25">
      <c r="A87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01" spans="1:1" x14ac:dyDescent="0.25">
      <c r="A87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02" spans="1:1" x14ac:dyDescent="0.25">
      <c r="A87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03" spans="1:1" x14ac:dyDescent="0.25">
      <c r="A87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04" spans="1:1" x14ac:dyDescent="0.25">
      <c r="A87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05" spans="1:1" x14ac:dyDescent="0.25">
      <c r="A87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06" spans="1:1" x14ac:dyDescent="0.25">
      <c r="A87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07" spans="1:1" x14ac:dyDescent="0.25">
      <c r="A87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08" spans="1:1" x14ac:dyDescent="0.25">
      <c r="A87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09" spans="1:1" x14ac:dyDescent="0.25">
      <c r="A87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10" spans="1:1" x14ac:dyDescent="0.25">
      <c r="A87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11" spans="1:1" x14ac:dyDescent="0.25">
      <c r="A87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12" spans="1:1" x14ac:dyDescent="0.25">
      <c r="A87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13" spans="1:1" x14ac:dyDescent="0.25">
      <c r="A87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14" spans="1:1" x14ac:dyDescent="0.25">
      <c r="A87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15" spans="1:1" x14ac:dyDescent="0.25">
      <c r="A87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16" spans="1:1" x14ac:dyDescent="0.25">
      <c r="A87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17" spans="1:1" x14ac:dyDescent="0.25">
      <c r="A87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18" spans="1:1" x14ac:dyDescent="0.25">
      <c r="A87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19" spans="1:1" x14ac:dyDescent="0.25">
      <c r="A87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20" spans="1:1" x14ac:dyDescent="0.25">
      <c r="A87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21" spans="1:1" x14ac:dyDescent="0.25">
      <c r="A87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22" spans="1:1" x14ac:dyDescent="0.25">
      <c r="A87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23" spans="1:1" x14ac:dyDescent="0.25">
      <c r="A87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24" spans="1:1" x14ac:dyDescent="0.25">
      <c r="A87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25" spans="1:1" x14ac:dyDescent="0.25">
      <c r="A87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26" spans="1:1" x14ac:dyDescent="0.25">
      <c r="A87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27" spans="1:1" x14ac:dyDescent="0.25">
      <c r="A87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28" spans="1:1" x14ac:dyDescent="0.25">
      <c r="A87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29" spans="1:1" x14ac:dyDescent="0.25">
      <c r="A87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30" spans="1:1" x14ac:dyDescent="0.25">
      <c r="A87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31" spans="1:1" x14ac:dyDescent="0.25">
      <c r="A87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32" spans="1:1" x14ac:dyDescent="0.25">
      <c r="A87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33" spans="1:1" x14ac:dyDescent="0.25">
      <c r="A87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34" spans="1:1" x14ac:dyDescent="0.25">
      <c r="A87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35" spans="1:1" x14ac:dyDescent="0.25">
      <c r="A87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36" spans="1:1" x14ac:dyDescent="0.25">
      <c r="A87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37" spans="1:1" x14ac:dyDescent="0.25">
      <c r="A87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38" spans="1:1" x14ac:dyDescent="0.25">
      <c r="A87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39" spans="1:1" x14ac:dyDescent="0.25">
      <c r="A87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40" spans="1:1" x14ac:dyDescent="0.25">
      <c r="A87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41" spans="1:1" x14ac:dyDescent="0.25">
      <c r="A87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42" spans="1:1" x14ac:dyDescent="0.25">
      <c r="A87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43" spans="1:1" x14ac:dyDescent="0.25">
      <c r="A87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44" spans="1:1" x14ac:dyDescent="0.25">
      <c r="A87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45" spans="1:1" x14ac:dyDescent="0.25">
      <c r="A87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46" spans="1:1" x14ac:dyDescent="0.25">
      <c r="A87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47" spans="1:1" x14ac:dyDescent="0.25">
      <c r="A87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48" spans="1:1" x14ac:dyDescent="0.25">
      <c r="A87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49" spans="1:1" x14ac:dyDescent="0.25">
      <c r="A87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50" spans="1:1" x14ac:dyDescent="0.25">
      <c r="A87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51" spans="1:1" x14ac:dyDescent="0.25">
      <c r="A87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52" spans="1:1" x14ac:dyDescent="0.25">
      <c r="A87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53" spans="1:1" x14ac:dyDescent="0.25">
      <c r="A87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54" spans="1:1" x14ac:dyDescent="0.25">
      <c r="A87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55" spans="1:1" x14ac:dyDescent="0.25">
      <c r="A87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56" spans="1:1" x14ac:dyDescent="0.25">
      <c r="A87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57" spans="1:1" x14ac:dyDescent="0.25">
      <c r="A87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58" spans="1:1" x14ac:dyDescent="0.25">
      <c r="A87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59" spans="1:1" x14ac:dyDescent="0.25">
      <c r="A87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60" spans="1:1" x14ac:dyDescent="0.25">
      <c r="A87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61" spans="1:1" x14ac:dyDescent="0.25">
      <c r="A87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62" spans="1:1" x14ac:dyDescent="0.25">
      <c r="A87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63" spans="1:1" x14ac:dyDescent="0.25">
      <c r="A87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64" spans="1:1" x14ac:dyDescent="0.25">
      <c r="A87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65" spans="1:1" x14ac:dyDescent="0.25">
      <c r="A87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66" spans="1:1" x14ac:dyDescent="0.25">
      <c r="A87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67" spans="1:1" x14ac:dyDescent="0.25">
      <c r="A87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68" spans="1:1" x14ac:dyDescent="0.25">
      <c r="A87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69" spans="1:1" x14ac:dyDescent="0.25">
      <c r="A87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70" spans="1:1" x14ac:dyDescent="0.25">
      <c r="A87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71" spans="1:1" x14ac:dyDescent="0.25">
      <c r="A87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72" spans="1:1" x14ac:dyDescent="0.25">
      <c r="A87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73" spans="1:1" x14ac:dyDescent="0.25">
      <c r="A87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74" spans="1:1" x14ac:dyDescent="0.25">
      <c r="A87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75" spans="1:1" x14ac:dyDescent="0.25">
      <c r="A87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76" spans="1:1" x14ac:dyDescent="0.25">
      <c r="A87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77" spans="1:1" x14ac:dyDescent="0.25">
      <c r="A87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78" spans="1:1" x14ac:dyDescent="0.25">
      <c r="A87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79" spans="1:1" x14ac:dyDescent="0.25">
      <c r="A87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80" spans="1:1" x14ac:dyDescent="0.25">
      <c r="A87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81" spans="1:1" x14ac:dyDescent="0.25">
      <c r="A87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82" spans="1:1" x14ac:dyDescent="0.25">
      <c r="A87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83" spans="1:1" x14ac:dyDescent="0.25">
      <c r="A87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84" spans="1:1" x14ac:dyDescent="0.25">
      <c r="A87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85" spans="1:1" x14ac:dyDescent="0.25">
      <c r="A87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86" spans="1:1" x14ac:dyDescent="0.25">
      <c r="A87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87" spans="1:1" x14ac:dyDescent="0.25">
      <c r="A87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88" spans="1:1" x14ac:dyDescent="0.25">
      <c r="A87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89" spans="1:1" x14ac:dyDescent="0.25">
      <c r="A87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90" spans="1:1" x14ac:dyDescent="0.25">
      <c r="A87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91" spans="1:1" x14ac:dyDescent="0.25">
      <c r="A87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92" spans="1:1" x14ac:dyDescent="0.25">
      <c r="A87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93" spans="1:1" x14ac:dyDescent="0.25">
      <c r="A87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94" spans="1:1" x14ac:dyDescent="0.25">
      <c r="A87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95" spans="1:1" x14ac:dyDescent="0.25">
      <c r="A87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96" spans="1:1" x14ac:dyDescent="0.25">
      <c r="A87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97" spans="1:1" x14ac:dyDescent="0.25">
      <c r="A87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98" spans="1:1" x14ac:dyDescent="0.25">
      <c r="A87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799" spans="1:1" x14ac:dyDescent="0.25">
      <c r="A87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00" spans="1:1" x14ac:dyDescent="0.25">
      <c r="A88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01" spans="1:1" x14ac:dyDescent="0.25">
      <c r="A88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02" spans="1:1" x14ac:dyDescent="0.25">
      <c r="A88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03" spans="1:1" x14ac:dyDescent="0.25">
      <c r="A88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04" spans="1:1" x14ac:dyDescent="0.25">
      <c r="A88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05" spans="1:1" x14ac:dyDescent="0.25">
      <c r="A88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06" spans="1:1" x14ac:dyDescent="0.25">
      <c r="A88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07" spans="1:1" x14ac:dyDescent="0.25">
      <c r="A88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08" spans="1:1" x14ac:dyDescent="0.25">
      <c r="A88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09" spans="1:1" x14ac:dyDescent="0.25">
      <c r="A88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10" spans="1:1" x14ac:dyDescent="0.25">
      <c r="A88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11" spans="1:1" x14ac:dyDescent="0.25">
      <c r="A88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12" spans="1:1" x14ac:dyDescent="0.25">
      <c r="A88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13" spans="1:1" x14ac:dyDescent="0.25">
      <c r="A88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14" spans="1:1" x14ac:dyDescent="0.25">
      <c r="A88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15" spans="1:1" x14ac:dyDescent="0.25">
      <c r="A88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16" spans="1:1" x14ac:dyDescent="0.25">
      <c r="A88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17" spans="1:1" x14ac:dyDescent="0.25">
      <c r="A88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18" spans="1:1" x14ac:dyDescent="0.25">
      <c r="A88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19" spans="1:1" x14ac:dyDescent="0.25">
      <c r="A88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20" spans="1:1" x14ac:dyDescent="0.25">
      <c r="A88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21" spans="1:1" x14ac:dyDescent="0.25">
      <c r="A88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22" spans="1:1" x14ac:dyDescent="0.25">
      <c r="A88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23" spans="1:1" x14ac:dyDescent="0.25">
      <c r="A88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24" spans="1:1" x14ac:dyDescent="0.25">
      <c r="A88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25" spans="1:1" x14ac:dyDescent="0.25">
      <c r="A88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26" spans="1:1" x14ac:dyDescent="0.25">
      <c r="A88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27" spans="1:1" x14ac:dyDescent="0.25">
      <c r="A88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28" spans="1:1" x14ac:dyDescent="0.25">
      <c r="A88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29" spans="1:1" x14ac:dyDescent="0.25">
      <c r="A88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30" spans="1:1" x14ac:dyDescent="0.25">
      <c r="A88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31" spans="1:1" x14ac:dyDescent="0.25">
      <c r="A88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32" spans="1:1" x14ac:dyDescent="0.25">
      <c r="A88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33" spans="1:1" x14ac:dyDescent="0.25">
      <c r="A88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34" spans="1:1" x14ac:dyDescent="0.25">
      <c r="A88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35" spans="1:1" x14ac:dyDescent="0.25">
      <c r="A88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36" spans="1:1" x14ac:dyDescent="0.25">
      <c r="A88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37" spans="1:1" x14ac:dyDescent="0.25">
      <c r="A88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38" spans="1:1" x14ac:dyDescent="0.25">
      <c r="A88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39" spans="1:1" x14ac:dyDescent="0.25">
      <c r="A88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40" spans="1:1" x14ac:dyDescent="0.25">
      <c r="A88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41" spans="1:1" x14ac:dyDescent="0.25">
      <c r="A88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42" spans="1:1" x14ac:dyDescent="0.25">
      <c r="A88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43" spans="1:1" x14ac:dyDescent="0.25">
      <c r="A88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44" spans="1:1" x14ac:dyDescent="0.25">
      <c r="A88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45" spans="1:1" x14ac:dyDescent="0.25">
      <c r="A88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46" spans="1:1" x14ac:dyDescent="0.25">
      <c r="A88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47" spans="1:1" x14ac:dyDescent="0.25">
      <c r="A88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48" spans="1:1" x14ac:dyDescent="0.25">
      <c r="A88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49" spans="1:1" x14ac:dyDescent="0.25">
      <c r="A88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50" spans="1:1" x14ac:dyDescent="0.25">
      <c r="A88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51" spans="1:1" x14ac:dyDescent="0.25">
      <c r="A88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52" spans="1:1" x14ac:dyDescent="0.25">
      <c r="A88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53" spans="1:1" x14ac:dyDescent="0.25">
      <c r="A88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54" spans="1:1" x14ac:dyDescent="0.25">
      <c r="A88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55" spans="1:1" x14ac:dyDescent="0.25">
      <c r="A88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56" spans="1:1" x14ac:dyDescent="0.25">
      <c r="A88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57" spans="1:1" x14ac:dyDescent="0.25">
      <c r="A88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58" spans="1:1" x14ac:dyDescent="0.25">
      <c r="A88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59" spans="1:1" x14ac:dyDescent="0.25">
      <c r="A88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60" spans="1:1" x14ac:dyDescent="0.25">
      <c r="A88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61" spans="1:1" x14ac:dyDescent="0.25">
      <c r="A88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62" spans="1:1" x14ac:dyDescent="0.25">
      <c r="A88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63" spans="1:1" x14ac:dyDescent="0.25">
      <c r="A88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64" spans="1:1" x14ac:dyDescent="0.25">
      <c r="A88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65" spans="1:1" x14ac:dyDescent="0.25">
      <c r="A88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66" spans="1:1" x14ac:dyDescent="0.25">
      <c r="A88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67" spans="1:1" x14ac:dyDescent="0.25">
      <c r="A88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68" spans="1:1" x14ac:dyDescent="0.25">
      <c r="A88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69" spans="1:1" x14ac:dyDescent="0.25">
      <c r="A88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70" spans="1:1" x14ac:dyDescent="0.25">
      <c r="A88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71" spans="1:1" x14ac:dyDescent="0.25">
      <c r="A88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72" spans="1:1" x14ac:dyDescent="0.25">
      <c r="A88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73" spans="1:1" x14ac:dyDescent="0.25">
      <c r="A88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74" spans="1:1" x14ac:dyDescent="0.25">
      <c r="A88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75" spans="1:1" x14ac:dyDescent="0.25">
      <c r="A88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76" spans="1:1" x14ac:dyDescent="0.25">
      <c r="A88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77" spans="1:1" x14ac:dyDescent="0.25">
      <c r="A88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78" spans="1:1" x14ac:dyDescent="0.25">
      <c r="A88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79" spans="1:1" x14ac:dyDescent="0.25">
      <c r="A88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80" spans="1:1" x14ac:dyDescent="0.25">
      <c r="A88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81" spans="1:1" x14ac:dyDescent="0.25">
      <c r="A88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82" spans="1:1" x14ac:dyDescent="0.25">
      <c r="A88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83" spans="1:1" x14ac:dyDescent="0.25">
      <c r="A88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84" spans="1:1" x14ac:dyDescent="0.25">
      <c r="A88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85" spans="1:1" x14ac:dyDescent="0.25">
      <c r="A88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86" spans="1:1" x14ac:dyDescent="0.25">
      <c r="A88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87" spans="1:1" x14ac:dyDescent="0.25">
      <c r="A88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88" spans="1:1" x14ac:dyDescent="0.25">
      <c r="A88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89" spans="1:1" x14ac:dyDescent="0.25">
      <c r="A88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90" spans="1:1" x14ac:dyDescent="0.25">
      <c r="A88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91" spans="1:1" x14ac:dyDescent="0.25">
      <c r="A88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92" spans="1:1" x14ac:dyDescent="0.25">
      <c r="A88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93" spans="1:1" x14ac:dyDescent="0.25">
      <c r="A88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94" spans="1:1" x14ac:dyDescent="0.25">
      <c r="A88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95" spans="1:1" x14ac:dyDescent="0.25">
      <c r="A88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96" spans="1:1" x14ac:dyDescent="0.25">
      <c r="A88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97" spans="1:1" x14ac:dyDescent="0.25">
      <c r="A88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98" spans="1:1" x14ac:dyDescent="0.25">
      <c r="A88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899" spans="1:1" x14ac:dyDescent="0.25">
      <c r="A88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00" spans="1:1" x14ac:dyDescent="0.25">
      <c r="A89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01" spans="1:1" x14ac:dyDescent="0.25">
      <c r="A89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02" spans="1:1" x14ac:dyDescent="0.25">
      <c r="A89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03" spans="1:1" x14ac:dyDescent="0.25">
      <c r="A89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04" spans="1:1" x14ac:dyDescent="0.25">
      <c r="A89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05" spans="1:1" x14ac:dyDescent="0.25">
      <c r="A89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06" spans="1:1" x14ac:dyDescent="0.25">
      <c r="A89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07" spans="1:1" x14ac:dyDescent="0.25">
      <c r="A89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08" spans="1:1" x14ac:dyDescent="0.25">
      <c r="A89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09" spans="1:1" x14ac:dyDescent="0.25">
      <c r="A89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10" spans="1:1" x14ac:dyDescent="0.25">
      <c r="A89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11" spans="1:1" x14ac:dyDescent="0.25">
      <c r="A89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12" spans="1:1" x14ac:dyDescent="0.25">
      <c r="A89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13" spans="1:1" x14ac:dyDescent="0.25">
      <c r="A89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14" spans="1:1" x14ac:dyDescent="0.25">
      <c r="A89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15" spans="1:1" x14ac:dyDescent="0.25">
      <c r="A89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16" spans="1:1" x14ac:dyDescent="0.25">
      <c r="A89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17" spans="1:1" x14ac:dyDescent="0.25">
      <c r="A89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18" spans="1:1" x14ac:dyDescent="0.25">
      <c r="A89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19" spans="1:1" x14ac:dyDescent="0.25">
      <c r="A89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20" spans="1:1" x14ac:dyDescent="0.25">
      <c r="A89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21" spans="1:1" x14ac:dyDescent="0.25">
      <c r="A89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22" spans="1:1" x14ac:dyDescent="0.25">
      <c r="A89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23" spans="1:1" x14ac:dyDescent="0.25">
      <c r="A89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24" spans="1:1" x14ac:dyDescent="0.25">
      <c r="A89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25" spans="1:1" x14ac:dyDescent="0.25">
      <c r="A89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26" spans="1:1" x14ac:dyDescent="0.25">
      <c r="A89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27" spans="1:1" x14ac:dyDescent="0.25">
      <c r="A89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28" spans="1:1" x14ac:dyDescent="0.25">
      <c r="A89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29" spans="1:1" x14ac:dyDescent="0.25">
      <c r="A89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30" spans="1:1" x14ac:dyDescent="0.25">
      <c r="A89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31" spans="1:1" x14ac:dyDescent="0.25">
      <c r="A89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32" spans="1:1" x14ac:dyDescent="0.25">
      <c r="A89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33" spans="1:1" x14ac:dyDescent="0.25">
      <c r="A89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34" spans="1:1" x14ac:dyDescent="0.25">
      <c r="A89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35" spans="1:1" x14ac:dyDescent="0.25">
      <c r="A89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36" spans="1:1" x14ac:dyDescent="0.25">
      <c r="A89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37" spans="1:1" x14ac:dyDescent="0.25">
      <c r="A89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38" spans="1:1" x14ac:dyDescent="0.25">
      <c r="A89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39" spans="1:1" x14ac:dyDescent="0.25">
      <c r="A89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40" spans="1:1" x14ac:dyDescent="0.25">
      <c r="A89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41" spans="1:1" x14ac:dyDescent="0.25">
      <c r="A89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42" spans="1:1" x14ac:dyDescent="0.25">
      <c r="A89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43" spans="1:1" x14ac:dyDescent="0.25">
      <c r="A89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44" spans="1:1" x14ac:dyDescent="0.25">
      <c r="A89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45" spans="1:1" x14ac:dyDescent="0.25">
      <c r="A89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46" spans="1:1" x14ac:dyDescent="0.25">
      <c r="A89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47" spans="1:1" x14ac:dyDescent="0.25">
      <c r="A89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48" spans="1:1" x14ac:dyDescent="0.25">
      <c r="A89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49" spans="1:1" x14ac:dyDescent="0.25">
      <c r="A89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50" spans="1:1" x14ac:dyDescent="0.25">
      <c r="A89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51" spans="1:1" x14ac:dyDescent="0.25">
      <c r="A89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52" spans="1:1" x14ac:dyDescent="0.25">
      <c r="A89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53" spans="1:1" x14ac:dyDescent="0.25">
      <c r="A89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54" spans="1:1" x14ac:dyDescent="0.25">
      <c r="A89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55" spans="1:1" x14ac:dyDescent="0.25">
      <c r="A89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56" spans="1:1" x14ac:dyDescent="0.25">
      <c r="A89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57" spans="1:1" x14ac:dyDescent="0.25">
      <c r="A89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58" spans="1:1" x14ac:dyDescent="0.25">
      <c r="A89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59" spans="1:1" x14ac:dyDescent="0.25">
      <c r="A89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60" spans="1:1" x14ac:dyDescent="0.25">
      <c r="A89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61" spans="1:1" x14ac:dyDescent="0.25">
      <c r="A89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62" spans="1:1" x14ac:dyDescent="0.25">
      <c r="A89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63" spans="1:1" x14ac:dyDescent="0.25">
      <c r="A89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64" spans="1:1" x14ac:dyDescent="0.25">
      <c r="A89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65" spans="1:1" x14ac:dyDescent="0.25">
      <c r="A89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66" spans="1:1" x14ac:dyDescent="0.25">
      <c r="A89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67" spans="1:1" x14ac:dyDescent="0.25">
      <c r="A89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68" spans="1:1" x14ac:dyDescent="0.25">
      <c r="A89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69" spans="1:1" x14ac:dyDescent="0.25">
      <c r="A89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70" spans="1:1" x14ac:dyDescent="0.25">
      <c r="A89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71" spans="1:1" x14ac:dyDescent="0.25">
      <c r="A89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72" spans="1:1" x14ac:dyDescent="0.25">
      <c r="A89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73" spans="1:1" x14ac:dyDescent="0.25">
      <c r="A89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74" spans="1:1" x14ac:dyDescent="0.25">
      <c r="A89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75" spans="1:1" x14ac:dyDescent="0.25">
      <c r="A89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76" spans="1:1" x14ac:dyDescent="0.25">
      <c r="A89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77" spans="1:1" x14ac:dyDescent="0.25">
      <c r="A89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78" spans="1:1" x14ac:dyDescent="0.25">
      <c r="A89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79" spans="1:1" x14ac:dyDescent="0.25">
      <c r="A89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80" spans="1:1" x14ac:dyDescent="0.25">
      <c r="A89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81" spans="1:1" x14ac:dyDescent="0.25">
      <c r="A89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82" spans="1:1" x14ac:dyDescent="0.25">
      <c r="A89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83" spans="1:1" x14ac:dyDescent="0.25">
      <c r="A89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84" spans="1:1" x14ac:dyDescent="0.25">
      <c r="A89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85" spans="1:1" x14ac:dyDescent="0.25">
      <c r="A89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86" spans="1:1" x14ac:dyDescent="0.25">
      <c r="A89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87" spans="1:1" x14ac:dyDescent="0.25">
      <c r="A89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88" spans="1:1" x14ac:dyDescent="0.25">
      <c r="A89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89" spans="1:1" x14ac:dyDescent="0.25">
      <c r="A89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90" spans="1:1" x14ac:dyDescent="0.25">
      <c r="A89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91" spans="1:1" x14ac:dyDescent="0.25">
      <c r="A89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92" spans="1:1" x14ac:dyDescent="0.25">
      <c r="A89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93" spans="1:1" x14ac:dyDescent="0.25">
      <c r="A89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94" spans="1:1" x14ac:dyDescent="0.25">
      <c r="A89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95" spans="1:1" x14ac:dyDescent="0.25">
      <c r="A89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96" spans="1:1" x14ac:dyDescent="0.25">
      <c r="A89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97" spans="1:1" x14ac:dyDescent="0.25">
      <c r="A89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98" spans="1:1" x14ac:dyDescent="0.25">
      <c r="A89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8999" spans="1:1" x14ac:dyDescent="0.25">
      <c r="A89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00" spans="1:1" x14ac:dyDescent="0.25">
      <c r="A90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01" spans="1:1" x14ac:dyDescent="0.25">
      <c r="A90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02" spans="1:1" x14ac:dyDescent="0.25">
      <c r="A90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03" spans="1:1" x14ac:dyDescent="0.25">
      <c r="A90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04" spans="1:1" x14ac:dyDescent="0.25">
      <c r="A90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05" spans="1:1" x14ac:dyDescent="0.25">
      <c r="A90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06" spans="1:1" x14ac:dyDescent="0.25">
      <c r="A90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07" spans="1:1" x14ac:dyDescent="0.25">
      <c r="A90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08" spans="1:1" x14ac:dyDescent="0.25">
      <c r="A90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09" spans="1:1" x14ac:dyDescent="0.25">
      <c r="A90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10" spans="1:1" x14ac:dyDescent="0.25">
      <c r="A90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11" spans="1:1" x14ac:dyDescent="0.25">
      <c r="A90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12" spans="1:1" x14ac:dyDescent="0.25">
      <c r="A90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13" spans="1:1" x14ac:dyDescent="0.25">
      <c r="A90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14" spans="1:1" x14ac:dyDescent="0.25">
      <c r="A90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15" spans="1:1" x14ac:dyDescent="0.25">
      <c r="A90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16" spans="1:1" x14ac:dyDescent="0.25">
      <c r="A90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17" spans="1:1" x14ac:dyDescent="0.25">
      <c r="A90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18" spans="1:1" x14ac:dyDescent="0.25">
      <c r="A90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19" spans="1:1" x14ac:dyDescent="0.25">
      <c r="A90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20" spans="1:1" x14ac:dyDescent="0.25">
      <c r="A90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21" spans="1:1" x14ac:dyDescent="0.25">
      <c r="A90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22" spans="1:1" x14ac:dyDescent="0.25">
      <c r="A90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23" spans="1:1" x14ac:dyDescent="0.25">
      <c r="A90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24" spans="1:1" x14ac:dyDescent="0.25">
      <c r="A90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25" spans="1:1" x14ac:dyDescent="0.25">
      <c r="A90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26" spans="1:1" x14ac:dyDescent="0.25">
      <c r="A90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27" spans="1:1" x14ac:dyDescent="0.25">
      <c r="A90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28" spans="1:1" x14ac:dyDescent="0.25">
      <c r="A90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29" spans="1:1" x14ac:dyDescent="0.25">
      <c r="A90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30" spans="1:1" x14ac:dyDescent="0.25">
      <c r="A90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31" spans="1:1" x14ac:dyDescent="0.25">
      <c r="A90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32" spans="1:1" x14ac:dyDescent="0.25">
      <c r="A90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33" spans="1:1" x14ac:dyDescent="0.25">
      <c r="A90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34" spans="1:1" x14ac:dyDescent="0.25">
      <c r="A90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35" spans="1:1" x14ac:dyDescent="0.25">
      <c r="A90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36" spans="1:1" x14ac:dyDescent="0.25">
      <c r="A90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37" spans="1:1" x14ac:dyDescent="0.25">
      <c r="A90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38" spans="1:1" x14ac:dyDescent="0.25">
      <c r="A90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39" spans="1:1" x14ac:dyDescent="0.25">
      <c r="A90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40" spans="1:1" x14ac:dyDescent="0.25">
      <c r="A90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41" spans="1:1" x14ac:dyDescent="0.25">
      <c r="A90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42" spans="1:1" x14ac:dyDescent="0.25">
      <c r="A90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43" spans="1:1" x14ac:dyDescent="0.25">
      <c r="A90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44" spans="1:1" x14ac:dyDescent="0.25">
      <c r="A90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45" spans="1:1" x14ac:dyDescent="0.25">
      <c r="A90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46" spans="1:1" x14ac:dyDescent="0.25">
      <c r="A90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47" spans="1:1" x14ac:dyDescent="0.25">
      <c r="A90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48" spans="1:1" x14ac:dyDescent="0.25">
      <c r="A90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49" spans="1:1" x14ac:dyDescent="0.25">
      <c r="A90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50" spans="1:1" x14ac:dyDescent="0.25">
      <c r="A90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51" spans="1:1" x14ac:dyDescent="0.25">
      <c r="A90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52" spans="1:1" x14ac:dyDescent="0.25">
      <c r="A90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53" spans="1:1" x14ac:dyDescent="0.25">
      <c r="A90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54" spans="1:1" x14ac:dyDescent="0.25">
      <c r="A90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55" spans="1:1" x14ac:dyDescent="0.25">
      <c r="A90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56" spans="1:1" x14ac:dyDescent="0.25">
      <c r="A90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57" spans="1:1" x14ac:dyDescent="0.25">
      <c r="A90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58" spans="1:1" x14ac:dyDescent="0.25">
      <c r="A90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59" spans="1:1" x14ac:dyDescent="0.25">
      <c r="A90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60" spans="1:1" x14ac:dyDescent="0.25">
      <c r="A90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61" spans="1:1" x14ac:dyDescent="0.25">
      <c r="A90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62" spans="1:1" x14ac:dyDescent="0.25">
      <c r="A90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63" spans="1:1" x14ac:dyDescent="0.25">
      <c r="A90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64" spans="1:1" x14ac:dyDescent="0.25">
      <c r="A90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65" spans="1:1" x14ac:dyDescent="0.25">
      <c r="A90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66" spans="1:1" x14ac:dyDescent="0.25">
      <c r="A90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67" spans="1:1" x14ac:dyDescent="0.25">
      <c r="A90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68" spans="1:1" x14ac:dyDescent="0.25">
      <c r="A90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69" spans="1:1" x14ac:dyDescent="0.25">
      <c r="A90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70" spans="1:1" x14ac:dyDescent="0.25">
      <c r="A90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71" spans="1:1" x14ac:dyDescent="0.25">
      <c r="A90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72" spans="1:1" x14ac:dyDescent="0.25">
      <c r="A90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73" spans="1:1" x14ac:dyDescent="0.25">
      <c r="A90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74" spans="1:1" x14ac:dyDescent="0.25">
      <c r="A90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75" spans="1:1" x14ac:dyDescent="0.25">
      <c r="A90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76" spans="1:1" x14ac:dyDescent="0.25">
      <c r="A90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77" spans="1:1" x14ac:dyDescent="0.25">
      <c r="A90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78" spans="1:1" x14ac:dyDescent="0.25">
      <c r="A90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79" spans="1:1" x14ac:dyDescent="0.25">
      <c r="A90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80" spans="1:1" x14ac:dyDescent="0.25">
      <c r="A90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81" spans="1:1" x14ac:dyDescent="0.25">
      <c r="A90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82" spans="1:1" x14ac:dyDescent="0.25">
      <c r="A90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83" spans="1:1" x14ac:dyDescent="0.25">
      <c r="A90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84" spans="1:1" x14ac:dyDescent="0.25">
      <c r="A90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85" spans="1:1" x14ac:dyDescent="0.25">
      <c r="A90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86" spans="1:1" x14ac:dyDescent="0.25">
      <c r="A90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87" spans="1:1" x14ac:dyDescent="0.25">
      <c r="A90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88" spans="1:1" x14ac:dyDescent="0.25">
      <c r="A90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89" spans="1:1" x14ac:dyDescent="0.25">
      <c r="A90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90" spans="1:1" x14ac:dyDescent="0.25">
      <c r="A90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91" spans="1:1" x14ac:dyDescent="0.25">
      <c r="A90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92" spans="1:1" x14ac:dyDescent="0.25">
      <c r="A90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93" spans="1:1" x14ac:dyDescent="0.25">
      <c r="A90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94" spans="1:1" x14ac:dyDescent="0.25">
      <c r="A90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95" spans="1:1" x14ac:dyDescent="0.25">
      <c r="A90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96" spans="1:1" x14ac:dyDescent="0.25">
      <c r="A90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97" spans="1:1" x14ac:dyDescent="0.25">
      <c r="A90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98" spans="1:1" x14ac:dyDescent="0.25">
      <c r="A90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099" spans="1:1" x14ac:dyDescent="0.25">
      <c r="A90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00" spans="1:1" x14ac:dyDescent="0.25">
      <c r="A91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01" spans="1:1" x14ac:dyDescent="0.25">
      <c r="A91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02" spans="1:1" x14ac:dyDescent="0.25">
      <c r="A91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03" spans="1:1" x14ac:dyDescent="0.25">
      <c r="A91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04" spans="1:1" x14ac:dyDescent="0.25">
      <c r="A91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05" spans="1:1" x14ac:dyDescent="0.25">
      <c r="A91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06" spans="1:1" x14ac:dyDescent="0.25">
      <c r="A91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07" spans="1:1" x14ac:dyDescent="0.25">
      <c r="A91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08" spans="1:1" x14ac:dyDescent="0.25">
      <c r="A91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09" spans="1:1" x14ac:dyDescent="0.25">
      <c r="A91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10" spans="1:1" x14ac:dyDescent="0.25">
      <c r="A91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11" spans="1:1" x14ac:dyDescent="0.25">
      <c r="A91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12" spans="1:1" x14ac:dyDescent="0.25">
      <c r="A91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13" spans="1:1" x14ac:dyDescent="0.25">
      <c r="A91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14" spans="1:1" x14ac:dyDescent="0.25">
      <c r="A91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15" spans="1:1" x14ac:dyDescent="0.25">
      <c r="A91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16" spans="1:1" x14ac:dyDescent="0.25">
      <c r="A91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17" spans="1:1" x14ac:dyDescent="0.25">
      <c r="A91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18" spans="1:1" x14ac:dyDescent="0.25">
      <c r="A91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19" spans="1:1" x14ac:dyDescent="0.25">
      <c r="A91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20" spans="1:1" x14ac:dyDescent="0.25">
      <c r="A91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21" spans="1:1" x14ac:dyDescent="0.25">
      <c r="A91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22" spans="1:1" x14ac:dyDescent="0.25">
      <c r="A91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23" spans="1:1" x14ac:dyDescent="0.25">
      <c r="A91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24" spans="1:1" x14ac:dyDescent="0.25">
      <c r="A91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25" spans="1:1" x14ac:dyDescent="0.25">
      <c r="A91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26" spans="1:1" x14ac:dyDescent="0.25">
      <c r="A91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27" spans="1:1" x14ac:dyDescent="0.25">
      <c r="A91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28" spans="1:1" x14ac:dyDescent="0.25">
      <c r="A91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29" spans="1:1" x14ac:dyDescent="0.25">
      <c r="A91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30" spans="1:1" x14ac:dyDescent="0.25">
      <c r="A91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31" spans="1:1" x14ac:dyDescent="0.25">
      <c r="A91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32" spans="1:1" x14ac:dyDescent="0.25">
      <c r="A91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33" spans="1:1" x14ac:dyDescent="0.25">
      <c r="A91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34" spans="1:1" x14ac:dyDescent="0.25">
      <c r="A91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35" spans="1:1" x14ac:dyDescent="0.25">
      <c r="A91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36" spans="1:1" x14ac:dyDescent="0.25">
      <c r="A91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37" spans="1:1" x14ac:dyDescent="0.25">
      <c r="A91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38" spans="1:1" x14ac:dyDescent="0.25">
      <c r="A91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39" spans="1:1" x14ac:dyDescent="0.25">
      <c r="A91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40" spans="1:1" x14ac:dyDescent="0.25">
      <c r="A91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41" spans="1:1" x14ac:dyDescent="0.25">
      <c r="A91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42" spans="1:1" x14ac:dyDescent="0.25">
      <c r="A91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43" spans="1:1" x14ac:dyDescent="0.25">
      <c r="A91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44" spans="1:1" x14ac:dyDescent="0.25">
      <c r="A91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45" spans="1:1" x14ac:dyDescent="0.25">
      <c r="A91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46" spans="1:1" x14ac:dyDescent="0.25">
      <c r="A91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47" spans="1:1" x14ac:dyDescent="0.25">
      <c r="A91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48" spans="1:1" x14ac:dyDescent="0.25">
      <c r="A91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49" spans="1:1" x14ac:dyDescent="0.25">
      <c r="A91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50" spans="1:1" x14ac:dyDescent="0.25">
      <c r="A91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51" spans="1:1" x14ac:dyDescent="0.25">
      <c r="A91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52" spans="1:1" x14ac:dyDescent="0.25">
      <c r="A91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53" spans="1:1" x14ac:dyDescent="0.25">
      <c r="A91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54" spans="1:1" x14ac:dyDescent="0.25">
      <c r="A91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55" spans="1:1" x14ac:dyDescent="0.25">
      <c r="A91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56" spans="1:1" x14ac:dyDescent="0.25">
      <c r="A91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57" spans="1:1" x14ac:dyDescent="0.25">
      <c r="A91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58" spans="1:1" x14ac:dyDescent="0.25">
      <c r="A91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59" spans="1:1" x14ac:dyDescent="0.25">
      <c r="A91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60" spans="1:1" x14ac:dyDescent="0.25">
      <c r="A91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61" spans="1:1" x14ac:dyDescent="0.25">
      <c r="A91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62" spans="1:1" x14ac:dyDescent="0.25">
      <c r="A91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63" spans="1:1" x14ac:dyDescent="0.25">
      <c r="A91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64" spans="1:1" x14ac:dyDescent="0.25">
      <c r="A91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65" spans="1:1" x14ac:dyDescent="0.25">
      <c r="A91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66" spans="1:1" x14ac:dyDescent="0.25">
      <c r="A91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67" spans="1:1" x14ac:dyDescent="0.25">
      <c r="A91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68" spans="1:1" x14ac:dyDescent="0.25">
      <c r="A91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69" spans="1:1" x14ac:dyDescent="0.25">
      <c r="A91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70" spans="1:1" x14ac:dyDescent="0.25">
      <c r="A91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71" spans="1:1" x14ac:dyDescent="0.25">
      <c r="A91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72" spans="1:1" x14ac:dyDescent="0.25">
      <c r="A91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73" spans="1:1" x14ac:dyDescent="0.25">
      <c r="A91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74" spans="1:1" x14ac:dyDescent="0.25">
      <c r="A91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75" spans="1:1" x14ac:dyDescent="0.25">
      <c r="A91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76" spans="1:1" x14ac:dyDescent="0.25">
      <c r="A91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77" spans="1:1" x14ac:dyDescent="0.25">
      <c r="A91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78" spans="1:1" x14ac:dyDescent="0.25">
      <c r="A91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79" spans="1:1" x14ac:dyDescent="0.25">
      <c r="A91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80" spans="1:1" x14ac:dyDescent="0.25">
      <c r="A91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81" spans="1:1" x14ac:dyDescent="0.25">
      <c r="A91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82" spans="1:1" x14ac:dyDescent="0.25">
      <c r="A91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83" spans="1:1" x14ac:dyDescent="0.25">
      <c r="A91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84" spans="1:1" x14ac:dyDescent="0.25">
      <c r="A91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85" spans="1:1" x14ac:dyDescent="0.25">
      <c r="A91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86" spans="1:1" x14ac:dyDescent="0.25">
      <c r="A91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87" spans="1:1" x14ac:dyDescent="0.25">
      <c r="A91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88" spans="1:1" x14ac:dyDescent="0.25">
      <c r="A91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89" spans="1:1" x14ac:dyDescent="0.25">
      <c r="A91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90" spans="1:1" x14ac:dyDescent="0.25">
      <c r="A91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91" spans="1:1" x14ac:dyDescent="0.25">
      <c r="A91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92" spans="1:1" x14ac:dyDescent="0.25">
      <c r="A91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93" spans="1:1" x14ac:dyDescent="0.25">
      <c r="A91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94" spans="1:1" x14ac:dyDescent="0.25">
      <c r="A91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95" spans="1:1" x14ac:dyDescent="0.25">
      <c r="A91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96" spans="1:1" x14ac:dyDescent="0.25">
      <c r="A91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97" spans="1:1" x14ac:dyDescent="0.25">
      <c r="A91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98" spans="1:1" x14ac:dyDescent="0.25">
      <c r="A91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199" spans="1:1" x14ac:dyDescent="0.25">
      <c r="A91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00" spans="1:1" x14ac:dyDescent="0.25">
      <c r="A92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01" spans="1:1" x14ac:dyDescent="0.25">
      <c r="A92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02" spans="1:1" x14ac:dyDescent="0.25">
      <c r="A92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03" spans="1:1" x14ac:dyDescent="0.25">
      <c r="A92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04" spans="1:1" x14ac:dyDescent="0.25">
      <c r="A92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05" spans="1:1" x14ac:dyDescent="0.25">
      <c r="A92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06" spans="1:1" x14ac:dyDescent="0.25">
      <c r="A92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07" spans="1:1" x14ac:dyDescent="0.25">
      <c r="A92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08" spans="1:1" x14ac:dyDescent="0.25">
      <c r="A92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09" spans="1:1" x14ac:dyDescent="0.25">
      <c r="A92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10" spans="1:1" x14ac:dyDescent="0.25">
      <c r="A92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11" spans="1:1" x14ac:dyDescent="0.25">
      <c r="A92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12" spans="1:1" x14ac:dyDescent="0.25">
      <c r="A92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13" spans="1:1" x14ac:dyDescent="0.25">
      <c r="A92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14" spans="1:1" x14ac:dyDescent="0.25">
      <c r="A92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15" spans="1:1" x14ac:dyDescent="0.25">
      <c r="A92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16" spans="1:1" x14ac:dyDescent="0.25">
      <c r="A92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17" spans="1:1" x14ac:dyDescent="0.25">
      <c r="A92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18" spans="1:1" x14ac:dyDescent="0.25">
      <c r="A92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19" spans="1:1" x14ac:dyDescent="0.25">
      <c r="A92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20" spans="1:1" x14ac:dyDescent="0.25">
      <c r="A92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21" spans="1:1" x14ac:dyDescent="0.25">
      <c r="A92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22" spans="1:1" x14ac:dyDescent="0.25">
      <c r="A92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23" spans="1:1" x14ac:dyDescent="0.25">
      <c r="A92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24" spans="1:1" x14ac:dyDescent="0.25">
      <c r="A92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25" spans="1:1" x14ac:dyDescent="0.25">
      <c r="A92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26" spans="1:1" x14ac:dyDescent="0.25">
      <c r="A92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27" spans="1:1" x14ac:dyDescent="0.25">
      <c r="A92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28" spans="1:1" x14ac:dyDescent="0.25">
      <c r="A92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29" spans="1:1" x14ac:dyDescent="0.25">
      <c r="A92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30" spans="1:1" x14ac:dyDescent="0.25">
      <c r="A92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31" spans="1:1" x14ac:dyDescent="0.25">
      <c r="A92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32" spans="1:1" x14ac:dyDescent="0.25">
      <c r="A92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33" spans="1:1" x14ac:dyDescent="0.25">
      <c r="A92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34" spans="1:1" x14ac:dyDescent="0.25">
      <c r="A92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35" spans="1:1" x14ac:dyDescent="0.25">
      <c r="A92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36" spans="1:1" x14ac:dyDescent="0.25">
      <c r="A92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37" spans="1:1" x14ac:dyDescent="0.25">
      <c r="A92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38" spans="1:1" x14ac:dyDescent="0.25">
      <c r="A92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39" spans="1:1" x14ac:dyDescent="0.25">
      <c r="A92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40" spans="1:1" x14ac:dyDescent="0.25">
      <c r="A92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41" spans="1:1" x14ac:dyDescent="0.25">
      <c r="A92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42" spans="1:1" x14ac:dyDescent="0.25">
      <c r="A92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43" spans="1:1" x14ac:dyDescent="0.25">
      <c r="A92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44" spans="1:1" x14ac:dyDescent="0.25">
      <c r="A92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45" spans="1:1" x14ac:dyDescent="0.25">
      <c r="A92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46" spans="1:1" x14ac:dyDescent="0.25">
      <c r="A92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47" spans="1:1" x14ac:dyDescent="0.25">
      <c r="A92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48" spans="1:1" x14ac:dyDescent="0.25">
      <c r="A92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49" spans="1:1" x14ac:dyDescent="0.25">
      <c r="A92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50" spans="1:1" x14ac:dyDescent="0.25">
      <c r="A92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51" spans="1:1" x14ac:dyDescent="0.25">
      <c r="A92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52" spans="1:1" x14ac:dyDescent="0.25">
      <c r="A92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53" spans="1:1" x14ac:dyDescent="0.25">
      <c r="A92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54" spans="1:1" x14ac:dyDescent="0.25">
      <c r="A92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55" spans="1:1" x14ac:dyDescent="0.25">
      <c r="A92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56" spans="1:1" x14ac:dyDescent="0.25">
      <c r="A92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57" spans="1:1" x14ac:dyDescent="0.25">
      <c r="A92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58" spans="1:1" x14ac:dyDescent="0.25">
      <c r="A92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59" spans="1:1" x14ac:dyDescent="0.25">
      <c r="A92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60" spans="1:1" x14ac:dyDescent="0.25">
      <c r="A92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61" spans="1:1" x14ac:dyDescent="0.25">
      <c r="A92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62" spans="1:1" x14ac:dyDescent="0.25">
      <c r="A92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63" spans="1:1" x14ac:dyDescent="0.25">
      <c r="A92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64" spans="1:1" x14ac:dyDescent="0.25">
      <c r="A92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65" spans="1:1" x14ac:dyDescent="0.25">
      <c r="A92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66" spans="1:1" x14ac:dyDescent="0.25">
      <c r="A92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67" spans="1:1" x14ac:dyDescent="0.25">
      <c r="A92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68" spans="1:1" x14ac:dyDescent="0.25">
      <c r="A92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69" spans="1:1" x14ac:dyDescent="0.25">
      <c r="A92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70" spans="1:1" x14ac:dyDescent="0.25">
      <c r="A92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71" spans="1:1" x14ac:dyDescent="0.25">
      <c r="A92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72" spans="1:1" x14ac:dyDescent="0.25">
      <c r="A92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73" spans="1:1" x14ac:dyDescent="0.25">
      <c r="A92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74" spans="1:1" x14ac:dyDescent="0.25">
      <c r="A92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75" spans="1:1" x14ac:dyDescent="0.25">
      <c r="A92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76" spans="1:1" x14ac:dyDescent="0.25">
      <c r="A92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77" spans="1:1" x14ac:dyDescent="0.25">
      <c r="A92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78" spans="1:1" x14ac:dyDescent="0.25">
      <c r="A92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79" spans="1:1" x14ac:dyDescent="0.25">
      <c r="A92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80" spans="1:1" x14ac:dyDescent="0.25">
      <c r="A92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81" spans="1:1" x14ac:dyDescent="0.25">
      <c r="A92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82" spans="1:1" x14ac:dyDescent="0.25">
      <c r="A92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83" spans="1:1" x14ac:dyDescent="0.25">
      <c r="A92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84" spans="1:1" x14ac:dyDescent="0.25">
      <c r="A92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85" spans="1:1" x14ac:dyDescent="0.25">
      <c r="A92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86" spans="1:1" x14ac:dyDescent="0.25">
      <c r="A92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87" spans="1:1" x14ac:dyDescent="0.25">
      <c r="A92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88" spans="1:1" x14ac:dyDescent="0.25">
      <c r="A92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89" spans="1:1" x14ac:dyDescent="0.25">
      <c r="A92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90" spans="1:1" x14ac:dyDescent="0.25">
      <c r="A92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91" spans="1:1" x14ac:dyDescent="0.25">
      <c r="A92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92" spans="1:1" x14ac:dyDescent="0.25">
      <c r="A92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93" spans="1:1" x14ac:dyDescent="0.25">
      <c r="A92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94" spans="1:1" x14ac:dyDescent="0.25">
      <c r="A92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95" spans="1:1" x14ac:dyDescent="0.25">
      <c r="A92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96" spans="1:1" x14ac:dyDescent="0.25">
      <c r="A92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97" spans="1:1" x14ac:dyDescent="0.25">
      <c r="A92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98" spans="1:1" x14ac:dyDescent="0.25">
      <c r="A92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299" spans="1:1" x14ac:dyDescent="0.25">
      <c r="A92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00" spans="1:1" x14ac:dyDescent="0.25">
      <c r="A93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01" spans="1:1" x14ac:dyDescent="0.25">
      <c r="A93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02" spans="1:1" x14ac:dyDescent="0.25">
      <c r="A93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03" spans="1:1" x14ac:dyDescent="0.25">
      <c r="A93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04" spans="1:1" x14ac:dyDescent="0.25">
      <c r="A93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05" spans="1:1" x14ac:dyDescent="0.25">
      <c r="A93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06" spans="1:1" x14ac:dyDescent="0.25">
      <c r="A93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07" spans="1:1" x14ac:dyDescent="0.25">
      <c r="A93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08" spans="1:1" x14ac:dyDescent="0.25">
      <c r="A93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09" spans="1:1" x14ac:dyDescent="0.25">
      <c r="A93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10" spans="1:1" x14ac:dyDescent="0.25">
      <c r="A93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11" spans="1:1" x14ac:dyDescent="0.25">
      <c r="A93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12" spans="1:1" x14ac:dyDescent="0.25">
      <c r="A93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13" spans="1:1" x14ac:dyDescent="0.25">
      <c r="A93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14" spans="1:1" x14ac:dyDescent="0.25">
      <c r="A93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15" spans="1:1" x14ac:dyDescent="0.25">
      <c r="A93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16" spans="1:1" x14ac:dyDescent="0.25">
      <c r="A93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17" spans="1:1" x14ac:dyDescent="0.25">
      <c r="A93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18" spans="1:1" x14ac:dyDescent="0.25">
      <c r="A93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19" spans="1:1" x14ac:dyDescent="0.25">
      <c r="A93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20" spans="1:1" x14ac:dyDescent="0.25">
      <c r="A93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21" spans="1:1" x14ac:dyDescent="0.25">
      <c r="A93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22" spans="1:1" x14ac:dyDescent="0.25">
      <c r="A93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23" spans="1:1" x14ac:dyDescent="0.25">
      <c r="A93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24" spans="1:1" x14ac:dyDescent="0.25">
      <c r="A93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25" spans="1:1" x14ac:dyDescent="0.25">
      <c r="A93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26" spans="1:1" x14ac:dyDescent="0.25">
      <c r="A93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27" spans="1:1" x14ac:dyDescent="0.25">
      <c r="A93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28" spans="1:1" x14ac:dyDescent="0.25">
      <c r="A93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29" spans="1:1" x14ac:dyDescent="0.25">
      <c r="A93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30" spans="1:1" x14ac:dyDescent="0.25">
      <c r="A93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31" spans="1:1" x14ac:dyDescent="0.25">
      <c r="A93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32" spans="1:1" x14ac:dyDescent="0.25">
      <c r="A93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33" spans="1:1" x14ac:dyDescent="0.25">
      <c r="A93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34" spans="1:1" x14ac:dyDescent="0.25">
      <c r="A93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35" spans="1:1" x14ac:dyDescent="0.25">
      <c r="A93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36" spans="1:1" x14ac:dyDescent="0.25">
      <c r="A93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37" spans="1:1" x14ac:dyDescent="0.25">
      <c r="A93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38" spans="1:1" x14ac:dyDescent="0.25">
      <c r="A93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39" spans="1:1" x14ac:dyDescent="0.25">
      <c r="A93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40" spans="1:1" x14ac:dyDescent="0.25">
      <c r="A93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41" spans="1:1" x14ac:dyDescent="0.25">
      <c r="A93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42" spans="1:1" x14ac:dyDescent="0.25">
      <c r="A93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43" spans="1:1" x14ac:dyDescent="0.25">
      <c r="A93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44" spans="1:1" x14ac:dyDescent="0.25">
      <c r="A93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45" spans="1:1" x14ac:dyDescent="0.25">
      <c r="A93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46" spans="1:1" x14ac:dyDescent="0.25">
      <c r="A93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47" spans="1:1" x14ac:dyDescent="0.25">
      <c r="A93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48" spans="1:1" x14ac:dyDescent="0.25">
      <c r="A93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49" spans="1:1" x14ac:dyDescent="0.25">
      <c r="A93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50" spans="1:1" x14ac:dyDescent="0.25">
      <c r="A93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51" spans="1:1" x14ac:dyDescent="0.25">
      <c r="A93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52" spans="1:1" x14ac:dyDescent="0.25">
      <c r="A93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53" spans="1:1" x14ac:dyDescent="0.25">
      <c r="A93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54" spans="1:1" x14ac:dyDescent="0.25">
      <c r="A93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55" spans="1:1" x14ac:dyDescent="0.25">
      <c r="A93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56" spans="1:1" x14ac:dyDescent="0.25">
      <c r="A93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57" spans="1:1" x14ac:dyDescent="0.25">
      <c r="A93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58" spans="1:1" x14ac:dyDescent="0.25">
      <c r="A93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59" spans="1:1" x14ac:dyDescent="0.25">
      <c r="A93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60" spans="1:1" x14ac:dyDescent="0.25">
      <c r="A93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61" spans="1:1" x14ac:dyDescent="0.25">
      <c r="A93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62" spans="1:1" x14ac:dyDescent="0.25">
      <c r="A93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63" spans="1:1" x14ac:dyDescent="0.25">
      <c r="A93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64" spans="1:1" x14ac:dyDescent="0.25">
      <c r="A93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65" spans="1:1" x14ac:dyDescent="0.25">
      <c r="A93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66" spans="1:1" x14ac:dyDescent="0.25">
      <c r="A93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67" spans="1:1" x14ac:dyDescent="0.25">
      <c r="A93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68" spans="1:1" x14ac:dyDescent="0.25">
      <c r="A93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69" spans="1:1" x14ac:dyDescent="0.25">
      <c r="A93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70" spans="1:1" x14ac:dyDescent="0.25">
      <c r="A93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71" spans="1:1" x14ac:dyDescent="0.25">
      <c r="A93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72" spans="1:1" x14ac:dyDescent="0.25">
      <c r="A93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73" spans="1:1" x14ac:dyDescent="0.25">
      <c r="A93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74" spans="1:1" x14ac:dyDescent="0.25">
      <c r="A93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75" spans="1:1" x14ac:dyDescent="0.25">
      <c r="A93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76" spans="1:1" x14ac:dyDescent="0.25">
      <c r="A93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77" spans="1:1" x14ac:dyDescent="0.25">
      <c r="A93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78" spans="1:1" x14ac:dyDescent="0.25">
      <c r="A93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79" spans="1:1" x14ac:dyDescent="0.25">
      <c r="A93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80" spans="1:1" x14ac:dyDescent="0.25">
      <c r="A93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81" spans="1:1" x14ac:dyDescent="0.25">
      <c r="A93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82" spans="1:1" x14ac:dyDescent="0.25">
      <c r="A93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83" spans="1:1" x14ac:dyDescent="0.25">
      <c r="A93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84" spans="1:1" x14ac:dyDescent="0.25">
      <c r="A93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85" spans="1:1" x14ac:dyDescent="0.25">
      <c r="A93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86" spans="1:1" x14ac:dyDescent="0.25">
      <c r="A93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87" spans="1:1" x14ac:dyDescent="0.25">
      <c r="A93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88" spans="1:1" x14ac:dyDescent="0.25">
      <c r="A93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89" spans="1:1" x14ac:dyDescent="0.25">
      <c r="A93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90" spans="1:1" x14ac:dyDescent="0.25">
      <c r="A93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91" spans="1:1" x14ac:dyDescent="0.25">
      <c r="A93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92" spans="1:1" x14ac:dyDescent="0.25">
      <c r="A93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93" spans="1:1" x14ac:dyDescent="0.25">
      <c r="A93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94" spans="1:1" x14ac:dyDescent="0.25">
      <c r="A93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95" spans="1:1" x14ac:dyDescent="0.25">
      <c r="A93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96" spans="1:1" x14ac:dyDescent="0.25">
      <c r="A93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97" spans="1:1" x14ac:dyDescent="0.25">
      <c r="A93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98" spans="1:1" x14ac:dyDescent="0.25">
      <c r="A93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399" spans="1:1" x14ac:dyDescent="0.25">
      <c r="A93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00" spans="1:1" x14ac:dyDescent="0.25">
      <c r="A94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01" spans="1:1" x14ac:dyDescent="0.25">
      <c r="A94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02" spans="1:1" x14ac:dyDescent="0.25">
      <c r="A94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03" spans="1:1" x14ac:dyDescent="0.25">
      <c r="A94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04" spans="1:1" x14ac:dyDescent="0.25">
      <c r="A94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05" spans="1:1" x14ac:dyDescent="0.25">
      <c r="A94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06" spans="1:1" x14ac:dyDescent="0.25">
      <c r="A94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07" spans="1:1" x14ac:dyDescent="0.25">
      <c r="A94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08" spans="1:1" x14ac:dyDescent="0.25">
      <c r="A94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09" spans="1:1" x14ac:dyDescent="0.25">
      <c r="A94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10" spans="1:1" x14ac:dyDescent="0.25">
      <c r="A94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11" spans="1:1" x14ac:dyDescent="0.25">
      <c r="A94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12" spans="1:1" x14ac:dyDescent="0.25">
      <c r="A94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13" spans="1:1" x14ac:dyDescent="0.25">
      <c r="A94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14" spans="1:1" x14ac:dyDescent="0.25">
      <c r="A94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15" spans="1:1" x14ac:dyDescent="0.25">
      <c r="A94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16" spans="1:1" x14ac:dyDescent="0.25">
      <c r="A94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17" spans="1:1" x14ac:dyDescent="0.25">
      <c r="A94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18" spans="1:1" x14ac:dyDescent="0.25">
      <c r="A94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19" spans="1:1" x14ac:dyDescent="0.25">
      <c r="A94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20" spans="1:1" x14ac:dyDescent="0.25">
      <c r="A94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21" spans="1:1" x14ac:dyDescent="0.25">
      <c r="A94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22" spans="1:1" x14ac:dyDescent="0.25">
      <c r="A94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23" spans="1:1" x14ac:dyDescent="0.25">
      <c r="A94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24" spans="1:1" x14ac:dyDescent="0.25">
      <c r="A94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25" spans="1:1" x14ac:dyDescent="0.25">
      <c r="A94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26" spans="1:1" x14ac:dyDescent="0.25">
      <c r="A94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27" spans="1:1" x14ac:dyDescent="0.25">
      <c r="A94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28" spans="1:1" x14ac:dyDescent="0.25">
      <c r="A94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29" spans="1:1" x14ac:dyDescent="0.25">
      <c r="A94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30" spans="1:1" x14ac:dyDescent="0.25">
      <c r="A94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31" spans="1:1" x14ac:dyDescent="0.25">
      <c r="A94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32" spans="1:1" x14ac:dyDescent="0.25">
      <c r="A94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33" spans="1:1" x14ac:dyDescent="0.25">
      <c r="A94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34" spans="1:1" x14ac:dyDescent="0.25">
      <c r="A94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35" spans="1:1" x14ac:dyDescent="0.25">
      <c r="A94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36" spans="1:1" x14ac:dyDescent="0.25">
      <c r="A94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37" spans="1:1" x14ac:dyDescent="0.25">
      <c r="A94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38" spans="1:1" x14ac:dyDescent="0.25">
      <c r="A94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39" spans="1:1" x14ac:dyDescent="0.25">
      <c r="A94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40" spans="1:1" x14ac:dyDescent="0.25">
      <c r="A94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41" spans="1:1" x14ac:dyDescent="0.25">
      <c r="A94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42" spans="1:1" x14ac:dyDescent="0.25">
      <c r="A94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43" spans="1:1" x14ac:dyDescent="0.25">
      <c r="A94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44" spans="1:1" x14ac:dyDescent="0.25">
      <c r="A94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45" spans="1:1" x14ac:dyDescent="0.25">
      <c r="A94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46" spans="1:1" x14ac:dyDescent="0.25">
      <c r="A94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47" spans="1:1" x14ac:dyDescent="0.25">
      <c r="A94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48" spans="1:1" x14ac:dyDescent="0.25">
      <c r="A94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49" spans="1:1" x14ac:dyDescent="0.25">
      <c r="A94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50" spans="1:1" x14ac:dyDescent="0.25">
      <c r="A94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51" spans="1:1" x14ac:dyDescent="0.25">
      <c r="A94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52" spans="1:1" x14ac:dyDescent="0.25">
      <c r="A94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53" spans="1:1" x14ac:dyDescent="0.25">
      <c r="A94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54" spans="1:1" x14ac:dyDescent="0.25">
      <c r="A94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55" spans="1:1" x14ac:dyDescent="0.25">
      <c r="A94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56" spans="1:1" x14ac:dyDescent="0.25">
      <c r="A94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57" spans="1:1" x14ac:dyDescent="0.25">
      <c r="A94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58" spans="1:1" x14ac:dyDescent="0.25">
      <c r="A94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59" spans="1:1" x14ac:dyDescent="0.25">
      <c r="A94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60" spans="1:1" x14ac:dyDescent="0.25">
      <c r="A94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61" spans="1:1" x14ac:dyDescent="0.25">
      <c r="A94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62" spans="1:1" x14ac:dyDescent="0.25">
      <c r="A94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63" spans="1:1" x14ac:dyDescent="0.25">
      <c r="A94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64" spans="1:1" x14ac:dyDescent="0.25">
      <c r="A94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65" spans="1:1" x14ac:dyDescent="0.25">
      <c r="A94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66" spans="1:1" x14ac:dyDescent="0.25">
      <c r="A94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67" spans="1:1" x14ac:dyDescent="0.25">
      <c r="A94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68" spans="1:1" x14ac:dyDescent="0.25">
      <c r="A94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69" spans="1:1" x14ac:dyDescent="0.25">
      <c r="A94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70" spans="1:1" x14ac:dyDescent="0.25">
      <c r="A94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71" spans="1:1" x14ac:dyDescent="0.25">
      <c r="A94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72" spans="1:1" x14ac:dyDescent="0.25">
      <c r="A94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73" spans="1:1" x14ac:dyDescent="0.25">
      <c r="A94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74" spans="1:1" x14ac:dyDescent="0.25">
      <c r="A94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75" spans="1:1" x14ac:dyDescent="0.25">
      <c r="A94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76" spans="1:1" x14ac:dyDescent="0.25">
      <c r="A94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77" spans="1:1" x14ac:dyDescent="0.25">
      <c r="A94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78" spans="1:1" x14ac:dyDescent="0.25">
      <c r="A94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79" spans="1:1" x14ac:dyDescent="0.25">
      <c r="A94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80" spans="1:1" x14ac:dyDescent="0.25">
      <c r="A94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81" spans="1:1" x14ac:dyDescent="0.25">
      <c r="A94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82" spans="1:1" x14ac:dyDescent="0.25">
      <c r="A94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83" spans="1:1" x14ac:dyDescent="0.25">
      <c r="A94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84" spans="1:1" x14ac:dyDescent="0.25">
      <c r="A94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85" spans="1:1" x14ac:dyDescent="0.25">
      <c r="A94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86" spans="1:1" x14ac:dyDescent="0.25">
      <c r="A94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87" spans="1:1" x14ac:dyDescent="0.25">
      <c r="A94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88" spans="1:1" x14ac:dyDescent="0.25">
      <c r="A94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89" spans="1:1" x14ac:dyDescent="0.25">
      <c r="A94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90" spans="1:1" x14ac:dyDescent="0.25">
      <c r="A94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91" spans="1:1" x14ac:dyDescent="0.25">
      <c r="A94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92" spans="1:1" x14ac:dyDescent="0.25">
      <c r="A94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93" spans="1:1" x14ac:dyDescent="0.25">
      <c r="A94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94" spans="1:1" x14ac:dyDescent="0.25">
      <c r="A94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95" spans="1:1" x14ac:dyDescent="0.25">
      <c r="A94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96" spans="1:1" x14ac:dyDescent="0.25">
      <c r="A94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97" spans="1:1" x14ac:dyDescent="0.25">
      <c r="A94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98" spans="1:1" x14ac:dyDescent="0.25">
      <c r="A94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499" spans="1:1" x14ac:dyDescent="0.25">
      <c r="A94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00" spans="1:1" x14ac:dyDescent="0.25">
      <c r="A95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01" spans="1:1" x14ac:dyDescent="0.25">
      <c r="A95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02" spans="1:1" x14ac:dyDescent="0.25">
      <c r="A95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03" spans="1:1" x14ac:dyDescent="0.25">
      <c r="A95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04" spans="1:1" x14ac:dyDescent="0.25">
      <c r="A95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05" spans="1:1" x14ac:dyDescent="0.25">
      <c r="A95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06" spans="1:1" x14ac:dyDescent="0.25">
      <c r="A95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07" spans="1:1" x14ac:dyDescent="0.25">
      <c r="A95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08" spans="1:1" x14ac:dyDescent="0.25">
      <c r="A95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09" spans="1:1" x14ac:dyDescent="0.25">
      <c r="A95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10" spans="1:1" x14ac:dyDescent="0.25">
      <c r="A95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11" spans="1:1" x14ac:dyDescent="0.25">
      <c r="A95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12" spans="1:1" x14ac:dyDescent="0.25">
      <c r="A95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13" spans="1:1" x14ac:dyDescent="0.25">
      <c r="A95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14" spans="1:1" x14ac:dyDescent="0.25">
      <c r="A95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15" spans="1:1" x14ac:dyDescent="0.25">
      <c r="A95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16" spans="1:1" x14ac:dyDescent="0.25">
      <c r="A95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17" spans="1:1" x14ac:dyDescent="0.25">
      <c r="A95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18" spans="1:1" x14ac:dyDescent="0.25">
      <c r="A95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19" spans="1:1" x14ac:dyDescent="0.25">
      <c r="A95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20" spans="1:1" x14ac:dyDescent="0.25">
      <c r="A95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21" spans="1:1" x14ac:dyDescent="0.25">
      <c r="A95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22" spans="1:1" x14ac:dyDescent="0.25">
      <c r="A95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23" spans="1:1" x14ac:dyDescent="0.25">
      <c r="A95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24" spans="1:1" x14ac:dyDescent="0.25">
      <c r="A95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25" spans="1:1" x14ac:dyDescent="0.25">
      <c r="A95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26" spans="1:1" x14ac:dyDescent="0.25">
      <c r="A95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27" spans="1:1" x14ac:dyDescent="0.25">
      <c r="A95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28" spans="1:1" x14ac:dyDescent="0.25">
      <c r="A95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29" spans="1:1" x14ac:dyDescent="0.25">
      <c r="A95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30" spans="1:1" x14ac:dyDescent="0.25">
      <c r="A95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31" spans="1:1" x14ac:dyDescent="0.25">
      <c r="A95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32" spans="1:1" x14ac:dyDescent="0.25">
      <c r="A95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33" spans="1:1" x14ac:dyDescent="0.25">
      <c r="A95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34" spans="1:1" x14ac:dyDescent="0.25">
      <c r="A95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35" spans="1:1" x14ac:dyDescent="0.25">
      <c r="A95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36" spans="1:1" x14ac:dyDescent="0.25">
      <c r="A95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37" spans="1:1" x14ac:dyDescent="0.25">
      <c r="A95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38" spans="1:1" x14ac:dyDescent="0.25">
      <c r="A95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39" spans="1:1" x14ac:dyDescent="0.25">
      <c r="A95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40" spans="1:1" x14ac:dyDescent="0.25">
      <c r="A95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41" spans="1:1" x14ac:dyDescent="0.25">
      <c r="A95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42" spans="1:1" x14ac:dyDescent="0.25">
      <c r="A95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43" spans="1:1" x14ac:dyDescent="0.25">
      <c r="A95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44" spans="1:1" x14ac:dyDescent="0.25">
      <c r="A95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45" spans="1:1" x14ac:dyDescent="0.25">
      <c r="A95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46" spans="1:1" x14ac:dyDescent="0.25">
      <c r="A95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47" spans="1:1" x14ac:dyDescent="0.25">
      <c r="A95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48" spans="1:1" x14ac:dyDescent="0.25">
      <c r="A95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49" spans="1:1" x14ac:dyDescent="0.25">
      <c r="A95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50" spans="1:1" x14ac:dyDescent="0.25">
      <c r="A95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51" spans="1:1" x14ac:dyDescent="0.25">
      <c r="A95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52" spans="1:1" x14ac:dyDescent="0.25">
      <c r="A95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53" spans="1:1" x14ac:dyDescent="0.25">
      <c r="A95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54" spans="1:1" x14ac:dyDescent="0.25">
      <c r="A95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55" spans="1:1" x14ac:dyDescent="0.25">
      <c r="A95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56" spans="1:1" x14ac:dyDescent="0.25">
      <c r="A95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57" spans="1:1" x14ac:dyDescent="0.25">
      <c r="A95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58" spans="1:1" x14ac:dyDescent="0.25">
      <c r="A95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59" spans="1:1" x14ac:dyDescent="0.25">
      <c r="A95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60" spans="1:1" x14ac:dyDescent="0.25">
      <c r="A95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61" spans="1:1" x14ac:dyDescent="0.25">
      <c r="A95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62" spans="1:1" x14ac:dyDescent="0.25">
      <c r="A95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63" spans="1:1" x14ac:dyDescent="0.25">
      <c r="A95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64" spans="1:1" x14ac:dyDescent="0.25">
      <c r="A95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65" spans="1:1" x14ac:dyDescent="0.25">
      <c r="A95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66" spans="1:1" x14ac:dyDescent="0.25">
      <c r="A95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67" spans="1:1" x14ac:dyDescent="0.25">
      <c r="A95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68" spans="1:1" x14ac:dyDescent="0.25">
      <c r="A95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69" spans="1:1" x14ac:dyDescent="0.25">
      <c r="A95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70" spans="1:1" x14ac:dyDescent="0.25">
      <c r="A95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71" spans="1:1" x14ac:dyDescent="0.25">
      <c r="A95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72" spans="1:1" x14ac:dyDescent="0.25">
      <c r="A95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73" spans="1:1" x14ac:dyDescent="0.25">
      <c r="A95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74" spans="1:1" x14ac:dyDescent="0.25">
      <c r="A95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75" spans="1:1" x14ac:dyDescent="0.25">
      <c r="A95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76" spans="1:1" x14ac:dyDescent="0.25">
      <c r="A95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77" spans="1:1" x14ac:dyDescent="0.25">
      <c r="A95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78" spans="1:1" x14ac:dyDescent="0.25">
      <c r="A95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79" spans="1:1" x14ac:dyDescent="0.25">
      <c r="A95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80" spans="1:1" x14ac:dyDescent="0.25">
      <c r="A95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81" spans="1:1" x14ac:dyDescent="0.25">
      <c r="A95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82" spans="1:1" x14ac:dyDescent="0.25">
      <c r="A95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83" spans="1:1" x14ac:dyDescent="0.25">
      <c r="A95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84" spans="1:1" x14ac:dyDescent="0.25">
      <c r="A95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85" spans="1:1" x14ac:dyDescent="0.25">
      <c r="A95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86" spans="1:1" x14ac:dyDescent="0.25">
      <c r="A95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87" spans="1:1" x14ac:dyDescent="0.25">
      <c r="A95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88" spans="1:1" x14ac:dyDescent="0.25">
      <c r="A95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89" spans="1:1" x14ac:dyDescent="0.25">
      <c r="A95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90" spans="1:1" x14ac:dyDescent="0.25">
      <c r="A95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91" spans="1:1" x14ac:dyDescent="0.25">
      <c r="A95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92" spans="1:1" x14ac:dyDescent="0.25">
      <c r="A95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93" spans="1:1" x14ac:dyDescent="0.25">
      <c r="A95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94" spans="1:1" x14ac:dyDescent="0.25">
      <c r="A95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95" spans="1:1" x14ac:dyDescent="0.25">
      <c r="A95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96" spans="1:1" x14ac:dyDescent="0.25">
      <c r="A95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97" spans="1:1" x14ac:dyDescent="0.25">
      <c r="A95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98" spans="1:1" x14ac:dyDescent="0.25">
      <c r="A95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599" spans="1:1" x14ac:dyDescent="0.25">
      <c r="A95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00" spans="1:1" x14ac:dyDescent="0.25">
      <c r="A96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01" spans="1:1" x14ac:dyDescent="0.25">
      <c r="A96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02" spans="1:1" x14ac:dyDescent="0.25">
      <c r="A96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03" spans="1:1" x14ac:dyDescent="0.25">
      <c r="A96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04" spans="1:1" x14ac:dyDescent="0.25">
      <c r="A96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05" spans="1:1" x14ac:dyDescent="0.25">
      <c r="A96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06" spans="1:1" x14ac:dyDescent="0.25">
      <c r="A96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07" spans="1:1" x14ac:dyDescent="0.25">
      <c r="A96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08" spans="1:1" x14ac:dyDescent="0.25">
      <c r="A96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09" spans="1:1" x14ac:dyDescent="0.25">
      <c r="A96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10" spans="1:1" x14ac:dyDescent="0.25">
      <c r="A96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11" spans="1:1" x14ac:dyDescent="0.25">
      <c r="A96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12" spans="1:1" x14ac:dyDescent="0.25">
      <c r="A96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13" spans="1:1" x14ac:dyDescent="0.25">
      <c r="A96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14" spans="1:1" x14ac:dyDescent="0.25">
      <c r="A96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15" spans="1:1" x14ac:dyDescent="0.25">
      <c r="A96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16" spans="1:1" x14ac:dyDescent="0.25">
      <c r="A96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17" spans="1:1" x14ac:dyDescent="0.25">
      <c r="A96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18" spans="1:1" x14ac:dyDescent="0.25">
      <c r="A96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19" spans="1:1" x14ac:dyDescent="0.25">
      <c r="A96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20" spans="1:1" x14ac:dyDescent="0.25">
      <c r="A96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21" spans="1:1" x14ac:dyDescent="0.25">
      <c r="A96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22" spans="1:1" x14ac:dyDescent="0.25">
      <c r="A96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23" spans="1:1" x14ac:dyDescent="0.25">
      <c r="A96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24" spans="1:1" x14ac:dyDescent="0.25">
      <c r="A96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25" spans="1:1" x14ac:dyDescent="0.25">
      <c r="A96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26" spans="1:1" x14ac:dyDescent="0.25">
      <c r="A96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27" spans="1:1" x14ac:dyDescent="0.25">
      <c r="A96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28" spans="1:1" x14ac:dyDescent="0.25">
      <c r="A96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29" spans="1:1" x14ac:dyDescent="0.25">
      <c r="A96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30" spans="1:1" x14ac:dyDescent="0.25">
      <c r="A96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31" spans="1:1" x14ac:dyDescent="0.25">
      <c r="A96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32" spans="1:1" x14ac:dyDescent="0.25">
      <c r="A96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33" spans="1:1" x14ac:dyDescent="0.25">
      <c r="A96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34" spans="1:1" x14ac:dyDescent="0.25">
      <c r="A96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35" spans="1:1" x14ac:dyDescent="0.25">
      <c r="A96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36" spans="1:1" x14ac:dyDescent="0.25">
      <c r="A96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37" spans="1:1" x14ac:dyDescent="0.25">
      <c r="A96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38" spans="1:1" x14ac:dyDescent="0.25">
      <c r="A96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39" spans="1:1" x14ac:dyDescent="0.25">
      <c r="A96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40" spans="1:1" x14ac:dyDescent="0.25">
      <c r="A96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41" spans="1:1" x14ac:dyDescent="0.25">
      <c r="A96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42" spans="1:1" x14ac:dyDescent="0.25">
      <c r="A96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43" spans="1:1" x14ac:dyDescent="0.25">
      <c r="A96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44" spans="1:1" x14ac:dyDescent="0.25">
      <c r="A96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45" spans="1:1" x14ac:dyDescent="0.25">
      <c r="A96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46" spans="1:1" x14ac:dyDescent="0.25">
      <c r="A96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47" spans="1:1" x14ac:dyDescent="0.25">
      <c r="A96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48" spans="1:1" x14ac:dyDescent="0.25">
      <c r="A96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49" spans="1:1" x14ac:dyDescent="0.25">
      <c r="A96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50" spans="1:1" x14ac:dyDescent="0.25">
      <c r="A96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51" spans="1:1" x14ac:dyDescent="0.25">
      <c r="A96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52" spans="1:1" x14ac:dyDescent="0.25">
      <c r="A96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53" spans="1:1" x14ac:dyDescent="0.25">
      <c r="A96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54" spans="1:1" x14ac:dyDescent="0.25">
      <c r="A96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55" spans="1:1" x14ac:dyDescent="0.25">
      <c r="A96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56" spans="1:1" x14ac:dyDescent="0.25">
      <c r="A96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57" spans="1:1" x14ac:dyDescent="0.25">
      <c r="A96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58" spans="1:1" x14ac:dyDescent="0.25">
      <c r="A96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59" spans="1:1" x14ac:dyDescent="0.25">
      <c r="A96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60" spans="1:1" x14ac:dyDescent="0.25">
      <c r="A96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61" spans="1:1" x14ac:dyDescent="0.25">
      <c r="A96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62" spans="1:1" x14ac:dyDescent="0.25">
      <c r="A96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63" spans="1:1" x14ac:dyDescent="0.25">
      <c r="A96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64" spans="1:1" x14ac:dyDescent="0.25">
      <c r="A96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65" spans="1:1" x14ac:dyDescent="0.25">
      <c r="A96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66" spans="1:1" x14ac:dyDescent="0.25">
      <c r="A96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67" spans="1:1" x14ac:dyDescent="0.25">
      <c r="A96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68" spans="1:1" x14ac:dyDescent="0.25">
      <c r="A96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69" spans="1:1" x14ac:dyDescent="0.25">
      <c r="A96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70" spans="1:1" x14ac:dyDescent="0.25">
      <c r="A96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71" spans="1:1" x14ac:dyDescent="0.25">
      <c r="A96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72" spans="1:1" x14ac:dyDescent="0.25">
      <c r="A96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73" spans="1:1" x14ac:dyDescent="0.25">
      <c r="A96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74" spans="1:1" x14ac:dyDescent="0.25">
      <c r="A96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75" spans="1:1" x14ac:dyDescent="0.25">
      <c r="A96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76" spans="1:1" x14ac:dyDescent="0.25">
      <c r="A96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77" spans="1:1" x14ac:dyDescent="0.25">
      <c r="A96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78" spans="1:1" x14ac:dyDescent="0.25">
      <c r="A96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79" spans="1:1" x14ac:dyDescent="0.25">
      <c r="A96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80" spans="1:1" x14ac:dyDescent="0.25">
      <c r="A96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81" spans="1:1" x14ac:dyDescent="0.25">
      <c r="A96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82" spans="1:1" x14ac:dyDescent="0.25">
      <c r="A96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83" spans="1:1" x14ac:dyDescent="0.25">
      <c r="A96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84" spans="1:1" x14ac:dyDescent="0.25">
      <c r="A96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85" spans="1:1" x14ac:dyDescent="0.25">
      <c r="A96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86" spans="1:1" x14ac:dyDescent="0.25">
      <c r="A96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87" spans="1:1" x14ac:dyDescent="0.25">
      <c r="A96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88" spans="1:1" x14ac:dyDescent="0.25">
      <c r="A96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89" spans="1:1" x14ac:dyDescent="0.25">
      <c r="A96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90" spans="1:1" x14ac:dyDescent="0.25">
      <c r="A96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91" spans="1:1" x14ac:dyDescent="0.25">
      <c r="A96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92" spans="1:1" x14ac:dyDescent="0.25">
      <c r="A96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93" spans="1:1" x14ac:dyDescent="0.25">
      <c r="A96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94" spans="1:1" x14ac:dyDescent="0.25">
      <c r="A96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95" spans="1:1" x14ac:dyDescent="0.25">
      <c r="A96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96" spans="1:1" x14ac:dyDescent="0.25">
      <c r="A96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97" spans="1:1" x14ac:dyDescent="0.25">
      <c r="A96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98" spans="1:1" x14ac:dyDescent="0.25">
      <c r="A96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699" spans="1:1" x14ac:dyDescent="0.25">
      <c r="A96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00" spans="1:1" x14ac:dyDescent="0.25">
      <c r="A97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01" spans="1:1" x14ac:dyDescent="0.25">
      <c r="A97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02" spans="1:1" x14ac:dyDescent="0.25">
      <c r="A97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03" spans="1:1" x14ac:dyDescent="0.25">
      <c r="A97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04" spans="1:1" x14ac:dyDescent="0.25">
      <c r="A97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05" spans="1:1" x14ac:dyDescent="0.25">
      <c r="A97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06" spans="1:1" x14ac:dyDescent="0.25">
      <c r="A97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07" spans="1:1" x14ac:dyDescent="0.25">
      <c r="A97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08" spans="1:1" x14ac:dyDescent="0.25">
      <c r="A97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09" spans="1:1" x14ac:dyDescent="0.25">
      <c r="A97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10" spans="1:1" x14ac:dyDescent="0.25">
      <c r="A97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11" spans="1:1" x14ac:dyDescent="0.25">
      <c r="A97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12" spans="1:1" x14ac:dyDescent="0.25">
      <c r="A97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13" spans="1:1" x14ac:dyDescent="0.25">
      <c r="A97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14" spans="1:1" x14ac:dyDescent="0.25">
      <c r="A97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15" spans="1:1" x14ac:dyDescent="0.25">
      <c r="A97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16" spans="1:1" x14ac:dyDescent="0.25">
      <c r="A97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17" spans="1:1" x14ac:dyDescent="0.25">
      <c r="A97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18" spans="1:1" x14ac:dyDescent="0.25">
      <c r="A97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19" spans="1:1" x14ac:dyDescent="0.25">
      <c r="A97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20" spans="1:1" x14ac:dyDescent="0.25">
      <c r="A97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21" spans="1:1" x14ac:dyDescent="0.25">
      <c r="A97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22" spans="1:1" x14ac:dyDescent="0.25">
      <c r="A97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23" spans="1:1" x14ac:dyDescent="0.25">
      <c r="A97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24" spans="1:1" x14ac:dyDescent="0.25">
      <c r="A97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25" spans="1:1" x14ac:dyDescent="0.25">
      <c r="A97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26" spans="1:1" x14ac:dyDescent="0.25">
      <c r="A97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27" spans="1:1" x14ac:dyDescent="0.25">
      <c r="A97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28" spans="1:1" x14ac:dyDescent="0.25">
      <c r="A97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29" spans="1:1" x14ac:dyDescent="0.25">
      <c r="A97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30" spans="1:1" x14ac:dyDescent="0.25">
      <c r="A97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31" spans="1:1" x14ac:dyDescent="0.25">
      <c r="A97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32" spans="1:1" x14ac:dyDescent="0.25">
      <c r="A97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33" spans="1:1" x14ac:dyDescent="0.25">
      <c r="A97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34" spans="1:1" x14ac:dyDescent="0.25">
      <c r="A97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35" spans="1:1" x14ac:dyDescent="0.25">
      <c r="A97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36" spans="1:1" x14ac:dyDescent="0.25">
      <c r="A97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37" spans="1:1" x14ac:dyDescent="0.25">
      <c r="A97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38" spans="1:1" x14ac:dyDescent="0.25">
      <c r="A97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39" spans="1:1" x14ac:dyDescent="0.25">
      <c r="A97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40" spans="1:1" x14ac:dyDescent="0.25">
      <c r="A97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41" spans="1:1" x14ac:dyDescent="0.25">
      <c r="A97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42" spans="1:1" x14ac:dyDescent="0.25">
      <c r="A97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43" spans="1:1" x14ac:dyDescent="0.25">
      <c r="A97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44" spans="1:1" x14ac:dyDescent="0.25">
      <c r="A97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45" spans="1:1" x14ac:dyDescent="0.25">
      <c r="A97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46" spans="1:1" x14ac:dyDescent="0.25">
      <c r="A97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47" spans="1:1" x14ac:dyDescent="0.25">
      <c r="A97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48" spans="1:1" x14ac:dyDescent="0.25">
      <c r="A97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49" spans="1:1" x14ac:dyDescent="0.25">
      <c r="A97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50" spans="1:1" x14ac:dyDescent="0.25">
      <c r="A97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51" spans="1:1" x14ac:dyDescent="0.25">
      <c r="A97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52" spans="1:1" x14ac:dyDescent="0.25">
      <c r="A97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53" spans="1:1" x14ac:dyDescent="0.25">
      <c r="A97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54" spans="1:1" x14ac:dyDescent="0.25">
      <c r="A97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55" spans="1:1" x14ac:dyDescent="0.25">
      <c r="A97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56" spans="1:1" x14ac:dyDescent="0.25">
      <c r="A97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57" spans="1:1" x14ac:dyDescent="0.25">
      <c r="A97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58" spans="1:1" x14ac:dyDescent="0.25">
      <c r="A97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59" spans="1:1" x14ac:dyDescent="0.25">
      <c r="A97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60" spans="1:1" x14ac:dyDescent="0.25">
      <c r="A97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61" spans="1:1" x14ac:dyDescent="0.25">
      <c r="A97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62" spans="1:1" x14ac:dyDescent="0.25">
      <c r="A97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63" spans="1:1" x14ac:dyDescent="0.25">
      <c r="A97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64" spans="1:1" x14ac:dyDescent="0.25">
      <c r="A97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65" spans="1:1" x14ac:dyDescent="0.25">
      <c r="A97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66" spans="1:1" x14ac:dyDescent="0.25">
      <c r="A97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67" spans="1:1" x14ac:dyDescent="0.25">
      <c r="A97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68" spans="1:1" x14ac:dyDescent="0.25">
      <c r="A97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69" spans="1:1" x14ac:dyDescent="0.25">
      <c r="A97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70" spans="1:1" x14ac:dyDescent="0.25">
      <c r="A97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71" spans="1:1" x14ac:dyDescent="0.25">
      <c r="A97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72" spans="1:1" x14ac:dyDescent="0.25">
      <c r="A97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73" spans="1:1" x14ac:dyDescent="0.25">
      <c r="A97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74" spans="1:1" x14ac:dyDescent="0.25">
      <c r="A97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75" spans="1:1" x14ac:dyDescent="0.25">
      <c r="A97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76" spans="1:1" x14ac:dyDescent="0.25">
      <c r="A97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77" spans="1:1" x14ac:dyDescent="0.25">
      <c r="A97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78" spans="1:1" x14ac:dyDescent="0.25">
      <c r="A97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79" spans="1:1" x14ac:dyDescent="0.25">
      <c r="A97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80" spans="1:1" x14ac:dyDescent="0.25">
      <c r="A97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81" spans="1:1" x14ac:dyDescent="0.25">
      <c r="A97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82" spans="1:1" x14ac:dyDescent="0.25">
      <c r="A97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83" spans="1:1" x14ac:dyDescent="0.25">
      <c r="A97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84" spans="1:1" x14ac:dyDescent="0.25">
      <c r="A97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85" spans="1:1" x14ac:dyDescent="0.25">
      <c r="A97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86" spans="1:1" x14ac:dyDescent="0.25">
      <c r="A97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87" spans="1:1" x14ac:dyDescent="0.25">
      <c r="A97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88" spans="1:1" x14ac:dyDescent="0.25">
      <c r="A97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89" spans="1:1" x14ac:dyDescent="0.25">
      <c r="A97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90" spans="1:1" x14ac:dyDescent="0.25">
      <c r="A97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91" spans="1:1" x14ac:dyDescent="0.25">
      <c r="A97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92" spans="1:1" x14ac:dyDescent="0.25">
      <c r="A97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93" spans="1:1" x14ac:dyDescent="0.25">
      <c r="A97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94" spans="1:1" x14ac:dyDescent="0.25">
      <c r="A97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95" spans="1:1" x14ac:dyDescent="0.25">
      <c r="A97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96" spans="1:1" x14ac:dyDescent="0.25">
      <c r="A97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97" spans="1:1" x14ac:dyDescent="0.25">
      <c r="A97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98" spans="1:1" x14ac:dyDescent="0.25">
      <c r="A97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799" spans="1:1" x14ac:dyDescent="0.25">
      <c r="A97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00" spans="1:1" x14ac:dyDescent="0.25">
      <c r="A98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01" spans="1:1" x14ac:dyDescent="0.25">
      <c r="A98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02" spans="1:1" x14ac:dyDescent="0.25">
      <c r="A98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03" spans="1:1" x14ac:dyDescent="0.25">
      <c r="A98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04" spans="1:1" x14ac:dyDescent="0.25">
      <c r="A98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05" spans="1:1" x14ac:dyDescent="0.25">
      <c r="A98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06" spans="1:1" x14ac:dyDescent="0.25">
      <c r="A98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07" spans="1:1" x14ac:dyDescent="0.25">
      <c r="A98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08" spans="1:1" x14ac:dyDescent="0.25">
      <c r="A98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09" spans="1:1" x14ac:dyDescent="0.25">
      <c r="A98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10" spans="1:1" x14ac:dyDescent="0.25">
      <c r="A98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11" spans="1:1" x14ac:dyDescent="0.25">
      <c r="A98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12" spans="1:1" x14ac:dyDescent="0.25">
      <c r="A98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13" spans="1:1" x14ac:dyDescent="0.25">
      <c r="A98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14" spans="1:1" x14ac:dyDescent="0.25">
      <c r="A98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15" spans="1:1" x14ac:dyDescent="0.25">
      <c r="A98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16" spans="1:1" x14ac:dyDescent="0.25">
      <c r="A98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17" spans="1:1" x14ac:dyDescent="0.25">
      <c r="A98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18" spans="1:1" x14ac:dyDescent="0.25">
      <c r="A98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19" spans="1:1" x14ac:dyDescent="0.25">
      <c r="A98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20" spans="1:1" x14ac:dyDescent="0.25">
      <c r="A98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21" spans="1:1" x14ac:dyDescent="0.25">
      <c r="A98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22" spans="1:1" x14ac:dyDescent="0.25">
      <c r="A98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23" spans="1:1" x14ac:dyDescent="0.25">
      <c r="A98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24" spans="1:1" x14ac:dyDescent="0.25">
      <c r="A98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25" spans="1:1" x14ac:dyDescent="0.25">
      <c r="A98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26" spans="1:1" x14ac:dyDescent="0.25">
      <c r="A98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27" spans="1:1" x14ac:dyDescent="0.25">
      <c r="A98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28" spans="1:1" x14ac:dyDescent="0.25">
      <c r="A98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29" spans="1:1" x14ac:dyDescent="0.25">
      <c r="A98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30" spans="1:1" x14ac:dyDescent="0.25">
      <c r="A98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31" spans="1:1" x14ac:dyDescent="0.25">
      <c r="A98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32" spans="1:1" x14ac:dyDescent="0.25">
      <c r="A98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33" spans="1:1" x14ac:dyDescent="0.25">
      <c r="A98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34" spans="1:1" x14ac:dyDescent="0.25">
      <c r="A98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35" spans="1:1" x14ac:dyDescent="0.25">
      <c r="A98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36" spans="1:1" x14ac:dyDescent="0.25">
      <c r="A98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37" spans="1:1" x14ac:dyDescent="0.25">
      <c r="A98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38" spans="1:1" x14ac:dyDescent="0.25">
      <c r="A98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39" spans="1:1" x14ac:dyDescent="0.25">
      <c r="A98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40" spans="1:1" x14ac:dyDescent="0.25">
      <c r="A98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41" spans="1:1" x14ac:dyDescent="0.25">
      <c r="A98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42" spans="1:1" x14ac:dyDescent="0.25">
      <c r="A98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43" spans="1:1" x14ac:dyDescent="0.25">
      <c r="A98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44" spans="1:1" x14ac:dyDescent="0.25">
      <c r="A98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45" spans="1:1" x14ac:dyDescent="0.25">
      <c r="A98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46" spans="1:1" x14ac:dyDescent="0.25">
      <c r="A98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47" spans="1:1" x14ac:dyDescent="0.25">
      <c r="A98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48" spans="1:1" x14ac:dyDescent="0.25">
      <c r="A98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49" spans="1:1" x14ac:dyDescent="0.25">
      <c r="A98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50" spans="1:1" x14ac:dyDescent="0.25">
      <c r="A98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51" spans="1:1" x14ac:dyDescent="0.25">
      <c r="A98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52" spans="1:1" x14ac:dyDescent="0.25">
      <c r="A98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53" spans="1:1" x14ac:dyDescent="0.25">
      <c r="A98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54" spans="1:1" x14ac:dyDescent="0.25">
      <c r="A98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55" spans="1:1" x14ac:dyDescent="0.25">
      <c r="A98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56" spans="1:1" x14ac:dyDescent="0.25">
      <c r="A98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57" spans="1:1" x14ac:dyDescent="0.25">
      <c r="A98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58" spans="1:1" x14ac:dyDescent="0.25">
      <c r="A98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59" spans="1:1" x14ac:dyDescent="0.25">
      <c r="A98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60" spans="1:1" x14ac:dyDescent="0.25">
      <c r="A98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61" spans="1:1" x14ac:dyDescent="0.25">
      <c r="A98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62" spans="1:1" x14ac:dyDescent="0.25">
      <c r="A98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63" spans="1:1" x14ac:dyDescent="0.25">
      <c r="A98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64" spans="1:1" x14ac:dyDescent="0.25">
      <c r="A98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65" spans="1:1" x14ac:dyDescent="0.25">
      <c r="A98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66" spans="1:1" x14ac:dyDescent="0.25">
      <c r="A98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67" spans="1:1" x14ac:dyDescent="0.25">
      <c r="A98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68" spans="1:1" x14ac:dyDescent="0.25">
      <c r="A98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69" spans="1:1" x14ac:dyDescent="0.25">
      <c r="A98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70" spans="1:1" x14ac:dyDescent="0.25">
      <c r="A98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71" spans="1:1" x14ac:dyDescent="0.25">
      <c r="A98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72" spans="1:1" x14ac:dyDescent="0.25">
      <c r="A98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73" spans="1:1" x14ac:dyDescent="0.25">
      <c r="A98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74" spans="1:1" x14ac:dyDescent="0.25">
      <c r="A98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75" spans="1:1" x14ac:dyDescent="0.25">
      <c r="A98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76" spans="1:1" x14ac:dyDescent="0.25">
      <c r="A98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77" spans="1:1" x14ac:dyDescent="0.25">
      <c r="A98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78" spans="1:1" x14ac:dyDescent="0.25">
      <c r="A98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79" spans="1:1" x14ac:dyDescent="0.25">
      <c r="A98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80" spans="1:1" x14ac:dyDescent="0.25">
      <c r="A98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81" spans="1:1" x14ac:dyDescent="0.25">
      <c r="A98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82" spans="1:1" x14ac:dyDescent="0.25">
      <c r="A98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83" spans="1:1" x14ac:dyDescent="0.25">
      <c r="A98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84" spans="1:1" x14ac:dyDescent="0.25">
      <c r="A98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85" spans="1:1" x14ac:dyDescent="0.25">
      <c r="A98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86" spans="1:1" x14ac:dyDescent="0.25">
      <c r="A98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87" spans="1:1" x14ac:dyDescent="0.25">
      <c r="A98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88" spans="1:1" x14ac:dyDescent="0.25">
      <c r="A98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89" spans="1:1" x14ac:dyDescent="0.25">
      <c r="A98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90" spans="1:1" x14ac:dyDescent="0.25">
      <c r="A98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91" spans="1:1" x14ac:dyDescent="0.25">
      <c r="A98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92" spans="1:1" x14ac:dyDescent="0.25">
      <c r="A98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93" spans="1:1" x14ac:dyDescent="0.25">
      <c r="A989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94" spans="1:1" x14ac:dyDescent="0.25">
      <c r="A989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95" spans="1:1" x14ac:dyDescent="0.25">
      <c r="A989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96" spans="1:1" x14ac:dyDescent="0.25">
      <c r="A989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97" spans="1:1" x14ac:dyDescent="0.25">
      <c r="A989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98" spans="1:1" x14ac:dyDescent="0.25">
      <c r="A989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899" spans="1:1" x14ac:dyDescent="0.25">
      <c r="A989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00" spans="1:1" x14ac:dyDescent="0.25">
      <c r="A990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01" spans="1:1" x14ac:dyDescent="0.25">
      <c r="A990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02" spans="1:1" x14ac:dyDescent="0.25">
      <c r="A990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03" spans="1:1" x14ac:dyDescent="0.25">
      <c r="A990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04" spans="1:1" x14ac:dyDescent="0.25">
      <c r="A990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05" spans="1:1" x14ac:dyDescent="0.25">
      <c r="A990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06" spans="1:1" x14ac:dyDescent="0.25">
      <c r="A990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07" spans="1:1" x14ac:dyDescent="0.25">
      <c r="A990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08" spans="1:1" x14ac:dyDescent="0.25">
      <c r="A990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09" spans="1:1" x14ac:dyDescent="0.25">
      <c r="A990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10" spans="1:1" x14ac:dyDescent="0.25">
      <c r="A991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11" spans="1:1" x14ac:dyDescent="0.25">
      <c r="A991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12" spans="1:1" x14ac:dyDescent="0.25">
      <c r="A991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13" spans="1:1" x14ac:dyDescent="0.25">
      <c r="A991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14" spans="1:1" x14ac:dyDescent="0.25">
      <c r="A991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15" spans="1:1" x14ac:dyDescent="0.25">
      <c r="A991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16" spans="1:1" x14ac:dyDescent="0.25">
      <c r="A991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17" spans="1:1" x14ac:dyDescent="0.25">
      <c r="A991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18" spans="1:1" x14ac:dyDescent="0.25">
      <c r="A991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19" spans="1:1" x14ac:dyDescent="0.25">
      <c r="A991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20" spans="1:1" x14ac:dyDescent="0.25">
      <c r="A992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21" spans="1:1" x14ac:dyDescent="0.25">
      <c r="A992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22" spans="1:1" x14ac:dyDescent="0.25">
      <c r="A992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23" spans="1:1" x14ac:dyDescent="0.25">
      <c r="A992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24" spans="1:1" x14ac:dyDescent="0.25">
      <c r="A992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25" spans="1:1" x14ac:dyDescent="0.25">
      <c r="A992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26" spans="1:1" x14ac:dyDescent="0.25">
      <c r="A992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27" spans="1:1" x14ac:dyDescent="0.25">
      <c r="A992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28" spans="1:1" x14ac:dyDescent="0.25">
      <c r="A992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29" spans="1:1" x14ac:dyDescent="0.25">
      <c r="A992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30" spans="1:1" x14ac:dyDescent="0.25">
      <c r="A993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31" spans="1:1" x14ac:dyDescent="0.25">
      <c r="A993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32" spans="1:1" x14ac:dyDescent="0.25">
      <c r="A993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33" spans="1:1" x14ac:dyDescent="0.25">
      <c r="A993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34" spans="1:1" x14ac:dyDescent="0.25">
      <c r="A993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35" spans="1:1" x14ac:dyDescent="0.25">
      <c r="A993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36" spans="1:1" x14ac:dyDescent="0.25">
      <c r="A993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37" spans="1:1" x14ac:dyDescent="0.25">
      <c r="A993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38" spans="1:1" x14ac:dyDescent="0.25">
      <c r="A993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39" spans="1:1" x14ac:dyDescent="0.25">
      <c r="A993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40" spans="1:1" x14ac:dyDescent="0.25">
      <c r="A994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41" spans="1:1" x14ac:dyDescent="0.25">
      <c r="A994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42" spans="1:1" x14ac:dyDescent="0.25">
      <c r="A994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43" spans="1:1" x14ac:dyDescent="0.25">
      <c r="A994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44" spans="1:1" x14ac:dyDescent="0.25">
      <c r="A994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45" spans="1:1" x14ac:dyDescent="0.25">
      <c r="A994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46" spans="1:1" x14ac:dyDescent="0.25">
      <c r="A994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47" spans="1:1" x14ac:dyDescent="0.25">
      <c r="A994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48" spans="1:1" x14ac:dyDescent="0.25">
      <c r="A994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49" spans="1:1" x14ac:dyDescent="0.25">
      <c r="A994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50" spans="1:1" x14ac:dyDescent="0.25">
      <c r="A995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51" spans="1:1" x14ac:dyDescent="0.25">
      <c r="A995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52" spans="1:1" x14ac:dyDescent="0.25">
      <c r="A995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53" spans="1:1" x14ac:dyDescent="0.25">
      <c r="A995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54" spans="1:1" x14ac:dyDescent="0.25">
      <c r="A995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55" spans="1:1" x14ac:dyDescent="0.25">
      <c r="A995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56" spans="1:1" x14ac:dyDescent="0.25">
      <c r="A995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57" spans="1:1" x14ac:dyDescent="0.25">
      <c r="A995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58" spans="1:1" x14ac:dyDescent="0.25">
      <c r="A995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59" spans="1:1" x14ac:dyDescent="0.25">
      <c r="A995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60" spans="1:1" x14ac:dyDescent="0.25">
      <c r="A996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61" spans="1:1" x14ac:dyDescent="0.25">
      <c r="A996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62" spans="1:1" x14ac:dyDescent="0.25">
      <c r="A996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63" spans="1:1" x14ac:dyDescent="0.25">
      <c r="A996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64" spans="1:1" x14ac:dyDescent="0.25">
      <c r="A996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65" spans="1:1" x14ac:dyDescent="0.25">
      <c r="A996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66" spans="1:1" x14ac:dyDescent="0.25">
      <c r="A996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67" spans="1:1" x14ac:dyDescent="0.25">
      <c r="A996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68" spans="1:1" x14ac:dyDescent="0.25">
      <c r="A996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69" spans="1:1" x14ac:dyDescent="0.25">
      <c r="A996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70" spans="1:1" x14ac:dyDescent="0.25">
      <c r="A997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71" spans="1:1" x14ac:dyDescent="0.25">
      <c r="A997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72" spans="1:1" x14ac:dyDescent="0.25">
      <c r="A997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73" spans="1:1" x14ac:dyDescent="0.25">
      <c r="A997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74" spans="1:1" x14ac:dyDescent="0.25">
      <c r="A997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75" spans="1:1" x14ac:dyDescent="0.25">
      <c r="A997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76" spans="1:1" x14ac:dyDescent="0.25">
      <c r="A997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77" spans="1:1" x14ac:dyDescent="0.25">
      <c r="A997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78" spans="1:1" x14ac:dyDescent="0.25">
      <c r="A997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79" spans="1:1" x14ac:dyDescent="0.25">
      <c r="A997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80" spans="1:1" x14ac:dyDescent="0.25">
      <c r="A998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81" spans="1:1" x14ac:dyDescent="0.25">
      <c r="A998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82" spans="1:1" x14ac:dyDescent="0.25">
      <c r="A998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83" spans="1:1" x14ac:dyDescent="0.25">
      <c r="A9983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84" spans="1:1" x14ac:dyDescent="0.25">
      <c r="A9984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85" spans="1:1" x14ac:dyDescent="0.25">
      <c r="A9985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86" spans="1:1" x14ac:dyDescent="0.25">
      <c r="A9986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87" spans="1:1" x14ac:dyDescent="0.25">
      <c r="A9987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88" spans="1:1" x14ac:dyDescent="0.25">
      <c r="A9988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89" spans="1:1" x14ac:dyDescent="0.25">
      <c r="A9989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90" spans="1:1" x14ac:dyDescent="0.25">
      <c r="A9990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91" spans="1:1" x14ac:dyDescent="0.25">
      <c r="A9991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  <row r="9992" spans="1:1" x14ac:dyDescent="0.25">
      <c r="A9992" s="9" t="str">
        <f>IFERROR(IF(Tabulka2[[#This Row],[Datum]]=0,"!!! Vyplň DATUM !!!",IF(AND(Tabulka2[[#This Row],[Datum]]&gt;0,Tabulka2[[#This Row],[Firma]]=0),"!!! Vyplň FIRMU !!!",IF(AND(Tabulka2[[#This Row],[Datum]]&gt;0,Tabulka2[[#This Row],[Firma]]&gt;0,Tabulka2[[#This Row],[Pracovník]]=0),"!!! Vyplň PRACOVNÍKA !!!",IF(AND(Tabulka2[[#This Row],[Datum]]&gt;0,Tabulka2[[#This Row],[Firma]]&gt;0,Tabulka2[[#This Row],[Pracovník]]&gt;0,Tabulka2[[#This Row],[Přítomnost / Směna]]=0),"!!! Vyplň SMĚNU !!!","")))),"")</f>
        <v/>
      </c>
    </row>
  </sheetData>
  <sheetProtection formatColumns="0" insertRows="0" sort="0" autoFilter="0" pivotTables="0"/>
  <autoFilter ref="A1:A9992" xr:uid="{683F6DCA-D5BF-4AF6-9086-B129F667FB21}"/>
  <phoneticPr fontId="1" type="noConversion"/>
  <conditionalFormatting sqref="A2:A9992">
    <cfRule type="containsText" dxfId="171" priority="1" operator="containsText" text="!">
      <formula>NOT(ISERROR(SEARCH("!",A2)))</formula>
    </cfRule>
  </conditionalFormatting>
  <dataValidations count="5">
    <dataValidation type="list" allowBlank="1" showInputMessage="1" showErrorMessage="1" sqref="C2:C2211" xr:uid="{875DE984-9429-4CB0-9612-195160ED7E1C}">
      <formula1>Firma</formula1>
    </dataValidation>
    <dataValidation type="list" allowBlank="1" showInputMessage="1" showErrorMessage="1" sqref="H2:H2211" xr:uid="{03972717-CF56-4794-8AA9-86703412B2C9}">
      <formula1>Úvazek</formula1>
    </dataValidation>
    <dataValidation type="list" allowBlank="1" showInputMessage="1" showErrorMessage="1" sqref="G2:G2211" xr:uid="{37FB94A0-23E7-4CF1-A105-B34469A5B7D3}">
      <formula1>INDIRECT($F2)</formula1>
    </dataValidation>
    <dataValidation type="list" allowBlank="1" showInputMessage="1" showErrorMessage="1" sqref="F2:F2211" xr:uid="{3349053F-3337-405F-99E9-837F2E34E604}">
      <formula1>Směny</formula1>
    </dataValidation>
    <dataValidation type="list" allowBlank="1" showInputMessage="1" showErrorMessage="1" sqref="D2:D2211" xr:uid="{B5BB9705-3FF1-4445-BD6B-B0E2CBA48AB4}">
      <formula1>INDIRECT($C2)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9B6FB-3278-4E31-BF4D-27847A111695}">
  <dimension ref="B2:L9"/>
  <sheetViews>
    <sheetView zoomScale="90" zoomScaleNormal="90" workbookViewId="0">
      <selection activeCell="F17" sqref="F17"/>
    </sheetView>
  </sheetViews>
  <sheetFormatPr defaultRowHeight="15" x14ac:dyDescent="0.25"/>
  <cols>
    <col min="2" max="2" width="26.140625" bestFit="1" customWidth="1"/>
    <col min="3" max="12" width="10.7109375" customWidth="1"/>
    <col min="13" max="15" width="15" bestFit="1" customWidth="1"/>
  </cols>
  <sheetData>
    <row r="2" spans="2:12" ht="15.75" thickBot="1" x14ac:dyDescent="0.3">
      <c r="B2" s="4" t="s">
        <v>915</v>
      </c>
      <c r="C2" s="4" t="s">
        <v>637</v>
      </c>
    </row>
    <row r="3" spans="2:12" ht="15.75" thickBot="1" x14ac:dyDescent="0.3">
      <c r="C3" s="29" t="s">
        <v>1050</v>
      </c>
      <c r="D3" s="30"/>
      <c r="E3" s="30"/>
      <c r="F3" s="30"/>
      <c r="G3" s="31"/>
      <c r="H3" s="30" t="s">
        <v>1051</v>
      </c>
      <c r="I3" s="30"/>
      <c r="J3" s="30"/>
      <c r="K3" s="30"/>
      <c r="L3" s="31"/>
    </row>
    <row r="4" spans="2:12" s="34" customFormat="1" x14ac:dyDescent="0.25">
      <c r="B4" s="32" t="s">
        <v>639</v>
      </c>
      <c r="C4" s="33">
        <v>45924</v>
      </c>
      <c r="D4" s="33">
        <v>45925</v>
      </c>
      <c r="E4" s="33">
        <v>45926</v>
      </c>
      <c r="F4" s="33">
        <v>45929</v>
      </c>
      <c r="G4" s="33">
        <v>45930</v>
      </c>
      <c r="H4" s="33">
        <v>45931</v>
      </c>
      <c r="I4" s="33">
        <v>45932</v>
      </c>
      <c r="J4" s="33">
        <v>45933</v>
      </c>
      <c r="K4" s="33">
        <v>45936</v>
      </c>
      <c r="L4" s="33">
        <v>45937</v>
      </c>
    </row>
    <row r="5" spans="2:12" x14ac:dyDescent="0.25">
      <c r="B5" s="5" t="s">
        <v>25</v>
      </c>
      <c r="C5" s="35">
        <v>5</v>
      </c>
      <c r="D5" s="35">
        <v>10</v>
      </c>
      <c r="E5" s="35">
        <v>18</v>
      </c>
      <c r="F5" s="35">
        <v>39</v>
      </c>
      <c r="G5" s="35">
        <v>70</v>
      </c>
      <c r="H5" s="35">
        <v>6</v>
      </c>
      <c r="I5" s="35">
        <v>10</v>
      </c>
      <c r="J5" s="35">
        <v>10</v>
      </c>
      <c r="K5" s="35">
        <v>13</v>
      </c>
      <c r="L5" s="35">
        <v>10</v>
      </c>
    </row>
    <row r="6" spans="2:12" x14ac:dyDescent="0.25">
      <c r="B6" s="5" t="s">
        <v>56</v>
      </c>
      <c r="C6" s="36">
        <v>1</v>
      </c>
      <c r="D6" s="36">
        <v>1</v>
      </c>
      <c r="E6" s="36">
        <v>1</v>
      </c>
      <c r="F6" s="36"/>
      <c r="G6" s="36">
        <v>4</v>
      </c>
      <c r="H6" s="36">
        <v>1</v>
      </c>
      <c r="I6" s="36">
        <v>1</v>
      </c>
      <c r="J6" s="36">
        <v>1</v>
      </c>
      <c r="K6" s="36">
        <v>1</v>
      </c>
      <c r="L6" s="36">
        <v>1</v>
      </c>
    </row>
    <row r="7" spans="2:12" x14ac:dyDescent="0.25">
      <c r="B7" s="5" t="s">
        <v>96</v>
      </c>
      <c r="C7" s="36">
        <v>4</v>
      </c>
      <c r="D7" s="36">
        <v>5</v>
      </c>
      <c r="E7" s="36">
        <v>8</v>
      </c>
      <c r="F7" s="36">
        <v>42</v>
      </c>
      <c r="G7" s="36">
        <v>40</v>
      </c>
      <c r="H7" s="36">
        <v>9</v>
      </c>
      <c r="I7" s="36">
        <v>1</v>
      </c>
      <c r="J7" s="36">
        <v>1</v>
      </c>
      <c r="K7" s="36"/>
      <c r="L7" s="36"/>
    </row>
    <row r="8" spans="2:12" x14ac:dyDescent="0.25">
      <c r="B8" s="5" t="s">
        <v>28</v>
      </c>
      <c r="C8" s="36">
        <v>5</v>
      </c>
      <c r="D8" s="36">
        <v>5</v>
      </c>
      <c r="E8" s="36">
        <v>7</v>
      </c>
      <c r="F8" s="36">
        <v>90</v>
      </c>
      <c r="G8" s="36">
        <v>9</v>
      </c>
      <c r="H8" s="36">
        <v>7</v>
      </c>
      <c r="I8" s="36">
        <v>6</v>
      </c>
      <c r="J8" s="36">
        <v>5</v>
      </c>
      <c r="K8" s="36">
        <v>9</v>
      </c>
      <c r="L8" s="36">
        <v>7</v>
      </c>
    </row>
    <row r="9" spans="2:12" x14ac:dyDescent="0.25">
      <c r="B9" s="5" t="s">
        <v>638</v>
      </c>
      <c r="C9" s="37">
        <v>15</v>
      </c>
      <c r="D9" s="37">
        <v>21</v>
      </c>
      <c r="E9" s="37">
        <v>34</v>
      </c>
      <c r="F9" s="37">
        <v>171</v>
      </c>
      <c r="G9" s="37">
        <v>123</v>
      </c>
      <c r="H9" s="37">
        <v>23</v>
      </c>
      <c r="I9" s="37">
        <v>18</v>
      </c>
      <c r="J9" s="37">
        <v>17</v>
      </c>
      <c r="K9" s="37">
        <v>23</v>
      </c>
      <c r="L9" s="37">
        <v>18</v>
      </c>
    </row>
  </sheetData>
  <pageMargins left="0.7" right="0.7" top="0.78740157499999996" bottom="0.78740157499999996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531FF0-58AA-4D9A-A751-B7193C090F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3</vt:i4>
      </vt:variant>
      <vt:variant>
        <vt:lpstr>Pojmenované oblasti</vt:lpstr>
      </vt:variant>
      <vt:variant>
        <vt:i4>4</vt:i4>
      </vt:variant>
    </vt:vector>
  </HeadingPairs>
  <TitlesOfParts>
    <vt:vector size="7" baseType="lpstr">
      <vt:lpstr>DATA</vt:lpstr>
      <vt:lpstr>2025</vt:lpstr>
      <vt:lpstr>PIVOT</vt:lpstr>
      <vt:lpstr>A</vt:lpstr>
      <vt:lpstr>Firma</vt:lpstr>
      <vt:lpstr>Směny</vt:lpstr>
      <vt:lpstr>Úvazek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 Šimko</dc:creator>
  <cp:lastModifiedBy>Aleš Kadlec</cp:lastModifiedBy>
  <dcterms:created xsi:type="dcterms:W3CDTF">2025-09-24T08:48:43Z</dcterms:created>
  <dcterms:modified xsi:type="dcterms:W3CDTF">2025-10-08T14:26:26Z</dcterms:modified>
</cp:coreProperties>
</file>