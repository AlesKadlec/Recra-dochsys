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5.4\intranet\recra\data\"/>
    </mc:Choice>
  </mc:AlternateContent>
  <xr:revisionPtr revIDLastSave="0" documentId="13_ncr:1_{7C4E6CDC-4EF7-4AE1-8C5A-559EDDE79E7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ersonal_" sheetId="1" r:id="rId1"/>
  </sheets>
  <definedNames>
    <definedName name="_xlnm.Database">personal_!$B$1:$H$39</definedName>
  </definedNames>
  <calcPr calcId="191029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2" i="1"/>
</calcChain>
</file>

<file path=xl/sharedStrings.xml><?xml version="1.0" encoding="utf-8"?>
<sst xmlns="http://schemas.openxmlformats.org/spreadsheetml/2006/main" count="304" uniqueCount="258">
  <si>
    <t>Zory</t>
  </si>
  <si>
    <t>44-240</t>
  </si>
  <si>
    <t>Birtus</t>
  </si>
  <si>
    <t>Jozef</t>
  </si>
  <si>
    <t>737541900</t>
  </si>
  <si>
    <t>Skalité</t>
  </si>
  <si>
    <t>337</t>
  </si>
  <si>
    <t>023 14</t>
  </si>
  <si>
    <t>23</t>
  </si>
  <si>
    <t>Boloch</t>
  </si>
  <si>
    <t>Marek Wladyslaw</t>
  </si>
  <si>
    <t>+48 692 199 209</t>
  </si>
  <si>
    <t>Zebrzydowicka</t>
  </si>
  <si>
    <t>10/6</t>
  </si>
  <si>
    <t>Rybnik</t>
  </si>
  <si>
    <t>44-200</t>
  </si>
  <si>
    <t>Wodzislaw Slaski</t>
  </si>
  <si>
    <t>44-300</t>
  </si>
  <si>
    <t>Büdi</t>
  </si>
  <si>
    <t>Alexander</t>
  </si>
  <si>
    <t>728 423 957</t>
  </si>
  <si>
    <t>Cestice</t>
  </si>
  <si>
    <t>32</t>
  </si>
  <si>
    <t>044 71</t>
  </si>
  <si>
    <t>Bykowski</t>
  </si>
  <si>
    <t>Marcin Ryszard</t>
  </si>
  <si>
    <t>+48 571 914 180</t>
  </si>
  <si>
    <t>Pomorska</t>
  </si>
  <si>
    <t>49/2</t>
  </si>
  <si>
    <t>Jastrzebie Zdroj</t>
  </si>
  <si>
    <t>44-335</t>
  </si>
  <si>
    <t>Cisiński</t>
  </si>
  <si>
    <t>Sebastian Tadeusz</t>
  </si>
  <si>
    <t>+48 508 565 205</t>
  </si>
  <si>
    <t>Turystyczna</t>
  </si>
  <si>
    <t>13/27</t>
  </si>
  <si>
    <t>Jastrzębie-Zdrój</t>
  </si>
  <si>
    <t>Czuba</t>
  </si>
  <si>
    <t>Grzegorz</t>
  </si>
  <si>
    <t>+48 574 655 211</t>
  </si>
  <si>
    <t>Zeromskiego</t>
  </si>
  <si>
    <t>7/1</t>
  </si>
  <si>
    <t>Czurylo</t>
  </si>
  <si>
    <t>Tomasz</t>
  </si>
  <si>
    <t>+48 884 642 785</t>
  </si>
  <si>
    <t>Gornicza</t>
  </si>
  <si>
    <t>18C/7</t>
  </si>
  <si>
    <t>44-206</t>
  </si>
  <si>
    <t>Daga</t>
  </si>
  <si>
    <t>Daniel Krzysztof</t>
  </si>
  <si>
    <t>+48 798 498 277</t>
  </si>
  <si>
    <t>Zagloby</t>
  </si>
  <si>
    <t>24</t>
  </si>
  <si>
    <t>44-270</t>
  </si>
  <si>
    <t>Kaszubska</t>
  </si>
  <si>
    <t>10/9</t>
  </si>
  <si>
    <t>Frackiewicz</t>
  </si>
  <si>
    <t>Mateusz Dawid</t>
  </si>
  <si>
    <t>+48 570 980 131</t>
  </si>
  <si>
    <t>Os. Generala Sikorskiego</t>
  </si>
  <si>
    <t>22 I/1</t>
  </si>
  <si>
    <t>Galus</t>
  </si>
  <si>
    <t>Wojciech Jan</t>
  </si>
  <si>
    <t>+48 784 259 034</t>
  </si>
  <si>
    <t>26 Marca</t>
  </si>
  <si>
    <t>Chmielewski</t>
  </si>
  <si>
    <t>Arkadiusz Antoni</t>
  </si>
  <si>
    <t>+48 574 635 493</t>
  </si>
  <si>
    <t>29/24</t>
  </si>
  <si>
    <t>Jacewicz</t>
  </si>
  <si>
    <t>Jakub Jacek</t>
  </si>
  <si>
    <t>+48 500 754 433</t>
  </si>
  <si>
    <t>Mikołaja Witczaka</t>
  </si>
  <si>
    <t>4c/7</t>
  </si>
  <si>
    <t>Janiczek</t>
  </si>
  <si>
    <t>Kamil Patryk</t>
  </si>
  <si>
    <t>+48 884 337 008</t>
  </si>
  <si>
    <t>os. 1000-lecia</t>
  </si>
  <si>
    <t>8/25</t>
  </si>
  <si>
    <t>44-268</t>
  </si>
  <si>
    <t>Jazdzewski</t>
  </si>
  <si>
    <t>Robert Lukasz</t>
  </si>
  <si>
    <t>+48 789 769 471</t>
  </si>
  <si>
    <t>Os. 1000-Lecia</t>
  </si>
  <si>
    <t>7/57</t>
  </si>
  <si>
    <t>Kala</t>
  </si>
  <si>
    <t>Janusz Eryk</t>
  </si>
  <si>
    <t>+48 537 097 454</t>
  </si>
  <si>
    <t>Boryńska</t>
  </si>
  <si>
    <t>44-244</t>
  </si>
  <si>
    <t>Karkoszka</t>
  </si>
  <si>
    <t>Michal Ireneusz</t>
  </si>
  <si>
    <t>+48 609 723 587</t>
  </si>
  <si>
    <t>1000-lecia</t>
  </si>
  <si>
    <t>18/7</t>
  </si>
  <si>
    <t>Kovařčik</t>
  </si>
  <si>
    <t>Tomáš</t>
  </si>
  <si>
    <t>739764081</t>
  </si>
  <si>
    <t>Lázky</t>
  </si>
  <si>
    <t>1319</t>
  </si>
  <si>
    <t>Vsetín</t>
  </si>
  <si>
    <t>755 01</t>
  </si>
  <si>
    <t>Kowalczyk</t>
  </si>
  <si>
    <t>Przemyslaw Krzysztof</t>
  </si>
  <si>
    <t>+48 537 100 679</t>
  </si>
  <si>
    <t>Aleja Wojska Polskiego</t>
  </si>
  <si>
    <t>21/21</t>
  </si>
  <si>
    <t>Lata</t>
  </si>
  <si>
    <t>Stanislaw</t>
  </si>
  <si>
    <t>+48 789 787 147</t>
  </si>
  <si>
    <t>Boleslawa Prusa</t>
  </si>
  <si>
    <t>2/1</t>
  </si>
  <si>
    <t>Loter</t>
  </si>
  <si>
    <t>Dawid Seweryn</t>
  </si>
  <si>
    <t>+48 794 581 733</t>
  </si>
  <si>
    <t>Rynek</t>
  </si>
  <si>
    <t>27/7</t>
  </si>
  <si>
    <t>Wodzisław Śląski</t>
  </si>
  <si>
    <t>Lysejko</t>
  </si>
  <si>
    <t>Jaroslaw</t>
  </si>
  <si>
    <t>+48 797 697 888</t>
  </si>
  <si>
    <t>19/1</t>
  </si>
  <si>
    <t>Marczewski</t>
  </si>
  <si>
    <t>Robert Wieslaw</t>
  </si>
  <si>
    <t>+48 606 131 964</t>
  </si>
  <si>
    <t>Malchera</t>
  </si>
  <si>
    <t>29/9</t>
  </si>
  <si>
    <t>Jastrzebie-Zdroj</t>
  </si>
  <si>
    <t>44335</t>
  </si>
  <si>
    <t>Moravec</t>
  </si>
  <si>
    <t>Jan</t>
  </si>
  <si>
    <t>736 120 949</t>
  </si>
  <si>
    <t>Čujkovova</t>
  </si>
  <si>
    <t>1738/34</t>
  </si>
  <si>
    <t>Ostrava-Zábřeh</t>
  </si>
  <si>
    <t>70030</t>
  </si>
  <si>
    <t>Nawara</t>
  </si>
  <si>
    <t>Bartosz Pawel</t>
  </si>
  <si>
    <t>+48 507 556 613</t>
  </si>
  <si>
    <t>Krakowska</t>
  </si>
  <si>
    <t>1/16</t>
  </si>
  <si>
    <t>Jastrzebie-Zdrój</t>
  </si>
  <si>
    <t>Pawliczek</t>
  </si>
  <si>
    <t>Wojciech Roman</t>
  </si>
  <si>
    <t>+48 510 626 854</t>
  </si>
  <si>
    <t>Jana Onufrego Zagłoby</t>
  </si>
  <si>
    <t>Pitel</t>
  </si>
  <si>
    <t>Jiří</t>
  </si>
  <si>
    <t>731907245</t>
  </si>
  <si>
    <t>Dr.Čejky</t>
  </si>
  <si>
    <t>1518</t>
  </si>
  <si>
    <t>Příbor</t>
  </si>
  <si>
    <t>742 58</t>
  </si>
  <si>
    <t>Porczyk</t>
  </si>
  <si>
    <t>Patryk Szymon</t>
  </si>
  <si>
    <t>+48 792 561 006</t>
  </si>
  <si>
    <t>Patriotow</t>
  </si>
  <si>
    <t>8B/7</t>
  </si>
  <si>
    <t>44-253</t>
  </si>
  <si>
    <t>Prudel</t>
  </si>
  <si>
    <t>Mateusz Stanislaw</t>
  </si>
  <si>
    <t>+48 694 806 434</t>
  </si>
  <si>
    <t>Kreta</t>
  </si>
  <si>
    <t>1G/4</t>
  </si>
  <si>
    <t>Pawlowice</t>
  </si>
  <si>
    <t>43-251</t>
  </si>
  <si>
    <t>Rost</t>
  </si>
  <si>
    <t>Szymon Mariusz</t>
  </si>
  <si>
    <t>+48 572 303 066</t>
  </si>
  <si>
    <t>Kurpiowska</t>
  </si>
  <si>
    <t>11/5</t>
  </si>
  <si>
    <t>Rozy</t>
  </si>
  <si>
    <t>Lukasz</t>
  </si>
  <si>
    <t>+48 787 366 585</t>
  </si>
  <si>
    <t>osiedle 1000-lecia</t>
  </si>
  <si>
    <t>15B/34</t>
  </si>
  <si>
    <t>Salapa</t>
  </si>
  <si>
    <t>Damian Slawomir</t>
  </si>
  <si>
    <t>+48 512 157 227</t>
  </si>
  <si>
    <t>Wielkopolska</t>
  </si>
  <si>
    <t>11/19</t>
  </si>
  <si>
    <t>Smyczek</t>
  </si>
  <si>
    <t>Wojciech Tomasz</t>
  </si>
  <si>
    <t>+48 535 200 182</t>
  </si>
  <si>
    <t>Slawikow</t>
  </si>
  <si>
    <t>19A/46</t>
  </si>
  <si>
    <t>Sokol</t>
  </si>
  <si>
    <t>Dariusz</t>
  </si>
  <si>
    <t>+48 501 771 551</t>
  </si>
  <si>
    <t>Dabrowki</t>
  </si>
  <si>
    <t>7B/1</t>
  </si>
  <si>
    <t>44-210</t>
  </si>
  <si>
    <t>Stoszko</t>
  </si>
  <si>
    <t>Mateusz</t>
  </si>
  <si>
    <t>+48 666 148 450</t>
  </si>
  <si>
    <t>Boguszowicka</t>
  </si>
  <si>
    <t>14B</t>
  </si>
  <si>
    <t>Jankowice</t>
  </si>
  <si>
    <t>44-264</t>
  </si>
  <si>
    <t>Weinreich</t>
  </si>
  <si>
    <t>Piotr Grzegorz</t>
  </si>
  <si>
    <t>+48 531 385 792</t>
  </si>
  <si>
    <t>Swietego Jozefa</t>
  </si>
  <si>
    <t>18/19</t>
  </si>
  <si>
    <t>Wojaczek</t>
  </si>
  <si>
    <t>Kamil Piotr</t>
  </si>
  <si>
    <t>+48 579 292 424</t>
  </si>
  <si>
    <t>Wankowicza</t>
  </si>
  <si>
    <t>44D</t>
  </si>
  <si>
    <t>44-313</t>
  </si>
  <si>
    <t>Zmudzinski</t>
  </si>
  <si>
    <t>Marek</t>
  </si>
  <si>
    <t>+48 880 075 790</t>
  </si>
  <si>
    <t>Osiedle 30-Lecia</t>
  </si>
  <si>
    <t>133/5</t>
  </si>
  <si>
    <t>44-286</t>
  </si>
  <si>
    <t>Zynda</t>
  </si>
  <si>
    <t>Wieslaw Józef</t>
  </si>
  <si>
    <t>5/4</t>
  </si>
  <si>
    <t>Příjmení</t>
  </si>
  <si>
    <t>Jméno</t>
  </si>
  <si>
    <t>Číslo</t>
  </si>
  <si>
    <t>Telefon</t>
  </si>
  <si>
    <t>Ulice</t>
  </si>
  <si>
    <t>číslo popisné</t>
  </si>
  <si>
    <t>Město</t>
  </si>
  <si>
    <t>PSČ</t>
  </si>
  <si>
    <t>RDIF</t>
  </si>
  <si>
    <t>0369962441</t>
  </si>
  <si>
    <t>0002998028</t>
  </si>
  <si>
    <t>0378770295</t>
  </si>
  <si>
    <t>0348404103</t>
  </si>
  <si>
    <t>0369977072</t>
  </si>
  <si>
    <t>0348392541</t>
  </si>
  <si>
    <t>0348387302</t>
  </si>
  <si>
    <t>0357229219</t>
  </si>
  <si>
    <t>0369911673</t>
  </si>
  <si>
    <t>0369947420</t>
  </si>
  <si>
    <t>0369978365</t>
  </si>
  <si>
    <t>0357221234</t>
  </si>
  <si>
    <t>0000916535</t>
  </si>
  <si>
    <t>0369919018</t>
  </si>
  <si>
    <t>0009644271</t>
  </si>
  <si>
    <t>0009580102</t>
  </si>
  <si>
    <t>0000904527</t>
  </si>
  <si>
    <t>0009586730</t>
  </si>
  <si>
    <t>0000920818</t>
  </si>
  <si>
    <t>0369965510</t>
  </si>
  <si>
    <t>0369972253</t>
  </si>
  <si>
    <t>0357225412</t>
  </si>
  <si>
    <t>0369951690</t>
  </si>
  <si>
    <t>0369916310</t>
  </si>
  <si>
    <t>0369924834</t>
  </si>
  <si>
    <t>0369971566</t>
  </si>
  <si>
    <t>0369916468</t>
  </si>
  <si>
    <t>0348370747</t>
  </si>
  <si>
    <t>0347606277</t>
  </si>
  <si>
    <t>0369912861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</si>
</sst>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color indexed="9"/>
      <name val="Calibri"/>
      <family val="2"/>
      <charset val="238"/>
      <scheme val="minor"/>
    </font>
    <font>
      <sz val="9"/>
      <color theme="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18" fillId="0" borderId="0" xfId="0" applyNumberFormat="1" applyFont="1"/>
    <xf numFmtId="49" fontId="19" fillId="33" borderId="10" xfId="0" quotePrefix="1" applyNumberFormat="1" applyFont="1" applyFill="1" applyBorder="1" applyAlignment="1">
      <alignment horizontal="center"/>
    </xf>
    <xf numFmtId="49" fontId="18" fillId="0" borderId="10" xfId="0" applyNumberFormat="1" applyFont="1" applyBorder="1"/>
    <xf numFmtId="1" fontId="18" fillId="0" borderId="0" xfId="0" applyNumberFormat="1" applyFont="1" applyAlignment="1">
      <alignment horizontal="center"/>
    </xf>
    <xf numFmtId="1" fontId="18" fillId="0" borderId="10" xfId="0" applyNumberFormat="1" applyFont="1" applyBorder="1" applyAlignment="1">
      <alignment horizontal="center"/>
    </xf>
    <xf numFmtId="0" fontId="20" fillId="35" borderId="0" xfId="0" applyFont="1" applyFill="1" applyAlignment="1">
      <alignment horizontal="center"/>
    </xf>
    <xf numFmtId="49" fontId="21" fillId="34" borderId="0" xfId="0" applyNumberFormat="1" applyFont="1" applyFill="1" applyAlignment="1">
      <alignment horizontal="center"/>
    </xf>
    <xf numFmtId="49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showZeros="0" tabSelected="1" topLeftCell="F22" workbookViewId="0">
      <selection activeCell="L39" sqref="L2:L39"/>
    </sheetView>
  </sheetViews>
  <sheetFormatPr defaultRowHeight="15" x14ac:dyDescent="0.25"/>
  <cols>
    <col min="1" max="1" width="7" style="4" customWidth="1"/>
    <col min="2" max="2" width="18.7109375" style="1" customWidth="1"/>
    <col min="3" max="3" width="15.140625" style="1" customWidth="1"/>
    <col min="4" max="4" width="14.42578125" style="1" customWidth="1"/>
    <col min="5" max="5" width="20.85546875" style="1" customWidth="1"/>
    <col min="6" max="8" width="9.7109375" style="1" customWidth="1"/>
    <col min="9" max="9" width="13.7109375" style="9" customWidth="1"/>
  </cols>
  <sheetData>
    <row r="1" spans="1:12" x14ac:dyDescent="0.25">
      <c r="A1" s="2" t="s">
        <v>221</v>
      </c>
      <c r="B1" s="2" t="s">
        <v>219</v>
      </c>
      <c r="C1" s="2" t="s">
        <v>220</v>
      </c>
      <c r="D1" s="2" t="s">
        <v>222</v>
      </c>
      <c r="E1" s="2" t="s">
        <v>223</v>
      </c>
      <c r="F1" s="2" t="s">
        <v>224</v>
      </c>
      <c r="G1" s="2" t="s">
        <v>225</v>
      </c>
      <c r="H1" s="2" t="s">
        <v>226</v>
      </c>
      <c r="I1" s="6" t="s">
        <v>227</v>
      </c>
    </row>
    <row r="2" spans="1:12" x14ac:dyDescent="0.25">
      <c r="A2" s="4">
        <v>3708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7</v>
      </c>
      <c r="I2" s="7"/>
      <c r="L2" t="str">
        <f>"insert into zamestnanci (os_cislo,prijmeni,jmeno,rfid,telefon,adresa,firma,smena,aktivni) values ('" &amp; A2 &amp; "','" &amp; B2 &amp; "','" &amp; C2 &amp; "','" &amp; I2 &amp; "','" &amp; D2 &amp; "','" &amp; E2 &amp; " " &amp; F2 &amp; ", " &amp; G2 &amp; ", " &amp; H2 &amp; "','3','R','1');"</f>
        <v>insert into zamestnanci (os_cislo,prijmeni,jmeno,rfid,telefon,adresa,firma,smena,aktivni) values ('3708','Birtus','Jozef','','737541900','Skalité 337, Skalité, 023 14','3','R','1');</v>
      </c>
    </row>
    <row r="3" spans="1:12" x14ac:dyDescent="0.25">
      <c r="A3" s="4">
        <v>5116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8" t="s">
        <v>228</v>
      </c>
      <c r="L3" t="str">
        <f t="shared" ref="L3:L39" si="0">"insert into zamestnanci (os_cislo,prijmeni,jmeno,rfid,telefon,adresa,firma,smena,aktivni) values ('" &amp; A3 &amp; "','" &amp; B3 &amp; "','" &amp; C3 &amp; "','" &amp; I3 &amp; "','" &amp; D3 &amp; "','" &amp; E3 &amp; " " &amp; F3 &amp; ", " &amp; G3 &amp; ", " &amp; H3 &amp; "','3','R','1');"</f>
        <v>insert into zamestnanci (os_cislo,prijmeni,jmeno,rfid,telefon,adresa,firma,smena,aktivni) values ('5116','Boloch','Marek Wladyslaw','0369962441','+48 692 199 209','Zebrzydowicka 10/6, Rybnik, 44-200','3','R','1');</v>
      </c>
    </row>
    <row r="4" spans="1:12" x14ac:dyDescent="0.25">
      <c r="A4" s="4">
        <v>4817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21</v>
      </c>
      <c r="H4" s="1" t="s">
        <v>23</v>
      </c>
      <c r="I4" s="7"/>
      <c r="L4" t="str">
        <f t="shared" si="0"/>
        <v>insert into zamestnanci (os_cislo,prijmeni,jmeno,rfid,telefon,adresa,firma,smena,aktivni) values ('4817','Büdi','Alexander','','728 423 957','Cestice 32, Cestice, 044 71','3','R','1');</v>
      </c>
    </row>
    <row r="5" spans="1:12" x14ac:dyDescent="0.25">
      <c r="A5" s="4">
        <v>4979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8" t="s">
        <v>229</v>
      </c>
      <c r="L5" t="str">
        <f t="shared" si="0"/>
        <v>insert into zamestnanci (os_cislo,prijmeni,jmeno,rfid,telefon,adresa,firma,smena,aktivni) values ('4979','Bykowski','Marcin Ryszard','0002998028','+48 571 914 180','Pomorska 49/2, Jastrzebie Zdroj, 44-335','3','R','1');</v>
      </c>
    </row>
    <row r="6" spans="1:12" x14ac:dyDescent="0.25">
      <c r="A6" s="4">
        <v>4785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30</v>
      </c>
      <c r="I6" s="8" t="s">
        <v>230</v>
      </c>
      <c r="L6" t="str">
        <f t="shared" si="0"/>
        <v>insert into zamestnanci (os_cislo,prijmeni,jmeno,rfid,telefon,adresa,firma,smena,aktivni) values ('4785','Cisiński','Sebastian Tadeusz','0378770295','+48 508 565 205','Turystyczna 13/27, Jastrzębie-Zdrój, 44-335','3','R','1');</v>
      </c>
    </row>
    <row r="7" spans="1:12" x14ac:dyDescent="0.25">
      <c r="A7" s="4">
        <v>5198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16</v>
      </c>
      <c r="H7" s="1" t="s">
        <v>17</v>
      </c>
      <c r="I7" s="8" t="s">
        <v>231</v>
      </c>
      <c r="L7" t="str">
        <f t="shared" si="0"/>
        <v>insert into zamestnanci (os_cislo,prijmeni,jmeno,rfid,telefon,adresa,firma,smena,aktivni) values ('5198','Czuba','Grzegorz','0348404103','+48 574 655 211','Zeromskiego 7/1, Wodzislaw Slaski, 44-300','3','R','1');</v>
      </c>
    </row>
    <row r="8" spans="1:12" x14ac:dyDescent="0.25">
      <c r="A8" s="4">
        <v>5003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14</v>
      </c>
      <c r="H8" s="1" t="s">
        <v>47</v>
      </c>
      <c r="I8" s="8" t="s">
        <v>232</v>
      </c>
      <c r="L8" t="str">
        <f t="shared" si="0"/>
        <v>insert into zamestnanci (os_cislo,prijmeni,jmeno,rfid,telefon,adresa,firma,smena,aktivni) values ('5003','Czurylo','Tomasz','0369977072','+48 884 642 785','Gornicza 18C/7, Rybnik, 44-206','3','R','1');</v>
      </c>
    </row>
    <row r="9" spans="1:12" x14ac:dyDescent="0.25">
      <c r="A9" s="4">
        <v>5199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14</v>
      </c>
      <c r="H9" s="1" t="s">
        <v>53</v>
      </c>
      <c r="I9" s="8" t="s">
        <v>233</v>
      </c>
      <c r="L9" t="str">
        <f t="shared" si="0"/>
        <v>insert into zamestnanci (os_cislo,prijmeni,jmeno,rfid,telefon,adresa,firma,smena,aktivni) values ('5199','Daga','Daniel Krzysztof','0348392541','+48 798 498 277','Zagloby 24, Rybnik, 44-270','3','R','1');</v>
      </c>
    </row>
    <row r="10" spans="1:12" x14ac:dyDescent="0.25">
      <c r="A10" s="4">
        <v>5276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0</v>
      </c>
      <c r="H10" s="1" t="s">
        <v>1</v>
      </c>
      <c r="I10" s="8" t="s">
        <v>234</v>
      </c>
      <c r="L10" t="str">
        <f t="shared" si="0"/>
        <v>insert into zamestnanci (os_cislo,prijmeni,jmeno,rfid,telefon,adresa,firma,smena,aktivni) values ('5276','Frackiewicz','Mateusz Dawid','0348387302','+48 570 980 131','Os. Generala Sikorskiego 22 I/1, Zory, 44-240','3','R','1');</v>
      </c>
    </row>
    <row r="11" spans="1:12" x14ac:dyDescent="0.25">
      <c r="A11" s="4">
        <v>5228</v>
      </c>
      <c r="B11" s="1" t="s">
        <v>61</v>
      </c>
      <c r="C11" s="1" t="s">
        <v>62</v>
      </c>
      <c r="D11" s="1" t="s">
        <v>63</v>
      </c>
      <c r="E11" s="1" t="s">
        <v>54</v>
      </c>
      <c r="F11" s="1" t="s">
        <v>55</v>
      </c>
      <c r="G11" s="1" t="s">
        <v>29</v>
      </c>
      <c r="H11" s="1" t="s">
        <v>30</v>
      </c>
      <c r="I11" s="8" t="s">
        <v>235</v>
      </c>
      <c r="L11" t="str">
        <f t="shared" si="0"/>
        <v>insert into zamestnanci (os_cislo,prijmeni,jmeno,rfid,telefon,adresa,firma,smena,aktivni) values ('5228','Galus','Wojciech Jan','0357229219','+48 784 259 034','Kaszubska 10/9, Jastrzebie Zdroj, 44-335','3','R','1');</v>
      </c>
    </row>
    <row r="12" spans="1:12" x14ac:dyDescent="0.25">
      <c r="A12" s="4">
        <v>5055</v>
      </c>
      <c r="B12" s="1" t="s">
        <v>65</v>
      </c>
      <c r="C12" s="1" t="s">
        <v>66</v>
      </c>
      <c r="D12" s="1" t="s">
        <v>67</v>
      </c>
      <c r="E12" s="1" t="s">
        <v>64</v>
      </c>
      <c r="F12" s="1" t="s">
        <v>68</v>
      </c>
      <c r="G12" s="1" t="s">
        <v>16</v>
      </c>
      <c r="H12" s="1" t="s">
        <v>17</v>
      </c>
      <c r="I12" s="8" t="s">
        <v>236</v>
      </c>
      <c r="L12" t="str">
        <f t="shared" si="0"/>
        <v>insert into zamestnanci (os_cislo,prijmeni,jmeno,rfid,telefon,adresa,firma,smena,aktivni) values ('5055','Chmielewski','Arkadiusz Antoni','0369911673','+48 574 635 493','26 Marca 29/24, Wodzislaw Slaski, 44-300','3','R','1');</v>
      </c>
    </row>
    <row r="13" spans="1:12" x14ac:dyDescent="0.25">
      <c r="A13" s="4">
        <v>4768</v>
      </c>
      <c r="B13" s="1" t="s">
        <v>69</v>
      </c>
      <c r="C13" s="1" t="s">
        <v>70</v>
      </c>
      <c r="D13" s="1" t="s">
        <v>71</v>
      </c>
      <c r="E13" s="1" t="s">
        <v>72</v>
      </c>
      <c r="F13" s="1" t="s">
        <v>73</v>
      </c>
      <c r="G13" s="1" t="s">
        <v>36</v>
      </c>
      <c r="H13" s="1" t="s">
        <v>30</v>
      </c>
      <c r="I13" s="8" t="s">
        <v>237</v>
      </c>
      <c r="L13" t="str">
        <f t="shared" si="0"/>
        <v>insert into zamestnanci (os_cislo,prijmeni,jmeno,rfid,telefon,adresa,firma,smena,aktivni) values ('4768','Jacewicz','Jakub Jacek','0369947420','+48 500 754 433','Mikołaja Witczaka 4c/7, Jastrzębie-Zdrój, 44-335','3','R','1');</v>
      </c>
    </row>
    <row r="14" spans="1:12" x14ac:dyDescent="0.25">
      <c r="A14" s="4">
        <v>5113</v>
      </c>
      <c r="B14" s="1" t="s">
        <v>74</v>
      </c>
      <c r="C14" s="1" t="s">
        <v>75</v>
      </c>
      <c r="D14" s="1" t="s">
        <v>76</v>
      </c>
      <c r="E14" s="1" t="s">
        <v>77</v>
      </c>
      <c r="F14" s="1" t="s">
        <v>78</v>
      </c>
      <c r="G14" s="1" t="s">
        <v>29</v>
      </c>
      <c r="H14" s="1" t="s">
        <v>79</v>
      </c>
      <c r="I14" s="8" t="s">
        <v>238</v>
      </c>
      <c r="L14" t="str">
        <f t="shared" si="0"/>
        <v>insert into zamestnanci (os_cislo,prijmeni,jmeno,rfid,telefon,adresa,firma,smena,aktivni) values ('5113','Janiczek','Kamil Patryk','0369978365','+48 884 337 008','os. 1000-lecia 8/25, Jastrzebie Zdroj, 44-268','3','R','1');</v>
      </c>
    </row>
    <row r="15" spans="1:12" x14ac:dyDescent="0.25">
      <c r="A15" s="4">
        <v>5227</v>
      </c>
      <c r="B15" s="1" t="s">
        <v>80</v>
      </c>
      <c r="C15" s="1" t="s">
        <v>81</v>
      </c>
      <c r="D15" s="1" t="s">
        <v>82</v>
      </c>
      <c r="E15" s="1" t="s">
        <v>83</v>
      </c>
      <c r="F15" s="1" t="s">
        <v>84</v>
      </c>
      <c r="G15" s="1" t="s">
        <v>29</v>
      </c>
      <c r="H15" s="1" t="s">
        <v>79</v>
      </c>
      <c r="I15" s="8" t="s">
        <v>239</v>
      </c>
      <c r="L15" t="str">
        <f t="shared" si="0"/>
        <v>insert into zamestnanci (os_cislo,prijmeni,jmeno,rfid,telefon,adresa,firma,smena,aktivni) values ('5227','Jazdzewski','Robert Lukasz','0357221234','+48 789 769 471','Os. 1000-Lecia 7/57, Jastrzebie Zdroj, 44-268','3','R','1');</v>
      </c>
    </row>
    <row r="16" spans="1:12" x14ac:dyDescent="0.25">
      <c r="A16" s="4">
        <v>4680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</v>
      </c>
      <c r="G16" s="1" t="s">
        <v>0</v>
      </c>
      <c r="H16" s="1" t="s">
        <v>89</v>
      </c>
      <c r="I16" s="8" t="s">
        <v>240</v>
      </c>
      <c r="L16" t="str">
        <f t="shared" si="0"/>
        <v>insert into zamestnanci (os_cislo,prijmeni,jmeno,rfid,telefon,adresa,firma,smena,aktivni) values ('4680','Kala','Janusz Eryk','0000916535','+48 537 097 454','Boryńska 23, Zory, 44-244','3','R','1');</v>
      </c>
    </row>
    <row r="17" spans="1:12" x14ac:dyDescent="0.25">
      <c r="A17" s="4">
        <v>4998</v>
      </c>
      <c r="B17" s="1" t="s">
        <v>90</v>
      </c>
      <c r="C17" s="1" t="s">
        <v>91</v>
      </c>
      <c r="D17" s="1" t="s">
        <v>92</v>
      </c>
      <c r="E17" s="1" t="s">
        <v>93</v>
      </c>
      <c r="F17" s="1" t="s">
        <v>94</v>
      </c>
      <c r="G17" s="1" t="s">
        <v>16</v>
      </c>
      <c r="H17" s="1" t="s">
        <v>17</v>
      </c>
      <c r="I17" s="7"/>
      <c r="L17" t="str">
        <f t="shared" si="0"/>
        <v>insert into zamestnanci (os_cislo,prijmeni,jmeno,rfid,telefon,adresa,firma,smena,aktivni) values ('4998','Karkoszka','Michal Ireneusz','','+48 609 723 587','1000-lecia 18/7, Wodzislaw Slaski, 44-300','3','R','1');</v>
      </c>
    </row>
    <row r="18" spans="1:12" x14ac:dyDescent="0.25">
      <c r="A18" s="4">
        <v>3695</v>
      </c>
      <c r="B18" s="1" t="s">
        <v>95</v>
      </c>
      <c r="C18" s="1" t="s">
        <v>96</v>
      </c>
      <c r="D18" s="1" t="s">
        <v>97</v>
      </c>
      <c r="E18" s="1" t="s">
        <v>98</v>
      </c>
      <c r="F18" s="1" t="s">
        <v>99</v>
      </c>
      <c r="G18" s="1" t="s">
        <v>100</v>
      </c>
      <c r="H18" s="1" t="s">
        <v>101</v>
      </c>
      <c r="I18" s="8"/>
      <c r="L18" t="str">
        <f t="shared" si="0"/>
        <v>insert into zamestnanci (os_cislo,prijmeni,jmeno,rfid,telefon,adresa,firma,smena,aktivni) values ('3695','Kovařčik','Tomáš','','739764081','Lázky 1319, Vsetín, 755 01','3','R','1');</v>
      </c>
    </row>
    <row r="19" spans="1:12" x14ac:dyDescent="0.25">
      <c r="A19" s="4">
        <v>5034</v>
      </c>
      <c r="B19" s="1" t="s">
        <v>102</v>
      </c>
      <c r="C19" s="1" t="s">
        <v>103</v>
      </c>
      <c r="D19" s="1" t="s">
        <v>104</v>
      </c>
      <c r="E19" s="1" t="s">
        <v>105</v>
      </c>
      <c r="F19" s="1" t="s">
        <v>106</v>
      </c>
      <c r="G19" s="1" t="s">
        <v>0</v>
      </c>
      <c r="H19" s="1" t="s">
        <v>1</v>
      </c>
      <c r="I19" s="8" t="s">
        <v>241</v>
      </c>
      <c r="L19" t="str">
        <f t="shared" si="0"/>
        <v>insert into zamestnanci (os_cislo,prijmeni,jmeno,rfid,telefon,adresa,firma,smena,aktivni) values ('5034','Kowalczyk','Przemyslaw Krzysztof','0369919018','+48 537 100 679','Aleja Wojska Polskiego 21/21, Zory, 44-240','3','R','1');</v>
      </c>
    </row>
    <row r="20" spans="1:12" x14ac:dyDescent="0.25">
      <c r="A20" s="4">
        <v>5149</v>
      </c>
      <c r="B20" s="1" t="s">
        <v>107</v>
      </c>
      <c r="C20" s="1" t="s">
        <v>108</v>
      </c>
      <c r="D20" s="1" t="s">
        <v>109</v>
      </c>
      <c r="E20" s="1" t="s">
        <v>110</v>
      </c>
      <c r="F20" s="1" t="s">
        <v>111</v>
      </c>
      <c r="G20" s="1" t="s">
        <v>16</v>
      </c>
      <c r="H20" s="1" t="s">
        <v>17</v>
      </c>
      <c r="I20" s="7"/>
      <c r="L20" t="str">
        <f t="shared" si="0"/>
        <v>insert into zamestnanci (os_cislo,prijmeni,jmeno,rfid,telefon,adresa,firma,smena,aktivni) values ('5149','Lata','Stanislaw','','+48 789 787 147','Boleslawa Prusa 2/1, Wodzislaw Slaski, 44-300','3','R','1');</v>
      </c>
    </row>
    <row r="21" spans="1:12" x14ac:dyDescent="0.25">
      <c r="A21" s="4">
        <v>4850</v>
      </c>
      <c r="B21" s="1" t="s">
        <v>112</v>
      </c>
      <c r="C21" s="1" t="s">
        <v>113</v>
      </c>
      <c r="D21" s="1" t="s">
        <v>114</v>
      </c>
      <c r="E21" s="1" t="s">
        <v>115</v>
      </c>
      <c r="F21" s="1" t="s">
        <v>116</v>
      </c>
      <c r="G21" s="1" t="s">
        <v>117</v>
      </c>
      <c r="H21" s="1" t="s">
        <v>17</v>
      </c>
      <c r="I21" s="8" t="s">
        <v>242</v>
      </c>
      <c r="L21" t="str">
        <f t="shared" si="0"/>
        <v>insert into zamestnanci (os_cislo,prijmeni,jmeno,rfid,telefon,adresa,firma,smena,aktivni) values ('4850','Loter','Dawid Seweryn','0009644271','+48 794 581 733','Rynek 27/7, Wodzisław Śląski, 44-300','3','R','1');</v>
      </c>
    </row>
    <row r="22" spans="1:12" x14ac:dyDescent="0.25">
      <c r="A22" s="4">
        <v>4851</v>
      </c>
      <c r="B22" s="1" t="s">
        <v>118</v>
      </c>
      <c r="C22" s="1" t="s">
        <v>119</v>
      </c>
      <c r="D22" s="1" t="s">
        <v>120</v>
      </c>
      <c r="E22" s="1" t="s">
        <v>64</v>
      </c>
      <c r="F22" s="1" t="s">
        <v>121</v>
      </c>
      <c r="G22" s="1" t="s">
        <v>117</v>
      </c>
      <c r="H22" s="1" t="s">
        <v>17</v>
      </c>
      <c r="I22" s="8" t="s">
        <v>243</v>
      </c>
      <c r="L22" t="str">
        <f t="shared" si="0"/>
        <v>insert into zamestnanci (os_cislo,prijmeni,jmeno,rfid,telefon,adresa,firma,smena,aktivni) values ('4851','Lysejko','Jaroslaw','0009580102','+48 797 697 888','26 Marca 19/1, Wodzisław Śląski, 44-300','3','R','1');</v>
      </c>
    </row>
    <row r="23" spans="1:12" x14ac:dyDescent="0.25">
      <c r="A23" s="4">
        <v>4237</v>
      </c>
      <c r="B23" s="1" t="s">
        <v>122</v>
      </c>
      <c r="C23" s="1" t="s">
        <v>123</v>
      </c>
      <c r="D23" s="1" t="s">
        <v>124</v>
      </c>
      <c r="E23" s="1" t="s">
        <v>125</v>
      </c>
      <c r="F23" s="1" t="s">
        <v>126</v>
      </c>
      <c r="G23" s="1" t="s">
        <v>127</v>
      </c>
      <c r="H23" s="1" t="s">
        <v>128</v>
      </c>
      <c r="I23" s="8" t="s">
        <v>244</v>
      </c>
      <c r="L23" t="str">
        <f t="shared" si="0"/>
        <v>insert into zamestnanci (os_cislo,prijmeni,jmeno,rfid,telefon,adresa,firma,smena,aktivni) values ('4237','Marczewski','Robert Wieslaw','0000904527','+48 606 131 964','Malchera 29/9, Jastrzebie-Zdroj, 44335','3','R','1');</v>
      </c>
    </row>
    <row r="24" spans="1:12" x14ac:dyDescent="0.25">
      <c r="A24" s="4">
        <v>1993</v>
      </c>
      <c r="B24" s="1" t="s">
        <v>129</v>
      </c>
      <c r="C24" s="1" t="s">
        <v>130</v>
      </c>
      <c r="D24" s="1" t="s">
        <v>131</v>
      </c>
      <c r="E24" s="1" t="s">
        <v>132</v>
      </c>
      <c r="F24" s="1" t="s">
        <v>133</v>
      </c>
      <c r="G24" s="1" t="s">
        <v>134</v>
      </c>
      <c r="H24" s="1" t="s">
        <v>135</v>
      </c>
      <c r="I24" s="7"/>
      <c r="L24" t="str">
        <f t="shared" si="0"/>
        <v>insert into zamestnanci (os_cislo,prijmeni,jmeno,rfid,telefon,adresa,firma,smena,aktivni) values ('1993','Moravec','Jan','','736 120 949','Čujkovova 1738/34, Ostrava-Zábřeh, 70030','3','R','1');</v>
      </c>
    </row>
    <row r="25" spans="1:12" x14ac:dyDescent="0.25">
      <c r="A25" s="4">
        <v>3379</v>
      </c>
      <c r="B25" s="1" t="s">
        <v>136</v>
      </c>
      <c r="C25" s="1" t="s">
        <v>137</v>
      </c>
      <c r="D25" s="1" t="s">
        <v>138</v>
      </c>
      <c r="E25" s="1" t="s">
        <v>139</v>
      </c>
      <c r="F25" s="1" t="s">
        <v>140</v>
      </c>
      <c r="G25" s="1" t="s">
        <v>141</v>
      </c>
      <c r="H25" s="1" t="s">
        <v>30</v>
      </c>
      <c r="I25" s="8" t="s">
        <v>245</v>
      </c>
      <c r="L25" t="str">
        <f t="shared" si="0"/>
        <v>insert into zamestnanci (os_cislo,prijmeni,jmeno,rfid,telefon,adresa,firma,smena,aktivni) values ('3379','Nawara','Bartosz Pawel','0009586730','+48 507 556 613','Krakowska 1/16, Jastrzebie-Zdrój, 44-335','3','R','1');</v>
      </c>
    </row>
    <row r="26" spans="1:12" x14ac:dyDescent="0.25">
      <c r="A26" s="4">
        <v>4693</v>
      </c>
      <c r="B26" s="1" t="s">
        <v>142</v>
      </c>
      <c r="C26" s="1" t="s">
        <v>143</v>
      </c>
      <c r="D26" s="1" t="s">
        <v>144</v>
      </c>
      <c r="E26" s="1" t="s">
        <v>145</v>
      </c>
      <c r="F26" s="1" t="s">
        <v>52</v>
      </c>
      <c r="G26" s="1" t="s">
        <v>14</v>
      </c>
      <c r="H26" s="1" t="s">
        <v>53</v>
      </c>
      <c r="I26" s="8" t="s">
        <v>246</v>
      </c>
      <c r="L26" t="str">
        <f t="shared" si="0"/>
        <v>insert into zamestnanci (os_cislo,prijmeni,jmeno,rfid,telefon,adresa,firma,smena,aktivni) values ('4693','Pawliczek','Wojciech Roman','0000920818','+48 510 626 854','Jana Onufrego Zagłoby 24, Rybnik, 44-270','3','R','1');</v>
      </c>
    </row>
    <row r="27" spans="1:12" x14ac:dyDescent="0.25">
      <c r="A27" s="4">
        <v>4044</v>
      </c>
      <c r="B27" s="1" t="s">
        <v>146</v>
      </c>
      <c r="C27" s="1" t="s">
        <v>147</v>
      </c>
      <c r="D27" s="1" t="s">
        <v>148</v>
      </c>
      <c r="E27" s="1" t="s">
        <v>149</v>
      </c>
      <c r="F27" s="1" t="s">
        <v>150</v>
      </c>
      <c r="G27" s="1" t="s">
        <v>151</v>
      </c>
      <c r="H27" s="1" t="s">
        <v>152</v>
      </c>
      <c r="I27" s="7"/>
      <c r="L27" t="str">
        <f t="shared" si="0"/>
        <v>insert into zamestnanci (os_cislo,prijmeni,jmeno,rfid,telefon,adresa,firma,smena,aktivni) values ('4044','Pitel','Jiří','','731907245','Dr.Čejky 1518, Příbor, 742 58','3','R','1');</v>
      </c>
    </row>
    <row r="28" spans="1:12" x14ac:dyDescent="0.25">
      <c r="A28" s="4">
        <v>5111</v>
      </c>
      <c r="B28" s="1" t="s">
        <v>153</v>
      </c>
      <c r="C28" s="1" t="s">
        <v>154</v>
      </c>
      <c r="D28" s="1" t="s">
        <v>155</v>
      </c>
      <c r="E28" s="1" t="s">
        <v>156</v>
      </c>
      <c r="F28" s="1" t="s">
        <v>157</v>
      </c>
      <c r="G28" s="1" t="s">
        <v>14</v>
      </c>
      <c r="H28" s="1" t="s">
        <v>158</v>
      </c>
      <c r="I28" s="8" t="s">
        <v>247</v>
      </c>
      <c r="L28" t="str">
        <f t="shared" si="0"/>
        <v>insert into zamestnanci (os_cislo,prijmeni,jmeno,rfid,telefon,adresa,firma,smena,aktivni) values ('5111','Porczyk','Patryk Szymon','0369965510','+48 792 561 006','Patriotow 8B/7, Rybnik, 44-253','3','R','1');</v>
      </c>
    </row>
    <row r="29" spans="1:12" x14ac:dyDescent="0.25">
      <c r="A29" s="4">
        <v>5039</v>
      </c>
      <c r="B29" s="1" t="s">
        <v>159</v>
      </c>
      <c r="C29" s="1" t="s">
        <v>160</v>
      </c>
      <c r="D29" s="1" t="s">
        <v>161</v>
      </c>
      <c r="E29" s="1" t="s">
        <v>162</v>
      </c>
      <c r="F29" s="1" t="s">
        <v>163</v>
      </c>
      <c r="G29" s="1" t="s">
        <v>164</v>
      </c>
      <c r="H29" s="1" t="s">
        <v>165</v>
      </c>
      <c r="I29" s="8" t="s">
        <v>248</v>
      </c>
      <c r="L29" t="str">
        <f t="shared" si="0"/>
        <v>insert into zamestnanci (os_cislo,prijmeni,jmeno,rfid,telefon,adresa,firma,smena,aktivni) values ('5039','Prudel','Mateusz Stanislaw','0369972253','+48 694 806 434','Kreta 1G/4, Pawlowice, 43-251','3','R','1');</v>
      </c>
    </row>
    <row r="30" spans="1:12" x14ac:dyDescent="0.25">
      <c r="A30" s="4">
        <v>5210</v>
      </c>
      <c r="B30" s="1" t="s">
        <v>166</v>
      </c>
      <c r="C30" s="1" t="s">
        <v>167</v>
      </c>
      <c r="D30" s="1" t="s">
        <v>168</v>
      </c>
      <c r="E30" s="1" t="s">
        <v>169</v>
      </c>
      <c r="F30" s="1" t="s">
        <v>170</v>
      </c>
      <c r="G30" s="1" t="s">
        <v>29</v>
      </c>
      <c r="H30" s="1" t="s">
        <v>30</v>
      </c>
      <c r="I30" s="8" t="s">
        <v>249</v>
      </c>
      <c r="L30" t="str">
        <f t="shared" si="0"/>
        <v>insert into zamestnanci (os_cislo,prijmeni,jmeno,rfid,telefon,adresa,firma,smena,aktivni) values ('5210','Rost','Szymon Mariusz','0357225412','+48 572 303 066','Kurpiowska 11/5, Jastrzebie Zdroj, 44-335','3','R','1');</v>
      </c>
    </row>
    <row r="31" spans="1:12" x14ac:dyDescent="0.25">
      <c r="A31" s="4">
        <v>5087</v>
      </c>
      <c r="B31" s="1" t="s">
        <v>171</v>
      </c>
      <c r="C31" s="1" t="s">
        <v>172</v>
      </c>
      <c r="D31" s="1" t="s">
        <v>173</v>
      </c>
      <c r="E31" s="1" t="s">
        <v>174</v>
      </c>
      <c r="F31" s="1" t="s">
        <v>175</v>
      </c>
      <c r="G31" s="1" t="s">
        <v>36</v>
      </c>
      <c r="H31" s="1" t="s">
        <v>79</v>
      </c>
      <c r="I31" s="8" t="s">
        <v>250</v>
      </c>
      <c r="L31" t="str">
        <f t="shared" si="0"/>
        <v>insert into zamestnanci (os_cislo,prijmeni,jmeno,rfid,telefon,adresa,firma,smena,aktivni) values ('5087','Rozy','Lukasz','0369951690','+48 787 366 585','osiedle 1000-lecia 15B/34, Jastrzębie-Zdrój, 44-268','3','R','1');</v>
      </c>
    </row>
    <row r="32" spans="1:12" x14ac:dyDescent="0.25">
      <c r="A32" s="4">
        <v>5074</v>
      </c>
      <c r="B32" s="1" t="s">
        <v>176</v>
      </c>
      <c r="C32" s="1" t="s">
        <v>177</v>
      </c>
      <c r="D32" s="1" t="s">
        <v>178</v>
      </c>
      <c r="E32" s="1" t="s">
        <v>179</v>
      </c>
      <c r="F32" s="1" t="s">
        <v>180</v>
      </c>
      <c r="G32" s="1" t="s">
        <v>29</v>
      </c>
      <c r="H32" s="1" t="s">
        <v>30</v>
      </c>
      <c r="I32" s="8" t="s">
        <v>251</v>
      </c>
      <c r="L32" t="str">
        <f t="shared" si="0"/>
        <v>insert into zamestnanci (os_cislo,prijmeni,jmeno,rfid,telefon,adresa,firma,smena,aktivni) values ('5074','Salapa','Damian Slawomir','0369916310','+48 512 157 227','Wielkopolska 11/19, Jastrzebie Zdroj, 44-335','3','R','1');</v>
      </c>
    </row>
    <row r="33" spans="1:12" x14ac:dyDescent="0.25">
      <c r="A33" s="4">
        <v>5019</v>
      </c>
      <c r="B33" s="1" t="s">
        <v>181</v>
      </c>
      <c r="C33" s="1" t="s">
        <v>182</v>
      </c>
      <c r="D33" s="1" t="s">
        <v>183</v>
      </c>
      <c r="E33" s="1" t="s">
        <v>184</v>
      </c>
      <c r="F33" s="1" t="s">
        <v>185</v>
      </c>
      <c r="G33" s="1" t="s">
        <v>14</v>
      </c>
      <c r="H33" s="1" t="s">
        <v>15</v>
      </c>
      <c r="I33" s="8" t="s">
        <v>252</v>
      </c>
      <c r="L33" t="str">
        <f t="shared" si="0"/>
        <v>insert into zamestnanci (os_cislo,prijmeni,jmeno,rfid,telefon,adresa,firma,smena,aktivni) values ('5019','Smyczek','Wojciech Tomasz','0369924834','+48 535 200 182','Slawikow 19A/46, Rybnik, 44-200','3','R','1');</v>
      </c>
    </row>
    <row r="34" spans="1:12" x14ac:dyDescent="0.25">
      <c r="A34" s="4">
        <v>5095</v>
      </c>
      <c r="B34" s="1" t="s">
        <v>186</v>
      </c>
      <c r="C34" s="1" t="s">
        <v>187</v>
      </c>
      <c r="D34" s="1" t="s">
        <v>188</v>
      </c>
      <c r="E34" s="1" t="s">
        <v>189</v>
      </c>
      <c r="F34" s="1" t="s">
        <v>190</v>
      </c>
      <c r="G34" s="1" t="s">
        <v>14</v>
      </c>
      <c r="H34" s="1" t="s">
        <v>191</v>
      </c>
      <c r="I34" s="8" t="s">
        <v>253</v>
      </c>
      <c r="L34" t="str">
        <f t="shared" si="0"/>
        <v>insert into zamestnanci (os_cislo,prijmeni,jmeno,rfid,telefon,adresa,firma,smena,aktivni) values ('5095','Sokol','Dariusz','0369971566','+48 501 771 551','Dabrowki 7B/1, Rybnik, 44-210','3','R','1');</v>
      </c>
    </row>
    <row r="35" spans="1:12" x14ac:dyDescent="0.25">
      <c r="A35" s="4">
        <v>5112</v>
      </c>
      <c r="B35" s="1" t="s">
        <v>192</v>
      </c>
      <c r="C35" s="1" t="s">
        <v>193</v>
      </c>
      <c r="D35" s="1" t="s">
        <v>194</v>
      </c>
      <c r="E35" s="1" t="s">
        <v>195</v>
      </c>
      <c r="F35" s="1" t="s">
        <v>196</v>
      </c>
      <c r="G35" s="1" t="s">
        <v>197</v>
      </c>
      <c r="H35" s="1" t="s">
        <v>198</v>
      </c>
      <c r="I35" s="8" t="s">
        <v>254</v>
      </c>
      <c r="L35" t="str">
        <f t="shared" si="0"/>
        <v>insert into zamestnanci (os_cislo,prijmeni,jmeno,rfid,telefon,adresa,firma,smena,aktivni) values ('5112','Stoszko','Mateusz','0369916468','+48 666 148 450','Boguszowicka 14B, Jankowice, 44-264','3','R','1');</v>
      </c>
    </row>
    <row r="36" spans="1:12" x14ac:dyDescent="0.25">
      <c r="A36" s="4">
        <v>5220</v>
      </c>
      <c r="B36" s="1" t="s">
        <v>199</v>
      </c>
      <c r="C36" s="1" t="s">
        <v>200</v>
      </c>
      <c r="D36" s="1" t="s">
        <v>201</v>
      </c>
      <c r="E36" s="1" t="s">
        <v>202</v>
      </c>
      <c r="F36" s="1" t="s">
        <v>203</v>
      </c>
      <c r="G36" s="1" t="s">
        <v>14</v>
      </c>
      <c r="H36" s="1" t="s">
        <v>15</v>
      </c>
      <c r="I36" s="8" t="s">
        <v>255</v>
      </c>
      <c r="L36" t="str">
        <f t="shared" si="0"/>
        <v>insert into zamestnanci (os_cislo,prijmeni,jmeno,rfid,telefon,adresa,firma,smena,aktivni) values ('5220','Weinreich','Piotr Grzegorz','0348370747','+48 531 385 792','Swietego Jozefa 18/19, Rybnik, 44-200','3','R','1');</v>
      </c>
    </row>
    <row r="37" spans="1:12" x14ac:dyDescent="0.25">
      <c r="A37" s="4">
        <v>5258</v>
      </c>
      <c r="B37" s="1" t="s">
        <v>204</v>
      </c>
      <c r="C37" s="1" t="s">
        <v>205</v>
      </c>
      <c r="D37" s="1" t="s">
        <v>206</v>
      </c>
      <c r="E37" s="1" t="s">
        <v>207</v>
      </c>
      <c r="F37" s="1" t="s">
        <v>208</v>
      </c>
      <c r="G37" s="1" t="s">
        <v>16</v>
      </c>
      <c r="H37" s="1" t="s">
        <v>209</v>
      </c>
      <c r="I37" s="7"/>
      <c r="L37" t="str">
        <f t="shared" si="0"/>
        <v>insert into zamestnanci (os_cislo,prijmeni,jmeno,rfid,telefon,adresa,firma,smena,aktivni) values ('5258','Wojaczek','Kamil Piotr','','+48 579 292 424','Wankowicza 44D, Wodzislaw Slaski, 44-313','3','R','1');</v>
      </c>
    </row>
    <row r="38" spans="1:12" x14ac:dyDescent="0.25">
      <c r="A38" s="4">
        <v>4095</v>
      </c>
      <c r="B38" s="1" t="s">
        <v>210</v>
      </c>
      <c r="C38" s="1" t="s">
        <v>211</v>
      </c>
      <c r="D38" s="1" t="s">
        <v>212</v>
      </c>
      <c r="E38" s="1" t="s">
        <v>213</v>
      </c>
      <c r="F38" s="1" t="s">
        <v>214</v>
      </c>
      <c r="G38" s="1" t="s">
        <v>16</v>
      </c>
      <c r="H38" s="1" t="s">
        <v>215</v>
      </c>
      <c r="I38" s="8" t="s">
        <v>256</v>
      </c>
      <c r="L38" t="str">
        <f t="shared" si="0"/>
        <v>insert into zamestnanci (os_cislo,prijmeni,jmeno,rfid,telefon,adresa,firma,smena,aktivni) values ('4095','Zmudzinski','Marek','0347606277','+48 880 075 790','Osiedle 30-Lecia 133/5, Wodzislaw Slaski, 44-286','3','R','1');</v>
      </c>
    </row>
    <row r="39" spans="1:12" x14ac:dyDescent="0.25">
      <c r="A39" s="5">
        <v>5073</v>
      </c>
      <c r="B39" s="3" t="s">
        <v>216</v>
      </c>
      <c r="C39" s="3" t="s">
        <v>217</v>
      </c>
      <c r="D39" s="3"/>
      <c r="E39" s="3" t="s">
        <v>179</v>
      </c>
      <c r="F39" s="3" t="s">
        <v>218</v>
      </c>
      <c r="G39" s="3" t="s">
        <v>141</v>
      </c>
      <c r="H39" s="3" t="s">
        <v>128</v>
      </c>
      <c r="I39" s="8" t="s">
        <v>257</v>
      </c>
      <c r="L39" t="str">
        <f t="shared" si="0"/>
        <v>insert into zamestnanci (os_cislo,prijmeni,jmeno,rfid,telefon,adresa,firma,smena,aktivni) values ('5073','Zynda','Wieslaw Józef','0369912861','','Wielkopolska 5/4, Jastrzebie-Zdrój, 44335','3','R','1');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personal_</vt:lpstr>
      <vt:lpstr>Databaze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Slavíková</dc:creator>
  <cp:lastModifiedBy>Aleš Kadlec</cp:lastModifiedBy>
  <dcterms:created xsi:type="dcterms:W3CDTF">2023-10-13T09:37:57Z</dcterms:created>
  <dcterms:modified xsi:type="dcterms:W3CDTF">2023-10-13T10:52:38Z</dcterms:modified>
</cp:coreProperties>
</file>