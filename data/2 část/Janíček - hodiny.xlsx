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vostro3568a\Desktop\"/>
    </mc:Choice>
  </mc:AlternateContent>
  <xr:revisionPtr revIDLastSave="0" documentId="8_{C8211FEC-073E-4982-A846-EFA408B8784C}" xr6:coauthVersionLast="47" xr6:coauthVersionMax="47" xr10:uidLastSave="{00000000-0000-0000-0000-000000000000}"/>
  <bookViews>
    <workbookView xWindow="-120" yWindow="-120" windowWidth="20730" windowHeight="11160" xr2:uid="{D63C370C-5577-4422-90A1-4709984DE8D9}"/>
  </bookViews>
  <sheets>
    <sheet name="Janíče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F6" i="1" s="1"/>
  <c r="K6" i="1" s="1"/>
  <c r="J6" i="1"/>
  <c r="E7" i="1"/>
  <c r="F7" i="1"/>
  <c r="J7" i="1"/>
  <c r="K7" i="1"/>
  <c r="E8" i="1"/>
  <c r="F8" i="1" s="1"/>
  <c r="K8" i="1" s="1"/>
  <c r="J8" i="1"/>
  <c r="E9" i="1"/>
  <c r="F9" i="1" s="1"/>
  <c r="K9" i="1" s="1"/>
  <c r="J9" i="1"/>
  <c r="E10" i="1"/>
  <c r="F10" i="1" s="1"/>
  <c r="K10" i="1" s="1"/>
  <c r="J10" i="1"/>
  <c r="E11" i="1"/>
  <c r="F11" i="1" s="1"/>
  <c r="K11" i="1" s="1"/>
  <c r="J11" i="1"/>
</calcChain>
</file>

<file path=xl/sharedStrings.xml><?xml version="1.0" encoding="utf-8"?>
<sst xmlns="http://schemas.openxmlformats.org/spreadsheetml/2006/main" count="12" uniqueCount="12">
  <si>
    <t>Celkem</t>
  </si>
  <si>
    <t>x 50,-Kč</t>
  </si>
  <si>
    <t xml:space="preserve">Počet jízd víkend, svátek </t>
  </si>
  <si>
    <t>Admini - strativa</t>
  </si>
  <si>
    <t>Prémie</t>
  </si>
  <si>
    <t xml:space="preserve">Základní mzda 120,- Kč </t>
  </si>
  <si>
    <t>Celkový čas (h)</t>
  </si>
  <si>
    <t>Čas přestávky (h)</t>
  </si>
  <si>
    <t>Čas jízdy (h)</t>
  </si>
  <si>
    <t>Měsíc</t>
  </si>
  <si>
    <t>Rok</t>
  </si>
  <si>
    <t>Jiří Janíček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</si>
</sst>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423D4-F656-48D2-A51D-893B64845A62}">
  <dimension ref="A1:L23"/>
  <sheetViews>
    <sheetView tabSelected="1" topLeftCell="A4" workbookViewId="0">
      <selection activeCell="I21" sqref="I21"/>
    </sheetView>
  </sheetViews>
  <sheetFormatPr defaultRowHeight="15" x14ac:dyDescent="0.25"/>
  <cols>
    <col min="1" max="1" width="9.140625" style="1"/>
    <col min="2" max="2" width="9.140625" style="2"/>
    <col min="3" max="3" width="10.28515625" style="1" customWidth="1"/>
    <col min="4" max="4" width="14.28515625" style="1" customWidth="1"/>
    <col min="5" max="5" width="12.140625" style="1" customWidth="1"/>
    <col min="6" max="6" width="13.85546875" style="1" customWidth="1"/>
    <col min="7" max="7" width="9.140625" style="1"/>
    <col min="8" max="8" width="10.85546875" style="1" customWidth="1"/>
    <col min="9" max="9" width="15.42578125" style="1" customWidth="1"/>
    <col min="10" max="10" width="14.42578125" style="1" customWidth="1"/>
    <col min="11" max="11" width="13.42578125" style="1" customWidth="1"/>
  </cols>
  <sheetData>
    <row r="1" spans="1:12" ht="18.75" x14ac:dyDescent="0.25">
      <c r="A1" s="6" t="s">
        <v>11</v>
      </c>
      <c r="B1" s="6"/>
      <c r="C1" s="6"/>
      <c r="D1" s="5"/>
      <c r="E1" s="5"/>
    </row>
    <row r="2" spans="1:12" ht="18.75" x14ac:dyDescent="0.25">
      <c r="A2" s="6"/>
      <c r="B2" s="6"/>
      <c r="C2" s="6"/>
      <c r="D2" s="5"/>
      <c r="E2" s="5"/>
    </row>
    <row r="4" spans="1:12" ht="15" customHeight="1" x14ac:dyDescent="0.25">
      <c r="A4" s="2" t="s">
        <v>10</v>
      </c>
      <c r="B4" s="2" t="s">
        <v>9</v>
      </c>
      <c r="C4" s="4" t="s">
        <v>8</v>
      </c>
      <c r="D4" s="4" t="s">
        <v>7</v>
      </c>
      <c r="E4" s="4" t="s">
        <v>6</v>
      </c>
      <c r="F4" s="4" t="s">
        <v>5</v>
      </c>
      <c r="G4" s="4" t="s">
        <v>4</v>
      </c>
      <c r="H4" s="4" t="s">
        <v>3</v>
      </c>
      <c r="I4" s="4" t="s">
        <v>2</v>
      </c>
      <c r="J4" s="4" t="s">
        <v>1</v>
      </c>
      <c r="K4" s="4" t="s">
        <v>0</v>
      </c>
      <c r="L4" s="3"/>
    </row>
    <row r="5" spans="1:12" ht="15" customHeight="1" x14ac:dyDescent="0.25">
      <c r="A5" s="2">
        <v>2023</v>
      </c>
      <c r="C5" s="4"/>
      <c r="D5" s="4"/>
      <c r="E5" s="4"/>
      <c r="F5" s="4"/>
      <c r="G5" s="4"/>
      <c r="H5" s="4"/>
      <c r="I5" s="4"/>
      <c r="J5" s="4"/>
      <c r="K5" s="4"/>
      <c r="L5" s="3"/>
    </row>
    <row r="6" spans="1:12" x14ac:dyDescent="0.25">
      <c r="B6" s="2">
        <v>7</v>
      </c>
      <c r="C6" s="1">
        <v>22.4</v>
      </c>
      <c r="E6" s="1">
        <f>SUM(C6:D6)</f>
        <v>22.4</v>
      </c>
      <c r="F6" s="1">
        <f>SUM(E6*115)</f>
        <v>2576</v>
      </c>
      <c r="G6" s="1">
        <v>1000</v>
      </c>
      <c r="I6" s="1">
        <v>8</v>
      </c>
      <c r="J6" s="1">
        <f>SUM(I6*50)</f>
        <v>400</v>
      </c>
      <c r="K6" s="1">
        <f>SUM(F6:H6)+J6</f>
        <v>3976</v>
      </c>
    </row>
    <row r="7" spans="1:12" x14ac:dyDescent="0.25">
      <c r="B7" s="2">
        <v>8</v>
      </c>
      <c r="C7" s="1">
        <v>123.5</v>
      </c>
      <c r="E7" s="1">
        <f>SUM(C7:D7)</f>
        <v>123.5</v>
      </c>
      <c r="F7" s="1">
        <f>SUM(C7*115)</f>
        <v>14202.5</v>
      </c>
      <c r="G7" s="1">
        <v>1000</v>
      </c>
      <c r="I7" s="1">
        <v>4</v>
      </c>
      <c r="J7" s="1">
        <f>SUM(I7*50)</f>
        <v>200</v>
      </c>
      <c r="K7" s="1">
        <f>SUM(F7:H7)+J7</f>
        <v>15402.5</v>
      </c>
    </row>
    <row r="8" spans="1:12" x14ac:dyDescent="0.25">
      <c r="B8" s="2">
        <v>9</v>
      </c>
      <c r="C8" s="1">
        <v>126</v>
      </c>
      <c r="E8" s="1">
        <f>SUM(C8:D8)</f>
        <v>126</v>
      </c>
      <c r="F8" s="1">
        <f>SUM(E8*120)</f>
        <v>15120</v>
      </c>
      <c r="I8" s="1">
        <v>3</v>
      </c>
      <c r="J8" s="1">
        <f>SUM(I8*50)</f>
        <v>150</v>
      </c>
      <c r="K8" s="1">
        <f>SUM(F8:H8)+J8</f>
        <v>15270</v>
      </c>
    </row>
    <row r="9" spans="1:12" x14ac:dyDescent="0.25">
      <c r="B9" s="2">
        <v>10</v>
      </c>
      <c r="C9" s="1">
        <v>21</v>
      </c>
      <c r="E9" s="1">
        <f>SUM(C9:D9)</f>
        <v>21</v>
      </c>
      <c r="F9" s="1">
        <f>SUM(E9*120)</f>
        <v>2520</v>
      </c>
      <c r="G9" s="1">
        <v>500</v>
      </c>
      <c r="I9" s="1">
        <v>5</v>
      </c>
      <c r="J9" s="1">
        <f>SUM(I9*50)</f>
        <v>250</v>
      </c>
      <c r="K9" s="1">
        <f>SUM(F9:H9)+J9</f>
        <v>3270</v>
      </c>
    </row>
    <row r="10" spans="1:12" x14ac:dyDescent="0.25">
      <c r="B10" s="2">
        <v>11</v>
      </c>
      <c r="C10" s="1">
        <v>53</v>
      </c>
      <c r="E10" s="1">
        <f>SUM(C10:D10)</f>
        <v>53</v>
      </c>
      <c r="F10" s="1">
        <f>SUM(E10*120)</f>
        <v>6360</v>
      </c>
      <c r="G10" s="1">
        <v>1000</v>
      </c>
      <c r="I10" s="1">
        <v>9</v>
      </c>
      <c r="J10" s="1">
        <f>SUM(I10*50)</f>
        <v>450</v>
      </c>
      <c r="K10" s="1">
        <f>SUM(F10:H10)+J10</f>
        <v>7810</v>
      </c>
    </row>
    <row r="11" spans="1:12" x14ac:dyDescent="0.25">
      <c r="B11" s="2">
        <v>12</v>
      </c>
      <c r="C11" s="1">
        <v>45.25</v>
      </c>
      <c r="E11" s="1">
        <f>SUM(C11:D11)</f>
        <v>45.25</v>
      </c>
      <c r="F11" s="1">
        <f>SUM(E11*120)</f>
        <v>5430</v>
      </c>
      <c r="G11" s="1">
        <v>500</v>
      </c>
      <c r="I11" s="1">
        <v>9</v>
      </c>
      <c r="J11" s="1">
        <f>SUM(I11*50)</f>
        <v>450</v>
      </c>
      <c r="K11" s="1">
        <f>SUM(F11:H11)+J11</f>
        <v>6380</v>
      </c>
    </row>
    <row r="16" spans="1:12" s="1" customFormat="1" x14ac:dyDescent="0.25">
      <c r="B16" s="2"/>
      <c r="L16"/>
    </row>
    <row r="17" spans="2:12" s="1" customFormat="1" x14ac:dyDescent="0.25">
      <c r="B17" s="2"/>
      <c r="L17"/>
    </row>
    <row r="18" spans="2:12" s="1" customFormat="1" x14ac:dyDescent="0.25">
      <c r="B18" s="2"/>
      <c r="L18"/>
    </row>
    <row r="19" spans="2:12" s="1" customFormat="1" x14ac:dyDescent="0.25">
      <c r="B19" s="2"/>
      <c r="L19"/>
    </row>
    <row r="20" spans="2:12" s="1" customFormat="1" x14ac:dyDescent="0.25">
      <c r="B20" s="2"/>
      <c r="L20"/>
    </row>
    <row r="21" spans="2:12" s="1" customFormat="1" x14ac:dyDescent="0.25">
      <c r="B21" s="2"/>
      <c r="L21"/>
    </row>
    <row r="22" spans="2:12" s="1" customFormat="1" x14ac:dyDescent="0.25">
      <c r="B22" s="2"/>
      <c r="L22"/>
    </row>
    <row r="23" spans="2:12" s="1" customFormat="1" x14ac:dyDescent="0.25">
      <c r="B23" s="2"/>
      <c r="L23"/>
    </row>
  </sheetData>
  <mergeCells count="10">
    <mergeCell ref="J4:J5"/>
    <mergeCell ref="K4:K5"/>
    <mergeCell ref="A1:C2"/>
    <mergeCell ref="C4:C5"/>
    <mergeCell ref="F4:F5"/>
    <mergeCell ref="G4:G5"/>
    <mergeCell ref="H4:H5"/>
    <mergeCell ref="I4:I5"/>
    <mergeCell ref="D4:D5"/>
    <mergeCell ref="E4:E5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Janíček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Radoslav David</dc:creator>
  <cp:lastModifiedBy>Radoslav David</cp:lastModifiedBy>
  <dcterms:created xsi:type="dcterms:W3CDTF">2024-01-10T10:26:21Z</dcterms:created>
  <dcterms:modified xsi:type="dcterms:W3CDTF">2024-01-10T10:26:39Z</dcterms:modified>
</cp:coreProperties>
</file>