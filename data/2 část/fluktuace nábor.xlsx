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vostro3568a\Desktop\provoz\"/>
    </mc:Choice>
  </mc:AlternateContent>
  <xr:revisionPtr revIDLastSave="0" documentId="13_ncr:1_{3E354551-424B-4BE6-9EB4-A0FF1D533AE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vidence vstup - výstup" sheetId="1" r:id="rId1"/>
    <sheet name="bilance náborářek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D9" i="2"/>
</calcChain>
</file>

<file path=xl/sharedStrings.xml><?xml version="1.0" encoding="utf-8"?>
<sst xmlns="http://schemas.openxmlformats.org/spreadsheetml/2006/main" count="488" uniqueCount="317">
  <si>
    <t xml:space="preserve">            FLUKTUACE NÁSTUPŮ - NÁBOR PL </t>
  </si>
  <si>
    <t>Lenart Wioletta</t>
  </si>
  <si>
    <t>Příjmení</t>
  </si>
  <si>
    <t>Jméno</t>
  </si>
  <si>
    <t>Zakázka</t>
  </si>
  <si>
    <t>Vstup</t>
  </si>
  <si>
    <t>Výstup</t>
  </si>
  <si>
    <t>Důvod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</si>
  <si>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</si>
  <si>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</si>
  <si>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</si>
  <si>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</si>
  <si>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</si>
  <si>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</si>
  <si>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</si>
  <si>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</si>
  <si>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</si>
  <si>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</si>
  <si>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</si>
  <si>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</si>
  <si>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</si>
  <si>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</si>
  <si>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</si>
  <si>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</si>
  <si>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</si>
  <si>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</si>
  <si>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</si>
  <si>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</si>
  <si>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</si>
  <si>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</si>
  <si>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</si>
  <si>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</si>
  <si>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</si>
  <si>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</si>
  <si>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</si>
  <si>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</si>
  <si>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</si>
  <si>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</si>
  <si>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</si>
  <si>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</si>
  <si>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</si>
  <si>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</si>
  <si>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</si>
  <si>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</si>
  <si>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</si>
  <si>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</si>
  <si>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</si>
  <si>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</si>
  <si>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</si>
  <si>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</si>
  <si>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</si>
  <si>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</si>
  <si>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</si>
  <si>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</si>
  <si>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</si>
  <si>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</si>
  <si>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</si>
  <si>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</si>
  <si>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</si>
  <si>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</si>
  <si>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</si>
  <si>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</si>
  <si>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</si>
  <si>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</si>
  <si>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</si>
  <si>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</si>
  <si>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</si>
  <si>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</si>
  <si>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</si>
  <si>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</si>
  <si>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</si>
  <si>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</si>
  <si>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</si>
  <si>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</si>
  <si>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</si>
  <si>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</si>
  <si>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</si>
  <si>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</si>
  <si>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</si>
  <si>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</si>
  <si>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</si>
  <si>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</si>
  <si>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</si>
  <si>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</si>
  <si>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</si>
  <si>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</si>
  <si>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</si>
  <si>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93.</t>
  </si>
  <si>
    <t>Wezka Malgorzata - pobočka Žory</t>
  </si>
  <si>
    <t>Lenart Wioletta - Pobočka Rybnik</t>
  </si>
  <si>
    <t xml:space="preserve">Wezka Malgorzata </t>
  </si>
  <si>
    <t xml:space="preserve">Přijato </t>
  </si>
  <si>
    <t>Ukončeno</t>
  </si>
  <si>
    <t>Anulace</t>
  </si>
  <si>
    <t xml:space="preserve">Úspěšnost náboru </t>
  </si>
  <si>
    <t>Matuszek</t>
  </si>
  <si>
    <t>Tomasz</t>
  </si>
  <si>
    <t>Blahut</t>
  </si>
  <si>
    <t xml:space="preserve">Mateusz </t>
  </si>
  <si>
    <t>Pochopien</t>
  </si>
  <si>
    <t>Eliasz</t>
  </si>
  <si>
    <t xml:space="preserve">Kufieta </t>
  </si>
  <si>
    <t xml:space="preserve">Kamil </t>
  </si>
  <si>
    <t xml:space="preserve">Dziacko </t>
  </si>
  <si>
    <t xml:space="preserve">Marta </t>
  </si>
  <si>
    <t>Suwinski</t>
  </si>
  <si>
    <t xml:space="preserve">Jakub </t>
  </si>
  <si>
    <t xml:space="preserve">Wałęsa </t>
  </si>
  <si>
    <t xml:space="preserve">Anna </t>
  </si>
  <si>
    <t>Grzegorz</t>
  </si>
  <si>
    <t>Buchalik</t>
  </si>
  <si>
    <t>Jacek</t>
  </si>
  <si>
    <t>Wiktorowicz</t>
  </si>
  <si>
    <t>Daniel</t>
  </si>
  <si>
    <t xml:space="preserve">Wisiorek </t>
  </si>
  <si>
    <t xml:space="preserve">Łukasz </t>
  </si>
  <si>
    <t xml:space="preserve">Nicinski </t>
  </si>
  <si>
    <t xml:space="preserve">Dawid </t>
  </si>
  <si>
    <t xml:space="preserve">Klepczarek </t>
  </si>
  <si>
    <t xml:space="preserve">Michał </t>
  </si>
  <si>
    <t xml:space="preserve">Deren </t>
  </si>
  <si>
    <t xml:space="preserve">Przemysław </t>
  </si>
  <si>
    <t xml:space="preserve">Burianski </t>
  </si>
  <si>
    <t>Patryk</t>
  </si>
  <si>
    <t xml:space="preserve">Wisniewski </t>
  </si>
  <si>
    <t>Wasyl</t>
  </si>
  <si>
    <t xml:space="preserve">Sujka </t>
  </si>
  <si>
    <t xml:space="preserve">Piotr </t>
  </si>
  <si>
    <t xml:space="preserve">Wojaczek </t>
  </si>
  <si>
    <t>Frackiewicz</t>
  </si>
  <si>
    <t>Mateusz</t>
  </si>
  <si>
    <t xml:space="preserve">Konieczny </t>
  </si>
  <si>
    <t>Joanna</t>
  </si>
  <si>
    <t xml:space="preserve">Miotke </t>
  </si>
  <si>
    <t xml:space="preserve">Monika </t>
  </si>
  <si>
    <t>Kupczak</t>
  </si>
  <si>
    <t xml:space="preserve">Dominika </t>
  </si>
  <si>
    <t xml:space="preserve">Kamińska </t>
  </si>
  <si>
    <t xml:space="preserve">Wioletta </t>
  </si>
  <si>
    <t>Malec</t>
  </si>
  <si>
    <t xml:space="preserve">Izabela </t>
  </si>
  <si>
    <t xml:space="preserve">Malec </t>
  </si>
  <si>
    <t xml:space="preserve">Julia </t>
  </si>
  <si>
    <t>Skrobol</t>
  </si>
  <si>
    <t xml:space="preserve">Jolanta </t>
  </si>
  <si>
    <t xml:space="preserve">Chudała </t>
  </si>
  <si>
    <t xml:space="preserve">Kamila </t>
  </si>
  <si>
    <t xml:space="preserve">Pogoda </t>
  </si>
  <si>
    <t xml:space="preserve">Beata </t>
  </si>
  <si>
    <t xml:space="preserve">Jedrysek </t>
  </si>
  <si>
    <t>Dorian</t>
  </si>
  <si>
    <t xml:space="preserve">Warminska </t>
  </si>
  <si>
    <t xml:space="preserve">Katarzyna </t>
  </si>
  <si>
    <t>Zawada</t>
  </si>
  <si>
    <t>Krystian</t>
  </si>
  <si>
    <t>Dettmann</t>
  </si>
  <si>
    <t xml:space="preserve">Kiełkowska </t>
  </si>
  <si>
    <t xml:space="preserve">Agnieszka </t>
  </si>
  <si>
    <t xml:space="preserve">Pielorz </t>
  </si>
  <si>
    <t>Alina</t>
  </si>
  <si>
    <t>Pałucki</t>
  </si>
  <si>
    <t>Bartosz</t>
  </si>
  <si>
    <t>DSC</t>
  </si>
  <si>
    <t>Kufieta</t>
  </si>
  <si>
    <t>Kamil</t>
  </si>
  <si>
    <t>nevhodný prac.</t>
  </si>
  <si>
    <t>Pietrek</t>
  </si>
  <si>
    <t>DONGHEE</t>
  </si>
  <si>
    <t>TATRA</t>
  </si>
  <si>
    <t>HANON</t>
  </si>
  <si>
    <t>BATZ</t>
  </si>
  <si>
    <t>anulace</t>
  </si>
  <si>
    <t xml:space="preserve">Fiuczek </t>
  </si>
  <si>
    <t xml:space="preserve">Sebastian </t>
  </si>
  <si>
    <t>Brzozowski</t>
  </si>
  <si>
    <t>Damian</t>
  </si>
  <si>
    <t xml:space="preserve">Czerwinska </t>
  </si>
  <si>
    <t>Kinga</t>
  </si>
  <si>
    <t>nechce pracovat v CZ</t>
  </si>
  <si>
    <t>nelíbí se mu práce</t>
  </si>
  <si>
    <t>Mazur</t>
  </si>
  <si>
    <t>Krzysztof</t>
  </si>
  <si>
    <t>Kowalski</t>
  </si>
  <si>
    <t>Szymon</t>
  </si>
  <si>
    <t xml:space="preserve">Debowska </t>
  </si>
  <si>
    <t xml:space="preserve">Renata </t>
  </si>
  <si>
    <t xml:space="preserve">Oslowski </t>
  </si>
  <si>
    <t xml:space="preserve">Arkadiusz </t>
  </si>
  <si>
    <t>Oslowska</t>
  </si>
  <si>
    <t>Buko</t>
  </si>
  <si>
    <t xml:space="preserve">Adrian </t>
  </si>
  <si>
    <t>Michal</t>
  </si>
  <si>
    <t>Nicola</t>
  </si>
  <si>
    <t>Pielorz</t>
  </si>
  <si>
    <t>Switala</t>
  </si>
  <si>
    <t>Maliszewska</t>
  </si>
  <si>
    <t>Ewa</t>
  </si>
  <si>
    <t>Magdalena</t>
  </si>
  <si>
    <t>Goik</t>
  </si>
  <si>
    <t>Andrzej</t>
  </si>
  <si>
    <t>Jaroszuk</t>
  </si>
  <si>
    <t>Wala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</si>
  <si>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</si>
  <si>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</si>
  <si>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</si>
  <si>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</si>
  <si>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</si>
  <si>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</si>
  <si>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</si>
  <si>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</si>
  <si>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</si>
  <si>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</si>
  <si>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</si>
  <si>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absence</t>
  </si>
  <si>
    <t>těžká práce</t>
  </si>
  <si>
    <t xml:space="preserve">Folwarczyn </t>
  </si>
  <si>
    <t>Zofia</t>
  </si>
  <si>
    <t>Rewolinska-Doluk</t>
  </si>
  <si>
    <t xml:space="preserve">Edyta </t>
  </si>
  <si>
    <t xml:space="preserve">Janecki </t>
  </si>
  <si>
    <t xml:space="preserve">Motyka </t>
  </si>
  <si>
    <t>Dariusz</t>
  </si>
  <si>
    <t xml:space="preserve">Miarka </t>
  </si>
  <si>
    <t xml:space="preserve">Alicja </t>
  </si>
  <si>
    <t>Grajkowski</t>
  </si>
  <si>
    <t>Marcin</t>
  </si>
  <si>
    <t>Porzuczek</t>
  </si>
  <si>
    <t xml:space="preserve">Paulina </t>
  </si>
  <si>
    <t>Majchrowicz</t>
  </si>
  <si>
    <t>Antonina</t>
  </si>
  <si>
    <t xml:space="preserve">Kowalska </t>
  </si>
  <si>
    <t xml:space="preserve">Jessica </t>
  </si>
  <si>
    <t xml:space="preserve">Dabek </t>
  </si>
  <si>
    <t xml:space="preserve">Natalia </t>
  </si>
  <si>
    <t>dojezd</t>
  </si>
  <si>
    <t>našel jinou práci</t>
  </si>
  <si>
    <t>umrtí otce</t>
  </si>
  <si>
    <t>Zygadlinska</t>
  </si>
  <si>
    <t>Aneta</t>
  </si>
  <si>
    <t xml:space="preserve">nelíbí se </t>
  </si>
  <si>
    <t>Gonera</t>
  </si>
  <si>
    <t xml:space="preserve">Drozdz </t>
  </si>
  <si>
    <t xml:space="preserve">Iwona </t>
  </si>
  <si>
    <t xml:space="preserve">Rak </t>
  </si>
  <si>
    <t xml:space="preserve">Barbara </t>
  </si>
  <si>
    <t xml:space="preserve">Jakubowska </t>
  </si>
  <si>
    <t xml:space="preserve">Sojka </t>
  </si>
  <si>
    <t xml:space="preserve">Irena </t>
  </si>
  <si>
    <t>Sojka-Tomala</t>
  </si>
  <si>
    <t xml:space="preserve">Nowak </t>
  </si>
  <si>
    <t xml:space="preserve">Małgorzata </t>
  </si>
  <si>
    <t>Famulski</t>
  </si>
  <si>
    <t>Robert</t>
  </si>
  <si>
    <t>Chmura</t>
  </si>
  <si>
    <t>alkohol</t>
  </si>
  <si>
    <t>Drobny</t>
  </si>
  <si>
    <t>Krosny</t>
  </si>
  <si>
    <t>Artur</t>
  </si>
  <si>
    <t>Kempny</t>
  </si>
  <si>
    <t>Janina</t>
  </si>
  <si>
    <t xml:space="preserve">Zarebska </t>
  </si>
  <si>
    <t>Dudala</t>
  </si>
  <si>
    <t>Kinek</t>
  </si>
  <si>
    <t>Sandra</t>
  </si>
  <si>
    <t>Jasita</t>
  </si>
  <si>
    <t>Pawel</t>
  </si>
  <si>
    <t>Skiba</t>
  </si>
  <si>
    <t>Michalecka</t>
  </si>
  <si>
    <t>Szczepaniak</t>
  </si>
  <si>
    <t>Pawlak</t>
  </si>
  <si>
    <t>Gurazdowski</t>
  </si>
  <si>
    <t>Boleslaw</t>
  </si>
  <si>
    <t>Karczynski</t>
  </si>
  <si>
    <t>Aleksander</t>
  </si>
  <si>
    <t>Chmiel</t>
  </si>
  <si>
    <t>Lewandowski</t>
  </si>
  <si>
    <t>Hawelka</t>
  </si>
  <si>
    <t>Slawomir</t>
  </si>
  <si>
    <t>Korneliusz</t>
  </si>
  <si>
    <t>Dawid</t>
  </si>
  <si>
    <t>Smokowski</t>
  </si>
  <si>
    <t>THERMA FM</t>
  </si>
  <si>
    <t>Kimla</t>
  </si>
  <si>
    <t>Marek</t>
  </si>
  <si>
    <t>Solinska</t>
  </si>
  <si>
    <t>Liwia</t>
  </si>
  <si>
    <t>Paszenda</t>
  </si>
  <si>
    <t>Rafal</t>
  </si>
  <si>
    <t>Pytel</t>
  </si>
  <si>
    <t>Siemienec</t>
  </si>
  <si>
    <t>Jolanta</t>
  </si>
  <si>
    <t>Wodecki</t>
  </si>
  <si>
    <t xml:space="preserve">Sylwester </t>
  </si>
  <si>
    <t>Faoui</t>
  </si>
  <si>
    <t>Ewelina</t>
  </si>
  <si>
    <t>Kabut</t>
  </si>
  <si>
    <t xml:space="preserve">Szczepanska </t>
  </si>
  <si>
    <t xml:space="preserve">Lewandowski </t>
  </si>
  <si>
    <t>Wengierski</t>
  </si>
  <si>
    <t xml:space="preserve">Bartosz </t>
  </si>
  <si>
    <t>Dura</t>
  </si>
  <si>
    <t xml:space="preserve">Polok-Bass </t>
  </si>
  <si>
    <t xml:space="preserve">Marzena </t>
  </si>
  <si>
    <t xml:space="preserve">Chylinska </t>
  </si>
  <si>
    <t>HILITE</t>
  </si>
  <si>
    <t>Malina</t>
  </si>
  <si>
    <t>Mariusz</t>
  </si>
  <si>
    <t xml:space="preserve">Sałata </t>
  </si>
  <si>
    <t xml:space="preserve">Krzysztof </t>
  </si>
  <si>
    <t>1.10.</t>
  </si>
  <si>
    <t>20.11.</t>
  </si>
  <si>
    <t>FLUKTUACE</t>
  </si>
  <si>
    <t>NAPLNĚNOST</t>
  </si>
  <si>
    <t>xxx</t>
  </si>
  <si>
    <t>Naplněnost</t>
  </si>
  <si>
    <t>splnění náborového plánu</t>
  </si>
  <si>
    <t>splnění příprav náboru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</si>
</sst>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right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4" fontId="0" fillId="0" borderId="9" xfId="0" applyNumberFormat="1" applyBorder="1" applyAlignment="1">
      <alignment horizontal="left" vertical="center"/>
    </xf>
    <xf numFmtId="14" fontId="0" fillId="0" borderId="9" xfId="0" applyNumberFormat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2" borderId="14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14" fontId="0" fillId="2" borderId="9" xfId="0" applyNumberFormat="1" applyFill="1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14" fontId="0" fillId="3" borderId="9" xfId="0" applyNumberFormat="1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14" fontId="0" fillId="3" borderId="9" xfId="0" applyNumberFormat="1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0" xfId="0" applyFill="1"/>
    <xf numFmtId="14" fontId="0" fillId="2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14" fontId="0" fillId="4" borderId="9" xfId="0" applyNumberFormat="1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9" xfId="0" applyBorder="1"/>
    <xf numFmtId="0" fontId="0" fillId="0" borderId="14" xfId="0" applyBorder="1"/>
    <xf numFmtId="0" fontId="0" fillId="0" borderId="27" xfId="0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3" borderId="26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0" fillId="0" borderId="28" xfId="0" applyBorder="1" applyAlignment="1">
      <alignment horizontal="left"/>
    </xf>
    <xf numFmtId="0" fontId="0" fillId="4" borderId="14" xfId="0" applyFill="1" applyBorder="1" applyAlignment="1">
      <alignment horizontal="left"/>
    </xf>
    <xf numFmtId="16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0" xfId="0" applyBorder="1"/>
    <xf numFmtId="0" fontId="0" fillId="0" borderId="9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1</xdr:row>
      <xdr:rowOff>114300</xdr:rowOff>
    </xdr:from>
    <xdr:to>
      <xdr:col>2</xdr:col>
      <xdr:colOff>333374</xdr:colOff>
      <xdr:row>3</xdr:row>
      <xdr:rowOff>36775</xdr:rowOff>
    </xdr:to>
    <xdr:pic>
      <xdr:nvPicPr>
        <xdr:cNvPr id="2" name="Obrázek 1" descr="C:\Users\Recepce\AppData\Local\Temp\Temp1_RECRA - Brand - Logotypes.zip\Exported\2x\RECRA - Just logo - Red@2x.png">
          <a:extLst>
            <a:ext uri="{FF2B5EF4-FFF2-40B4-BE49-F238E27FC236}">
              <a16:creationId xmlns:a16="http://schemas.microsoft.com/office/drawing/2014/main" id="{AC372CB3-C26C-46F1-984E-B8944C590A2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49" y="304800"/>
          <a:ext cx="1343025" cy="303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6"/>
  <sheetViews>
    <sheetView zoomScale="70" zoomScaleNormal="70" workbookViewId="0">
      <selection activeCell="S39" sqref="S39"/>
    </sheetView>
  </sheetViews>
  <sheetFormatPr defaultRowHeight="15" x14ac:dyDescent="0.25"/>
  <cols>
    <col min="1" max="1" width="4.28515625" customWidth="1"/>
    <col min="2" max="3" width="16.5703125" customWidth="1"/>
    <col min="4" max="6" width="13.42578125" customWidth="1"/>
    <col min="7" max="7" width="17.42578125" customWidth="1"/>
    <col min="8" max="9" width="16.5703125" customWidth="1"/>
    <col min="10" max="12" width="13.42578125" customWidth="1"/>
    <col min="13" max="13" width="16.5703125" customWidth="1"/>
  </cols>
  <sheetData>
    <row r="1" spans="1:13" ht="15.75" thickBot="1" x14ac:dyDescent="0.3"/>
    <row r="2" spans="1:13" x14ac:dyDescent="0.25">
      <c r="B2" s="58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x14ac:dyDescent="0.25"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3"/>
    </row>
    <row r="4" spans="1:13" ht="15.75" thickBot="1" x14ac:dyDescent="0.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3" x14ac:dyDescent="0.25">
      <c r="B5" s="67" t="s">
        <v>88</v>
      </c>
      <c r="C5" s="68"/>
      <c r="D5" s="68"/>
      <c r="E5" s="68"/>
      <c r="F5" s="68"/>
      <c r="G5" s="69"/>
      <c r="H5" s="67" t="s">
        <v>89</v>
      </c>
      <c r="I5" s="68"/>
      <c r="J5" s="68"/>
      <c r="K5" s="68"/>
      <c r="L5" s="68"/>
      <c r="M5" s="69"/>
    </row>
    <row r="6" spans="1:13" ht="15.75" thickBot="1" x14ac:dyDescent="0.3">
      <c r="B6" s="70"/>
      <c r="C6" s="71"/>
      <c r="D6" s="71"/>
      <c r="E6" s="71"/>
      <c r="F6" s="71"/>
      <c r="G6" s="72"/>
      <c r="H6" s="70"/>
      <c r="I6" s="71"/>
      <c r="J6" s="71"/>
      <c r="K6" s="71"/>
      <c r="L6" s="71"/>
      <c r="M6" s="72"/>
    </row>
    <row r="7" spans="1:13" ht="15.75" thickBot="1" x14ac:dyDescent="0.3">
      <c r="B7" s="5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7" t="s">
        <v>7</v>
      </c>
      <c r="H7" s="1" t="s">
        <v>2</v>
      </c>
      <c r="I7" s="2" t="s">
        <v>3</v>
      </c>
      <c r="J7" s="2" t="s">
        <v>4</v>
      </c>
      <c r="K7" s="2" t="s">
        <v>5</v>
      </c>
      <c r="L7" s="2" t="s">
        <v>6</v>
      </c>
      <c r="M7" s="3" t="s">
        <v>7</v>
      </c>
    </row>
    <row r="8" spans="1:13" x14ac:dyDescent="0.25">
      <c r="A8" s="4" t="s">
        <v>8</v>
      </c>
      <c r="B8" s="8" t="s">
        <v>97</v>
      </c>
      <c r="C8" s="9" t="s">
        <v>98</v>
      </c>
      <c r="D8" s="10" t="s">
        <v>162</v>
      </c>
      <c r="E8" s="11">
        <v>45201</v>
      </c>
      <c r="F8" s="12"/>
      <c r="G8" s="13"/>
      <c r="H8" s="47" t="s">
        <v>95</v>
      </c>
      <c r="I8" s="9" t="s">
        <v>96</v>
      </c>
      <c r="J8" s="10" t="s">
        <v>162</v>
      </c>
      <c r="K8" s="11">
        <v>45201</v>
      </c>
      <c r="L8" s="12"/>
      <c r="M8" s="13"/>
    </row>
    <row r="9" spans="1:13" x14ac:dyDescent="0.25">
      <c r="A9" s="4" t="s">
        <v>9</v>
      </c>
      <c r="B9" s="31" t="s">
        <v>133</v>
      </c>
      <c r="C9" s="32" t="s">
        <v>134</v>
      </c>
      <c r="D9" s="33" t="s">
        <v>170</v>
      </c>
      <c r="E9" s="33">
        <v>45201</v>
      </c>
      <c r="F9" s="29">
        <v>45201</v>
      </c>
      <c r="G9" s="30" t="s">
        <v>171</v>
      </c>
      <c r="H9" s="48" t="s">
        <v>122</v>
      </c>
      <c r="I9" s="32" t="s">
        <v>123</v>
      </c>
      <c r="J9" s="33" t="s">
        <v>168</v>
      </c>
      <c r="K9" s="33">
        <v>45201</v>
      </c>
      <c r="L9" s="29">
        <v>45205</v>
      </c>
      <c r="M9" s="30" t="s">
        <v>178</v>
      </c>
    </row>
    <row r="10" spans="1:13" x14ac:dyDescent="0.25">
      <c r="A10" s="4" t="s">
        <v>10</v>
      </c>
      <c r="B10" s="31" t="s">
        <v>135</v>
      </c>
      <c r="C10" s="32" t="s">
        <v>136</v>
      </c>
      <c r="D10" s="33" t="s">
        <v>170</v>
      </c>
      <c r="E10" s="33">
        <v>45201</v>
      </c>
      <c r="F10" s="29">
        <v>45218</v>
      </c>
      <c r="G10" s="30" t="s">
        <v>213</v>
      </c>
      <c r="H10" s="48" t="s">
        <v>124</v>
      </c>
      <c r="I10" s="32" t="s">
        <v>125</v>
      </c>
      <c r="J10" s="33" t="s">
        <v>168</v>
      </c>
      <c r="K10" s="33">
        <v>45201</v>
      </c>
      <c r="L10" s="29">
        <v>45203</v>
      </c>
      <c r="M10" s="30" t="s">
        <v>179</v>
      </c>
    </row>
    <row r="11" spans="1:13" x14ac:dyDescent="0.25">
      <c r="A11" s="4" t="s">
        <v>11</v>
      </c>
      <c r="B11" s="21" t="s">
        <v>137</v>
      </c>
      <c r="C11" s="22" t="s">
        <v>138</v>
      </c>
      <c r="D11" s="23" t="s">
        <v>170</v>
      </c>
      <c r="E11" s="23">
        <v>45201</v>
      </c>
      <c r="F11" s="20"/>
      <c r="G11" s="18"/>
      <c r="H11" s="48" t="s">
        <v>126</v>
      </c>
      <c r="I11" s="32" t="s">
        <v>127</v>
      </c>
      <c r="J11" s="33" t="s">
        <v>168</v>
      </c>
      <c r="K11" s="33">
        <v>45201</v>
      </c>
      <c r="L11" s="29">
        <v>45205</v>
      </c>
      <c r="M11" s="30" t="s">
        <v>179</v>
      </c>
    </row>
    <row r="12" spans="1:13" x14ac:dyDescent="0.25">
      <c r="A12" s="4" t="s">
        <v>12</v>
      </c>
      <c r="B12" s="21" t="s">
        <v>139</v>
      </c>
      <c r="C12" s="22" t="s">
        <v>140</v>
      </c>
      <c r="D12" s="23" t="s">
        <v>170</v>
      </c>
      <c r="E12" s="23">
        <v>45201</v>
      </c>
      <c r="F12" s="20"/>
      <c r="G12" s="18"/>
      <c r="H12" s="48" t="s">
        <v>101</v>
      </c>
      <c r="I12" s="32" t="s">
        <v>102</v>
      </c>
      <c r="J12" s="33" t="s">
        <v>168</v>
      </c>
      <c r="K12" s="33">
        <v>45201</v>
      </c>
      <c r="L12" s="29">
        <v>45203</v>
      </c>
      <c r="M12" s="30" t="s">
        <v>165</v>
      </c>
    </row>
    <row r="13" spans="1:13" x14ac:dyDescent="0.25">
      <c r="A13" s="4" t="s">
        <v>13</v>
      </c>
      <c r="B13" s="31" t="s">
        <v>141</v>
      </c>
      <c r="C13" s="32" t="s">
        <v>142</v>
      </c>
      <c r="D13" s="33" t="s">
        <v>170</v>
      </c>
      <c r="E13" s="33">
        <v>45201</v>
      </c>
      <c r="F13" s="29">
        <v>45266</v>
      </c>
      <c r="G13" s="30"/>
      <c r="H13" s="48" t="s">
        <v>128</v>
      </c>
      <c r="I13" s="32" t="s">
        <v>102</v>
      </c>
      <c r="J13" s="33" t="s">
        <v>168</v>
      </c>
      <c r="K13" s="33">
        <v>45201</v>
      </c>
      <c r="L13" s="29">
        <v>45218</v>
      </c>
      <c r="M13" s="30" t="s">
        <v>213</v>
      </c>
    </row>
    <row r="14" spans="1:13" x14ac:dyDescent="0.25">
      <c r="A14" s="4" t="s">
        <v>14</v>
      </c>
      <c r="B14" s="31" t="s">
        <v>99</v>
      </c>
      <c r="C14" s="32" t="s">
        <v>100</v>
      </c>
      <c r="D14" s="33" t="s">
        <v>162</v>
      </c>
      <c r="E14" s="29">
        <v>45202</v>
      </c>
      <c r="F14" s="29">
        <v>45206</v>
      </c>
      <c r="G14" s="30" t="s">
        <v>165</v>
      </c>
      <c r="H14" s="49" t="s">
        <v>131</v>
      </c>
      <c r="I14" s="22" t="s">
        <v>132</v>
      </c>
      <c r="J14" s="23" t="s">
        <v>170</v>
      </c>
      <c r="K14" s="23">
        <v>45201</v>
      </c>
      <c r="L14" s="20"/>
      <c r="M14" s="18"/>
    </row>
    <row r="15" spans="1:13" x14ac:dyDescent="0.25">
      <c r="A15" s="4" t="s">
        <v>15</v>
      </c>
      <c r="B15" s="31" t="s">
        <v>112</v>
      </c>
      <c r="C15" s="32" t="s">
        <v>113</v>
      </c>
      <c r="D15" s="33" t="s">
        <v>167</v>
      </c>
      <c r="E15" s="33">
        <v>45203</v>
      </c>
      <c r="F15" s="29">
        <v>45266</v>
      </c>
      <c r="G15" s="30"/>
      <c r="H15" s="49" t="s">
        <v>143</v>
      </c>
      <c r="I15" s="22" t="s">
        <v>144</v>
      </c>
      <c r="J15" s="23" t="s">
        <v>170</v>
      </c>
      <c r="K15" s="23">
        <v>45201</v>
      </c>
      <c r="L15" s="20"/>
      <c r="M15" s="18"/>
    </row>
    <row r="16" spans="1:13" x14ac:dyDescent="0.25">
      <c r="A16" s="4" t="s">
        <v>16</v>
      </c>
      <c r="B16" s="31" t="s">
        <v>114</v>
      </c>
      <c r="C16" s="32" t="s">
        <v>115</v>
      </c>
      <c r="D16" s="33" t="s">
        <v>167</v>
      </c>
      <c r="E16" s="33">
        <v>45203</v>
      </c>
      <c r="F16" s="29">
        <v>45271</v>
      </c>
      <c r="G16" s="30"/>
      <c r="H16" s="50" t="s">
        <v>145</v>
      </c>
      <c r="I16" s="15" t="s">
        <v>146</v>
      </c>
      <c r="J16" s="16" t="s">
        <v>170</v>
      </c>
      <c r="K16" s="16">
        <v>45201</v>
      </c>
      <c r="L16" s="20"/>
      <c r="M16" s="18"/>
    </row>
    <row r="17" spans="1:13" x14ac:dyDescent="0.25">
      <c r="A17" s="4" t="s">
        <v>17</v>
      </c>
      <c r="B17" s="14" t="s">
        <v>120</v>
      </c>
      <c r="C17" s="15" t="s">
        <v>121</v>
      </c>
      <c r="D17" s="16" t="s">
        <v>167</v>
      </c>
      <c r="E17" s="16">
        <v>45203</v>
      </c>
      <c r="F17" s="20"/>
      <c r="G17" s="18"/>
      <c r="H17" s="48" t="s">
        <v>110</v>
      </c>
      <c r="I17" s="32" t="s">
        <v>111</v>
      </c>
      <c r="J17" s="33" t="s">
        <v>167</v>
      </c>
      <c r="K17" s="33">
        <v>45203</v>
      </c>
      <c r="L17" s="29">
        <v>45203</v>
      </c>
      <c r="M17" s="30" t="s">
        <v>171</v>
      </c>
    </row>
    <row r="18" spans="1:13" x14ac:dyDescent="0.25">
      <c r="A18" s="4" t="s">
        <v>18</v>
      </c>
      <c r="B18" s="31" t="s">
        <v>129</v>
      </c>
      <c r="C18" s="32" t="s">
        <v>130</v>
      </c>
      <c r="D18" s="33" t="s">
        <v>168</v>
      </c>
      <c r="E18" s="33">
        <v>45208</v>
      </c>
      <c r="F18" s="29">
        <v>45225</v>
      </c>
      <c r="G18" s="30" t="s">
        <v>239</v>
      </c>
      <c r="H18" s="49" t="s">
        <v>116</v>
      </c>
      <c r="I18" s="22" t="s">
        <v>117</v>
      </c>
      <c r="J18" s="23" t="s">
        <v>167</v>
      </c>
      <c r="K18" s="23">
        <v>45203</v>
      </c>
      <c r="L18" s="36"/>
      <c r="M18" s="37"/>
    </row>
    <row r="19" spans="1:13" x14ac:dyDescent="0.25">
      <c r="A19" s="4" t="s">
        <v>19</v>
      </c>
      <c r="B19" s="31" t="s">
        <v>149</v>
      </c>
      <c r="C19" s="32" t="s">
        <v>150</v>
      </c>
      <c r="D19" s="33" t="s">
        <v>170</v>
      </c>
      <c r="E19" s="33">
        <v>45208</v>
      </c>
      <c r="F19" s="29">
        <v>45229</v>
      </c>
      <c r="G19" s="30" t="s">
        <v>165</v>
      </c>
      <c r="H19" s="48" t="s">
        <v>118</v>
      </c>
      <c r="I19" s="32" t="s">
        <v>119</v>
      </c>
      <c r="J19" s="33" t="s">
        <v>167</v>
      </c>
      <c r="K19" s="33">
        <v>45203</v>
      </c>
      <c r="L19" s="29">
        <v>45208</v>
      </c>
      <c r="M19" s="30" t="s">
        <v>213</v>
      </c>
    </row>
    <row r="20" spans="1:13" x14ac:dyDescent="0.25">
      <c r="A20" s="4" t="s">
        <v>20</v>
      </c>
      <c r="B20" s="14" t="s">
        <v>151</v>
      </c>
      <c r="C20" s="15" t="s">
        <v>152</v>
      </c>
      <c r="D20" s="23" t="s">
        <v>170</v>
      </c>
      <c r="E20" s="16">
        <v>45208</v>
      </c>
      <c r="F20" s="20"/>
      <c r="G20" s="18"/>
      <c r="H20" s="51" t="s">
        <v>163</v>
      </c>
      <c r="I20" s="28" t="s">
        <v>164</v>
      </c>
      <c r="J20" s="28" t="s">
        <v>162</v>
      </c>
      <c r="K20" s="29">
        <v>45208</v>
      </c>
      <c r="L20" s="29">
        <v>45208</v>
      </c>
      <c r="M20" s="30" t="s">
        <v>171</v>
      </c>
    </row>
    <row r="21" spans="1:13" x14ac:dyDescent="0.25">
      <c r="A21" s="4" t="s">
        <v>21</v>
      </c>
      <c r="B21" s="31" t="s">
        <v>153</v>
      </c>
      <c r="C21" s="32" t="s">
        <v>154</v>
      </c>
      <c r="D21" s="33" t="s">
        <v>170</v>
      </c>
      <c r="E21" s="33">
        <v>45208</v>
      </c>
      <c r="F21" s="29">
        <v>45223</v>
      </c>
      <c r="G21" s="30" t="s">
        <v>235</v>
      </c>
      <c r="H21" s="50" t="s">
        <v>147</v>
      </c>
      <c r="I21" s="15" t="s">
        <v>113</v>
      </c>
      <c r="J21" s="16" t="s">
        <v>170</v>
      </c>
      <c r="K21" s="16">
        <v>45208</v>
      </c>
      <c r="L21" s="20"/>
      <c r="M21" s="18"/>
    </row>
    <row r="22" spans="1:13" x14ac:dyDescent="0.25">
      <c r="A22" s="4" t="s">
        <v>22</v>
      </c>
      <c r="B22" s="31" t="s">
        <v>155</v>
      </c>
      <c r="C22" s="32" t="s">
        <v>138</v>
      </c>
      <c r="D22" s="33" t="s">
        <v>170</v>
      </c>
      <c r="E22" s="33">
        <v>45208</v>
      </c>
      <c r="F22" s="29">
        <v>45208</v>
      </c>
      <c r="G22" s="30" t="s">
        <v>171</v>
      </c>
      <c r="H22" s="50" t="s">
        <v>147</v>
      </c>
      <c r="I22" s="15" t="s">
        <v>148</v>
      </c>
      <c r="J22" s="16" t="s">
        <v>170</v>
      </c>
      <c r="K22" s="16">
        <v>45208</v>
      </c>
      <c r="L22" s="20"/>
      <c r="M22" s="18"/>
    </row>
    <row r="23" spans="1:13" x14ac:dyDescent="0.25">
      <c r="A23" s="4" t="s">
        <v>23</v>
      </c>
      <c r="B23" s="31" t="s">
        <v>156</v>
      </c>
      <c r="C23" s="32" t="s">
        <v>157</v>
      </c>
      <c r="D23" s="33" t="s">
        <v>170</v>
      </c>
      <c r="E23" s="33">
        <v>45208</v>
      </c>
      <c r="F23" s="29">
        <v>45233</v>
      </c>
      <c r="G23" s="30" t="s">
        <v>213</v>
      </c>
      <c r="H23" s="48" t="s">
        <v>107</v>
      </c>
      <c r="I23" s="32" t="s">
        <v>108</v>
      </c>
      <c r="J23" s="33" t="s">
        <v>162</v>
      </c>
      <c r="K23" s="29">
        <v>45209</v>
      </c>
      <c r="L23" s="29">
        <v>45219</v>
      </c>
      <c r="M23" s="30" t="s">
        <v>165</v>
      </c>
    </row>
    <row r="24" spans="1:13" x14ac:dyDescent="0.25">
      <c r="A24" s="4" t="s">
        <v>24</v>
      </c>
      <c r="B24" s="14" t="s">
        <v>158</v>
      </c>
      <c r="C24" s="15" t="s">
        <v>159</v>
      </c>
      <c r="D24" s="23" t="s">
        <v>170</v>
      </c>
      <c r="E24" s="16">
        <v>45208</v>
      </c>
      <c r="F24" s="20"/>
      <c r="G24" s="18"/>
      <c r="H24" s="51" t="s">
        <v>166</v>
      </c>
      <c r="I24" s="28" t="s">
        <v>109</v>
      </c>
      <c r="J24" s="28" t="s">
        <v>162</v>
      </c>
      <c r="K24" s="29">
        <v>45209</v>
      </c>
      <c r="L24" s="29">
        <v>45219</v>
      </c>
      <c r="M24" s="30" t="s">
        <v>214</v>
      </c>
    </row>
    <row r="25" spans="1:13" x14ac:dyDescent="0.25">
      <c r="A25" s="4" t="s">
        <v>25</v>
      </c>
      <c r="B25" s="31" t="s">
        <v>160</v>
      </c>
      <c r="C25" s="32" t="s">
        <v>161</v>
      </c>
      <c r="D25" s="33" t="s">
        <v>169</v>
      </c>
      <c r="E25" s="33">
        <v>45208</v>
      </c>
      <c r="F25" s="29">
        <v>45217</v>
      </c>
      <c r="G25" s="30" t="s">
        <v>213</v>
      </c>
      <c r="H25" s="51" t="s">
        <v>180</v>
      </c>
      <c r="I25" s="28" t="s">
        <v>181</v>
      </c>
      <c r="J25" s="28" t="s">
        <v>170</v>
      </c>
      <c r="K25" s="29">
        <v>45215</v>
      </c>
      <c r="L25" s="29">
        <v>45219</v>
      </c>
      <c r="M25" s="30" t="s">
        <v>234</v>
      </c>
    </row>
    <row r="26" spans="1:13" x14ac:dyDescent="0.25">
      <c r="A26" s="4" t="s">
        <v>26</v>
      </c>
      <c r="B26" s="14" t="s">
        <v>103</v>
      </c>
      <c r="C26" s="15" t="s">
        <v>104</v>
      </c>
      <c r="D26" s="16" t="s">
        <v>162</v>
      </c>
      <c r="E26" s="17">
        <v>45209</v>
      </c>
      <c r="F26" s="20"/>
      <c r="G26" s="18"/>
      <c r="H26" s="51" t="s">
        <v>193</v>
      </c>
      <c r="I26" s="28" t="s">
        <v>196</v>
      </c>
      <c r="J26" s="28" t="s">
        <v>170</v>
      </c>
      <c r="K26" s="29">
        <v>45215</v>
      </c>
      <c r="L26" s="29">
        <v>45218</v>
      </c>
      <c r="M26" s="30" t="s">
        <v>214</v>
      </c>
    </row>
    <row r="27" spans="1:13" x14ac:dyDescent="0.25">
      <c r="A27" s="4" t="s">
        <v>27</v>
      </c>
      <c r="B27" s="31" t="s">
        <v>105</v>
      </c>
      <c r="C27" s="32" t="s">
        <v>106</v>
      </c>
      <c r="D27" s="33" t="s">
        <v>162</v>
      </c>
      <c r="E27" s="29">
        <v>45210</v>
      </c>
      <c r="F27" s="29">
        <v>45218</v>
      </c>
      <c r="G27" s="30" t="s">
        <v>214</v>
      </c>
      <c r="H27" s="51" t="s">
        <v>193</v>
      </c>
      <c r="I27" s="28" t="s">
        <v>197</v>
      </c>
      <c r="J27" s="28" t="s">
        <v>170</v>
      </c>
      <c r="K27" s="29">
        <v>45215</v>
      </c>
      <c r="L27" s="29">
        <v>45218</v>
      </c>
      <c r="M27" s="30" t="s">
        <v>214</v>
      </c>
    </row>
    <row r="28" spans="1:13" x14ac:dyDescent="0.25">
      <c r="A28" s="4" t="s">
        <v>28</v>
      </c>
      <c r="B28" s="31" t="s">
        <v>172</v>
      </c>
      <c r="C28" s="32" t="s">
        <v>173</v>
      </c>
      <c r="D28" s="33" t="s">
        <v>162</v>
      </c>
      <c r="E28" s="33">
        <v>45210</v>
      </c>
      <c r="F28" s="29">
        <v>45210</v>
      </c>
      <c r="G28" s="30" t="s">
        <v>171</v>
      </c>
      <c r="H28" s="51" t="s">
        <v>182</v>
      </c>
      <c r="I28" s="28" t="s">
        <v>183</v>
      </c>
      <c r="J28" s="28" t="s">
        <v>170</v>
      </c>
      <c r="K28" s="29">
        <v>45215</v>
      </c>
      <c r="L28" s="29">
        <v>45246</v>
      </c>
      <c r="M28" s="30"/>
    </row>
    <row r="29" spans="1:13" x14ac:dyDescent="0.25">
      <c r="A29" s="4" t="s">
        <v>29</v>
      </c>
      <c r="B29" s="31" t="s">
        <v>174</v>
      </c>
      <c r="C29" s="32" t="s">
        <v>175</v>
      </c>
      <c r="D29" s="33" t="s">
        <v>162</v>
      </c>
      <c r="E29" s="29">
        <v>45210</v>
      </c>
      <c r="F29" s="29">
        <v>45210</v>
      </c>
      <c r="G29" s="30" t="s">
        <v>171</v>
      </c>
      <c r="H29" s="51" t="s">
        <v>194</v>
      </c>
      <c r="I29" s="28" t="s">
        <v>191</v>
      </c>
      <c r="J29" s="28" t="s">
        <v>170</v>
      </c>
      <c r="K29" s="29">
        <v>45215</v>
      </c>
      <c r="L29" s="29">
        <v>45223</v>
      </c>
      <c r="M29" s="30" t="s">
        <v>236</v>
      </c>
    </row>
    <row r="30" spans="1:13" x14ac:dyDescent="0.25">
      <c r="A30" s="4" t="s">
        <v>30</v>
      </c>
      <c r="B30" s="21" t="s">
        <v>176</v>
      </c>
      <c r="C30" s="22" t="s">
        <v>177</v>
      </c>
      <c r="D30" s="23" t="s">
        <v>162</v>
      </c>
      <c r="E30" s="17">
        <v>45211</v>
      </c>
      <c r="F30" s="20"/>
      <c r="G30" s="18"/>
      <c r="H30" s="44" t="s">
        <v>195</v>
      </c>
      <c r="I30" s="20" t="s">
        <v>192</v>
      </c>
      <c r="J30" s="20" t="s">
        <v>170</v>
      </c>
      <c r="K30" s="17">
        <v>45215</v>
      </c>
      <c r="L30" s="20"/>
      <c r="M30" s="18"/>
    </row>
    <row r="31" spans="1:13" x14ac:dyDescent="0.25">
      <c r="A31" s="4" t="s">
        <v>31</v>
      </c>
      <c r="B31" s="21" t="s">
        <v>184</v>
      </c>
      <c r="C31" s="22" t="s">
        <v>185</v>
      </c>
      <c r="D31" s="23" t="s">
        <v>170</v>
      </c>
      <c r="E31" s="17">
        <v>45215</v>
      </c>
      <c r="F31" s="20"/>
      <c r="G31" s="18"/>
      <c r="H31" s="44" t="s">
        <v>198</v>
      </c>
      <c r="I31" s="20" t="s">
        <v>199</v>
      </c>
      <c r="J31" s="20" t="s">
        <v>168</v>
      </c>
      <c r="K31" s="17">
        <v>45216</v>
      </c>
      <c r="L31" s="20"/>
      <c r="M31" s="18"/>
    </row>
    <row r="32" spans="1:13" x14ac:dyDescent="0.25">
      <c r="A32" s="4" t="s">
        <v>32</v>
      </c>
      <c r="B32" s="31" t="s">
        <v>186</v>
      </c>
      <c r="C32" s="32" t="s">
        <v>187</v>
      </c>
      <c r="D32" s="33" t="s">
        <v>170</v>
      </c>
      <c r="E32" s="29">
        <v>45215</v>
      </c>
      <c r="F32" s="29">
        <v>45260</v>
      </c>
      <c r="G32" s="30"/>
      <c r="H32" s="44" t="s">
        <v>200</v>
      </c>
      <c r="I32" s="20" t="s">
        <v>127</v>
      </c>
      <c r="J32" s="20" t="s">
        <v>168</v>
      </c>
      <c r="K32" s="17">
        <v>45216</v>
      </c>
      <c r="L32" s="20"/>
      <c r="M32" s="18"/>
    </row>
    <row r="33" spans="1:17" x14ac:dyDescent="0.25">
      <c r="A33" s="4" t="s">
        <v>33</v>
      </c>
      <c r="B33" s="31" t="s">
        <v>188</v>
      </c>
      <c r="C33" s="32" t="s">
        <v>148</v>
      </c>
      <c r="D33" s="33" t="s">
        <v>170</v>
      </c>
      <c r="E33" s="29">
        <v>45215</v>
      </c>
      <c r="F33" s="29">
        <v>45260</v>
      </c>
      <c r="G33" s="30"/>
      <c r="H33" s="51" t="s">
        <v>201</v>
      </c>
      <c r="I33" s="28" t="s">
        <v>96</v>
      </c>
      <c r="J33" s="28" t="s">
        <v>162</v>
      </c>
      <c r="K33" s="29">
        <v>45216</v>
      </c>
      <c r="L33" s="29">
        <v>45236</v>
      </c>
      <c r="M33" s="30" t="s">
        <v>254</v>
      </c>
    </row>
    <row r="34" spans="1:17" x14ac:dyDescent="0.25">
      <c r="A34" s="4" t="s">
        <v>34</v>
      </c>
      <c r="B34" s="21" t="s">
        <v>189</v>
      </c>
      <c r="C34" s="22" t="s">
        <v>190</v>
      </c>
      <c r="D34" s="23" t="s">
        <v>170</v>
      </c>
      <c r="E34" s="17">
        <v>45215</v>
      </c>
      <c r="F34" s="20"/>
      <c r="G34" s="18"/>
      <c r="H34" s="48" t="s">
        <v>224</v>
      </c>
      <c r="I34" s="32" t="s">
        <v>225</v>
      </c>
      <c r="J34" s="33" t="s">
        <v>170</v>
      </c>
      <c r="K34" s="29">
        <v>45222</v>
      </c>
      <c r="L34" s="29">
        <v>45222</v>
      </c>
      <c r="M34" s="30" t="s">
        <v>171</v>
      </c>
    </row>
    <row r="35" spans="1:17" x14ac:dyDescent="0.25">
      <c r="A35" s="4" t="s">
        <v>202</v>
      </c>
      <c r="B35" s="21" t="s">
        <v>215</v>
      </c>
      <c r="C35" s="22" t="s">
        <v>216</v>
      </c>
      <c r="D35" s="23" t="s">
        <v>170</v>
      </c>
      <c r="E35" s="40">
        <v>45222</v>
      </c>
      <c r="F35" s="36"/>
      <c r="G35" s="37"/>
      <c r="H35" s="49" t="s">
        <v>226</v>
      </c>
      <c r="I35" s="22" t="s">
        <v>227</v>
      </c>
      <c r="J35" s="23" t="s">
        <v>170</v>
      </c>
      <c r="K35" s="40">
        <v>45222</v>
      </c>
      <c r="L35" s="36"/>
      <c r="M35" s="37"/>
    </row>
    <row r="36" spans="1:17" s="39" customFormat="1" x14ac:dyDescent="0.25">
      <c r="A36" s="4" t="s">
        <v>203</v>
      </c>
      <c r="B36" s="31" t="s">
        <v>217</v>
      </c>
      <c r="C36" s="32" t="s">
        <v>218</v>
      </c>
      <c r="D36" s="33" t="s">
        <v>170</v>
      </c>
      <c r="E36" s="29">
        <v>45222</v>
      </c>
      <c r="F36" s="29">
        <v>45222</v>
      </c>
      <c r="G36" s="30" t="s">
        <v>171</v>
      </c>
      <c r="H36" s="49" t="s">
        <v>228</v>
      </c>
      <c r="I36" s="22" t="s">
        <v>229</v>
      </c>
      <c r="J36" s="23" t="s">
        <v>170</v>
      </c>
      <c r="K36" s="40">
        <v>45222</v>
      </c>
      <c r="L36" s="36"/>
      <c r="M36" s="37"/>
      <c r="N36"/>
      <c r="O36"/>
      <c r="P36"/>
      <c r="Q36"/>
    </row>
    <row r="37" spans="1:17" s="39" customFormat="1" x14ac:dyDescent="0.25">
      <c r="A37" s="4" t="s">
        <v>204</v>
      </c>
      <c r="B37" s="31" t="s">
        <v>219</v>
      </c>
      <c r="C37" s="32" t="s">
        <v>117</v>
      </c>
      <c r="D37" s="33" t="s">
        <v>170</v>
      </c>
      <c r="E37" s="29">
        <v>45222</v>
      </c>
      <c r="F37" s="29">
        <v>45222</v>
      </c>
      <c r="G37" s="30" t="s">
        <v>171</v>
      </c>
      <c r="H37" s="52" t="s">
        <v>237</v>
      </c>
      <c r="I37" s="36" t="s">
        <v>238</v>
      </c>
      <c r="J37" s="36" t="s">
        <v>162</v>
      </c>
      <c r="K37" s="40">
        <v>45225</v>
      </c>
      <c r="L37" s="36"/>
      <c r="M37" s="37"/>
      <c r="N37"/>
      <c r="O37"/>
      <c r="P37"/>
      <c r="Q37"/>
    </row>
    <row r="38" spans="1:17" s="39" customFormat="1" x14ac:dyDescent="0.25">
      <c r="A38" s="4" t="s">
        <v>205</v>
      </c>
      <c r="B38" s="21" t="s">
        <v>220</v>
      </c>
      <c r="C38" s="22" t="s">
        <v>221</v>
      </c>
      <c r="D38" s="23" t="s">
        <v>170</v>
      </c>
      <c r="E38" s="40">
        <v>45222</v>
      </c>
      <c r="F38" s="36"/>
      <c r="G38" s="37"/>
      <c r="H38" s="51" t="s">
        <v>251</v>
      </c>
      <c r="I38" s="28" t="s">
        <v>252</v>
      </c>
      <c r="J38" s="28" t="s">
        <v>168</v>
      </c>
      <c r="K38" s="29">
        <v>45229</v>
      </c>
      <c r="L38" s="29">
        <v>45229</v>
      </c>
      <c r="M38" s="30" t="s">
        <v>171</v>
      </c>
      <c r="N38"/>
      <c r="O38"/>
      <c r="P38"/>
      <c r="Q38"/>
    </row>
    <row r="39" spans="1:17" s="39" customFormat="1" x14ac:dyDescent="0.25">
      <c r="A39" s="4" t="s">
        <v>206</v>
      </c>
      <c r="B39" s="21" t="s">
        <v>222</v>
      </c>
      <c r="C39" s="22" t="s">
        <v>223</v>
      </c>
      <c r="D39" s="23" t="s">
        <v>170</v>
      </c>
      <c r="E39" s="40">
        <v>45222</v>
      </c>
      <c r="F39" s="36"/>
      <c r="G39" s="37"/>
      <c r="H39" s="52" t="s">
        <v>255</v>
      </c>
      <c r="I39" s="36" t="s">
        <v>130</v>
      </c>
      <c r="J39" s="36" t="s">
        <v>162</v>
      </c>
      <c r="K39" s="40">
        <v>45237</v>
      </c>
      <c r="L39" s="36"/>
      <c r="M39" s="37"/>
      <c r="N39"/>
      <c r="O39"/>
      <c r="P39"/>
      <c r="Q39"/>
    </row>
    <row r="40" spans="1:17" s="39" customFormat="1" x14ac:dyDescent="0.25">
      <c r="A40" s="4" t="s">
        <v>207</v>
      </c>
      <c r="B40" s="31" t="s">
        <v>230</v>
      </c>
      <c r="C40" s="32" t="s">
        <v>231</v>
      </c>
      <c r="D40" s="33" t="s">
        <v>170</v>
      </c>
      <c r="E40" s="29">
        <v>45222</v>
      </c>
      <c r="F40" s="29">
        <v>45222</v>
      </c>
      <c r="G40" s="30" t="s">
        <v>171</v>
      </c>
      <c r="H40" s="51" t="s">
        <v>256</v>
      </c>
      <c r="I40" s="28" t="s">
        <v>257</v>
      </c>
      <c r="J40" s="28" t="s">
        <v>168</v>
      </c>
      <c r="K40" s="29">
        <v>45236</v>
      </c>
      <c r="L40" s="29">
        <v>45251</v>
      </c>
      <c r="M40" s="30"/>
      <c r="N40"/>
      <c r="O40"/>
      <c r="P40"/>
      <c r="Q40"/>
    </row>
    <row r="41" spans="1:17" s="39" customFormat="1" x14ac:dyDescent="0.25">
      <c r="A41" s="4" t="s">
        <v>208</v>
      </c>
      <c r="B41" s="21" t="s">
        <v>232</v>
      </c>
      <c r="C41" s="22" t="s">
        <v>233</v>
      </c>
      <c r="D41" s="23" t="s">
        <v>170</v>
      </c>
      <c r="E41" s="40">
        <v>45222</v>
      </c>
      <c r="F41" s="36"/>
      <c r="G41" s="37"/>
      <c r="H41" s="52" t="s">
        <v>258</v>
      </c>
      <c r="I41" s="36" t="s">
        <v>259</v>
      </c>
      <c r="J41" s="36" t="s">
        <v>169</v>
      </c>
      <c r="K41" s="40">
        <v>45238</v>
      </c>
      <c r="L41" s="36"/>
      <c r="M41" s="37"/>
      <c r="N41"/>
      <c r="O41"/>
      <c r="P41"/>
      <c r="Q41"/>
    </row>
    <row r="42" spans="1:17" s="39" customFormat="1" x14ac:dyDescent="0.25">
      <c r="A42" s="4" t="s">
        <v>209</v>
      </c>
      <c r="B42" s="19" t="s">
        <v>240</v>
      </c>
      <c r="C42" s="20" t="s">
        <v>108</v>
      </c>
      <c r="D42" s="23" t="s">
        <v>170</v>
      </c>
      <c r="E42" s="40">
        <v>45229</v>
      </c>
      <c r="F42" s="36"/>
      <c r="G42" s="37"/>
      <c r="H42" s="52" t="s">
        <v>262</v>
      </c>
      <c r="I42" s="36" t="s">
        <v>263</v>
      </c>
      <c r="J42" s="36" t="s">
        <v>169</v>
      </c>
      <c r="K42" s="40">
        <v>45235</v>
      </c>
      <c r="L42" s="36"/>
      <c r="M42" s="37"/>
      <c r="N42"/>
      <c r="O42"/>
      <c r="P42"/>
      <c r="Q42"/>
    </row>
    <row r="43" spans="1:17" s="39" customFormat="1" x14ac:dyDescent="0.25">
      <c r="A43" s="4" t="s">
        <v>210</v>
      </c>
      <c r="B43" s="27" t="s">
        <v>241</v>
      </c>
      <c r="C43" s="28" t="s">
        <v>242</v>
      </c>
      <c r="D43" s="33" t="s">
        <v>170</v>
      </c>
      <c r="E43" s="29">
        <v>45229</v>
      </c>
      <c r="F43" s="29">
        <v>45237</v>
      </c>
      <c r="G43" s="30"/>
      <c r="H43" s="52" t="s">
        <v>264</v>
      </c>
      <c r="I43" s="36" t="s">
        <v>265</v>
      </c>
      <c r="J43" s="36" t="s">
        <v>169</v>
      </c>
      <c r="K43" s="40">
        <v>45235</v>
      </c>
      <c r="L43" s="36"/>
      <c r="M43" s="37"/>
      <c r="N43"/>
      <c r="O43"/>
      <c r="P43"/>
      <c r="Q43"/>
    </row>
    <row r="44" spans="1:17" x14ac:dyDescent="0.25">
      <c r="A44" s="4" t="s">
        <v>211</v>
      </c>
      <c r="B44" s="19" t="s">
        <v>219</v>
      </c>
      <c r="C44" s="20" t="s">
        <v>117</v>
      </c>
      <c r="D44" s="23" t="s">
        <v>170</v>
      </c>
      <c r="E44" s="40">
        <v>45229</v>
      </c>
      <c r="F44" s="20"/>
      <c r="G44" s="18"/>
      <c r="H44" s="44" t="s">
        <v>255</v>
      </c>
      <c r="I44" s="20" t="s">
        <v>130</v>
      </c>
      <c r="J44" s="17" t="s">
        <v>162</v>
      </c>
      <c r="K44" s="17">
        <v>45237</v>
      </c>
      <c r="L44" s="20"/>
      <c r="M44" s="18"/>
    </row>
    <row r="45" spans="1:17" x14ac:dyDescent="0.25">
      <c r="A45" s="4" t="s">
        <v>212</v>
      </c>
      <c r="B45" s="19" t="s">
        <v>243</v>
      </c>
      <c r="C45" s="20" t="s">
        <v>244</v>
      </c>
      <c r="D45" s="23" t="s">
        <v>170</v>
      </c>
      <c r="E45" s="40">
        <v>45229</v>
      </c>
      <c r="F45" s="20"/>
      <c r="G45" s="18"/>
      <c r="H45" s="52" t="s">
        <v>280</v>
      </c>
      <c r="I45" s="20" t="s">
        <v>191</v>
      </c>
      <c r="J45" s="20" t="s">
        <v>281</v>
      </c>
      <c r="K45" s="17">
        <v>45237</v>
      </c>
      <c r="L45" s="20"/>
      <c r="M45" s="18"/>
    </row>
    <row r="46" spans="1:17" x14ac:dyDescent="0.25">
      <c r="A46" s="4" t="s">
        <v>35</v>
      </c>
      <c r="B46" s="19" t="s">
        <v>245</v>
      </c>
      <c r="C46" s="20" t="s">
        <v>104</v>
      </c>
      <c r="D46" s="23" t="s">
        <v>170</v>
      </c>
      <c r="E46" s="40">
        <v>45229</v>
      </c>
      <c r="F46" s="20"/>
      <c r="G46" s="18"/>
      <c r="H46" s="52" t="s">
        <v>282</v>
      </c>
      <c r="I46" s="20" t="s">
        <v>283</v>
      </c>
      <c r="J46" s="20" t="s">
        <v>169</v>
      </c>
      <c r="K46" s="17">
        <v>45244</v>
      </c>
      <c r="L46" s="20"/>
      <c r="M46" s="18"/>
    </row>
    <row r="47" spans="1:17" x14ac:dyDescent="0.25">
      <c r="A47" s="4" t="s">
        <v>36</v>
      </c>
      <c r="B47" s="19" t="s">
        <v>246</v>
      </c>
      <c r="C47" s="20" t="s">
        <v>247</v>
      </c>
      <c r="D47" s="23" t="s">
        <v>170</v>
      </c>
      <c r="E47" s="40">
        <v>45229</v>
      </c>
      <c r="F47" s="20"/>
      <c r="G47" s="18"/>
      <c r="H47" s="44" t="s">
        <v>286</v>
      </c>
      <c r="I47" s="20" t="s">
        <v>287</v>
      </c>
      <c r="J47" s="20" t="s">
        <v>162</v>
      </c>
      <c r="K47" s="17">
        <v>45250</v>
      </c>
      <c r="L47" s="20"/>
      <c r="M47" s="18"/>
    </row>
    <row r="48" spans="1:17" x14ac:dyDescent="0.25">
      <c r="A48" s="4" t="s">
        <v>37</v>
      </c>
      <c r="B48" s="19" t="s">
        <v>248</v>
      </c>
      <c r="C48" s="20" t="s">
        <v>157</v>
      </c>
      <c r="D48" s="23" t="s">
        <v>170</v>
      </c>
      <c r="E48" s="40">
        <v>45229</v>
      </c>
      <c r="F48" s="20"/>
      <c r="G48" s="18"/>
      <c r="H48" s="53"/>
      <c r="I48" s="41"/>
      <c r="J48" s="41"/>
      <c r="K48" s="42"/>
      <c r="L48" s="41"/>
      <c r="M48" s="43"/>
    </row>
    <row r="49" spans="1:13" x14ac:dyDescent="0.25">
      <c r="A49" s="4" t="s">
        <v>38</v>
      </c>
      <c r="B49" s="19" t="s">
        <v>249</v>
      </c>
      <c r="C49" s="20" t="s">
        <v>250</v>
      </c>
      <c r="D49" s="23" t="s">
        <v>170</v>
      </c>
      <c r="E49" s="40">
        <v>45229</v>
      </c>
      <c r="F49" s="20"/>
      <c r="G49" s="18"/>
      <c r="H49" s="53"/>
      <c r="I49" s="41"/>
      <c r="J49" s="41"/>
      <c r="K49" s="42"/>
      <c r="L49" s="41"/>
      <c r="M49" s="43"/>
    </row>
    <row r="50" spans="1:13" x14ac:dyDescent="0.25">
      <c r="A50" s="4" t="s">
        <v>39</v>
      </c>
      <c r="B50" s="19" t="s">
        <v>129</v>
      </c>
      <c r="C50" s="20" t="s">
        <v>130</v>
      </c>
      <c r="D50" s="23" t="s">
        <v>170</v>
      </c>
      <c r="E50" s="40">
        <v>45229</v>
      </c>
      <c r="F50" s="20"/>
      <c r="G50" s="18"/>
      <c r="H50" s="44"/>
      <c r="I50" s="20"/>
      <c r="J50" s="17"/>
      <c r="K50" s="17"/>
      <c r="L50" s="20"/>
      <c r="M50" s="18"/>
    </row>
    <row r="51" spans="1:13" x14ac:dyDescent="0.25">
      <c r="A51" s="4" t="s">
        <v>40</v>
      </c>
      <c r="B51" s="19" t="s">
        <v>217</v>
      </c>
      <c r="C51" s="20" t="s">
        <v>218</v>
      </c>
      <c r="D51" s="23" t="s">
        <v>170</v>
      </c>
      <c r="E51" s="40">
        <v>45229</v>
      </c>
      <c r="F51" s="20"/>
      <c r="G51" s="18"/>
      <c r="H51" s="52"/>
      <c r="I51" s="20"/>
      <c r="J51" s="20"/>
      <c r="K51" s="17"/>
      <c r="L51" s="20"/>
      <c r="M51" s="18"/>
    </row>
    <row r="52" spans="1:13" x14ac:dyDescent="0.25">
      <c r="A52" s="4" t="s">
        <v>41</v>
      </c>
      <c r="B52" s="19" t="s">
        <v>253</v>
      </c>
      <c r="C52" s="20" t="s">
        <v>225</v>
      </c>
      <c r="D52" s="20" t="s">
        <v>162</v>
      </c>
      <c r="E52" s="17">
        <v>45229</v>
      </c>
      <c r="F52" s="20"/>
      <c r="G52" s="18"/>
      <c r="H52" s="44"/>
      <c r="I52" s="20"/>
      <c r="J52" s="17"/>
      <c r="K52" s="17"/>
      <c r="L52" s="20"/>
      <c r="M52" s="18"/>
    </row>
    <row r="53" spans="1:13" x14ac:dyDescent="0.25">
      <c r="A53" s="4" t="s">
        <v>42</v>
      </c>
      <c r="B53" s="19" t="s">
        <v>260</v>
      </c>
      <c r="C53" s="20" t="s">
        <v>196</v>
      </c>
      <c r="D53" s="20" t="s">
        <v>169</v>
      </c>
      <c r="E53" s="17">
        <v>45238</v>
      </c>
      <c r="F53" s="20"/>
      <c r="G53" s="18"/>
      <c r="H53" s="44"/>
      <c r="I53" s="20"/>
      <c r="J53" s="17"/>
      <c r="K53" s="17"/>
      <c r="L53" s="20"/>
      <c r="M53" s="18"/>
    </row>
    <row r="54" spans="1:13" x14ac:dyDescent="0.25">
      <c r="A54" s="4" t="s">
        <v>43</v>
      </c>
      <c r="B54" s="19" t="s">
        <v>261</v>
      </c>
      <c r="C54" s="20" t="s">
        <v>106</v>
      </c>
      <c r="D54" s="20" t="s">
        <v>169</v>
      </c>
      <c r="E54" s="17">
        <v>45238</v>
      </c>
      <c r="F54" s="20"/>
      <c r="G54" s="18"/>
      <c r="H54" s="44"/>
      <c r="I54" s="20"/>
      <c r="J54" s="17"/>
      <c r="K54" s="17"/>
      <c r="L54" s="20"/>
      <c r="M54" s="18"/>
    </row>
    <row r="55" spans="1:13" x14ac:dyDescent="0.25">
      <c r="A55" s="4" t="s">
        <v>44</v>
      </c>
      <c r="B55" s="38" t="s">
        <v>266</v>
      </c>
      <c r="C55" s="36" t="s">
        <v>190</v>
      </c>
      <c r="D55" s="36" t="s">
        <v>169</v>
      </c>
      <c r="E55" s="40">
        <v>45232</v>
      </c>
      <c r="F55" s="40"/>
      <c r="G55" s="37"/>
      <c r="H55" s="44"/>
      <c r="I55" s="20"/>
      <c r="J55" s="17"/>
      <c r="K55" s="17"/>
      <c r="L55" s="20"/>
      <c r="M55" s="18"/>
    </row>
    <row r="56" spans="1:13" x14ac:dyDescent="0.25">
      <c r="A56" s="4" t="s">
        <v>45</v>
      </c>
      <c r="B56" s="19" t="s">
        <v>249</v>
      </c>
      <c r="C56" s="20" t="s">
        <v>267</v>
      </c>
      <c r="D56" s="20" t="s">
        <v>169</v>
      </c>
      <c r="E56" s="17">
        <v>45235</v>
      </c>
      <c r="F56" s="20"/>
      <c r="G56" s="18"/>
      <c r="H56" s="44"/>
      <c r="I56" s="20"/>
      <c r="J56" s="20"/>
      <c r="K56" s="17"/>
      <c r="L56" s="20"/>
      <c r="M56" s="18"/>
    </row>
    <row r="57" spans="1:13" x14ac:dyDescent="0.25">
      <c r="A57" s="4" t="s">
        <v>46</v>
      </c>
      <c r="B57" s="27" t="s">
        <v>270</v>
      </c>
      <c r="C57" s="28" t="s">
        <v>271</v>
      </c>
      <c r="D57" s="29" t="s">
        <v>168</v>
      </c>
      <c r="E57" s="29">
        <v>45238</v>
      </c>
      <c r="F57" s="41"/>
      <c r="G57" s="30"/>
      <c r="H57" s="44"/>
      <c r="I57" s="20"/>
      <c r="J57" s="20"/>
      <c r="K57" s="20"/>
      <c r="L57" s="20"/>
      <c r="M57" s="18"/>
    </row>
    <row r="58" spans="1:13" x14ac:dyDescent="0.25">
      <c r="A58" s="4" t="s">
        <v>47</v>
      </c>
      <c r="B58" s="19" t="s">
        <v>268</v>
      </c>
      <c r="C58" s="20" t="s">
        <v>273</v>
      </c>
      <c r="D58" s="17" t="s">
        <v>162</v>
      </c>
      <c r="E58" s="17">
        <v>45238</v>
      </c>
      <c r="F58" s="20"/>
      <c r="G58" s="18"/>
      <c r="H58" s="44"/>
      <c r="I58" s="20"/>
      <c r="J58" s="20"/>
      <c r="K58" s="17"/>
      <c r="L58" s="20"/>
      <c r="M58" s="18"/>
    </row>
    <row r="59" spans="1:13" x14ac:dyDescent="0.25">
      <c r="A59" s="4" t="s">
        <v>48</v>
      </c>
      <c r="B59" s="19" t="s">
        <v>269</v>
      </c>
      <c r="C59" s="20" t="s">
        <v>154</v>
      </c>
      <c r="D59" s="17" t="s">
        <v>168</v>
      </c>
      <c r="E59" s="17">
        <v>45231</v>
      </c>
      <c r="F59" s="20"/>
      <c r="G59" s="18"/>
      <c r="H59" s="44"/>
      <c r="I59" s="20"/>
      <c r="J59" s="20"/>
      <c r="K59" s="17"/>
      <c r="L59" s="20"/>
      <c r="M59" s="18"/>
    </row>
    <row r="60" spans="1:13" x14ac:dyDescent="0.25">
      <c r="A60" s="4" t="s">
        <v>49</v>
      </c>
      <c r="B60" s="19" t="s">
        <v>272</v>
      </c>
      <c r="C60" s="20" t="s">
        <v>117</v>
      </c>
      <c r="D60" s="20" t="s">
        <v>169</v>
      </c>
      <c r="E60" s="17">
        <v>45231</v>
      </c>
      <c r="F60" s="20"/>
      <c r="G60" s="18"/>
      <c r="H60" s="44"/>
      <c r="I60" s="20"/>
      <c r="J60" s="20"/>
      <c r="K60" s="20"/>
      <c r="L60" s="20"/>
      <c r="M60" s="18"/>
    </row>
    <row r="61" spans="1:13" x14ac:dyDescent="0.25">
      <c r="A61" s="4" t="s">
        <v>50</v>
      </c>
      <c r="B61" s="19" t="s">
        <v>274</v>
      </c>
      <c r="C61" s="20" t="s">
        <v>277</v>
      </c>
      <c r="D61" s="20" t="s">
        <v>167</v>
      </c>
      <c r="E61" s="17">
        <v>45245</v>
      </c>
      <c r="F61" s="20"/>
      <c r="G61" s="18"/>
      <c r="H61" s="44"/>
      <c r="I61" s="20"/>
      <c r="J61" s="20"/>
      <c r="K61" s="20"/>
      <c r="L61" s="20"/>
      <c r="M61" s="18"/>
    </row>
    <row r="62" spans="1:13" x14ac:dyDescent="0.25">
      <c r="A62" s="4" t="s">
        <v>51</v>
      </c>
      <c r="B62" s="19" t="s">
        <v>275</v>
      </c>
      <c r="C62" s="20" t="s">
        <v>278</v>
      </c>
      <c r="D62" s="20" t="s">
        <v>167</v>
      </c>
      <c r="E62" s="17">
        <v>45245</v>
      </c>
      <c r="F62" s="20"/>
      <c r="G62" s="18"/>
      <c r="H62" s="44"/>
      <c r="I62" s="20"/>
      <c r="J62" s="20"/>
      <c r="K62" s="20"/>
      <c r="L62" s="20"/>
      <c r="M62" s="18"/>
    </row>
    <row r="63" spans="1:13" x14ac:dyDescent="0.25">
      <c r="A63" s="4" t="s">
        <v>52</v>
      </c>
      <c r="B63" s="27" t="s">
        <v>276</v>
      </c>
      <c r="C63" s="28" t="s">
        <v>279</v>
      </c>
      <c r="D63" s="28" t="s">
        <v>167</v>
      </c>
      <c r="E63" s="29">
        <v>45245</v>
      </c>
      <c r="F63" s="41"/>
      <c r="G63" s="30"/>
      <c r="H63" s="44"/>
      <c r="I63" s="20"/>
      <c r="J63" s="20"/>
      <c r="K63" s="20"/>
      <c r="L63" s="20"/>
      <c r="M63" s="18"/>
    </row>
    <row r="64" spans="1:13" x14ac:dyDescent="0.25">
      <c r="A64" s="4" t="s">
        <v>53</v>
      </c>
      <c r="B64" s="19" t="s">
        <v>284</v>
      </c>
      <c r="C64" s="20" t="s">
        <v>285</v>
      </c>
      <c r="D64" s="17" t="s">
        <v>169</v>
      </c>
      <c r="E64" s="17">
        <v>45244</v>
      </c>
      <c r="F64" s="20"/>
      <c r="G64" s="18"/>
      <c r="H64" s="44"/>
      <c r="I64" s="20"/>
      <c r="J64" s="20"/>
      <c r="K64" s="20"/>
      <c r="L64" s="20"/>
      <c r="M64" s="18"/>
    </row>
    <row r="65" spans="1:13" x14ac:dyDescent="0.25">
      <c r="A65" s="4" t="s">
        <v>54</v>
      </c>
      <c r="B65" s="19" t="s">
        <v>288</v>
      </c>
      <c r="C65" s="20" t="s">
        <v>109</v>
      </c>
      <c r="D65" s="20" t="s">
        <v>168</v>
      </c>
      <c r="E65" s="17">
        <v>45245</v>
      </c>
      <c r="F65" s="20"/>
      <c r="G65" s="18"/>
      <c r="H65" s="44"/>
      <c r="I65" s="20"/>
      <c r="J65" s="20"/>
      <c r="K65" s="20"/>
      <c r="L65" s="20"/>
      <c r="M65" s="18"/>
    </row>
    <row r="66" spans="1:13" x14ac:dyDescent="0.25">
      <c r="A66" s="4" t="s">
        <v>55</v>
      </c>
      <c r="B66" s="19" t="s">
        <v>289</v>
      </c>
      <c r="C66" s="20" t="s">
        <v>290</v>
      </c>
      <c r="D66" s="20" t="s">
        <v>162</v>
      </c>
      <c r="E66" s="16">
        <v>45265</v>
      </c>
      <c r="F66" s="20"/>
      <c r="G66" s="18"/>
      <c r="H66" s="44"/>
      <c r="I66" s="20"/>
      <c r="J66" s="20"/>
      <c r="K66" s="20"/>
      <c r="L66" s="20"/>
      <c r="M66" s="18"/>
    </row>
    <row r="67" spans="1:13" x14ac:dyDescent="0.25">
      <c r="A67" s="4" t="s">
        <v>56</v>
      </c>
      <c r="B67" s="14" t="s">
        <v>291</v>
      </c>
      <c r="C67" s="15" t="s">
        <v>292</v>
      </c>
      <c r="D67" s="20" t="s">
        <v>162</v>
      </c>
      <c r="E67" s="16">
        <v>45268</v>
      </c>
      <c r="F67" s="20"/>
      <c r="G67" s="18"/>
      <c r="H67" s="44"/>
      <c r="I67" s="20"/>
      <c r="J67" s="20"/>
      <c r="K67" s="20"/>
      <c r="L67" s="20"/>
      <c r="M67" s="18"/>
    </row>
    <row r="68" spans="1:13" x14ac:dyDescent="0.25">
      <c r="A68" s="4" t="s">
        <v>57</v>
      </c>
      <c r="B68" s="14" t="s">
        <v>293</v>
      </c>
      <c r="C68" s="15" t="s">
        <v>294</v>
      </c>
      <c r="D68" s="20" t="s">
        <v>162</v>
      </c>
      <c r="E68" s="16">
        <v>45268</v>
      </c>
      <c r="F68" s="20"/>
      <c r="G68" s="18"/>
      <c r="H68" s="44"/>
      <c r="I68" s="20"/>
      <c r="J68" s="20"/>
      <c r="K68" s="20"/>
      <c r="L68" s="20"/>
      <c r="M68" s="18"/>
    </row>
    <row r="69" spans="1:13" x14ac:dyDescent="0.25">
      <c r="A69" s="4" t="s">
        <v>58</v>
      </c>
      <c r="B69" s="14" t="s">
        <v>295</v>
      </c>
      <c r="C69" s="15" t="s">
        <v>290</v>
      </c>
      <c r="D69" s="20" t="s">
        <v>162</v>
      </c>
      <c r="E69" s="16">
        <v>45272</v>
      </c>
      <c r="F69" s="20"/>
      <c r="G69" s="18"/>
      <c r="H69" s="44"/>
      <c r="I69" s="20"/>
      <c r="J69" s="20"/>
      <c r="K69" s="20"/>
      <c r="L69" s="20"/>
      <c r="M69" s="18"/>
    </row>
    <row r="70" spans="1:13" x14ac:dyDescent="0.25">
      <c r="A70" s="4" t="s">
        <v>59</v>
      </c>
      <c r="B70" s="14" t="s">
        <v>296</v>
      </c>
      <c r="C70" s="15" t="s">
        <v>134</v>
      </c>
      <c r="D70" s="20" t="s">
        <v>162</v>
      </c>
      <c r="E70" s="16">
        <v>45272</v>
      </c>
      <c r="F70" s="20"/>
      <c r="G70" s="18"/>
      <c r="H70" s="44"/>
      <c r="I70" s="20"/>
      <c r="J70" s="20"/>
      <c r="K70" s="20"/>
      <c r="L70" s="20"/>
      <c r="M70" s="18"/>
    </row>
    <row r="71" spans="1:13" x14ac:dyDescent="0.25">
      <c r="A71" s="4" t="s">
        <v>60</v>
      </c>
      <c r="B71" s="19" t="s">
        <v>297</v>
      </c>
      <c r="C71" s="20" t="s">
        <v>127</v>
      </c>
      <c r="D71" s="20" t="s">
        <v>167</v>
      </c>
      <c r="E71" s="17">
        <v>45245</v>
      </c>
      <c r="F71" s="20"/>
      <c r="G71" s="18"/>
      <c r="H71" s="44"/>
      <c r="I71" s="20"/>
      <c r="J71" s="20"/>
      <c r="K71" s="20"/>
      <c r="L71" s="20"/>
      <c r="M71" s="18"/>
    </row>
    <row r="72" spans="1:13" x14ac:dyDescent="0.25">
      <c r="A72" s="4" t="s">
        <v>61</v>
      </c>
      <c r="B72" s="19" t="s">
        <v>298</v>
      </c>
      <c r="C72" s="20" t="s">
        <v>299</v>
      </c>
      <c r="D72" s="20" t="s">
        <v>167</v>
      </c>
      <c r="E72" s="17">
        <v>45245</v>
      </c>
      <c r="F72" s="20"/>
      <c r="G72" s="18"/>
      <c r="H72" s="44"/>
      <c r="I72" s="20"/>
      <c r="J72" s="20"/>
      <c r="K72" s="20"/>
      <c r="L72" s="20"/>
      <c r="M72" s="18"/>
    </row>
    <row r="73" spans="1:13" x14ac:dyDescent="0.25">
      <c r="A73" s="4" t="s">
        <v>62</v>
      </c>
      <c r="B73" s="46" t="s">
        <v>300</v>
      </c>
      <c r="C73" s="45" t="s">
        <v>130</v>
      </c>
      <c r="D73" s="20" t="s">
        <v>304</v>
      </c>
      <c r="E73" s="17">
        <v>45261</v>
      </c>
      <c r="F73" s="20"/>
      <c r="G73" s="18"/>
      <c r="H73" s="44"/>
      <c r="I73" s="20"/>
      <c r="J73" s="20"/>
      <c r="K73" s="20"/>
      <c r="L73" s="20"/>
      <c r="M73" s="18"/>
    </row>
    <row r="74" spans="1:13" x14ac:dyDescent="0.25">
      <c r="A74" s="4" t="s">
        <v>63</v>
      </c>
      <c r="B74" s="46" t="s">
        <v>301</v>
      </c>
      <c r="C74" s="45" t="s">
        <v>302</v>
      </c>
      <c r="D74" s="20" t="s">
        <v>304</v>
      </c>
      <c r="E74" s="17">
        <v>45261</v>
      </c>
      <c r="F74" s="20"/>
      <c r="G74" s="18"/>
      <c r="H74" s="44"/>
      <c r="I74" s="20"/>
      <c r="J74" s="20"/>
      <c r="K74" s="20"/>
      <c r="L74" s="20"/>
      <c r="M74" s="18"/>
    </row>
    <row r="75" spans="1:13" x14ac:dyDescent="0.25">
      <c r="A75" s="4" t="s">
        <v>64</v>
      </c>
      <c r="B75" s="46" t="s">
        <v>303</v>
      </c>
      <c r="C75" s="45" t="s">
        <v>233</v>
      </c>
      <c r="D75" s="20" t="s">
        <v>304</v>
      </c>
      <c r="E75" s="17">
        <v>45264</v>
      </c>
      <c r="F75" s="20"/>
      <c r="G75" s="18"/>
      <c r="H75" s="44"/>
      <c r="I75" s="20"/>
      <c r="J75" s="20"/>
      <c r="K75" s="20"/>
      <c r="L75" s="20"/>
      <c r="M75" s="18"/>
    </row>
    <row r="76" spans="1:13" x14ac:dyDescent="0.25">
      <c r="A76" s="4" t="s">
        <v>65</v>
      </c>
      <c r="B76" s="14" t="s">
        <v>305</v>
      </c>
      <c r="C76" s="15" t="s">
        <v>306</v>
      </c>
      <c r="D76" s="20" t="s">
        <v>169</v>
      </c>
      <c r="E76" s="17">
        <v>45257</v>
      </c>
      <c r="F76" s="20"/>
      <c r="G76" s="18"/>
      <c r="H76" s="44"/>
      <c r="I76" s="20"/>
      <c r="J76" s="20"/>
      <c r="K76" s="20"/>
      <c r="L76" s="20"/>
      <c r="M76" s="18"/>
    </row>
    <row r="77" spans="1:13" x14ac:dyDescent="0.25">
      <c r="A77" s="4" t="s">
        <v>66</v>
      </c>
      <c r="B77" s="14" t="s">
        <v>307</v>
      </c>
      <c r="C77" s="15" t="s">
        <v>308</v>
      </c>
      <c r="D77" s="20" t="s">
        <v>169</v>
      </c>
      <c r="E77" s="17">
        <v>45257</v>
      </c>
      <c r="F77" s="20"/>
      <c r="G77" s="18"/>
      <c r="H77" s="44"/>
      <c r="I77" s="20"/>
      <c r="J77" s="20"/>
      <c r="K77" s="20"/>
      <c r="L77" s="20"/>
      <c r="M77" s="18"/>
    </row>
    <row r="78" spans="1:13" x14ac:dyDescent="0.25">
      <c r="A78" s="4" t="s">
        <v>67</v>
      </c>
      <c r="B78" s="55"/>
      <c r="C78" s="41"/>
      <c r="D78" s="41"/>
      <c r="E78" s="41"/>
      <c r="F78" s="41"/>
      <c r="G78" s="43"/>
      <c r="H78" s="44"/>
      <c r="I78" s="20"/>
      <c r="J78" s="20"/>
      <c r="K78" s="20"/>
      <c r="L78" s="20"/>
      <c r="M78" s="18"/>
    </row>
    <row r="79" spans="1:13" x14ac:dyDescent="0.25">
      <c r="A79" s="4" t="s">
        <v>68</v>
      </c>
      <c r="B79" s="19"/>
      <c r="C79" s="20"/>
      <c r="D79" s="20"/>
      <c r="E79" s="20"/>
      <c r="F79" s="20"/>
      <c r="G79" s="18"/>
      <c r="H79" s="44"/>
      <c r="I79" s="20"/>
      <c r="J79" s="20"/>
      <c r="K79" s="20"/>
      <c r="L79" s="20"/>
      <c r="M79" s="18"/>
    </row>
    <row r="80" spans="1:13" x14ac:dyDescent="0.25">
      <c r="A80" s="4" t="s">
        <v>69</v>
      </c>
      <c r="B80" s="19"/>
      <c r="C80" s="20"/>
      <c r="D80" s="20"/>
      <c r="E80" s="20"/>
      <c r="F80" s="20"/>
      <c r="G80" s="18"/>
      <c r="H80" s="44"/>
      <c r="I80" s="20"/>
      <c r="J80" s="20"/>
      <c r="K80" s="20"/>
      <c r="L80" s="20"/>
      <c r="M80" s="18"/>
    </row>
    <row r="81" spans="1:13" x14ac:dyDescent="0.25">
      <c r="A81" s="4" t="s">
        <v>70</v>
      </c>
      <c r="B81" s="19"/>
      <c r="C81" s="20"/>
      <c r="D81" s="20"/>
      <c r="E81" s="20"/>
      <c r="F81" s="20"/>
      <c r="G81" s="18"/>
      <c r="H81" s="44"/>
      <c r="I81" s="20"/>
      <c r="J81" s="20"/>
      <c r="K81" s="20"/>
      <c r="L81" s="20"/>
      <c r="M81" s="18"/>
    </row>
    <row r="82" spans="1:13" x14ac:dyDescent="0.25">
      <c r="A82" s="4" t="s">
        <v>71</v>
      </c>
      <c r="B82" s="19"/>
      <c r="C82" s="20"/>
      <c r="D82" s="20"/>
      <c r="E82" s="20"/>
      <c r="F82" s="20"/>
      <c r="G82" s="18"/>
      <c r="H82" s="44"/>
      <c r="I82" s="20"/>
      <c r="J82" s="20"/>
      <c r="K82" s="20"/>
      <c r="L82" s="20"/>
      <c r="M82" s="18"/>
    </row>
    <row r="83" spans="1:13" x14ac:dyDescent="0.25">
      <c r="A83" s="4" t="s">
        <v>72</v>
      </c>
      <c r="B83" s="19"/>
      <c r="C83" s="20"/>
      <c r="D83" s="20"/>
      <c r="E83" s="20"/>
      <c r="F83" s="20"/>
      <c r="G83" s="18"/>
      <c r="H83" s="44"/>
      <c r="I83" s="20"/>
      <c r="J83" s="20"/>
      <c r="K83" s="20"/>
      <c r="L83" s="20"/>
      <c r="M83" s="18"/>
    </row>
    <row r="84" spans="1:13" x14ac:dyDescent="0.25">
      <c r="A84" s="4" t="s">
        <v>73</v>
      </c>
      <c r="B84" s="19"/>
      <c r="C84" s="20"/>
      <c r="D84" s="20"/>
      <c r="E84" s="20"/>
      <c r="F84" s="20"/>
      <c r="G84" s="18"/>
      <c r="H84" s="44"/>
      <c r="I84" s="20"/>
      <c r="J84" s="20"/>
      <c r="K84" s="20"/>
      <c r="L84" s="20"/>
      <c r="M84" s="18"/>
    </row>
    <row r="85" spans="1:13" x14ac:dyDescent="0.25">
      <c r="A85" s="4" t="s">
        <v>74</v>
      </c>
      <c r="B85" s="19"/>
      <c r="C85" s="20"/>
      <c r="D85" s="20"/>
      <c r="E85" s="20"/>
      <c r="F85" s="20"/>
      <c r="G85" s="18"/>
      <c r="H85" s="44"/>
      <c r="I85" s="20"/>
      <c r="J85" s="20"/>
      <c r="K85" s="20"/>
      <c r="L85" s="20"/>
      <c r="M85" s="18"/>
    </row>
    <row r="86" spans="1:13" x14ac:dyDescent="0.25">
      <c r="A86" s="4" t="s">
        <v>75</v>
      </c>
      <c r="B86" s="19"/>
      <c r="C86" s="20"/>
      <c r="D86" s="20"/>
      <c r="E86" s="20"/>
      <c r="F86" s="20"/>
      <c r="G86" s="18"/>
      <c r="H86" s="44"/>
      <c r="I86" s="20"/>
      <c r="J86" s="20"/>
      <c r="K86" s="20"/>
      <c r="L86" s="20"/>
      <c r="M86" s="18"/>
    </row>
    <row r="87" spans="1:13" x14ac:dyDescent="0.25">
      <c r="A87" s="4" t="s">
        <v>76</v>
      </c>
      <c r="B87" s="19"/>
      <c r="C87" s="20"/>
      <c r="D87" s="20"/>
      <c r="E87" s="20"/>
      <c r="F87" s="20"/>
      <c r="G87" s="18"/>
      <c r="H87" s="44"/>
      <c r="I87" s="20"/>
      <c r="J87" s="20"/>
      <c r="K87" s="20"/>
      <c r="L87" s="20"/>
      <c r="M87" s="18"/>
    </row>
    <row r="88" spans="1:13" x14ac:dyDescent="0.25">
      <c r="A88" s="4" t="s">
        <v>77</v>
      </c>
      <c r="B88" s="19"/>
      <c r="C88" s="20"/>
      <c r="D88" s="20"/>
      <c r="E88" s="20"/>
      <c r="F88" s="20"/>
      <c r="G88" s="18"/>
      <c r="H88" s="44"/>
      <c r="I88" s="20"/>
      <c r="J88" s="20"/>
      <c r="K88" s="20"/>
      <c r="L88" s="20"/>
      <c r="M88" s="18"/>
    </row>
    <row r="89" spans="1:13" x14ac:dyDescent="0.25">
      <c r="A89" s="4" t="s">
        <v>78</v>
      </c>
      <c r="B89" s="19"/>
      <c r="C89" s="20"/>
      <c r="D89" s="20"/>
      <c r="E89" s="20"/>
      <c r="F89" s="20"/>
      <c r="G89" s="18"/>
      <c r="H89" s="44"/>
      <c r="I89" s="20"/>
      <c r="J89" s="20"/>
      <c r="K89" s="20"/>
      <c r="L89" s="20"/>
      <c r="M89" s="18"/>
    </row>
    <row r="90" spans="1:13" x14ac:dyDescent="0.25">
      <c r="A90" s="4" t="s">
        <v>79</v>
      </c>
      <c r="B90" s="19"/>
      <c r="C90" s="20"/>
      <c r="D90" s="20"/>
      <c r="E90" s="20"/>
      <c r="F90" s="20"/>
      <c r="G90" s="18"/>
      <c r="H90" s="44"/>
      <c r="I90" s="20"/>
      <c r="J90" s="20"/>
      <c r="K90" s="20"/>
      <c r="L90" s="20"/>
      <c r="M90" s="18"/>
    </row>
    <row r="91" spans="1:13" x14ac:dyDescent="0.25">
      <c r="A91" s="4" t="s">
        <v>80</v>
      </c>
      <c r="B91" s="19"/>
      <c r="C91" s="20"/>
      <c r="D91" s="20"/>
      <c r="E91" s="20"/>
      <c r="F91" s="20"/>
      <c r="G91" s="18"/>
      <c r="H91" s="44"/>
      <c r="I91" s="20"/>
      <c r="J91" s="20"/>
      <c r="K91" s="20"/>
      <c r="L91" s="20"/>
      <c r="M91" s="18"/>
    </row>
    <row r="92" spans="1:13" x14ac:dyDescent="0.25">
      <c r="A92" s="4" t="s">
        <v>81</v>
      </c>
      <c r="B92" s="19"/>
      <c r="C92" s="20"/>
      <c r="D92" s="20"/>
      <c r="E92" s="20"/>
      <c r="F92" s="20"/>
      <c r="G92" s="18"/>
      <c r="H92" s="44"/>
      <c r="I92" s="20"/>
      <c r="J92" s="20"/>
      <c r="K92" s="20"/>
      <c r="L92" s="20"/>
      <c r="M92" s="18"/>
    </row>
    <row r="93" spans="1:13" x14ac:dyDescent="0.25">
      <c r="A93" s="4" t="s">
        <v>82</v>
      </c>
      <c r="B93" s="19"/>
      <c r="C93" s="20"/>
      <c r="D93" s="20"/>
      <c r="E93" s="20"/>
      <c r="F93" s="20"/>
      <c r="G93" s="18"/>
      <c r="H93" s="44"/>
      <c r="I93" s="20"/>
      <c r="J93" s="20"/>
      <c r="K93" s="20"/>
      <c r="L93" s="20"/>
      <c r="M93" s="18"/>
    </row>
    <row r="94" spans="1:13" x14ac:dyDescent="0.25">
      <c r="A94" s="4" t="s">
        <v>83</v>
      </c>
      <c r="B94" s="19"/>
      <c r="C94" s="20"/>
      <c r="D94" s="20"/>
      <c r="E94" s="20"/>
      <c r="F94" s="20"/>
      <c r="G94" s="18"/>
      <c r="H94" s="44"/>
      <c r="I94" s="20"/>
      <c r="J94" s="20"/>
      <c r="K94" s="20"/>
      <c r="L94" s="20"/>
      <c r="M94" s="18"/>
    </row>
    <row r="95" spans="1:13" x14ac:dyDescent="0.25">
      <c r="A95" s="4" t="s">
        <v>84</v>
      </c>
      <c r="B95" s="19"/>
      <c r="C95" s="20"/>
      <c r="D95" s="20"/>
      <c r="E95" s="20"/>
      <c r="F95" s="20"/>
      <c r="G95" s="18"/>
      <c r="H95" s="44"/>
      <c r="I95" s="20"/>
      <c r="J95" s="20"/>
      <c r="K95" s="20"/>
      <c r="L95" s="20"/>
      <c r="M95" s="18"/>
    </row>
    <row r="96" spans="1:13" x14ac:dyDescent="0.25">
      <c r="A96" s="4" t="s">
        <v>85</v>
      </c>
      <c r="B96" s="19"/>
      <c r="C96" s="20"/>
      <c r="D96" s="20"/>
      <c r="E96" s="20"/>
      <c r="F96" s="20"/>
      <c r="G96" s="18"/>
      <c r="H96" s="44"/>
      <c r="I96" s="20"/>
      <c r="J96" s="20"/>
      <c r="K96" s="20"/>
      <c r="L96" s="20"/>
      <c r="M96" s="18"/>
    </row>
    <row r="97" spans="1:13" x14ac:dyDescent="0.25">
      <c r="A97" s="4" t="s">
        <v>86</v>
      </c>
      <c r="B97" s="19"/>
      <c r="C97" s="20"/>
      <c r="D97" s="20"/>
      <c r="E97" s="20"/>
      <c r="F97" s="20"/>
      <c r="G97" s="18"/>
      <c r="H97" s="44"/>
      <c r="I97" s="20"/>
      <c r="J97" s="20"/>
      <c r="K97" s="20"/>
      <c r="L97" s="20"/>
      <c r="M97" s="18"/>
    </row>
    <row r="98" spans="1:13" ht="15.75" thickBot="1" x14ac:dyDescent="0.3">
      <c r="A98" s="4" t="s">
        <v>87</v>
      </c>
      <c r="B98" s="24"/>
      <c r="C98" s="25"/>
      <c r="D98" s="25"/>
      <c r="E98" s="25"/>
      <c r="F98" s="25"/>
      <c r="G98" s="26"/>
      <c r="H98" s="54"/>
      <c r="I98" s="25"/>
      <c r="J98" s="25"/>
      <c r="K98" s="25"/>
      <c r="L98" s="25"/>
      <c r="M98" s="26"/>
    </row>
    <row r="1048576" spans="5:5" x14ac:dyDescent="0.25">
      <c r="E1048576" s="40"/>
    </row>
  </sheetData>
  <sortState xmlns:xlrd2="http://schemas.microsoft.com/office/spreadsheetml/2017/richdata2" ref="A1:M1048576">
    <sortCondition ref="K9:K98"/>
  </sortState>
  <mergeCells count="3">
    <mergeCell ref="B2:M4"/>
    <mergeCell ref="B5:G6"/>
    <mergeCell ref="H5:M6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6F50-FA1C-465A-87D8-ED2C3BA0942B}">
  <dimension ref="A3:X14"/>
  <sheetViews>
    <sheetView tabSelected="1" topLeftCell="E1" workbookViewId="0">
      <selection activeCell="O10" sqref="O10"/>
    </sheetView>
  </sheetViews>
  <sheetFormatPr defaultRowHeight="15" x14ac:dyDescent="0.25"/>
  <cols>
    <col min="3" max="6" width="18.28515625" customWidth="1"/>
    <col min="11" max="17" width="9" customWidth="1"/>
    <col min="18" max="18" width="18.140625" customWidth="1"/>
  </cols>
  <sheetData>
    <row r="3" spans="1:24" ht="15.75" thickBot="1" x14ac:dyDescent="0.3"/>
    <row r="4" spans="1:24" x14ac:dyDescent="0.25">
      <c r="C4" s="74" t="s">
        <v>90</v>
      </c>
      <c r="D4" s="75"/>
      <c r="E4" s="74" t="s">
        <v>1</v>
      </c>
      <c r="F4" s="75"/>
      <c r="K4" s="81" t="s">
        <v>312</v>
      </c>
      <c r="L4" s="81"/>
      <c r="M4" s="82"/>
      <c r="O4" s="83" t="s">
        <v>311</v>
      </c>
      <c r="P4" s="84"/>
      <c r="Q4" s="85"/>
    </row>
    <row r="5" spans="1:24" ht="15.75" thickBot="1" x14ac:dyDescent="0.3">
      <c r="C5" s="76"/>
      <c r="D5" s="77"/>
      <c r="E5" s="76"/>
      <c r="F5" s="77"/>
      <c r="K5" s="45">
        <v>85</v>
      </c>
      <c r="L5" s="45">
        <v>90</v>
      </c>
      <c r="M5" s="45">
        <v>3000</v>
      </c>
      <c r="O5" s="45">
        <v>75</v>
      </c>
      <c r="P5" s="45">
        <v>85</v>
      </c>
      <c r="Q5" s="45">
        <v>3000</v>
      </c>
    </row>
    <row r="6" spans="1:24" x14ac:dyDescent="0.25">
      <c r="A6" t="s">
        <v>309</v>
      </c>
      <c r="B6" s="56">
        <v>45638</v>
      </c>
      <c r="C6" s="34" t="s">
        <v>91</v>
      </c>
      <c r="D6" s="34">
        <v>70</v>
      </c>
      <c r="E6" s="34" t="s">
        <v>91</v>
      </c>
      <c r="F6" s="34">
        <v>40</v>
      </c>
      <c r="G6" t="s">
        <v>309</v>
      </c>
      <c r="H6" t="s">
        <v>310</v>
      </c>
      <c r="K6" s="45">
        <v>90</v>
      </c>
      <c r="L6" s="45">
        <v>95</v>
      </c>
      <c r="M6" s="45">
        <v>5000</v>
      </c>
      <c r="O6" s="45">
        <v>85</v>
      </c>
      <c r="P6" s="45">
        <v>95</v>
      </c>
      <c r="Q6" s="45">
        <v>5000</v>
      </c>
    </row>
    <row r="7" spans="1:24" x14ac:dyDescent="0.25">
      <c r="C7" s="20" t="s">
        <v>92</v>
      </c>
      <c r="D7" s="20">
        <v>16</v>
      </c>
      <c r="E7" s="20" t="s">
        <v>92</v>
      </c>
      <c r="F7" s="20">
        <v>15</v>
      </c>
      <c r="K7" s="45">
        <v>95</v>
      </c>
      <c r="L7" s="45">
        <v>100</v>
      </c>
      <c r="M7" s="45">
        <v>8000</v>
      </c>
      <c r="O7" s="45">
        <v>95</v>
      </c>
      <c r="P7" s="45">
        <v>100</v>
      </c>
      <c r="Q7" s="45">
        <v>8000</v>
      </c>
    </row>
    <row r="8" spans="1:24" x14ac:dyDescent="0.25">
      <c r="C8" s="20" t="s">
        <v>93</v>
      </c>
      <c r="D8" s="20">
        <v>7</v>
      </c>
      <c r="E8" s="20" t="s">
        <v>93</v>
      </c>
      <c r="F8" s="20">
        <v>4</v>
      </c>
    </row>
    <row r="9" spans="1:24" ht="15.75" thickBot="1" x14ac:dyDescent="0.3">
      <c r="C9" s="20" t="s">
        <v>94</v>
      </c>
      <c r="D9" s="35">
        <f>(D6-D7-D8)/D6*100</f>
        <v>67.142857142857139</v>
      </c>
      <c r="E9" s="20" t="s">
        <v>94</v>
      </c>
      <c r="F9" s="35">
        <f>(F6-F7-F8)/F6*100</f>
        <v>52.5</v>
      </c>
    </row>
    <row r="10" spans="1:24" ht="15.75" thickBot="1" x14ac:dyDescent="0.3">
      <c r="K10" s="78" t="s">
        <v>314</v>
      </c>
      <c r="L10" s="79"/>
      <c r="M10" s="80"/>
      <c r="N10" s="57"/>
      <c r="O10" s="57"/>
      <c r="P10" s="57"/>
      <c r="Q10" s="57"/>
      <c r="S10" s="57">
        <v>123</v>
      </c>
      <c r="T10" s="57">
        <v>456</v>
      </c>
      <c r="U10" s="57">
        <v>789</v>
      </c>
      <c r="V10" s="57">
        <v>101112</v>
      </c>
      <c r="W10" s="57"/>
      <c r="X10" s="57"/>
    </row>
    <row r="11" spans="1:24" x14ac:dyDescent="0.25">
      <c r="K11" s="86" t="s">
        <v>315</v>
      </c>
      <c r="L11" s="86"/>
      <c r="M11" s="86"/>
      <c r="S11" s="57" t="s">
        <v>313</v>
      </c>
      <c r="T11" s="57"/>
      <c r="U11" s="57"/>
      <c r="V11" s="57"/>
      <c r="W11" s="57"/>
      <c r="X11" s="57"/>
    </row>
    <row r="12" spans="1:24" x14ac:dyDescent="0.25">
      <c r="K12" s="87" t="s">
        <v>316</v>
      </c>
      <c r="L12" s="87"/>
      <c r="M12" s="87"/>
      <c r="S12" s="57" t="s">
        <v>313</v>
      </c>
      <c r="T12" s="57"/>
      <c r="U12" s="57"/>
      <c r="V12" s="57"/>
      <c r="W12" s="57"/>
      <c r="X12" s="57"/>
    </row>
    <row r="14" spans="1:24" x14ac:dyDescent="0.25">
      <c r="K14" s="73"/>
      <c r="L14" s="73"/>
      <c r="M14" s="73"/>
      <c r="O14" s="73"/>
      <c r="P14" s="73"/>
      <c r="Q14" s="73"/>
    </row>
  </sheetData>
  <mergeCells count="9">
    <mergeCell ref="K14:M14"/>
    <mergeCell ref="O14:Q14"/>
    <mergeCell ref="C4:D5"/>
    <mergeCell ref="E4:F5"/>
    <mergeCell ref="K10:M10"/>
    <mergeCell ref="K4:M4"/>
    <mergeCell ref="O4:Q4"/>
    <mergeCell ref="K11:M11"/>
    <mergeCell ref="K12:M1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evidence vstup - výstup</vt:lpstr>
      <vt:lpstr>bilance náborářek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Radoslav David</cp:lastModifiedBy>
  <dcterms:created xsi:type="dcterms:W3CDTF">2015-06-05T18:19:34Z</dcterms:created>
  <dcterms:modified xsi:type="dcterms:W3CDTF">2024-01-08T11:14:16Z</dcterms:modified>
</cp:coreProperties>
</file>