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8_{D460CF71-D5EE-4582-A67A-E64E5FA1AD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eznam osob s č_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6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</calcChain>
</file>

<file path=xl/sharedStrings.xml><?xml version="1.0" encoding="utf-8"?>
<sst xmlns="http://schemas.openxmlformats.org/spreadsheetml/2006/main" count="646" uniqueCount="576">
  <si>
    <t>Osobní číslo</t>
  </si>
  <si>
    <t>Osoba</t>
  </si>
  <si>
    <t>0289821104</t>
  </si>
  <si>
    <t>0315321954</t>
  </si>
  <si>
    <t>0301165689</t>
  </si>
  <si>
    <t>0272698616</t>
  </si>
  <si>
    <t>0289821261</t>
  </si>
  <si>
    <t>0315321918</t>
  </si>
  <si>
    <t>0272698647</t>
  </si>
  <si>
    <t>0227604194</t>
  </si>
  <si>
    <t>0315321940</t>
  </si>
  <si>
    <t>0370042379</t>
  </si>
  <si>
    <t>0301180452</t>
  </si>
  <si>
    <t>0301166942</t>
  </si>
  <si>
    <t>0315321941</t>
  </si>
  <si>
    <t>0328604658</t>
  </si>
  <si>
    <t>0328608672</t>
  </si>
  <si>
    <t>0301165667</t>
  </si>
  <si>
    <t>0315325893</t>
  </si>
  <si>
    <t>0328608668</t>
  </si>
  <si>
    <t>0301166883</t>
  </si>
  <si>
    <t>0301180636</t>
  </si>
  <si>
    <t>0328608651</t>
  </si>
  <si>
    <t>0328608658</t>
  </si>
  <si>
    <t>0328608677</t>
  </si>
  <si>
    <t>0272698648</t>
  </si>
  <si>
    <t>0301165649</t>
  </si>
  <si>
    <t>0370053055</t>
  </si>
  <si>
    <t>0301162261</t>
  </si>
  <si>
    <t>0315325883</t>
  </si>
  <si>
    <t>0315325856</t>
  </si>
  <si>
    <t>0301180379</t>
  </si>
  <si>
    <t>0315321893</t>
  </si>
  <si>
    <t>0328604588</t>
  </si>
  <si>
    <t>0301166901</t>
  </si>
  <si>
    <t>0289896649</t>
  </si>
  <si>
    <t>0328432914</t>
  </si>
  <si>
    <t>0328443809</t>
  </si>
  <si>
    <t>0328443818</t>
  </si>
  <si>
    <t>0289896688</t>
  </si>
  <si>
    <t>0328611446</t>
  </si>
  <si>
    <t>0301162243</t>
  </si>
  <si>
    <t>0289910254</t>
  </si>
  <si>
    <t>0348323412</t>
  </si>
  <si>
    <t>0348342948</t>
  </si>
  <si>
    <t>0348342254</t>
  </si>
  <si>
    <t>0348333056</t>
  </si>
  <si>
    <t>0301166922</t>
  </si>
  <si>
    <t>0328443816</t>
  </si>
  <si>
    <t>0348338812</t>
  </si>
  <si>
    <t>0370025477</t>
  </si>
  <si>
    <t>0328608648</t>
  </si>
  <si>
    <t>0328432923</t>
  </si>
  <si>
    <t>0348342408</t>
  </si>
  <si>
    <t>0301165651</t>
  </si>
  <si>
    <t>0301162227</t>
  </si>
  <si>
    <t>0370035234</t>
  </si>
  <si>
    <t>0348330448</t>
  </si>
  <si>
    <t>0289896686</t>
  </si>
  <si>
    <t>0328432680</t>
  </si>
  <si>
    <t>0370037121</t>
  </si>
  <si>
    <t>0328608644</t>
  </si>
  <si>
    <t>0370026717</t>
  </si>
  <si>
    <t>0370042869</t>
  </si>
  <si>
    <t>0370041446</t>
  </si>
  <si>
    <t>0301172992</t>
  </si>
  <si>
    <t>0301173036</t>
  </si>
  <si>
    <t>0216795672</t>
  </si>
  <si>
    <t>0328432941</t>
  </si>
  <si>
    <t>0370059270</t>
  </si>
  <si>
    <t>0301172956</t>
  </si>
  <si>
    <t>0370026025</t>
  </si>
  <si>
    <t>0301172958</t>
  </si>
  <si>
    <t>0301162049</t>
  </si>
  <si>
    <t>0301180406</t>
  </si>
  <si>
    <t>0301173069</t>
  </si>
  <si>
    <t>0370049130</t>
  </si>
  <si>
    <t>0301162320</t>
  </si>
  <si>
    <t>0301173029</t>
  </si>
  <si>
    <t>0301162084</t>
  </si>
  <si>
    <t>0370023455</t>
  </si>
  <si>
    <t>0328454857</t>
  </si>
  <si>
    <t>0328443824</t>
  </si>
  <si>
    <t>0370041265</t>
  </si>
  <si>
    <t>0370028638</t>
  </si>
  <si>
    <t>0301162047</t>
  </si>
  <si>
    <t>0301165646</t>
  </si>
  <si>
    <t>0370026929</t>
  </si>
  <si>
    <t>0301162065</t>
  </si>
  <si>
    <t>0348314735</t>
  </si>
  <si>
    <t>0328443823</t>
  </si>
  <si>
    <t>0301180517</t>
  </si>
  <si>
    <t>0301165671</t>
  </si>
  <si>
    <t>0328454862</t>
  </si>
  <si>
    <t>0315325884</t>
  </si>
  <si>
    <t>0348325352</t>
  </si>
  <si>
    <t>0348334221</t>
  </si>
  <si>
    <t>0301172955</t>
  </si>
  <si>
    <t>0301172878</t>
  </si>
  <si>
    <t>2109</t>
  </si>
  <si>
    <t>Telefon</t>
  </si>
  <si>
    <t>48 08 856 147</t>
  </si>
  <si>
    <t>Adresa</t>
  </si>
  <si>
    <t xml:space="preserve">Turystyczna 5/14, Jastrzebie-Zdrój, 44-335  </t>
  </si>
  <si>
    <t>2738</t>
  </si>
  <si>
    <t xml:space="preserve">48 730 766 849 </t>
  </si>
  <si>
    <t>Slaska 11/13, Jastrzebie-Zdrój, 44-335</t>
  </si>
  <si>
    <t xml:space="preserve">48 739 218 695 </t>
  </si>
  <si>
    <t>2069</t>
  </si>
  <si>
    <t xml:space="preserve">Promienna 5/201, Zory, 44-240 </t>
  </si>
  <si>
    <t>2230</t>
  </si>
  <si>
    <t xml:space="preserve">Wiejska 21, Jastrzebie-Zdroj, 44-338  </t>
  </si>
  <si>
    <t>770 664 657</t>
  </si>
  <si>
    <t>2945</t>
  </si>
  <si>
    <t xml:space="preserve"> Hrnčířská 2003, Rožnov pod Radhoštěm, 756 61</t>
  </si>
  <si>
    <t xml:space="preserve">48 574 677 081    </t>
  </si>
  <si>
    <t>5175</t>
  </si>
  <si>
    <t>Turystyczna 1, Jastrzebie-Zdrój, 44-335</t>
  </si>
  <si>
    <t>48 693 474 209</t>
  </si>
  <si>
    <t>3257</t>
  </si>
  <si>
    <t>Wiejska 9 A m.1, Jastrzebie-Zdrój, 44-338</t>
  </si>
  <si>
    <t xml:space="preserve">48 609 564 610  </t>
  </si>
  <si>
    <t>3273</t>
  </si>
  <si>
    <t xml:space="preserve"> Powstancow Slaskich 244, Skrzyszow, 44-348</t>
  </si>
  <si>
    <t xml:space="preserve">720 578 148   </t>
  </si>
  <si>
    <t>Závodní 409/53, Ostrava - Hrabůvka, 700 30</t>
  </si>
  <si>
    <t>3369</t>
  </si>
  <si>
    <t>3396</t>
  </si>
  <si>
    <t xml:space="preserve">48 537 065 617 </t>
  </si>
  <si>
    <t>osiedle 1000-lecia 18/7, Jasrtzebie-zdroj, 44-268</t>
  </si>
  <si>
    <t xml:space="preserve">48 513 278 184    </t>
  </si>
  <si>
    <t>3394</t>
  </si>
  <si>
    <t>osiedle 1000-lecia 19, Jastrzebie-Zdroj, 44-268</t>
  </si>
  <si>
    <t>48 536 396 825</t>
  </si>
  <si>
    <t xml:space="preserve">Zielona 37/22, Jastrzebie-Zdroj, 44-335 </t>
  </si>
  <si>
    <t>3648</t>
  </si>
  <si>
    <t xml:space="preserve">Dygasinskiego 33, Pszów, 44-370 </t>
  </si>
  <si>
    <t>3078</t>
  </si>
  <si>
    <t>704 188 141</t>
  </si>
  <si>
    <t xml:space="preserve">Těšínská 87/281, Ostrava - Radvanice, 716 00 </t>
  </si>
  <si>
    <t>3721</t>
  </si>
  <si>
    <t>3729</t>
  </si>
  <si>
    <t xml:space="preserve">735 997 947  </t>
  </si>
  <si>
    <t xml:space="preserve">Vyškovická 447/153 , Ostrava - Výškovice, 700 30 </t>
  </si>
  <si>
    <t>3728</t>
  </si>
  <si>
    <t xml:space="preserve">735 883 940  </t>
  </si>
  <si>
    <t xml:space="preserve">702 897 627 </t>
  </si>
  <si>
    <t>4365</t>
  </si>
  <si>
    <t xml:space="preserve"> Hulvácká 1399/11a, Ostrava-Zábřeh , 700 30  </t>
  </si>
  <si>
    <t xml:space="preserve"> 3284</t>
  </si>
  <si>
    <t>48 692 755 081</t>
  </si>
  <si>
    <t>Górnicza 38/23, Jastrzebie-Zdroj, 44-335</t>
  </si>
  <si>
    <t>4092</t>
  </si>
  <si>
    <t xml:space="preserve">48 726 113 843 </t>
  </si>
  <si>
    <t>Dworcowa 49, Laziska, 44-340</t>
  </si>
  <si>
    <t xml:space="preserve">48 503 350 812 </t>
  </si>
  <si>
    <t>1000-lecia 38/7, Wodzislaw Slaski, 44-300</t>
  </si>
  <si>
    <t>4105</t>
  </si>
  <si>
    <t>4075</t>
  </si>
  <si>
    <t xml:space="preserve">48 728 262 157 </t>
  </si>
  <si>
    <t>Gustawa Morcinka 5/3, Jastrzebie-Zdroj, 44-335</t>
  </si>
  <si>
    <t xml:space="preserve">48 575 850 403 </t>
  </si>
  <si>
    <t>4155</t>
  </si>
  <si>
    <t xml:space="preserve">1 Maja 153A, Mszana, 44-325 </t>
  </si>
  <si>
    <t xml:space="preserve">705 926 915   </t>
  </si>
  <si>
    <t>Lidická 539, Třinec - Lyžbice, 739 61</t>
  </si>
  <si>
    <t>4326</t>
  </si>
  <si>
    <t>3937</t>
  </si>
  <si>
    <t xml:space="preserve">Zielona 20/7, Jastrzebie-Zdroj, 44-335 </t>
  </si>
  <si>
    <t>48 602 294 398</t>
  </si>
  <si>
    <t>48 731 773 661</t>
  </si>
  <si>
    <t>4442</t>
  </si>
  <si>
    <t>Gustawa Morcinka 8/6, Jastrzebie-Zdroj, 44-335</t>
  </si>
  <si>
    <t xml:space="preserve">704 717 533 </t>
  </si>
  <si>
    <t>Horní 791/3, Ostrava - Hrabůvka, 700 30</t>
  </si>
  <si>
    <t>3871</t>
  </si>
  <si>
    <t>4163</t>
  </si>
  <si>
    <t xml:space="preserve">48 665 142 024 </t>
  </si>
  <si>
    <t>Os. Alojzego Biernackiego 48, Pszow, 44-370</t>
  </si>
  <si>
    <t>RFID Karta</t>
  </si>
  <si>
    <t>48 507 397 115</t>
  </si>
  <si>
    <t>4501</t>
  </si>
  <si>
    <t>Folwarczna 19, Kończyce Małe, 43-410</t>
  </si>
  <si>
    <t>3920</t>
  </si>
  <si>
    <t>48 725 009 441</t>
  </si>
  <si>
    <t>Skrajna 4 m.6, Cieszyn, 43-400</t>
  </si>
  <si>
    <t>4515</t>
  </si>
  <si>
    <t>48 733 032 650</t>
  </si>
  <si>
    <t xml:space="preserve">Bolesława Prusa 12/3, Wodzislaw Slaski, 44-300 </t>
  </si>
  <si>
    <t>4514</t>
  </si>
  <si>
    <t>48 731 406 172</t>
  </si>
  <si>
    <t>Leśna 5/8, Gorzyczki, 44-350</t>
  </si>
  <si>
    <t>4510</t>
  </si>
  <si>
    <t xml:space="preserve">48 665 142 622 </t>
  </si>
  <si>
    <t>3040</t>
  </si>
  <si>
    <t xml:space="preserve">48 736 848 324 </t>
  </si>
  <si>
    <t>Ofiar Faszyzmu 14/11, Jastrzebie-Zdrój , 44-335</t>
  </si>
  <si>
    <t>4602</t>
  </si>
  <si>
    <t xml:space="preserve">48 796 408 373  </t>
  </si>
  <si>
    <t xml:space="preserve">Zielona 33/9, Jastrzebie-Zdroj, 44-335 </t>
  </si>
  <si>
    <t>4617</t>
  </si>
  <si>
    <t xml:space="preserve">48 576 673 042 </t>
  </si>
  <si>
    <t>Tysiaclecia 18/7, Wodzislaw Slaski, 44-300</t>
  </si>
  <si>
    <t xml:space="preserve">48 534 280 476 </t>
  </si>
  <si>
    <t>3474</t>
  </si>
  <si>
    <t xml:space="preserve">Adolfa Dygasińskiego 33, Pszów, 44-370 </t>
  </si>
  <si>
    <t xml:space="preserve">48 735 049 358  </t>
  </si>
  <si>
    <t>4622</t>
  </si>
  <si>
    <t>Radlinska 147, Wodzislaw Slaski, 44-300</t>
  </si>
  <si>
    <t>4682</t>
  </si>
  <si>
    <t xml:space="preserve">48 785 427 469   </t>
  </si>
  <si>
    <t>Okreźna 4, Zebrzydowice, 43-410</t>
  </si>
  <si>
    <t xml:space="preserve">48 535 384 403  </t>
  </si>
  <si>
    <t>4719</t>
  </si>
  <si>
    <t>Turnawiec 9,Turnawiec, 28-506</t>
  </si>
  <si>
    <t>4718</t>
  </si>
  <si>
    <t>48 573 476 005</t>
  </si>
  <si>
    <t xml:space="preserve">Osiedle Księcia Władysława 10F/5, Zory, 44-241 </t>
  </si>
  <si>
    <t>2463</t>
  </si>
  <si>
    <t xml:space="preserve">48 888 278 520   </t>
  </si>
  <si>
    <t xml:space="preserve">Poprzeczna 16/8, Jastrzebie-Zdrój, 44-330 </t>
  </si>
  <si>
    <t>4722</t>
  </si>
  <si>
    <t xml:space="preserve">48 534 868 808   </t>
  </si>
  <si>
    <t>Jurija Gagarina 46, Jastrzębie-Zdrój, 44-268</t>
  </si>
  <si>
    <t>4720</t>
  </si>
  <si>
    <t>48 669 565 741</t>
  </si>
  <si>
    <t xml:space="preserve">Cieszyńska 202B, Jastrzebie-Zdrój, 44-335 </t>
  </si>
  <si>
    <t>4599</t>
  </si>
  <si>
    <t xml:space="preserve">48 723 005 113 </t>
  </si>
  <si>
    <t>Miarki 2m.22, Jastrzebie-Zdroj , 44-330</t>
  </si>
  <si>
    <t>4773</t>
  </si>
  <si>
    <t>48 728 349 041</t>
  </si>
  <si>
    <t>Tęczowa 20, Świerklany , 44-266</t>
  </si>
  <si>
    <t>4775</t>
  </si>
  <si>
    <t>48 539 242 677</t>
  </si>
  <si>
    <t>Śrutarska 28/1, Cieszyn, 43-400</t>
  </si>
  <si>
    <t>4821</t>
  </si>
  <si>
    <t xml:space="preserve">48 510 087 467  </t>
  </si>
  <si>
    <t xml:space="preserve">Tysiąclecia 38/7, Wodzisław Śląski, 44-300 </t>
  </si>
  <si>
    <t>4828</t>
  </si>
  <si>
    <t xml:space="preserve">48 607 421 757 </t>
  </si>
  <si>
    <t>Alojzego Milaty 1B/5, Cieszyn, 43-400</t>
  </si>
  <si>
    <t>4132</t>
  </si>
  <si>
    <t>48 514 328 225</t>
  </si>
  <si>
    <t>Marusarzowny 2/26, Jastrzebie-Zdroj, 44-330</t>
  </si>
  <si>
    <t>4838</t>
  </si>
  <si>
    <t>48 793 386 811</t>
  </si>
  <si>
    <t>Cieszyńska 218/4, Jastrzębie-Zdrój, 44-337</t>
  </si>
  <si>
    <t>4834</t>
  </si>
  <si>
    <t xml:space="preserve">48 451 203 184 </t>
  </si>
  <si>
    <t>Pomorska 23/2, Jastrzębie-Zdrój, 44-335</t>
  </si>
  <si>
    <t>4835</t>
  </si>
  <si>
    <t xml:space="preserve">48 517 946 990 </t>
  </si>
  <si>
    <t>osiedle 1000-lecia 15/21, Jastrzębie-Zdrój, 44-268</t>
  </si>
  <si>
    <t xml:space="preserve">48 514 925 449  </t>
  </si>
  <si>
    <t>4912</t>
  </si>
  <si>
    <t>Cieszynska 221, Jastrzebie Zdroj, 44-337</t>
  </si>
  <si>
    <t>4928</t>
  </si>
  <si>
    <t>48 783 448 031  Jasna</t>
  </si>
  <si>
    <t>Jasna 19/10, Jastrzebie Zdroj , 44-335</t>
  </si>
  <si>
    <t>4955</t>
  </si>
  <si>
    <t>48 691 339 886</t>
  </si>
  <si>
    <t>26 marca 26/2, Wodzislaw Slaski, 44-300</t>
  </si>
  <si>
    <t xml:space="preserve">48 510 280 238 </t>
  </si>
  <si>
    <t>4963</t>
  </si>
  <si>
    <t xml:space="preserve">Gustawa Morcinka 17b/3 , Rybnik, 44-273 </t>
  </si>
  <si>
    <t>48 570 460 356</t>
  </si>
  <si>
    <t>4971</t>
  </si>
  <si>
    <t>Jagodowa 1 , Zebrzydowice, 43-410</t>
  </si>
  <si>
    <t>4972</t>
  </si>
  <si>
    <t>48 516 690 472</t>
  </si>
  <si>
    <t>Towarowa 7/15, Cieszyn, 43-400</t>
  </si>
  <si>
    <t>4987</t>
  </si>
  <si>
    <t>48 793 987 575</t>
  </si>
  <si>
    <t>Tysiaclecia 62/5 , Wodzislaw Slaski , 44-30</t>
  </si>
  <si>
    <t xml:space="preserve">48 517 651 935  </t>
  </si>
  <si>
    <t>4990</t>
  </si>
  <si>
    <t>XXX-Lecia 83/1, Wodzislaw Slaski  , 44-286</t>
  </si>
  <si>
    <t>48 575 565 409</t>
  </si>
  <si>
    <t>5009</t>
  </si>
  <si>
    <t>Os. 1000-Lecia 15D/4 , Jastrzebie Zdroj, 44-268</t>
  </si>
  <si>
    <t xml:space="preserve">48 533 136 616  </t>
  </si>
  <si>
    <t>5005</t>
  </si>
  <si>
    <t>Gagarina 108/3, Jastrzebie Zdroj, 44-268</t>
  </si>
  <si>
    <t>5014</t>
  </si>
  <si>
    <t xml:space="preserve">48 794 475 219  </t>
  </si>
  <si>
    <t>Rynek 5/1, Strumien, 43-246</t>
  </si>
  <si>
    <t>48 602 506 260</t>
  </si>
  <si>
    <t>5024</t>
  </si>
  <si>
    <t xml:space="preserve">Lipowa 16, Hazlach , 43-419 </t>
  </si>
  <si>
    <t xml:space="preserve">48 721 988 899 </t>
  </si>
  <si>
    <t>5065</t>
  </si>
  <si>
    <t>Wroclawska 21/22, Jastrzebie Zdroj , 44-335</t>
  </si>
  <si>
    <t>5131</t>
  </si>
  <si>
    <t xml:space="preserve">48 517 254 703  </t>
  </si>
  <si>
    <t xml:space="preserve">Turystyczna 27/36, Jastrzebie Zdroj   44-335 </t>
  </si>
  <si>
    <t>48 788 217 740</t>
  </si>
  <si>
    <t>5129</t>
  </si>
  <si>
    <t>Cicha 10, Gogolowa , 44-323</t>
  </si>
  <si>
    <t xml:space="preserve">48 792 058 912  </t>
  </si>
  <si>
    <t>5155</t>
  </si>
  <si>
    <t>Beskidzka 30/2, Jastrzebie Zdroj, 44-335</t>
  </si>
  <si>
    <t>5180</t>
  </si>
  <si>
    <t>48 512 640 222</t>
  </si>
  <si>
    <t xml:space="preserve">Pszczynska 189A, Jastrzebie Zdroj, 44-335 </t>
  </si>
  <si>
    <t>5179</t>
  </si>
  <si>
    <t xml:space="preserve">48 534 483 104 </t>
  </si>
  <si>
    <t>Marusarzowny 12/28, Jastrzebie-Zdrój, 44-335</t>
  </si>
  <si>
    <t xml:space="preserve">48 577 727 649  </t>
  </si>
  <si>
    <t>5176</t>
  </si>
  <si>
    <t>Wiejska 20, Gorzyczki , 44-350</t>
  </si>
  <si>
    <t>5177</t>
  </si>
  <si>
    <t xml:space="preserve">48 531 467 802 </t>
  </si>
  <si>
    <t>Wyszynskiego 67/11, Wodzislaw Slaski, 44-300</t>
  </si>
  <si>
    <t>5192</t>
  </si>
  <si>
    <t xml:space="preserve">48 574 787 606 </t>
  </si>
  <si>
    <t>Os. Ks. Wladyslawa 7C/37 , Zory, 44-240</t>
  </si>
  <si>
    <t>5194</t>
  </si>
  <si>
    <t>48 519 399 747</t>
  </si>
  <si>
    <t xml:space="preserve">Harcerska 4/1, Jastrzebie Zdroj, 44-335 </t>
  </si>
  <si>
    <t>5191</t>
  </si>
  <si>
    <t>48 539 981 158</t>
  </si>
  <si>
    <t>Katowicka 7/5, Jastrzebie Zdroj, 44-335</t>
  </si>
  <si>
    <t>5209</t>
  </si>
  <si>
    <t>48 667 542 463</t>
  </si>
  <si>
    <t xml:space="preserve">Orzeszkowej 12/18, Wodzislaw Slaski, 44-300 </t>
  </si>
  <si>
    <t>5204</t>
  </si>
  <si>
    <t>48 884 680 482</t>
  </si>
  <si>
    <t>Osiedle Tysiac-lecia 26/8, Wodzislaw Slaski, 44-300</t>
  </si>
  <si>
    <t>5206</t>
  </si>
  <si>
    <t>48 664 250 396</t>
  </si>
  <si>
    <t>Pszczynska 267C, Jastrzebie-Zdrój, 44-330</t>
  </si>
  <si>
    <t>5208</t>
  </si>
  <si>
    <t>Plebiscytowa 20, Orzesze , 43-180</t>
  </si>
  <si>
    <t>4632</t>
  </si>
  <si>
    <t xml:space="preserve">48 733 004 956    </t>
  </si>
  <si>
    <t>Malchera 5/2, Jastrzebie-Zdrój, 44-335</t>
  </si>
  <si>
    <t>5224</t>
  </si>
  <si>
    <t>48 887 691 372</t>
  </si>
  <si>
    <t>Chmielna 13, Konczyce Male, 43-410</t>
  </si>
  <si>
    <t>5226</t>
  </si>
  <si>
    <t>Katowicka 111/2, Cieszyn, 43-400</t>
  </si>
  <si>
    <t>5229</t>
  </si>
  <si>
    <t xml:space="preserve">48 884 685 014 </t>
  </si>
  <si>
    <t>Os. Wladyslawa Sikorskiego 9J/6, Zory, 44-240</t>
  </si>
  <si>
    <t>5246</t>
  </si>
  <si>
    <t>48 530 808 260</t>
  </si>
  <si>
    <t>Krakowska 3/10, Jastrzebie-Zdrój, 44-335</t>
  </si>
  <si>
    <t xml:space="preserve">48 534 970 425  </t>
  </si>
  <si>
    <t>5243</t>
  </si>
  <si>
    <t>Turystyczna 16/11, Jastrzebie-Zdrój, 44-335</t>
  </si>
  <si>
    <t xml:space="preserve">48 793 695 422 </t>
  </si>
  <si>
    <t>5244</t>
  </si>
  <si>
    <t>Pszczynska 292/401 , Jastrzebie Zdroj ,44-335</t>
  </si>
  <si>
    <t xml:space="preserve">48 733 622 020   </t>
  </si>
  <si>
    <t>5250</t>
  </si>
  <si>
    <t>Mlodziezowa 67B/2 , Wodzislaw Slaski, 44-373</t>
  </si>
  <si>
    <t>5257</t>
  </si>
  <si>
    <t xml:space="preserve">48 513 775 887  </t>
  </si>
  <si>
    <t>Slaska 31/12, Jastrzebie Zdroj, 44-335</t>
  </si>
  <si>
    <t>5249</t>
  </si>
  <si>
    <t xml:space="preserve">48 452 375 689   </t>
  </si>
  <si>
    <t>Czyzowicka 131A/208 , Wodzislaw Slaski, 44-300</t>
  </si>
  <si>
    <t xml:space="preserve">48 722 184 954 </t>
  </si>
  <si>
    <t>5261</t>
  </si>
  <si>
    <t>Malopolska 103/9, Jastrzebie-Zdroj, 44-335</t>
  </si>
  <si>
    <t>5259</t>
  </si>
  <si>
    <t xml:space="preserve">48 791 042 779  </t>
  </si>
  <si>
    <t>Ulica Wiejska 96/5, Jastrzebie-Zdroj , 44-338</t>
  </si>
  <si>
    <t>5260</t>
  </si>
  <si>
    <t xml:space="preserve">48 572 902 549 </t>
  </si>
  <si>
    <t>Malopolska 93/4, Jastrzebie-Zdrój, 44-335</t>
  </si>
  <si>
    <t xml:space="preserve">48 661 821 712  </t>
  </si>
  <si>
    <t>5251</t>
  </si>
  <si>
    <t xml:space="preserve">Młodzieżowa 67B/3 , Wodzislaw Slaski , 44-373 </t>
  </si>
  <si>
    <t>5271</t>
  </si>
  <si>
    <t xml:space="preserve">48 519 481 259 </t>
  </si>
  <si>
    <t>Mlynska 29A, Jastrzebie Zdroj, 44-335</t>
  </si>
  <si>
    <t>5275</t>
  </si>
  <si>
    <t xml:space="preserve">48 606 252 415 </t>
  </si>
  <si>
    <t>Rymera 247, Radlin, 44-310</t>
  </si>
  <si>
    <t>5273</t>
  </si>
  <si>
    <t xml:space="preserve">48 733 080 489 </t>
  </si>
  <si>
    <t>5270</t>
  </si>
  <si>
    <t xml:space="preserve">48 883 558 504 </t>
  </si>
  <si>
    <t>Wielkopolska 65/15, Jastrzebie-Zdrój, 44-335</t>
  </si>
  <si>
    <t>Lesniak</t>
  </si>
  <si>
    <t>Robert</t>
  </si>
  <si>
    <t>Marek</t>
  </si>
  <si>
    <t>Olejniczak</t>
  </si>
  <si>
    <t>Danuta</t>
  </si>
  <si>
    <t>Debner</t>
  </si>
  <si>
    <t>Karolina</t>
  </si>
  <si>
    <t>Piechaczek</t>
  </si>
  <si>
    <t>Agnieszka</t>
  </si>
  <si>
    <t>Francová</t>
  </si>
  <si>
    <t>Karolína</t>
  </si>
  <si>
    <t>Wywiol</t>
  </si>
  <si>
    <t>Romeusz</t>
  </si>
  <si>
    <t>Starzyczny</t>
  </si>
  <si>
    <t>Joanna</t>
  </si>
  <si>
    <t>Gawlok</t>
  </si>
  <si>
    <t>Maria</t>
  </si>
  <si>
    <t>Marzena</t>
  </si>
  <si>
    <t>Mottlová</t>
  </si>
  <si>
    <t>Markéta</t>
  </si>
  <si>
    <t>Matusiak</t>
  </si>
  <si>
    <t>Orfeusz</t>
  </si>
  <si>
    <t>Stawowski</t>
  </si>
  <si>
    <t>Patryk</t>
  </si>
  <si>
    <t>Tomasz</t>
  </si>
  <si>
    <t>Urbas</t>
  </si>
  <si>
    <t>Monika</t>
  </si>
  <si>
    <t>Weronika</t>
  </si>
  <si>
    <t>Niznik</t>
  </si>
  <si>
    <t>Boguslaw</t>
  </si>
  <si>
    <t>Fitrzyková</t>
  </si>
  <si>
    <t>Jana</t>
  </si>
  <si>
    <t>Chodinský</t>
  </si>
  <si>
    <t>Jakub</t>
  </si>
  <si>
    <t>Rostislav</t>
  </si>
  <si>
    <t>Šostá</t>
  </si>
  <si>
    <t>Ivana</t>
  </si>
  <si>
    <t>Matuszczyk</t>
  </si>
  <si>
    <t>Beata</t>
  </si>
  <si>
    <t>Sitek</t>
  </si>
  <si>
    <t>Lapczyk</t>
  </si>
  <si>
    <t>Bernadeta</t>
  </si>
  <si>
    <t>Czerwik</t>
  </si>
  <si>
    <t>Maksymilian</t>
  </si>
  <si>
    <t>Konrad</t>
  </si>
  <si>
    <t>Suchy</t>
  </si>
  <si>
    <t>Anna</t>
  </si>
  <si>
    <t>Katarzyna</t>
  </si>
  <si>
    <t>Lázoková</t>
  </si>
  <si>
    <t>Darina</t>
  </si>
  <si>
    <t>Tyminska</t>
  </si>
  <si>
    <t>Sylvia</t>
  </si>
  <si>
    <t>Malgorzata</t>
  </si>
  <si>
    <t>Pajor</t>
  </si>
  <si>
    <t>Artur</t>
  </si>
  <si>
    <t>Neudert</t>
  </si>
  <si>
    <t>Pavel</t>
  </si>
  <si>
    <t>Smietana</t>
  </si>
  <si>
    <t>Mirela</t>
  </si>
  <si>
    <t>Barbara</t>
  </si>
  <si>
    <t>Cyrzyk</t>
  </si>
  <si>
    <t>Grazyna</t>
  </si>
  <si>
    <t>Krzenek</t>
  </si>
  <si>
    <t>Ryszarda</t>
  </si>
  <si>
    <t>Sikora</t>
  </si>
  <si>
    <t>Karina</t>
  </si>
  <si>
    <t>Teresa</t>
  </si>
  <si>
    <t>Michalina</t>
  </si>
  <si>
    <t>Weczerek</t>
  </si>
  <si>
    <t>Adriana</t>
  </si>
  <si>
    <t>Osiewala</t>
  </si>
  <si>
    <t>Grzegorz</t>
  </si>
  <si>
    <t>Watroba</t>
  </si>
  <si>
    <t>Leszek</t>
  </si>
  <si>
    <t>Stanislaw</t>
  </si>
  <si>
    <t>Karkoszka</t>
  </si>
  <si>
    <t>Justyna</t>
  </si>
  <si>
    <t>Mariola</t>
  </si>
  <si>
    <t>Krystyna</t>
  </si>
  <si>
    <t>Starosta</t>
  </si>
  <si>
    <t>Bugno</t>
  </si>
  <si>
    <t>Paczlowski</t>
  </si>
  <si>
    <t>Michal</t>
  </si>
  <si>
    <t>Torzewska</t>
  </si>
  <si>
    <t>Ewelina</t>
  </si>
  <si>
    <t>Boguslawa</t>
  </si>
  <si>
    <t>Krensel</t>
  </si>
  <si>
    <t>Klimkowska</t>
  </si>
  <si>
    <t>Janina</t>
  </si>
  <si>
    <t>Žaneta</t>
  </si>
  <si>
    <t>Marczak</t>
  </si>
  <si>
    <t>Belej</t>
  </si>
  <si>
    <t>Pszonak</t>
  </si>
  <si>
    <t>Marta</t>
  </si>
  <si>
    <t>Kotowski</t>
  </si>
  <si>
    <t>Zbigniew</t>
  </si>
  <si>
    <t>Wiktoria</t>
  </si>
  <si>
    <t>Stryjska</t>
  </si>
  <si>
    <t>Adamiec</t>
  </si>
  <si>
    <t>Bartoň</t>
  </si>
  <si>
    <t>Edyta</t>
  </si>
  <si>
    <t>Blonski</t>
  </si>
  <si>
    <t>Marcin</t>
  </si>
  <si>
    <t>Ireneusz</t>
  </si>
  <si>
    <t>Jerchewicz</t>
  </si>
  <si>
    <t>Iwona</t>
  </si>
  <si>
    <t>Szymura</t>
  </si>
  <si>
    <t>Zjadewicz</t>
  </si>
  <si>
    <t>Dalemula</t>
  </si>
  <si>
    <t>Krysztof</t>
  </si>
  <si>
    <t>Krzemiński</t>
  </si>
  <si>
    <t>Adranowicz</t>
  </si>
  <si>
    <t>Jadwiga</t>
  </si>
  <si>
    <t>Jolanta</t>
  </si>
  <si>
    <t>Wanda</t>
  </si>
  <si>
    <t>Skrzypiec</t>
  </si>
  <si>
    <t>Szatylo</t>
  </si>
  <si>
    <t>Heroním</t>
  </si>
  <si>
    <t>Jan</t>
  </si>
  <si>
    <t>Ostafin</t>
  </si>
  <si>
    <t>Andrzej</t>
  </si>
  <si>
    <t>Surma</t>
  </si>
  <si>
    <t>Natalia</t>
  </si>
  <si>
    <t>Aurelia</t>
  </si>
  <si>
    <t>Michalec</t>
  </si>
  <si>
    <t>Regina</t>
  </si>
  <si>
    <t>Marinska</t>
  </si>
  <si>
    <t>Olbrys</t>
  </si>
  <si>
    <t>Worek</t>
  </si>
  <si>
    <t>Buza</t>
  </si>
  <si>
    <t>Aniela</t>
  </si>
  <si>
    <t>Vrlíková</t>
  </si>
  <si>
    <t>Motyl</t>
  </si>
  <si>
    <t>Slawomir</t>
  </si>
  <si>
    <t>Szymiczek</t>
  </si>
  <si>
    <t>Ewa</t>
  </si>
  <si>
    <t>Skolarus</t>
  </si>
  <si>
    <t>Sebastian</t>
  </si>
  <si>
    <t>Ogórek</t>
  </si>
  <si>
    <t>Bogdan</t>
  </si>
  <si>
    <t>Gasior</t>
  </si>
  <si>
    <t>Moc</t>
  </si>
  <si>
    <t>Zofia</t>
  </si>
  <si>
    <t>Porebny</t>
  </si>
  <si>
    <t>Martyna</t>
  </si>
  <si>
    <t>Klosek</t>
  </si>
  <si>
    <t>Pozarowszczyk</t>
  </si>
  <si>
    <t>Alicja</t>
  </si>
  <si>
    <t>Stefania</t>
  </si>
  <si>
    <t>Sopala</t>
  </si>
  <si>
    <t>Wioletta</t>
  </si>
  <si>
    <t>Witos</t>
  </si>
  <si>
    <t>Daria</t>
  </si>
  <si>
    <t>Gora</t>
  </si>
  <si>
    <t>Renata</t>
  </si>
  <si>
    <t>Goralska</t>
  </si>
  <si>
    <t>Magdalena</t>
  </si>
  <si>
    <t>Szewczyk</t>
  </si>
  <si>
    <t>Wojciech</t>
  </si>
  <si>
    <t>Zdzislaw</t>
  </si>
  <si>
    <t>Mozuch</t>
  </si>
  <si>
    <t>Damian</t>
  </si>
  <si>
    <t>Matelska</t>
  </si>
  <si>
    <t>Klaudia</t>
  </si>
  <si>
    <t>Tanska</t>
  </si>
  <si>
    <t>Wioleta</t>
  </si>
  <si>
    <t>Brygida</t>
  </si>
  <si>
    <t>Chudala</t>
  </si>
  <si>
    <t>Kamila</t>
  </si>
  <si>
    <t>Kaminska</t>
  </si>
  <si>
    <t>Koniecny</t>
  </si>
  <si>
    <t>Elzbieta</t>
  </si>
  <si>
    <t>Kupczak</t>
  </si>
  <si>
    <t>Dominika</t>
  </si>
  <si>
    <t>Patrycja</t>
  </si>
  <si>
    <t>Malec</t>
  </si>
  <si>
    <t>Izabela</t>
  </si>
  <si>
    <t>Julia</t>
  </si>
  <si>
    <t>Aleksandra</t>
  </si>
  <si>
    <t>Skrobol</t>
  </si>
  <si>
    <t>Kazimiera</t>
  </si>
  <si>
    <t>Kielkowska</t>
  </si>
  <si>
    <t>Pogoda</t>
  </si>
  <si>
    <t>Anita</t>
  </si>
  <si>
    <t>Daniel</t>
  </si>
  <si>
    <t>Sylweste</t>
  </si>
  <si>
    <t>Warminska</t>
  </si>
  <si>
    <t>BATZ</t>
  </si>
  <si>
    <t>48 790 463 268</t>
  </si>
  <si>
    <t>48 789 625 101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</si>
</sst>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workbookViewId="0">
      <pane ySplit="1" topLeftCell="A39" activePane="bottomLeft" state="frozen"/>
      <selection pane="bottomLeft" activeCell="A52" sqref="A52"/>
    </sheetView>
  </sheetViews>
  <sheetFormatPr defaultRowHeight="15" x14ac:dyDescent="0.25"/>
  <cols>
    <col min="1" max="1" width="11" bestFit="1" customWidth="1"/>
    <col min="2" max="4" width="30" customWidth="1"/>
    <col min="5" max="5" width="12.85546875" customWidth="1"/>
    <col min="6" max="6" width="16.140625" customWidth="1"/>
    <col min="7" max="7" width="47" customWidth="1"/>
  </cols>
  <sheetData>
    <row r="1" spans="1:11" x14ac:dyDescent="0.25">
      <c r="A1" s="1" t="s">
        <v>0</v>
      </c>
      <c r="B1" s="1" t="s">
        <v>1</v>
      </c>
      <c r="C1" s="1" t="s">
        <v>573</v>
      </c>
      <c r="D1" s="1"/>
      <c r="E1" s="1" t="s">
        <v>179</v>
      </c>
      <c r="F1" s="5" t="s">
        <v>100</v>
      </c>
      <c r="G1" s="5" t="s">
        <v>102</v>
      </c>
    </row>
    <row r="2" spans="1:11" x14ac:dyDescent="0.25">
      <c r="A2" s="4" t="s">
        <v>200</v>
      </c>
      <c r="B2" s="2" t="s">
        <v>461</v>
      </c>
      <c r="C2" s="2" t="s">
        <v>462</v>
      </c>
      <c r="D2" s="2" t="s">
        <v>394</v>
      </c>
      <c r="E2" s="2" t="s">
        <v>36</v>
      </c>
      <c r="F2" s="2" t="s">
        <v>201</v>
      </c>
      <c r="G2" s="4" t="s">
        <v>202</v>
      </c>
      <c r="I2" t="str">
        <f>"insert into zamestnanci (os_cislo,prijmeni,jmeno,rfid,telefon,adresa,firma,smena,aktivni) values ('" &amp; A2 &amp; "','" &amp; B2 &amp; " " &amp; C2 &amp; "','" &amp; D2 &amp; "','" &amp; E2 &amp; "','" &amp; F2 &amp; "','" &amp; G2 &amp; "','1','R','1');"</f>
        <v>insert into zamestnanci (os_cislo,prijmeni,jmeno,rfid,telefon,adresa,firma,smena,aktivni) values ('4617','Karkoszka Justyna','Agnieszka','0328432914','48 576 673 042 ','Tysiaclecia 18/7, Wodzislaw Slaski, 44-300','1','R','1');</v>
      </c>
      <c r="K2" t="str">
        <f>"update zamestnanci set prijmeni='" &amp; B2 &amp; "',jmeno='" &amp; C2 &amp; " " &amp; D2 &amp; "' where os_cislo='" &amp; A2 &amp; "';"</f>
        <v>update zamestnanci set prijmeni='Karkoszka',jmeno='Justyna Agnieszka' where os_cislo='4617';</v>
      </c>
    </row>
    <row r="3" spans="1:11" x14ac:dyDescent="0.25">
      <c r="A3" s="6" t="s">
        <v>369</v>
      </c>
      <c r="B3" s="2" t="s">
        <v>561</v>
      </c>
      <c r="C3" s="2" t="s">
        <v>563</v>
      </c>
      <c r="D3" s="2" t="s">
        <v>564</v>
      </c>
      <c r="E3" s="2" t="s">
        <v>93</v>
      </c>
      <c r="F3" s="2" t="s">
        <v>370</v>
      </c>
      <c r="G3" s="4" t="s">
        <v>371</v>
      </c>
      <c r="I3" t="str">
        <f t="shared" ref="I3:I61" si="0">"insert into zamestnanci (os_cislo,prijmeni,jmeno,rfid,telefon,adresa,firma,smena,aktivni) values ('" &amp; A3 &amp; "','" &amp; B3 &amp; " " &amp; C3 &amp; "','" &amp; D3 &amp; "','" &amp; E3 &amp; "','" &amp; F3 &amp; "','" &amp; G3 &amp; "','1','R','1');"</f>
        <v>insert into zamestnanci (os_cislo,prijmeni,jmeno,rfid,telefon,adresa,firma,smena,aktivni) values ('5260','Malec Julia','Aleksandra','0328454862','48 572 902 549 ','Malopolska 93/4, Jastrzebie-Zdrój, 44-335','1','R','1');</v>
      </c>
      <c r="K3" t="str">
        <f t="shared" ref="K3:K61" si="1">"update zamestnanci set prijmeni='" &amp; B3 &amp; "',jmeno='" &amp; C3 &amp; " " &amp; D3 &amp; "' where os_cislo='" &amp; A3 &amp; "';"</f>
        <v>update zamestnanci set prijmeni='Malec',jmeno='Julia Aleksandra' where os_cislo='5260';</v>
      </c>
    </row>
    <row r="4" spans="1:11" x14ac:dyDescent="0.25">
      <c r="A4" s="4" t="s">
        <v>297</v>
      </c>
      <c r="B4" s="2" t="s">
        <v>515</v>
      </c>
      <c r="C4" s="2" t="s">
        <v>447</v>
      </c>
      <c r="D4" s="2" t="s">
        <v>516</v>
      </c>
      <c r="E4" s="2" t="s">
        <v>68</v>
      </c>
      <c r="F4" s="2" t="s">
        <v>296</v>
      </c>
      <c r="G4" s="4" t="s">
        <v>298</v>
      </c>
      <c r="I4" t="str">
        <f t="shared" si="0"/>
        <v>insert into zamestnanci (os_cislo,prijmeni,jmeno,rfid,telefon,adresa,firma,smena,aktivni) values ('5129','Buza Grazyna','Aniela','0328432941','48 788 217 740','Cicha 10, Gogolowa , 44-323','1','R','1');</v>
      </c>
      <c r="K4" t="str">
        <f t="shared" si="1"/>
        <v>update zamestnanci set prijmeni='Buza',jmeno='Grazyna Aniela' where os_cislo='5129';</v>
      </c>
    </row>
    <row r="5" spans="1:11" x14ac:dyDescent="0.25">
      <c r="A5" s="3" t="s">
        <v>378</v>
      </c>
      <c r="B5" s="2" t="s">
        <v>568</v>
      </c>
      <c r="C5" s="2" t="s">
        <v>424</v>
      </c>
      <c r="D5" s="2" t="s">
        <v>569</v>
      </c>
      <c r="E5" s="2" t="s">
        <v>96</v>
      </c>
      <c r="F5" s="2" t="s">
        <v>379</v>
      </c>
      <c r="G5" s="4" t="s">
        <v>380</v>
      </c>
      <c r="I5" t="str">
        <f t="shared" si="0"/>
        <v>insert into zamestnanci (os_cislo,prijmeni,jmeno,rfid,telefon,adresa,firma,smena,aktivni) values ('5275','Pogoda Beata','Anita','0348334221','48 606 252 415 ','Rymera 247, Radlin, 44-310','1','R','1');</v>
      </c>
      <c r="K5" t="str">
        <f t="shared" si="1"/>
        <v>update zamestnanci set prijmeni='Pogoda',jmeno='Beata Anita' where os_cislo='5275';</v>
      </c>
    </row>
    <row r="6" spans="1:11" x14ac:dyDescent="0.25">
      <c r="A6" s="4" t="s">
        <v>320</v>
      </c>
      <c r="B6" s="2" t="s">
        <v>529</v>
      </c>
      <c r="C6" s="2" t="s">
        <v>530</v>
      </c>
      <c r="D6" s="2" t="s">
        <v>432</v>
      </c>
      <c r="E6" s="2" t="s">
        <v>76</v>
      </c>
      <c r="F6" s="2" t="s">
        <v>321</v>
      </c>
      <c r="G6" s="4" t="s">
        <v>322</v>
      </c>
      <c r="I6" t="str">
        <f t="shared" si="0"/>
        <v>insert into zamestnanci (os_cislo,prijmeni,jmeno,rfid,telefon,adresa,firma,smena,aktivni) values ('5191','Porebny Martyna','Anna','0370049130','48 539 981 158','Katowicka 7/5, Jastrzebie Zdroj, 44-335','1','R','1');</v>
      </c>
      <c r="K6" t="str">
        <f t="shared" si="1"/>
        <v>update zamestnanci set prijmeni='Porebny',jmeno='Martyna Anna' where os_cislo='5191';</v>
      </c>
    </row>
    <row r="7" spans="1:11" x14ac:dyDescent="0.25">
      <c r="A7" s="4" t="s">
        <v>282</v>
      </c>
      <c r="B7" s="2" t="s">
        <v>507</v>
      </c>
      <c r="C7" s="2" t="s">
        <v>508</v>
      </c>
      <c r="D7" s="2" t="s">
        <v>509</v>
      </c>
      <c r="E7" s="2" t="s">
        <v>63</v>
      </c>
      <c r="F7" s="2" t="s">
        <v>281</v>
      </c>
      <c r="G7" s="4" t="s">
        <v>283</v>
      </c>
      <c r="I7" t="str">
        <f t="shared" si="0"/>
        <v>insert into zamestnanci (os_cislo,prijmeni,jmeno,rfid,telefon,adresa,firma,smena,aktivni) values ('5005','Surma Natalia','Aurelia','0370042869','48 533 136 616  ','Gagarina 108/3, Jastrzebie Zdroj, 44-268','1','R','1');</v>
      </c>
      <c r="K7" t="str">
        <f t="shared" si="1"/>
        <v>update zamestnanci set prijmeni='Surma',jmeno='Natalia Aurelia' where os_cislo='5005';</v>
      </c>
    </row>
    <row r="8" spans="1:11" x14ac:dyDescent="0.25">
      <c r="A8" s="4" t="s">
        <v>176</v>
      </c>
      <c r="B8" s="2" t="s">
        <v>443</v>
      </c>
      <c r="C8" s="2" t="s">
        <v>444</v>
      </c>
      <c r="D8" s="2" t="s">
        <v>445</v>
      </c>
      <c r="E8" s="2" t="s">
        <v>28</v>
      </c>
      <c r="F8" s="2" t="s">
        <v>177</v>
      </c>
      <c r="G8" s="4" t="s">
        <v>178</v>
      </c>
      <c r="I8" t="str">
        <f t="shared" si="0"/>
        <v>insert into zamestnanci (os_cislo,prijmeni,jmeno,rfid,telefon,adresa,firma,smena,aktivni) values ('4163','Smietana Mirela','Barbara','0301162261','48 665 142 024 ','Os. Alojzego Biernackiego 48, Pszow, 44-370','1','R','1');</v>
      </c>
      <c r="K8" t="str">
        <f t="shared" si="1"/>
        <v>update zamestnanci set prijmeni='Smietana',jmeno='Mirela Barbara' where os_cislo='4163';</v>
      </c>
    </row>
    <row r="9" spans="1:11" x14ac:dyDescent="0.25">
      <c r="A9" s="4" t="s">
        <v>181</v>
      </c>
      <c r="B9" s="2" t="s">
        <v>446</v>
      </c>
      <c r="C9" s="2" t="s">
        <v>447</v>
      </c>
      <c r="D9" s="2" t="s">
        <v>445</v>
      </c>
      <c r="E9" s="2" t="s">
        <v>29</v>
      </c>
      <c r="F9" s="2" t="s">
        <v>180</v>
      </c>
      <c r="G9" s="4" t="s">
        <v>182</v>
      </c>
      <c r="I9" t="str">
        <f t="shared" si="0"/>
        <v>insert into zamestnanci (os_cislo,prijmeni,jmeno,rfid,telefon,adresa,firma,smena,aktivni) values ('4501','Cyrzyk Grazyna','Barbara','0315325883','48 507 397 115','Folwarczna 19, Kończyce Małe, 43-410','1','R','1');</v>
      </c>
      <c r="K9" t="str">
        <f t="shared" si="1"/>
        <v>update zamestnanci set prijmeni='Cyrzyk',jmeno='Grazyna Barbara' where os_cislo='4501';</v>
      </c>
    </row>
    <row r="10" spans="1:11" x14ac:dyDescent="0.25">
      <c r="A10" s="3" t="s">
        <v>383</v>
      </c>
      <c r="B10" s="2" t="s">
        <v>572</v>
      </c>
      <c r="C10" s="2" t="s">
        <v>433</v>
      </c>
      <c r="D10" s="2" t="s">
        <v>445</v>
      </c>
      <c r="E10" s="2" t="s">
        <v>98</v>
      </c>
      <c r="F10" s="2" t="s">
        <v>384</v>
      </c>
      <c r="G10" s="4" t="s">
        <v>385</v>
      </c>
      <c r="I10" t="str">
        <f t="shared" si="0"/>
        <v>insert into zamestnanci (os_cislo,prijmeni,jmeno,rfid,telefon,adresa,firma,smena,aktivni) values ('5270','Warminska Katarzyna','Barbara','0301172878','48 883 558 504 ','Wielkopolska 65/15, Jastrzebie-Zdrój, 44-335','1','R','1');</v>
      </c>
      <c r="K10" t="str">
        <f t="shared" si="1"/>
        <v>update zamestnanci set prijmeni='Warminska',jmeno='Katarzyna Barbara' where os_cislo='5270';</v>
      </c>
    </row>
    <row r="11" spans="1:11" x14ac:dyDescent="0.25">
      <c r="A11" s="4" t="s">
        <v>251</v>
      </c>
      <c r="B11" s="2" t="s">
        <v>490</v>
      </c>
      <c r="C11" s="2" t="s">
        <v>491</v>
      </c>
      <c r="D11" s="2" t="s">
        <v>424</v>
      </c>
      <c r="E11" s="2" t="s">
        <v>53</v>
      </c>
      <c r="F11" s="2" t="s">
        <v>252</v>
      </c>
      <c r="G11" s="4" t="s">
        <v>253</v>
      </c>
      <c r="I11" t="str">
        <f t="shared" si="0"/>
        <v>insert into zamestnanci (os_cislo,prijmeni,jmeno,rfid,telefon,adresa,firma,smena,aktivni) values ('4835','Jerchewicz Iwona','Beata','0348342408','48 517 946 990 ','osiedle 1000-lecia 15/21, Jastrzębie-Zdrój, 44-268','1','R','1');</v>
      </c>
      <c r="K11" t="str">
        <f t="shared" si="1"/>
        <v>update zamestnanci set prijmeni='Jerchewicz',jmeno='Iwona Beata' where os_cislo='4835';</v>
      </c>
    </row>
    <row r="12" spans="1:11" x14ac:dyDescent="0.25">
      <c r="A12" s="4" t="s">
        <v>157</v>
      </c>
      <c r="B12" s="2" t="s">
        <v>426</v>
      </c>
      <c r="C12" s="2" t="s">
        <v>412</v>
      </c>
      <c r="D12" s="2" t="s">
        <v>427</v>
      </c>
      <c r="E12" s="2" t="s">
        <v>21</v>
      </c>
      <c r="F12" s="4" t="s">
        <v>155</v>
      </c>
      <c r="G12" s="4" t="s">
        <v>156</v>
      </c>
      <c r="I12" t="str">
        <f t="shared" si="0"/>
        <v>insert into zamestnanci (os_cislo,prijmeni,jmeno,rfid,telefon,adresa,firma,smena,aktivni) values ('4105','Lapczyk Monika','Bernadeta','0301180636','48 503 350 812 ','1000-lecia 38/7, Wodzislaw Slaski, 44-300','1','R','1');</v>
      </c>
      <c r="K12" t="str">
        <f t="shared" si="1"/>
        <v>update zamestnanci set prijmeni='Lapczyk',jmeno='Monika Bernadeta' where os_cislo='4105';</v>
      </c>
    </row>
    <row r="13" spans="1:11" x14ac:dyDescent="0.25">
      <c r="A13" s="4" t="s">
        <v>215</v>
      </c>
      <c r="B13" s="2" t="s">
        <v>469</v>
      </c>
      <c r="C13" s="2" t="s">
        <v>470</v>
      </c>
      <c r="D13" s="2" t="s">
        <v>471</v>
      </c>
      <c r="E13" s="2" t="s">
        <v>41</v>
      </c>
      <c r="F13" s="2" t="s">
        <v>216</v>
      </c>
      <c r="G13" s="4" t="s">
        <v>217</v>
      </c>
      <c r="I13" t="str">
        <f t="shared" si="0"/>
        <v>insert into zamestnanci (os_cislo,prijmeni,jmeno,rfid,telefon,adresa,firma,smena,aktivni) values ('4718','Torzewska Ewelina','Boguslawa','0301162243','48 573 476 005','Osiedle Księcia Władysława 10F/5, Zory, 44-241 ','1','R','1');</v>
      </c>
      <c r="K13" t="str">
        <f t="shared" si="1"/>
        <v>update zamestnanci set prijmeni='Torzewska',jmeno='Ewelina Boguslawa' where os_cislo='4718';</v>
      </c>
    </row>
    <row r="14" spans="1:11" x14ac:dyDescent="0.25">
      <c r="A14" s="4" t="s">
        <v>352</v>
      </c>
      <c r="B14" s="2" t="s">
        <v>550</v>
      </c>
      <c r="C14" s="2" t="s">
        <v>551</v>
      </c>
      <c r="D14" s="2" t="s">
        <v>552</v>
      </c>
      <c r="E14" s="2" t="s">
        <v>87</v>
      </c>
      <c r="F14" s="2" t="s">
        <v>351</v>
      </c>
      <c r="G14" s="4" t="s">
        <v>353</v>
      </c>
      <c r="I14" t="str">
        <f t="shared" si="0"/>
        <v>insert into zamestnanci (os_cislo,prijmeni,jmeno,rfid,telefon,adresa,firma,smena,aktivni) values ('5244','Tanska Wioleta','Brygida','0370026929','48 793 695 422 ','Pszczynska 292/401 , Jastrzebie Zdroj ,44-335','1','R','1');</v>
      </c>
      <c r="K14" t="str">
        <f t="shared" si="1"/>
        <v>update zamestnanci set prijmeni='Tanska',jmeno='Wioleta Brygida' where os_cislo='5244';</v>
      </c>
    </row>
    <row r="15" spans="1:11" x14ac:dyDescent="0.25">
      <c r="A15" s="4" t="s">
        <v>334</v>
      </c>
      <c r="B15" s="2" t="s">
        <v>537</v>
      </c>
      <c r="C15" s="2" t="s">
        <v>433</v>
      </c>
      <c r="D15" s="2" t="s">
        <v>538</v>
      </c>
      <c r="E15" s="2" t="s">
        <v>81</v>
      </c>
      <c r="F15" s="2" t="s">
        <v>335</v>
      </c>
      <c r="G15" s="4" t="s">
        <v>336</v>
      </c>
      <c r="I15" t="str">
        <f t="shared" si="0"/>
        <v>insert into zamestnanci (os_cislo,prijmeni,jmeno,rfid,telefon,adresa,firma,smena,aktivni) values ('4632','Witos Katarzyna','Daria','0328454857','48 733 004 956    ','Malchera 5/2, Jastrzebie-Zdrój, 44-335','1','R','1');</v>
      </c>
      <c r="K15" t="str">
        <f t="shared" si="1"/>
        <v>update zamestnanci set prijmeni='Witos',jmeno='Katarzyna Daria' where os_cislo='4632';</v>
      </c>
    </row>
    <row r="16" spans="1:11" x14ac:dyDescent="0.25">
      <c r="A16" s="4" t="s">
        <v>360</v>
      </c>
      <c r="B16" s="2" t="s">
        <v>556</v>
      </c>
      <c r="C16" s="2" t="s">
        <v>400</v>
      </c>
      <c r="D16" s="2" t="s">
        <v>557</v>
      </c>
      <c r="E16" s="2" t="s">
        <v>90</v>
      </c>
      <c r="F16" s="2" t="s">
        <v>361</v>
      </c>
      <c r="G16" s="4" t="s">
        <v>362</v>
      </c>
      <c r="I16" t="str">
        <f t="shared" si="0"/>
        <v>insert into zamestnanci (os_cislo,prijmeni,jmeno,rfid,telefon,adresa,firma,smena,aktivni) values ('5249','Koniecny Joanna','Elzbieta','0328443823','48 452 375 689   ','Czyzowicka 131A/208 , Wodzislaw Slaski, 44-300','1','R','1');</v>
      </c>
      <c r="K16" t="str">
        <f t="shared" si="1"/>
        <v>update zamestnanci set prijmeni='Koniecny',jmeno='Joanna Elzbieta' where os_cislo='5249';</v>
      </c>
    </row>
    <row r="17" spans="1:11" x14ac:dyDescent="0.25">
      <c r="A17" s="4" t="s">
        <v>194</v>
      </c>
      <c r="B17" s="2" t="s">
        <v>456</v>
      </c>
      <c r="C17" s="2" t="s">
        <v>440</v>
      </c>
      <c r="D17" s="2" t="s">
        <v>457</v>
      </c>
      <c r="E17" s="2" t="s">
        <v>34</v>
      </c>
      <c r="F17" s="2" t="s">
        <v>195</v>
      </c>
      <c r="G17" s="4" t="s">
        <v>196</v>
      </c>
      <c r="I17" t="str">
        <f t="shared" si="0"/>
        <v>insert into zamestnanci (os_cislo,prijmeni,jmeno,rfid,telefon,adresa,firma,smena,aktivni) values ('3040','Osiewala Artur','Grzegorz','0301166901','48 736 848 324 ','Ofiar Faszyzmu 14/11, Jastrzebie-Zdrój , 44-335','1','R','1');</v>
      </c>
      <c r="K17" t="str">
        <f t="shared" si="1"/>
        <v>update zamestnanci set prijmeni='Osiewala',jmeno='Artur Grzegorz' where os_cislo='3040';</v>
      </c>
    </row>
    <row r="18" spans="1:11" x14ac:dyDescent="0.25">
      <c r="A18" s="4" t="s">
        <v>260</v>
      </c>
      <c r="B18" s="2" t="s">
        <v>494</v>
      </c>
      <c r="C18" s="2" t="s">
        <v>495</v>
      </c>
      <c r="D18" s="2" t="s">
        <v>457</v>
      </c>
      <c r="E18" s="2" t="s">
        <v>56</v>
      </c>
      <c r="F18" s="2" t="s">
        <v>261</v>
      </c>
      <c r="G18" s="4" t="s">
        <v>262</v>
      </c>
      <c r="I18" t="str">
        <f t="shared" si="0"/>
        <v>insert into zamestnanci (os_cislo,prijmeni,jmeno,rfid,telefon,adresa,firma,smena,aktivni) values ('4955','Dalemula Krysztof','Grzegorz','0370035234','48 691 339 886','26 marca 26/2, Wodzislaw Slaski, 44-300','1','R','1');</v>
      </c>
      <c r="K18" t="str">
        <f t="shared" si="1"/>
        <v>update zamestnanci set prijmeni='Dalemula',jmeno='Krysztof Grzegorz' where os_cislo='4955';</v>
      </c>
    </row>
    <row r="19" spans="1:11" x14ac:dyDescent="0.25">
      <c r="A19" s="4" t="s">
        <v>248</v>
      </c>
      <c r="B19" s="2" t="s">
        <v>487</v>
      </c>
      <c r="C19" s="2" t="s">
        <v>488</v>
      </c>
      <c r="D19" s="2" t="s">
        <v>489</v>
      </c>
      <c r="E19" s="2" t="s">
        <v>52</v>
      </c>
      <c r="F19" s="2" t="s">
        <v>249</v>
      </c>
      <c r="G19" s="4" t="s">
        <v>250</v>
      </c>
      <c r="I19" t="str">
        <f t="shared" si="0"/>
        <v>insert into zamestnanci (os_cislo,prijmeni,jmeno,rfid,telefon,adresa,firma,smena,aktivni) values ('4834','Blonski Marcin','Ireneusz','0328432923','48 451 203 184 ','Pomorska 23/2, Jastrzębie-Zdrój, 44-335','1','R','1');</v>
      </c>
      <c r="K19" t="str">
        <f t="shared" si="1"/>
        <v>update zamestnanci set prijmeni='Blonski',jmeno='Marcin Ireneusz' where os_cislo='4834';</v>
      </c>
    </row>
    <row r="20" spans="1:11" x14ac:dyDescent="0.25">
      <c r="A20" s="4" t="s">
        <v>329</v>
      </c>
      <c r="B20" s="2" t="s">
        <v>535</v>
      </c>
      <c r="C20" s="2" t="s">
        <v>536</v>
      </c>
      <c r="D20" s="2" t="s">
        <v>491</v>
      </c>
      <c r="E20" s="2" t="s">
        <v>79</v>
      </c>
      <c r="F20" s="2" t="s">
        <v>330</v>
      </c>
      <c r="G20" s="4" t="s">
        <v>331</v>
      </c>
      <c r="I20" t="str">
        <f t="shared" si="0"/>
        <v>insert into zamestnanci (os_cislo,prijmeni,jmeno,rfid,telefon,adresa,firma,smena,aktivni) values ('5206','Sopala Wioletta','Iwona','0301162084','48 664 250 396','Pszczynska 267C, Jastrzebie-Zdrój, 44-330','1','R','1');</v>
      </c>
      <c r="K20" t="str">
        <f t="shared" si="1"/>
        <v>update zamestnanci set prijmeni='Sopala',jmeno='Wioletta Iwona' where os_cislo='5206';</v>
      </c>
    </row>
    <row r="21" spans="1:11" x14ac:dyDescent="0.25">
      <c r="A21" s="4" t="s">
        <v>267</v>
      </c>
      <c r="B21" s="2" t="s">
        <v>497</v>
      </c>
      <c r="C21" s="2" t="s">
        <v>392</v>
      </c>
      <c r="D21" s="2" t="s">
        <v>498</v>
      </c>
      <c r="E21" s="2" t="s">
        <v>58</v>
      </c>
      <c r="F21" s="2" t="s">
        <v>266</v>
      </c>
      <c r="G21" s="4" t="s">
        <v>268</v>
      </c>
      <c r="I21" t="str">
        <f t="shared" si="0"/>
        <v>insert into zamestnanci (os_cislo,prijmeni,jmeno,rfid,telefon,adresa,firma,smena,aktivni) values ('4971','Adranowicz Karolina','Jadwiga','0289896686','48 570 460 356','Jagodowa 1 , Zebrzydowice, 43-410','1','R','1');</v>
      </c>
      <c r="K21" t="str">
        <f t="shared" si="1"/>
        <v>update zamestnanci set prijmeni='Adranowicz',jmeno='Karolina Jadwiga' where os_cislo='4971';</v>
      </c>
    </row>
    <row r="22" spans="1:11" x14ac:dyDescent="0.25">
      <c r="A22" s="4" t="s">
        <v>276</v>
      </c>
      <c r="B22" s="2" t="s">
        <v>502</v>
      </c>
      <c r="C22" s="2" t="s">
        <v>503</v>
      </c>
      <c r="D22" s="2" t="s">
        <v>504</v>
      </c>
      <c r="E22" s="2" t="s">
        <v>61</v>
      </c>
      <c r="F22" s="2" t="s">
        <v>275</v>
      </c>
      <c r="G22" s="4" t="s">
        <v>277</v>
      </c>
      <c r="I22" t="str">
        <f t="shared" si="0"/>
        <v>insert into zamestnanci (os_cislo,prijmeni,jmeno,rfid,telefon,adresa,firma,smena,aktivni) values ('4990','Szatylo Heroním','Jan','0328608644','48 517 651 935  ','XXX-Lecia 83/1, Wodzislaw Slaski  , 44-286','1','R','1');</v>
      </c>
      <c r="K22" t="str">
        <f t="shared" si="1"/>
        <v>update zamestnanci set prijmeni='Szatylo',jmeno='Heroním Jan' where os_cislo='4990';</v>
      </c>
    </row>
    <row r="23" spans="1:11" x14ac:dyDescent="0.25">
      <c r="A23" s="4" t="s">
        <v>162</v>
      </c>
      <c r="B23" s="2" t="s">
        <v>431</v>
      </c>
      <c r="C23" s="2" t="s">
        <v>432</v>
      </c>
      <c r="D23" s="2" t="s">
        <v>433</v>
      </c>
      <c r="E23" s="2" t="s">
        <v>23</v>
      </c>
      <c r="F23" s="2" t="s">
        <v>161</v>
      </c>
      <c r="G23" s="4" t="s">
        <v>163</v>
      </c>
      <c r="I23" t="str">
        <f t="shared" si="0"/>
        <v>insert into zamestnanci (os_cislo,prijmeni,jmeno,rfid,telefon,adresa,firma,smena,aktivni) values ('4155','Suchy Anna','Katarzyna','0328608658','48 575 850 403 ','1 Maja 153A, Mszana, 44-325 ','1','R','1');</v>
      </c>
      <c r="K23" t="str">
        <f t="shared" si="1"/>
        <v>update zamestnanci set prijmeni='Suchy',jmeno='Anna Katarzyna' where os_cislo='4155';</v>
      </c>
    </row>
    <row r="24" spans="1:11" x14ac:dyDescent="0.25">
      <c r="A24" s="4" t="s">
        <v>224</v>
      </c>
      <c r="B24" s="2" t="s">
        <v>476</v>
      </c>
      <c r="C24" s="2" t="s">
        <v>402</v>
      </c>
      <c r="D24" s="2" t="s">
        <v>433</v>
      </c>
      <c r="E24" s="2" t="s">
        <v>44</v>
      </c>
      <c r="F24" s="2" t="s">
        <v>225</v>
      </c>
      <c r="G24" s="4" t="s">
        <v>226</v>
      </c>
      <c r="I24" t="str">
        <f t="shared" si="0"/>
        <v>insert into zamestnanci (os_cislo,prijmeni,jmeno,rfid,telefon,adresa,firma,smena,aktivni) values ('4720','Marczak Maria','Katarzyna','0348342948','48 669 565 741','Cieszyńska 202B, Jastrzebie-Zdrój, 44-335 ','1','R','1');</v>
      </c>
      <c r="K24" t="str">
        <f t="shared" si="1"/>
        <v>update zamestnanci set prijmeni='Marczak',jmeno='Maria Katarzyna' where os_cislo='4720';</v>
      </c>
    </row>
    <row r="25" spans="1:11" x14ac:dyDescent="0.25">
      <c r="A25" s="4" t="s">
        <v>272</v>
      </c>
      <c r="B25" s="2" t="s">
        <v>501</v>
      </c>
      <c r="C25" s="2" t="s">
        <v>394</v>
      </c>
      <c r="D25" s="2" t="s">
        <v>433</v>
      </c>
      <c r="E25" s="2" t="s">
        <v>60</v>
      </c>
      <c r="F25" s="2" t="s">
        <v>273</v>
      </c>
      <c r="G25" s="4" t="s">
        <v>274</v>
      </c>
      <c r="I25" t="str">
        <f t="shared" si="0"/>
        <v>insert into zamestnanci (os_cislo,prijmeni,jmeno,rfid,telefon,adresa,firma,smena,aktivni) values ('4987','Skrzypiec Agnieszka','Katarzyna','0370037121','48 793 987 575','Tysiaclecia 62/5 , Wodzislaw Slaski , 44-30','1','R','1');</v>
      </c>
      <c r="K25" t="str">
        <f t="shared" si="1"/>
        <v>update zamestnanci set prijmeni='Skrzypiec',jmeno='Agnieszka Katarzyna' where os_cislo='4987';</v>
      </c>
    </row>
    <row r="26" spans="1:11" x14ac:dyDescent="0.25">
      <c r="A26" s="4" t="s">
        <v>355</v>
      </c>
      <c r="B26" s="2" t="s">
        <v>553</v>
      </c>
      <c r="C26" s="2" t="s">
        <v>554</v>
      </c>
      <c r="D26" s="2" t="s">
        <v>433</v>
      </c>
      <c r="E26" s="2" t="s">
        <v>88</v>
      </c>
      <c r="F26" s="2" t="s">
        <v>354</v>
      </c>
      <c r="G26" s="4" t="s">
        <v>356</v>
      </c>
      <c r="I26" t="str">
        <f t="shared" si="0"/>
        <v>insert into zamestnanci (os_cislo,prijmeni,jmeno,rfid,telefon,adresa,firma,smena,aktivni) values ('5250','Chudala Kamila','Katarzyna','0301162065','48 733 622 020   ','Mlodziezowa 67B/2 , Wodzislaw Slaski, 44-373','1','R','1');</v>
      </c>
      <c r="K26" t="str">
        <f t="shared" si="1"/>
        <v>update zamestnanci set prijmeni='Chudala',jmeno='Kamila Katarzyna' where os_cislo='5250';</v>
      </c>
    </row>
    <row r="27" spans="1:11" x14ac:dyDescent="0.25">
      <c r="A27" s="4" t="s">
        <v>373</v>
      </c>
      <c r="B27" s="2" t="s">
        <v>565</v>
      </c>
      <c r="C27" s="2" t="s">
        <v>499</v>
      </c>
      <c r="D27" s="2" t="s">
        <v>566</v>
      </c>
      <c r="E27" s="2" t="s">
        <v>94</v>
      </c>
      <c r="F27" s="2" t="s">
        <v>372</v>
      </c>
      <c r="G27" s="4" t="s">
        <v>374</v>
      </c>
      <c r="I27" t="str">
        <f t="shared" si="0"/>
        <v>insert into zamestnanci (os_cislo,prijmeni,jmeno,rfid,telefon,adresa,firma,smena,aktivni) values ('5251','Skrobol Jolanta','Kazimiera','0315325884','48 661 821 712  ','Młodzieżowa 67B/3 , Wodzislaw Slaski , 44-373 ','1','R','1');</v>
      </c>
      <c r="K27" t="str">
        <f t="shared" si="1"/>
        <v>update zamestnanci set prijmeni='Skrobol',jmeno='Jolanta Kazimiera' where os_cislo='5251';</v>
      </c>
    </row>
    <row r="28" spans="1:11" x14ac:dyDescent="0.25">
      <c r="A28" s="4" t="s">
        <v>158</v>
      </c>
      <c r="B28" s="2" t="s">
        <v>428</v>
      </c>
      <c r="C28" s="2" t="s">
        <v>429</v>
      </c>
      <c r="D28" s="2" t="s">
        <v>430</v>
      </c>
      <c r="E28" s="2" t="s">
        <v>22</v>
      </c>
      <c r="F28" s="2" t="s">
        <v>159</v>
      </c>
      <c r="G28" s="4" t="s">
        <v>160</v>
      </c>
      <c r="I28" t="str">
        <f t="shared" si="0"/>
        <v>insert into zamestnanci (os_cislo,prijmeni,jmeno,rfid,telefon,adresa,firma,smena,aktivni) values ('4075','Czerwik Maksymilian','Konrad','0328608651','48 728 262 157 ','Gustawa Morcinka 5/3, Jastrzebie-Zdroj, 44-335','1','R','1');</v>
      </c>
      <c r="K28" t="str">
        <f t="shared" si="1"/>
        <v>update zamestnanci set prijmeni='Czerwik',jmeno='Maksymilian Konrad' where os_cislo='4075';</v>
      </c>
    </row>
    <row r="29" spans="1:11" x14ac:dyDescent="0.25">
      <c r="A29" s="4" t="s">
        <v>204</v>
      </c>
      <c r="B29" s="2" t="s">
        <v>414</v>
      </c>
      <c r="C29" s="2" t="s">
        <v>463</v>
      </c>
      <c r="D29" s="2" t="s">
        <v>464</v>
      </c>
      <c r="E29" s="2" t="s">
        <v>37</v>
      </c>
      <c r="F29" s="2" t="s">
        <v>203</v>
      </c>
      <c r="G29" s="4" t="s">
        <v>205</v>
      </c>
      <c r="I29" t="str">
        <f t="shared" si="0"/>
        <v>insert into zamestnanci (os_cislo,prijmeni,jmeno,rfid,telefon,adresa,firma,smena,aktivni) values ('3474','Niznik Mariola','Krystyna','0328443809','48 534 280 476 ','Adolfa Dygasińskiego 33, Pszów, 44-370 ','1','R','1');</v>
      </c>
      <c r="K29" t="str">
        <f t="shared" si="1"/>
        <v>update zamestnanci set prijmeni='Niznik',jmeno='Mariola Krystyna' where os_cislo='3474';</v>
      </c>
    </row>
    <row r="30" spans="1:11" x14ac:dyDescent="0.25">
      <c r="A30" s="4" t="s">
        <v>167</v>
      </c>
      <c r="B30" s="2" t="s">
        <v>436</v>
      </c>
      <c r="C30" s="2" t="s">
        <v>437</v>
      </c>
      <c r="D30" s="2" t="s">
        <v>438</v>
      </c>
      <c r="E30" s="2" t="s">
        <v>25</v>
      </c>
      <c r="F30" s="2" t="s">
        <v>169</v>
      </c>
      <c r="G30" s="4" t="s">
        <v>168</v>
      </c>
      <c r="I30" t="str">
        <f t="shared" si="0"/>
        <v>insert into zamestnanci (os_cislo,prijmeni,jmeno,rfid,telefon,adresa,firma,smena,aktivni) values ('3937','Tyminska Sylvia','Malgorzata','0272698648','48 602 294 398','Zielona 20/7, Jastrzebie-Zdroj, 44-335 ','1','R','1');</v>
      </c>
      <c r="K30" t="str">
        <f t="shared" si="1"/>
        <v>update zamestnanci set prijmeni='Tyminska',jmeno='Sylvia Malgorzata' where os_cislo='3937';</v>
      </c>
    </row>
    <row r="31" spans="1:11" x14ac:dyDescent="0.25">
      <c r="A31" s="4" t="s">
        <v>239</v>
      </c>
      <c r="B31" s="2" t="s">
        <v>483</v>
      </c>
      <c r="C31" s="2" t="s">
        <v>424</v>
      </c>
      <c r="D31" s="2" t="s">
        <v>438</v>
      </c>
      <c r="E31" s="2" t="s">
        <v>49</v>
      </c>
      <c r="F31" s="2" t="s">
        <v>240</v>
      </c>
      <c r="G31" s="4" t="s">
        <v>241</v>
      </c>
      <c r="I31" t="str">
        <f t="shared" si="0"/>
        <v>insert into zamestnanci (os_cislo,prijmeni,jmeno,rfid,telefon,adresa,firma,smena,aktivni) values ('4828','Stryjska Beata','Malgorzata','0348338812','48 607 421 757 ','Alojzego Milaty 1B/5, Cieszyn, 43-400','1','R','1');</v>
      </c>
      <c r="K31" t="str">
        <f t="shared" si="1"/>
        <v>update zamestnanci set prijmeni='Stryjska',jmeno='Beata Malgorzata' where os_cislo='4828';</v>
      </c>
    </row>
    <row r="32" spans="1:11" x14ac:dyDescent="0.25">
      <c r="A32" s="4" t="s">
        <v>99</v>
      </c>
      <c r="B32" s="2" t="s">
        <v>386</v>
      </c>
      <c r="C32" s="2" t="s">
        <v>387</v>
      </c>
      <c r="D32" s="2" t="s">
        <v>388</v>
      </c>
      <c r="E32" s="2" t="s">
        <v>2</v>
      </c>
      <c r="F32" s="4" t="s">
        <v>101</v>
      </c>
      <c r="G32" s="4" t="s">
        <v>103</v>
      </c>
      <c r="I32" t="str">
        <f t="shared" si="0"/>
        <v>insert into zamestnanci (os_cislo,prijmeni,jmeno,rfid,telefon,adresa,firma,smena,aktivni) values ('2109','Lesniak Robert','Marek','0289821104','48 08 856 147','Turystyczna 5/14, Jastrzebie-Zdrój, 44-335  ','1','R','1');</v>
      </c>
      <c r="K32" t="str">
        <f t="shared" si="1"/>
        <v>update zamestnanci set prijmeni='Lesniak',jmeno='Robert Marek' where os_cislo='2109';</v>
      </c>
    </row>
    <row r="33" spans="1:11" x14ac:dyDescent="0.25">
      <c r="A33" s="4" t="s">
        <v>127</v>
      </c>
      <c r="B33" s="2" t="s">
        <v>406</v>
      </c>
      <c r="C33" s="2" t="s">
        <v>407</v>
      </c>
      <c r="D33" s="2" t="s">
        <v>388</v>
      </c>
      <c r="E33" s="2" t="s">
        <v>11</v>
      </c>
      <c r="F33" s="4" t="s">
        <v>128</v>
      </c>
      <c r="G33" s="4" t="s">
        <v>129</v>
      </c>
      <c r="I33" t="str">
        <f t="shared" si="0"/>
        <v>insert into zamestnanci (os_cislo,prijmeni,jmeno,rfid,telefon,adresa,firma,smena,aktivni) values ('3396','Matusiak Orfeusz','Marek','0370042379','48 537 065 617 ','osiedle 1000-lecia 18/7, Jasrtzebie-zdroj, 44-268','1','R','1');</v>
      </c>
      <c r="K33" t="str">
        <f t="shared" si="1"/>
        <v>update zamestnanci set prijmeni='Matusiak',jmeno='Orfeusz Marek' where os_cislo='3396';</v>
      </c>
    </row>
    <row r="34" spans="1:11" x14ac:dyDescent="0.25">
      <c r="A34" s="4" t="s">
        <v>233</v>
      </c>
      <c r="B34" s="2" t="s">
        <v>480</v>
      </c>
      <c r="C34" s="2" t="s">
        <v>481</v>
      </c>
      <c r="D34" s="2" t="s">
        <v>388</v>
      </c>
      <c r="E34" s="2" t="s">
        <v>47</v>
      </c>
      <c r="F34" s="2" t="s">
        <v>234</v>
      </c>
      <c r="G34" s="4" t="s">
        <v>235</v>
      </c>
      <c r="I34" t="str">
        <f t="shared" si="0"/>
        <v>insert into zamestnanci (os_cislo,prijmeni,jmeno,rfid,telefon,adresa,firma,smena,aktivni) values ('4775','Kotowski Zbigniew','Marek','0301166922','48 539 242 677','Śrutarska 28/1, Cieszyn, 43-400','1','R','1');</v>
      </c>
      <c r="K34" t="str">
        <f t="shared" si="1"/>
        <v>update zamestnanci set prijmeni='Kotowski',jmeno='Zbigniew Marek' where os_cislo='4775';</v>
      </c>
    </row>
    <row r="35" spans="1:11" x14ac:dyDescent="0.25">
      <c r="A35" s="4" t="s">
        <v>152</v>
      </c>
      <c r="B35" s="2" t="s">
        <v>425</v>
      </c>
      <c r="C35" s="2" t="s">
        <v>392</v>
      </c>
      <c r="D35" s="2" t="s">
        <v>402</v>
      </c>
      <c r="E35" s="2" t="s">
        <v>20</v>
      </c>
      <c r="F35" s="4" t="s">
        <v>153</v>
      </c>
      <c r="G35" s="4" t="s">
        <v>154</v>
      </c>
      <c r="I35" t="str">
        <f t="shared" si="0"/>
        <v>insert into zamestnanci (os_cislo,prijmeni,jmeno,rfid,telefon,adresa,firma,smena,aktivni) values ('4092','Sitek Karolina','Maria','0301166883','48 726 113 843 ','Dworcowa 49, Laziska, 44-340','1','R','1');</v>
      </c>
      <c r="K35" t="str">
        <f t="shared" si="1"/>
        <v>update zamestnanci set prijmeni='Sitek',jmeno='Karolina Maria' where os_cislo='4092';</v>
      </c>
    </row>
    <row r="36" spans="1:11" x14ac:dyDescent="0.25">
      <c r="A36" s="4" t="s">
        <v>337</v>
      </c>
      <c r="B36" s="2" t="s">
        <v>539</v>
      </c>
      <c r="C36" s="2" t="s">
        <v>540</v>
      </c>
      <c r="D36" s="2" t="s">
        <v>402</v>
      </c>
      <c r="E36" s="2" t="s">
        <v>82</v>
      </c>
      <c r="F36" s="2" t="s">
        <v>338</v>
      </c>
      <c r="G36" s="4" t="s">
        <v>339</v>
      </c>
      <c r="I36" t="str">
        <f t="shared" si="0"/>
        <v>insert into zamestnanci (os_cislo,prijmeni,jmeno,rfid,telefon,adresa,firma,smena,aktivni) values ('5224','Gora Renata','Maria','0328443824','48 887 691 372','Chmielna 13, Konczyce Male, 43-410','1','R','1');</v>
      </c>
      <c r="K36" t="str">
        <f t="shared" si="1"/>
        <v>update zamestnanci set prijmeni='Gora',jmeno='Renata Maria' where os_cislo='5224';</v>
      </c>
    </row>
    <row r="37" spans="1:11" x14ac:dyDescent="0.25">
      <c r="A37" s="4" t="s">
        <v>357</v>
      </c>
      <c r="B37" s="2" t="s">
        <v>555</v>
      </c>
      <c r="C37" s="2" t="s">
        <v>536</v>
      </c>
      <c r="D37" s="2" t="s">
        <v>402</v>
      </c>
      <c r="E37" s="2" t="s">
        <v>89</v>
      </c>
      <c r="F37" s="2" t="s">
        <v>358</v>
      </c>
      <c r="G37" s="4" t="s">
        <v>359</v>
      </c>
      <c r="I37" t="str">
        <f t="shared" si="0"/>
        <v>insert into zamestnanci (os_cislo,prijmeni,jmeno,rfid,telefon,adresa,firma,smena,aktivni) values ('5257','Kaminska Wioletta','Maria','0348314735','48 513 775 887  ','Slaska 31/12, Jastrzebie Zdroj, 44-335','1','R','1');</v>
      </c>
      <c r="K37" t="str">
        <f t="shared" si="1"/>
        <v>update zamestnanci set prijmeni='Kaminska',jmeno='Wioletta Maria' where os_cislo='5257';</v>
      </c>
    </row>
    <row r="38" spans="1:11" x14ac:dyDescent="0.25">
      <c r="A38" s="4" t="s">
        <v>366</v>
      </c>
      <c r="B38" s="2" t="s">
        <v>561</v>
      </c>
      <c r="C38" s="2" t="s">
        <v>562</v>
      </c>
      <c r="D38" s="2" t="s">
        <v>402</v>
      </c>
      <c r="E38" s="2" t="s">
        <v>92</v>
      </c>
      <c r="F38" s="2" t="s">
        <v>367</v>
      </c>
      <c r="G38" s="4" t="s">
        <v>368</v>
      </c>
      <c r="I38" t="str">
        <f t="shared" si="0"/>
        <v>insert into zamestnanci (os_cislo,prijmeni,jmeno,rfid,telefon,adresa,firma,smena,aktivni) values ('5259','Malec Izabela','Maria','0301165671','48 791 042 779  ','Ulica Wiejska 96/5, Jastrzebie-Zdroj , 44-338','1','R','1');</v>
      </c>
      <c r="K38" t="str">
        <f t="shared" si="1"/>
        <v>update zamestnanci set prijmeni='Malec',jmeno='Izabela Maria' where os_cislo='5259';</v>
      </c>
    </row>
    <row r="39" spans="1:11" x14ac:dyDescent="0.25">
      <c r="A39" s="4" t="s">
        <v>230</v>
      </c>
      <c r="B39" s="2" t="s">
        <v>478</v>
      </c>
      <c r="C39" s="2" t="s">
        <v>412</v>
      </c>
      <c r="D39" s="2" t="s">
        <v>479</v>
      </c>
      <c r="E39" s="2" t="s">
        <v>46</v>
      </c>
      <c r="F39" s="2" t="s">
        <v>231</v>
      </c>
      <c r="G39" s="4" t="s">
        <v>232</v>
      </c>
      <c r="I39" t="str">
        <f t="shared" si="0"/>
        <v>insert into zamestnanci (os_cislo,prijmeni,jmeno,rfid,telefon,adresa,firma,smena,aktivni) values ('4773','Pszonak Monika','Marta','0348333056','48 728 349 041','Tęczowa 20, Świerklany , 44-266','1','R','1');</v>
      </c>
      <c r="K39" t="str">
        <f t="shared" si="1"/>
        <v>update zamestnanci set prijmeni='Pszonak',jmeno='Monika Marta' where os_cislo='4773';</v>
      </c>
    </row>
    <row r="40" spans="1:11" x14ac:dyDescent="0.25">
      <c r="A40" s="4" t="s">
        <v>122</v>
      </c>
      <c r="B40" s="2" t="s">
        <v>401</v>
      </c>
      <c r="C40" s="2" t="s">
        <v>402</v>
      </c>
      <c r="D40" s="2" t="s">
        <v>403</v>
      </c>
      <c r="E40" s="2" t="s">
        <v>9</v>
      </c>
      <c r="F40" s="4" t="s">
        <v>121</v>
      </c>
      <c r="G40" s="4" t="s">
        <v>123</v>
      </c>
      <c r="I40" t="str">
        <f t="shared" si="0"/>
        <v>insert into zamestnanci (os_cislo,prijmeni,jmeno,rfid,telefon,adresa,firma,smena,aktivni) values ('3273','Gawlok Maria','Marzena','0227604194','48 609 564 610  ',' Powstancow Slaskich 244, Skrzyszow, 44-348','1','R','1');</v>
      </c>
      <c r="K40" t="str">
        <f t="shared" si="1"/>
        <v>update zamestnanci set prijmeni='Gawlok',jmeno='Maria Marzena' where os_cislo='3273';</v>
      </c>
    </row>
    <row r="41" spans="1:11" x14ac:dyDescent="0.25">
      <c r="A41" s="4" t="s">
        <v>255</v>
      </c>
      <c r="B41" s="2" t="s">
        <v>492</v>
      </c>
      <c r="C41" s="2" t="s">
        <v>486</v>
      </c>
      <c r="D41" s="2" t="s">
        <v>403</v>
      </c>
      <c r="E41" s="2" t="s">
        <v>54</v>
      </c>
      <c r="F41" s="2" t="s">
        <v>254</v>
      </c>
      <c r="G41" s="4" t="s">
        <v>256</v>
      </c>
      <c r="I41" t="str">
        <f t="shared" si="0"/>
        <v>insert into zamestnanci (os_cislo,prijmeni,jmeno,rfid,telefon,adresa,firma,smena,aktivni) values ('4912','Szymura Edyta','Marzena','0301165651','48 514 925 449  ','Cieszynska 221, Jastrzebie Zdroj, 44-337','1','R','1');</v>
      </c>
      <c r="K41" t="str">
        <f t="shared" si="1"/>
        <v>update zamestnanci set prijmeni='Szymura',jmeno='Edyta Marzena' where os_cislo='4912';</v>
      </c>
    </row>
    <row r="42" spans="1:11" x14ac:dyDescent="0.25">
      <c r="A42" s="4" t="s">
        <v>291</v>
      </c>
      <c r="B42" s="2" t="s">
        <v>513</v>
      </c>
      <c r="C42" s="2" t="s">
        <v>462</v>
      </c>
      <c r="D42" s="2" t="s">
        <v>403</v>
      </c>
      <c r="E42" s="2" t="s">
        <v>66</v>
      </c>
      <c r="F42" s="2" t="s">
        <v>290</v>
      </c>
      <c r="G42" s="4" t="s">
        <v>292</v>
      </c>
      <c r="I42" t="str">
        <f t="shared" si="0"/>
        <v>insert into zamestnanci (os_cislo,prijmeni,jmeno,rfid,telefon,adresa,firma,smena,aktivni) values ('5065','Olbrys Justyna','Marzena','0301173036','48 721 988 899 ','Wroclawska 21/22, Jastrzebie Zdroj , 44-335','1','R','1');</v>
      </c>
      <c r="K42" t="str">
        <f t="shared" si="1"/>
        <v>update zamestnanci set prijmeni='Olbrys',jmeno='Justyna Marzena' where os_cislo='5065';</v>
      </c>
    </row>
    <row r="43" spans="1:11" x14ac:dyDescent="0.25">
      <c r="A43" s="4" t="s">
        <v>189</v>
      </c>
      <c r="B43" s="2" t="s">
        <v>450</v>
      </c>
      <c r="C43" s="2" t="s">
        <v>452</v>
      </c>
      <c r="D43" s="2" t="s">
        <v>453</v>
      </c>
      <c r="E43" s="2" t="s">
        <v>32</v>
      </c>
      <c r="F43" s="2" t="s">
        <v>190</v>
      </c>
      <c r="G43" s="4" t="s">
        <v>191</v>
      </c>
      <c r="I43" t="str">
        <f t="shared" si="0"/>
        <v>insert into zamestnanci (os_cislo,prijmeni,jmeno,rfid,telefon,adresa,firma,smena,aktivni) values ('4514','Sikora Teresa','Michalina','0315321893','48 731 406 172','Leśna 5/8, Gorzyczki, 44-350','1','R','1');</v>
      </c>
      <c r="K43" t="str">
        <f t="shared" si="1"/>
        <v>update zamestnanci set prijmeni='Sikora',jmeno='Teresa Michalina' where os_cislo='4514';</v>
      </c>
    </row>
    <row r="44" spans="1:11" x14ac:dyDescent="0.25">
      <c r="A44" s="4" t="s">
        <v>186</v>
      </c>
      <c r="B44" s="2" t="s">
        <v>450</v>
      </c>
      <c r="C44" s="2" t="s">
        <v>451</v>
      </c>
      <c r="D44" s="2" t="s">
        <v>412</v>
      </c>
      <c r="E44" s="2" t="s">
        <v>31</v>
      </c>
      <c r="F44" s="2" t="s">
        <v>187</v>
      </c>
      <c r="G44" s="4" t="s">
        <v>188</v>
      </c>
      <c r="I44" t="str">
        <f t="shared" si="0"/>
        <v>insert into zamestnanci (os_cislo,prijmeni,jmeno,rfid,telefon,adresa,firma,smena,aktivni) values ('4515','Sikora Karina','Monika','0301180379','48 733 032 650','Bolesława Prusa 12/3, Wodzislaw Slaski, 44-300 ','1','R','1');</v>
      </c>
      <c r="K44" t="str">
        <f t="shared" si="1"/>
        <v>update zamestnanci set prijmeni='Sikora',jmeno='Karina Monika' where os_cislo='4515';</v>
      </c>
    </row>
    <row r="45" spans="1:11" x14ac:dyDescent="0.25">
      <c r="A45" s="4" t="s">
        <v>236</v>
      </c>
      <c r="B45" s="2" t="s">
        <v>426</v>
      </c>
      <c r="C45" s="2" t="s">
        <v>482</v>
      </c>
      <c r="D45" s="2" t="s">
        <v>412</v>
      </c>
      <c r="E45" s="2" t="s">
        <v>48</v>
      </c>
      <c r="F45" s="2" t="s">
        <v>237</v>
      </c>
      <c r="G45" s="4" t="s">
        <v>238</v>
      </c>
      <c r="I45" t="str">
        <f t="shared" si="0"/>
        <v>insert into zamestnanci (os_cislo,prijmeni,jmeno,rfid,telefon,adresa,firma,smena,aktivni) values ('4821','Lapczyk Wiktoria','Monika','0328443816','48 510 087 467  ','Tysiąclecia 38/7, Wodzisław Śląski, 44-300 ','1','R','1');</v>
      </c>
      <c r="K45" t="str">
        <f t="shared" si="1"/>
        <v>update zamestnanci set prijmeni='Lapczyk',jmeno='Wiktoria Monika' where os_cislo='4821';</v>
      </c>
    </row>
    <row r="46" spans="1:11" x14ac:dyDescent="0.25">
      <c r="A46" s="4" t="s">
        <v>293</v>
      </c>
      <c r="B46" s="2" t="s">
        <v>514</v>
      </c>
      <c r="C46" s="2" t="s">
        <v>452</v>
      </c>
      <c r="D46" s="2" t="s">
        <v>412</v>
      </c>
      <c r="E46" s="2" t="s">
        <v>67</v>
      </c>
      <c r="F46" s="2" t="s">
        <v>294</v>
      </c>
      <c r="G46" s="4" t="s">
        <v>295</v>
      </c>
      <c r="I46" t="str">
        <f t="shared" si="0"/>
        <v>insert into zamestnanci (os_cislo,prijmeni,jmeno,rfid,telefon,adresa,firma,smena,aktivni) values ('5131','Worek Teresa','Monika','0216795672','48 517 254 703  ','Turystyczna 27/36, Jastrzebie Zdroj   44-335 ','1','R','1');</v>
      </c>
      <c r="K46" t="str">
        <f t="shared" si="1"/>
        <v>update zamestnanci set prijmeni='Worek',jmeno='Teresa Monika' where os_cislo='5131';</v>
      </c>
    </row>
    <row r="47" spans="1:11" x14ac:dyDescent="0.25">
      <c r="A47" s="3" t="s">
        <v>375</v>
      </c>
      <c r="B47" s="2" t="s">
        <v>567</v>
      </c>
      <c r="C47" s="2" t="s">
        <v>394</v>
      </c>
      <c r="D47" s="2" t="s">
        <v>412</v>
      </c>
      <c r="E47" s="2" t="s">
        <v>95</v>
      </c>
      <c r="F47" s="2" t="s">
        <v>376</v>
      </c>
      <c r="G47" s="4" t="s">
        <v>377</v>
      </c>
      <c r="I47" t="str">
        <f t="shared" si="0"/>
        <v>insert into zamestnanci (os_cislo,prijmeni,jmeno,rfid,telefon,adresa,firma,smena,aktivni) values ('5271','Kielkowska Agnieszka','Monika','0348325352','48 519 481 259 ','Mlynska 29A, Jastrzebie Zdroj, 44-335','1','R','1');</v>
      </c>
      <c r="K47" t="str">
        <f t="shared" si="1"/>
        <v>update zamestnanci set prijmeni='Kielkowska',jmeno='Agnieszka Monika' where os_cislo='5271';</v>
      </c>
    </row>
    <row r="48" spans="1:11" x14ac:dyDescent="0.25">
      <c r="A48" s="4" t="s">
        <v>364</v>
      </c>
      <c r="B48" s="2" t="s">
        <v>558</v>
      </c>
      <c r="C48" s="2" t="s">
        <v>559</v>
      </c>
      <c r="D48" s="2" t="s">
        <v>560</v>
      </c>
      <c r="E48" s="2" t="s">
        <v>91</v>
      </c>
      <c r="F48" s="2" t="s">
        <v>363</v>
      </c>
      <c r="G48" s="4" t="s">
        <v>365</v>
      </c>
      <c r="I48" t="str">
        <f t="shared" si="0"/>
        <v>insert into zamestnanci (os_cislo,prijmeni,jmeno,rfid,telefon,adresa,firma,smena,aktivni) values ('5261','Kupczak Dominika','Patrycja','0301180517','48 722 184 954 ','Malopolska 103/9, Jastrzebie-Zdroj, 44-335','1','R','1');</v>
      </c>
      <c r="K48" t="str">
        <f t="shared" si="1"/>
        <v>update zamestnanci set prijmeni='Kupczak',jmeno='Dominika Patrycja' where os_cislo='5261';</v>
      </c>
    </row>
    <row r="49" spans="1:11" x14ac:dyDescent="0.25">
      <c r="A49" s="4" t="s">
        <v>345</v>
      </c>
      <c r="B49" s="2" t="s">
        <v>546</v>
      </c>
      <c r="C49" s="2" t="s">
        <v>547</v>
      </c>
      <c r="D49" s="2" t="s">
        <v>519</v>
      </c>
      <c r="E49" s="2" t="s">
        <v>85</v>
      </c>
      <c r="F49" s="2" t="s">
        <v>346</v>
      </c>
      <c r="G49" s="4" t="s">
        <v>347</v>
      </c>
      <c r="I49" t="str">
        <f t="shared" si="0"/>
        <v>insert into zamestnanci (os_cislo,prijmeni,jmeno,rfid,telefon,adresa,firma,smena,aktivni) values ('5246','Mozuch Damian','Slawomir','0301162047','48 530 808 260','Krakowska 3/10, Jastrzebie-Zdrój, 44-335','1','R','1');</v>
      </c>
      <c r="K49" t="str">
        <f t="shared" si="1"/>
        <v>update zamestnanci set prijmeni='Mozuch',jmeno='Damian Slawomir' where os_cislo='5246';</v>
      </c>
    </row>
    <row r="50" spans="1:11" x14ac:dyDescent="0.25">
      <c r="A50" s="4" t="s">
        <v>197</v>
      </c>
      <c r="B50" s="2" t="s">
        <v>458</v>
      </c>
      <c r="C50" s="2" t="s">
        <v>459</v>
      </c>
      <c r="D50" s="2" t="s">
        <v>460</v>
      </c>
      <c r="E50" s="2" t="s">
        <v>35</v>
      </c>
      <c r="F50" s="2" t="s">
        <v>198</v>
      </c>
      <c r="G50" s="4" t="s">
        <v>199</v>
      </c>
      <c r="I50" t="str">
        <f t="shared" si="0"/>
        <v>insert into zamestnanci (os_cislo,prijmeni,jmeno,rfid,telefon,adresa,firma,smena,aktivni) values ('4602','Watroba Leszek','Stanislaw','0289896649','48 796 408 373  ','Zielona 33/9, Jastrzebie-Zdroj, 44-335 ','1','R','1');</v>
      </c>
      <c r="K50" t="str">
        <f t="shared" si="1"/>
        <v>update zamestnanci set prijmeni='Watroba',jmeno='Leszek Stanislaw' where os_cislo='4602';</v>
      </c>
    </row>
    <row r="51" spans="1:11" x14ac:dyDescent="0.25">
      <c r="A51" s="4" t="s">
        <v>326</v>
      </c>
      <c r="B51" s="2" t="s">
        <v>532</v>
      </c>
      <c r="C51" s="2" t="s">
        <v>533</v>
      </c>
      <c r="D51" s="2" t="s">
        <v>534</v>
      </c>
      <c r="E51" s="2" t="s">
        <v>78</v>
      </c>
      <c r="F51" s="2" t="s">
        <v>327</v>
      </c>
      <c r="G51" s="4" t="s">
        <v>328</v>
      </c>
      <c r="I51" t="str">
        <f t="shared" si="0"/>
        <v>insert into zamestnanci (os_cislo,prijmeni,jmeno,rfid,telefon,adresa,firma,smena,aktivni) values ('5204','Pozarowszczyk Alicja','Stefania','0301173029','48 884 680 482','Osiedle Tysiac-lecia 26/8, Wodzislaw Slaski, 44-300','1','R','1');</v>
      </c>
      <c r="K51" t="str">
        <f t="shared" si="1"/>
        <v>update zamestnanci set prijmeni='Pozarowszczyk',jmeno='Alicja Stefania' where os_cislo='5204';</v>
      </c>
    </row>
    <row r="52" spans="1:11" x14ac:dyDescent="0.25">
      <c r="A52" s="3" t="s">
        <v>381</v>
      </c>
      <c r="B52" s="2" t="s">
        <v>568</v>
      </c>
      <c r="C52" s="2" t="s">
        <v>570</v>
      </c>
      <c r="D52" s="2" t="s">
        <v>571</v>
      </c>
      <c r="E52" s="2" t="s">
        <v>97</v>
      </c>
      <c r="F52" s="2" t="s">
        <v>382</v>
      </c>
      <c r="G52" s="4" t="s">
        <v>380</v>
      </c>
      <c r="I52" t="str">
        <f t="shared" si="0"/>
        <v>insert into zamestnanci (os_cislo,prijmeni,jmeno,rfid,telefon,adresa,firma,smena,aktivni) values ('5273','Pogoda Daniel','Sylweste','0301172955','48 733 080 489 ','Rymera 247, Radlin, 44-310','1','R','1');</v>
      </c>
      <c r="K52" t="str">
        <f t="shared" si="1"/>
        <v>update zamestnanci set prijmeni='Pogoda',jmeno='Daniel Sylweste' where os_cislo='5273';</v>
      </c>
    </row>
    <row r="53" spans="1:11" x14ac:dyDescent="0.25">
      <c r="A53" s="4" t="s">
        <v>131</v>
      </c>
      <c r="B53" s="2" t="s">
        <v>408</v>
      </c>
      <c r="C53" s="2" t="s">
        <v>409</v>
      </c>
      <c r="D53" s="2" t="s">
        <v>410</v>
      </c>
      <c r="E53" s="2" t="s">
        <v>12</v>
      </c>
      <c r="F53" s="4" t="s">
        <v>130</v>
      </c>
      <c r="G53" s="4" t="s">
        <v>132</v>
      </c>
      <c r="I53" t="str">
        <f t="shared" si="0"/>
        <v>insert into zamestnanci (os_cislo,prijmeni,jmeno,rfid,telefon,adresa,firma,smena,aktivni) values ('3394','Stawowski Patryk','Tomasz','0301180452','48 513 278 184    ','osiedle 1000-lecia 19, Jastrzebie-Zdroj, 44-268','1','R','1');</v>
      </c>
      <c r="K53" t="str">
        <f t="shared" si="1"/>
        <v>update zamestnanci set prijmeni='Stawowski',jmeno='Patryk Tomasz' where os_cislo='3394';</v>
      </c>
    </row>
    <row r="54" spans="1:11" x14ac:dyDescent="0.25">
      <c r="A54" s="4" t="s">
        <v>269</v>
      </c>
      <c r="B54" s="2" t="s">
        <v>439</v>
      </c>
      <c r="C54" s="2" t="s">
        <v>499</v>
      </c>
      <c r="D54" s="2" t="s">
        <v>500</v>
      </c>
      <c r="E54" s="2" t="s">
        <v>59</v>
      </c>
      <c r="F54" s="2" t="s">
        <v>270</v>
      </c>
      <c r="G54" s="4" t="s">
        <v>271</v>
      </c>
      <c r="I54" t="str">
        <f t="shared" si="0"/>
        <v>insert into zamestnanci (os_cislo,prijmeni,jmeno,rfid,telefon,adresa,firma,smena,aktivni) values ('4972','Pajor Jolanta','Wanda','0328432680','48 516 690 472','Towarowa 7/15, Cieszyn, 43-400','1','R','1');</v>
      </c>
      <c r="K54" t="str">
        <f t="shared" si="1"/>
        <v>update zamestnanci set prijmeni='Pajor',jmeno='Jolanta Wanda' where os_cislo='4972';</v>
      </c>
    </row>
    <row r="55" spans="1:11" x14ac:dyDescent="0.25">
      <c r="A55" s="4" t="s">
        <v>135</v>
      </c>
      <c r="B55" s="2" t="s">
        <v>411</v>
      </c>
      <c r="C55" s="2" t="s">
        <v>412</v>
      </c>
      <c r="D55" s="2" t="s">
        <v>413</v>
      </c>
      <c r="E55" s="2" t="s">
        <v>13</v>
      </c>
      <c r="F55" s="4" t="s">
        <v>133</v>
      </c>
      <c r="G55" s="4" t="s">
        <v>134</v>
      </c>
      <c r="I55" t="str">
        <f t="shared" si="0"/>
        <v>insert into zamestnanci (os_cislo,prijmeni,jmeno,rfid,telefon,adresa,firma,smena,aktivni) values ('3648','Urbas Monika','Weronika','0301166942','48 536 396 825','Zielona 37/22, Jastrzebie-Zdroj, 44-335 ','1','R','1');</v>
      </c>
      <c r="K55" t="str">
        <f t="shared" si="1"/>
        <v>update zamestnanci set prijmeni='Urbas',jmeno='Monika Weronika' where os_cislo='3648';</v>
      </c>
    </row>
    <row r="56" spans="1:11" x14ac:dyDescent="0.25">
      <c r="A56" s="4" t="s">
        <v>192</v>
      </c>
      <c r="B56" s="2" t="s">
        <v>454</v>
      </c>
      <c r="C56" s="2" t="s">
        <v>455</v>
      </c>
      <c r="D56" s="2" t="s">
        <v>413</v>
      </c>
      <c r="E56" s="2" t="s">
        <v>33</v>
      </c>
      <c r="F56" s="2" t="s">
        <v>193</v>
      </c>
      <c r="G56" s="4" t="s">
        <v>178</v>
      </c>
      <c r="I56" t="str">
        <f t="shared" si="0"/>
        <v>insert into zamestnanci (os_cislo,prijmeni,jmeno,rfid,telefon,adresa,firma,smena,aktivni) values ('4510','Weczerek Adriana','Weronika','0328604588','48 665 142 622 ','Os. Alojzego Biernackiego 48, Pszow, 44-370','1','R','1');</v>
      </c>
      <c r="K56" t="str">
        <f t="shared" si="1"/>
        <v>update zamestnanci set prijmeni='Weczerek',jmeno='Adriana Weronika' where os_cislo='4510';</v>
      </c>
    </row>
    <row r="57" spans="1:11" x14ac:dyDescent="0.25">
      <c r="A57" s="4" t="s">
        <v>349</v>
      </c>
      <c r="B57" s="2" t="s">
        <v>548</v>
      </c>
      <c r="C57" s="2" t="s">
        <v>549</v>
      </c>
      <c r="D57" s="2" t="s">
        <v>413</v>
      </c>
      <c r="E57" s="2" t="s">
        <v>86</v>
      </c>
      <c r="F57" s="2" t="s">
        <v>348</v>
      </c>
      <c r="G57" s="4" t="s">
        <v>350</v>
      </c>
      <c r="I57" t="str">
        <f t="shared" si="0"/>
        <v>insert into zamestnanci (os_cislo,prijmeni,jmeno,rfid,telefon,adresa,firma,smena,aktivni) values ('5243','Matelska Klaudia','Weronika','0301165646','48 534 970 425  ','Turystyczna 16/11, Jastrzebie-Zdrój, 44-335','1','R','1');</v>
      </c>
      <c r="K57" t="str">
        <f t="shared" si="1"/>
        <v>update zamestnanci set prijmeni='Matelska',jmeno='Klaudia Weronika' where os_cislo='5243';</v>
      </c>
    </row>
    <row r="58" spans="1:11" x14ac:dyDescent="0.25">
      <c r="A58" s="4" t="s">
        <v>279</v>
      </c>
      <c r="B58" s="2" t="s">
        <v>505</v>
      </c>
      <c r="C58" s="2" t="s">
        <v>506</v>
      </c>
      <c r="D58" s="2" t="s">
        <v>481</v>
      </c>
      <c r="E58" s="2" t="s">
        <v>62</v>
      </c>
      <c r="F58" s="2" t="s">
        <v>278</v>
      </c>
      <c r="G58" s="4" t="s">
        <v>280</v>
      </c>
      <c r="I58" t="str">
        <f t="shared" si="0"/>
        <v>insert into zamestnanci (os_cislo,prijmeni,jmeno,rfid,telefon,adresa,firma,smena,aktivni) values ('5009','Ostafin Andrzej','Zbigniew','0370026717','48 575 565 409','Os. 1000-Lecia 15D/4 , Jastrzebie Zdroj, 44-268','1','R','1');</v>
      </c>
      <c r="K58" t="str">
        <f t="shared" si="1"/>
        <v>update zamestnanci set prijmeni='Ostafin',jmeno='Andrzej Zbigniew' where os_cislo='5009';</v>
      </c>
    </row>
    <row r="59" spans="1:11" x14ac:dyDescent="0.25">
      <c r="A59" s="4" t="s">
        <v>342</v>
      </c>
      <c r="B59" s="2" t="s">
        <v>543</v>
      </c>
      <c r="C59" s="2" t="s">
        <v>544</v>
      </c>
      <c r="D59" s="2" t="s">
        <v>545</v>
      </c>
      <c r="E59" s="2" t="s">
        <v>84</v>
      </c>
      <c r="F59" s="2" t="s">
        <v>343</v>
      </c>
      <c r="G59" s="4" t="s">
        <v>344</v>
      </c>
      <c r="I59" t="str">
        <f t="shared" si="0"/>
        <v>insert into zamestnanci (os_cislo,prijmeni,jmeno,rfid,telefon,adresa,firma,smena,aktivni) values ('5229','Szewczyk Wojciech','Zdzislaw','0370028638','48 884 685 014 ','Os. Wladyslawa Sikorskiego 9J/6, Zory, 44-240','1','R','1');</v>
      </c>
      <c r="K59" t="str">
        <f t="shared" si="1"/>
        <v>update zamestnanci set prijmeni='Szewczyk',jmeno='Wojciech Zdzislaw' where os_cislo='5229';</v>
      </c>
    </row>
    <row r="60" spans="1:11" x14ac:dyDescent="0.25">
      <c r="A60" s="4" t="s">
        <v>317</v>
      </c>
      <c r="B60" s="2" t="s">
        <v>527</v>
      </c>
      <c r="C60" s="2" t="s">
        <v>438</v>
      </c>
      <c r="D60" s="2" t="s">
        <v>528</v>
      </c>
      <c r="E60" s="2" t="s">
        <v>75</v>
      </c>
      <c r="F60" s="2" t="s">
        <v>318</v>
      </c>
      <c r="G60" s="4" t="s">
        <v>319</v>
      </c>
      <c r="I60" t="str">
        <f t="shared" si="0"/>
        <v>insert into zamestnanci (os_cislo,prijmeni,jmeno,rfid,telefon,adresa,firma,smena,aktivni) values ('5194','Moc Malgorzata','Zofia','0301173069','48 519 399 747','Harcerska 4/1, Jastrzebie Zdroj, 44-335 ','1','R','1');</v>
      </c>
      <c r="K60" t="str">
        <f t="shared" si="1"/>
        <v>update zamestnanci set prijmeni='Moc',jmeno='Malgorzata Zofia' where os_cislo='5194';</v>
      </c>
    </row>
    <row r="61" spans="1:11" x14ac:dyDescent="0.25">
      <c r="A61" s="4" t="s">
        <v>221</v>
      </c>
      <c r="B61" s="2" t="s">
        <v>473</v>
      </c>
      <c r="C61" s="2" t="s">
        <v>474</v>
      </c>
      <c r="D61" s="2" t="s">
        <v>475</v>
      </c>
      <c r="E61" s="2" t="s">
        <v>43</v>
      </c>
      <c r="F61" s="2" t="s">
        <v>222</v>
      </c>
      <c r="G61" s="4" t="s">
        <v>223</v>
      </c>
      <c r="I61" t="str">
        <f t="shared" si="0"/>
        <v>insert into zamestnanci (os_cislo,prijmeni,jmeno,rfid,telefon,adresa,firma,smena,aktivni) values ('4722','Klimkowska Janina','Žaneta','0348323412','48 534 868 808   ','Jurija Gagarina 46, Jastrzębie-Zdrój, 44-268','1','R','1');</v>
      </c>
      <c r="K61" t="str">
        <f t="shared" si="1"/>
        <v>update zamestnanci set prijmeni='Klimkowska',jmeno='Janina Žaneta' where os_cislo='4722';</v>
      </c>
    </row>
    <row r="62" spans="1:11" x14ac:dyDescent="0.25">
      <c r="A62" s="4" t="s">
        <v>104</v>
      </c>
      <c r="B62" s="2" t="s">
        <v>389</v>
      </c>
      <c r="C62" s="2" t="s">
        <v>390</v>
      </c>
      <c r="D62" s="2"/>
      <c r="E62" s="2" t="s">
        <v>3</v>
      </c>
      <c r="F62" s="4" t="s">
        <v>105</v>
      </c>
      <c r="G62" s="4" t="s">
        <v>106</v>
      </c>
      <c r="I62" t="str">
        <f>"insert into zamestnanci (os_cislo,prijmeni,jmeno,rfid,telefon,adresa,firma,smena,aktivni) values ('" &amp; A62 &amp; "','" &amp; B62 &amp;  "','" &amp; C62 &amp; "','" &amp; E62 &amp; "','" &amp; F62 &amp; "','" &amp; G62 &amp; "','1','R','1');"</f>
        <v>insert into zamestnanci (os_cislo,prijmeni,jmeno,rfid,telefon,adresa,firma,smena,aktivni) values ('2738','Olejniczak','Danuta','0315321954','48 730 766 849 ','Slaska 11/13, Jastrzebie-Zdrój, 44-335','1','R','1');</v>
      </c>
    </row>
    <row r="63" spans="1:11" x14ac:dyDescent="0.25">
      <c r="A63" s="4" t="s">
        <v>108</v>
      </c>
      <c r="B63" s="2" t="s">
        <v>391</v>
      </c>
      <c r="C63" s="2" t="s">
        <v>392</v>
      </c>
      <c r="D63" s="2"/>
      <c r="E63" s="2" t="s">
        <v>4</v>
      </c>
      <c r="F63" s="4" t="s">
        <v>107</v>
      </c>
      <c r="G63" s="4" t="s">
        <v>109</v>
      </c>
      <c r="I63" t="str">
        <f t="shared" ref="I63:I98" si="2">"insert into zamestnanci (os_cislo,prijmeni,jmeno,rfid,telefon,adresa,firma,smena,aktivni) values ('" &amp; A63 &amp; "','" &amp; B63 &amp;  "','" &amp; C63 &amp; "','" &amp; E63 &amp; "','" &amp; F63 &amp; "','" &amp; G63 &amp; "','1','R','1');"</f>
        <v>insert into zamestnanci (os_cislo,prijmeni,jmeno,rfid,telefon,adresa,firma,smena,aktivni) values ('2069','Debner','Karolina','0301165689','48 739 218 695 ','Promienna 5/201, Zory, 44-240 ','1','R','1');</v>
      </c>
    </row>
    <row r="64" spans="1:11" x14ac:dyDescent="0.25">
      <c r="A64" s="4" t="s">
        <v>110</v>
      </c>
      <c r="B64" s="2" t="s">
        <v>393</v>
      </c>
      <c r="C64" s="2" t="s">
        <v>394</v>
      </c>
      <c r="D64" s="2"/>
      <c r="E64" s="2" t="s">
        <v>5</v>
      </c>
      <c r="F64" s="4"/>
      <c r="G64" s="4" t="s">
        <v>111</v>
      </c>
      <c r="I64" t="str">
        <f t="shared" si="2"/>
        <v>insert into zamestnanci (os_cislo,prijmeni,jmeno,rfid,telefon,adresa,firma,smena,aktivni) values ('2230','Piechaczek','Agnieszka','0272698616','','Wiejska 21, Jastrzebie-Zdroj, 44-338  ','1','R','1');</v>
      </c>
    </row>
    <row r="65" spans="1:9" x14ac:dyDescent="0.25">
      <c r="A65" s="4" t="s">
        <v>113</v>
      </c>
      <c r="B65" s="2" t="s">
        <v>395</v>
      </c>
      <c r="C65" s="2" t="s">
        <v>396</v>
      </c>
      <c r="D65" s="2"/>
      <c r="E65" s="2" t="s">
        <v>6</v>
      </c>
      <c r="F65" s="4" t="s">
        <v>112</v>
      </c>
      <c r="G65" s="4" t="s">
        <v>114</v>
      </c>
      <c r="I65" t="str">
        <f t="shared" si="2"/>
        <v>insert into zamestnanci (os_cislo,prijmeni,jmeno,rfid,telefon,adresa,firma,smena,aktivni) values ('2945','Francová','Karolína','0289821261','770 664 657',' Hrnčířská 2003, Rožnov pod Radhoštěm, 756 61','1','R','1');</v>
      </c>
    </row>
    <row r="66" spans="1:9" x14ac:dyDescent="0.25">
      <c r="A66" s="4" t="s">
        <v>116</v>
      </c>
      <c r="B66" s="2" t="s">
        <v>397</v>
      </c>
      <c r="C66" s="2" t="s">
        <v>398</v>
      </c>
      <c r="D66" s="2"/>
      <c r="E66" s="2" t="s">
        <v>7</v>
      </c>
      <c r="F66" s="4" t="s">
        <v>115</v>
      </c>
      <c r="G66" s="4" t="s">
        <v>117</v>
      </c>
      <c r="I66" t="str">
        <f t="shared" si="2"/>
        <v>insert into zamestnanci (os_cislo,prijmeni,jmeno,rfid,telefon,adresa,firma,smena,aktivni) values ('5175','Wywiol','Romeusz','0315321918','48 574 677 081    ','Turystyczna 1, Jastrzebie-Zdrój, 44-335','1','R','1');</v>
      </c>
    </row>
    <row r="67" spans="1:9" x14ac:dyDescent="0.25">
      <c r="A67" s="4" t="s">
        <v>119</v>
      </c>
      <c r="B67" s="2" t="s">
        <v>399</v>
      </c>
      <c r="C67" s="2" t="s">
        <v>400</v>
      </c>
      <c r="D67" s="2"/>
      <c r="E67" s="2" t="s">
        <v>8</v>
      </c>
      <c r="F67" s="4" t="s">
        <v>118</v>
      </c>
      <c r="G67" s="4" t="s">
        <v>120</v>
      </c>
      <c r="I67" t="str">
        <f t="shared" si="2"/>
        <v>insert into zamestnanci (os_cislo,prijmeni,jmeno,rfid,telefon,adresa,firma,smena,aktivni) values ('3257','Starzyczny','Joanna','0272698647','48 693 474 209','Wiejska 9 A m.1, Jastrzebie-Zdrój, 44-338','1','R','1');</v>
      </c>
    </row>
    <row r="68" spans="1:9" x14ac:dyDescent="0.25">
      <c r="A68" s="4" t="s">
        <v>126</v>
      </c>
      <c r="B68" s="2" t="s">
        <v>404</v>
      </c>
      <c r="C68" s="2" t="s">
        <v>405</v>
      </c>
      <c r="D68" s="2"/>
      <c r="E68" s="2" t="s">
        <v>10</v>
      </c>
      <c r="F68" s="4" t="s">
        <v>124</v>
      </c>
      <c r="G68" s="4" t="s">
        <v>125</v>
      </c>
      <c r="I68" t="str">
        <f t="shared" si="2"/>
        <v>insert into zamestnanci (os_cislo,prijmeni,jmeno,rfid,telefon,adresa,firma,smena,aktivni) values ('3369','Mottlová','Markéta','0315321940','720 578 148   ','Závodní 409/53, Ostrava - Hrabůvka, 700 30','1','R','1');</v>
      </c>
    </row>
    <row r="69" spans="1:9" x14ac:dyDescent="0.25">
      <c r="A69" s="4" t="s">
        <v>137</v>
      </c>
      <c r="B69" s="2" t="s">
        <v>414</v>
      </c>
      <c r="C69" s="2" t="s">
        <v>415</v>
      </c>
      <c r="D69" s="2"/>
      <c r="E69" s="2" t="s">
        <v>14</v>
      </c>
      <c r="F69" s="4"/>
      <c r="G69" s="4" t="s">
        <v>136</v>
      </c>
      <c r="I69" t="str">
        <f t="shared" si="2"/>
        <v>insert into zamestnanci (os_cislo,prijmeni,jmeno,rfid,telefon,adresa,firma,smena,aktivni) values ('3078','Niznik','Boguslaw','0315321941','','Dygasinskiego 33, Pszów, 44-370 ','1','R','1');</v>
      </c>
    </row>
    <row r="70" spans="1:9" x14ac:dyDescent="0.25">
      <c r="A70" s="4" t="s">
        <v>140</v>
      </c>
      <c r="B70" s="2" t="s">
        <v>416</v>
      </c>
      <c r="C70" s="2" t="s">
        <v>417</v>
      </c>
      <c r="D70" s="2"/>
      <c r="E70" s="2" t="s">
        <v>15</v>
      </c>
      <c r="F70" s="4" t="s">
        <v>138</v>
      </c>
      <c r="G70" s="4" t="s">
        <v>139</v>
      </c>
      <c r="I70" t="str">
        <f t="shared" si="2"/>
        <v>insert into zamestnanci (os_cislo,prijmeni,jmeno,rfid,telefon,adresa,firma,smena,aktivni) values ('3721','Fitrzyková','Jana','0328604658','704 188 141','Těšínská 87/281, Ostrava - Radvanice, 716 00 ','1','R','1');</v>
      </c>
    </row>
    <row r="71" spans="1:9" x14ac:dyDescent="0.25">
      <c r="A71" s="4" t="s">
        <v>141</v>
      </c>
      <c r="B71" s="2" t="s">
        <v>418</v>
      </c>
      <c r="C71" s="2" t="s">
        <v>419</v>
      </c>
      <c r="D71" s="2"/>
      <c r="E71" s="2" t="s">
        <v>16</v>
      </c>
      <c r="F71" s="4" t="s">
        <v>142</v>
      </c>
      <c r="G71" s="4" t="s">
        <v>143</v>
      </c>
      <c r="I71" t="str">
        <f t="shared" si="2"/>
        <v>insert into zamestnanci (os_cislo,prijmeni,jmeno,rfid,telefon,adresa,firma,smena,aktivni) values ('3729','Chodinský','Jakub','0328608672','735 997 947  ','Vyškovická 447/153 , Ostrava - Výškovice, 700 30 ','1','R','1');</v>
      </c>
    </row>
    <row r="72" spans="1:9" x14ac:dyDescent="0.25">
      <c r="A72" s="4" t="s">
        <v>144</v>
      </c>
      <c r="B72" s="2" t="s">
        <v>418</v>
      </c>
      <c r="C72" s="2" t="s">
        <v>420</v>
      </c>
      <c r="D72" s="2"/>
      <c r="E72" s="2" t="s">
        <v>17</v>
      </c>
      <c r="F72" s="4" t="s">
        <v>145</v>
      </c>
      <c r="G72" s="4" t="s">
        <v>143</v>
      </c>
      <c r="I72" t="str">
        <f t="shared" si="2"/>
        <v>insert into zamestnanci (os_cislo,prijmeni,jmeno,rfid,telefon,adresa,firma,smena,aktivni) values ('3728','Chodinský','Rostislav','0301165667','735 883 940  ','Vyškovická 447/153 , Ostrava - Výškovice, 700 30 ','1','R','1');</v>
      </c>
    </row>
    <row r="73" spans="1:9" x14ac:dyDescent="0.25">
      <c r="A73" s="4" t="s">
        <v>147</v>
      </c>
      <c r="B73" s="2" t="s">
        <v>421</v>
      </c>
      <c r="C73" s="2" t="s">
        <v>422</v>
      </c>
      <c r="D73" s="2"/>
      <c r="E73" s="2" t="s">
        <v>18</v>
      </c>
      <c r="F73" s="4" t="s">
        <v>146</v>
      </c>
      <c r="G73" s="4" t="s">
        <v>148</v>
      </c>
      <c r="I73" t="str">
        <f t="shared" si="2"/>
        <v>insert into zamestnanci (os_cislo,prijmeni,jmeno,rfid,telefon,adresa,firma,smena,aktivni) values ('4365','Šostá','Ivana','0315325893','702 897 627 ',' Hulvácká 1399/11a, Ostrava-Zábřeh , 700 30  ','1','R','1');</v>
      </c>
    </row>
    <row r="74" spans="1:9" x14ac:dyDescent="0.25">
      <c r="A74" s="4" t="s">
        <v>149</v>
      </c>
      <c r="B74" s="2" t="s">
        <v>423</v>
      </c>
      <c r="C74" s="2" t="s">
        <v>424</v>
      </c>
      <c r="D74" s="2"/>
      <c r="E74" s="2" t="s">
        <v>19</v>
      </c>
      <c r="F74" s="4" t="s">
        <v>150</v>
      </c>
      <c r="G74" s="4" t="s">
        <v>151</v>
      </c>
      <c r="I74" t="str">
        <f t="shared" si="2"/>
        <v>insert into zamestnanci (os_cislo,prijmeni,jmeno,rfid,telefon,adresa,firma,smena,aktivni) values (' 3284','Matuszczyk','Beata','0328608668','48 692 755 081','Górnicza 38/23, Jastrzebie-Zdroj, 44-335','1','R','1');</v>
      </c>
    </row>
    <row r="75" spans="1:9" x14ac:dyDescent="0.25">
      <c r="A75" s="4" t="s">
        <v>166</v>
      </c>
      <c r="B75" s="2" t="s">
        <v>434</v>
      </c>
      <c r="C75" s="2" t="s">
        <v>435</v>
      </c>
      <c r="D75" s="2"/>
      <c r="E75" s="2" t="s">
        <v>24</v>
      </c>
      <c r="F75" s="2" t="s">
        <v>164</v>
      </c>
      <c r="G75" s="4" t="s">
        <v>165</v>
      </c>
      <c r="I75" t="str">
        <f t="shared" si="2"/>
        <v>insert into zamestnanci (os_cislo,prijmeni,jmeno,rfid,telefon,adresa,firma,smena,aktivni) values ('4326','Lázoková','Darina','0328608677','705 926 915   ','Lidická 539, Třinec - Lyžbice, 739 61','1','R','1');</v>
      </c>
    </row>
    <row r="76" spans="1:9" x14ac:dyDescent="0.25">
      <c r="A76" s="4" t="s">
        <v>171</v>
      </c>
      <c r="B76" s="2" t="s">
        <v>439</v>
      </c>
      <c r="C76" s="2" t="s">
        <v>440</v>
      </c>
      <c r="D76" s="2"/>
      <c r="E76" s="2" t="s">
        <v>26</v>
      </c>
      <c r="F76" s="2" t="s">
        <v>170</v>
      </c>
      <c r="G76" s="4" t="s">
        <v>172</v>
      </c>
      <c r="I76" t="str">
        <f t="shared" si="2"/>
        <v>insert into zamestnanci (os_cislo,prijmeni,jmeno,rfid,telefon,adresa,firma,smena,aktivni) values ('4442','Pajor','Artur','0301165649','48 731 773 661','Gustawa Morcinka 8/6, Jastrzebie-Zdroj, 44-335','1','R','1');</v>
      </c>
    </row>
    <row r="77" spans="1:9" x14ac:dyDescent="0.25">
      <c r="A77" s="4" t="s">
        <v>175</v>
      </c>
      <c r="B77" s="2" t="s">
        <v>441</v>
      </c>
      <c r="C77" s="2" t="s">
        <v>442</v>
      </c>
      <c r="D77" s="2"/>
      <c r="E77" s="2" t="s">
        <v>27</v>
      </c>
      <c r="F77" s="2" t="s">
        <v>173</v>
      </c>
      <c r="G77" s="4" t="s">
        <v>174</v>
      </c>
      <c r="I77" t="str">
        <f t="shared" si="2"/>
        <v>insert into zamestnanci (os_cislo,prijmeni,jmeno,rfid,telefon,adresa,firma,smena,aktivni) values ('3871','Neudert','Pavel','0370053055','704 717 533 ','Horní 791/3, Ostrava - Hrabůvka, 700 30','1','R','1');</v>
      </c>
    </row>
    <row r="78" spans="1:9" x14ac:dyDescent="0.25">
      <c r="A78" s="4" t="s">
        <v>183</v>
      </c>
      <c r="B78" s="2" t="s">
        <v>448</v>
      </c>
      <c r="C78" s="2" t="s">
        <v>449</v>
      </c>
      <c r="D78" s="2"/>
      <c r="E78" s="2" t="s">
        <v>30</v>
      </c>
      <c r="F78" s="2" t="s">
        <v>184</v>
      </c>
      <c r="G78" s="4" t="s">
        <v>185</v>
      </c>
      <c r="I78" t="str">
        <f t="shared" si="2"/>
        <v>insert into zamestnanci (os_cislo,prijmeni,jmeno,rfid,telefon,adresa,firma,smena,aktivni) values ('3920','Krzenek','Ryszarda','0315325856','48 725 009 441','Skrajna 4 m.6, Cieszyn, 43-400','1','R','1');</v>
      </c>
    </row>
    <row r="79" spans="1:9" x14ac:dyDescent="0.25">
      <c r="A79" s="4" t="s">
        <v>207</v>
      </c>
      <c r="B79" s="2" t="s">
        <v>465</v>
      </c>
      <c r="C79" s="2" t="s">
        <v>445</v>
      </c>
      <c r="D79" s="2"/>
      <c r="E79" s="2" t="s">
        <v>38</v>
      </c>
      <c r="F79" s="2" t="s">
        <v>206</v>
      </c>
      <c r="G79" s="4" t="s">
        <v>208</v>
      </c>
      <c r="I79" t="str">
        <f t="shared" si="2"/>
        <v>insert into zamestnanci (os_cislo,prijmeni,jmeno,rfid,telefon,adresa,firma,smena,aktivni) values ('4622','Starosta','Barbara','0328443818','48 735 049 358  ','Radlinska 147, Wodzislaw Slaski, 44-300','1','R','1');</v>
      </c>
    </row>
    <row r="80" spans="1:9" x14ac:dyDescent="0.25">
      <c r="A80" s="4" t="s">
        <v>209</v>
      </c>
      <c r="B80" s="2" t="s">
        <v>466</v>
      </c>
      <c r="C80" s="2" t="s">
        <v>394</v>
      </c>
      <c r="D80" s="2"/>
      <c r="E80" s="2" t="s">
        <v>39</v>
      </c>
      <c r="F80" s="2" t="s">
        <v>210</v>
      </c>
      <c r="G80" s="4" t="s">
        <v>211</v>
      </c>
      <c r="I80" t="str">
        <f t="shared" si="2"/>
        <v>insert into zamestnanci (os_cislo,prijmeni,jmeno,rfid,telefon,adresa,firma,smena,aktivni) values ('4682','Bugno','Agnieszka','0289896688','48 785 427 469   ','Okreźna 4, Zebrzydowice, 43-410','1','R','1');</v>
      </c>
    </row>
    <row r="81" spans="1:9" x14ac:dyDescent="0.25">
      <c r="A81" s="4" t="s">
        <v>213</v>
      </c>
      <c r="B81" s="2" t="s">
        <v>467</v>
      </c>
      <c r="C81" s="2" t="s">
        <v>468</v>
      </c>
      <c r="D81" s="2"/>
      <c r="E81" s="2" t="s">
        <v>40</v>
      </c>
      <c r="F81" s="2" t="s">
        <v>212</v>
      </c>
      <c r="G81" s="4" t="s">
        <v>214</v>
      </c>
      <c r="I81" t="str">
        <f t="shared" si="2"/>
        <v>insert into zamestnanci (os_cislo,prijmeni,jmeno,rfid,telefon,adresa,firma,smena,aktivni) values ('4719','Paczlowski','Michal','0328611446','48 535 384 403  ','Turnawiec 9,Turnawiec, 28-506','1','R','1');</v>
      </c>
    </row>
    <row r="82" spans="1:9" x14ac:dyDescent="0.25">
      <c r="A82" s="4" t="s">
        <v>218</v>
      </c>
      <c r="B82" s="2" t="s">
        <v>472</v>
      </c>
      <c r="C82" s="2" t="s">
        <v>402</v>
      </c>
      <c r="D82" s="2"/>
      <c r="E82" s="2" t="s">
        <v>42</v>
      </c>
      <c r="F82" s="2" t="s">
        <v>219</v>
      </c>
      <c r="G82" s="4" t="s">
        <v>220</v>
      </c>
      <c r="I82" t="str">
        <f t="shared" si="2"/>
        <v>insert into zamestnanci (os_cislo,prijmeni,jmeno,rfid,telefon,adresa,firma,smena,aktivni) values ('2463','Krensel','Maria','0289910254','48 888 278 520   ','Poprzeczna 16/8, Jastrzebie-Zdrój, 44-330 ','1','R','1');</v>
      </c>
    </row>
    <row r="83" spans="1:9" x14ac:dyDescent="0.25">
      <c r="A83" s="4" t="s">
        <v>227</v>
      </c>
      <c r="B83" s="2" t="s">
        <v>477</v>
      </c>
      <c r="C83" s="2" t="s">
        <v>451</v>
      </c>
      <c r="D83" s="2"/>
      <c r="E83" s="2" t="s">
        <v>45</v>
      </c>
      <c r="F83" s="2" t="s">
        <v>228</v>
      </c>
      <c r="G83" s="4" t="s">
        <v>229</v>
      </c>
      <c r="I83" t="str">
        <f t="shared" si="2"/>
        <v>insert into zamestnanci (os_cislo,prijmeni,jmeno,rfid,telefon,adresa,firma,smena,aktivni) values ('4599','Belej','Karina','0348342254','48 723 005 113 ','Miarki 2m.22, Jastrzebie-Zdroj , 44-330','1','R','1');</v>
      </c>
    </row>
    <row r="84" spans="1:9" x14ac:dyDescent="0.25">
      <c r="A84" s="4" t="s">
        <v>242</v>
      </c>
      <c r="B84" s="2" t="s">
        <v>484</v>
      </c>
      <c r="C84" s="2" t="s">
        <v>463</v>
      </c>
      <c r="D84" s="2"/>
      <c r="E84" s="2" t="s">
        <v>50</v>
      </c>
      <c r="F84" s="2" t="s">
        <v>243</v>
      </c>
      <c r="G84" s="4" t="s">
        <v>244</v>
      </c>
      <c r="I84" t="str">
        <f t="shared" si="2"/>
        <v>insert into zamestnanci (os_cislo,prijmeni,jmeno,rfid,telefon,adresa,firma,smena,aktivni) values ('4132','Adamiec','Mariola','0370025477','48 514 328 225','Marusarzowny 2/26, Jastrzebie-Zdroj, 44-330','1','R','1');</v>
      </c>
    </row>
    <row r="85" spans="1:9" x14ac:dyDescent="0.25">
      <c r="A85" s="4" t="s">
        <v>245</v>
      </c>
      <c r="B85" s="2" t="s">
        <v>485</v>
      </c>
      <c r="C85" s="2" t="s">
        <v>486</v>
      </c>
      <c r="D85" s="2"/>
      <c r="E85" s="2" t="s">
        <v>51</v>
      </c>
      <c r="F85" s="2" t="s">
        <v>246</v>
      </c>
      <c r="G85" s="4" t="s">
        <v>247</v>
      </c>
      <c r="I85" t="str">
        <f t="shared" si="2"/>
        <v>insert into zamestnanci (os_cislo,prijmeni,jmeno,rfid,telefon,adresa,firma,smena,aktivni) values ('4838','Bartoň','Edyta','0328608648','48 793 386 811','Cieszyńska 218/4, Jastrzębie-Zdrój, 44-337','1','R','1');</v>
      </c>
    </row>
    <row r="86" spans="1:9" x14ac:dyDescent="0.25">
      <c r="A86" s="4" t="s">
        <v>257</v>
      </c>
      <c r="B86" s="2" t="s">
        <v>493</v>
      </c>
      <c r="C86" s="2" t="s">
        <v>387</v>
      </c>
      <c r="D86" s="2"/>
      <c r="E86" s="2" t="s">
        <v>55</v>
      </c>
      <c r="F86" s="2" t="s">
        <v>258</v>
      </c>
      <c r="G86" s="4" t="s">
        <v>259</v>
      </c>
      <c r="I86" t="str">
        <f t="shared" si="2"/>
        <v>insert into zamestnanci (os_cislo,prijmeni,jmeno,rfid,telefon,adresa,firma,smena,aktivni) values ('4928','Zjadewicz','Robert','0301162227','48 783 448 031  Jasna','Jasna 19/10, Jastrzebie Zdroj , 44-335','1','R','1');</v>
      </c>
    </row>
    <row r="87" spans="1:9" x14ac:dyDescent="0.25">
      <c r="A87" s="4" t="s">
        <v>264</v>
      </c>
      <c r="B87" s="2" t="s">
        <v>496</v>
      </c>
      <c r="C87" s="2" t="s">
        <v>481</v>
      </c>
      <c r="D87" s="2"/>
      <c r="E87" s="2" t="s">
        <v>57</v>
      </c>
      <c r="F87" s="2" t="s">
        <v>263</v>
      </c>
      <c r="G87" s="4" t="s">
        <v>265</v>
      </c>
      <c r="I87" t="str">
        <f t="shared" si="2"/>
        <v>insert into zamestnanci (os_cislo,prijmeni,jmeno,rfid,telefon,adresa,firma,smena,aktivni) values ('4963','Krzemiński','Zbigniew','0348330448','48 510 280 238 ','Gustawa Morcinka 17b/3 , Rybnik, 44-273 ','1','R','1');</v>
      </c>
    </row>
    <row r="88" spans="1:9" x14ac:dyDescent="0.25">
      <c r="A88" s="4" t="s">
        <v>284</v>
      </c>
      <c r="B88" s="2" t="s">
        <v>510</v>
      </c>
      <c r="C88" s="2" t="s">
        <v>511</v>
      </c>
      <c r="D88" s="2"/>
      <c r="E88" s="2" t="s">
        <v>64</v>
      </c>
      <c r="F88" s="2" t="s">
        <v>285</v>
      </c>
      <c r="G88" s="4" t="s">
        <v>286</v>
      </c>
      <c r="I88" t="str">
        <f t="shared" si="2"/>
        <v>insert into zamestnanci (os_cislo,prijmeni,jmeno,rfid,telefon,adresa,firma,smena,aktivni) values ('5014','Michalec','Regina','0370041446','48 794 475 219  ','Rynek 5/1, Strumien, 43-246','1','R','1');</v>
      </c>
    </row>
    <row r="89" spans="1:9" x14ac:dyDescent="0.25">
      <c r="A89" s="4" t="s">
        <v>288</v>
      </c>
      <c r="B89" s="2" t="s">
        <v>512</v>
      </c>
      <c r="C89" s="2" t="s">
        <v>508</v>
      </c>
      <c r="D89" s="2"/>
      <c r="E89" s="2" t="s">
        <v>65</v>
      </c>
      <c r="F89" s="2" t="s">
        <v>287</v>
      </c>
      <c r="G89" s="4" t="s">
        <v>289</v>
      </c>
      <c r="I89" t="str">
        <f t="shared" si="2"/>
        <v>insert into zamestnanci (os_cislo,prijmeni,jmeno,rfid,telefon,adresa,firma,smena,aktivni) values ('5024','Marinska','Natalia','0301172992','48 602 506 260','Lipowa 16, Hazlach , 43-419 ','1','R','1');</v>
      </c>
    </row>
    <row r="90" spans="1:9" x14ac:dyDescent="0.25">
      <c r="A90" s="4" t="s">
        <v>300</v>
      </c>
      <c r="B90" s="2" t="s">
        <v>517</v>
      </c>
      <c r="C90" s="2" t="s">
        <v>412</v>
      </c>
      <c r="D90" s="2"/>
      <c r="E90" s="2" t="s">
        <v>69</v>
      </c>
      <c r="F90" s="2" t="s">
        <v>299</v>
      </c>
      <c r="G90" s="4" t="s">
        <v>301</v>
      </c>
      <c r="I90" t="str">
        <f t="shared" si="2"/>
        <v>insert into zamestnanci (os_cislo,prijmeni,jmeno,rfid,telefon,adresa,firma,smena,aktivni) values ('5155','Vrlíková','Monika','0370059270','48 792 058 912  ','Beskidzka 30/2, Jastrzebie Zdroj, 44-335','1','R','1');</v>
      </c>
    </row>
    <row r="91" spans="1:9" x14ac:dyDescent="0.25">
      <c r="A91" s="4" t="s">
        <v>302</v>
      </c>
      <c r="B91" s="2" t="s">
        <v>518</v>
      </c>
      <c r="C91" s="2" t="s">
        <v>519</v>
      </c>
      <c r="D91" s="2"/>
      <c r="E91" s="2" t="s">
        <v>70</v>
      </c>
      <c r="F91" s="2" t="s">
        <v>303</v>
      </c>
      <c r="G91" s="4" t="s">
        <v>304</v>
      </c>
      <c r="I91" t="str">
        <f t="shared" si="2"/>
        <v>insert into zamestnanci (os_cislo,prijmeni,jmeno,rfid,telefon,adresa,firma,smena,aktivni) values ('5180','Motyl','Slawomir','0301172956','48 512 640 222','Pszczynska 189A, Jastrzebie Zdroj, 44-335 ','1','R','1');</v>
      </c>
    </row>
    <row r="92" spans="1:9" x14ac:dyDescent="0.25">
      <c r="A92" s="4" t="s">
        <v>305</v>
      </c>
      <c r="B92" s="2" t="s">
        <v>520</v>
      </c>
      <c r="C92" s="2" t="s">
        <v>521</v>
      </c>
      <c r="D92" s="2"/>
      <c r="E92" s="2" t="s">
        <v>71</v>
      </c>
      <c r="F92" s="2" t="s">
        <v>306</v>
      </c>
      <c r="G92" s="4" t="s">
        <v>307</v>
      </c>
      <c r="I92" t="str">
        <f t="shared" si="2"/>
        <v>insert into zamestnanci (os_cislo,prijmeni,jmeno,rfid,telefon,adresa,firma,smena,aktivni) values ('5179','Szymiczek','Ewa','0370026025','48 534 483 104 ','Marusarzowny 12/28, Jastrzebie-Zdrój, 44-335','1','R','1');</v>
      </c>
    </row>
    <row r="93" spans="1:9" x14ac:dyDescent="0.25">
      <c r="A93" s="4" t="s">
        <v>309</v>
      </c>
      <c r="B93" s="2" t="s">
        <v>522</v>
      </c>
      <c r="C93" s="2" t="s">
        <v>523</v>
      </c>
      <c r="D93" s="2"/>
      <c r="E93" s="2" t="s">
        <v>72</v>
      </c>
      <c r="F93" s="2" t="s">
        <v>308</v>
      </c>
      <c r="G93" s="4" t="s">
        <v>310</v>
      </c>
      <c r="I93" t="str">
        <f t="shared" si="2"/>
        <v>insert into zamestnanci (os_cislo,prijmeni,jmeno,rfid,telefon,adresa,firma,smena,aktivni) values ('5176','Skolarus','Sebastian','0301172958','48 577 727 649  ','Wiejska 20, Gorzyczki , 44-350','1','R','1');</v>
      </c>
    </row>
    <row r="94" spans="1:9" x14ac:dyDescent="0.25">
      <c r="A94" s="4" t="s">
        <v>311</v>
      </c>
      <c r="B94" s="2" t="s">
        <v>524</v>
      </c>
      <c r="C94" s="2" t="s">
        <v>525</v>
      </c>
      <c r="D94" s="2"/>
      <c r="E94" s="2" t="s">
        <v>73</v>
      </c>
      <c r="F94" s="2" t="s">
        <v>312</v>
      </c>
      <c r="G94" s="4" t="s">
        <v>313</v>
      </c>
      <c r="I94" t="str">
        <f t="shared" si="2"/>
        <v>insert into zamestnanci (os_cislo,prijmeni,jmeno,rfid,telefon,adresa,firma,smena,aktivni) values ('5177','Ogórek','Bogdan','0301162049','48 531 467 802 ','Wyszynskiego 67/11, Wodzislaw Slaski, 44-300','1','R','1');</v>
      </c>
    </row>
    <row r="95" spans="1:9" x14ac:dyDescent="0.25">
      <c r="A95" s="4" t="s">
        <v>314</v>
      </c>
      <c r="B95" s="2" t="s">
        <v>526</v>
      </c>
      <c r="C95" s="2" t="s">
        <v>410</v>
      </c>
      <c r="D95" s="2"/>
      <c r="E95" s="2" t="s">
        <v>74</v>
      </c>
      <c r="F95" s="2" t="s">
        <v>315</v>
      </c>
      <c r="G95" s="4" t="s">
        <v>316</v>
      </c>
      <c r="I95" t="str">
        <f t="shared" si="2"/>
        <v>insert into zamestnanci (os_cislo,prijmeni,jmeno,rfid,telefon,adresa,firma,smena,aktivni) values ('5192','Gasior','Tomasz','0301180406','48 574 787 606 ','Os. Ks. Wladyslawa 7C/37 , Zory, 44-240','1','R','1');</v>
      </c>
    </row>
    <row r="96" spans="1:9" x14ac:dyDescent="0.25">
      <c r="A96" s="4" t="s">
        <v>323</v>
      </c>
      <c r="B96" s="2" t="s">
        <v>531</v>
      </c>
      <c r="C96" s="2" t="s">
        <v>506</v>
      </c>
      <c r="D96" s="2"/>
      <c r="E96" s="2" t="s">
        <v>77</v>
      </c>
      <c r="F96" s="2" t="s">
        <v>324</v>
      </c>
      <c r="G96" s="4" t="s">
        <v>325</v>
      </c>
      <c r="I96" t="str">
        <f t="shared" si="2"/>
        <v>insert into zamestnanci (os_cislo,prijmeni,jmeno,rfid,telefon,adresa,firma,smena,aktivni) values ('5209','Klosek','Andrzej','0301162320','48 667 542 463','Orzeszkowej 12/18, Wodzislaw Slaski, 44-300 ','1','R','1');</v>
      </c>
    </row>
    <row r="97" spans="1:9" x14ac:dyDescent="0.25">
      <c r="A97" s="4" t="s">
        <v>332</v>
      </c>
      <c r="B97" s="2" t="s">
        <v>492</v>
      </c>
      <c r="C97" s="2" t="s">
        <v>463</v>
      </c>
      <c r="D97" s="2"/>
      <c r="E97" s="2" t="s">
        <v>80</v>
      </c>
      <c r="F97" s="2" t="s">
        <v>575</v>
      </c>
      <c r="G97" s="4" t="s">
        <v>333</v>
      </c>
      <c r="I97" t="str">
        <f t="shared" si="2"/>
        <v>insert into zamestnanci (os_cislo,prijmeni,jmeno,rfid,telefon,adresa,firma,smena,aktivni) values ('5208','Szymura','Mariola','0370023455','48 789 625 101','Plebiscytowa 20, Orzesze , 43-180','1','R','1');</v>
      </c>
    </row>
    <row r="98" spans="1:9" x14ac:dyDescent="0.25">
      <c r="A98" s="4" t="s">
        <v>340</v>
      </c>
      <c r="B98" s="2" t="s">
        <v>541</v>
      </c>
      <c r="C98" s="2" t="s">
        <v>542</v>
      </c>
      <c r="D98" s="2"/>
      <c r="E98" s="2" t="s">
        <v>83</v>
      </c>
      <c r="F98" s="2" t="s">
        <v>574</v>
      </c>
      <c r="G98" s="4" t="s">
        <v>341</v>
      </c>
      <c r="I98" t="str">
        <f t="shared" si="2"/>
        <v>insert into zamestnanci (os_cislo,prijmeni,jmeno,rfid,telefon,adresa,firma,smena,aktivni) values ('5226','Goralska','Magdalena','0370041265','48 790 463 268','Katowicka 111/2, Cieszyn, 43-400','1','R','1');</v>
      </c>
    </row>
    <row r="99" spans="1:9" x14ac:dyDescent="0.25">
      <c r="G99" s="7"/>
    </row>
  </sheetData>
  <sortState xmlns:xlrd2="http://schemas.microsoft.com/office/spreadsheetml/2017/richdata2" ref="A2:G98">
    <sortCondition ref="D2:D98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 osob s č_1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Mariola Kozusznik</dc:creator>
  <cp:lastModifiedBy>Aleš Kadlec</cp:lastModifiedBy>
  <dcterms:created xsi:type="dcterms:W3CDTF">2023-10-09T13:57:46Z</dcterms:created>
  <dcterms:modified xsi:type="dcterms:W3CDTF">2023-10-12T05:06:20Z</dcterms:modified>
</cp:coreProperties>
</file>