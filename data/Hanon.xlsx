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FBBDFAD9-E8F1-4E53-9371-2F059692A6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rsonal_" sheetId="1" r:id="rId1"/>
  </sheets>
  <definedNames>
    <definedName name="_xlnm.Database">personal_!$B$1:$J$21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sharedStrings.xml><?xml version="1.0" encoding="utf-8"?>
<sst xmlns="http://schemas.openxmlformats.org/spreadsheetml/2006/main" count="190" uniqueCount="151">
  <si>
    <t>Birka</t>
  </si>
  <si>
    <t>Jan</t>
  </si>
  <si>
    <t>735 826 676</t>
  </si>
  <si>
    <t>Masarykovo nám.</t>
  </si>
  <si>
    <t>1/1</t>
  </si>
  <si>
    <t>Nový Jičín</t>
  </si>
  <si>
    <t>741 01</t>
  </si>
  <si>
    <t>CZ</t>
  </si>
  <si>
    <t>Bogdanska</t>
  </si>
  <si>
    <t>Malgorzata Beata</t>
  </si>
  <si>
    <t>+48 503 935 531</t>
  </si>
  <si>
    <t>26 Marca</t>
  </si>
  <si>
    <t>42/47</t>
  </si>
  <si>
    <t>Wodzislaw Slaski</t>
  </si>
  <si>
    <t>44-300</t>
  </si>
  <si>
    <t>PL</t>
  </si>
  <si>
    <t>Boruszka</t>
  </si>
  <si>
    <t>Aneta Barbara</t>
  </si>
  <si>
    <t>+48 605 522 989</t>
  </si>
  <si>
    <t>os. 1000-lecia</t>
  </si>
  <si>
    <t>15a/11</t>
  </si>
  <si>
    <t>Jastrzebie-Zdroj</t>
  </si>
  <si>
    <t>44-268</t>
  </si>
  <si>
    <t>Cieslak</t>
  </si>
  <si>
    <t>Bogdan Cezary</t>
  </si>
  <si>
    <t>+48 883 115 857</t>
  </si>
  <si>
    <t>Polna</t>
  </si>
  <si>
    <t>22C m.10</t>
  </si>
  <si>
    <t>Pawlowice</t>
  </si>
  <si>
    <t>43-251</t>
  </si>
  <si>
    <t>Czapla</t>
  </si>
  <si>
    <t>Jakub Wiktor</t>
  </si>
  <si>
    <t>+48 502 625 791</t>
  </si>
  <si>
    <t>Karola Miarki</t>
  </si>
  <si>
    <t>1/17</t>
  </si>
  <si>
    <t>Jastrzebie-Zdrój</t>
  </si>
  <si>
    <t>44-330</t>
  </si>
  <si>
    <t>Durmowicz</t>
  </si>
  <si>
    <t>Dorota Teresa</t>
  </si>
  <si>
    <t>+48 782 589 483</t>
  </si>
  <si>
    <t>29/24</t>
  </si>
  <si>
    <t>Wodzisław Śląski</t>
  </si>
  <si>
    <t>Goszyc</t>
  </si>
  <si>
    <t>Wiktoria Weronika</t>
  </si>
  <si>
    <t>+48 661 453 582</t>
  </si>
  <si>
    <t>Lesmiana</t>
  </si>
  <si>
    <t>2</t>
  </si>
  <si>
    <t>Jastrzebie Zdroj</t>
  </si>
  <si>
    <t>44-335</t>
  </si>
  <si>
    <t>Huptys</t>
  </si>
  <si>
    <t>Wieslawa</t>
  </si>
  <si>
    <t>+48 667 800 222</t>
  </si>
  <si>
    <t>Radlinskie Chalupki</t>
  </si>
  <si>
    <t>123</t>
  </si>
  <si>
    <t>44-313</t>
  </si>
  <si>
    <t>Jordan</t>
  </si>
  <si>
    <t>Bozena Barbara</t>
  </si>
  <si>
    <t>+48 515 661 447</t>
  </si>
  <si>
    <t>Osiedle Orlowiec</t>
  </si>
  <si>
    <t>65m3</t>
  </si>
  <si>
    <t>Rydultowy</t>
  </si>
  <si>
    <t>44-280</t>
  </si>
  <si>
    <t>Jureczko</t>
  </si>
  <si>
    <t>Katarzyna Wanda</t>
  </si>
  <si>
    <t>+48 690 854 053</t>
  </si>
  <si>
    <t>Juřicová</t>
  </si>
  <si>
    <t>Dana</t>
  </si>
  <si>
    <t>+420 731 881 105</t>
  </si>
  <si>
    <t>Jeseník nad Odrou</t>
  </si>
  <si>
    <t>256</t>
  </si>
  <si>
    <t>742 33</t>
  </si>
  <si>
    <t>Kuś</t>
  </si>
  <si>
    <t>Adrian Daniel</t>
  </si>
  <si>
    <t>+48 730 107 362</t>
  </si>
  <si>
    <t>Świerklańska</t>
  </si>
  <si>
    <t>37</t>
  </si>
  <si>
    <t>Mamala</t>
  </si>
  <si>
    <t>Szymon Piotr</t>
  </si>
  <si>
    <t>+48 515 835 416</t>
  </si>
  <si>
    <t>Ruchu Oporu</t>
  </si>
  <si>
    <t>18/9</t>
  </si>
  <si>
    <t>Jastrzębie-Zdrój</t>
  </si>
  <si>
    <t>Palucki</t>
  </si>
  <si>
    <t>Bartosz Jan</t>
  </si>
  <si>
    <t>+48 884 362 595</t>
  </si>
  <si>
    <t>Os. Ks. Wladyslawa</t>
  </si>
  <si>
    <t>5C/18</t>
  </si>
  <si>
    <t>Zory</t>
  </si>
  <si>
    <t>44-240</t>
  </si>
  <si>
    <t>Politowicz</t>
  </si>
  <si>
    <t>Karina Maria</t>
  </si>
  <si>
    <t>+48 506 137 800</t>
  </si>
  <si>
    <t>Turska</t>
  </si>
  <si>
    <t>20B</t>
  </si>
  <si>
    <t>Skulska</t>
  </si>
  <si>
    <t>Katarzyna</t>
  </si>
  <si>
    <t>+48 666 388 386</t>
  </si>
  <si>
    <t>Piastów</t>
  </si>
  <si>
    <t>12/7</t>
  </si>
  <si>
    <t>Slaninová</t>
  </si>
  <si>
    <t>Tereza</t>
  </si>
  <si>
    <t>703 970 455</t>
  </si>
  <si>
    <t>Hukovice</t>
  </si>
  <si>
    <t>24</t>
  </si>
  <si>
    <t>Bartošovice - Hukovice</t>
  </si>
  <si>
    <t>742 13</t>
  </si>
  <si>
    <t>Szymala</t>
  </si>
  <si>
    <t>Estera Maria</t>
  </si>
  <si>
    <t>+48 663 754 640</t>
  </si>
  <si>
    <t>Przytulna</t>
  </si>
  <si>
    <t>Wegrzyn</t>
  </si>
  <si>
    <t>Aleksandra</t>
  </si>
  <si>
    <t>+48 515 340 616</t>
  </si>
  <si>
    <t>170/14</t>
  </si>
  <si>
    <t>44-286</t>
  </si>
  <si>
    <t>Weissová</t>
  </si>
  <si>
    <t>Pavlína</t>
  </si>
  <si>
    <t>735 207 222</t>
  </si>
  <si>
    <t>Štursova</t>
  </si>
  <si>
    <t>187</t>
  </si>
  <si>
    <t>Nový Jičín - Žilina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</si>
  <si>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</si>
  <si>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</si>
  <si>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</si>
  <si>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</si>
  <si>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</si>
  <si>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</si>
  <si>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</si>
  <si>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</si>
  <si>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>Stát</t>
  </si>
  <si>
    <t>RDIF</t>
  </si>
  <si>
    <t>0012951123</t>
  </si>
  <si>
    <t>0013073154</t>
  </si>
  <si>
    <t>0012989719</t>
  </si>
  <si>
    <t>0012037325</t>
  </si>
  <si>
    <t>0013392110</t>
  </si>
  <si>
    <t>0013316527</t>
  </si>
  <si>
    <t>0013309361</t>
  </si>
  <si>
    <t>0011982290</t>
  </si>
  <si>
    <t>0011974874</t>
  </si>
  <si>
    <t>0013378406</t>
  </si>
  <si>
    <t>0013338505</t>
  </si>
  <si>
    <t>0013321754</t>
  </si>
  <si>
    <t>0012013869</t>
  </si>
  <si>
    <t>0011978487</t>
  </si>
  <si>
    <t>0011990175</t>
  </si>
  <si>
    <t>0013366007</t>
  </si>
  <si>
    <t>0013371367</t>
  </si>
  <si>
    <t>0013374163</t>
  </si>
  <si>
    <t>0013351534</t>
  </si>
  <si>
    <t>0013324311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</si>
</sst>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18" fillId="0" borderId="0" xfId="0" applyNumberFormat="1" applyFont="1"/>
    <xf numFmtId="49" fontId="18" fillId="0" borderId="0" xfId="0" applyNumberFormat="1" applyFont="1"/>
    <xf numFmtId="49" fontId="19" fillId="33" borderId="0" xfId="0" quotePrefix="1" applyNumberFormat="1" applyFont="1" applyFill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49" fontId="18" fillId="0" borderId="10" xfId="0" applyNumberFormat="1" applyFont="1" applyBorder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Zeros="0" tabSelected="1" topLeftCell="D1" zoomScale="90" zoomScaleNormal="90" workbookViewId="0">
      <selection activeCell="H25" sqref="H25"/>
    </sheetView>
  </sheetViews>
  <sheetFormatPr defaultRowHeight="15" x14ac:dyDescent="0.25"/>
  <cols>
    <col min="1" max="1" width="6.7109375" style="1" customWidth="1"/>
    <col min="2" max="2" width="18.7109375" style="2" customWidth="1"/>
    <col min="3" max="3" width="15.140625" style="2" customWidth="1"/>
    <col min="4" max="4" width="31.7109375" style="2" customWidth="1"/>
    <col min="5" max="5" width="14.140625" style="2" customWidth="1"/>
    <col min="6" max="6" width="16.140625" style="2" customWidth="1"/>
    <col min="7" max="10" width="9.7109375" style="2" customWidth="1"/>
  </cols>
  <sheetData>
    <row r="1" spans="1:12" x14ac:dyDescent="0.25">
      <c r="A1" s="3" t="s">
        <v>123</v>
      </c>
      <c r="B1" s="3" t="s">
        <v>121</v>
      </c>
      <c r="C1" s="3" t="s">
        <v>122</v>
      </c>
      <c r="D1" s="3" t="s">
        <v>130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</row>
    <row r="2" spans="1:12" x14ac:dyDescent="0.25">
      <c r="A2" s="4">
        <v>5178</v>
      </c>
      <c r="B2" s="5" t="s">
        <v>0</v>
      </c>
      <c r="C2" s="5" t="s">
        <v>1</v>
      </c>
      <c r="D2" s="5" t="s">
        <v>131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L2" t="str">
        <f>"insert into zamestnanci (os_cislo,prijmeni,jmeno,rfid,telefon,adresa,firma,smena,aktivni) values ('" &amp; A2 &amp; "','" &amp; B2 &amp; "','" &amp; C2 &amp; "','" &amp; D2 &amp; "','" &amp; E2 &amp; "','" &amp; F2 &amp; " " &amp; G2 &amp; ", "  &amp; H2 &amp; ", " &amp; I2 &amp; ", " &amp; J2 &amp; "','2','R','1');"</f>
        <v>insert into zamestnanci (os_cislo,prijmeni,jmeno,rfid,telefon,adresa,firma,smena,aktivni) values ('5178','Birka','Jan','0012951123','735 826 676','Masarykovo nám. 1/1, Nový Jičín, 741 01, CZ','2','R','1');</v>
      </c>
    </row>
    <row r="3" spans="1:12" x14ac:dyDescent="0.25">
      <c r="A3" s="4">
        <v>5234</v>
      </c>
      <c r="B3" s="5" t="s">
        <v>8</v>
      </c>
      <c r="C3" s="5" t="s">
        <v>9</v>
      </c>
      <c r="D3" s="5" t="s">
        <v>132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L3" t="str">
        <f t="shared" ref="L3:L21" si="0">"insert into zamestnanci (os_cislo,prijmeni,jmeno,rfid,telefon,adresa,firma,smena,aktivni) values ('" &amp; A3 &amp; "','" &amp; B3 &amp; "','" &amp; C3 &amp; "','" &amp; D3 &amp; "','" &amp; E3 &amp; "','" &amp; F3 &amp; " " &amp; G3 &amp; ", "  &amp; H3 &amp; ", " &amp; I3 &amp; ", " &amp; J3 &amp; "','2','R','1');"</f>
        <v>insert into zamestnanci (os_cislo,prijmeni,jmeno,rfid,telefon,adresa,firma,smena,aktivni) values ('5234','Bogdanska','Malgorzata Beata','0013073154','+48 503 935 531','26 Marca 42/47, Wodzislaw Slaski, 44-300, PL','2','R','1');</v>
      </c>
    </row>
    <row r="4" spans="1:12" x14ac:dyDescent="0.25">
      <c r="A4" s="4">
        <v>3415</v>
      </c>
      <c r="B4" s="5" t="s">
        <v>16</v>
      </c>
      <c r="C4" s="5" t="s">
        <v>17</v>
      </c>
      <c r="D4" s="5" t="s">
        <v>133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15</v>
      </c>
      <c r="L4" t="str">
        <f t="shared" si="0"/>
        <v>insert into zamestnanci (os_cislo,prijmeni,jmeno,rfid,telefon,adresa,firma,smena,aktivni) values ('3415','Boruszka','Aneta Barbara','0012989719','+48 605 522 989','os. 1000-lecia 15a/11, Jastrzebie-Zdroj, 44-268, PL','2','R','1');</v>
      </c>
    </row>
    <row r="5" spans="1:12" x14ac:dyDescent="0.25">
      <c r="A5" s="4">
        <v>3428</v>
      </c>
      <c r="B5" s="5" t="s">
        <v>23</v>
      </c>
      <c r="C5" s="5" t="s">
        <v>24</v>
      </c>
      <c r="D5" s="5" t="s">
        <v>134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15</v>
      </c>
      <c r="L5" t="str">
        <f t="shared" si="0"/>
        <v>insert into zamestnanci (os_cislo,prijmeni,jmeno,rfid,telefon,adresa,firma,smena,aktivni) values ('3428','Cieslak','Bogdan Cezary','0012037325','+48 883 115 857','Polna 22C m.10, Pawlowice, 43-251, PL','2','R','1');</v>
      </c>
    </row>
    <row r="6" spans="1:12" x14ac:dyDescent="0.25">
      <c r="A6" s="4">
        <v>4525</v>
      </c>
      <c r="B6" s="5" t="s">
        <v>30</v>
      </c>
      <c r="C6" s="5" t="s">
        <v>31</v>
      </c>
      <c r="D6" s="5" t="s">
        <v>135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  <c r="J6" s="5" t="s">
        <v>15</v>
      </c>
      <c r="L6" t="str">
        <f t="shared" si="0"/>
        <v>insert into zamestnanci (os_cislo,prijmeni,jmeno,rfid,telefon,adresa,firma,smena,aktivni) values ('4525','Czapla','Jakub Wiktor','0013392110','+48 502 625 791','Karola Miarki 1/17, Jastrzebie-Zdrój, 44-330, PL','2','R','1');</v>
      </c>
    </row>
    <row r="7" spans="1:12" x14ac:dyDescent="0.25">
      <c r="A7" s="4">
        <v>3413</v>
      </c>
      <c r="B7" s="5" t="s">
        <v>37</v>
      </c>
      <c r="C7" s="5" t="s">
        <v>38</v>
      </c>
      <c r="D7" s="5" t="s">
        <v>136</v>
      </c>
      <c r="E7" s="5" t="s">
        <v>39</v>
      </c>
      <c r="F7" s="5" t="s">
        <v>11</v>
      </c>
      <c r="G7" s="5" t="s">
        <v>40</v>
      </c>
      <c r="H7" s="5" t="s">
        <v>41</v>
      </c>
      <c r="I7" s="5" t="s">
        <v>14</v>
      </c>
      <c r="J7" s="5" t="s">
        <v>15</v>
      </c>
      <c r="L7" t="str">
        <f t="shared" si="0"/>
        <v>insert into zamestnanci (os_cislo,prijmeni,jmeno,rfid,telefon,adresa,firma,smena,aktivni) values ('3413','Durmowicz','Dorota Teresa','0013316527','+48 782 589 483','26 Marca 29/24, Wodzisław Śląski, 44-300, PL','2','R','1');</v>
      </c>
    </row>
    <row r="8" spans="1:12" x14ac:dyDescent="0.25">
      <c r="A8" s="4">
        <v>5027</v>
      </c>
      <c r="B8" s="5" t="s">
        <v>42</v>
      </c>
      <c r="C8" s="5" t="s">
        <v>43</v>
      </c>
      <c r="D8" s="5" t="s">
        <v>137</v>
      </c>
      <c r="E8" s="5" t="s">
        <v>44</v>
      </c>
      <c r="F8" s="5" t="s">
        <v>45</v>
      </c>
      <c r="G8" s="5" t="s">
        <v>46</v>
      </c>
      <c r="H8" s="5" t="s">
        <v>47</v>
      </c>
      <c r="I8" s="5" t="s">
        <v>48</v>
      </c>
      <c r="J8" s="5" t="s">
        <v>15</v>
      </c>
      <c r="L8" t="str">
        <f t="shared" si="0"/>
        <v>insert into zamestnanci (os_cislo,prijmeni,jmeno,rfid,telefon,adresa,firma,smena,aktivni) values ('5027','Goszyc','Wiktoria Weronika','0013309361','+48 661 453 582','Lesmiana 2, Jastrzebie Zdroj, 44-335, PL','2','R','1');</v>
      </c>
    </row>
    <row r="9" spans="1:12" x14ac:dyDescent="0.25">
      <c r="A9" s="4">
        <v>3529</v>
      </c>
      <c r="B9" s="5" t="s">
        <v>49</v>
      </c>
      <c r="C9" s="5" t="s">
        <v>50</v>
      </c>
      <c r="D9" s="5" t="s">
        <v>138</v>
      </c>
      <c r="E9" s="5" t="s">
        <v>51</v>
      </c>
      <c r="F9" s="5" t="s">
        <v>52</v>
      </c>
      <c r="G9" s="5" t="s">
        <v>53</v>
      </c>
      <c r="H9" s="5" t="s">
        <v>13</v>
      </c>
      <c r="I9" s="5" t="s">
        <v>54</v>
      </c>
      <c r="J9" s="5" t="s">
        <v>15</v>
      </c>
      <c r="L9" t="str">
        <f t="shared" si="0"/>
        <v>insert into zamestnanci (os_cislo,prijmeni,jmeno,rfid,telefon,adresa,firma,smena,aktivni) values ('3529','Huptys','Wieslawa','0011982290','+48 667 800 222','Radlinskie Chalupki 123, Wodzislaw Slaski, 44-313, PL','2','R','1');</v>
      </c>
    </row>
    <row r="10" spans="1:12" x14ac:dyDescent="0.25">
      <c r="A10" s="4">
        <v>4507</v>
      </c>
      <c r="B10" s="5" t="s">
        <v>55</v>
      </c>
      <c r="C10" s="5" t="s">
        <v>56</v>
      </c>
      <c r="D10" s="5" t="s">
        <v>139</v>
      </c>
      <c r="E10" s="5" t="s">
        <v>57</v>
      </c>
      <c r="F10" s="5" t="s">
        <v>58</v>
      </c>
      <c r="G10" s="5" t="s">
        <v>59</v>
      </c>
      <c r="H10" s="5" t="s">
        <v>60</v>
      </c>
      <c r="I10" s="5" t="s">
        <v>61</v>
      </c>
      <c r="J10" s="5" t="s">
        <v>15</v>
      </c>
      <c r="L10" t="str">
        <f t="shared" si="0"/>
        <v>insert into zamestnanci (os_cislo,prijmeni,jmeno,rfid,telefon,adresa,firma,smena,aktivni) values ('4507','Jordan','Bozena Barbara','0011974874','+48 515 661 447','Osiedle Orlowiec 65m3, Rydultowy, 44-280, PL','2','R','1');</v>
      </c>
    </row>
    <row r="11" spans="1:12" x14ac:dyDescent="0.25">
      <c r="A11" s="4">
        <v>5079</v>
      </c>
      <c r="B11" s="5" t="s">
        <v>62</v>
      </c>
      <c r="C11" s="5" t="s">
        <v>63</v>
      </c>
      <c r="D11" s="5" t="s">
        <v>140</v>
      </c>
      <c r="E11" s="5" t="s">
        <v>64</v>
      </c>
      <c r="F11" s="5" t="s">
        <v>52</v>
      </c>
      <c r="G11" s="5" t="s">
        <v>53</v>
      </c>
      <c r="H11" s="5" t="s">
        <v>13</v>
      </c>
      <c r="I11" s="5" t="s">
        <v>14</v>
      </c>
      <c r="J11" s="5" t="s">
        <v>15</v>
      </c>
      <c r="L11" t="str">
        <f t="shared" si="0"/>
        <v>insert into zamestnanci (os_cislo,prijmeni,jmeno,rfid,telefon,adresa,firma,smena,aktivni) values ('5079','Jureczko','Katarzyna Wanda','0013378406','+48 690 854 053','Radlinskie Chalupki 123, Wodzislaw Slaski, 44-300, PL','2','R','1');</v>
      </c>
    </row>
    <row r="12" spans="1:12" x14ac:dyDescent="0.25">
      <c r="A12" s="4">
        <v>4681</v>
      </c>
      <c r="B12" s="5" t="s">
        <v>65</v>
      </c>
      <c r="C12" s="5" t="s">
        <v>66</v>
      </c>
      <c r="D12" s="5" t="s">
        <v>141</v>
      </c>
      <c r="E12" s="5" t="s">
        <v>67</v>
      </c>
      <c r="F12" s="5" t="s">
        <v>68</v>
      </c>
      <c r="G12" s="5" t="s">
        <v>69</v>
      </c>
      <c r="H12" s="5" t="s">
        <v>68</v>
      </c>
      <c r="I12" s="5" t="s">
        <v>70</v>
      </c>
      <c r="J12" s="5" t="s">
        <v>7</v>
      </c>
      <c r="L12" t="str">
        <f t="shared" si="0"/>
        <v>insert into zamestnanci (os_cislo,prijmeni,jmeno,rfid,telefon,adresa,firma,smena,aktivni) values ('4681','Juřicová','Dana','0013338505','+420 731 881 105','Jeseník nad Odrou 256, Jeseník nad Odrou, 742 33, CZ','2','R','1');</v>
      </c>
    </row>
    <row r="13" spans="1:12" x14ac:dyDescent="0.25">
      <c r="A13" s="4">
        <v>5078</v>
      </c>
      <c r="B13" s="5" t="s">
        <v>71</v>
      </c>
      <c r="C13" s="5" t="s">
        <v>72</v>
      </c>
      <c r="D13" s="5" t="s">
        <v>142</v>
      </c>
      <c r="E13" s="5" t="s">
        <v>73</v>
      </c>
      <c r="F13" s="5" t="s">
        <v>74</v>
      </c>
      <c r="G13" s="5" t="s">
        <v>75</v>
      </c>
      <c r="H13" s="5" t="s">
        <v>47</v>
      </c>
      <c r="I13" s="5" t="s">
        <v>22</v>
      </c>
      <c r="J13" s="5" t="s">
        <v>15</v>
      </c>
      <c r="L13" t="str">
        <f t="shared" si="0"/>
        <v>insert into zamestnanci (os_cislo,prijmeni,jmeno,rfid,telefon,adresa,firma,smena,aktivni) values ('5078','Kuś','Adrian Daniel','0013321754','+48 730 107 362','Świerklańska 37, Jastrzebie Zdroj, 44-268, PL','2','R','1');</v>
      </c>
    </row>
    <row r="14" spans="1:12" x14ac:dyDescent="0.25">
      <c r="A14" s="4">
        <v>4833</v>
      </c>
      <c r="B14" s="5" t="s">
        <v>76</v>
      </c>
      <c r="C14" s="5" t="s">
        <v>77</v>
      </c>
      <c r="D14" s="5" t="s">
        <v>143</v>
      </c>
      <c r="E14" s="5" t="s">
        <v>78</v>
      </c>
      <c r="F14" s="5" t="s">
        <v>79</v>
      </c>
      <c r="G14" s="5" t="s">
        <v>80</v>
      </c>
      <c r="H14" s="5" t="s">
        <v>81</v>
      </c>
      <c r="I14" s="5" t="s">
        <v>48</v>
      </c>
      <c r="J14" s="5" t="s">
        <v>15</v>
      </c>
      <c r="L14" t="str">
        <f t="shared" si="0"/>
        <v>insert into zamestnanci (os_cislo,prijmeni,jmeno,rfid,telefon,adresa,firma,smena,aktivni) values ('4833','Mamala','Szymon Piotr','0012013869','+48 515 835 416','Ruchu Oporu 18/9, Jastrzębie-Zdrój, 44-335, PL','2','R','1');</v>
      </c>
    </row>
    <row r="15" spans="1:12" x14ac:dyDescent="0.25">
      <c r="A15" s="4">
        <v>5277</v>
      </c>
      <c r="B15" s="5" t="s">
        <v>82</v>
      </c>
      <c r="C15" s="5" t="s">
        <v>83</v>
      </c>
      <c r="D15" s="5" t="s">
        <v>144</v>
      </c>
      <c r="E15" s="5" t="s">
        <v>84</v>
      </c>
      <c r="F15" s="5" t="s">
        <v>85</v>
      </c>
      <c r="G15" s="5" t="s">
        <v>86</v>
      </c>
      <c r="H15" s="5" t="s">
        <v>87</v>
      </c>
      <c r="I15" s="5" t="s">
        <v>88</v>
      </c>
      <c r="J15" s="5" t="s">
        <v>15</v>
      </c>
      <c r="L15" t="str">
        <f t="shared" si="0"/>
        <v>insert into zamestnanci (os_cislo,prijmeni,jmeno,rfid,telefon,adresa,firma,smena,aktivni) values ('5277','Palucki','Bartosz Jan','0011978487','+48 884 362 595','Os. Ks. Wladyslawa 5C/18, Zory, 44-240, PL','2','R','1');</v>
      </c>
    </row>
    <row r="16" spans="1:12" x14ac:dyDescent="0.25">
      <c r="A16" s="4">
        <v>4564</v>
      </c>
      <c r="B16" s="5" t="s">
        <v>89</v>
      </c>
      <c r="C16" s="5" t="s">
        <v>90</v>
      </c>
      <c r="D16" s="5" t="s">
        <v>145</v>
      </c>
      <c r="E16" s="5" t="s">
        <v>91</v>
      </c>
      <c r="F16" s="5" t="s">
        <v>92</v>
      </c>
      <c r="G16" s="5" t="s">
        <v>93</v>
      </c>
      <c r="H16" s="5" t="s">
        <v>13</v>
      </c>
      <c r="I16" s="5" t="s">
        <v>14</v>
      </c>
      <c r="J16" s="5" t="s">
        <v>15</v>
      </c>
      <c r="L16" t="str">
        <f t="shared" si="0"/>
        <v>insert into zamestnanci (os_cislo,prijmeni,jmeno,rfid,telefon,adresa,firma,smena,aktivni) values ('4564','Politowicz','Karina Maria','0011990175','+48 506 137 800','Turska 20B, Wodzislaw Slaski, 44-300, PL','2','R','1');</v>
      </c>
    </row>
    <row r="17" spans="1:12" x14ac:dyDescent="0.25">
      <c r="A17" s="4">
        <v>4866</v>
      </c>
      <c r="B17" s="5" t="s">
        <v>94</v>
      </c>
      <c r="C17" s="5" t="s">
        <v>95</v>
      </c>
      <c r="D17" s="5" t="s">
        <v>146</v>
      </c>
      <c r="E17" s="5" t="s">
        <v>96</v>
      </c>
      <c r="F17" s="5" t="s">
        <v>97</v>
      </c>
      <c r="G17" s="5" t="s">
        <v>98</v>
      </c>
      <c r="H17" s="5" t="s">
        <v>81</v>
      </c>
      <c r="I17" s="5" t="s">
        <v>48</v>
      </c>
      <c r="J17" s="5" t="s">
        <v>15</v>
      </c>
      <c r="L17" t="str">
        <f t="shared" si="0"/>
        <v>insert into zamestnanci (os_cislo,prijmeni,jmeno,rfid,telefon,adresa,firma,smena,aktivni) values ('4866','Skulska','Katarzyna','0013366007','+48 666 388 386','Piastów 12/7, Jastrzębie-Zdrój, 44-335, PL','2','R','1');</v>
      </c>
    </row>
    <row r="18" spans="1:12" x14ac:dyDescent="0.25">
      <c r="A18" s="4">
        <v>5076</v>
      </c>
      <c r="B18" s="5" t="s">
        <v>99</v>
      </c>
      <c r="C18" s="5" t="s">
        <v>100</v>
      </c>
      <c r="D18" s="5" t="s">
        <v>147</v>
      </c>
      <c r="E18" s="5" t="s">
        <v>101</v>
      </c>
      <c r="F18" s="5" t="s">
        <v>102</v>
      </c>
      <c r="G18" s="5" t="s">
        <v>103</v>
      </c>
      <c r="H18" s="5" t="s">
        <v>104</v>
      </c>
      <c r="I18" s="5" t="s">
        <v>105</v>
      </c>
      <c r="J18" s="5" t="s">
        <v>7</v>
      </c>
      <c r="L18" t="str">
        <f t="shared" si="0"/>
        <v>insert into zamestnanci (os_cislo,prijmeni,jmeno,rfid,telefon,adresa,firma,smena,aktivni) values ('5076','Slaninová','Tereza','0013371367','703 970 455','Hukovice 24, Bartošovice - Hukovice, 742 13, CZ','2','R','1');</v>
      </c>
    </row>
    <row r="19" spans="1:12" x14ac:dyDescent="0.25">
      <c r="A19" s="4">
        <v>4310</v>
      </c>
      <c r="B19" s="5" t="s">
        <v>106</v>
      </c>
      <c r="C19" s="5" t="s">
        <v>107</v>
      </c>
      <c r="D19" s="5" t="s">
        <v>148</v>
      </c>
      <c r="E19" s="5" t="s">
        <v>108</v>
      </c>
      <c r="F19" s="5" t="s">
        <v>109</v>
      </c>
      <c r="G19" s="5" t="s">
        <v>46</v>
      </c>
      <c r="H19" s="5" t="s">
        <v>13</v>
      </c>
      <c r="I19" s="5" t="s">
        <v>14</v>
      </c>
      <c r="J19" s="5" t="s">
        <v>15</v>
      </c>
      <c r="L19" t="str">
        <f t="shared" si="0"/>
        <v>insert into zamestnanci (os_cislo,prijmeni,jmeno,rfid,telefon,adresa,firma,smena,aktivni) values ('4310','Szymala','Estera Maria','0013374163','+48 663 754 640','Przytulna 2, Wodzislaw Slaski, 44-300, PL','2','R','1');</v>
      </c>
    </row>
    <row r="20" spans="1:12" x14ac:dyDescent="0.25">
      <c r="A20" s="4">
        <v>4274</v>
      </c>
      <c r="B20" s="5" t="s">
        <v>110</v>
      </c>
      <c r="C20" s="5" t="s">
        <v>111</v>
      </c>
      <c r="D20" s="5" t="s">
        <v>149</v>
      </c>
      <c r="E20" s="5" t="s">
        <v>112</v>
      </c>
      <c r="F20" s="5" t="s">
        <v>11</v>
      </c>
      <c r="G20" s="5" t="s">
        <v>113</v>
      </c>
      <c r="H20" s="5" t="s">
        <v>13</v>
      </c>
      <c r="I20" s="5" t="s">
        <v>114</v>
      </c>
      <c r="J20" s="5" t="s">
        <v>15</v>
      </c>
      <c r="L20" t="str">
        <f t="shared" si="0"/>
        <v>insert into zamestnanci (os_cislo,prijmeni,jmeno,rfid,telefon,adresa,firma,smena,aktivni) values ('4274','Wegrzyn','Aleksandra','0013351534','+48 515 340 616','26 Marca 170/14, Wodzislaw Slaski, 44-286, PL','2','R','1');</v>
      </c>
    </row>
    <row r="21" spans="1:12" x14ac:dyDescent="0.25">
      <c r="A21" s="4">
        <v>5025</v>
      </c>
      <c r="B21" s="5" t="s">
        <v>115</v>
      </c>
      <c r="C21" s="5" t="s">
        <v>116</v>
      </c>
      <c r="D21" s="5" t="s">
        <v>150</v>
      </c>
      <c r="E21" s="5" t="s">
        <v>117</v>
      </c>
      <c r="F21" s="5" t="s">
        <v>118</v>
      </c>
      <c r="G21" s="5" t="s">
        <v>119</v>
      </c>
      <c r="H21" s="5" t="s">
        <v>120</v>
      </c>
      <c r="I21" s="5" t="s">
        <v>6</v>
      </c>
      <c r="J21" s="5" t="s">
        <v>7</v>
      </c>
      <c r="L21" t="str">
        <f t="shared" si="0"/>
        <v>insert into zamestnanci (os_cislo,prijmeni,jmeno,rfid,telefon,adresa,firma,smena,aktivni) values ('5025','Weissová','Pavlína','0013324311','735 207 222','Štursova 187, Nový Jičín - Žilina, 741 01, CZ','2','R','1');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2023-10-11T11:22:14Z</dcterms:created>
  <dcterms:modified xsi:type="dcterms:W3CDTF">2023-10-11T15:00:20Z</dcterms:modified>
</cp:coreProperties>
</file>